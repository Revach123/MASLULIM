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iterate="1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<sst xmlns="http://schemas.openxmlformats.org/spreadsheetml/2006/main" count="36602" uniqueCount="3495">
  <si>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</si>
  <si>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</si>
  <si>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</si>
  <si>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</si>
  <si>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</si>
  <si>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</si>
  <si>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</si>
  <si>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</si>
  <si>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</si>
  <si>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</si>
  <si>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</si>
  <si>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</si>
  <si>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</si>
  <si>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</si>
  <si>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</si>
  <si>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</si>
  <si>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</si>
  <si>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</si>
  <si>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</si>
  <si>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</si>
  <si>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</si>
  <si>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</si>
  <si>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</si>
  <si>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</si>
  <si>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</si>
  <si>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</si>
  <si>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</si>
  <si>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</si>
  <si>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</si>
  <si>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</si>
  <si>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</si>
  <si>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</si>
  <si>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</si>
  <si>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</si>
  <si>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</si>
  <si>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</si>
  <si>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</si>
  <si>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</si>
  <si>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</si>
  <si>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</si>
  <si>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</si>
  <si>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</si>
  <si>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</si>
  <si>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</si>
  <si>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</si>
  <si>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</si>
  <si>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</si>
  <si>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</si>
  <si>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</si>
  <si>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</si>
  <si>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</si>
  <si>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</si>
  <si>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</si>
  <si>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</si>
  <si>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</si>
  <si>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</si>
  <si>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</si>
  <si>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</si>
  <si>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</si>
  <si>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</si>
  <si>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</si>
  <si>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</si>
  <si>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</si>
  <si>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</si>
  <si>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</si>
  <si>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</si>
  <si>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</si>
  <si>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</si>
  <si>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</si>
  <si>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</si>
  <si>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</si>
  <si>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</si>
  <si>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</si>
  <si>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</si>
  <si>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</si>
  <si>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</si>
  <si>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</si>
  <si>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</si>
  <si>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</si>
  <si>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</si>
  <si>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</si>
  <si>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</si>
  <si>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</si>
  <si>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</si>
  <si>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</si>
  <si>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</si>
  <si>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</si>
  <si>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</si>
  <si>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</si>
  <si>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</si>
  <si>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</si>
  <si>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</si>
  <si>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</si>
  <si>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</si>
  <si>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</si>
  <si>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</si>
  <si>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</si>
  <si>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</si>
  <si>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</si>
  <si>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</si>
  <si>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</si>
  <si>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</si>
  <si>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</si>
  <si>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</si>
  <si>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</si>
  <si>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</si>
  <si>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</si>
  <si>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</si>
  <si>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</si>
  <si>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</si>
  <si>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</si>
  <si>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</si>
  <si>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</si>
  <si>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</si>
  <si>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</si>
  <si>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</si>
  <si>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</si>
  <si>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</si>
  <si>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</si>
  <si>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</si>
  <si>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</si>
  <si>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</si>
  <si>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</si>
  <si>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</si>
  <si>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</si>
  <si>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</si>
  <si>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</si>
  <si>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</si>
  <si>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</si>
  <si>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</si>
  <si>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</si>
  <si>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</si>
  <si>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</si>
  <si>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</si>
  <si>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</si>
  <si>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</si>
  <si>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</si>
  <si>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</si>
  <si>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</si>
  <si>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</si>
  <si>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</si>
  <si>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</si>
  <si>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</si>
  <si>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</si>
  <si>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</si>
  <si>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</si>
  <si>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</si>
  <si>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</si>
  <si>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</si>
  <si>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</si>
  <si>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</si>
  <si>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</si>
  <si>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</si>
  <si>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</si>
  <si>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</si>
  <si>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</si>
  <si>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</si>
  <si>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</si>
  <si>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</si>
  <si>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</si>
  <si>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</si>
  <si>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</si>
  <si>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</si>
  <si>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</si>
  <si>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</si>
  <si>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</si>
  <si>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</si>
  <si>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</si>
  <si>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</si>
  <si>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</si>
  <si>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</si>
  <si>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</si>
  <si>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</si>
  <si>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</si>
  <si>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</si>
  <si>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</si>
  <si>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</si>
  <si>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</si>
  <si>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</si>
  <si>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</si>
  <si>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</si>
  <si>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</si>
  <si>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</si>
  <si>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</si>
  <si>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</si>
  <si>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</si>
  <si>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</si>
  <si>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</si>
  <si>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</si>
  <si>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</si>
  <si>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</si>
  <si>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</si>
  <si>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</si>
  <si>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</si>
  <si>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</si>
  <si>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</si>
  <si>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</si>
  <si>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</si>
  <si>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</si>
  <si>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</si>
  <si>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</si>
  <si>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</si>
  <si>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</si>
  <si>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</si>
  <si>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</si>
  <si>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</si>
  <si>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</si>
  <si>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</si>
  <si>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</si>
  <si>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</si>
  <si>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</si>
  <si>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</si>
  <si>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</si>
  <si>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</si>
  <si>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</si>
  <si>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</si>
  <si>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</si>
  <si>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</si>
  <si>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</si>
  <si>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</si>
  <si>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</si>
  <si>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</si>
  <si>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</si>
  <si>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</si>
  <si>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</si>
  <si>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</si>
  <si>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</si>
  <si>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</si>
  <si>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</si>
  <si>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</si>
  <si>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</si>
  <si>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</si>
  <si>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</si>
  <si>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</si>
  <si>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</si>
  <si>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</si>
  <si>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</si>
  <si>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</si>
  <si>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</si>
  <si>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</si>
  <si>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</si>
  <si>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</si>
  <si>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</si>
  <si>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</si>
  <si>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</si>
  <si>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</si>
  <si>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</si>
  <si>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</si>
  <si>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</si>
  <si>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</si>
  <si>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</si>
  <si>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</si>
  <si>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</si>
  <si>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</si>
  <si>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</si>
  <si>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</si>
  <si>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</si>
  <si>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</si>
  <si>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</si>
  <si>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</si>
  <si>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</si>
  <si>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</si>
  <si>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</si>
  <si>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</si>
  <si>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</si>
  <si>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</si>
  <si>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</si>
  <si>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</si>
  <si>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</si>
  <si>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</si>
  <si>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</si>
  <si>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</si>
  <si>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</si>
  <si>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</si>
  <si>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</si>
  <si>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</si>
  <si>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</si>
  <si>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</si>
  <si>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</si>
  <si>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</si>
  <si>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</si>
  <si>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</si>
  <si>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</si>
  <si>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</si>
  <si>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</si>
  <si>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</si>
  <si>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</si>
  <si>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</si>
  <si>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</si>
  <si>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</si>
  <si>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</si>
  <si>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</si>
  <si>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</si>
  <si>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</si>
  <si>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</si>
  <si>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</si>
  <si>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</si>
  <si>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</si>
  <si>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</si>
  <si>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</si>
  <si>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</si>
  <si>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</si>
  <si>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</si>
  <si>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</si>
  <si>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</si>
  <si>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</si>
  <si>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</si>
  <si>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</si>
  <si>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</si>
  <si>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</si>
  <si>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</si>
  <si>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</si>
  <si>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</si>
  <si>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</si>
  <si>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</si>
  <si>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</si>
  <si>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</si>
  <si>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</si>
  <si>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</si>
  <si>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</si>
  <si>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</si>
  <si>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</si>
  <si>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</si>
  <si>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</si>
  <si>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</si>
  <si>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</si>
  <si>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</si>
  <si>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</si>
  <si>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</si>
  <si>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</si>
  <si>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</si>
  <si>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</si>
  <si>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</si>
  <si>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</si>
  <si>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</si>
  <si>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</si>
  <si>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</si>
  <si>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</si>
  <si>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</si>
  <si>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</si>
  <si>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</si>
  <si>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</si>
  <si>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</si>
  <si>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</si>
  <si>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</si>
  <si>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</si>
  <si>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</si>
  <si>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</si>
  <si>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</si>
  <si>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</si>
  <si>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</si>
  <si>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</si>
  <si>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</si>
  <si>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</si>
  <si>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</si>
  <si>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</si>
  <si>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</si>
  <si>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</si>
  <si>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</si>
  <si>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</si>
  <si>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</si>
  <si>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</si>
  <si>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</si>
  <si>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</si>
  <si>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</si>
  <si>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</si>
  <si>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</si>
  <si>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</si>
  <si>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</si>
  <si>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</si>
  <si>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</si>
  <si>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</si>
  <si>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</si>
  <si>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</si>
  <si>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</si>
  <si>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</si>
  <si>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</si>
  <si>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</si>
  <si>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</si>
  <si>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</si>
  <si>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</si>
  <si>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</si>
  <si>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</si>
  <si>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</si>
  <si>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</si>
  <si>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</si>
  <si>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</si>
  <si>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</si>
  <si>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</si>
  <si>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</si>
  <si>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</si>
  <si>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</si>
  <si>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</si>
  <si>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</si>
  <si>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</si>
  <si>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</si>
  <si>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</si>
  <si>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</si>
  <si>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</si>
  <si>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</si>
  <si>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</si>
  <si>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</si>
  <si>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</si>
  <si>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</si>
  <si>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</si>
  <si>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</si>
  <si>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</si>
  <si>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</si>
  <si>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</si>
  <si>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</si>
  <si>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</si>
  <si>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</si>
  <si>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</si>
  <si>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</si>
  <si>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</si>
  <si>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</si>
  <si>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</si>
  <si>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</si>
  <si>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</si>
  <si>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</si>
  <si>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</si>
  <si>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</si>
  <si>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</si>
  <si>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</si>
  <si>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</si>
  <si>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</si>
  <si>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</si>
  <si>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</si>
  <si>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</si>
  <si>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</si>
  <si>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</si>
  <si>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</si>
  <si>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</si>
  <si>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</si>
  <si>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</si>
  <si>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</si>
  <si>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</si>
  <si>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</si>
  <si>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</si>
  <si>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</si>
  <si>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</si>
  <si>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</si>
  <si>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</si>
  <si>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</si>
  <si>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</si>
  <si>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</si>
  <si>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</si>
  <si>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</si>
  <si>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</si>
  <si>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</si>
  <si>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</si>
  <si>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</si>
  <si>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</si>
  <si>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</si>
  <si>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</si>
  <si>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</si>
  <si>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</si>
  <si>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</si>
  <si>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</si>
  <si>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</si>
  <si>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</si>
  <si>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</si>
  <si>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</si>
  <si>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</si>
  <si>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</si>
  <si>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</si>
  <si>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</si>
  <si>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</si>
  <si>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</si>
  <si>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</si>
  <si>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</si>
  <si>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</si>
  <si>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</si>
  <si>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</si>
  <si>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</si>
  <si>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</si>
  <si>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</si>
  <si>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</si>
  <si>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</si>
  <si>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</si>
  <si>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</si>
  <si>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</si>
  <si>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</si>
  <si>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</si>
  <si>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</si>
  <si>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</si>
  <si>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</si>
  <si>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</si>
  <si>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</si>
  <si>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</si>
  <si>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</si>
  <si>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</si>
  <si>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</si>
  <si>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</si>
  <si>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</si>
  <si>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</si>
  <si>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</si>
  <si>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</si>
  <si>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</si>
  <si>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</si>
  <si>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</si>
  <si>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</si>
  <si>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</si>
  <si>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</si>
  <si>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</si>
  <si>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</si>
  <si>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</si>
  <si>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</si>
  <si>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</si>
  <si>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</si>
  <si>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</si>
  <si>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</si>
  <si>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</si>
  <si>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</si>
  <si>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</si>
  <si>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</si>
  <si>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</si>
  <si>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</si>
  <si>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</si>
  <si>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</si>
  <si>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</si>
  <si>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</si>
  <si>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</si>
  <si>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</si>
  <si>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</si>
  <si>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</si>
  <si>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</si>
  <si>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</si>
  <si>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</si>
  <si>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</si>
  <si>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</si>
  <si>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</si>
  <si>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</si>
  <si>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</si>
  <si>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</si>
  <si>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</si>
  <si>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</si>
  <si>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</si>
  <si>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</si>
  <si>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</si>
  <si>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</si>
  <si>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</si>
  <si>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</si>
  <si>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</si>
  <si>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</si>
  <si>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</si>
  <si>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</si>
  <si>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</si>
  <si>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</si>
  <si>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</si>
  <si>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</si>
  <si>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</si>
  <si>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</si>
  <si>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</si>
  <si>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</si>
  <si>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</si>
  <si>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</si>
  <si>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</si>
  <si>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</si>
  <si>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</si>
  <si>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</si>
  <si>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</si>
  <si>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</si>
  <si>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</si>
  <si>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</si>
  <si>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</si>
  <si>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</si>
  <si>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</si>
  <si>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</si>
  <si>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</si>
  <si>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</si>
  <si>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</si>
  <si>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</si>
  <si>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</si>
  <si>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</si>
  <si>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</si>
  <si>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</si>
  <si>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</si>
  <si>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</si>
  <si>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</si>
  <si>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</si>
  <si>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</si>
  <si>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</si>
  <si>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</si>
  <si>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</si>
  <si>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</si>
  <si>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</si>
  <si>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</si>
  <si>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</si>
  <si>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</si>
  <si>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</si>
  <si>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</si>
  <si>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</si>
  <si>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</si>
  <si>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</si>
  <si>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</si>
  <si>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</si>
  <si>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</si>
  <si>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</si>
  <si>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</si>
  <si>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</si>
  <si>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</si>
  <si>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</si>
  <si>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</si>
  <si>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</si>
  <si>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</si>
  <si>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</si>
  <si>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</si>
  <si>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</si>
  <si>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</si>
  <si>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</si>
  <si>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</si>
  <si>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</si>
  <si>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</si>
  <si>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</si>
  <si>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</si>
  <si>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</si>
  <si>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</si>
  <si>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</si>
  <si>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</si>
  <si>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</si>
  <si>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</si>
  <si>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</si>
  <si>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</si>
  <si>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</si>
  <si>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</si>
  <si>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</si>
  <si>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</si>
  <si>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</si>
  <si>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</si>
  <si>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</si>
  <si>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</si>
  <si>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</si>
  <si>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</si>
  <si>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</si>
  <si>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</si>
  <si>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</si>
  <si>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</si>
  <si>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</si>
  <si>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</si>
  <si>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</si>
  <si>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</si>
  <si>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</si>
  <si>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</si>
  <si>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</si>
  <si>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</si>
  <si>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</si>
  <si>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</si>
  <si>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</si>
  <si>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</si>
  <si>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</si>
  <si>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</si>
  <si>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</si>
  <si>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</si>
  <si>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</si>
  <si>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</si>
  <si>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</si>
  <si>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</si>
  <si>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</si>
  <si>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</si>
  <si>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</si>
  <si>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</si>
  <si>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</si>
  <si>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</si>
  <si>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</si>
  <si>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</si>
  <si>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</si>
  <si>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</si>
  <si>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</si>
  <si>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</si>
  <si>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</si>
  <si>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</si>
  <si>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</si>
  <si>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</si>
  <si>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</si>
  <si>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</si>
  <si>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</si>
  <si>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</si>
  <si>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</si>
  <si>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</si>
  <si>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</si>
  <si>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</si>
  <si>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</si>
  <si>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</si>
  <si>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</si>
  <si>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</si>
  <si>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</si>
  <si>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</si>
  <si>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</si>
  <si>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</si>
  <si>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</si>
  <si>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</si>
  <si>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</si>
  <si>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</si>
  <si>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</si>
  <si>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</si>
  <si>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</si>
  <si>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</si>
  <si>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</si>
  <si>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</si>
  <si>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</si>
  <si>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</si>
  <si>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</si>
  <si>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</si>
  <si>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</si>
  <si>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</si>
  <si>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</si>
  <si>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</si>
  <si>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</si>
  <si>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</si>
  <si>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</si>
  <si>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</si>
  <si>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</si>
  <si>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</si>
  <si>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</si>
  <si>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</si>
  <si>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</si>
  <si>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</si>
  <si>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</si>
  <si>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</si>
  <si>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</si>
  <si>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</si>
  <si>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</si>
  <si>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</si>
  <si>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</si>
  <si>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</si>
  <si>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</si>
  <si>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</si>
  <si>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</si>
  <si>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</si>
  <si>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</si>
  <si>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</si>
  <si>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</si>
  <si>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</si>
  <si>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</si>
  <si>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</si>
  <si>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</si>
  <si>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</si>
  <si>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</si>
  <si>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</si>
  <si>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</si>
  <si>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</si>
  <si>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</si>
  <si>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</si>
  <si>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</si>
  <si>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</si>
  <si>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</si>
  <si>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</si>
  <si>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</si>
  <si>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</si>
  <si>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</si>
  <si>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</si>
  <si>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</si>
  <si>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</si>
  <si>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</si>
  <si>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</si>
  <si>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</si>
  <si>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</si>
  <si>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</si>
  <si>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</si>
  <si>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</si>
  <si>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</si>
  <si>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</si>
  <si>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</si>
  <si>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</si>
  <si>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</si>
  <si>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</si>
  <si>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</si>
  <si>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</si>
  <si>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</si>
  <si>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</si>
  <si>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</si>
  <si>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</si>
  <si>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</si>
  <si>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</si>
  <si>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</si>
  <si>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</si>
  <si>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</si>
  <si>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</si>
  <si>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</si>
  <si>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</si>
  <si>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</si>
  <si>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</si>
  <si>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</si>
  <si>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</si>
  <si>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</si>
  <si>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</si>
  <si>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</si>
  <si>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</si>
  <si>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</si>
  <si>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</si>
  <si>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</si>
  <si>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</si>
  <si>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</si>
  <si>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</si>
  <si>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</si>
  <si>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</si>
  <si>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</si>
  <si>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</si>
  <si>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</si>
  <si>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</si>
  <si>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</si>
  <si>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</si>
  <si>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</si>
  <si>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</si>
  <si>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</si>
  <si>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</si>
  <si>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</si>
  <si>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</si>
  <si>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</si>
  <si>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</si>
  <si>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</si>
  <si>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</si>
  <si>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</si>
  <si>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</si>
  <si>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</si>
  <si>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</si>
  <si>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</si>
  <si>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</si>
  <si>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</si>
  <si>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</si>
  <si>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</si>
  <si>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</si>
  <si>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</si>
  <si>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</si>
  <si>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</si>
  <si>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</si>
  <si>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</si>
  <si>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</si>
  <si>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</si>
  <si>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</si>
  <si>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</si>
  <si>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</si>
  <si>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</si>
  <si>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</si>
  <si>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</si>
  <si>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</si>
  <si>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</si>
  <si>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</si>
  <si>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</si>
  <si>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</si>
  <si>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</si>
  <si>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</si>
  <si>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</si>
  <si>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</si>
  <si>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</si>
  <si>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</si>
  <si>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</si>
  <si>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</si>
  <si>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</si>
  <si>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</si>
  <si>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</si>
  <si>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</si>
  <si>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</si>
  <si>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</si>
  <si>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</si>
  <si>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</si>
  <si>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</si>
  <si>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</si>
  <si>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</si>
  <si>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</si>
  <si>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</si>
  <si>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</si>
  <si>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</si>
  <si>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</si>
  <si>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</si>
  <si>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</si>
  <si>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</si>
  <si>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</si>
  <si>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</si>
  <si>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</si>
  <si>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</si>
  <si>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</si>
  <si>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</si>
  <si>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</si>
  <si>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</si>
  <si>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</si>
  <si>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</si>
  <si>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</si>
  <si>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</si>
  <si>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</si>
  <si>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</si>
  <si>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</si>
  <si>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</si>
  <si>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</si>
  <si>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</si>
  <si>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</si>
  <si>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</si>
  <si>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</si>
  <si>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</si>
  <si>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</si>
  <si>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</si>
  <si>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</si>
  <si>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</si>
  <si>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</si>
  <si>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</si>
  <si>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</si>
  <si>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</si>
  <si>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</si>
  <si>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</si>
  <si>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</si>
  <si>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</si>
  <si>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</si>
  <si>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</si>
  <si>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</si>
  <si>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</si>
  <si>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</si>
  <si>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</si>
  <si>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</si>
  <si>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</si>
  <si>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</si>
  <si>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</si>
  <si>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</si>
  <si>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</si>
  <si>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</si>
  <si>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</si>
  <si>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</si>
  <si>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</si>
  <si>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</si>
  <si>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</si>
  <si>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</si>
  <si>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</si>
  <si>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</si>
  <si>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</si>
  <si>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</si>
  <si>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</si>
  <si>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</si>
  <si>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</si>
  <si>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</si>
  <si>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</si>
  <si>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</si>
  <si>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</si>
  <si>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</si>
  <si>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</si>
  <si>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</si>
  <si>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</si>
  <si>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</si>
  <si>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</si>
  <si>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</si>
  <si>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</si>
  <si>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</si>
  <si>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</si>
  <si>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</si>
  <si>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</si>
  <si>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</si>
  <si>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</si>
  <si>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</si>
  <si>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</si>
  <si>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</si>
  <si>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</si>
  <si>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</si>
  <si>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</si>
  <si>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</si>
  <si>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</si>
  <si>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</si>
  <si>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</si>
  <si>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</si>
  <si>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</si>
  <si>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</si>
  <si>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</si>
  <si>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</si>
  <si>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</si>
  <si>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</si>
  <si>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</si>
  <si>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</si>
  <si>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</si>
  <si>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</si>
  <si>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</si>
  <si>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</si>
  <si>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</si>
  <si>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</si>
  <si>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</si>
  <si>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</si>
  <si>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</si>
  <si>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</si>
  <si>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</si>
  <si>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</si>
  <si>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</si>
  <si>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</si>
  <si>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</si>
  <si>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</si>
  <si>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</si>
  <si>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</si>
  <si>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</si>
  <si>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</si>
  <si>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</si>
  <si>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</si>
  <si>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</si>
  <si>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</si>
  <si>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</si>
  <si>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</si>
  <si>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</si>
  <si>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</si>
  <si>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</si>
  <si>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</si>
  <si>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</si>
  <si>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</si>
  <si>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</si>
  <si>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</si>
  <si>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</si>
  <si>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</si>
  <si>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</si>
  <si>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</si>
  <si>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</si>
  <si>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</si>
  <si>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</si>
  <si>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</si>
  <si>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</si>
  <si>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</si>
  <si>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</si>
  <si>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</si>
  <si>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</si>
  <si>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</si>
  <si>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</si>
  <si>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</si>
  <si>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</si>
  <si>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</si>
  <si>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</si>
  <si>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</si>
  <si>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</si>
  <si>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</si>
  <si>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</si>
  <si>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</si>
  <si>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</si>
  <si>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</si>
  <si>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</si>
  <si>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</si>
  <si>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</si>
  <si>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</si>
  <si>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</si>
  <si>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</si>
  <si>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</si>
  <si>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</si>
  <si>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</si>
  <si>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</si>
  <si>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</si>
  <si>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</si>
  <si>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</si>
  <si>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</si>
  <si>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</si>
  <si>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</si>
  <si>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</si>
  <si>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</si>
  <si>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</si>
  <si>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</si>
  <si>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</si>
  <si>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</si>
  <si>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</si>
  <si>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</si>
  <si>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</si>
  <si>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</si>
  <si>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</si>
  <si>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</si>
  <si>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</si>
  <si>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</si>
  <si>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</si>
  <si>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</si>
  <si>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</si>
  <si>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</si>
  <si>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</si>
  <si>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</si>
  <si>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</si>
  <si>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</si>
  <si>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</si>
  <si>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</si>
  <si>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</si>
  <si>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</si>
  <si>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</si>
  <si>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</si>
  <si>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</si>
  <si>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</si>
  <si>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</si>
  <si>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</si>
  <si>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</si>
  <si>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</si>
  <si>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</si>
  <si>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</si>
  <si>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</si>
  <si>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</si>
  <si>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</si>
  <si>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</si>
  <si>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</si>
  <si>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</si>
  <si>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</si>
  <si>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</si>
  <si>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</si>
  <si>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</si>
  <si>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</si>
  <si>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</si>
  <si>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</si>
  <si>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</si>
  <si>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</si>
  <si>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</si>
  <si>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</si>
  <si>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</si>
  <si>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</si>
  <si>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</si>
  <si>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</si>
  <si>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</si>
  <si>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</si>
  <si>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</si>
  <si>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</si>
  <si>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</si>
  <si>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</si>
  <si>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</si>
  <si>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</si>
  <si>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</si>
  <si>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</si>
  <si>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</si>
  <si>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</si>
  <si>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</si>
  <si>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</si>
  <si>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</si>
  <si>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</si>
  <si>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</si>
  <si>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</si>
  <si>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</si>
  <si>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</si>
  <si>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</si>
  <si>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</si>
  <si>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</si>
  <si>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</si>
  <si>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</si>
  <si>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</si>
  <si>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</si>
  <si>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</si>
  <si>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</si>
  <si>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</si>
  <si>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</si>
  <si>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</si>
  <si>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</si>
  <si>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</si>
  <si>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</si>
  <si>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</si>
  <si>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</si>
  <si>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</si>
  <si>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</si>
  <si>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</si>
  <si>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</si>
  <si>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</si>
  <si>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</si>
  <si>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</si>
  <si>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</si>
  <si>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</si>
  <si>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</si>
  <si>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</si>
  <si>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</si>
  <si>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</si>
  <si>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</si>
  <si>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</si>
  <si>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</si>
  <si>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</si>
  <si>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</si>
  <si>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</si>
  <si>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</si>
  <si>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</si>
  <si>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</si>
  <si>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</si>
  <si>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</si>
  <si>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</si>
  <si>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</si>
  <si>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</si>
  <si>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</si>
  <si>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</si>
  <si>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</si>
  <si>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</si>
  <si>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</si>
  <si>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</si>
  <si>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</si>
  <si>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</si>
  <si>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</si>
  <si>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</si>
  <si>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</si>
  <si>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</si>
  <si>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</si>
  <si>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</si>
  <si>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</si>
  <si>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</si>
  <si>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</si>
  <si>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</si>
  <si>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</si>
  <si>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</si>
  <si>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</si>
  <si>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</si>
  <si>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</si>
  <si>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</si>
  <si>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</si>
  <si>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</si>
  <si>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</si>
  <si>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</si>
  <si>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</si>
  <si>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</si>
  <si>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</si>
  <si>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</si>
  <si>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</si>
  <si>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</si>
  <si>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</si>
  <si>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</si>
  <si>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</si>
  <si>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</si>
  <si>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</si>
  <si>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</si>
  <si>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</si>
  <si>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</si>
  <si>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</si>
  <si>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</si>
  <si>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</si>
  <si>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</si>
  <si>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</si>
  <si>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</si>
  <si>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</si>
  <si>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USD</t>
  </si>
  <si>
    <t>EUR</t>
  </si>
  <si>
    <t>HKD</t>
  </si>
  <si>
    <t>2040</t>
  </si>
  <si>
    <t>GBP</t>
  </si>
  <si>
    <t>JPY</t>
  </si>
  <si>
    <t>484</t>
  </si>
  <si>
    <t>2035</t>
  </si>
  <si>
    <t>2036</t>
  </si>
  <si>
    <t>מדינת ישראל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</si>
  <si>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</si>
  <si>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</si>
  <si>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</si>
  <si>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</si>
  <si>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</si>
  <si>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</si>
  <si>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</si>
  <si>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צמודה 1131</t>
  </si>
  <si>
    <t>IL0011722209</t>
  </si>
  <si>
    <t>30/11/2031</t>
  </si>
  <si>
    <t>מ.ק.מ. 415</t>
  </si>
  <si>
    <t>IL0082504171</t>
  </si>
  <si>
    <t>02/04/2025</t>
  </si>
  <si>
    <t>0.000%</t>
  </si>
  <si>
    <t>ממשל צמודה 1025</t>
  </si>
  <si>
    <t>IL0011359127</t>
  </si>
  <si>
    <t>31/10/2025</t>
  </si>
  <si>
    <t>ממשל שקלית 0142</t>
  </si>
  <si>
    <t>IL0011254005</t>
  </si>
  <si>
    <t>31/01/2042</t>
  </si>
  <si>
    <t>בנק ישראל- מק"מ</t>
  </si>
  <si>
    <t>מ.ק.מ 216</t>
  </si>
  <si>
    <t>IL0082602181</t>
  </si>
  <si>
    <t>04/02/2026</t>
  </si>
  <si>
    <t>מ.ק.מ. 615</t>
  </si>
  <si>
    <t>IL0082506150</t>
  </si>
  <si>
    <t>04/06/2025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</si>
  <si>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</si>
  <si>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</si>
  <si>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</si>
  <si>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</si>
  <si>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</si>
  <si>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</si>
  <si>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מ.ק.מ. 515</t>
  </si>
  <si>
    <t>IL0082505160</t>
  </si>
  <si>
    <t>07/05/2025</t>
  </si>
  <si>
    <t>ממשלתית צמודה 07/2026</t>
  </si>
  <si>
    <t>IL0011695645</t>
  </si>
  <si>
    <t>31/07/2026</t>
  </si>
  <si>
    <t>ממשל שקלית שחר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</si>
  <si>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</si>
  <si>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</si>
  <si>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</si>
  <si>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</si>
  <si>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</si>
  <si>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</si>
  <si>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</si>
  <si>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</si>
  <si>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</si>
  <si>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צמודה 0527</t>
  </si>
  <si>
    <t>IL0011408478</t>
  </si>
  <si>
    <t>31/05/2027</t>
  </si>
  <si>
    <t>ממשל צמודה 1028</t>
  </si>
  <si>
    <t>IL0011973265</t>
  </si>
  <si>
    <t>31/10/2028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</si>
  <si>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</si>
  <si>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</si>
  <si>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</si>
  <si>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</si>
  <si>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</si>
  <si>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</si>
  <si>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שקלית 1152</t>
  </si>
  <si>
    <t>IL0011840761</t>
  </si>
  <si>
    <t>29/11/2052</t>
  </si>
  <si>
    <t>US TREASURY N/B</t>
  </si>
  <si>
    <t>T 4 1/4 11/15/3</t>
  </si>
  <si>
    <t>US91282CLW90</t>
  </si>
  <si>
    <t>AA+</t>
  </si>
  <si>
    <t>15/11/2034</t>
  </si>
  <si>
    <t>T 3 7/8 08/15/33</t>
  </si>
  <si>
    <t>US91282CHT18</t>
  </si>
  <si>
    <t>AA</t>
  </si>
  <si>
    <t>15/08/2033</t>
  </si>
  <si>
    <t>T 3 7/8 08/15/34</t>
  </si>
  <si>
    <t>US91282CLF67</t>
  </si>
  <si>
    <t>15/08/2034</t>
  </si>
  <si>
    <t>T 4 02/15/34</t>
  </si>
  <si>
    <t>US91282CJZ59</t>
  </si>
  <si>
    <t>15/02/2034</t>
  </si>
  <si>
    <t>מ.ק.מ.     1215</t>
  </si>
  <si>
    <t>IL0082512174</t>
  </si>
  <si>
    <t>03/12/2025</t>
  </si>
  <si>
    <t>מ.ק.מ. 815</t>
  </si>
  <si>
    <t>IL0082508131</t>
  </si>
  <si>
    <t>06/08/2025</t>
  </si>
  <si>
    <t>ממשל שקלית 0928</t>
  </si>
  <si>
    <t>IL0011508798</t>
  </si>
  <si>
    <t>28/09/2028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</si>
  <si>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</si>
  <si>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</si>
  <si>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</si>
  <si>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</si>
  <si>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</si>
  <si>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</si>
  <si>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715</t>
  </si>
  <si>
    <t>IL0082507141</t>
  </si>
  <si>
    <t>02/07/2025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</si>
  <si>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</si>
  <si>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</si>
  <si>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</si>
  <si>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</si>
  <si>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</si>
  <si>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</si>
  <si>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</si>
  <si>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</si>
  <si>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</si>
  <si>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</si>
  <si>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אגח 49</t>
  </si>
  <si>
    <t>IL0023102820</t>
  </si>
  <si>
    <t>ilAAA</t>
  </si>
  <si>
    <t>23/06/2026</t>
  </si>
  <si>
    <t>מזרחי הנפקות 52</t>
  </si>
  <si>
    <t>IL0023103810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</si>
  <si>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</si>
  <si>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</si>
  <si>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</si>
  <si>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</si>
  <si>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</si>
  <si>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</si>
  <si>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מז טפ הנפק 46</t>
  </si>
  <si>
    <t>IL0023102259</t>
  </si>
  <si>
    <t>28/09/2027</t>
  </si>
  <si>
    <t>מז טפ הנפ אגח61</t>
  </si>
  <si>
    <t>IL0023104644</t>
  </si>
  <si>
    <t>04/12/2026</t>
  </si>
  <si>
    <t>כללביט מימון בע"מ</t>
  </si>
  <si>
    <t>513754069</t>
  </si>
  <si>
    <t>כללביט אגח יא</t>
  </si>
  <si>
    <t>IL0011606477</t>
  </si>
  <si>
    <t>ilAA-</t>
  </si>
  <si>
    <t>מז טפ הנפק 40</t>
  </si>
  <si>
    <t>IL0023101673</t>
  </si>
  <si>
    <t>07/06/2025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</si>
  <si>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</si>
  <si>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</si>
  <si>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</si>
  <si>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</si>
  <si>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</si>
  <si>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</si>
  <si>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כללביט אגח יב</t>
  </si>
  <si>
    <t>IL0011799280</t>
  </si>
  <si>
    <t>31/03/2032</t>
  </si>
  <si>
    <t>בנק הפועלים בע"מ</t>
  </si>
  <si>
    <t>520000118</t>
  </si>
  <si>
    <t>פועלים אגח 203</t>
  </si>
  <si>
    <t>IL0011998684</t>
  </si>
  <si>
    <t>02/12/2030</t>
  </si>
  <si>
    <t>לאומי אגח 186</t>
  </si>
  <si>
    <t>IL0012018391</t>
  </si>
  <si>
    <t>30/11/2033</t>
  </si>
  <si>
    <t>בי קומיוניקיישנס בע"מ</t>
  </si>
  <si>
    <t>512832742</t>
  </si>
  <si>
    <t>בי קומיונק אגחז</t>
  </si>
  <si>
    <t>IL0012109885</t>
  </si>
  <si>
    <t>A3.il</t>
  </si>
  <si>
    <t>30/11/2029</t>
  </si>
  <si>
    <t>חשמל      31</t>
  </si>
  <si>
    <t>IL0060002859</t>
  </si>
  <si>
    <t>20/09/2031</t>
  </si>
  <si>
    <t>ג'י סיטי בע"מ</t>
  </si>
  <si>
    <t>520033234</t>
  </si>
  <si>
    <t>גי סיטי אגח יב</t>
  </si>
  <si>
    <t>IL0012606039</t>
  </si>
  <si>
    <t>30/06/2027</t>
  </si>
  <si>
    <t>כללביט אגח ט</t>
  </si>
  <si>
    <t>IL0011360505</t>
  </si>
  <si>
    <t>31/07/2025</t>
  </si>
  <si>
    <t>חברת גב-ים לקרקעות בע"מ</t>
  </si>
  <si>
    <t>520001736</t>
  </si>
  <si>
    <t>גב ים אגח י</t>
  </si>
  <si>
    <t>IL0075902846</t>
  </si>
  <si>
    <t>ilAA</t>
  </si>
  <si>
    <t>30/06/2035</t>
  </si>
  <si>
    <t>הראל ביטוח מימון והנפקות בע"מ</t>
  </si>
  <si>
    <t>513834200</t>
  </si>
  <si>
    <t>הראל הנפ אגח יב</t>
  </si>
  <si>
    <t>IL0011381634</t>
  </si>
  <si>
    <t>31/12/2028</t>
  </si>
  <si>
    <t>גי סיטי אגח יג</t>
  </si>
  <si>
    <t>IL0012606526</t>
  </si>
  <si>
    <t>30/06/2028</t>
  </si>
  <si>
    <t>הפניקס גיוסי הון (2009)בע"מ</t>
  </si>
  <si>
    <t>514290345</t>
  </si>
  <si>
    <t>פניקס הון אגח ח</t>
  </si>
  <si>
    <t>IL0011398158</t>
  </si>
  <si>
    <t>Aa2.il</t>
  </si>
  <si>
    <t>כלל מימו אגח יג</t>
  </si>
  <si>
    <t>IL0011979205</t>
  </si>
  <si>
    <t>31/07/2034</t>
  </si>
  <si>
    <t>כלל החזקות עסקי ביטוח בע"מ</t>
  </si>
  <si>
    <t>520036120</t>
  </si>
  <si>
    <t>כלל ביטוח אגח ג</t>
  </si>
  <si>
    <t>IL0012013913</t>
  </si>
  <si>
    <t>01/11/2031</t>
  </si>
  <si>
    <t>ירושלים מימון והנפקות (2005) בע"מ</t>
  </si>
  <si>
    <t>513682146</t>
  </si>
  <si>
    <t>ירושליםהנ אגחיט</t>
  </si>
  <si>
    <t>IL0012014333</t>
  </si>
  <si>
    <t>31/01/2031</t>
  </si>
  <si>
    <t>פועלים אגח 201</t>
  </si>
  <si>
    <t>IL0011913451</t>
  </si>
  <si>
    <t>29/11/2032</t>
  </si>
  <si>
    <t>ירושלים הנ אגח טו</t>
  </si>
  <si>
    <t>IL0011617698</t>
  </si>
  <si>
    <t>31/12/2026</t>
  </si>
  <si>
    <t>גי סיטי אגח יד</t>
  </si>
  <si>
    <t>IL0012607367</t>
  </si>
  <si>
    <t>30/09/2031</t>
  </si>
  <si>
    <t>אפי נכסים בע"מ</t>
  </si>
  <si>
    <t>510560188</t>
  </si>
  <si>
    <t>אפי נכסים אגח ח</t>
  </si>
  <si>
    <t>IL0011422313</t>
  </si>
  <si>
    <t>A1.il</t>
  </si>
  <si>
    <t>15/10/2026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</si>
  <si>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</si>
  <si>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</si>
  <si>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</si>
  <si>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</si>
  <si>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</si>
  <si>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</si>
  <si>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פועלים אגח 200</t>
  </si>
  <si>
    <t>IL0066204962</t>
  </si>
  <si>
    <t>09/12/2031</t>
  </si>
  <si>
    <t>איירפורט סיטי בע"מ</t>
  </si>
  <si>
    <t>511659401</t>
  </si>
  <si>
    <t>איירפורט אגח 5</t>
  </si>
  <si>
    <t>IL0011334872</t>
  </si>
  <si>
    <t>פניקס הון אגחטו</t>
  </si>
  <si>
    <t>IL0012019530</t>
  </si>
  <si>
    <t>30/06/2030</t>
  </si>
  <si>
    <t>מז טפ הנ אגח 68</t>
  </si>
  <si>
    <t>IL0012021429</t>
  </si>
  <si>
    <t>25/12/2033</t>
  </si>
  <si>
    <t>מליסרון בע"מ</t>
  </si>
  <si>
    <t>520037789</t>
  </si>
  <si>
    <t>מליסרון אגח י</t>
  </si>
  <si>
    <t>IL0032301900</t>
  </si>
  <si>
    <t>10/07/2025</t>
  </si>
  <si>
    <t>פז חברת הנפט בע"מ</t>
  </si>
  <si>
    <t>510216054</t>
  </si>
  <si>
    <t>פז נפט ו</t>
  </si>
  <si>
    <t>IL0011395428</t>
  </si>
  <si>
    <t>30/11/2028</t>
  </si>
  <si>
    <t>חשמל אגח 29</t>
  </si>
  <si>
    <t>IL0060002362</t>
  </si>
  <si>
    <t>28/02/2026</t>
  </si>
  <si>
    <t>הראל הנפק אגח י</t>
  </si>
  <si>
    <t>IL0011340481</t>
  </si>
  <si>
    <t>אלקטרה בע"מ</t>
  </si>
  <si>
    <t>520028911</t>
  </si>
  <si>
    <t>אלקטרה ד</t>
  </si>
  <si>
    <t>IL0073901493</t>
  </si>
  <si>
    <t>ilA+</t>
  </si>
  <si>
    <t>30/06/2026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</si>
  <si>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</si>
  <si>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</si>
  <si>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</si>
  <si>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</si>
  <si>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</si>
  <si>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</si>
  <si>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</si>
  <si>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</si>
  <si>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</si>
  <si>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</si>
  <si>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פניקס הון אגחיא</t>
  </si>
  <si>
    <t>IL0011593592</t>
  </si>
  <si>
    <t>30/04/2029</t>
  </si>
  <si>
    <t>מגדל ביטוח גיוס הון בע"מ</t>
  </si>
  <si>
    <t>513230029</t>
  </si>
  <si>
    <t>מגדל הון אגח י</t>
  </si>
  <si>
    <t>IL0011920795</t>
  </si>
  <si>
    <t>הראל הנפק יא ש 4.36</t>
  </si>
  <si>
    <t>IL0011363160</t>
  </si>
  <si>
    <t>31/12/2027</t>
  </si>
  <si>
    <t>מרכנתיל הנפקות בע"מ</t>
  </si>
  <si>
    <t>513686154</t>
  </si>
  <si>
    <t>מרכנתיל הנפק אגח ד</t>
  </si>
  <si>
    <t>IL0011713059</t>
  </si>
  <si>
    <t>30/01/2030</t>
  </si>
  <si>
    <t>הפניקס אחזקות בע"מ</t>
  </si>
  <si>
    <t>520017450</t>
  </si>
  <si>
    <t>הפניקס אגח 5</t>
  </si>
  <si>
    <t>IL0076702849</t>
  </si>
  <si>
    <t>01/05/2030</t>
  </si>
  <si>
    <t>מנורה מבטחים החזקות בע"מ</t>
  </si>
  <si>
    <t>520007469</t>
  </si>
  <si>
    <t>מנורה מבטחים החזקות ג</t>
  </si>
  <si>
    <t>IL0056600633</t>
  </si>
  <si>
    <t>30/09/2026</t>
  </si>
  <si>
    <t>מגדל הון אגח יא</t>
  </si>
  <si>
    <t>IL0011975658</t>
  </si>
  <si>
    <t>31/12/2030</t>
  </si>
  <si>
    <t>פז נפט אגח ז</t>
  </si>
  <si>
    <t>IL0011425951</t>
  </si>
  <si>
    <t>30/11/2030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</si>
  <si>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</si>
  <si>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</si>
  <si>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</si>
  <si>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</si>
  <si>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</si>
  <si>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</si>
  <si>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</si>
  <si>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</si>
  <si>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</si>
  <si>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</si>
  <si>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</si>
  <si>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</si>
  <si>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</si>
  <si>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</si>
  <si>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גב ים ח</t>
  </si>
  <si>
    <t>IL0075901517</t>
  </si>
  <si>
    <t>30/06/2034</t>
  </si>
  <si>
    <t>תמר פטרוליום בע"מ</t>
  </si>
  <si>
    <t>515334662</t>
  </si>
  <si>
    <t>תמר פטרו אגח ב</t>
  </si>
  <si>
    <t>IL0011435935</t>
  </si>
  <si>
    <t>30/08/2028</t>
  </si>
  <si>
    <t>פתאל החזקות (1998) בע"מ</t>
  </si>
  <si>
    <t>512607888</t>
  </si>
  <si>
    <t>פתאל החז אגח ג</t>
  </si>
  <si>
    <t>IL0011617854</t>
  </si>
  <si>
    <t>31/08/2031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</si>
  <si>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</si>
  <si>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</si>
  <si>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</si>
  <si>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</si>
  <si>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</si>
  <si>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</si>
  <si>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</si>
  <si>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</si>
  <si>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</si>
  <si>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</si>
  <si>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</si>
  <si>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</si>
  <si>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</si>
  <si>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</si>
  <si>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</si>
  <si>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</si>
  <si>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</si>
  <si>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</si>
  <si>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</si>
  <si>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</si>
  <si>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</si>
  <si>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</si>
  <si>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</si>
  <si>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</si>
  <si>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</si>
  <si>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</si>
  <si>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</si>
  <si>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</si>
  <si>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אמ.ג'י.ג'י (בי.וי.אי) לימיטד</t>
  </si>
  <si>
    <t>1981143</t>
  </si>
  <si>
    <t>אמ.ג'יג'י אגח ב</t>
  </si>
  <si>
    <t>IL0011608119</t>
  </si>
  <si>
    <t>20/09/2025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</si>
  <si>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</si>
  <si>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</si>
  <si>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</si>
  <si>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</si>
  <si>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</si>
  <si>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</si>
  <si>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</si>
  <si>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</si>
  <si>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</si>
  <si>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</si>
  <si>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</si>
  <si>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</si>
  <si>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</si>
  <si>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</si>
  <si>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</si>
  <si>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</si>
  <si>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עזריאלי אגח ה</t>
  </si>
  <si>
    <t>IL0011566036</t>
  </si>
  <si>
    <t>Aa1.il</t>
  </si>
  <si>
    <t>לייטסטון אנטרפרייזס לימיטד</t>
  </si>
  <si>
    <t>1838682</t>
  </si>
  <si>
    <t>לייטסטון אגח ב</t>
  </si>
  <si>
    <t>IL0011607467</t>
  </si>
  <si>
    <t>30/11/2025</t>
  </si>
  <si>
    <t>מגדלי הים התיכון בע"מ</t>
  </si>
  <si>
    <t>512719485</t>
  </si>
  <si>
    <t>מגדלי תיכון אגח ה</t>
  </si>
  <si>
    <t>IL0011685174</t>
  </si>
  <si>
    <t>30/06/2029</t>
  </si>
  <si>
    <t>מימון ישיר קבוצת ישיר (2006) בע"מ</t>
  </si>
  <si>
    <t>513893123</t>
  </si>
  <si>
    <t>מימון ישיר אגח ג</t>
  </si>
  <si>
    <t>IL0011712143</t>
  </si>
  <si>
    <t>31/12/2025</t>
  </si>
  <si>
    <t>ביג אגח יח</t>
  </si>
  <si>
    <t>IL0011742264</t>
  </si>
  <si>
    <t>קבוצת דלק בע"מ</t>
  </si>
  <si>
    <t>520044322</t>
  </si>
  <si>
    <t>דלק קב אגח לז</t>
  </si>
  <si>
    <t>IL0011928897</t>
  </si>
  <si>
    <t>31/01/2029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</si>
  <si>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</si>
  <si>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</si>
  <si>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</si>
  <si>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</si>
  <si>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</si>
  <si>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</si>
  <si>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</si>
  <si>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</si>
  <si>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</si>
  <si>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</si>
  <si>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</si>
  <si>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</si>
  <si>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</si>
  <si>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</si>
  <si>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</si>
  <si>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</si>
  <si>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</si>
  <si>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</si>
  <si>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</si>
  <si>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</si>
  <si>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</si>
  <si>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</si>
  <si>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</si>
  <si>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</si>
  <si>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</si>
  <si>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מליסרון אגח כא</t>
  </si>
  <si>
    <t>IL0011946386</t>
  </si>
  <si>
    <t>01/01/2037</t>
  </si>
  <si>
    <t>דיסק מנ אגח יז</t>
  </si>
  <si>
    <t>IL0012159534</t>
  </si>
  <si>
    <t>אשטרום נכסים בע"מ</t>
  </si>
  <si>
    <t>520036617</t>
  </si>
  <si>
    <t>אשטרום נכ אגח14</t>
  </si>
  <si>
    <t>IL0012018961</t>
  </si>
  <si>
    <t>31/12/2033</t>
  </si>
  <si>
    <t>בתי זקוק לנפט בע"מ</t>
  </si>
  <si>
    <t>520036658</t>
  </si>
  <si>
    <t>בזן אגח יג</t>
  </si>
  <si>
    <t>IL0011953465</t>
  </si>
  <si>
    <t>25/09/2032</t>
  </si>
  <si>
    <t>ירושלים הנ אגח טז</t>
  </si>
  <si>
    <t>IL0011721706</t>
  </si>
  <si>
    <t>אלוני חץ אגח טו</t>
  </si>
  <si>
    <t>IL0011894149</t>
  </si>
  <si>
    <t>אמות השקעות בע"מ</t>
  </si>
  <si>
    <t>520026683</t>
  </si>
  <si>
    <t>אמות אגח ח</t>
  </si>
  <si>
    <t>IL0011727828</t>
  </si>
  <si>
    <t>05/01/2032</t>
  </si>
  <si>
    <t>פועלים אגח 202</t>
  </si>
  <si>
    <t>IL0011998502</t>
  </si>
  <si>
    <t>29/04/2028</t>
  </si>
  <si>
    <t>דליה אגח ב</t>
  </si>
  <si>
    <t>IL0011935983</t>
  </si>
  <si>
    <t>30/09/2034</t>
  </si>
  <si>
    <t>מליסרון אגח יז</t>
  </si>
  <si>
    <t>IL0032302734</t>
  </si>
  <si>
    <t>01/01/2032</t>
  </si>
  <si>
    <t>אמות אגח ז</t>
  </si>
  <si>
    <t>IL0011628661</t>
  </si>
  <si>
    <t>ביג אגח יג</t>
  </si>
  <si>
    <t>IL0011595167</t>
  </si>
  <si>
    <t>25/03/2029</t>
  </si>
  <si>
    <t>נמקו ריאלטי לטד</t>
  </si>
  <si>
    <t>1905761</t>
  </si>
  <si>
    <t>נמקו אגח ה</t>
  </si>
  <si>
    <t>IL0012132143</t>
  </si>
  <si>
    <t>15/04/2040</t>
  </si>
  <si>
    <t>ארפורט אגח יב</t>
  </si>
  <si>
    <t>IL0012115643</t>
  </si>
  <si>
    <t>30/04/2037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</si>
  <si>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</si>
  <si>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</si>
  <si>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</si>
  <si>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</si>
  <si>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</si>
  <si>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אפי נכסים אגחטז</t>
  </si>
  <si>
    <t>IL0012109471</t>
  </si>
  <si>
    <t>הראל הנפק אגח כ</t>
  </si>
  <si>
    <t>IL0012079849</t>
  </si>
  <si>
    <t>כלל ביטוח אגח א</t>
  </si>
  <si>
    <t>IL0011934812</t>
  </si>
  <si>
    <t>28/02/2028</t>
  </si>
  <si>
    <t>מז טפ הנ אגח 66</t>
  </si>
  <si>
    <t>IL0011916678</t>
  </si>
  <si>
    <t>08/12/2031</t>
  </si>
  <si>
    <t>מגה אור אגח יא</t>
  </si>
  <si>
    <t>IL0011783755</t>
  </si>
  <si>
    <t>הכשרת ישוב אג25</t>
  </si>
  <si>
    <t>IL0011915274</t>
  </si>
  <si>
    <t>מז טפ הנ אגח 63</t>
  </si>
  <si>
    <t>IL0023105484</t>
  </si>
  <si>
    <t>12/04/2031</t>
  </si>
  <si>
    <t>ביג אגח כא</t>
  </si>
  <si>
    <t>IL0012022179</t>
  </si>
  <si>
    <t>03/07/2030</t>
  </si>
  <si>
    <t>הכשרת ישוב אג26</t>
  </si>
  <si>
    <t>IL0012056409</t>
  </si>
  <si>
    <t>30/06/2031</t>
  </si>
  <si>
    <t>מקורות חברת מים בע"מ</t>
  </si>
  <si>
    <t>520010869</t>
  </si>
  <si>
    <t>מקורות אג"ח 11</t>
  </si>
  <si>
    <t>IL0011584765</t>
  </si>
  <si>
    <t>31/12/2053</t>
  </si>
  <si>
    <t>מגדלי ים תיכון אגח ו</t>
  </si>
  <si>
    <t>IL0011991242</t>
  </si>
  <si>
    <t>30/06/2032</t>
  </si>
  <si>
    <t>מבני תעשיה בע"מ</t>
  </si>
  <si>
    <t>520024126</t>
  </si>
  <si>
    <t>מבנה אגח כה</t>
  </si>
  <si>
    <t>IL0022606367</t>
  </si>
  <si>
    <t>30/09/2033</t>
  </si>
  <si>
    <t>פתאל אירו אגח ו</t>
  </si>
  <si>
    <t>IL0012192865</t>
  </si>
  <si>
    <t>מגדלי תיכוןאגחז</t>
  </si>
  <si>
    <t>IL0012176942</t>
  </si>
  <si>
    <t>הבינלאומי הראשון הנפקות בע"מ</t>
  </si>
  <si>
    <t>513141879</t>
  </si>
  <si>
    <t>בינל הנפק אגחיב</t>
  </si>
  <si>
    <t>IL0011823858</t>
  </si>
  <si>
    <t>07/12/2027</t>
  </si>
  <si>
    <t>סילברסטין נכסים לימיטד</t>
  </si>
  <si>
    <t>1970336</t>
  </si>
  <si>
    <t>סילברסטין אגח ג</t>
  </si>
  <si>
    <t>IL0012116484</t>
  </si>
  <si>
    <t>נופר אנרג'י</t>
  </si>
  <si>
    <t>514599943</t>
  </si>
  <si>
    <t>נופר אנרג אג ב</t>
  </si>
  <si>
    <t>IL0011980351</t>
  </si>
  <si>
    <t>סלקום ישראל בע"מ</t>
  </si>
  <si>
    <t>511930125</t>
  </si>
  <si>
    <t>סלקום אגח יג</t>
  </si>
  <si>
    <t>IL0011891905</t>
  </si>
  <si>
    <t>05/01/2030</t>
  </si>
  <si>
    <t>אלקטרה אגח ו</t>
  </si>
  <si>
    <t>IL0073902632</t>
  </si>
  <si>
    <t>10/12/2035</t>
  </si>
  <si>
    <t>דיסק מנ אגח טו</t>
  </si>
  <si>
    <t>IL0074803045</t>
  </si>
  <si>
    <t>15/08/2032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</si>
  <si>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</si>
  <si>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</si>
  <si>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</si>
  <si>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</si>
  <si>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</si>
  <si>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חשמל אגח 32</t>
  </si>
  <si>
    <t>IL0060003840</t>
  </si>
  <si>
    <t>22/07/2027</t>
  </si>
  <si>
    <t>עזריאלי קבוצה ד</t>
  </si>
  <si>
    <t>IL0011386500</t>
  </si>
  <si>
    <t>05/07/2030</t>
  </si>
  <si>
    <t>אלוני חץ אגח יב</t>
  </si>
  <si>
    <t>IL0039004952</t>
  </si>
  <si>
    <t>28/02/2031</t>
  </si>
  <si>
    <t>אשטרום נכ אגח 9</t>
  </si>
  <si>
    <t>IL0025101705</t>
  </si>
  <si>
    <t>01/10/2029</t>
  </si>
  <si>
    <t>ריט 1 בע"מ</t>
  </si>
  <si>
    <t>513821488</t>
  </si>
  <si>
    <t>ריט 1 אגח ז</t>
  </si>
  <si>
    <t>IL0011712713</t>
  </si>
  <si>
    <t>20/09/2034</t>
  </si>
  <si>
    <t>אלקטרה אגח ה</t>
  </si>
  <si>
    <t>IL0073902228</t>
  </si>
  <si>
    <t>10/01/2031</t>
  </si>
  <si>
    <t>ישראמקו נגב 2 שותפות מוגבלת</t>
  </si>
  <si>
    <t>550010003</t>
  </si>
  <si>
    <t>ישראמקו אגח ג</t>
  </si>
  <si>
    <t>IL0023202323</t>
  </si>
  <si>
    <t>10/10/2030</t>
  </si>
  <si>
    <t>אשטרום נכס10</t>
  </si>
  <si>
    <t>IL0025102042</t>
  </si>
  <si>
    <t>01/01/2028</t>
  </si>
  <si>
    <t>מניף-שירותים פיננסיים בע"מ</t>
  </si>
  <si>
    <t>512764408</t>
  </si>
  <si>
    <t>מניף אגח א</t>
  </si>
  <si>
    <t>IL0011858839</t>
  </si>
  <si>
    <t>גב ים אגח ט</t>
  </si>
  <si>
    <t>IL0075902192</t>
  </si>
  <si>
    <t>30/06/2033</t>
  </si>
  <si>
    <t>נופר אנרג אגח ג</t>
  </si>
  <si>
    <t>IL0011980435</t>
  </si>
  <si>
    <t>צור שמיר אחזקות בע"מ</t>
  </si>
  <si>
    <t>520025586</t>
  </si>
  <si>
    <t>צור אגח י</t>
  </si>
  <si>
    <t>IL0073001716</t>
  </si>
  <si>
    <t>ווסטדייל אמריקה לימיטד</t>
  </si>
  <si>
    <t>1991033</t>
  </si>
  <si>
    <t>ווסטדייל אגח ב</t>
  </si>
  <si>
    <t>IL0011613226</t>
  </si>
  <si>
    <t>31/07/2028</t>
  </si>
  <si>
    <t>מבני תעשיה טז</t>
  </si>
  <si>
    <t>IL0022604388</t>
  </si>
  <si>
    <t>הכשרת ישוב22</t>
  </si>
  <si>
    <t>IL0061202409</t>
  </si>
  <si>
    <t>אקויטל בע"מ</t>
  </si>
  <si>
    <t>520030859</t>
  </si>
  <si>
    <t>אקויטל אגח 4</t>
  </si>
  <si>
    <t>IL0011976078</t>
  </si>
  <si>
    <t>25/07/2036</t>
  </si>
  <si>
    <t>רבוע כחול נדל"ן בע"מ</t>
  </si>
  <si>
    <t>513765859</t>
  </si>
  <si>
    <t>רבוע כחול נדל"ן ז</t>
  </si>
  <si>
    <t>IL0011406159</t>
  </si>
  <si>
    <t>30/11/2026</t>
  </si>
  <si>
    <t>שפיר הנדסה ותעשיה בע"מ</t>
  </si>
  <si>
    <t>514892801</t>
  </si>
  <si>
    <t>שפיר הנדסה ב</t>
  </si>
  <si>
    <t>IL0011419517</t>
  </si>
  <si>
    <t>אלקטרה נדל"ן בע"מ</t>
  </si>
  <si>
    <t>510607328</t>
  </si>
  <si>
    <t>אלקטרהנדלן אגח ו</t>
  </si>
  <si>
    <t>IL0011745648</t>
  </si>
  <si>
    <t>30/05/2030</t>
  </si>
  <si>
    <t>מליסרון אגח יא</t>
  </si>
  <si>
    <t>IL0032302080</t>
  </si>
  <si>
    <t>גב ים אגח ו</t>
  </si>
  <si>
    <t>IL0075901285</t>
  </si>
  <si>
    <t>31/03/2026</t>
  </si>
  <si>
    <t>חברת פרטנר תקשורת בע"מ</t>
  </si>
  <si>
    <t>520044314</t>
  </si>
  <si>
    <t>פרטנר אגח ז</t>
  </si>
  <si>
    <t>IL0011563975</t>
  </si>
  <si>
    <t>25/06/2027</t>
  </si>
  <si>
    <t>מבני תעש אגח כג</t>
  </si>
  <si>
    <t>IL0022605450</t>
  </si>
  <si>
    <t>איי.די.איי הנפקות (2010) בע"מ</t>
  </si>
  <si>
    <t>514486042</t>
  </si>
  <si>
    <t>איי די איי ה שה</t>
  </si>
  <si>
    <t>IL0011558785</t>
  </si>
  <si>
    <t>15/11/2025</t>
  </si>
  <si>
    <t>ביג אג"ח ז</t>
  </si>
  <si>
    <t>IL0011360844</t>
  </si>
  <si>
    <t>10/05/2025</t>
  </si>
  <si>
    <t>וילאר אינטרנשיונל בע"מ</t>
  </si>
  <si>
    <t>520038910</t>
  </si>
  <si>
    <t>וילאר     אגח ח</t>
  </si>
  <si>
    <t>IL0041601563</t>
  </si>
  <si>
    <t>27/06/2025</t>
  </si>
  <si>
    <t>DEMETER(SWISS RE LTD(</t>
  </si>
  <si>
    <t>724500RPEZI5VVQQWE89</t>
  </si>
  <si>
    <t>SRENVX 5 5/8 08/15/52</t>
  </si>
  <si>
    <t>XS1423777215</t>
  </si>
  <si>
    <t>BBB+</t>
  </si>
  <si>
    <t>15/08/2052</t>
  </si>
  <si>
    <t>נמקו אגח ב</t>
  </si>
  <si>
    <t>IL0011602583</t>
  </si>
  <si>
    <t>15/10/2032</t>
  </si>
  <si>
    <t>עזריאלי אגח ב</t>
  </si>
  <si>
    <t>IL0011344368</t>
  </si>
  <si>
    <t>01/04/2025</t>
  </si>
  <si>
    <t>חברת נמלי ישראל-פיתוח נכסים בע"מ</t>
  </si>
  <si>
    <t>513569780</t>
  </si>
  <si>
    <t>נמלי ישראל אגחא</t>
  </si>
  <si>
    <t>IL0011455644</t>
  </si>
  <si>
    <t>סאפיינס אינטרנשיונל קורפוריישן N.V</t>
  </si>
  <si>
    <t>53368</t>
  </si>
  <si>
    <t>סאפיינס אג"ח ב</t>
  </si>
  <si>
    <t>IL0011419368</t>
  </si>
  <si>
    <t>01/01/2026</t>
  </si>
  <si>
    <t>לאומי</t>
  </si>
  <si>
    <t>IL0006046119</t>
  </si>
  <si>
    <t>פועלים</t>
  </si>
  <si>
    <t>IL0006625771</t>
  </si>
  <si>
    <t>טבע תעשיות פרמצבטיות בע"מ</t>
  </si>
  <si>
    <t>520013954</t>
  </si>
  <si>
    <t>טבע</t>
  </si>
  <si>
    <t>IL0006290147</t>
  </si>
  <si>
    <t>נאוויטס מ"ר</t>
  </si>
  <si>
    <t>IL0011419699</t>
  </si>
  <si>
    <t>נייס בע"מ</t>
  </si>
  <si>
    <t>520036872</t>
  </si>
  <si>
    <t>נייס</t>
  </si>
  <si>
    <t>IL0002730112</t>
  </si>
  <si>
    <t>אלביט מערכות בע"מ</t>
  </si>
  <si>
    <t>520043027</t>
  </si>
  <si>
    <t>אלביט מערכות</t>
  </si>
  <si>
    <t>IL0010811243</t>
  </si>
  <si>
    <t>הבנק הבינלאומי הראשון לישראל בע"מ</t>
  </si>
  <si>
    <t>520029083</t>
  </si>
  <si>
    <t>בינלאומי</t>
  </si>
  <si>
    <t>IL0005930388</t>
  </si>
  <si>
    <t>בנק מזרחי טפחות בע"מ</t>
  </si>
  <si>
    <t>520000522</t>
  </si>
  <si>
    <t>מזרחי טפחות</t>
  </si>
  <si>
    <t>IL0006954379</t>
  </si>
  <si>
    <t>בנק דיסקונט לישראל בע"מ</t>
  </si>
  <si>
    <t>520007030</t>
  </si>
  <si>
    <t>דיסקונט א</t>
  </si>
  <si>
    <t>IL0006912120</t>
  </si>
  <si>
    <t>איי.סי.אל גרופ בע"מ</t>
  </si>
  <si>
    <t>520027830</t>
  </si>
  <si>
    <t>איי.סי.אל</t>
  </si>
  <si>
    <t>IL0002810146</t>
  </si>
  <si>
    <t>מליסרון</t>
  </si>
  <si>
    <t>IL0003230146</t>
  </si>
  <si>
    <t>עזריאלי קבוצה</t>
  </si>
  <si>
    <t>IL0011194789</t>
  </si>
  <si>
    <t>פניקס 1</t>
  </si>
  <si>
    <t>IL0007670123</t>
  </si>
  <si>
    <t>אנלייט אנרגיה מתחדשת בע"מ</t>
  </si>
  <si>
    <t>520041146</t>
  </si>
  <si>
    <t>אנלייט אנרגיה</t>
  </si>
  <si>
    <t>IL0007200111</t>
  </si>
  <si>
    <t>כלל עסקי ביטוח</t>
  </si>
  <si>
    <t>IL0002240146</t>
  </si>
  <si>
    <t>אורמת טכנולוגיות, אינק</t>
  </si>
  <si>
    <t>880326081</t>
  </si>
  <si>
    <t>אורמת טכנו</t>
  </si>
  <si>
    <t>US6866881021</t>
  </si>
  <si>
    <t>זפירוס ווינג אנרג'יס בע"מ</t>
  </si>
  <si>
    <t>516537560</t>
  </si>
  <si>
    <t>זפירוס</t>
  </si>
  <si>
    <t>IL0011946956</t>
  </si>
  <si>
    <t>נקסט ויז'ן מערכות מיוצבות בע"מ</t>
  </si>
  <si>
    <t>514259019</t>
  </si>
  <si>
    <t>נקסט ויז'ן</t>
  </si>
  <si>
    <t>IL0011765935</t>
  </si>
  <si>
    <t>ביג</t>
  </si>
  <si>
    <t>IL0010972607</t>
  </si>
  <si>
    <t>קיסטון ריט בע"מ</t>
  </si>
  <si>
    <t>515983476</t>
  </si>
  <si>
    <t>קיסטון אינפרא</t>
  </si>
  <si>
    <t>IL0011759342</t>
  </si>
  <si>
    <t>מנועי בית שמש אחזקות (1997) בע"מ</t>
  </si>
  <si>
    <t>520043480</t>
  </si>
  <si>
    <t>בית שמש</t>
  </si>
  <si>
    <t>IL0010815616</t>
  </si>
  <si>
    <t>קבוצת אקרשטיין בע"מ</t>
  </si>
  <si>
    <t>512714494</t>
  </si>
  <si>
    <t>קבוצת אקרשטיין</t>
  </si>
  <si>
    <t>IL0011762056</t>
  </si>
  <si>
    <t>אנרג'יאן נפט וגז פי אל סי</t>
  </si>
  <si>
    <t>549300RVMKU0CYUZBB05</t>
  </si>
  <si>
    <t>אנרג'יאן</t>
  </si>
  <si>
    <t>GB00BG12Y042</t>
  </si>
  <si>
    <t>מנורה מב החז</t>
  </si>
  <si>
    <t>IL0005660183</t>
  </si>
  <si>
    <t>IL0011708778</t>
  </si>
  <si>
    <t>בזק</t>
  </si>
  <si>
    <t>IL0002300114</t>
  </si>
  <si>
    <t>אלקטרה</t>
  </si>
  <si>
    <t>IL0007390375</t>
  </si>
  <si>
    <t>שפיר הנדסה</t>
  </si>
  <si>
    <t>IL0011338758</t>
  </si>
  <si>
    <t>סלקום</t>
  </si>
  <si>
    <t>IL0011015349</t>
  </si>
  <si>
    <t>הראל השקעות</t>
  </si>
  <si>
    <t>IL0005850180</t>
  </si>
  <si>
    <t>תאת טכנולוגיות בע"מ</t>
  </si>
  <si>
    <t>520035791</t>
  </si>
  <si>
    <t>תאת טכנו</t>
  </si>
  <si>
    <t>IL0010827264</t>
  </si>
  <si>
    <t>הכשרת הישוב</t>
  </si>
  <si>
    <t>IL0006120104</t>
  </si>
  <si>
    <t>תומר תמלוגי אנרגיה (2012) בע"מ</t>
  </si>
  <si>
    <t>514837111</t>
  </si>
  <si>
    <t>תומר אנרגיה</t>
  </si>
  <si>
    <t>IL0011294936</t>
  </si>
  <si>
    <t>סלע נדלן</t>
  </si>
  <si>
    <t>IL0011096448</t>
  </si>
  <si>
    <t>פרטנר</t>
  </si>
  <si>
    <t>IL0010834849</t>
  </si>
  <si>
    <t>מטריקס אי.טי בע"מ</t>
  </si>
  <si>
    <t>520039413</t>
  </si>
  <si>
    <t>מטריקס</t>
  </si>
  <si>
    <t>IL0004450156</t>
  </si>
  <si>
    <t>מגדלי תיכון</t>
  </si>
  <si>
    <t>IL0011315236</t>
  </si>
  <si>
    <t>שטראוס גרופ בע"מ</t>
  </si>
  <si>
    <t>520003781</t>
  </si>
  <si>
    <t>שטראוס</t>
  </si>
  <si>
    <t>IL0007460160</t>
  </si>
  <si>
    <t>מ. יוחננוף ובניו (1988) בע"מ</t>
  </si>
  <si>
    <t>511344186</t>
  </si>
  <si>
    <t>יוחננוף</t>
  </si>
  <si>
    <t>IL0011612640</t>
  </si>
  <si>
    <t>ג'נריישן קפיטל בע"מ</t>
  </si>
  <si>
    <t>515846558</t>
  </si>
  <si>
    <t>ג'נריישן קפיטל</t>
  </si>
  <si>
    <t>IL0011569261</t>
  </si>
  <si>
    <t>חברה לישראל</t>
  </si>
  <si>
    <t>IL0005760173</t>
  </si>
  <si>
    <t>שופרסל</t>
  </si>
  <si>
    <t>IL0007770378</t>
  </si>
  <si>
    <t>מגה אור</t>
  </si>
  <si>
    <t>IL0011044885</t>
  </si>
  <si>
    <t>או פי סי אנרגיה</t>
  </si>
  <si>
    <t>IL0011415713</t>
  </si>
  <si>
    <t>פז נפט</t>
  </si>
  <si>
    <t>IL0011000077</t>
  </si>
  <si>
    <t>בזן</t>
  </si>
  <si>
    <t>IL0025902482</t>
  </si>
  <si>
    <t>קבוצת אשטרום בע"מ</t>
  </si>
  <si>
    <t>510381601</t>
  </si>
  <si>
    <t>אשטרום קבוצה</t>
  </si>
  <si>
    <t>IL0011323156</t>
  </si>
  <si>
    <t>מקס סטוק בע"מ</t>
  </si>
  <si>
    <t>513618967</t>
  </si>
  <si>
    <t>מקס סטוק</t>
  </si>
  <si>
    <t>IL0011685588</t>
  </si>
  <si>
    <t>פורמולה מערכות (1985)בע"מ</t>
  </si>
  <si>
    <t>520036690</t>
  </si>
  <si>
    <t>פורמולה מערכות</t>
  </si>
  <si>
    <t>IL0002560162</t>
  </si>
  <si>
    <t>וואן טכנולוגיות תוכנה בע"מ</t>
  </si>
  <si>
    <t>520034695</t>
  </si>
  <si>
    <t>וואן טכנולוגיות</t>
  </si>
  <si>
    <t>IL0001610182</t>
  </si>
  <si>
    <t>מבני תעשיה</t>
  </si>
  <si>
    <t>IL0002260193</t>
  </si>
  <si>
    <t>חילן בע"מ</t>
  </si>
  <si>
    <t>520039942</t>
  </si>
  <si>
    <t>חילן</t>
  </si>
  <si>
    <t>IL0010846983</t>
  </si>
  <si>
    <t>דלתא-גליל תעשיות בע"מ</t>
  </si>
  <si>
    <t>520025602</t>
  </si>
  <si>
    <t>דלתא גליל</t>
  </si>
  <si>
    <t>IL0006270347</t>
  </si>
  <si>
    <t>איירפורט סיטי</t>
  </si>
  <si>
    <t>IL0010958358</t>
  </si>
  <si>
    <t>טיב טעם הולדינגס 1 בע"מ</t>
  </si>
  <si>
    <t>520041187</t>
  </si>
  <si>
    <t>טיב טעם</t>
  </si>
  <si>
    <t>IL0001030100</t>
  </si>
  <si>
    <t>אאורה השקעות בע"מ</t>
  </si>
  <si>
    <t>520038274</t>
  </si>
  <si>
    <t>אאורה</t>
  </si>
  <si>
    <t>IL0003730194</t>
  </si>
  <si>
    <t>אספן גרופ בע"מ</t>
  </si>
  <si>
    <t>520037540</t>
  </si>
  <si>
    <t>אספן גרופ</t>
  </si>
  <si>
    <t>IL0003130155</t>
  </si>
  <si>
    <t>ורידיס</t>
  </si>
  <si>
    <t>515935807</t>
  </si>
  <si>
    <t>IL0011763872</t>
  </si>
  <si>
    <t>ישראמקו יהש</t>
  </si>
  <si>
    <t>IL0002320179</t>
  </si>
  <si>
    <t>הולמס פלייס אינטרנשיונל בע"מ</t>
  </si>
  <si>
    <t>512466723</t>
  </si>
  <si>
    <t>IL0011425878</t>
  </si>
  <si>
    <t>פולירם תעשיות פלסטיק בע"מ</t>
  </si>
  <si>
    <t>515251593</t>
  </si>
  <si>
    <t>פולירם</t>
  </si>
  <si>
    <t>IL0011702169</t>
  </si>
  <si>
    <t>ארגו פרופרטיז אן.וי.</t>
  </si>
  <si>
    <t>70252750</t>
  </si>
  <si>
    <t>ארגו פרופרטיז</t>
  </si>
  <si>
    <t>NR0015000D84</t>
  </si>
  <si>
    <t>אזורים-חברה להשקעות בפתוח ובבנין בע"מ</t>
  </si>
  <si>
    <t>520025990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</si>
  <si>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</si>
  <si>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</si>
  <si>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</si>
  <si>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</si>
  <si>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</si>
  <si>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</si>
  <si>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פ.י.ב.י. אחזקות בע"מ</t>
  </si>
  <si>
    <t>520029026</t>
  </si>
  <si>
    <t>פיבי</t>
  </si>
  <si>
    <t>IL0007630119</t>
  </si>
  <si>
    <t>אורביט טכנולוג'יס בע"מ</t>
  </si>
  <si>
    <t>520036153</t>
  </si>
  <si>
    <t>אורביט</t>
  </si>
  <si>
    <t>IL0002650179</t>
  </si>
  <si>
    <t>הכשרת הישוב התחדשות עירונית ישראל בע"מ</t>
  </si>
  <si>
    <t>514423474</t>
  </si>
  <si>
    <t>הכשרה אנרגיה</t>
  </si>
  <si>
    <t>IL0011214744</t>
  </si>
  <si>
    <t>דלתא ישראל מותגים בע"מ</t>
  </si>
  <si>
    <t>516250107</t>
  </si>
  <si>
    <t>דלתא מותגים</t>
  </si>
  <si>
    <t>IL0011736993</t>
  </si>
  <si>
    <t>אלומה קרן תשתיות (2020) בע"מ</t>
  </si>
  <si>
    <t>516214871</t>
  </si>
  <si>
    <t>אלומה תשתיות</t>
  </si>
  <si>
    <t>IL0011816431</t>
  </si>
  <si>
    <t>איילון אחזקות בע"מ</t>
  </si>
  <si>
    <t>520030677</t>
  </si>
  <si>
    <t>איילון</t>
  </si>
  <si>
    <t>IL0002090152</t>
  </si>
  <si>
    <t>ריט 1</t>
  </si>
  <si>
    <t>IL0010989205</t>
  </si>
  <si>
    <t>אקרו</t>
  </si>
  <si>
    <t>IL0011849028</t>
  </si>
  <si>
    <t>סאמיט אחזקות נדל"ן בע"מ</t>
  </si>
  <si>
    <t>520043720</t>
  </si>
  <si>
    <t>סאמיט</t>
  </si>
  <si>
    <t>IL0010816861</t>
  </si>
  <si>
    <t>אמות</t>
  </si>
  <si>
    <t>IL0010972789</t>
  </si>
  <si>
    <t>אנרג'יקס-אנרגיות מתחדשות בע"מ</t>
  </si>
  <si>
    <t>513901371</t>
  </si>
  <si>
    <t>אנרג'יקס</t>
  </si>
  <si>
    <t>IL0011233553</t>
  </si>
  <si>
    <t>תדיראן הולדינגס בע"מ</t>
  </si>
  <si>
    <t>520036732</t>
  </si>
  <si>
    <t>תדיראן גרופ</t>
  </si>
  <si>
    <t>IL0002580129</t>
  </si>
  <si>
    <t>פריון נטוורק בע"מ</t>
  </si>
  <si>
    <t>512849498</t>
  </si>
  <si>
    <t>פריון נטוורק</t>
  </si>
  <si>
    <t>IL0010958192</t>
  </si>
  <si>
    <t>מניבים קרן הריט החדשה בע"מ</t>
  </si>
  <si>
    <t>515327120</t>
  </si>
  <si>
    <t>מניבים ריט</t>
  </si>
  <si>
    <t>IL0011405730</t>
  </si>
  <si>
    <t>ריט אזורים - ה.פ ליווינג בע"מ</t>
  </si>
  <si>
    <t>516117181</t>
  </si>
  <si>
    <t>ריט אזורים ליוי</t>
  </si>
  <si>
    <t>IL0011627754</t>
  </si>
  <si>
    <t>אוברסיז קומרס בע"מ</t>
  </si>
  <si>
    <t>510490071</t>
  </si>
  <si>
    <t>אוברסיז</t>
  </si>
  <si>
    <t>IL0011396178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</si>
  <si>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</si>
  <si>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</si>
  <si>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</si>
  <si>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</si>
  <si>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</si>
  <si>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</si>
  <si>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</si>
  <si>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</si>
  <si>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פז בית זיקוק לנפט-אשדוד בע"מ</t>
  </si>
  <si>
    <t>513775163</t>
  </si>
  <si>
    <t>בזא</t>
  </si>
  <si>
    <t>IL0011989105</t>
  </si>
  <si>
    <t>מהדרין בע"מ</t>
  </si>
  <si>
    <t>520018482</t>
  </si>
  <si>
    <t>מהדרין</t>
  </si>
  <si>
    <t>IL0006860147</t>
  </si>
  <si>
    <t>אקוואריוס מנועים (א.מ) בע"מ</t>
  </si>
  <si>
    <t>515114429</t>
  </si>
  <si>
    <t>אקוואריוס מנוע</t>
  </si>
  <si>
    <t>IL0011702409</t>
  </si>
  <si>
    <t>איידנטי הלת'קייר בע"מ</t>
  </si>
  <si>
    <t>515679405</t>
  </si>
  <si>
    <t>איידנטי</t>
  </si>
  <si>
    <t>IL0011774507</t>
  </si>
  <si>
    <t>ביונד תלת מימד בע"מ</t>
  </si>
  <si>
    <t>514669506</t>
  </si>
  <si>
    <t>ביונ תלת מימד</t>
  </si>
  <si>
    <t>IL0011755613</t>
  </si>
  <si>
    <t>סיפיה ווז'ן בע"מ</t>
  </si>
  <si>
    <t>513476010</t>
  </si>
  <si>
    <t>סיפיה וויז'ן</t>
  </si>
  <si>
    <t>IL0011819328</t>
  </si>
  <si>
    <t>יומן אקסטנשנס בע"מ</t>
  </si>
  <si>
    <t>514707736</t>
  </si>
  <si>
    <t>יומן אקסטנשנס</t>
  </si>
  <si>
    <t>IL0011700007</t>
  </si>
  <si>
    <t>יוטרון בע"מ</t>
  </si>
  <si>
    <t>515883809</t>
  </si>
  <si>
    <t>יוטרון</t>
  </si>
  <si>
    <t>IL0011571143</t>
  </si>
  <si>
    <t>Microsoft Corp</t>
  </si>
  <si>
    <t>INR2E1N1ERAN0W5ZP974</t>
  </si>
  <si>
    <t>US5949181045</t>
  </si>
  <si>
    <t>Visa</t>
  </si>
  <si>
    <t>549300JZ40KEHW3DPJ59</t>
  </si>
  <si>
    <t>VISA INC</t>
  </si>
  <si>
    <t>US92826C8394</t>
  </si>
  <si>
    <t>Amazon.com Inc</t>
  </si>
  <si>
    <t>ZXTILKJKG63JEL0EG630</t>
  </si>
  <si>
    <t>US0231351067</t>
  </si>
  <si>
    <t>FACEBOOK</t>
  </si>
  <si>
    <t>BQ4BKCS1HXDV9HN80Z93</t>
  </si>
  <si>
    <t>US30303M1027</t>
  </si>
  <si>
    <t>NVIDIA CORP</t>
  </si>
  <si>
    <t>549300S4KLFTL07GSQ80</t>
  </si>
  <si>
    <t>US67066G1040</t>
  </si>
  <si>
    <t>NEXTERA ENERGY INC</t>
  </si>
  <si>
    <t>254900RHL9MEUS5NKX63</t>
  </si>
  <si>
    <t>US65339F1012</t>
  </si>
  <si>
    <t>סלברייט די.איי בע"מ</t>
  </si>
  <si>
    <t>512766577</t>
  </si>
  <si>
    <t>CELLEBRITE DI LTD</t>
  </si>
  <si>
    <t>IL0011794802</t>
  </si>
  <si>
    <t>Google Inc</t>
  </si>
  <si>
    <t>5493006MHB84DD0ZWV18</t>
  </si>
  <si>
    <t>ALPHABET INC CLAS C</t>
  </si>
  <si>
    <t>US02079K1079</t>
  </si>
  <si>
    <t>ADOBE SYSTEMS INC</t>
  </si>
  <si>
    <t>FU4LY2G4933NH2E1CP29</t>
  </si>
  <si>
    <t>US00724F1012</t>
  </si>
  <si>
    <t>CARRIER GLOBAL CORP</t>
  </si>
  <si>
    <t>549300JE3W6CWY2NAN77</t>
  </si>
  <si>
    <t>US14448C1045</t>
  </si>
  <si>
    <t>semiconductor</t>
  </si>
  <si>
    <t>549300KB6NK5SBD14S87</t>
  </si>
  <si>
    <t>Taiwan Semiconductor Manufactu</t>
  </si>
  <si>
    <t>US8740391003</t>
  </si>
  <si>
    <t>KKR &amp; CO LP</t>
  </si>
  <si>
    <t>54930013V5I303TF9571</t>
  </si>
  <si>
    <t>KKR &amp; CO INC</t>
  </si>
  <si>
    <t>US48251W1045</t>
  </si>
  <si>
    <t>MASTERCARD INC</t>
  </si>
  <si>
    <t>AR5L20DV9HN37376R084</t>
  </si>
  <si>
    <t>MASTERCARDINC CLASS</t>
  </si>
  <si>
    <t>US57636Q1040</t>
  </si>
  <si>
    <t>ברקשייר הטוויי אינק-סל ב</t>
  </si>
  <si>
    <t>5493000C01ZX7D35SD85</t>
  </si>
  <si>
    <t>BERKSHIRE HATHAWAY INC-CL B</t>
  </si>
  <si>
    <t>US0846707026</t>
  </si>
  <si>
    <t>Avago Technologies Ltd</t>
  </si>
  <si>
    <t>549300WV6GIDOZJTV909</t>
  </si>
  <si>
    <t>SG9999006241</t>
  </si>
  <si>
    <t>טאואר סמיקונדקטור בע"מ</t>
  </si>
  <si>
    <t>520041997</t>
  </si>
  <si>
    <t>טאואר סמי קונדוקטור TSEM</t>
  </si>
  <si>
    <t>IL0010823792</t>
  </si>
  <si>
    <t>LVMH MOET HENNESSY LOUIS VUITT</t>
  </si>
  <si>
    <t>I0G4E9470ATN0KJYSD45</t>
  </si>
  <si>
    <t>LVMH MOET HENNESSY LOUIS VUI</t>
  </si>
  <si>
    <t>FR0000121014</t>
  </si>
  <si>
    <t>PALO ALTO NETWORKS INC</t>
  </si>
  <si>
    <t>549300QXR2YVZV231H43</t>
  </si>
  <si>
    <t>US6974351057</t>
  </si>
  <si>
    <t>Apple Inc</t>
  </si>
  <si>
    <t>HWUPKR0MP0U8FGXBT394</t>
  </si>
  <si>
    <t>US0378331005</t>
  </si>
  <si>
    <t>COSTCO WHOLESALE CORP</t>
  </si>
  <si>
    <t>29DX7H14B9S603FD6V18</t>
  </si>
  <si>
    <t>US22160K1051</t>
  </si>
  <si>
    <t>ARCOS DORADOS HOLDINGS INC</t>
  </si>
  <si>
    <t>5299004LW4QWGZUB8Y96</t>
  </si>
  <si>
    <t>BLACKSTONE GROUP INC/THE-A</t>
  </si>
  <si>
    <t>US09260D1072</t>
  </si>
  <si>
    <t>נובה מכשירי מדידה בע"מ</t>
  </si>
  <si>
    <t>511812463</t>
  </si>
  <si>
    <t>Nova Measuring Instrument</t>
  </si>
  <si>
    <t>IL0010845571</t>
  </si>
  <si>
    <t>HERMES INTERNATIONAL</t>
  </si>
  <si>
    <t>969500U4YNVPIDMF7051</t>
  </si>
  <si>
    <t>FR0000052292</t>
  </si>
  <si>
    <t>WAL-MART STORES</t>
  </si>
  <si>
    <t>Y87794H0US1R65VBXU25</t>
  </si>
  <si>
    <t>Wal-Mart Stores Inc</t>
  </si>
  <si>
    <t>US9311421039</t>
  </si>
  <si>
    <t>SALESFORCE.COM</t>
  </si>
  <si>
    <t>RCGZFPDMRW58VJ54VR07</t>
  </si>
  <si>
    <t>US79466L3024</t>
  </si>
  <si>
    <t>ALPHABET</t>
  </si>
  <si>
    <t>US02079K3059</t>
  </si>
  <si>
    <t>EATON CORP PLC</t>
  </si>
  <si>
    <t>549300VDIGTMXUNT7H71</t>
  </si>
  <si>
    <t>IE00B8KQN827</t>
  </si>
  <si>
    <t>SAP GY</t>
  </si>
  <si>
    <t>529900 D6BF99LW9R2E68</t>
  </si>
  <si>
    <t>SAP AG-SPONSORED</t>
  </si>
  <si>
    <t>DE0007164600</t>
  </si>
  <si>
    <t>Oracle Corp</t>
  </si>
  <si>
    <t>5099</t>
  </si>
  <si>
    <t>US68389X1054</t>
  </si>
  <si>
    <t>CYBERARK SOFTWARE LTD</t>
  </si>
  <si>
    <t>512291642</t>
  </si>
  <si>
    <t>IL0011334468</t>
  </si>
  <si>
    <t>GLAXOSMITHKLINE CAP INC</t>
  </si>
  <si>
    <t>5493000HZTVUYL01D793</t>
  </si>
  <si>
    <t>GlaxoSmithKline PLC</t>
  </si>
  <si>
    <t>US37733W1053</t>
  </si>
  <si>
    <t>APPLIED MATERIALS INC</t>
  </si>
  <si>
    <t>41BNNE1AFPNAZELZ6K07</t>
  </si>
  <si>
    <t>US0382221051</t>
  </si>
  <si>
    <t>Wix</t>
  </si>
  <si>
    <t>513881177</t>
  </si>
  <si>
    <t>WIX.COM LTD</t>
  </si>
  <si>
    <t>IL0011301780</t>
  </si>
  <si>
    <t>ELI LILLY CO</t>
  </si>
  <si>
    <t>FRDRIPF3EKND32CQJL29</t>
  </si>
  <si>
    <t>US5324571083</t>
  </si>
  <si>
    <t>VERTIV HOLDINGS CO-A</t>
  </si>
  <si>
    <t>549300KTTIRA0GXCRV69</t>
  </si>
  <si>
    <t>US92537N1081</t>
  </si>
  <si>
    <t>PROLOGIS INC</t>
  </si>
  <si>
    <t>529900DFH19P073LZ636</t>
  </si>
  <si>
    <t>US74340W1036</t>
  </si>
  <si>
    <t>HARBOURVEST GLOBAL PRIVA</t>
  </si>
  <si>
    <t>5493001MCDH7I6NIXC24</t>
  </si>
  <si>
    <t>GG00BR30MJ80</t>
  </si>
  <si>
    <t>UBER TECHNOLOGIES INC</t>
  </si>
  <si>
    <t>549300B2FTG34FILDR98</t>
  </si>
  <si>
    <t>US90353T1007</t>
  </si>
  <si>
    <t>NIKE Inc</t>
  </si>
  <si>
    <t>787RXPR0UX000XUXPZ81</t>
  </si>
  <si>
    <t>US6541061031</t>
  </si>
  <si>
    <t>L`OREAL</t>
  </si>
  <si>
    <t>5299003I1GG6F7RKVI53</t>
  </si>
  <si>
    <t>L'OREAL</t>
  </si>
  <si>
    <t>FR0000120321</t>
  </si>
  <si>
    <t>Nice Systems Ltd</t>
  </si>
  <si>
    <t>US6536561086</t>
  </si>
  <si>
    <t>Teva Pharmaceutical Industries</t>
  </si>
  <si>
    <t>US8816242098</t>
  </si>
  <si>
    <t>SNOWFLAKE INC</t>
  </si>
  <si>
    <t>254900CJNSY1K7T53Z16</t>
  </si>
  <si>
    <t>SNOWFLAKE INC-CLASS A</t>
  </si>
  <si>
    <t>US8334451098</t>
  </si>
  <si>
    <t>קמטק בע"מ</t>
  </si>
  <si>
    <t>511235434</t>
  </si>
  <si>
    <t>Camtek Ltd/Israel</t>
  </si>
  <si>
    <t>IL0010952641</t>
  </si>
  <si>
    <t>SCOUTCAM LTD</t>
  </si>
  <si>
    <t>549300FBP1ANSJE5TE25</t>
  </si>
  <si>
    <t>ODYSIGHT.AT.INC</t>
  </si>
  <si>
    <t>US8016V2043</t>
  </si>
  <si>
    <t>SOLAREGE TECHNOLOGIES INC</t>
  </si>
  <si>
    <t>5493000K6Y58XXPDF853</t>
  </si>
  <si>
    <t>SOLAREDGE TECHNOLOGIES INC</t>
  </si>
  <si>
    <t>US83417M1045</t>
  </si>
  <si>
    <t>SENTINELONE INC</t>
  </si>
  <si>
    <t>984500DCD44DBF954221</t>
  </si>
  <si>
    <t>SENTINELONE INC - CLASS A</t>
  </si>
  <si>
    <t>US81730H1095</t>
  </si>
  <si>
    <t>DAIMLER TRUCK HOLDING AG</t>
  </si>
  <si>
    <t>529900PW78JIY0UBSR24</t>
  </si>
  <si>
    <t>DE000DTR0CK8</t>
  </si>
  <si>
    <t>GAMIDA CELL LTD</t>
  </si>
  <si>
    <t>512601204</t>
  </si>
  <si>
    <t>IL0011552663</t>
  </si>
  <si>
    <t>NCINO INC</t>
  </si>
  <si>
    <t>549300WVRR2WR3L6MZ46</t>
  </si>
  <si>
    <t>US63947X1019</t>
  </si>
  <si>
    <t>UDEMY INC</t>
  </si>
  <si>
    <t>2549000T304QU9SAM180</t>
  </si>
  <si>
    <t>US9026851066</t>
  </si>
  <si>
    <t>הראל קרנות נאמנות בע"מ</t>
  </si>
  <si>
    <t>511776783</t>
  </si>
  <si>
    <t>הראל סל כשרה תא 125</t>
  </si>
  <si>
    <t>IL0011553406</t>
  </si>
  <si>
    <t>קסם קרנות נאמנות בע"מ</t>
  </si>
  <si>
    <t>510938608</t>
  </si>
  <si>
    <t>קסם ETF כשרה תא 125</t>
  </si>
  <si>
    <t>IL0011553653</t>
  </si>
  <si>
    <t>מגדל קרנות נאמנות בע"מ</t>
  </si>
  <si>
    <t>511303661</t>
  </si>
  <si>
    <t>MTF סל (00) כשרה תל בונד 60</t>
  </si>
  <si>
    <t>IL0011596983</t>
  </si>
  <si>
    <t>הראל סל כשרה תל בונד 60</t>
  </si>
  <si>
    <t>IL0011550923</t>
  </si>
  <si>
    <t>MTF סל כש תל בונד שקלי</t>
  </si>
  <si>
    <t>IL0011597064</t>
  </si>
  <si>
    <t>קסם ETF כשרה תלבונד שקלי</t>
  </si>
  <si>
    <t>IL0011551590</t>
  </si>
  <si>
    <t>פסגות קרנות נאמנות בע"מ</t>
  </si>
  <si>
    <t>513765339</t>
  </si>
  <si>
    <t>פסגות ETF כשרה תא 125</t>
  </si>
  <si>
    <t>IL0011553240</t>
  </si>
  <si>
    <t>MTF סל (4A) כשרה ת"א-125</t>
  </si>
  <si>
    <t>IL0011597148</t>
  </si>
  <si>
    <t>קסם ETF כשרה תלבונד 60</t>
  </si>
  <si>
    <t>IL0011551269</t>
  </si>
  <si>
    <t>הראל סל כשרה תל בונד שקלי</t>
  </si>
  <si>
    <t>IL0011551913</t>
  </si>
  <si>
    <t>הראל סל כשרה תא 90</t>
  </si>
  <si>
    <t>IL0011661720</t>
  </si>
  <si>
    <t>SPDR S&amp;P 500 ETF Trust</t>
  </si>
  <si>
    <t>549300NZAMSJ8FXPQQ63</t>
  </si>
  <si>
    <t>SPDR Trust Series 1</t>
  </si>
  <si>
    <t>US78462F1030</t>
  </si>
  <si>
    <t>VANGUARD S&amp;P 500 ETF</t>
  </si>
  <si>
    <t>5493002789CX3L0CJP65</t>
  </si>
  <si>
    <t>US9229083632</t>
  </si>
  <si>
    <t>Invesco QQQ Trust Series 1</t>
  </si>
  <si>
    <t>549300VY6FE1BCIMET58</t>
  </si>
  <si>
    <t>INVESCO QQQ TRUST SERIES 1</t>
  </si>
  <si>
    <t>US46090E1038</t>
  </si>
  <si>
    <t>Invesco S&amp;P 500 Equal Weight T</t>
  </si>
  <si>
    <t>549300 D93HI7Z9WV4X72</t>
  </si>
  <si>
    <t>INVESCO S&amp;P 500 EQUAL WEIGHT</t>
  </si>
  <si>
    <t>US46137V3574</t>
  </si>
  <si>
    <t>Technology Select Sector SPDR</t>
  </si>
  <si>
    <t>549300BR5T0JNM2MW070</t>
  </si>
  <si>
    <t>US81369Y8030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</si>
  <si>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</si>
  <si>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</si>
  <si>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</si>
  <si>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</si>
  <si>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</si>
  <si>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</si>
  <si>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</si>
  <si>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</si>
  <si>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</si>
  <si>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</si>
  <si>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</si>
  <si>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</si>
  <si>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</si>
  <si>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</si>
  <si>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</si>
  <si>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</si>
  <si>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LYXOR CORE EURSTX 600 DR</t>
  </si>
  <si>
    <t>213800RFZBG4205X1D89</t>
  </si>
  <si>
    <t>LU0908500753</t>
  </si>
  <si>
    <t>iShares MSCI Japan Index Fund</t>
  </si>
  <si>
    <t>5493008I6YRUC6I0S051</t>
  </si>
  <si>
    <t>US46434G8226</t>
  </si>
  <si>
    <t>SPDR Dow Jones Industrial Aver</t>
  </si>
  <si>
    <t>54930039F2SG3UG20Z18</t>
  </si>
  <si>
    <t>SPDR DJIA TRUST</t>
  </si>
  <si>
    <t>US78467x1090</t>
  </si>
  <si>
    <t>First Trust NASDAQ-100 Technol</t>
  </si>
  <si>
    <t>5493002JVR972EVAT460</t>
  </si>
  <si>
    <t>FIRST TRUST NASDQ 100 TECH I</t>
  </si>
  <si>
    <t>US3373451026</t>
  </si>
  <si>
    <t>WisdomTree India Earnings Fund</t>
  </si>
  <si>
    <t>54930026N5Y0B6AW2260</t>
  </si>
  <si>
    <t>WISDOM TREE INDIA EARNINGS FUN</t>
  </si>
  <si>
    <t>US97717W4226</t>
  </si>
  <si>
    <t>ISHARES NORTH AMERICAN TE</t>
  </si>
  <si>
    <t>54930072GM1ADLZJ5373</t>
  </si>
  <si>
    <t>iShares Expanded Tech-Software Sector ETF</t>
  </si>
  <si>
    <t>us4642875151</t>
  </si>
  <si>
    <t>KRANESHARES CSI CHINA INTERN</t>
  </si>
  <si>
    <t>549300URDNVSGEWBN526</t>
  </si>
  <si>
    <t>US5007673065</t>
  </si>
  <si>
    <t>ISHARES MSCI CHINA INDEX FUND</t>
  </si>
  <si>
    <t>549300Q0IWAYMYXW0R77</t>
  </si>
  <si>
    <t>iSHARES MSCI CHINA</t>
  </si>
  <si>
    <t>US46429B6719</t>
  </si>
  <si>
    <t>Health Care Select Sector SPDR</t>
  </si>
  <si>
    <t>549300E1NY3KKJHP0Y44</t>
  </si>
  <si>
    <t>US81369Y2090</t>
  </si>
  <si>
    <t>iShares Russell 2000 Index Fun</t>
  </si>
  <si>
    <t>5493000800AR5VTWR172</t>
  </si>
  <si>
    <t>ISHARES RUSSELL 2000 ETF</t>
  </si>
  <si>
    <t>US4642876555</t>
  </si>
  <si>
    <t>ISHARES U.S. BROKER-DEALERS</t>
  </si>
  <si>
    <t>549300LRIF3NWCU26A80</t>
  </si>
  <si>
    <t>US4642887941</t>
  </si>
  <si>
    <t>Consumer Discretionary Select</t>
  </si>
  <si>
    <t>549300CD2I087Y919K79</t>
  </si>
  <si>
    <t>US81369Y4070</t>
  </si>
  <si>
    <t>ISHARES MSCI INDIA ETF</t>
  </si>
  <si>
    <t>549300282VMCFH7S5848</t>
  </si>
  <si>
    <t>US46429B5984</t>
  </si>
  <si>
    <t>Powershares</t>
  </si>
  <si>
    <t>5521FA2IT25TVH63740</t>
  </si>
  <si>
    <t>Powershares aero defense</t>
  </si>
  <si>
    <t>US46137V1008</t>
  </si>
  <si>
    <t>iShares Core DAX UCITS ETF DE</t>
  </si>
  <si>
    <t>549300CQN9T9XKTT1S19</t>
  </si>
  <si>
    <t>ISHARES DAX DE</t>
  </si>
  <si>
    <t>DE0005933931</t>
  </si>
  <si>
    <t>VANGUARD S&amp;P MID-CAP 400 ETF</t>
  </si>
  <si>
    <t>US9219328856</t>
  </si>
  <si>
    <t>iShares MSCI Brazil Index Fund</t>
  </si>
  <si>
    <t>28207</t>
  </si>
  <si>
    <t>US4642864007</t>
  </si>
  <si>
    <t>COMM SERV SELEC</t>
  </si>
  <si>
    <t>549300RPODKQ1E2HDW24</t>
  </si>
  <si>
    <t>US81369Y8527</t>
  </si>
  <si>
    <t>ISHARES HANG SENG TECH ETF</t>
  </si>
  <si>
    <t>549300LTD878UJSEFE24</t>
  </si>
  <si>
    <t>HK0000651213</t>
  </si>
  <si>
    <t>INVESCO MDAX UCITS ETF</t>
  </si>
  <si>
    <t>ECPGFXU8A2SHKVVGJI15</t>
  </si>
  <si>
    <t>IE00BHJYDV33</t>
  </si>
  <si>
    <t>FIRST TRST NASD CL EDG SGIIF</t>
  </si>
  <si>
    <t>549300IM04B4W5RWYH14</t>
  </si>
  <si>
    <t>US33737A1088</t>
  </si>
  <si>
    <t>SMH סמיקונדקטור הולדרס טרסט</t>
  </si>
  <si>
    <t>549300MJTG2N9QRH7I02</t>
  </si>
  <si>
    <t>Semiconductor HOLDRs Trust</t>
  </si>
  <si>
    <t>US8166362033</t>
  </si>
  <si>
    <t>iShares Latin America 40 ETF</t>
  </si>
  <si>
    <t>549300MTJJWSCQ09N641</t>
  </si>
  <si>
    <t>iShares MSCI Taiwan Index Fund</t>
  </si>
  <si>
    <t>US4642867315</t>
  </si>
  <si>
    <t>ISHARES GBP HIGH  YIELD CORPORA</t>
  </si>
  <si>
    <t>549300XNS7MREWVF4X34</t>
  </si>
  <si>
    <t>IE00B4PY7Y77</t>
  </si>
  <si>
    <t>(IHI) iShares U.S. Medical Devices ETF</t>
  </si>
  <si>
    <t>US4642888105</t>
  </si>
  <si>
    <t>real estate select sect spdr</t>
  </si>
  <si>
    <t>549300SPMSTD3BRHL041</t>
  </si>
  <si>
    <t>REAL ESTA (XLRE</t>
  </si>
  <si>
    <t>US81369y8600</t>
  </si>
  <si>
    <t>iShares China Large-Cap ETF</t>
  </si>
  <si>
    <t>5493001YVWPO25CNKN94</t>
  </si>
  <si>
    <t>iShares FTSE/Xinhua China 25 I</t>
  </si>
  <si>
    <t>US4642871846</t>
  </si>
  <si>
    <t>INVESCO SOLAR ETF</t>
  </si>
  <si>
    <t>549300Q2OQ2U87KJR762</t>
  </si>
  <si>
    <t>US46138G7060</t>
  </si>
  <si>
    <t>MTF תל בונד 60</t>
  </si>
  <si>
    <t>IL0011499964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</si>
  <si>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</si>
  <si>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</si>
  <si>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</si>
  <si>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</si>
  <si>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</si>
  <si>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</si>
  <si>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מור ניהול קרנות נאמנות (2013) בע"מ</t>
  </si>
  <si>
    <t>514884485</t>
  </si>
  <si>
    <t>מור.סל תלבונד 60</t>
  </si>
  <si>
    <t>IL0011953044</t>
  </si>
  <si>
    <t>קסם ETF תל בונד שקלי</t>
  </si>
  <si>
    <t>IL0011464141</t>
  </si>
  <si>
    <t>קסם תל בונד 60</t>
  </si>
  <si>
    <t>IL0011462327</t>
  </si>
  <si>
    <t>הראל סל תל בונד 60</t>
  </si>
  <si>
    <t>IL0011504730</t>
  </si>
  <si>
    <t>MTF סל (00) תל בונד שקלי</t>
  </si>
  <si>
    <t>IL0011500027</t>
  </si>
  <si>
    <t>קסם MSCI India (!)(4D) ETF</t>
  </si>
  <si>
    <t>IL0011457475</t>
  </si>
  <si>
    <t>קסם S&amp;P 500</t>
  </si>
  <si>
    <t>IL0011464711</t>
  </si>
  <si>
    <t>קסם תל בונד 20</t>
  </si>
  <si>
    <t>IL0011459604</t>
  </si>
  <si>
    <t>הראל סל תל בונד 20</t>
  </si>
  <si>
    <t>IL0011504409</t>
  </si>
  <si>
    <t>קסם תא בלוסטאר ישראל גלובל טכנולוגיות (NTR) (4Da)</t>
  </si>
  <si>
    <t>IL0011472714</t>
  </si>
  <si>
    <t>קסם DJ Industrial Average</t>
  </si>
  <si>
    <t>IL0011464489</t>
  </si>
  <si>
    <t>קסם תא 90</t>
  </si>
  <si>
    <t>IL0011463317</t>
  </si>
  <si>
    <t>MTF סל‏ תא 90</t>
  </si>
  <si>
    <t>IL0011502593</t>
  </si>
  <si>
    <t>LYXOR ETF S&amp;P 500</t>
  </si>
  <si>
    <t>549300JWBW5ZYYL06033</t>
  </si>
  <si>
    <t>LYXOR S&amp;P 500</t>
  </si>
  <si>
    <t>LU1135865084</t>
  </si>
  <si>
    <t>549300NNE4LGFWCGLC69</t>
  </si>
  <si>
    <t>US46137V3244</t>
  </si>
  <si>
    <t>BNP P EURO STOXX 50 UCITS</t>
  </si>
  <si>
    <t>ROMUWSFPU8MPR08KSP83</t>
  </si>
  <si>
    <t>FR0012739431</t>
  </si>
  <si>
    <t>GLOBAL X US INFRASTRUCTURE</t>
  </si>
  <si>
    <t>549300P5QELW9NWLDY61</t>
  </si>
  <si>
    <t>US37954Y6730</t>
  </si>
  <si>
    <t>SPDR S&amp;P CAPITAL MARKETS ETF</t>
  </si>
  <si>
    <t>549300BBJPWNKDPREW36</t>
  </si>
  <si>
    <t>US78464A7717</t>
  </si>
  <si>
    <t>ISHR EUR600 IND GDS&amp;SERV-DE</t>
  </si>
  <si>
    <t>5493005C92LFQZ3U0083</t>
  </si>
  <si>
    <t>DE000A0H08J9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</si>
  <si>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</si>
  <si>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</si>
  <si>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</si>
  <si>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</si>
  <si>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</si>
  <si>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</si>
  <si>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FIRET TRUST RBA AMER</t>
  </si>
  <si>
    <t>254900QBKK4WBS03GE51</t>
  </si>
  <si>
    <t>US33738R7044</t>
  </si>
  <si>
    <t>MTF סל (Bloomberg US Analyst Recommendations (4D</t>
  </si>
  <si>
    <t>IL0012056573</t>
  </si>
  <si>
    <t>ISHARES DOW JONES US HOME CONS</t>
  </si>
  <si>
    <t>549300E4UYBNT9205488</t>
  </si>
  <si>
    <t>US4642887529</t>
  </si>
  <si>
    <t>FNDSTRT GRNNY SHOTS US LRG</t>
  </si>
  <si>
    <t>254900SIR1F8HDIXDL70</t>
  </si>
  <si>
    <t>US8863642315</t>
  </si>
  <si>
    <t>הראל סל S&amp;P 500 מנוטרלת מטבע</t>
  </si>
  <si>
    <t>IL0011491375</t>
  </si>
  <si>
    <t>קסם ארהב 4Da) (PR) S&amp;P Technology)</t>
  </si>
  <si>
    <t>IL0011472300</t>
  </si>
  <si>
    <t>הראל סל נאסדק 100</t>
  </si>
  <si>
    <t>IL0011490385</t>
  </si>
  <si>
    <t>קסם גרמניה DAX 30</t>
  </si>
  <si>
    <t>IL0011465130</t>
  </si>
  <si>
    <t>הראל סל S&amp;P500</t>
  </si>
  <si>
    <t>IL0011490203</t>
  </si>
  <si>
    <t>קסם ברזיל IBOV (GTR)</t>
  </si>
  <si>
    <t>IL0011460917</t>
  </si>
  <si>
    <t>MTF סל‏ (00) תל בונד שקלי 50</t>
  </si>
  <si>
    <t>IL0011501686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</si>
  <si>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</si>
  <si>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</si>
  <si>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</si>
  <si>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</si>
  <si>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</si>
  <si>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</si>
  <si>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</si>
  <si>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</si>
  <si>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</si>
  <si>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</si>
  <si>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</si>
  <si>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</si>
  <si>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</si>
  <si>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</si>
  <si>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</si>
  <si>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</si>
  <si>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</si>
  <si>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</si>
  <si>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</si>
  <si>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</si>
  <si>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COMGEST GROWTH EUROPE EUR IA</t>
  </si>
  <si>
    <t>635400JYB1RHBTRDH390</t>
  </si>
  <si>
    <t>IE00B5WN3467</t>
  </si>
  <si>
    <t>KBI ENERGY SOLUTIONS-AUSDACC</t>
  </si>
  <si>
    <t>635400UCQYVG094KDT51</t>
  </si>
  <si>
    <t>IE00BNGJJ156</t>
  </si>
  <si>
    <t>INVESCO US SENIOR LOAN-G</t>
  </si>
  <si>
    <t>549300HQ8IBAX0TXDL49</t>
  </si>
  <si>
    <t>LU0564079282</t>
  </si>
  <si>
    <t>JANNUS HEND HOR GL SMALLER COM</t>
  </si>
  <si>
    <t>2138009WPYMWJN3RVF44</t>
  </si>
  <si>
    <t>JAN HND HOR GLB SML CO-M2USD</t>
  </si>
  <si>
    <t>LU2914768309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</si>
  <si>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</si>
  <si>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</si>
  <si>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</si>
  <si>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</si>
  <si>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</si>
  <si>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</si>
  <si>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</si>
  <si>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</si>
  <si>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</si>
  <si>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ביונ תלתממד אפ2</t>
  </si>
  <si>
    <t>IL0011755878</t>
  </si>
  <si>
    <t>09/05/2025</t>
  </si>
  <si>
    <t>שמיים אימפרוב בע"מ</t>
  </si>
  <si>
    <t>515181014</t>
  </si>
  <si>
    <t>שמיים אפ 1</t>
  </si>
  <si>
    <t>IL0011762478</t>
  </si>
  <si>
    <t>1176239</t>
  </si>
  <si>
    <t>31/05/2025</t>
  </si>
  <si>
    <t>הבורסה לניירות ערך בתל אביב בע"מ</t>
  </si>
  <si>
    <t>520020033</t>
  </si>
  <si>
    <t>P 2440 APR</t>
  </si>
  <si>
    <t>IL0854674624</t>
  </si>
  <si>
    <t>25/04/2025</t>
  </si>
  <si>
    <t>C 2440 APR</t>
  </si>
  <si>
    <t>IL0854664724</t>
  </si>
  <si>
    <t>US 10YR ULTRA F התחייבות</t>
  </si>
  <si>
    <t>730904091</t>
  </si>
  <si>
    <t>S&amp;P500 EMINI FU התחייבות</t>
  </si>
  <si>
    <t>730750041</t>
  </si>
  <si>
    <t>NASDAQ 100 E-MI התחייבות</t>
  </si>
  <si>
    <t>730820751</t>
  </si>
  <si>
    <t>NASDAQ 100 E-MINI</t>
  </si>
  <si>
    <t>30240</t>
  </si>
  <si>
    <t>NASDAQ 100 E-MINI Jun25</t>
  </si>
  <si>
    <t>73082075</t>
  </si>
  <si>
    <t>S&amp;P 500 EMINI FUT</t>
  </si>
  <si>
    <t>28933</t>
  </si>
  <si>
    <t>S&amp;P500 EMINI FUT  Jun25</t>
  </si>
  <si>
    <t>73075004</t>
  </si>
  <si>
    <t>US 10YR NOTE FUT</t>
  </si>
  <si>
    <t>29024</t>
  </si>
  <si>
    <t>US 10yr Ultra Fut Jun25</t>
  </si>
  <si>
    <t>73090409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</si>
  <si>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</si>
  <si>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</si>
  <si>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</si>
  <si>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</si>
  <si>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</si>
  <si>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</si>
  <si>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</si>
  <si>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</si>
  <si>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</si>
  <si>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</si>
  <si>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</si>
  <si>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</si>
  <si>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</si>
  <si>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</si>
  <si>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</si>
  <si>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</si>
  <si>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</si>
  <si>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מת"מ - מרכז תעשיות מדע חיפה בע"מ</t>
  </si>
  <si>
    <t>510687403</t>
  </si>
  <si>
    <t>מת"מ אגח א-רמ</t>
  </si>
  <si>
    <t>IL0011389991</t>
  </si>
  <si>
    <t>05/12/2018</t>
  </si>
  <si>
    <t>מקורות אג"ח 8</t>
  </si>
  <si>
    <t>IL0011243461</t>
  </si>
  <si>
    <t>14/07/2011</t>
  </si>
  <si>
    <t>14/07/2048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</si>
  <si>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</si>
  <si>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</si>
  <si>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</si>
  <si>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</si>
  <si>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</si>
  <si>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</si>
  <si>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</si>
  <si>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</si>
  <si>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</si>
  <si>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</si>
  <si>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</si>
  <si>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</si>
  <si>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</si>
  <si>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</si>
  <si>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</si>
  <si>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</si>
  <si>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</si>
  <si>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</si>
  <si>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</si>
  <si>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</si>
  <si>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</si>
  <si>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</si>
  <si>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</si>
  <si>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</si>
  <si>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</si>
  <si>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</si>
  <si>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</si>
  <si>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</si>
  <si>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</si>
  <si>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</si>
  <si>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</si>
  <si>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</si>
  <si>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</si>
  <si>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</si>
  <si>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</si>
  <si>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</si>
  <si>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</si>
  <si>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</si>
  <si>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</si>
  <si>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</si>
  <si>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</si>
  <si>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</si>
  <si>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</si>
  <si>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</si>
  <si>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גולדן קפיטל גרמניה</t>
  </si>
  <si>
    <t>30205</t>
  </si>
  <si>
    <t>עסקת נדל"ן גולדן קפיטל גרמניה</t>
  </si>
  <si>
    <t>400190618</t>
  </si>
  <si>
    <t>19/06/2018</t>
  </si>
  <si>
    <t>סטורדוט בע"מ</t>
  </si>
  <si>
    <t>514820117</t>
  </si>
  <si>
    <t>סטורדוט השקעה במניות</t>
  </si>
  <si>
    <t>400130917</t>
  </si>
  <si>
    <t>13/09/2017</t>
  </si>
  <si>
    <t>מנרב ואסנס שותפות</t>
  </si>
  <si>
    <t>30576</t>
  </si>
  <si>
    <t>מנרב אסנס Co invest</t>
  </si>
  <si>
    <t>400050821</t>
  </si>
  <si>
    <t>10/08/2021</t>
  </si>
  <si>
    <t>TIPA CORP LTD</t>
  </si>
  <si>
    <t>514420660</t>
  </si>
  <si>
    <t>TIPA</t>
  </si>
  <si>
    <t>400110122</t>
  </si>
  <si>
    <t>11/01/2022</t>
  </si>
  <si>
    <t>Quantum Machines</t>
  </si>
  <si>
    <t>30655</t>
  </si>
  <si>
    <t>Quantum Machines גננות</t>
  </si>
  <si>
    <t>400090822</t>
  </si>
  <si>
    <t>09/08/2022</t>
  </si>
  <si>
    <t>אלפא מים פרטנרס 2</t>
  </si>
  <si>
    <t>402702191</t>
  </si>
  <si>
    <t>27/02/2019</t>
  </si>
  <si>
    <t>דרך הצפון (ע.ג.), שותפות מוגבלת</t>
  </si>
  <si>
    <t>30027</t>
  </si>
  <si>
    <t>400080317</t>
  </si>
  <si>
    <t>07/03/2017</t>
  </si>
  <si>
    <t>אינטגרה</t>
  </si>
  <si>
    <t>29265</t>
  </si>
  <si>
    <t>40050513</t>
  </si>
  <si>
    <t>05/05/2013</t>
  </si>
  <si>
    <t>עיינה</t>
  </si>
  <si>
    <t>29927</t>
  </si>
  <si>
    <t>AYANA Common Shares (from 2017 CLA Conversion)</t>
  </si>
  <si>
    <t>400160719</t>
  </si>
  <si>
    <t>16/07/2019</t>
  </si>
  <si>
    <t>AYANA Preferred A Shares (SPA 2019)</t>
  </si>
  <si>
    <t>400210519</t>
  </si>
  <si>
    <t>21/05/2019</t>
  </si>
  <si>
    <t>Silk Technologies Inc</t>
  </si>
  <si>
    <t>30544</t>
  </si>
  <si>
    <t>Silk Technologies Inc גננות</t>
  </si>
  <si>
    <t>400250321</t>
  </si>
  <si>
    <t>31/05/2022</t>
  </si>
  <si>
    <t>ויולה גנריישן ניהול</t>
  </si>
  <si>
    <t>402308182</t>
  </si>
  <si>
    <t>23/08/2018</t>
  </si>
  <si>
    <t>AYANA Preferred A Shares (from 2020/21 CLA Convers</t>
  </si>
  <si>
    <t>400291222</t>
  </si>
  <si>
    <t>29/12/2022</t>
  </si>
  <si>
    <t>Resonai</t>
  </si>
  <si>
    <t>514996362</t>
  </si>
  <si>
    <t>400120322</t>
  </si>
  <si>
    <t>13/03/2022</t>
  </si>
  <si>
    <t>imm - vx limited partnership</t>
  </si>
  <si>
    <t>540303765</t>
  </si>
  <si>
    <t>VELOX- IMM - VX LP</t>
  </si>
  <si>
    <t>400090821</t>
  </si>
  <si>
    <t>MOLECULED מניית בכורה</t>
  </si>
  <si>
    <t>400231219</t>
  </si>
  <si>
    <t>23/12/2019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</si>
  <si>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</si>
  <si>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</si>
  <si>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</si>
  <si>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</si>
  <si>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</si>
  <si>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</si>
  <si>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</si>
  <si>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</si>
  <si>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</si>
  <si>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239</t>
  </si>
  <si>
    <t>אדאקום  1 ש"ח</t>
  </si>
  <si>
    <t>239012</t>
  </si>
  <si>
    <t>אלון דלק מניה</t>
  </si>
  <si>
    <t>400051117</t>
  </si>
  <si>
    <t>05/11/2017</t>
  </si>
  <si>
    <t>ODYSIGHT אופציה</t>
  </si>
  <si>
    <t>400300421</t>
  </si>
  <si>
    <t>29/04/2021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</si>
  <si>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</si>
  <si>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</si>
  <si>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</si>
  <si>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</si>
  <si>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</si>
  <si>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</si>
  <si>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</si>
  <si>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</si>
  <si>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</si>
  <si>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</si>
  <si>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</si>
  <si>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</si>
  <si>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</si>
  <si>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פויכטונגר השקעות 1984 בע"מ</t>
  </si>
  <si>
    <t>1123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</si>
  <si>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</si>
  <si>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</si>
  <si>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</si>
  <si>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</si>
  <si>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</si>
  <si>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</si>
  <si>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</si>
  <si>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</si>
  <si>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</si>
  <si>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ריאליטי שותף כללי 4 בעמ</t>
  </si>
  <si>
    <t>ריאליטי 4</t>
  </si>
  <si>
    <t>400300519</t>
  </si>
  <si>
    <t>חברת שותף כללי  קרן תשתיות ישראל  3 בעמ</t>
  </si>
  <si>
    <t>תשתיות ישראל 3</t>
  </si>
  <si>
    <t>400191016</t>
  </si>
  <si>
    <t>נוקד אקוויטי השקעות בעמ</t>
  </si>
  <si>
    <t>קרן נוקד אקווטי</t>
  </si>
  <si>
    <t>400301017</t>
  </si>
  <si>
    <t>אלפא לונג ביאס ג'י פי בעמ</t>
  </si>
  <si>
    <t>אלפא קרן גידור</t>
  </si>
  <si>
    <t>400300817</t>
  </si>
  <si>
    <t>יסודות מעטפת פיננסית גי'פי שותפות מוגבלת</t>
  </si>
  <si>
    <t>יסודות ג' נדלן ופיתוח שותפות מוגבלת</t>
  </si>
  <si>
    <t>400031219</t>
  </si>
  <si>
    <t>קרן טוליפ קפיטל ג'י פי בעמ</t>
  </si>
  <si>
    <t>טוליפ קפיטל</t>
  </si>
  <si>
    <t>40230117</t>
  </si>
  <si>
    <t>Windin` Capital Fund LP מורים</t>
  </si>
  <si>
    <t>400140720</t>
  </si>
  <si>
    <t>פימי 6 2016 בעמ</t>
  </si>
  <si>
    <t>פימי 6 אופורטוניטי ישראל FIMI</t>
  </si>
  <si>
    <t>402107161</t>
  </si>
  <si>
    <t>Peregrine IV General Partner LP Limited Partnership</t>
  </si>
  <si>
    <t>פרגרין ונצ'רם</t>
  </si>
  <si>
    <t>400170719</t>
  </si>
  <si>
    <t>פימי 7 2020 בעמ</t>
  </si>
  <si>
    <t>פימי 7</t>
  </si>
  <si>
    <t>40310321</t>
  </si>
  <si>
    <t>נוי אי. איי תשתיות ואנרגיה ג'י.פי, ש.מ</t>
  </si>
  <si>
    <t>נוי 4</t>
  </si>
  <si>
    <t>400310321</t>
  </si>
  <si>
    <t>אייג'יפי השקעות (ג'י.פי.אל.פי), שותפות מוגבלת.</t>
  </si>
  <si>
    <t>IGP INVESTMENTS II</t>
  </si>
  <si>
    <t>400150818</t>
  </si>
  <si>
    <t>הפניקס חוב נדל"ן גננות</t>
  </si>
  <si>
    <t>403012211</t>
  </si>
  <si>
    <t>ס.ה. סקיי 4 ניהול שותפות מוגבלת</t>
  </si>
  <si>
    <t>SKY 4 LIMITED גננות</t>
  </si>
  <si>
    <t>400170322</t>
  </si>
  <si>
    <t>קרן נוי 3 להשקעה בתשתיות אנרגי</t>
  </si>
  <si>
    <t>400260519</t>
  </si>
  <si>
    <t>ריאליטי מימון שותף כללי בעמ</t>
  </si>
  <si>
    <t>ריאליטי מימון</t>
  </si>
  <si>
    <t>400310322</t>
  </si>
  <si>
    <t>יסודות 2</t>
  </si>
  <si>
    <t>400300118</t>
  </si>
  <si>
    <t>אלפא ערך</t>
  </si>
  <si>
    <t>400270324</t>
  </si>
  <si>
    <t>קוגיטו קפיטל פאנד 2 שותף כללי בעמ</t>
  </si>
  <si>
    <t>קרן קוגיטו קפיטל</t>
  </si>
  <si>
    <t>403012214</t>
  </si>
  <si>
    <t>ג'יי.טי.אל.וי 3 ש.כ. בעמ</t>
  </si>
  <si>
    <t>JTLV 3 גננות</t>
  </si>
  <si>
    <t>400100622</t>
  </si>
  <si>
    <t>Vintage Secondary V GP, L.P.</t>
  </si>
  <si>
    <t>Vintage Secondary V</t>
  </si>
  <si>
    <t>403012217</t>
  </si>
  <si>
    <t>Firstime Ventures III General Partner L.P.</t>
  </si>
  <si>
    <t>Firstime Ventures III L.P</t>
  </si>
  <si>
    <t>400241121</t>
  </si>
  <si>
    <t>LOOL 2 Ventures GP LTD</t>
  </si>
  <si>
    <t>lool Ventures III</t>
  </si>
  <si>
    <t>400130322</t>
  </si>
  <si>
    <t>Hamilton Lane Advisors, LLC</t>
  </si>
  <si>
    <t>HAMILTON LANE SECONDARY FUND VI-B LP גננות</t>
  </si>
  <si>
    <t>400020724</t>
  </si>
  <si>
    <t>Fortissimo Capital Fund VI GP, L.P</t>
  </si>
  <si>
    <t>Fortissimo Fund VI</t>
  </si>
  <si>
    <t>400171023</t>
  </si>
  <si>
    <t>טנא קרן להשקעות בתעשייה הקיבוצית שותפות מוגבלת</t>
  </si>
  <si>
    <t>קרן טנא</t>
  </si>
  <si>
    <t>400241213</t>
  </si>
  <si>
    <t>STAGE ONE II SPV SRFT, L.P</t>
  </si>
  <si>
    <t>STAGE ONE II SPV SRFT, LIMITED</t>
  </si>
  <si>
    <t>400110322</t>
  </si>
  <si>
    <t>הראל אלטרנטיב קרנות השקעה בעמ</t>
  </si>
  <si>
    <t>Harel Alternative Real Es</t>
  </si>
  <si>
    <t>400110523</t>
  </si>
  <si>
    <t>Stage One Capital (GP) II, L.P</t>
  </si>
  <si>
    <t>STAGE 1</t>
  </si>
  <si>
    <t>40270715</t>
  </si>
  <si>
    <t>Marathon Real Estate Fund</t>
  </si>
  <si>
    <t>400271220</t>
  </si>
  <si>
    <t>Klirmark Fund III (G.P) L.P</t>
  </si>
  <si>
    <t>KLIRMARK III מורים</t>
  </si>
  <si>
    <t>40131119</t>
  </si>
  <si>
    <t>פונטיפקס 5  ג'י.פי ש.מ</t>
  </si>
  <si>
    <t>קרן פונטיפקס 5</t>
  </si>
  <si>
    <t>400080418</t>
  </si>
  <si>
    <t>Klirmark Fund IV (G.P) L.P</t>
  </si>
  <si>
    <t>Klirmark Opportunity Fund</t>
  </si>
  <si>
    <t>400180423</t>
  </si>
  <si>
    <t>פונטיפקס 6  ג'י.פי ש.מ</t>
  </si>
  <si>
    <t>פונטיפקס 6 גננות</t>
  </si>
  <si>
    <t>400081120</t>
  </si>
  <si>
    <t>Presidio Management Group XIII, L.P.</t>
  </si>
  <si>
    <t>USVP XIII גננות</t>
  </si>
  <si>
    <t>400120123</t>
  </si>
  <si>
    <t>Helios General 3 ltd</t>
  </si>
  <si>
    <t>הליוס אנרגיה מתחדשת 4</t>
  </si>
  <si>
    <t>400251018</t>
  </si>
  <si>
    <t>IGP Investments III (g.p) 2022 Ltd</t>
  </si>
  <si>
    <t>IGP Investments Fund III גננות</t>
  </si>
  <si>
    <t>400310724</t>
  </si>
  <si>
    <t>גרות' פרטנרס (ליכטמן ושני) שותפות מוגבלת</t>
  </si>
  <si>
    <t>קרן השקעה IGP</t>
  </si>
  <si>
    <t>400030214</t>
  </si>
  <si>
    <t>פימי חמש 2020 בעמ</t>
  </si>
  <si>
    <t>FIMI OPPORTUNITY V</t>
  </si>
  <si>
    <t>402708122</t>
  </si>
  <si>
    <t>קוגיטו קפיטל אל.אמ.אי שותף כללי, שותפות מוגבלת</t>
  </si>
  <si>
    <t>קוגיטו בי.אם.אי</t>
  </si>
  <si>
    <t>40040917</t>
  </si>
  <si>
    <t>קוגיטו קפיטל שותף כללי בעמ</t>
  </si>
  <si>
    <t>40210716</t>
  </si>
  <si>
    <t>נוי 5</t>
  </si>
  <si>
    <t>400111024</t>
  </si>
  <si>
    <t>שקד השקעות (ג'י.פי) שותפות מוגבלת</t>
  </si>
  <si>
    <t>קרן שקד</t>
  </si>
  <si>
    <t>400180117</t>
  </si>
  <si>
    <t>ריאליטי 5</t>
  </si>
  <si>
    <t>400201123</t>
  </si>
  <si>
    <t>IGP SaferWorld</t>
  </si>
  <si>
    <t>400260619</t>
  </si>
  <si>
    <t>AGATE MEDICAL INVESTMENT</t>
  </si>
  <si>
    <t>400011107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</si>
  <si>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</si>
  <si>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</si>
  <si>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</si>
  <si>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</si>
  <si>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</si>
  <si>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</si>
  <si>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</si>
  <si>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</si>
  <si>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</si>
  <si>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</si>
  <si>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</si>
  <si>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</si>
  <si>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</si>
  <si>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</si>
  <si>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</si>
  <si>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Blackstone Real Estate Associates IX L.P.</t>
  </si>
  <si>
    <t>קרן בלקסטון 9</t>
  </si>
  <si>
    <t>400190919</t>
  </si>
  <si>
    <t>ECP Calpine Fund GP, LP</t>
  </si>
  <si>
    <t>ECP Calpine Cont גננות</t>
  </si>
  <si>
    <t>400010722</t>
  </si>
  <si>
    <t>HarbourVest Partners, LLC</t>
  </si>
  <si>
    <t>Harbourvest Dover 10</t>
  </si>
  <si>
    <t>400130120</t>
  </si>
  <si>
    <t>FRG-X GP,LP</t>
  </si>
  <si>
    <t>Faropoint Logistic II (FR</t>
  </si>
  <si>
    <t>400280621</t>
  </si>
  <si>
    <t>Brookfield Strategic Real Estate Partners III GP L.P.</t>
  </si>
  <si>
    <t>קרן ברוקפילד</t>
  </si>
  <si>
    <t>400100419</t>
  </si>
  <si>
    <t>Vintage Investments 11 (Access), L.P.</t>
  </si>
  <si>
    <t>קרן וינטאג' 5 אקסס</t>
  </si>
  <si>
    <t>400280818</t>
  </si>
  <si>
    <t>Insight Venture Associates X, L.P.</t>
  </si>
  <si>
    <t>INSIGHT X</t>
  </si>
  <si>
    <t>400170418</t>
  </si>
  <si>
    <t>תשתיות ישראל  ג'י. פי. 4 שותפות מוגבלת</t>
  </si>
  <si>
    <t>תשתיות ישראל 4</t>
  </si>
  <si>
    <t>400121020</t>
  </si>
  <si>
    <t>Hamilton Lane Equity Oppo</t>
  </si>
  <si>
    <t>400241022</t>
  </si>
  <si>
    <t>ION Asset Management Ltd.</t>
  </si>
  <si>
    <t>ION ISRAEL FEEDER FUND LTD</t>
  </si>
  <si>
    <t>400300718</t>
  </si>
  <si>
    <t>HDL - HarbourVest Direct</t>
  </si>
  <si>
    <t>400140921</t>
  </si>
  <si>
    <t>Insight Associates XI, L.P.</t>
  </si>
  <si>
    <t>Insight Partners XI</t>
  </si>
  <si>
    <t>400240320</t>
  </si>
  <si>
    <t>EQT Infrastructure V (General Partner) S.? r.l.</t>
  </si>
  <si>
    <t>EQT Infrastructure V</t>
  </si>
  <si>
    <t>400811201</t>
  </si>
  <si>
    <t>Hamilton Lane CI IV</t>
  </si>
  <si>
    <t>400290519</t>
  </si>
  <si>
    <t>CVC Capital Partners VIII Limited</t>
  </si>
  <si>
    <t>CVC CAPITAL PARTNERS VIII</t>
  </si>
  <si>
    <t>400811203</t>
  </si>
  <si>
    <t>ICG Strategic Equity IV גננות</t>
  </si>
  <si>
    <t>400020722</t>
  </si>
  <si>
    <t>Direct Lending Fund III General Partner S.? r.l.</t>
  </si>
  <si>
    <t>BlueBay</t>
  </si>
  <si>
    <t>400300119</t>
  </si>
  <si>
    <t>PGCO V GP (Lux) S.? r.l</t>
  </si>
  <si>
    <t>Pantheon G-CI Opp V</t>
  </si>
  <si>
    <t>400260421</t>
  </si>
  <si>
    <t>LCN European Fund III GP S.? r.l.</t>
  </si>
  <si>
    <t>LCN III</t>
  </si>
  <si>
    <t>400140520</t>
  </si>
  <si>
    <t>LLCP Partners VI GP, L.P.</t>
  </si>
  <si>
    <t>Levine Leichtman VI</t>
  </si>
  <si>
    <t>400010218</t>
  </si>
  <si>
    <t>MV Subordinated GP S.? r.l.</t>
  </si>
  <si>
    <t>MV Subordinated V</t>
  </si>
  <si>
    <t>400190821</t>
  </si>
  <si>
    <t>ALEMIF III Management LLC</t>
  </si>
  <si>
    <t>אלקטרה נדל"ן 3</t>
  </si>
  <si>
    <t>400140420</t>
  </si>
  <si>
    <t>Arclight 3C -Third Coast גננות</t>
  </si>
  <si>
    <t>400270722</t>
  </si>
  <si>
    <t>Welsch Carson XIII</t>
  </si>
  <si>
    <t>400270619</t>
  </si>
  <si>
    <t>Frux Capital II GP SARL</t>
  </si>
  <si>
    <t>FRUX II</t>
  </si>
  <si>
    <t>400010422</t>
  </si>
  <si>
    <t>Primavera Capital GP IV Ltd.</t>
  </si>
  <si>
    <t>Primavera Capital Fund IV</t>
  </si>
  <si>
    <t>400250521</t>
  </si>
  <si>
    <t>HAMILTON LANE SECONDARY V</t>
  </si>
  <si>
    <t>400210221</t>
  </si>
  <si>
    <t>Pantheon Access GP S.? r.l</t>
  </si>
  <si>
    <t>פנתיאון אקסס</t>
  </si>
  <si>
    <t>400080518</t>
  </si>
  <si>
    <t>JP Growth Opportunity X, L.P.</t>
  </si>
  <si>
    <t>JVP Growth Opportunity X (C), L.P.גננות</t>
  </si>
  <si>
    <t>400231123</t>
  </si>
  <si>
    <t>Madison Realty Capital Debt Fund V GP LLC</t>
  </si>
  <si>
    <t>Madison Realty Capital Debt Fund V</t>
  </si>
  <si>
    <t>400200520</t>
  </si>
  <si>
    <t>Pantheon PGIF IV GP (Lux) S.? r.l</t>
  </si>
  <si>
    <t>Pantheon GIF IV</t>
  </si>
  <si>
    <t>400300322</t>
  </si>
  <si>
    <t>Coller Investment Management Limited</t>
  </si>
  <si>
    <t>Coller VIII</t>
  </si>
  <si>
    <t>400281220</t>
  </si>
  <si>
    <t>Schroders Capital Private Equity Secondaries Management IV S.? r.l.</t>
  </si>
  <si>
    <t>Schroders Capital גננות</t>
  </si>
  <si>
    <t>400210222</t>
  </si>
  <si>
    <t>PGSF VII GP S.? r.l.</t>
  </si>
  <si>
    <t>Pantheon Global Secondary Fund VI</t>
  </si>
  <si>
    <t>40200520</t>
  </si>
  <si>
    <t>AP Fund II GP, LLC</t>
  </si>
  <si>
    <t>בלו אטלנטיק 2</t>
  </si>
  <si>
    <t>40220617</t>
  </si>
  <si>
    <t>FRG-X-GP,LP</t>
  </si>
  <si>
    <t>400060624</t>
  </si>
  <si>
    <t>EMIF II Management LLC</t>
  </si>
  <si>
    <t>Electra Multifamily II</t>
  </si>
  <si>
    <t>400190718</t>
  </si>
  <si>
    <t>Northwind Debt Fund II GP LLC</t>
  </si>
  <si>
    <t>Northwind Debt Fund II גננות</t>
  </si>
  <si>
    <t>400201023</t>
  </si>
  <si>
    <t>Fortissimo Capital Fund V (GP), L.P</t>
  </si>
  <si>
    <t>FORTTISSIMO V</t>
  </si>
  <si>
    <t>401304201</t>
  </si>
  <si>
    <t>Allianz</t>
  </si>
  <si>
    <t>Allianz APSL גננות</t>
  </si>
  <si>
    <t>400190622</t>
  </si>
  <si>
    <t>AP Fund III GP, LLC</t>
  </si>
  <si>
    <t>BLUE ATLANTIC PARTNER III</t>
  </si>
  <si>
    <t>400120819</t>
  </si>
  <si>
    <t>EQT IX (General Partner) S.?.r.l.</t>
  </si>
  <si>
    <t>EQT IX גננות</t>
  </si>
  <si>
    <t>400811202</t>
  </si>
  <si>
    <t>NB Credit Opportunities Associates II LP</t>
  </si>
  <si>
    <t>NB Credit Opportunities II גננות</t>
  </si>
  <si>
    <t>400170723</t>
  </si>
  <si>
    <t>Pagaya Auto loans Manager LP.</t>
  </si>
  <si>
    <t>Pagaya AUTO Class A גננות</t>
  </si>
  <si>
    <t>403012212</t>
  </si>
  <si>
    <t>ALEMIF IV Management LLC</t>
  </si>
  <si>
    <t>אלקטרה נדל"ן 4</t>
  </si>
  <si>
    <t>400250722</t>
  </si>
  <si>
    <t>ICG Europe Fund VII GP S.? r.l.</t>
  </si>
  <si>
    <t>ICG Europe VII מורים</t>
  </si>
  <si>
    <t>400230818</t>
  </si>
  <si>
    <t>Pantheon Global Secondary Fund VII גננות</t>
  </si>
  <si>
    <t>400020823</t>
  </si>
  <si>
    <t>Bain Special Situation Europe</t>
  </si>
  <si>
    <t>40231018</t>
  </si>
  <si>
    <t>AP Fund I GP, LLC</t>
  </si>
  <si>
    <t>בלו אטלנטיק פרטנרס</t>
  </si>
  <si>
    <t>40200616</t>
  </si>
  <si>
    <t>MV Senior GP S.? r.l</t>
  </si>
  <si>
    <t>MV SENIOR 2 מורים</t>
  </si>
  <si>
    <t>400170720</t>
  </si>
  <si>
    <t>Primavera Capital Fund Investment GP M Ltd.</t>
  </si>
  <si>
    <t>Primavera Capital M (Mead</t>
  </si>
  <si>
    <t>400060122</t>
  </si>
  <si>
    <t>Alto</t>
  </si>
  <si>
    <t>ALTO FUND III</t>
  </si>
  <si>
    <t>40131217</t>
  </si>
  <si>
    <t>Bridgepoint Europe VII GP LLP,</t>
  </si>
  <si>
    <t>BRIDGEPOINT EUROPE VII</t>
  </si>
  <si>
    <t>400120124</t>
  </si>
  <si>
    <t>*Monarch Alternative Capital LP</t>
  </si>
  <si>
    <t>Monarch Capital Partners VI גננות</t>
  </si>
  <si>
    <t>400270323</t>
  </si>
  <si>
    <t>Electra Capital PM, LLC</t>
  </si>
  <si>
    <t>Electra Capital PM</t>
  </si>
  <si>
    <t>400140920</t>
  </si>
  <si>
    <t>Insight Associates XII, LP.</t>
  </si>
  <si>
    <t>Insight Partners XII</t>
  </si>
  <si>
    <t>400251121</t>
  </si>
  <si>
    <t>CVC Credit Capital Solutions III General Partner S.a.r.l.</t>
  </si>
  <si>
    <t>CVC Credit Capital Solutions III גננות</t>
  </si>
  <si>
    <t>400111223</t>
  </si>
  <si>
    <t>ASF VIII INFRASTRUCTURE GP Limited</t>
  </si>
  <si>
    <t>ASF VIII Infrastructure</t>
  </si>
  <si>
    <t>400120821</t>
  </si>
  <si>
    <t>Mission Capital Co-investment GP II, L.P.</t>
  </si>
  <si>
    <t>Axiom Asia Co-in II</t>
  </si>
  <si>
    <t>400261121</t>
  </si>
  <si>
    <t>Viola Credit ALF III GP, L.P.</t>
  </si>
  <si>
    <t>Viola Credit ALF III (2), L.P.</t>
  </si>
  <si>
    <t>400300724</t>
  </si>
  <si>
    <t>Dover Street XI Feeder Fu</t>
  </si>
  <si>
    <t>400200324</t>
  </si>
  <si>
    <t>Insight Associates XII Buyout Annex, L.P.</t>
  </si>
  <si>
    <t>Insight Partners XII Anne</t>
  </si>
  <si>
    <t>400161121</t>
  </si>
  <si>
    <t>Allianz Private Debt Secondary Fund1 GP Sarl</t>
  </si>
  <si>
    <t>Allianz Private Debt Secondary גננות</t>
  </si>
  <si>
    <t>400140125</t>
  </si>
  <si>
    <t>Vintage Fund of Funds VI (Access) GP, L.P.</t>
  </si>
  <si>
    <t>Vintage Fund of Funds VI</t>
  </si>
  <si>
    <t>400041120</t>
  </si>
  <si>
    <t>Vintage Fund of Funds VII (Access) GP, L.P.</t>
  </si>
  <si>
    <t>Vintage FOF VII (Access)</t>
  </si>
  <si>
    <t>400140722</t>
  </si>
  <si>
    <t>Penfund Capital Partners VII Inc.</t>
  </si>
  <si>
    <t>Penfund Capital VII</t>
  </si>
  <si>
    <t>400020422</t>
  </si>
  <si>
    <t>AMI GP LP Inc</t>
  </si>
  <si>
    <t>אייפקס מדיום ישראל מורים</t>
  </si>
  <si>
    <t>402012152</t>
  </si>
  <si>
    <t>RRED GP, LLC</t>
  </si>
  <si>
    <t>Related</t>
  </si>
  <si>
    <t>400061221</t>
  </si>
  <si>
    <t>FORMA FUND GENERAL PARTNER LTD</t>
  </si>
  <si>
    <t>Forma Fund</t>
  </si>
  <si>
    <t>400260318</t>
  </si>
  <si>
    <t>Corbel DSOF GP, LLC</t>
  </si>
  <si>
    <t>CORBEL DSOP גננות</t>
  </si>
  <si>
    <t>400260722</t>
  </si>
  <si>
    <t>Coller Capital - CIP IX גננות</t>
  </si>
  <si>
    <t>400010724</t>
  </si>
  <si>
    <t>One Equity Partners</t>
  </si>
  <si>
    <t>One Equity Partners IX, L.P גננות</t>
  </si>
  <si>
    <t>400091024</t>
  </si>
  <si>
    <t>ICG NORTH AMEIRCA</t>
  </si>
  <si>
    <t>400250219</t>
  </si>
  <si>
    <t>שקד פרטנרס 2 ג'י.פי. בעמ</t>
  </si>
  <si>
    <t>שקד 2 מורים וגננות</t>
  </si>
  <si>
    <t>400120723</t>
  </si>
  <si>
    <t>Faering International Growth III</t>
  </si>
  <si>
    <t>400090523</t>
  </si>
  <si>
    <t>Vintage Fund of Funds VI (Breakout) GP, L.P.</t>
  </si>
  <si>
    <t>400291020</t>
  </si>
  <si>
    <t>EQT X גננות</t>
  </si>
  <si>
    <t>400120623</t>
  </si>
  <si>
    <t>Gatewood Capital GP II LLC</t>
  </si>
  <si>
    <t>Gatewood II</t>
  </si>
  <si>
    <t>400290621</t>
  </si>
  <si>
    <t>harbourvest Direct lending 2 Associats LP</t>
  </si>
  <si>
    <t>harbourvest Direct lending 2 Parallel Fund LP</t>
  </si>
  <si>
    <t>400250724</t>
  </si>
  <si>
    <t>Rialto Partners GP V-Debt, LP</t>
  </si>
  <si>
    <t>Rialto Real Estate Fund V Debt, LP</t>
  </si>
  <si>
    <t>400270224</t>
  </si>
  <si>
    <t>Pagaya AUTO Class B גננות</t>
  </si>
  <si>
    <t>403012213</t>
  </si>
  <si>
    <t>Stage One Capital (GP) III L.P</t>
  </si>
  <si>
    <t>STAGE ONE 3</t>
  </si>
  <si>
    <t>400160118</t>
  </si>
  <si>
    <t>AMI II GP LP Inc</t>
  </si>
  <si>
    <t>AMI Opp. II גננות</t>
  </si>
  <si>
    <t>400300622</t>
  </si>
  <si>
    <t>Stage One Capital (GP) IV L.P.</t>
  </si>
  <si>
    <t>Stage One IV גננות</t>
  </si>
  <si>
    <t>403012215</t>
  </si>
  <si>
    <t>Penfund Capital VII CO-IN</t>
  </si>
  <si>
    <t>400030422</t>
  </si>
  <si>
    <t>LLCP Partners VII GP, L.P.</t>
  </si>
  <si>
    <t>Levine Leichtman Capital Partners Fund VII גננות</t>
  </si>
  <si>
    <t>400060325</t>
  </si>
  <si>
    <t>Coller IX GP Led and Direct</t>
  </si>
  <si>
    <t>400080824</t>
  </si>
  <si>
    <t>Stage One IV Annex</t>
  </si>
  <si>
    <t>403012216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</si>
  <si>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</si>
  <si>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</si>
  <si>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</si>
  <si>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</si>
  <si>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</si>
  <si>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</si>
  <si>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</si>
  <si>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</si>
  <si>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</si>
  <si>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</si>
  <si>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</si>
  <si>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</si>
  <si>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AYANA  Warrants - CLA 2021 Conversion</t>
  </si>
  <si>
    <t>403005192</t>
  </si>
  <si>
    <t>30/05/2019</t>
  </si>
  <si>
    <t>31.12.25  AYANA  Warrants - CLA 2022</t>
  </si>
  <si>
    <t>400221123</t>
  </si>
  <si>
    <t>0</t>
  </si>
  <si>
    <t>04/11/2024</t>
  </si>
  <si>
    <t>20/11/2023</t>
  </si>
  <si>
    <t>570002775</t>
  </si>
  <si>
    <t>EURILS</t>
  </si>
  <si>
    <t>06/03/2025</t>
  </si>
  <si>
    <t>21/04/2025</t>
  </si>
  <si>
    <t>570002718</t>
  </si>
  <si>
    <t>USDILS</t>
  </si>
  <si>
    <t>23/01/2025</t>
  </si>
  <si>
    <t>570002717</t>
  </si>
  <si>
    <t>21/01/2025</t>
  </si>
  <si>
    <t>570002716</t>
  </si>
  <si>
    <t>570002781</t>
  </si>
  <si>
    <t>10/03/2025</t>
  </si>
  <si>
    <t>570002715</t>
  </si>
  <si>
    <t>GBPILS</t>
  </si>
  <si>
    <t>570002721</t>
  </si>
  <si>
    <t>27/01/2025</t>
  </si>
  <si>
    <t>14/04/2025</t>
  </si>
  <si>
    <t>570002695</t>
  </si>
  <si>
    <t>13/01/2025</t>
  </si>
  <si>
    <t>570002698</t>
  </si>
  <si>
    <t>570002734</t>
  </si>
  <si>
    <t>12/02/2025</t>
  </si>
  <si>
    <t>570002779</t>
  </si>
  <si>
    <t>570002722</t>
  </si>
  <si>
    <t>570002719</t>
  </si>
  <si>
    <t>570002690</t>
  </si>
  <si>
    <t>09/01/2025</t>
  </si>
  <si>
    <t>09/04/2025</t>
  </si>
  <si>
    <t>570002686</t>
  </si>
  <si>
    <t>07/01/2025</t>
  </si>
  <si>
    <t>07/04/2025</t>
  </si>
  <si>
    <t>570002705</t>
  </si>
  <si>
    <t>14/01/2025</t>
  </si>
  <si>
    <t>16/04/2025</t>
  </si>
  <si>
    <t>570002754</t>
  </si>
  <si>
    <t>24/02/2025</t>
  </si>
  <si>
    <t>27/05/2025</t>
  </si>
  <si>
    <t>570002706</t>
  </si>
  <si>
    <t>91114009</t>
  </si>
  <si>
    <t>21/05/2023</t>
  </si>
  <si>
    <t>91101006</t>
  </si>
  <si>
    <t>31/08/2003</t>
  </si>
  <si>
    <t>90552313</t>
  </si>
  <si>
    <t>10/01/2023</t>
  </si>
  <si>
    <t>Ba2.il</t>
  </si>
  <si>
    <t>30/06/2025</t>
  </si>
  <si>
    <t>90301000</t>
  </si>
  <si>
    <t>25/03/2021</t>
  </si>
  <si>
    <t>30/06/2048</t>
  </si>
  <si>
    <t>91084014</t>
  </si>
  <si>
    <t>נדל"ן מניב - מגורים (כולל דיור מוגן)</t>
  </si>
  <si>
    <t>10/03/2022</t>
  </si>
  <si>
    <t>26/12/2026</t>
  </si>
  <si>
    <t>92060100</t>
  </si>
  <si>
    <t>12/07/2022</t>
  </si>
  <si>
    <t>25/03/2043</t>
  </si>
  <si>
    <t>70001003</t>
  </si>
  <si>
    <t>28/03/2018</t>
  </si>
  <si>
    <t>30/09/2045</t>
  </si>
  <si>
    <t>400051217</t>
  </si>
  <si>
    <t>05/12/2017</t>
  </si>
  <si>
    <t>01/01/1753</t>
  </si>
  <si>
    <t>90145563</t>
  </si>
  <si>
    <t>28/04/2015</t>
  </si>
  <si>
    <t>90838510</t>
  </si>
  <si>
    <t>26/07/2017</t>
  </si>
  <si>
    <t>31/12/2036</t>
  </si>
  <si>
    <t>70001002</t>
  </si>
  <si>
    <t>31/10/2045</t>
  </si>
  <si>
    <t>99110983</t>
  </si>
  <si>
    <t>06/02/2023</t>
  </si>
  <si>
    <t>04/02/2028</t>
  </si>
  <si>
    <t>90145300</t>
  </si>
  <si>
    <t>31/12/2017</t>
  </si>
  <si>
    <t>70001005</t>
  </si>
  <si>
    <t>9139730</t>
  </si>
  <si>
    <t>29/09/2022</t>
  </si>
  <si>
    <t>10/12/2030</t>
  </si>
  <si>
    <t>91410006</t>
  </si>
  <si>
    <t>05/08/2024</t>
  </si>
  <si>
    <t>BBB-</t>
  </si>
  <si>
    <t>04/08/2026</t>
  </si>
  <si>
    <t>31/12/2024</t>
  </si>
  <si>
    <t>90552201</t>
  </si>
  <si>
    <t>24/05/2023</t>
  </si>
  <si>
    <t>24/11/2025</t>
  </si>
  <si>
    <t>91084024</t>
  </si>
  <si>
    <t>27/11/2023</t>
  </si>
  <si>
    <t>70001004</t>
  </si>
  <si>
    <t>400271022</t>
  </si>
  <si>
    <t>29/08/2021</t>
  </si>
  <si>
    <t>70001001</t>
  </si>
  <si>
    <t>90107211</t>
  </si>
  <si>
    <t>02/06/2014</t>
  </si>
  <si>
    <t>94110002</t>
  </si>
  <si>
    <t>09/01/2026</t>
  </si>
  <si>
    <t>92060106</t>
  </si>
  <si>
    <t>19/06/2023</t>
  </si>
  <si>
    <t>90552200</t>
  </si>
  <si>
    <t>92060105</t>
  </si>
  <si>
    <t>16/11/2022</t>
  </si>
  <si>
    <t>98700001</t>
  </si>
  <si>
    <t>14/04/2022</t>
  </si>
  <si>
    <t>90552204</t>
  </si>
  <si>
    <t>14/12/2023</t>
  </si>
  <si>
    <t>90552202</t>
  </si>
  <si>
    <t>02/07/2023</t>
  </si>
  <si>
    <t>90301001</t>
  </si>
  <si>
    <t>90552100</t>
  </si>
  <si>
    <t>26/05/2022</t>
  </si>
  <si>
    <t>25/05/2025</t>
  </si>
  <si>
    <t>90552203</t>
  </si>
  <si>
    <t>01/10/2023</t>
  </si>
  <si>
    <t>400211123</t>
  </si>
  <si>
    <t>21/11/2023</t>
  </si>
  <si>
    <t>90552205</t>
  </si>
  <si>
    <t>01/04/2024</t>
  </si>
  <si>
    <t>24/11/2026</t>
  </si>
  <si>
    <t>92060107</t>
  </si>
  <si>
    <t>24/09/2024</t>
  </si>
  <si>
    <t>25/09/2025</t>
  </si>
  <si>
    <t>90552101</t>
  </si>
  <si>
    <t>04/01/2023</t>
  </si>
  <si>
    <t>07/12/2025</t>
  </si>
  <si>
    <t>90838531</t>
  </si>
  <si>
    <t>28/11/2017</t>
  </si>
  <si>
    <t>90552206</t>
  </si>
  <si>
    <t>01/10/2024</t>
  </si>
  <si>
    <t>90552116</t>
  </si>
  <si>
    <t>08/12/2024</t>
  </si>
  <si>
    <t>90552119</t>
  </si>
  <si>
    <t>24/03/2025</t>
  </si>
  <si>
    <t>90552103</t>
  </si>
  <si>
    <t>02/04/2023</t>
  </si>
  <si>
    <t>90552117</t>
  </si>
  <si>
    <t>05/01/2025</t>
  </si>
  <si>
    <t>90552106</t>
  </si>
  <si>
    <t>90552102</t>
  </si>
  <si>
    <t>12/03/2023</t>
  </si>
  <si>
    <t>90552118</t>
  </si>
  <si>
    <t>11/02/2025</t>
  </si>
  <si>
    <t>90552104</t>
  </si>
  <si>
    <t>10/05/2023</t>
  </si>
  <si>
    <t>90552109</t>
  </si>
  <si>
    <t>12/10/2023</t>
  </si>
  <si>
    <t>90552115</t>
  </si>
  <si>
    <t>14/10/2024</t>
  </si>
  <si>
    <t>90838501</t>
  </si>
  <si>
    <t>01/05/2018</t>
  </si>
  <si>
    <t>90552107</t>
  </si>
  <si>
    <t>07/08/2023</t>
  </si>
  <si>
    <t>90552108</t>
  </si>
  <si>
    <t>03/09/2023</t>
  </si>
  <si>
    <t>90552113</t>
  </si>
  <si>
    <t>16/04/2024</t>
  </si>
  <si>
    <t>90552112</t>
  </si>
  <si>
    <t>08/02/2024</t>
  </si>
  <si>
    <t>90552110</t>
  </si>
  <si>
    <t>08/11/2023</t>
  </si>
  <si>
    <t>90552114</t>
  </si>
  <si>
    <t>28/08/2024</t>
  </si>
  <si>
    <t>90552111</t>
  </si>
  <si>
    <t>11/01/2024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</si>
  <si>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</si>
  <si>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</si>
  <si>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</si>
  <si>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</si>
  <si>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</si>
  <si>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</si>
  <si>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</si>
  <si>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90300072</t>
  </si>
  <si>
    <t>25/08/2028</t>
  </si>
  <si>
    <t>90300050</t>
  </si>
  <si>
    <t>31/05/2023</t>
  </si>
  <si>
    <t>90300044</t>
  </si>
  <si>
    <t>90300043</t>
  </si>
  <si>
    <t>25/05/2023</t>
  </si>
  <si>
    <t>90300081</t>
  </si>
  <si>
    <t>91731000</t>
  </si>
  <si>
    <t>11/09/2022</t>
  </si>
  <si>
    <t>91073007</t>
  </si>
  <si>
    <t>90150720</t>
  </si>
  <si>
    <t>28/10/1999</t>
  </si>
  <si>
    <t>90150520</t>
  </si>
  <si>
    <t>28/09/2004</t>
  </si>
  <si>
    <t>90150300</t>
  </si>
  <si>
    <t>28/06/2007</t>
  </si>
  <si>
    <t>זכויות על תמלוגים במאגר תמר גננות</t>
  </si>
  <si>
    <t>400311219</t>
  </si>
  <si>
    <t>31/12/2019</t>
  </si>
  <si>
    <t>ilBBB+</t>
  </si>
  <si>
    <t>רויאלטיז של אינטגרה</t>
  </si>
  <si>
    <t>400505131</t>
  </si>
  <si>
    <t>הסדר חוב חנן מור שדה דב</t>
  </si>
  <si>
    <t>400290724</t>
  </si>
  <si>
    <t xml:space="preserve">שם גליון </t>
  </si>
  <si>
    <t>קישור לגליון</t>
  </si>
  <si>
    <t>עמוד פתיחה</t>
  </si>
  <si>
    <t>FC000268</t>
  </si>
  <si>
    <t>31/03/2025</t>
  </si>
  <si>
    <t>סכום נכסים</t>
  </si>
  <si>
    <t>לא סחיר מניות מבכ ויהש</t>
  </si>
  <si>
    <t>מניות מבכ ויהש</t>
  </si>
  <si>
    <t>520027251_gm_p_0125.xlsx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</si>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</sst>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0.000"/>
    <numFmt numFmtId="166" formatCode="0.000%"/>
    <numFmt numFmtId="167" formatCode="#,##0.000"/>
    <numFmt numFmtId="168" formatCode="#,##0.000%"/>
    <numFmt numFmtId="173" formatCode="dd/mm/yyyy"/>
    <numFmt numFmtId="174" formatCode="0.000;\-0.000"/>
    <numFmt numFmtId="175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5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73" fontId="2" fillId="0" borderId="18" xfId="0" applyNumberFormat="1" applyFont="1" applyBorder="1"/>
    <xf numFmtId="173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5" xfId="0" applyFont="1" applyBorder="1"/>
    <xf numFmtId="173" fontId="0" fillId="0" borderId="18" xfId="0" applyNumberFormat="1" applyBorder="1"/>
    <xf numFmtId="173" fontId="5" fillId="0" borderId="18" xfId="0" applyNumberFormat="1" applyFont="1" applyBorder="1"/>
    <xf numFmtId="0" fontId="5" fillId="0" borderId="26" xfId="0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74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3" fillId="0" borderId="18" xfId="0" applyFont="1" applyBorder="1"/>
    <xf numFmtId="0" fontId="2" fillId="0" borderId="32" xfId="0" applyFont="1" applyBorder="1" applyAlignment="1">
      <alignment horizontal="center"/>
    </xf>
    <xf numFmtId="0" fontId="3" fillId="0" borderId="32" xfId="0" applyFont="1" applyBorder="1"/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166" fontId="2" fillId="0" borderId="18" xfId="0" applyNumberFormat="1" applyFont="1" applyBorder="1"/>
    <xf numFmtId="166" fontId="5" fillId="0" borderId="18" xfId="0" applyNumberFormat="1" applyFont="1" applyBorder="1"/>
    <xf numFmtId="0" fontId="4" fillId="0" borderId="26" xfId="0" applyFont="1" applyBorder="1" applyProtection="1">
      <protection locked="0"/>
    </xf>
    <xf numFmtId="0" fontId="2" fillId="0" borderId="25" xfId="0" applyFont="1" applyBorder="1"/>
    <xf numFmtId="173" fontId="0" fillId="0" borderId="26" xfId="0" applyNumberFormat="1" applyBorder="1"/>
    <xf numFmtId="173" fontId="2" fillId="0" borderId="26" xfId="0" applyNumberFormat="1" applyFont="1" applyBorder="1"/>
    <xf numFmtId="173" fontId="5" fillId="0" borderId="26" xfId="0" applyNumberFormat="1" applyFont="1" applyBorder="1"/>
    <xf numFmtId="0" fontId="32" fillId="0" borderId="0" xfId="0" applyFont="1"/>
    <xf numFmtId="0" fontId="8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  <xf numFmtId="0" fontId="3" fillId="0" borderId="0" xfId="0" applyFont="1" applyAlignment="1">
      <alignment horizontal="center"/>
    </xf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5" headerRowBorderDxfId="920" tableBorderDxfId="921">
  <autoFilter ref="A2:E33"/>
  <tableColumns count="5">
    <tableColumn id="1" name="עמודה1" dataDxfId="919"/>
    <tableColumn id="2" name="עמודה2"/>
    <tableColumn id="3" name="ידווח בקבצי נכסי הנוסטרו בלבד" dataDxfId="918"/>
    <tableColumn id="4" name="עמודה3" dataDxfId="917"/>
    <tableColumn id="5" name="עמודה4" dataDxfId="9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869" dataDxfId="914" headerRowBorderDxfId="888" tableBorderDxfId="889" totalsRowBorderDxfId="887">
  <autoFilter ref="A2:Q25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40" totalsRowShown="0" headerRowDxfId="839" dataDxfId="913" headerRowBorderDxfId="867" tableBorderDxfId="868" totalsRowBorderDxfId="866">
  <autoFilter ref="A2:Z140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2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06" totalsRowShown="0" headerRowDxfId="759" dataDxfId="911" headerRowBorderDxfId="797" tableBorderDxfId="798" totalsRowBorderDxfId="796">
  <autoFilter ref="A2:AJ506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6" totalsRowShown="0" headerRowDxfId="731" dataDxfId="910" headerRowBorderDxfId="757" tableBorderDxfId="758" totalsRowBorderDxfId="756">
  <autoFilter ref="A2:X286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30" totalsRowShown="0" headerRowDxfId="704" dataDxfId="909" headerRowBorderDxfId="729" tableBorderDxfId="730" totalsRowBorderDxfId="728">
  <autoFilter ref="A2:W230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6" totalsRowShown="0" headerRowDxfId="677" dataDxfId="908" headerRowBorderDxfId="702" tableBorderDxfId="703" totalsRowBorderDxfId="701">
  <autoFilter ref="A2:W36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2" totalsRowShown="0" headerRowDxfId="648" dataDxfId="907" headerRowBorderDxfId="675" tableBorderDxfId="676" totalsRowBorderDxfId="674">
  <autoFilter ref="A2:Y12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6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596" dataDxfId="905" headerRowBorderDxfId="618" tableBorderDxfId="619" totalsRowBorderDxfId="617">
  <autoFilter ref="A2:T19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dataDxfId="90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3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2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16" dataDxfId="901" headerRowBorderDxfId="456" tableBorderDxfId="457" totalsRowBorderDxfId="455">
  <autoFilter ref="A2:AL18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9" totalsRowShown="0" headerRowDxfId="386" dataDxfId="900" headerRowBorderDxfId="414" tableBorderDxfId="415" totalsRowBorderDxfId="413">
  <autoFilter ref="A2:Z59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93" totalsRowShown="0" headerRowDxfId="356" dataDxfId="899" headerRowBorderDxfId="384" tableBorderDxfId="385" totalsRowBorderDxfId="383">
  <autoFilter ref="A2:Z293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8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7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36" totalsRowShown="0" headerRowDxfId="247" headerRowBorderDxfId="290" tableBorderDxfId="291" totalsRowBorderDxfId="289">
  <autoFilter ref="A2:AO36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35" totalsRowShown="0" headerRowDxfId="190" headerRowBorderDxfId="245" tableBorderDxfId="246" totalsRowBorderDxfId="244">
  <autoFilter ref="A2:BA135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30" dataDxfId="895" headerRowBorderDxfId="154" tableBorderDxfId="155" totalsRowBorderDxfId="153">
  <autoFilter ref="A2:V8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28" totalsRowShown="0" headerRowDxfId="8" dataDxfId="890" headerRowBorderDxfId="27" tableBorderDxfId="28" totalsRowBorderDxfId="26">
  <autoFilter ref="A2:Q228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3494</v>
      </c>
    </row>
    <row r="2" spans="1:2" ht="15" x14ac:dyDescent="0.25">
      <c r="A2" s="120" t="s">
        <v>3441</v>
      </c>
      <c r="B2" s="121" t="s">
        <v>3442</v>
      </c>
    </row>
    <row r="3" spans="1:2" x14ac:dyDescent="0.2">
      <c r="A3" s="122" t="s">
        <v>3443</v>
      </c>
      <c r="B3" s="127" t="s">
        <v>3453</v>
      </c>
    </row>
    <row r="4" spans="1:2" x14ac:dyDescent="0.2">
      <c r="A4" s="122" t="s">
        <v>3446</v>
      </c>
      <c r="B4" s="127" t="s">
        <v>3453</v>
      </c>
    </row>
    <row r="5" spans="1:2" x14ac:dyDescent="0.2">
      <c r="A5" s="122" t="s">
        <v>19</v>
      </c>
      <c r="B5" s="127" t="s">
        <v>3453</v>
      </c>
    </row>
    <row r="6" spans="1:2" x14ac:dyDescent="0.2">
      <c r="A6" s="122" t="s">
        <v>20</v>
      </c>
      <c r="B6" s="127" t="s">
        <v>3453</v>
      </c>
    </row>
    <row r="7" spans="1:2" x14ac:dyDescent="0.2">
      <c r="A7" s="122" t="s">
        <v>21</v>
      </c>
      <c r="B7" s="127" t="s">
        <v>3453</v>
      </c>
    </row>
    <row r="8" spans="1:2" x14ac:dyDescent="0.2">
      <c r="A8" s="122" t="s">
        <v>22</v>
      </c>
      <c r="B8" s="127" t="s">
        <v>3453</v>
      </c>
    </row>
    <row r="9" spans="1:2" x14ac:dyDescent="0.2">
      <c r="A9" s="122" t="s">
        <v>3448</v>
      </c>
      <c r="B9" s="127" t="s">
        <v>3453</v>
      </c>
    </row>
    <row r="10" spans="1:2" ht="15" x14ac:dyDescent="0.2">
      <c r="A10" s="123" t="s">
        <v>24</v>
      </c>
      <c r="B10" s="127" t="s">
        <v>3453</v>
      </c>
    </row>
    <row r="11" spans="1:2" x14ac:dyDescent="0.2">
      <c r="A11" s="122" t="s">
        <v>25</v>
      </c>
      <c r="B11" s="127" t="s">
        <v>3453</v>
      </c>
    </row>
    <row r="12" spans="1:2" x14ac:dyDescent="0.2">
      <c r="A12" s="122" t="s">
        <v>26</v>
      </c>
      <c r="B12" s="127" t="s">
        <v>3453</v>
      </c>
    </row>
    <row r="13" spans="1:2" x14ac:dyDescent="0.2">
      <c r="A13" s="122" t="s">
        <v>27</v>
      </c>
      <c r="B13" s="127" t="s">
        <v>3453</v>
      </c>
    </row>
    <row r="14" spans="1:2" x14ac:dyDescent="0.2">
      <c r="A14" s="122" t="s">
        <v>28</v>
      </c>
      <c r="B14" s="127" t="s">
        <v>3453</v>
      </c>
    </row>
    <row r="15" spans="1:2" x14ac:dyDescent="0.2">
      <c r="A15" s="122" t="s">
        <v>29</v>
      </c>
      <c r="B15" s="127" t="s">
        <v>3453</v>
      </c>
    </row>
    <row r="16" spans="1:2" x14ac:dyDescent="0.2">
      <c r="A16" s="122" t="s">
        <v>30</v>
      </c>
      <c r="B16" s="127" t="s">
        <v>3453</v>
      </c>
    </row>
    <row r="17" spans="1:2" x14ac:dyDescent="0.2">
      <c r="A17" s="122" t="s">
        <v>31</v>
      </c>
      <c r="B17" s="127" t="s">
        <v>3453</v>
      </c>
    </row>
    <row r="18" spans="1:2" ht="15" x14ac:dyDescent="0.2">
      <c r="A18" s="123" t="s">
        <v>32</v>
      </c>
      <c r="B18" s="127" t="s">
        <v>3453</v>
      </c>
    </row>
    <row r="19" spans="1:2" x14ac:dyDescent="0.2">
      <c r="A19" s="122" t="s">
        <v>33</v>
      </c>
      <c r="B19" s="127" t="s">
        <v>3453</v>
      </c>
    </row>
    <row r="20" spans="1:2" x14ac:dyDescent="0.2">
      <c r="A20" s="122" t="s">
        <v>34</v>
      </c>
      <c r="B20" s="127" t="s">
        <v>3453</v>
      </c>
    </row>
    <row r="21" spans="1:2" x14ac:dyDescent="0.2">
      <c r="A21" s="122" t="s">
        <v>3447</v>
      </c>
      <c r="B21" s="127" t="s">
        <v>3453</v>
      </c>
    </row>
    <row r="22" spans="1:2" x14ac:dyDescent="0.2">
      <c r="A22" s="122" t="s">
        <v>36</v>
      </c>
      <c r="B22" s="127" t="s">
        <v>3453</v>
      </c>
    </row>
    <row r="23" spans="1:2" x14ac:dyDescent="0.2">
      <c r="A23" s="122" t="s">
        <v>37</v>
      </c>
      <c r="B23" s="127" t="s">
        <v>3453</v>
      </c>
    </row>
    <row r="24" spans="1:2" x14ac:dyDescent="0.2">
      <c r="A24" s="122" t="s">
        <v>38</v>
      </c>
      <c r="B24" s="127" t="s">
        <v>3453</v>
      </c>
    </row>
    <row r="25" spans="1:2" x14ac:dyDescent="0.2">
      <c r="A25" s="122" t="s">
        <v>39</v>
      </c>
      <c r="B25" s="127" t="s">
        <v>3453</v>
      </c>
    </row>
    <row r="26" spans="1:2" x14ac:dyDescent="0.2">
      <c r="A26" s="122" t="s">
        <v>40</v>
      </c>
      <c r="B26" s="127" t="s">
        <v>3453</v>
      </c>
    </row>
    <row r="27" spans="1:2" x14ac:dyDescent="0.2">
      <c r="A27" s="122" t="s">
        <v>41</v>
      </c>
      <c r="B27" s="127" t="s">
        <v>3453</v>
      </c>
    </row>
    <row r="28" spans="1:2" x14ac:dyDescent="0.2">
      <c r="A28" s="122" t="s">
        <v>42</v>
      </c>
      <c r="B28" s="127" t="s">
        <v>3453</v>
      </c>
    </row>
    <row r="29" spans="1:2" x14ac:dyDescent="0.2">
      <c r="A29" s="122" t="s">
        <v>43</v>
      </c>
      <c r="B29" s="127" t="s">
        <v>3453</v>
      </c>
    </row>
    <row r="30" spans="1:2" x14ac:dyDescent="0.2">
      <c r="A30" s="124" t="s">
        <v>44</v>
      </c>
      <c r="B30" s="127" t="s">
        <v>3453</v>
      </c>
    </row>
    <row r="31" spans="1:2" x14ac:dyDescent="0.2">
      <c r="A31" s="122" t="s">
        <v>45</v>
      </c>
      <c r="B31" s="127" t="s">
        <v>3453</v>
      </c>
    </row>
    <row r="32" spans="1:2" x14ac:dyDescent="0.2">
      <c r="A32" s="122" t="s">
        <v>47</v>
      </c>
      <c r="B32" s="127" t="s">
        <v>3453</v>
      </c>
    </row>
    <row r="33" spans="1:2" x14ac:dyDescent="0.2">
      <c r="A33" s="125" t="s">
        <v>1067</v>
      </c>
      <c r="B33" s="128" t="s">
        <v>3453</v>
      </c>
    </row>
    <row r="34" spans="1:2" x14ac:dyDescent="0.2">
      <c r="A34" s="1" t="s">
        <v>3460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3463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1112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2025</v>
      </c>
    </row>
    <row r="12" spans="1:8" ht="15" x14ac:dyDescent="0.2">
      <c r="A12" t="s">
        <v>5</v>
      </c>
      <c r="D12" s="72" t="s">
        <v>1198</v>
      </c>
    </row>
    <row r="14" spans="1:8" ht="15" x14ac:dyDescent="0.2">
      <c r="A14" t="s">
        <v>6</v>
      </c>
      <c r="D14" s="73">
        <v>520027251</v>
      </c>
    </row>
    <row r="16" spans="1:8" ht="15" x14ac:dyDescent="0.25">
      <c r="A16" s="13" t="s">
        <v>7</v>
      </c>
      <c r="D16" s="73" t="s">
        <v>3449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3450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3451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3452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3460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3464</v>
      </c>
    </row>
    <row r="2" spans="1:6" ht="18.75" customHeight="1" x14ac:dyDescent="0.2">
      <c r="A2" s="137" t="s">
        <v>3455</v>
      </c>
      <c r="B2" s="138" t="s">
        <v>3456</v>
      </c>
      <c r="C2" s="139" t="s">
        <v>14</v>
      </c>
      <c r="D2" s="140" t="s">
        <v>3457</v>
      </c>
      <c r="E2" s="138" t="s">
        <v>3458</v>
      </c>
      <c r="F2" s="194" t="s">
        <v>3462</v>
      </c>
    </row>
    <row r="3" spans="1:6" ht="39.75" customHeight="1" x14ac:dyDescent="0.2">
      <c r="A3" s="137" t="s">
        <v>3454</v>
      </c>
      <c r="B3" s="138" t="s">
        <v>15</v>
      </c>
      <c r="C3" s="138" t="s">
        <v>16</v>
      </c>
      <c r="D3" s="138" t="s">
        <v>17</v>
      </c>
      <c r="E3" s="138" t="s">
        <v>18</v>
      </c>
      <c r="F3" s="194"/>
    </row>
    <row r="4" spans="1:6" ht="14.25" x14ac:dyDescent="0.2">
      <c r="A4" s="135" t="s">
        <v>19</v>
      </c>
      <c r="B4" s="118">
        <v>1009028.844</v>
      </c>
      <c r="C4" s="136"/>
      <c r="D4" s="136"/>
      <c r="E4" s="119">
        <v>3.7830000000000003E-2</v>
      </c>
      <c r="F4" s="194"/>
    </row>
    <row r="5" spans="1:6" ht="14.25" x14ac:dyDescent="0.2">
      <c r="A5" s="129" t="s">
        <v>20</v>
      </c>
      <c r="B5" s="118">
        <v>4153975.6340000001</v>
      </c>
      <c r="C5" s="32"/>
      <c r="D5" s="32"/>
      <c r="E5" s="119">
        <v>0.15575</v>
      </c>
      <c r="F5" s="194"/>
    </row>
    <row r="6" spans="1:6" x14ac:dyDescent="0.2">
      <c r="A6" s="129" t="s">
        <v>21</v>
      </c>
      <c r="B6" s="32"/>
      <c r="C6" s="32"/>
      <c r="D6" s="32"/>
      <c r="E6" s="32"/>
      <c r="F6" s="194"/>
    </row>
    <row r="7" spans="1:6" ht="14.25" x14ac:dyDescent="0.2">
      <c r="A7" s="129" t="s">
        <v>22</v>
      </c>
      <c r="B7" s="118">
        <v>3410269.0830000001</v>
      </c>
      <c r="C7" s="32"/>
      <c r="D7" s="32"/>
      <c r="E7" s="119">
        <v>0.12786</v>
      </c>
      <c r="F7" s="194"/>
    </row>
    <row r="8" spans="1:6" ht="14.25" x14ac:dyDescent="0.2">
      <c r="A8" s="129" t="s">
        <v>23</v>
      </c>
      <c r="B8" s="118">
        <v>5682103.108</v>
      </c>
      <c r="C8" s="32"/>
      <c r="D8" s="32"/>
      <c r="E8" s="119">
        <v>0.21304000000000001</v>
      </c>
      <c r="F8" s="194"/>
    </row>
    <row r="9" spans="1:6" ht="14.25" x14ac:dyDescent="0.2">
      <c r="A9" s="129" t="s">
        <v>24</v>
      </c>
      <c r="B9" s="118">
        <v>5603477.9409999996</v>
      </c>
      <c r="C9" s="32"/>
      <c r="D9" s="32"/>
      <c r="E9" s="119">
        <v>0.21009</v>
      </c>
      <c r="F9" s="194"/>
    </row>
    <row r="10" spans="1:6" ht="14.25" x14ac:dyDescent="0.2">
      <c r="A10" s="129" t="s">
        <v>25</v>
      </c>
      <c r="B10" s="118">
        <v>888719.68</v>
      </c>
      <c r="C10" s="32"/>
      <c r="D10" s="32"/>
      <c r="E10" s="119">
        <v>3.3320000000000002E-2</v>
      </c>
      <c r="F10" s="194"/>
    </row>
    <row r="11" spans="1:6" ht="14.25" x14ac:dyDescent="0.2">
      <c r="A11" s="129" t="s">
        <v>26</v>
      </c>
      <c r="B11" s="118">
        <v>3551.13</v>
      </c>
      <c r="C11" s="32"/>
      <c r="D11" s="32"/>
      <c r="E11" s="119">
        <v>1.2999999999999999E-4</v>
      </c>
      <c r="F11" s="194"/>
    </row>
    <row r="12" spans="1:6" ht="14.25" x14ac:dyDescent="0.2">
      <c r="A12" s="129" t="s">
        <v>27</v>
      </c>
      <c r="B12" s="118">
        <v>2590.3359999999998</v>
      </c>
      <c r="C12" s="32"/>
      <c r="D12" s="32"/>
      <c r="E12" s="119">
        <v>1E-4</v>
      </c>
      <c r="F12" s="194"/>
    </row>
    <row r="13" spans="1:6" ht="14.25" x14ac:dyDescent="0.2">
      <c r="A13" s="129" t="s">
        <v>28</v>
      </c>
      <c r="B13" s="118">
        <v>-5871.58</v>
      </c>
      <c r="C13" s="32"/>
      <c r="D13" s="32"/>
      <c r="E13" s="119">
        <v>-2.2000000000000001E-4</v>
      </c>
      <c r="F13" s="194"/>
    </row>
    <row r="14" spans="1:6" ht="14.25" x14ac:dyDescent="0.2">
      <c r="A14" s="129" t="s">
        <v>29</v>
      </c>
      <c r="B14" s="118">
        <v>141425.24</v>
      </c>
      <c r="C14" s="32"/>
      <c r="D14" s="32"/>
      <c r="E14" s="119">
        <v>5.3E-3</v>
      </c>
      <c r="F14" s="194"/>
    </row>
    <row r="15" spans="1:6" x14ac:dyDescent="0.2">
      <c r="A15" s="129" t="s">
        <v>30</v>
      </c>
      <c r="B15" s="32"/>
      <c r="C15" s="32"/>
      <c r="D15" s="32"/>
      <c r="E15" s="32"/>
      <c r="F15" s="194"/>
    </row>
    <row r="16" spans="1:6" x14ac:dyDescent="0.2">
      <c r="A16" s="129" t="s">
        <v>31</v>
      </c>
      <c r="B16" s="32"/>
      <c r="C16" s="32"/>
      <c r="D16" s="32"/>
      <c r="E16" s="32"/>
      <c r="F16" s="194"/>
    </row>
    <row r="17" spans="1:6" x14ac:dyDescent="0.2">
      <c r="A17" s="129" t="s">
        <v>32</v>
      </c>
      <c r="B17" s="32"/>
      <c r="C17" s="32"/>
      <c r="D17" s="32"/>
      <c r="E17" s="32"/>
      <c r="F17" s="194"/>
    </row>
    <row r="18" spans="1:6" x14ac:dyDescent="0.2">
      <c r="A18" s="129" t="s">
        <v>33</v>
      </c>
      <c r="B18" s="32"/>
      <c r="C18" s="32"/>
      <c r="D18" s="32"/>
      <c r="E18" s="32"/>
      <c r="F18" s="194"/>
    </row>
    <row r="19" spans="1:6" ht="14.25" x14ac:dyDescent="0.2">
      <c r="A19" s="129" t="s">
        <v>34</v>
      </c>
      <c r="B19" s="118">
        <v>25730.133999999998</v>
      </c>
      <c r="C19" s="32"/>
      <c r="D19" s="32"/>
      <c r="E19" s="119">
        <v>9.6000000000000002E-4</v>
      </c>
      <c r="F19" s="194"/>
    </row>
    <row r="20" spans="1:6" ht="14.25" x14ac:dyDescent="0.2">
      <c r="A20" s="129" t="s">
        <v>35</v>
      </c>
      <c r="B20" s="118">
        <v>1565322.4650000001</v>
      </c>
      <c r="C20" s="32"/>
      <c r="D20" s="32"/>
      <c r="E20" s="119">
        <v>5.8689999999999999E-2</v>
      </c>
      <c r="F20" s="194"/>
    </row>
    <row r="21" spans="1:6" ht="14.25" x14ac:dyDescent="0.2">
      <c r="A21" s="129" t="s">
        <v>36</v>
      </c>
      <c r="B21" s="118">
        <v>3742250.32</v>
      </c>
      <c r="C21" s="32"/>
      <c r="D21" s="32"/>
      <c r="E21" s="119">
        <v>0.14030999999999999</v>
      </c>
      <c r="F21" s="194"/>
    </row>
    <row r="22" spans="1:6" ht="14.25" x14ac:dyDescent="0.2">
      <c r="A22" s="129" t="s">
        <v>37</v>
      </c>
      <c r="B22" s="118">
        <v>2391.6350000000002</v>
      </c>
      <c r="C22" s="32"/>
      <c r="D22" s="32"/>
      <c r="E22" s="119">
        <v>9.0000000000000006E-5</v>
      </c>
      <c r="F22" s="194"/>
    </row>
    <row r="23" spans="1:6" x14ac:dyDescent="0.2">
      <c r="A23" s="129" t="s">
        <v>38</v>
      </c>
      <c r="B23" s="32"/>
      <c r="C23" s="32"/>
      <c r="D23" s="32"/>
      <c r="E23" s="32"/>
      <c r="F23" s="194"/>
    </row>
    <row r="24" spans="1:6" ht="14.25" x14ac:dyDescent="0.2">
      <c r="A24" s="129" t="s">
        <v>39</v>
      </c>
      <c r="B24" s="118">
        <v>-263420.55300000001</v>
      </c>
      <c r="C24" s="32"/>
      <c r="D24" s="32"/>
      <c r="E24" s="119">
        <v>-9.8799999999999999E-3</v>
      </c>
      <c r="F24" s="194"/>
    </row>
    <row r="25" spans="1:6" ht="14.25" x14ac:dyDescent="0.2">
      <c r="A25" s="129" t="s">
        <v>40</v>
      </c>
      <c r="B25" s="118">
        <v>555849.27300000004</v>
      </c>
      <c r="C25" s="32"/>
      <c r="D25" s="32"/>
      <c r="E25" s="119">
        <v>2.0840000000000001E-2</v>
      </c>
      <c r="F25" s="194"/>
    </row>
    <row r="26" spans="1:6" ht="14.25" x14ac:dyDescent="0.2">
      <c r="A26" s="129" t="s">
        <v>41</v>
      </c>
      <c r="B26" s="118">
        <v>149270.69</v>
      </c>
      <c r="C26" s="32"/>
      <c r="D26" s="32"/>
      <c r="E26" s="119">
        <v>5.5999999999999999E-3</v>
      </c>
      <c r="F26" s="194"/>
    </row>
    <row r="27" spans="1:6" x14ac:dyDescent="0.2">
      <c r="A27" s="129" t="s">
        <v>42</v>
      </c>
      <c r="B27" s="32"/>
      <c r="C27" s="32"/>
      <c r="D27" s="32"/>
      <c r="E27" s="32"/>
      <c r="F27" s="194"/>
    </row>
    <row r="28" spans="1:6" x14ac:dyDescent="0.2">
      <c r="A28" s="129" t="s">
        <v>43</v>
      </c>
      <c r="B28" s="32"/>
      <c r="C28" s="32"/>
      <c r="D28" s="32"/>
      <c r="E28" s="32"/>
      <c r="F28" s="194"/>
    </row>
    <row r="29" spans="1:6" x14ac:dyDescent="0.2">
      <c r="A29" s="129" t="s">
        <v>44</v>
      </c>
      <c r="B29" s="32"/>
      <c r="C29" s="32"/>
      <c r="D29" s="32"/>
      <c r="E29" s="32"/>
      <c r="F29" s="194"/>
    </row>
    <row r="30" spans="1:6" ht="14.25" x14ac:dyDescent="0.2">
      <c r="A30" s="129" t="s">
        <v>45</v>
      </c>
      <c r="B30" s="118">
        <v>4548.3040000000001</v>
      </c>
      <c r="C30" s="32"/>
      <c r="D30" s="32"/>
      <c r="E30" s="119">
        <v>1.7000000000000001E-4</v>
      </c>
      <c r="F30" s="194"/>
    </row>
    <row r="31" spans="1:6" x14ac:dyDescent="0.2">
      <c r="A31" s="130" t="s">
        <v>46</v>
      </c>
      <c r="B31" s="116">
        <v>26671211.684</v>
      </c>
      <c r="C31" s="116">
        <f>SUM(C4:C30)</f>
        <v>0</v>
      </c>
      <c r="D31" s="116">
        <f>SUM(D4:D30)</f>
        <v>0</v>
      </c>
      <c r="E31" s="117">
        <f>SUM(E4:E30)</f>
        <v>0.99998000000000009</v>
      </c>
      <c r="F31" s="194"/>
    </row>
    <row r="32" spans="1:6" x14ac:dyDescent="0.2">
      <c r="A32" s="129" t="s">
        <v>47</v>
      </c>
      <c r="B32" s="32"/>
      <c r="C32" s="32"/>
      <c r="D32" s="32"/>
      <c r="E32" s="32"/>
      <c r="F32" s="194"/>
    </row>
    <row r="33" spans="1:6" x14ac:dyDescent="0.2">
      <c r="A33" s="131" t="s">
        <v>48</v>
      </c>
      <c r="B33" s="132">
        <v>1406441.0448385768</v>
      </c>
      <c r="C33" s="133"/>
      <c r="D33" s="133"/>
      <c r="E33" s="133"/>
      <c r="F33" s="194"/>
    </row>
    <row r="34" spans="1:6" x14ac:dyDescent="0.2">
      <c r="A34" s="194" t="s">
        <v>3461</v>
      </c>
      <c r="B34" s="194"/>
      <c r="C34" s="194"/>
      <c r="D34" s="194"/>
      <c r="E34" s="194"/>
    </row>
    <row r="35" spans="1:6" x14ac:dyDescent="0.2">
      <c r="A35" s="6" t="s">
        <v>3460</v>
      </c>
    </row>
    <row r="36" spans="1:6" x14ac:dyDescent="0.2">
      <c r="A36" s="195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3465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197" t="s">
        <v>3462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1527.1679999999999</v>
      </c>
      <c r="M3" s="146">
        <v>1</v>
      </c>
      <c r="N3" s="147"/>
      <c r="O3" s="146">
        <v>1527.1679999999999</v>
      </c>
      <c r="P3" s="148">
        <v>0.83045000000000002</v>
      </c>
      <c r="Q3" s="149">
        <v>4.8090000000000001E-2</v>
      </c>
      <c r="R3" s="197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83.123999999999995</v>
      </c>
      <c r="M4" s="146">
        <v>3.718</v>
      </c>
      <c r="N4" s="145"/>
      <c r="O4" s="146">
        <v>309.053</v>
      </c>
      <c r="P4" s="148">
        <v>0.16805999999999999</v>
      </c>
      <c r="Q4" s="149">
        <v>9.7300000000000008E-3</v>
      </c>
      <c r="R4" s="197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0.60399999999999998</v>
      </c>
      <c r="M5" s="146">
        <v>4.0220000000000002</v>
      </c>
      <c r="N5" s="145"/>
      <c r="O5" s="146">
        <v>2.431</v>
      </c>
      <c r="P5" s="148">
        <v>1.32E-3</v>
      </c>
      <c r="Q5" s="149">
        <v>8.0000000000000007E-5</v>
      </c>
      <c r="R5" s="197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0.65500000000000003</v>
      </c>
      <c r="M6" s="146">
        <v>0.47799999999999998</v>
      </c>
      <c r="N6" s="145"/>
      <c r="O6" s="146">
        <v>0.313</v>
      </c>
      <c r="P6" s="148">
        <v>1.7000000000000001E-4</v>
      </c>
      <c r="Q6" s="149">
        <v>1.0000000000000001E-5</v>
      </c>
      <c r="R6" s="197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130.947</v>
      </c>
      <c r="M7" s="146">
        <v>1</v>
      </c>
      <c r="N7" s="145"/>
      <c r="O7" s="146">
        <v>130.947</v>
      </c>
      <c r="P7" s="148">
        <v>0.99263000000000001</v>
      </c>
      <c r="Q7" s="149">
        <v>6.0609999999999997E-2</v>
      </c>
      <c r="R7" s="197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1211</v>
      </c>
      <c r="L8" s="146">
        <v>0.26200000000000001</v>
      </c>
      <c r="M8" s="146">
        <v>3.718</v>
      </c>
      <c r="N8" s="145"/>
      <c r="O8" s="146">
        <v>0.97199999999999998</v>
      </c>
      <c r="P8" s="148">
        <v>7.3699999999999998E-3</v>
      </c>
      <c r="Q8" s="149">
        <v>4.4999999999999999E-4</v>
      </c>
      <c r="R8" s="197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15791.324000000001</v>
      </c>
      <c r="M9" s="146">
        <v>1</v>
      </c>
      <c r="N9" s="145"/>
      <c r="O9" s="146">
        <v>15791.324000000001</v>
      </c>
      <c r="P9" s="148">
        <v>0.57982999999999996</v>
      </c>
      <c r="Q9" s="149">
        <v>1.502E-2</v>
      </c>
      <c r="R9" s="197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1211</v>
      </c>
      <c r="L10" s="146">
        <v>2321.0880000000002</v>
      </c>
      <c r="M10" s="146">
        <v>3.718</v>
      </c>
      <c r="N10" s="145"/>
      <c r="O10" s="146">
        <v>8629.8050000000003</v>
      </c>
      <c r="P10" s="148">
        <v>0.31686999999999999</v>
      </c>
      <c r="Q10" s="149">
        <v>8.2100000000000003E-3</v>
      </c>
      <c r="R10" s="197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1212</v>
      </c>
      <c r="L11" s="146">
        <v>472.22199999999998</v>
      </c>
      <c r="M11" s="146">
        <v>4.0220000000000002</v>
      </c>
      <c r="N11" s="145"/>
      <c r="O11" s="146">
        <v>1899.232</v>
      </c>
      <c r="P11" s="148">
        <v>6.9739999999999996E-2</v>
      </c>
      <c r="Q11" s="149">
        <v>1.81E-3</v>
      </c>
      <c r="R11" s="197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186.172</v>
      </c>
      <c r="M12" s="146">
        <v>4.8109999999999999</v>
      </c>
      <c r="N12" s="145"/>
      <c r="O12" s="146">
        <v>895.63400000000001</v>
      </c>
      <c r="P12" s="148">
        <v>3.2890000000000003E-2</v>
      </c>
      <c r="Q12" s="149">
        <v>8.4999999999999995E-4</v>
      </c>
      <c r="R12" s="197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38.813000000000002</v>
      </c>
      <c r="M13" s="146">
        <v>0.47799999999999998</v>
      </c>
      <c r="N13" s="145"/>
      <c r="O13" s="146">
        <v>18.548999999999999</v>
      </c>
      <c r="P13" s="148">
        <v>6.8000000000000005E-4</v>
      </c>
      <c r="Q13" s="149">
        <v>2.0000000000000002E-5</v>
      </c>
      <c r="R13" s="197"/>
    </row>
    <row r="14" spans="1:18" x14ac:dyDescent="0.2">
      <c r="A14" s="144" t="s">
        <v>1205</v>
      </c>
      <c r="B14" s="145" t="s">
        <v>1205</v>
      </c>
      <c r="C14" s="145" t="s">
        <v>1207</v>
      </c>
      <c r="D14" s="145" t="s">
        <v>1208</v>
      </c>
      <c r="E14" s="145" t="s">
        <v>315</v>
      </c>
      <c r="F14" s="145" t="s">
        <v>936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1216</v>
      </c>
      <c r="L14" s="146">
        <v>0</v>
      </c>
      <c r="M14" s="146">
        <v>2.5000000000000001E-2</v>
      </c>
      <c r="N14" s="145"/>
      <c r="O14" s="146">
        <v>0</v>
      </c>
      <c r="P14" s="148">
        <v>0</v>
      </c>
      <c r="Q14" s="149">
        <v>0</v>
      </c>
      <c r="R14" s="197"/>
    </row>
    <row r="15" spans="1:18" x14ac:dyDescent="0.2">
      <c r="A15" s="144" t="s">
        <v>1217</v>
      </c>
      <c r="B15" s="145" t="s">
        <v>1218</v>
      </c>
      <c r="C15" s="145" t="s">
        <v>1207</v>
      </c>
      <c r="D15" s="145" t="s">
        <v>1208</v>
      </c>
      <c r="E15" s="145" t="s">
        <v>315</v>
      </c>
      <c r="F15" s="145" t="s">
        <v>934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1210</v>
      </c>
      <c r="L15" s="146">
        <v>57557.463000000003</v>
      </c>
      <c r="M15" s="146">
        <v>1</v>
      </c>
      <c r="N15" s="145"/>
      <c r="O15" s="146">
        <v>57557.463000000003</v>
      </c>
      <c r="P15" s="148">
        <v>0.92573000000000005</v>
      </c>
      <c r="Q15" s="149">
        <v>4.5409999999999999E-2</v>
      </c>
      <c r="R15" s="197"/>
    </row>
    <row r="16" spans="1:18" x14ac:dyDescent="0.2">
      <c r="A16" s="144" t="s">
        <v>1217</v>
      </c>
      <c r="B16" s="145" t="s">
        <v>1218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1211</v>
      </c>
      <c r="L16" s="146">
        <v>1231.2429999999999</v>
      </c>
      <c r="M16" s="146">
        <v>3.718</v>
      </c>
      <c r="N16" s="145"/>
      <c r="O16" s="146">
        <v>4577.7619999999997</v>
      </c>
      <c r="P16" s="148">
        <v>7.3630000000000001E-2</v>
      </c>
      <c r="Q16" s="149">
        <v>3.6099999999999999E-3</v>
      </c>
      <c r="R16" s="197"/>
    </row>
    <row r="17" spans="1:18" x14ac:dyDescent="0.2">
      <c r="A17" s="144" t="s">
        <v>1217</v>
      </c>
      <c r="B17" s="145" t="s">
        <v>1218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1212</v>
      </c>
      <c r="L17" s="146">
        <v>7.173</v>
      </c>
      <c r="M17" s="146">
        <v>4.0220000000000002</v>
      </c>
      <c r="N17" s="145"/>
      <c r="O17" s="146">
        <v>28.847999999999999</v>
      </c>
      <c r="P17" s="148">
        <v>4.6000000000000001E-4</v>
      </c>
      <c r="Q17" s="149">
        <v>2.0000000000000002E-5</v>
      </c>
      <c r="R17" s="197"/>
    </row>
    <row r="18" spans="1:18" x14ac:dyDescent="0.2">
      <c r="A18" s="144" t="s">
        <v>1217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936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1213</v>
      </c>
      <c r="L18" s="146">
        <v>22.923999999999999</v>
      </c>
      <c r="M18" s="146">
        <v>0.47799999999999998</v>
      </c>
      <c r="N18" s="145"/>
      <c r="O18" s="146">
        <v>10.955</v>
      </c>
      <c r="P18" s="148">
        <v>1.8000000000000001E-4</v>
      </c>
      <c r="Q18" s="149">
        <v>1.0000000000000001E-5</v>
      </c>
      <c r="R18" s="197"/>
    </row>
    <row r="19" spans="1:18" x14ac:dyDescent="0.2">
      <c r="A19" s="144" t="s">
        <v>1217</v>
      </c>
      <c r="B19" s="145" t="s">
        <v>1219</v>
      </c>
      <c r="C19" s="145" t="s">
        <v>1207</v>
      </c>
      <c r="D19" s="145" t="s">
        <v>1208</v>
      </c>
      <c r="E19" s="145" t="s">
        <v>315</v>
      </c>
      <c r="F19" s="145" t="s">
        <v>934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1210</v>
      </c>
      <c r="L19" s="146">
        <v>529.12400000000002</v>
      </c>
      <c r="M19" s="146">
        <v>1</v>
      </c>
      <c r="N19" s="145"/>
      <c r="O19" s="146">
        <v>529.12400000000002</v>
      </c>
      <c r="P19" s="148">
        <v>0.99033000000000004</v>
      </c>
      <c r="Q19" s="149">
        <v>5.0639999999999998E-2</v>
      </c>
      <c r="R19" s="197"/>
    </row>
    <row r="20" spans="1:18" x14ac:dyDescent="0.2">
      <c r="A20" s="144" t="s">
        <v>1217</v>
      </c>
      <c r="B20" s="145" t="s">
        <v>1219</v>
      </c>
      <c r="C20" s="145" t="s">
        <v>1207</v>
      </c>
      <c r="D20" s="145" t="s">
        <v>1208</v>
      </c>
      <c r="E20" s="145" t="s">
        <v>315</v>
      </c>
      <c r="F20" s="145" t="s">
        <v>936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1211</v>
      </c>
      <c r="L20" s="146">
        <v>1.389</v>
      </c>
      <c r="M20" s="146">
        <v>3.718</v>
      </c>
      <c r="N20" s="145"/>
      <c r="O20" s="146">
        <v>5.1660000000000004</v>
      </c>
      <c r="P20" s="148">
        <v>9.6699999999999998E-3</v>
      </c>
      <c r="Q20" s="149">
        <v>4.8999999999999998E-4</v>
      </c>
      <c r="R20" s="197"/>
    </row>
    <row r="21" spans="1:18" x14ac:dyDescent="0.2">
      <c r="A21" s="144" t="s">
        <v>1217</v>
      </c>
      <c r="B21" s="145" t="s">
        <v>1217</v>
      </c>
      <c r="C21" s="145" t="s">
        <v>1207</v>
      </c>
      <c r="D21" s="145" t="s">
        <v>1208</v>
      </c>
      <c r="E21" s="145" t="s">
        <v>315</v>
      </c>
      <c r="F21" s="145" t="s">
        <v>934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1210</v>
      </c>
      <c r="L21" s="146">
        <v>647344.23699999996</v>
      </c>
      <c r="M21" s="146">
        <v>1</v>
      </c>
      <c r="N21" s="145"/>
      <c r="O21" s="146">
        <v>647344.23699999996</v>
      </c>
      <c r="P21" s="148">
        <v>0.70584999999999998</v>
      </c>
      <c r="Q21" s="149">
        <v>2.6630000000000001E-2</v>
      </c>
      <c r="R21" s="197"/>
    </row>
    <row r="22" spans="1:18" x14ac:dyDescent="0.2">
      <c r="A22" s="144" t="s">
        <v>1217</v>
      </c>
      <c r="B22" s="145" t="s">
        <v>1217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1211</v>
      </c>
      <c r="L22" s="146">
        <v>54715.535000000003</v>
      </c>
      <c r="M22" s="146">
        <v>3.718</v>
      </c>
      <c r="N22" s="150"/>
      <c r="O22" s="146">
        <v>203432.35800000001</v>
      </c>
      <c r="P22" s="148">
        <v>0.22181999999999999</v>
      </c>
      <c r="Q22" s="149">
        <v>8.3700000000000007E-3</v>
      </c>
      <c r="R22" s="197"/>
    </row>
    <row r="23" spans="1:18" x14ac:dyDescent="0.2">
      <c r="A23" s="144" t="s">
        <v>1217</v>
      </c>
      <c r="B23" s="145" t="s">
        <v>1217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1212</v>
      </c>
      <c r="L23" s="146">
        <v>12426.03</v>
      </c>
      <c r="M23" s="146">
        <v>4.0220000000000002</v>
      </c>
      <c r="N23" s="150"/>
      <c r="O23" s="146">
        <v>49976.249000000003</v>
      </c>
      <c r="P23" s="148">
        <v>5.4489999999999997E-2</v>
      </c>
      <c r="Q23" s="149">
        <v>2.0600000000000002E-3</v>
      </c>
      <c r="R23" s="197"/>
    </row>
    <row r="24" spans="1:18" x14ac:dyDescent="0.2">
      <c r="A24" s="144" t="s">
        <v>1217</v>
      </c>
      <c r="B24" s="145" t="s">
        <v>1217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1215</v>
      </c>
      <c r="L24" s="146">
        <v>3315.826</v>
      </c>
      <c r="M24" s="146">
        <v>4.8109999999999999</v>
      </c>
      <c r="N24" s="151"/>
      <c r="O24" s="146">
        <v>15951.776</v>
      </c>
      <c r="P24" s="148">
        <v>1.7389999999999999E-2</v>
      </c>
      <c r="Q24" s="149">
        <v>6.6E-4</v>
      </c>
      <c r="R24" s="197"/>
    </row>
    <row r="25" spans="1:18" x14ac:dyDescent="0.2">
      <c r="A25" s="152" t="s">
        <v>1217</v>
      </c>
      <c r="B25" s="153" t="s">
        <v>1217</v>
      </c>
      <c r="C25" s="153" t="s">
        <v>1207</v>
      </c>
      <c r="D25" s="153" t="s">
        <v>1208</v>
      </c>
      <c r="E25" s="153" t="s">
        <v>315</v>
      </c>
      <c r="F25" s="153" t="s">
        <v>936</v>
      </c>
      <c r="G25" s="153" t="s">
        <v>204</v>
      </c>
      <c r="H25" s="153" t="s">
        <v>339</v>
      </c>
      <c r="I25" s="153" t="s">
        <v>1209</v>
      </c>
      <c r="J25" s="153" t="s">
        <v>415</v>
      </c>
      <c r="K25" s="153" t="s">
        <v>1213</v>
      </c>
      <c r="L25" s="154">
        <v>856.82500000000005</v>
      </c>
      <c r="M25" s="154">
        <v>0.47799999999999998</v>
      </c>
      <c r="N25" s="155"/>
      <c r="O25" s="154">
        <v>409.47699999999998</v>
      </c>
      <c r="P25" s="156">
        <v>4.4999999999999999E-4</v>
      </c>
      <c r="Q25" s="157">
        <v>2.0000000000000002E-5</v>
      </c>
      <c r="R25" s="197"/>
    </row>
    <row r="26" spans="1:18" x14ac:dyDescent="0.2">
      <c r="A26" s="196" t="s">
        <v>3461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</row>
    <row r="27" spans="1:18" x14ac:dyDescent="0.2">
      <c r="A27" s="2" t="s">
        <v>3460</v>
      </c>
    </row>
    <row r="28" spans="1:18" x14ac:dyDescent="0.2">
      <c r="A28" s="198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43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3466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199" t="s">
        <v>3462</v>
      </c>
    </row>
    <row r="3" spans="1:27" x14ac:dyDescent="0.2">
      <c r="A3" s="144" t="s">
        <v>1205</v>
      </c>
      <c r="B3" s="145" t="s">
        <v>1206</v>
      </c>
      <c r="C3" s="145" t="s">
        <v>1220</v>
      </c>
      <c r="D3" s="145" t="s">
        <v>1221</v>
      </c>
      <c r="E3" s="145" t="s">
        <v>1222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1223</v>
      </c>
      <c r="K3" s="145" t="s">
        <v>312</v>
      </c>
      <c r="L3" s="145" t="s">
        <v>1210</v>
      </c>
      <c r="M3" s="146">
        <v>10.81</v>
      </c>
      <c r="N3" s="145" t="s">
        <v>1224</v>
      </c>
      <c r="O3" s="148">
        <v>1.504E-2</v>
      </c>
      <c r="P3" s="148">
        <v>4.614E-2</v>
      </c>
      <c r="Q3" s="145"/>
      <c r="R3" s="146">
        <v>1753921</v>
      </c>
      <c r="S3" s="146">
        <v>1</v>
      </c>
      <c r="T3" s="146">
        <v>72.72</v>
      </c>
      <c r="U3" s="146">
        <v>1275.451</v>
      </c>
      <c r="V3" s="145"/>
      <c r="W3" s="158"/>
      <c r="X3" s="148">
        <v>5.0000000000000002E-5</v>
      </c>
      <c r="Y3" s="148">
        <v>0.15695999999999999</v>
      </c>
      <c r="Z3" s="149">
        <v>4.0160000000000001E-2</v>
      </c>
      <c r="AA3" s="199"/>
    </row>
    <row r="4" spans="1:27" x14ac:dyDescent="0.2">
      <c r="A4" s="144" t="s">
        <v>1205</v>
      </c>
      <c r="B4" s="145" t="s">
        <v>1206</v>
      </c>
      <c r="C4" s="145" t="s">
        <v>1220</v>
      </c>
      <c r="D4" s="145" t="s">
        <v>1225</v>
      </c>
      <c r="E4" s="145" t="s">
        <v>1226</v>
      </c>
      <c r="F4" s="145" t="s">
        <v>945</v>
      </c>
      <c r="G4" s="145" t="s">
        <v>204</v>
      </c>
      <c r="H4" s="145" t="s">
        <v>204</v>
      </c>
      <c r="I4" s="145" t="s">
        <v>340</v>
      </c>
      <c r="J4" s="145" t="s">
        <v>1223</v>
      </c>
      <c r="K4" s="145" t="s">
        <v>312</v>
      </c>
      <c r="L4" s="145" t="s">
        <v>1210</v>
      </c>
      <c r="M4" s="146">
        <v>6.68</v>
      </c>
      <c r="N4" s="145" t="s">
        <v>1227</v>
      </c>
      <c r="O4" s="148">
        <v>1.2999999999999999E-2</v>
      </c>
      <c r="P4" s="148">
        <v>4.3790000000000003E-2</v>
      </c>
      <c r="Q4" s="145"/>
      <c r="R4" s="146">
        <v>1192951</v>
      </c>
      <c r="S4" s="146">
        <v>1</v>
      </c>
      <c r="T4" s="146">
        <v>82.78</v>
      </c>
      <c r="U4" s="146">
        <v>987.52499999999998</v>
      </c>
      <c r="V4" s="145"/>
      <c r="W4" s="158"/>
      <c r="X4" s="148">
        <v>3.0000000000000001E-5</v>
      </c>
      <c r="Y4" s="148">
        <v>0.12153</v>
      </c>
      <c r="Z4" s="149">
        <v>3.109E-2</v>
      </c>
      <c r="AA4" s="199"/>
    </row>
    <row r="5" spans="1:27" x14ac:dyDescent="0.2">
      <c r="A5" s="144" t="s">
        <v>1205</v>
      </c>
      <c r="B5" s="145" t="s">
        <v>1206</v>
      </c>
      <c r="C5" s="145" t="s">
        <v>1220</v>
      </c>
      <c r="D5" s="145" t="s">
        <v>1228</v>
      </c>
      <c r="E5" s="145" t="s">
        <v>1229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1223</v>
      </c>
      <c r="K5" s="145" t="s">
        <v>312</v>
      </c>
      <c r="L5" s="145" t="s">
        <v>1210</v>
      </c>
      <c r="M5" s="146">
        <v>6.65</v>
      </c>
      <c r="N5" s="145" t="s">
        <v>1230</v>
      </c>
      <c r="O5" s="148">
        <v>1E-3</v>
      </c>
      <c r="P5" s="148">
        <v>2.0310000000000002E-2</v>
      </c>
      <c r="Q5" s="145"/>
      <c r="R5" s="146">
        <v>808006</v>
      </c>
      <c r="S5" s="146">
        <v>1</v>
      </c>
      <c r="T5" s="146">
        <v>101.91</v>
      </c>
      <c r="U5" s="146">
        <v>823.43899999999996</v>
      </c>
      <c r="V5" s="145"/>
      <c r="W5" s="158"/>
      <c r="X5" s="148">
        <v>3.0000000000000001E-5</v>
      </c>
      <c r="Y5" s="148">
        <v>0.10133</v>
      </c>
      <c r="Z5" s="149">
        <v>2.5930000000000002E-2</v>
      </c>
      <c r="AA5" s="199"/>
    </row>
    <row r="6" spans="1:27" x14ac:dyDescent="0.2">
      <c r="A6" s="144" t="s">
        <v>1205</v>
      </c>
      <c r="B6" s="145" t="s">
        <v>1206</v>
      </c>
      <c r="C6" s="145" t="s">
        <v>1220</v>
      </c>
      <c r="D6" s="145" t="s">
        <v>1231</v>
      </c>
      <c r="E6" s="145" t="s">
        <v>1232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1223</v>
      </c>
      <c r="K6" s="145" t="s">
        <v>312</v>
      </c>
      <c r="L6" s="145" t="s">
        <v>1210</v>
      </c>
      <c r="M6" s="146">
        <v>0.02</v>
      </c>
      <c r="N6" s="145" t="s">
        <v>1233</v>
      </c>
      <c r="O6" s="145" t="s">
        <v>1234</v>
      </c>
      <c r="P6" s="148">
        <v>0.11498999999999999</v>
      </c>
      <c r="Q6" s="145"/>
      <c r="R6" s="146">
        <v>650491</v>
      </c>
      <c r="S6" s="146">
        <v>1</v>
      </c>
      <c r="T6" s="146">
        <v>99.97</v>
      </c>
      <c r="U6" s="146">
        <v>650.29600000000005</v>
      </c>
      <c r="V6" s="145"/>
      <c r="W6" s="158"/>
      <c r="X6" s="148">
        <v>2.0000000000000002E-5</v>
      </c>
      <c r="Y6" s="148">
        <v>8.0030000000000004E-2</v>
      </c>
      <c r="Z6" s="149">
        <v>2.0480000000000002E-2</v>
      </c>
      <c r="AA6" s="199"/>
    </row>
    <row r="7" spans="1:27" x14ac:dyDescent="0.2">
      <c r="A7" s="144" t="s">
        <v>1205</v>
      </c>
      <c r="B7" s="145" t="s">
        <v>1206</v>
      </c>
      <c r="C7" s="145" t="s">
        <v>1220</v>
      </c>
      <c r="D7" s="145" t="s">
        <v>1235</v>
      </c>
      <c r="E7" s="145" t="s">
        <v>1236</v>
      </c>
      <c r="F7" s="145" t="s">
        <v>943</v>
      </c>
      <c r="G7" s="145" t="s">
        <v>204</v>
      </c>
      <c r="H7" s="145" t="s">
        <v>204</v>
      </c>
      <c r="I7" s="145" t="s">
        <v>340</v>
      </c>
      <c r="J7" s="145" t="s">
        <v>1223</v>
      </c>
      <c r="K7" s="145" t="s">
        <v>312</v>
      </c>
      <c r="L7" s="145" t="s">
        <v>1210</v>
      </c>
      <c r="M7" s="146">
        <v>0.57999999999999996</v>
      </c>
      <c r="N7" s="145" t="s">
        <v>1237</v>
      </c>
      <c r="O7" s="148">
        <v>7.5199999999999998E-3</v>
      </c>
      <c r="P7" s="148">
        <v>1.2359999999999999E-2</v>
      </c>
      <c r="Q7" s="145"/>
      <c r="R7" s="146">
        <v>532908</v>
      </c>
      <c r="S7" s="146">
        <v>1</v>
      </c>
      <c r="T7" s="146">
        <v>116.16</v>
      </c>
      <c r="U7" s="146">
        <v>619.02599999999995</v>
      </c>
      <c r="V7" s="145"/>
      <c r="W7" s="158"/>
      <c r="X7" s="148">
        <v>2.0000000000000002E-5</v>
      </c>
      <c r="Y7" s="148">
        <v>7.6179999999999998E-2</v>
      </c>
      <c r="Z7" s="149">
        <v>1.949E-2</v>
      </c>
      <c r="AA7" s="199"/>
    </row>
    <row r="8" spans="1:27" x14ac:dyDescent="0.2">
      <c r="A8" s="144" t="s">
        <v>1205</v>
      </c>
      <c r="B8" s="145" t="s">
        <v>1206</v>
      </c>
      <c r="C8" s="145" t="s">
        <v>1220</v>
      </c>
      <c r="D8" s="145" t="s">
        <v>1238</v>
      </c>
      <c r="E8" s="145" t="s">
        <v>1239</v>
      </c>
      <c r="F8" s="145" t="s">
        <v>945</v>
      </c>
      <c r="G8" s="145" t="s">
        <v>204</v>
      </c>
      <c r="H8" s="145" t="s">
        <v>204</v>
      </c>
      <c r="I8" s="145" t="s">
        <v>340</v>
      </c>
      <c r="J8" s="145" t="s">
        <v>1223</v>
      </c>
      <c r="K8" s="145" t="s">
        <v>312</v>
      </c>
      <c r="L8" s="145" t="s">
        <v>1210</v>
      </c>
      <c r="M8" s="146">
        <v>11.55</v>
      </c>
      <c r="N8" s="145" t="s">
        <v>1240</v>
      </c>
      <c r="O8" s="148">
        <v>5.5149999999999998E-2</v>
      </c>
      <c r="P8" s="148">
        <v>4.7300000000000002E-2</v>
      </c>
      <c r="Q8" s="145"/>
      <c r="R8" s="146">
        <v>540358.71</v>
      </c>
      <c r="S8" s="146">
        <v>1</v>
      </c>
      <c r="T8" s="146">
        <v>109.69</v>
      </c>
      <c r="U8" s="146">
        <v>592.71900000000005</v>
      </c>
      <c r="V8" s="145"/>
      <c r="W8" s="158"/>
      <c r="X8" s="148">
        <v>2.0000000000000002E-5</v>
      </c>
      <c r="Y8" s="148">
        <v>7.2940000000000005E-2</v>
      </c>
      <c r="Z8" s="149">
        <v>1.866E-2</v>
      </c>
      <c r="AA8" s="199"/>
    </row>
    <row r="9" spans="1:27" x14ac:dyDescent="0.2">
      <c r="A9" s="144" t="s">
        <v>1205</v>
      </c>
      <c r="B9" s="145" t="s">
        <v>1206</v>
      </c>
      <c r="C9" s="145" t="s">
        <v>1241</v>
      </c>
      <c r="D9" s="145" t="s">
        <v>1242</v>
      </c>
      <c r="E9" s="145" t="s">
        <v>1243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1223</v>
      </c>
      <c r="K9" s="145" t="s">
        <v>312</v>
      </c>
      <c r="L9" s="145" t="s">
        <v>1210</v>
      </c>
      <c r="M9" s="146">
        <v>0.85</v>
      </c>
      <c r="N9" s="145" t="s">
        <v>1244</v>
      </c>
      <c r="O9" s="145" t="s">
        <v>1234</v>
      </c>
      <c r="P9" s="148">
        <v>4.2599999999999999E-2</v>
      </c>
      <c r="Q9" s="145"/>
      <c r="R9" s="146">
        <v>368483</v>
      </c>
      <c r="S9" s="146">
        <v>1</v>
      </c>
      <c r="T9" s="146">
        <v>96.53</v>
      </c>
      <c r="U9" s="146">
        <v>355.697</v>
      </c>
      <c r="V9" s="145"/>
      <c r="W9" s="158"/>
      <c r="X9" s="148">
        <v>2.0000000000000002E-5</v>
      </c>
      <c r="Y9" s="148">
        <v>4.3770000000000003E-2</v>
      </c>
      <c r="Z9" s="149">
        <v>1.12E-2</v>
      </c>
      <c r="AA9" s="199"/>
    </row>
    <row r="10" spans="1:27" x14ac:dyDescent="0.2">
      <c r="A10" s="144" t="s">
        <v>1205</v>
      </c>
      <c r="B10" s="145" t="s">
        <v>1206</v>
      </c>
      <c r="C10" s="145" t="s">
        <v>1220</v>
      </c>
      <c r="D10" s="145" t="s">
        <v>1245</v>
      </c>
      <c r="E10" s="145" t="s">
        <v>1246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1223</v>
      </c>
      <c r="K10" s="145" t="s">
        <v>314</v>
      </c>
      <c r="L10" s="145" t="s">
        <v>1210</v>
      </c>
      <c r="M10" s="146">
        <v>0.18</v>
      </c>
      <c r="N10" s="145" t="s">
        <v>1247</v>
      </c>
      <c r="O10" s="145" t="s">
        <v>1234</v>
      </c>
      <c r="P10" s="148">
        <v>4.3249999999999997E-2</v>
      </c>
      <c r="Q10" s="145"/>
      <c r="R10" s="146">
        <v>352000</v>
      </c>
      <c r="S10" s="146">
        <v>1</v>
      </c>
      <c r="T10" s="146">
        <v>99.26</v>
      </c>
      <c r="U10" s="146">
        <v>349.39499999999998</v>
      </c>
      <c r="V10" s="145"/>
      <c r="W10" s="158"/>
      <c r="X10" s="148">
        <v>1.0000000000000001E-5</v>
      </c>
      <c r="Y10" s="148">
        <v>4.2999999999999997E-2</v>
      </c>
      <c r="Z10" s="149">
        <v>1.0999999999999999E-2</v>
      </c>
      <c r="AA10" s="199"/>
    </row>
    <row r="11" spans="1:27" x14ac:dyDescent="0.2">
      <c r="A11" s="144" t="s">
        <v>1205</v>
      </c>
      <c r="B11" s="145" t="s">
        <v>1206</v>
      </c>
      <c r="C11" s="145" t="s">
        <v>1220</v>
      </c>
      <c r="D11" s="145" t="s">
        <v>1248</v>
      </c>
      <c r="E11" s="145" t="s">
        <v>1249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1223</v>
      </c>
      <c r="K11" s="145" t="s">
        <v>312</v>
      </c>
      <c r="L11" s="145" t="s">
        <v>1210</v>
      </c>
      <c r="M11" s="146">
        <v>8.4</v>
      </c>
      <c r="N11" s="145" t="s">
        <v>1250</v>
      </c>
      <c r="O11" s="148">
        <v>0.04</v>
      </c>
      <c r="P11" s="148">
        <v>4.4850000000000001E-2</v>
      </c>
      <c r="Q11" s="145"/>
      <c r="R11" s="146">
        <v>322836</v>
      </c>
      <c r="S11" s="146">
        <v>1</v>
      </c>
      <c r="T11" s="146">
        <v>96.17</v>
      </c>
      <c r="U11" s="146">
        <v>310.471</v>
      </c>
      <c r="V11" s="145"/>
      <c r="W11" s="158"/>
      <c r="X11" s="148">
        <v>1.0000000000000001E-5</v>
      </c>
      <c r="Y11" s="148">
        <v>3.8210000000000001E-2</v>
      </c>
      <c r="Z11" s="149">
        <v>9.7800000000000005E-3</v>
      </c>
      <c r="AA11" s="199"/>
    </row>
    <row r="12" spans="1:27" x14ac:dyDescent="0.2">
      <c r="A12" s="144" t="s">
        <v>1205</v>
      </c>
      <c r="B12" s="145" t="s">
        <v>1206</v>
      </c>
      <c r="C12" s="145" t="s">
        <v>1220</v>
      </c>
      <c r="D12" s="145" t="s">
        <v>1251</v>
      </c>
      <c r="E12" s="145" t="s">
        <v>1252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1223</v>
      </c>
      <c r="K12" s="145" t="s">
        <v>312</v>
      </c>
      <c r="L12" s="145" t="s">
        <v>1210</v>
      </c>
      <c r="M12" s="146">
        <v>14.74</v>
      </c>
      <c r="N12" s="145" t="s">
        <v>1253</v>
      </c>
      <c r="O12" s="148">
        <v>3.7499999999999999E-2</v>
      </c>
      <c r="P12" s="148">
        <v>4.8599999999999997E-2</v>
      </c>
      <c r="Q12" s="145"/>
      <c r="R12" s="146">
        <v>333406</v>
      </c>
      <c r="S12" s="146">
        <v>1</v>
      </c>
      <c r="T12" s="146">
        <v>85.21</v>
      </c>
      <c r="U12" s="146">
        <v>284.09500000000003</v>
      </c>
      <c r="V12" s="145"/>
      <c r="W12" s="158"/>
      <c r="X12" s="148">
        <v>1.0000000000000001E-5</v>
      </c>
      <c r="Y12" s="148">
        <v>3.4959999999999998E-2</v>
      </c>
      <c r="Z12" s="149">
        <v>8.9499999999999996E-3</v>
      </c>
      <c r="AA12" s="199"/>
    </row>
    <row r="13" spans="1:27" x14ac:dyDescent="0.2">
      <c r="A13" s="144" t="s">
        <v>1205</v>
      </c>
      <c r="B13" s="145" t="s">
        <v>1206</v>
      </c>
      <c r="C13" s="145" t="s">
        <v>1220</v>
      </c>
      <c r="D13" s="145" t="s">
        <v>1254</v>
      </c>
      <c r="E13" s="145" t="s">
        <v>1255</v>
      </c>
      <c r="F13" s="145" t="s">
        <v>945</v>
      </c>
      <c r="G13" s="145" t="s">
        <v>204</v>
      </c>
      <c r="H13" s="145" t="s">
        <v>204</v>
      </c>
      <c r="I13" s="145" t="s">
        <v>340</v>
      </c>
      <c r="J13" s="145" t="s">
        <v>1223</v>
      </c>
      <c r="K13" s="145" t="s">
        <v>312</v>
      </c>
      <c r="L13" s="145" t="s">
        <v>1210</v>
      </c>
      <c r="M13" s="146">
        <v>0.1</v>
      </c>
      <c r="N13" s="145" t="s">
        <v>1256</v>
      </c>
      <c r="O13" s="145" t="s">
        <v>1234</v>
      </c>
      <c r="P13" s="148">
        <v>4.2529999999999998E-2</v>
      </c>
      <c r="Q13" s="145"/>
      <c r="R13" s="146">
        <v>255456</v>
      </c>
      <c r="S13" s="146">
        <v>1</v>
      </c>
      <c r="T13" s="146">
        <v>99.59</v>
      </c>
      <c r="U13" s="146">
        <v>254.40899999999999</v>
      </c>
      <c r="V13" s="145"/>
      <c r="W13" s="158"/>
      <c r="X13" s="148">
        <v>1.0000000000000001E-5</v>
      </c>
      <c r="Y13" s="148">
        <v>3.1309999999999998E-2</v>
      </c>
      <c r="Z13" s="149">
        <v>8.0099999999999998E-3</v>
      </c>
      <c r="AA13" s="199"/>
    </row>
    <row r="14" spans="1:27" x14ac:dyDescent="0.2">
      <c r="A14" s="144" t="s">
        <v>1205</v>
      </c>
      <c r="B14" s="145" t="s">
        <v>1206</v>
      </c>
      <c r="C14" s="145" t="s">
        <v>1220</v>
      </c>
      <c r="D14" s="145" t="s">
        <v>1257</v>
      </c>
      <c r="E14" s="145" t="s">
        <v>1258</v>
      </c>
      <c r="F14" s="145" t="s">
        <v>943</v>
      </c>
      <c r="G14" s="145" t="s">
        <v>204</v>
      </c>
      <c r="H14" s="145" t="s">
        <v>204</v>
      </c>
      <c r="I14" s="145" t="s">
        <v>340</v>
      </c>
      <c r="J14" s="145" t="s">
        <v>1223</v>
      </c>
      <c r="K14" s="145" t="s">
        <v>312</v>
      </c>
      <c r="L14" s="145" t="s">
        <v>1210</v>
      </c>
      <c r="M14" s="146">
        <v>1.33</v>
      </c>
      <c r="N14" s="145" t="s">
        <v>1259</v>
      </c>
      <c r="O14" s="148">
        <v>1E-3</v>
      </c>
      <c r="P14" s="148">
        <v>1.9599999999999999E-2</v>
      </c>
      <c r="Q14" s="145"/>
      <c r="R14" s="146">
        <v>203834</v>
      </c>
      <c r="S14" s="146">
        <v>1</v>
      </c>
      <c r="T14" s="146">
        <v>112.95</v>
      </c>
      <c r="U14" s="146">
        <v>230.23099999999999</v>
      </c>
      <c r="V14" s="145"/>
      <c r="W14" s="158"/>
      <c r="X14" s="148">
        <v>1.0000000000000001E-5</v>
      </c>
      <c r="Y14" s="148">
        <v>2.8330000000000001E-2</v>
      </c>
      <c r="Z14" s="149">
        <v>7.2500000000000004E-3</v>
      </c>
      <c r="AA14" s="199"/>
    </row>
    <row r="15" spans="1:27" x14ac:dyDescent="0.2">
      <c r="A15" s="144" t="s">
        <v>1205</v>
      </c>
      <c r="B15" s="145" t="s">
        <v>1206</v>
      </c>
      <c r="C15" s="145" t="s">
        <v>1260</v>
      </c>
      <c r="D15" s="145" t="s">
        <v>1261</v>
      </c>
      <c r="E15" s="145" t="s">
        <v>1262</v>
      </c>
      <c r="F15" s="145" t="s">
        <v>945</v>
      </c>
      <c r="G15" s="145" t="s">
        <v>204</v>
      </c>
      <c r="H15" s="145" t="s">
        <v>204</v>
      </c>
      <c r="I15" s="145" t="s">
        <v>340</v>
      </c>
      <c r="J15" s="145" t="s">
        <v>1223</v>
      </c>
      <c r="K15" s="145" t="s">
        <v>312</v>
      </c>
      <c r="L15" s="145" t="s">
        <v>1210</v>
      </c>
      <c r="M15" s="146">
        <v>4.8899999999999997</v>
      </c>
      <c r="N15" s="145" t="s">
        <v>1263</v>
      </c>
      <c r="O15" s="148">
        <v>0.01</v>
      </c>
      <c r="P15" s="148">
        <v>4.2880000000000001E-2</v>
      </c>
      <c r="Q15" s="145"/>
      <c r="R15" s="146">
        <v>265596</v>
      </c>
      <c r="S15" s="146">
        <v>1</v>
      </c>
      <c r="T15" s="146">
        <v>85.48</v>
      </c>
      <c r="U15" s="146">
        <v>227.03100000000001</v>
      </c>
      <c r="V15" s="145"/>
      <c r="W15" s="158"/>
      <c r="X15" s="148">
        <v>1.0000000000000001E-5</v>
      </c>
      <c r="Y15" s="148">
        <v>2.794E-2</v>
      </c>
      <c r="Z15" s="149">
        <v>7.1500000000000001E-3</v>
      </c>
      <c r="AA15" s="199"/>
    </row>
    <row r="16" spans="1:27" x14ac:dyDescent="0.2">
      <c r="A16" s="144" t="s">
        <v>1205</v>
      </c>
      <c r="B16" s="145" t="s">
        <v>1206</v>
      </c>
      <c r="C16" s="145" t="s">
        <v>1220</v>
      </c>
      <c r="D16" s="145" t="s">
        <v>1264</v>
      </c>
      <c r="E16" s="145" t="s">
        <v>1265</v>
      </c>
      <c r="F16" s="145" t="s">
        <v>943</v>
      </c>
      <c r="G16" s="145" t="s">
        <v>204</v>
      </c>
      <c r="H16" s="145" t="s">
        <v>204</v>
      </c>
      <c r="I16" s="145" t="s">
        <v>340</v>
      </c>
      <c r="J16" s="145" t="s">
        <v>1223</v>
      </c>
      <c r="K16" s="145" t="s">
        <v>312</v>
      </c>
      <c r="L16" s="145" t="s">
        <v>1210</v>
      </c>
      <c r="M16" s="146">
        <v>4.12</v>
      </c>
      <c r="N16" s="145" t="s">
        <v>1266</v>
      </c>
      <c r="O16" s="148">
        <v>5.0000000000000001E-3</v>
      </c>
      <c r="P16" s="148">
        <v>1.9689999999999999E-2</v>
      </c>
      <c r="Q16" s="145"/>
      <c r="R16" s="146">
        <v>133449</v>
      </c>
      <c r="S16" s="146">
        <v>1</v>
      </c>
      <c r="T16" s="146">
        <v>109.42</v>
      </c>
      <c r="U16" s="146">
        <v>146.02000000000001</v>
      </c>
      <c r="V16" s="145"/>
      <c r="W16" s="158"/>
      <c r="X16" s="148">
        <v>0</v>
      </c>
      <c r="Y16" s="148">
        <v>1.797E-2</v>
      </c>
      <c r="Z16" s="149">
        <v>4.5999999999999999E-3</v>
      </c>
      <c r="AA16" s="199"/>
    </row>
    <row r="17" spans="1:27" x14ac:dyDescent="0.2">
      <c r="A17" s="144" t="s">
        <v>1205</v>
      </c>
      <c r="B17" s="145" t="s">
        <v>1206</v>
      </c>
      <c r="C17" s="145" t="s">
        <v>1260</v>
      </c>
      <c r="D17" s="145" t="s">
        <v>1267</v>
      </c>
      <c r="E17" s="145" t="s">
        <v>1268</v>
      </c>
      <c r="F17" s="145" t="s">
        <v>945</v>
      </c>
      <c r="G17" s="145" t="s">
        <v>204</v>
      </c>
      <c r="H17" s="145" t="s">
        <v>204</v>
      </c>
      <c r="I17" s="145" t="s">
        <v>340</v>
      </c>
      <c r="J17" s="145" t="s">
        <v>1223</v>
      </c>
      <c r="K17" s="145" t="s">
        <v>312</v>
      </c>
      <c r="L17" s="145" t="s">
        <v>1210</v>
      </c>
      <c r="M17" s="146">
        <v>4.03</v>
      </c>
      <c r="N17" s="145" t="s">
        <v>1269</v>
      </c>
      <c r="O17" s="148">
        <v>4.5999999999999999E-2</v>
      </c>
      <c r="P17" s="148">
        <v>4.267E-2</v>
      </c>
      <c r="Q17" s="145"/>
      <c r="R17" s="146">
        <v>132302</v>
      </c>
      <c r="S17" s="146">
        <v>1</v>
      </c>
      <c r="T17" s="146">
        <v>103.16</v>
      </c>
      <c r="U17" s="146">
        <v>136.483</v>
      </c>
      <c r="V17" s="145"/>
      <c r="W17" s="158"/>
      <c r="X17" s="148">
        <v>1.0000000000000001E-5</v>
      </c>
      <c r="Y17" s="148">
        <v>1.6799999999999999E-2</v>
      </c>
      <c r="Z17" s="149">
        <v>4.3E-3</v>
      </c>
      <c r="AA17" s="199"/>
    </row>
    <row r="18" spans="1:27" x14ac:dyDescent="0.2">
      <c r="A18" s="144" t="s">
        <v>1205</v>
      </c>
      <c r="B18" s="145" t="s">
        <v>1206</v>
      </c>
      <c r="C18" s="145" t="s">
        <v>1220</v>
      </c>
      <c r="D18" s="145" t="s">
        <v>1270</v>
      </c>
      <c r="E18" s="145" t="s">
        <v>1271</v>
      </c>
      <c r="F18" s="145" t="s">
        <v>943</v>
      </c>
      <c r="G18" s="145" t="s">
        <v>204</v>
      </c>
      <c r="H18" s="145" t="s">
        <v>204</v>
      </c>
      <c r="I18" s="145" t="s">
        <v>340</v>
      </c>
      <c r="J18" s="145" t="s">
        <v>1223</v>
      </c>
      <c r="K18" s="145" t="s">
        <v>312</v>
      </c>
      <c r="L18" s="145" t="s">
        <v>1210</v>
      </c>
      <c r="M18" s="146">
        <v>2.14</v>
      </c>
      <c r="N18" s="145" t="s">
        <v>1272</v>
      </c>
      <c r="O18" s="148">
        <v>7.4999999999999997E-3</v>
      </c>
      <c r="P18" s="148">
        <v>1.9449999999999999E-2</v>
      </c>
      <c r="Q18" s="145"/>
      <c r="R18" s="146">
        <v>102177</v>
      </c>
      <c r="S18" s="146">
        <v>1</v>
      </c>
      <c r="T18" s="146">
        <v>114.63</v>
      </c>
      <c r="U18" s="146">
        <v>117.125</v>
      </c>
      <c r="V18" s="145"/>
      <c r="W18" s="158"/>
      <c r="X18" s="148">
        <v>0</v>
      </c>
      <c r="Y18" s="148">
        <v>1.4409999999999999E-2</v>
      </c>
      <c r="Z18" s="149">
        <v>3.6900000000000001E-3</v>
      </c>
      <c r="AA18" s="199"/>
    </row>
    <row r="19" spans="1:27" x14ac:dyDescent="0.2">
      <c r="A19" s="144" t="s">
        <v>1205</v>
      </c>
      <c r="B19" s="145" t="s">
        <v>1206</v>
      </c>
      <c r="C19" s="145" t="s">
        <v>1220</v>
      </c>
      <c r="D19" s="145" t="s">
        <v>1273</v>
      </c>
      <c r="E19" s="145" t="s">
        <v>1274</v>
      </c>
      <c r="F19" s="145" t="s">
        <v>943</v>
      </c>
      <c r="G19" s="145" t="s">
        <v>204</v>
      </c>
      <c r="H19" s="145" t="s">
        <v>204</v>
      </c>
      <c r="I19" s="145" t="s">
        <v>340</v>
      </c>
      <c r="J19" s="145" t="s">
        <v>1223</v>
      </c>
      <c r="K19" s="145" t="s">
        <v>312</v>
      </c>
      <c r="L19" s="145" t="s">
        <v>1210</v>
      </c>
      <c r="M19" s="146">
        <v>3.52</v>
      </c>
      <c r="N19" s="145" t="s">
        <v>1275</v>
      </c>
      <c r="O19" s="148">
        <v>1.103E-2</v>
      </c>
      <c r="P19" s="148">
        <v>1.9820000000000001E-2</v>
      </c>
      <c r="Q19" s="145"/>
      <c r="R19" s="146">
        <v>51820</v>
      </c>
      <c r="S19" s="146">
        <v>1</v>
      </c>
      <c r="T19" s="146">
        <v>101.93</v>
      </c>
      <c r="U19" s="146">
        <v>52.82</v>
      </c>
      <c r="V19" s="145"/>
      <c r="W19" s="158"/>
      <c r="X19" s="148">
        <v>0</v>
      </c>
      <c r="Y19" s="148">
        <v>6.4999999999999997E-3</v>
      </c>
      <c r="Z19" s="149">
        <v>1.66E-3</v>
      </c>
      <c r="AA19" s="199"/>
    </row>
    <row r="20" spans="1:27" x14ac:dyDescent="0.2">
      <c r="A20" s="144" t="s">
        <v>1205</v>
      </c>
      <c r="B20" s="145" t="s">
        <v>1206</v>
      </c>
      <c r="C20" s="145" t="s">
        <v>1220</v>
      </c>
      <c r="D20" s="145" t="s">
        <v>1276</v>
      </c>
      <c r="E20" s="145" t="s">
        <v>1277</v>
      </c>
      <c r="F20" s="145" t="s">
        <v>943</v>
      </c>
      <c r="G20" s="145" t="s">
        <v>204</v>
      </c>
      <c r="H20" s="145" t="s">
        <v>204</v>
      </c>
      <c r="I20" s="145" t="s">
        <v>340</v>
      </c>
      <c r="J20" s="145" t="s">
        <v>1223</v>
      </c>
      <c r="K20" s="145" t="s">
        <v>312</v>
      </c>
      <c r="L20" s="145" t="s">
        <v>1210</v>
      </c>
      <c r="M20" s="146">
        <v>9.15</v>
      </c>
      <c r="N20" s="145" t="s">
        <v>1278</v>
      </c>
      <c r="O20" s="148">
        <v>4.011E-2</v>
      </c>
      <c r="P20" s="148">
        <v>2.12E-2</v>
      </c>
      <c r="Q20" s="145"/>
      <c r="R20" s="146">
        <v>15862</v>
      </c>
      <c r="S20" s="146">
        <v>1</v>
      </c>
      <c r="T20" s="146">
        <v>167.49</v>
      </c>
      <c r="U20" s="146">
        <v>26.567</v>
      </c>
      <c r="V20" s="145"/>
      <c r="W20" s="158"/>
      <c r="X20" s="148">
        <v>0</v>
      </c>
      <c r="Y20" s="148">
        <v>3.2699999999999999E-3</v>
      </c>
      <c r="Z20" s="149">
        <v>8.4000000000000003E-4</v>
      </c>
      <c r="AA20" s="199"/>
    </row>
    <row r="21" spans="1:27" x14ac:dyDescent="0.2">
      <c r="A21" s="144" t="s">
        <v>1205</v>
      </c>
      <c r="B21" s="145" t="s">
        <v>1206</v>
      </c>
      <c r="C21" s="145" t="s">
        <v>1260</v>
      </c>
      <c r="D21" s="145" t="s">
        <v>1279</v>
      </c>
      <c r="E21" s="145" t="s">
        <v>1280</v>
      </c>
      <c r="F21" s="145" t="s">
        <v>945</v>
      </c>
      <c r="G21" s="145" t="s">
        <v>204</v>
      </c>
      <c r="H21" s="145" t="s">
        <v>204</v>
      </c>
      <c r="I21" s="145" t="s">
        <v>340</v>
      </c>
      <c r="J21" s="145" t="s">
        <v>1223</v>
      </c>
      <c r="K21" s="145" t="s">
        <v>312</v>
      </c>
      <c r="L21" s="145" t="s">
        <v>1210</v>
      </c>
      <c r="M21" s="146">
        <v>3.7</v>
      </c>
      <c r="N21" s="145" t="s">
        <v>1281</v>
      </c>
      <c r="O21" s="148">
        <v>3.7499999999999999E-2</v>
      </c>
      <c r="P21" s="148">
        <v>4.2680000000000003E-2</v>
      </c>
      <c r="Q21" s="145"/>
      <c r="R21" s="146">
        <v>15225</v>
      </c>
      <c r="S21" s="146">
        <v>1</v>
      </c>
      <c r="T21" s="146">
        <v>98.49</v>
      </c>
      <c r="U21" s="146">
        <v>14.994999999999999</v>
      </c>
      <c r="V21" s="145"/>
      <c r="W21" s="158"/>
      <c r="X21" s="148">
        <v>0</v>
      </c>
      <c r="Y21" s="148">
        <v>1.8500000000000001E-3</v>
      </c>
      <c r="Z21" s="149">
        <v>4.6999999999999999E-4</v>
      </c>
      <c r="AA21" s="199"/>
    </row>
    <row r="22" spans="1:27" x14ac:dyDescent="0.2">
      <c r="A22" s="144" t="s">
        <v>1205</v>
      </c>
      <c r="B22" s="145" t="s">
        <v>1206</v>
      </c>
      <c r="C22" s="145" t="s">
        <v>1220</v>
      </c>
      <c r="D22" s="145" t="s">
        <v>1282</v>
      </c>
      <c r="E22" s="145" t="s">
        <v>1283</v>
      </c>
      <c r="F22" s="145" t="s">
        <v>945</v>
      </c>
      <c r="G22" s="145" t="s">
        <v>204</v>
      </c>
      <c r="H22" s="145" t="s">
        <v>204</v>
      </c>
      <c r="I22" s="145" t="s">
        <v>340</v>
      </c>
      <c r="J22" s="145" t="s">
        <v>1223</v>
      </c>
      <c r="K22" s="145" t="s">
        <v>312</v>
      </c>
      <c r="L22" s="145" t="s">
        <v>1210</v>
      </c>
      <c r="M22" s="146">
        <v>17.43</v>
      </c>
      <c r="N22" s="145" t="s">
        <v>1284</v>
      </c>
      <c r="O22" s="148">
        <v>2.8080000000000001E-2</v>
      </c>
      <c r="P22" s="148">
        <v>4.9450000000000001E-2</v>
      </c>
      <c r="Q22" s="159"/>
      <c r="R22" s="146">
        <v>20000</v>
      </c>
      <c r="S22" s="146">
        <v>1</v>
      </c>
      <c r="T22" s="146">
        <v>68.95</v>
      </c>
      <c r="U22" s="146">
        <v>13.79</v>
      </c>
      <c r="V22" s="159"/>
      <c r="W22" s="159"/>
      <c r="X22" s="148">
        <v>0</v>
      </c>
      <c r="Y22" s="148">
        <v>1.6999999999999999E-3</v>
      </c>
      <c r="Z22" s="149">
        <v>4.2999999999999999E-4</v>
      </c>
      <c r="AA22" s="199"/>
    </row>
    <row r="23" spans="1:27" x14ac:dyDescent="0.2">
      <c r="A23" s="144" t="s">
        <v>1205</v>
      </c>
      <c r="B23" s="145" t="s">
        <v>1206</v>
      </c>
      <c r="C23" s="145" t="s">
        <v>1285</v>
      </c>
      <c r="D23" s="145" t="s">
        <v>1286</v>
      </c>
      <c r="E23" s="145" t="s">
        <v>1287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1288</v>
      </c>
      <c r="K23" s="145" t="s">
        <v>423</v>
      </c>
      <c r="L23" s="145" t="s">
        <v>1211</v>
      </c>
      <c r="M23" s="146">
        <v>7.7130000000000001</v>
      </c>
      <c r="N23" s="145" t="s">
        <v>1289</v>
      </c>
      <c r="O23" s="148">
        <v>4.2500000000000003E-2</v>
      </c>
      <c r="P23" s="148">
        <v>4.206E-2</v>
      </c>
      <c r="Q23" s="159"/>
      <c r="R23" s="146">
        <v>61200</v>
      </c>
      <c r="S23" s="146">
        <v>3.718</v>
      </c>
      <c r="T23" s="146">
        <v>101.961</v>
      </c>
      <c r="U23" s="146">
        <v>232.00299999999999</v>
      </c>
      <c r="V23" s="159"/>
      <c r="W23" s="159"/>
      <c r="X23" s="148">
        <v>0</v>
      </c>
      <c r="Y23" s="148">
        <v>2.8549999999999999E-2</v>
      </c>
      <c r="Z23" s="149">
        <v>7.3099999999999997E-3</v>
      </c>
      <c r="AA23" s="199"/>
    </row>
    <row r="24" spans="1:27" x14ac:dyDescent="0.2">
      <c r="A24" s="144" t="s">
        <v>1205</v>
      </c>
      <c r="B24" s="145" t="s">
        <v>1206</v>
      </c>
      <c r="C24" s="145" t="s">
        <v>1285</v>
      </c>
      <c r="D24" s="145" t="s">
        <v>1290</v>
      </c>
      <c r="E24" s="145" t="s">
        <v>1291</v>
      </c>
      <c r="F24" s="145" t="s">
        <v>947</v>
      </c>
      <c r="G24" s="145" t="s">
        <v>205</v>
      </c>
      <c r="H24" s="145" t="s">
        <v>224</v>
      </c>
      <c r="I24" s="145" t="s">
        <v>344</v>
      </c>
      <c r="J24" s="145" t="s">
        <v>1292</v>
      </c>
      <c r="K24" s="145" t="s">
        <v>423</v>
      </c>
      <c r="L24" s="145" t="s">
        <v>1211</v>
      </c>
      <c r="M24" s="146">
        <v>7.0380000000000003</v>
      </c>
      <c r="N24" s="145" t="s">
        <v>1293</v>
      </c>
      <c r="O24" s="148">
        <v>3.875E-2</v>
      </c>
      <c r="P24" s="148">
        <v>4.1529999999999997E-2</v>
      </c>
      <c r="Q24" s="159"/>
      <c r="R24" s="146">
        <v>56500</v>
      </c>
      <c r="S24" s="146">
        <v>3.718</v>
      </c>
      <c r="T24" s="146">
        <v>98.542000000000002</v>
      </c>
      <c r="U24" s="146">
        <v>207.00399999999999</v>
      </c>
      <c r="V24" s="159"/>
      <c r="W24" s="159"/>
      <c r="X24" s="148">
        <v>0</v>
      </c>
      <c r="Y24" s="148">
        <v>2.547E-2</v>
      </c>
      <c r="Z24" s="149">
        <v>6.5199999999999998E-3</v>
      </c>
      <c r="AA24" s="199"/>
    </row>
    <row r="25" spans="1:27" x14ac:dyDescent="0.2">
      <c r="A25" s="144" t="s">
        <v>1205</v>
      </c>
      <c r="B25" s="145" t="s">
        <v>1206</v>
      </c>
      <c r="C25" s="145" t="s">
        <v>1285</v>
      </c>
      <c r="D25" s="145" t="s">
        <v>1294</v>
      </c>
      <c r="E25" s="145" t="s">
        <v>1295</v>
      </c>
      <c r="F25" s="145" t="s">
        <v>947</v>
      </c>
      <c r="G25" s="145" t="s">
        <v>205</v>
      </c>
      <c r="H25" s="145" t="s">
        <v>224</v>
      </c>
      <c r="I25" s="145" t="s">
        <v>344</v>
      </c>
      <c r="J25" s="145" t="s">
        <v>1288</v>
      </c>
      <c r="K25" s="145" t="s">
        <v>423</v>
      </c>
      <c r="L25" s="145" t="s">
        <v>1211</v>
      </c>
      <c r="M25" s="146">
        <v>7.7279999999999998</v>
      </c>
      <c r="N25" s="145" t="s">
        <v>1296</v>
      </c>
      <c r="O25" s="148">
        <v>3.875E-2</v>
      </c>
      <c r="P25" s="148">
        <v>4.1980000000000003E-2</v>
      </c>
      <c r="Q25" s="159"/>
      <c r="R25" s="146">
        <v>40000</v>
      </c>
      <c r="S25" s="146">
        <v>3.718</v>
      </c>
      <c r="T25" s="146">
        <v>97.992999999999995</v>
      </c>
      <c r="U25" s="146">
        <v>145.73599999999999</v>
      </c>
      <c r="V25" s="159"/>
      <c r="W25" s="159"/>
      <c r="X25" s="148">
        <v>0</v>
      </c>
      <c r="Y25" s="148">
        <v>1.7930000000000001E-2</v>
      </c>
      <c r="Z25" s="149">
        <v>4.5900000000000003E-3</v>
      </c>
      <c r="AA25" s="199"/>
    </row>
    <row r="26" spans="1:27" x14ac:dyDescent="0.2">
      <c r="A26" s="144" t="s">
        <v>1205</v>
      </c>
      <c r="B26" s="145" t="s">
        <v>1206</v>
      </c>
      <c r="C26" s="145" t="s">
        <v>1285</v>
      </c>
      <c r="D26" s="145" t="s">
        <v>1297</v>
      </c>
      <c r="E26" s="145" t="s">
        <v>1298</v>
      </c>
      <c r="F26" s="145" t="s">
        <v>947</v>
      </c>
      <c r="G26" s="145" t="s">
        <v>205</v>
      </c>
      <c r="H26" s="145" t="s">
        <v>224</v>
      </c>
      <c r="I26" s="145" t="s">
        <v>344</v>
      </c>
      <c r="J26" s="145" t="s">
        <v>1288</v>
      </c>
      <c r="K26" s="145" t="s">
        <v>423</v>
      </c>
      <c r="L26" s="145" t="s">
        <v>1211</v>
      </c>
      <c r="M26" s="146">
        <v>7.3570000000000002</v>
      </c>
      <c r="N26" s="145" t="s">
        <v>1299</v>
      </c>
      <c r="O26" s="148">
        <v>0.04</v>
      </c>
      <c r="P26" s="148">
        <v>4.1779999999999998E-2</v>
      </c>
      <c r="Q26" s="159"/>
      <c r="R26" s="146">
        <v>20000</v>
      </c>
      <c r="S26" s="146">
        <v>3.718</v>
      </c>
      <c r="T26" s="146">
        <v>99.198999999999998</v>
      </c>
      <c r="U26" s="146">
        <v>73.763999999999996</v>
      </c>
      <c r="V26" s="159"/>
      <c r="W26" s="159"/>
      <c r="X26" s="148">
        <v>0</v>
      </c>
      <c r="Y26" s="148">
        <v>9.0799999999999995E-3</v>
      </c>
      <c r="Z26" s="149">
        <v>2.32E-3</v>
      </c>
      <c r="AA26" s="199"/>
    </row>
    <row r="27" spans="1:27" x14ac:dyDescent="0.2">
      <c r="A27" s="144" t="s">
        <v>1205</v>
      </c>
      <c r="B27" s="145" t="s">
        <v>1214</v>
      </c>
      <c r="C27" s="145" t="s">
        <v>1220</v>
      </c>
      <c r="D27" s="145" t="s">
        <v>1228</v>
      </c>
      <c r="E27" s="145" t="s">
        <v>1229</v>
      </c>
      <c r="F27" s="145" t="s">
        <v>943</v>
      </c>
      <c r="G27" s="145" t="s">
        <v>204</v>
      </c>
      <c r="H27" s="145" t="s">
        <v>204</v>
      </c>
      <c r="I27" s="145" t="s">
        <v>340</v>
      </c>
      <c r="J27" s="145" t="s">
        <v>1223</v>
      </c>
      <c r="K27" s="145" t="s">
        <v>312</v>
      </c>
      <c r="L27" s="145" t="s">
        <v>1210</v>
      </c>
      <c r="M27" s="146">
        <v>6.65</v>
      </c>
      <c r="N27" s="145" t="s">
        <v>1230</v>
      </c>
      <c r="O27" s="148">
        <v>1E-3</v>
      </c>
      <c r="P27" s="148">
        <v>2.0310000000000002E-2</v>
      </c>
      <c r="Q27" s="159"/>
      <c r="R27" s="146">
        <v>243878</v>
      </c>
      <c r="S27" s="146">
        <v>1</v>
      </c>
      <c r="T27" s="146">
        <v>101.91</v>
      </c>
      <c r="U27" s="146">
        <v>248.536</v>
      </c>
      <c r="V27" s="159"/>
      <c r="W27" s="159"/>
      <c r="X27" s="148">
        <v>1.0000000000000001E-5</v>
      </c>
      <c r="Y27" s="148">
        <v>0.20186999999999999</v>
      </c>
      <c r="Z27" s="149">
        <v>0.11504</v>
      </c>
      <c r="AA27" s="199"/>
    </row>
    <row r="28" spans="1:27" x14ac:dyDescent="0.2">
      <c r="A28" s="144" t="s">
        <v>1205</v>
      </c>
      <c r="B28" s="145" t="s">
        <v>1214</v>
      </c>
      <c r="C28" s="145" t="s">
        <v>1220</v>
      </c>
      <c r="D28" s="145" t="s">
        <v>1235</v>
      </c>
      <c r="E28" s="145" t="s">
        <v>1236</v>
      </c>
      <c r="F28" s="145" t="s">
        <v>943</v>
      </c>
      <c r="G28" s="145" t="s">
        <v>204</v>
      </c>
      <c r="H28" s="145" t="s">
        <v>204</v>
      </c>
      <c r="I28" s="145" t="s">
        <v>340</v>
      </c>
      <c r="J28" s="145" t="s">
        <v>1223</v>
      </c>
      <c r="K28" s="145" t="s">
        <v>312</v>
      </c>
      <c r="L28" s="145" t="s">
        <v>1210</v>
      </c>
      <c r="M28" s="146">
        <v>0.57999999999999996</v>
      </c>
      <c r="N28" s="145" t="s">
        <v>1237</v>
      </c>
      <c r="O28" s="148">
        <v>7.5199999999999998E-3</v>
      </c>
      <c r="P28" s="148">
        <v>1.2359999999999999E-2</v>
      </c>
      <c r="Q28" s="159"/>
      <c r="R28" s="146">
        <v>201069</v>
      </c>
      <c r="S28" s="146">
        <v>1</v>
      </c>
      <c r="T28" s="146">
        <v>116.16</v>
      </c>
      <c r="U28" s="146">
        <v>233.56200000000001</v>
      </c>
      <c r="V28" s="159"/>
      <c r="W28" s="159"/>
      <c r="X28" s="148">
        <v>1.0000000000000001E-5</v>
      </c>
      <c r="Y28" s="148">
        <v>0.18970000000000001</v>
      </c>
      <c r="Z28" s="149">
        <v>0.10811</v>
      </c>
      <c r="AA28" s="199"/>
    </row>
    <row r="29" spans="1:27" x14ac:dyDescent="0.2">
      <c r="A29" s="144" t="s">
        <v>1205</v>
      </c>
      <c r="B29" s="145" t="s">
        <v>1214</v>
      </c>
      <c r="C29" s="145" t="s">
        <v>1220</v>
      </c>
      <c r="D29" s="145" t="s">
        <v>1221</v>
      </c>
      <c r="E29" s="145" t="s">
        <v>1222</v>
      </c>
      <c r="F29" s="145" t="s">
        <v>945</v>
      </c>
      <c r="G29" s="145" t="s">
        <v>204</v>
      </c>
      <c r="H29" s="145" t="s">
        <v>204</v>
      </c>
      <c r="I29" s="145" t="s">
        <v>340</v>
      </c>
      <c r="J29" s="145" t="s">
        <v>1223</v>
      </c>
      <c r="K29" s="145" t="s">
        <v>312</v>
      </c>
      <c r="L29" s="145" t="s">
        <v>1210</v>
      </c>
      <c r="M29" s="146">
        <v>10.81</v>
      </c>
      <c r="N29" s="145" t="s">
        <v>1224</v>
      </c>
      <c r="O29" s="148">
        <v>1.504E-2</v>
      </c>
      <c r="P29" s="148">
        <v>4.614E-2</v>
      </c>
      <c r="Q29" s="159"/>
      <c r="R29" s="146">
        <v>248985</v>
      </c>
      <c r="S29" s="146">
        <v>1</v>
      </c>
      <c r="T29" s="146">
        <v>72.72</v>
      </c>
      <c r="U29" s="146">
        <v>181.06200000000001</v>
      </c>
      <c r="V29" s="159"/>
      <c r="W29" s="159"/>
      <c r="X29" s="148">
        <v>1.0000000000000001E-5</v>
      </c>
      <c r="Y29" s="148">
        <v>0.14706</v>
      </c>
      <c r="Z29" s="149">
        <v>8.3809999999999996E-2</v>
      </c>
      <c r="AA29" s="199"/>
    </row>
    <row r="30" spans="1:27" x14ac:dyDescent="0.2">
      <c r="A30" s="144" t="s">
        <v>1205</v>
      </c>
      <c r="B30" s="145" t="s">
        <v>1214</v>
      </c>
      <c r="C30" s="145" t="s">
        <v>1220</v>
      </c>
      <c r="D30" s="145" t="s">
        <v>1225</v>
      </c>
      <c r="E30" s="145" t="s">
        <v>1226</v>
      </c>
      <c r="F30" s="145" t="s">
        <v>945</v>
      </c>
      <c r="G30" s="145" t="s">
        <v>204</v>
      </c>
      <c r="H30" s="145" t="s">
        <v>204</v>
      </c>
      <c r="I30" s="145" t="s">
        <v>340</v>
      </c>
      <c r="J30" s="145" t="s">
        <v>1223</v>
      </c>
      <c r="K30" s="145" t="s">
        <v>312</v>
      </c>
      <c r="L30" s="145" t="s">
        <v>1210</v>
      </c>
      <c r="M30" s="146">
        <v>6.68</v>
      </c>
      <c r="N30" s="145" t="s">
        <v>1227</v>
      </c>
      <c r="O30" s="148">
        <v>1.2999999999999999E-2</v>
      </c>
      <c r="P30" s="148">
        <v>4.3790000000000003E-2</v>
      </c>
      <c r="Q30" s="159"/>
      <c r="R30" s="146">
        <v>144121</v>
      </c>
      <c r="S30" s="146">
        <v>1</v>
      </c>
      <c r="T30" s="146">
        <v>82.78</v>
      </c>
      <c r="U30" s="146">
        <v>119.303</v>
      </c>
      <c r="V30" s="159"/>
      <c r="W30" s="159"/>
      <c r="X30" s="148">
        <v>0</v>
      </c>
      <c r="Y30" s="148">
        <v>9.69E-2</v>
      </c>
      <c r="Z30" s="149">
        <v>5.5219999999999998E-2</v>
      </c>
      <c r="AA30" s="199"/>
    </row>
    <row r="31" spans="1:27" x14ac:dyDescent="0.2">
      <c r="A31" s="144" t="s">
        <v>1205</v>
      </c>
      <c r="B31" s="145" t="s">
        <v>1214</v>
      </c>
      <c r="C31" s="145" t="s">
        <v>1220</v>
      </c>
      <c r="D31" s="145" t="s">
        <v>1238</v>
      </c>
      <c r="E31" s="145" t="s">
        <v>1239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1223</v>
      </c>
      <c r="K31" s="145" t="s">
        <v>312</v>
      </c>
      <c r="L31" s="145" t="s">
        <v>1210</v>
      </c>
      <c r="M31" s="146">
        <v>11.55</v>
      </c>
      <c r="N31" s="145" t="s">
        <v>1240</v>
      </c>
      <c r="O31" s="148">
        <v>5.5149999999999998E-2</v>
      </c>
      <c r="P31" s="148">
        <v>4.7300000000000002E-2</v>
      </c>
      <c r="Q31" s="159"/>
      <c r="R31" s="146">
        <v>67075.97</v>
      </c>
      <c r="S31" s="146">
        <v>1</v>
      </c>
      <c r="T31" s="146">
        <v>109.69</v>
      </c>
      <c r="U31" s="146">
        <v>73.575999999999993</v>
      </c>
      <c r="V31" s="159"/>
      <c r="W31" s="159"/>
      <c r="X31" s="148">
        <v>0</v>
      </c>
      <c r="Y31" s="148">
        <v>5.9760000000000001E-2</v>
      </c>
      <c r="Z31" s="149">
        <v>3.406E-2</v>
      </c>
      <c r="AA31" s="199"/>
    </row>
    <row r="32" spans="1:27" x14ac:dyDescent="0.2">
      <c r="A32" s="144" t="s">
        <v>1205</v>
      </c>
      <c r="B32" s="145" t="s">
        <v>1214</v>
      </c>
      <c r="C32" s="145" t="s">
        <v>1241</v>
      </c>
      <c r="D32" s="145" t="s">
        <v>1242</v>
      </c>
      <c r="E32" s="145" t="s">
        <v>1243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1223</v>
      </c>
      <c r="K32" s="145" t="s">
        <v>312</v>
      </c>
      <c r="L32" s="145" t="s">
        <v>1210</v>
      </c>
      <c r="M32" s="146">
        <v>0.85</v>
      </c>
      <c r="N32" s="145" t="s">
        <v>1244</v>
      </c>
      <c r="O32" s="145" t="s">
        <v>1234</v>
      </c>
      <c r="P32" s="148">
        <v>4.2599999999999999E-2</v>
      </c>
      <c r="Q32" s="159"/>
      <c r="R32" s="146">
        <v>69091</v>
      </c>
      <c r="S32" s="146">
        <v>1</v>
      </c>
      <c r="T32" s="146">
        <v>96.53</v>
      </c>
      <c r="U32" s="146">
        <v>66.694000000000003</v>
      </c>
      <c r="V32" s="159"/>
      <c r="W32" s="159"/>
      <c r="X32" s="148">
        <v>0</v>
      </c>
      <c r="Y32" s="148">
        <v>5.4170000000000003E-2</v>
      </c>
      <c r="Z32" s="149">
        <v>3.0870000000000002E-2</v>
      </c>
      <c r="AA32" s="199"/>
    </row>
    <row r="33" spans="1:27" x14ac:dyDescent="0.2">
      <c r="A33" s="144" t="s">
        <v>1205</v>
      </c>
      <c r="B33" s="145" t="s">
        <v>1214</v>
      </c>
      <c r="C33" s="145" t="s">
        <v>1220</v>
      </c>
      <c r="D33" s="145" t="s">
        <v>1231</v>
      </c>
      <c r="E33" s="145" t="s">
        <v>1232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1223</v>
      </c>
      <c r="K33" s="145" t="s">
        <v>312</v>
      </c>
      <c r="L33" s="145" t="s">
        <v>1210</v>
      </c>
      <c r="M33" s="146">
        <v>0.02</v>
      </c>
      <c r="N33" s="145" t="s">
        <v>1233</v>
      </c>
      <c r="O33" s="145" t="s">
        <v>1234</v>
      </c>
      <c r="P33" s="148">
        <v>0.11498999999999999</v>
      </c>
      <c r="Q33" s="159"/>
      <c r="R33" s="146">
        <v>62448</v>
      </c>
      <c r="S33" s="146">
        <v>1</v>
      </c>
      <c r="T33" s="146">
        <v>99.97</v>
      </c>
      <c r="U33" s="146">
        <v>62.429000000000002</v>
      </c>
      <c r="V33" s="159"/>
      <c r="W33" s="159"/>
      <c r="X33" s="148">
        <v>0</v>
      </c>
      <c r="Y33" s="148">
        <v>5.0709999999999998E-2</v>
      </c>
      <c r="Z33" s="149">
        <v>2.8899999999999999E-2</v>
      </c>
      <c r="AA33" s="199"/>
    </row>
    <row r="34" spans="1:27" x14ac:dyDescent="0.2">
      <c r="A34" s="144" t="s">
        <v>1205</v>
      </c>
      <c r="B34" s="145" t="s">
        <v>1214</v>
      </c>
      <c r="C34" s="145" t="s">
        <v>1220</v>
      </c>
      <c r="D34" s="145" t="s">
        <v>1254</v>
      </c>
      <c r="E34" s="145" t="s">
        <v>1255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1223</v>
      </c>
      <c r="K34" s="145" t="s">
        <v>312</v>
      </c>
      <c r="L34" s="145" t="s">
        <v>1210</v>
      </c>
      <c r="M34" s="146">
        <v>0.1</v>
      </c>
      <c r="N34" s="145" t="s">
        <v>1256</v>
      </c>
      <c r="O34" s="145" t="s">
        <v>1234</v>
      </c>
      <c r="P34" s="148">
        <v>4.2529999999999998E-2</v>
      </c>
      <c r="Q34" s="159"/>
      <c r="R34" s="146">
        <v>60475</v>
      </c>
      <c r="S34" s="146">
        <v>1</v>
      </c>
      <c r="T34" s="146">
        <v>99.59</v>
      </c>
      <c r="U34" s="146">
        <v>60.226999999999997</v>
      </c>
      <c r="V34" s="159"/>
      <c r="W34" s="159"/>
      <c r="X34" s="148">
        <v>0</v>
      </c>
      <c r="Y34" s="148">
        <v>4.8919999999999998E-2</v>
      </c>
      <c r="Z34" s="149">
        <v>2.7879999999999999E-2</v>
      </c>
      <c r="AA34" s="199"/>
    </row>
    <row r="35" spans="1:27" x14ac:dyDescent="0.2">
      <c r="A35" s="144" t="s">
        <v>1205</v>
      </c>
      <c r="B35" s="145" t="s">
        <v>1214</v>
      </c>
      <c r="C35" s="145" t="s">
        <v>1220</v>
      </c>
      <c r="D35" s="145" t="s">
        <v>1245</v>
      </c>
      <c r="E35" s="145" t="s">
        <v>1246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1223</v>
      </c>
      <c r="K35" s="145" t="s">
        <v>314</v>
      </c>
      <c r="L35" s="145" t="s">
        <v>1210</v>
      </c>
      <c r="M35" s="146">
        <v>0.18</v>
      </c>
      <c r="N35" s="145" t="s">
        <v>1247</v>
      </c>
      <c r="O35" s="145" t="s">
        <v>1234</v>
      </c>
      <c r="P35" s="148">
        <v>4.3249999999999997E-2</v>
      </c>
      <c r="Q35" s="159"/>
      <c r="R35" s="146">
        <v>49000</v>
      </c>
      <c r="S35" s="146">
        <v>1</v>
      </c>
      <c r="T35" s="146">
        <v>99.26</v>
      </c>
      <c r="U35" s="146">
        <v>48.637</v>
      </c>
      <c r="V35" s="159"/>
      <c r="W35" s="159"/>
      <c r="X35" s="148">
        <v>0</v>
      </c>
      <c r="Y35" s="148">
        <v>3.95E-2</v>
      </c>
      <c r="Z35" s="149">
        <v>2.2509999999999999E-2</v>
      </c>
      <c r="AA35" s="199"/>
    </row>
    <row r="36" spans="1:27" x14ac:dyDescent="0.2">
      <c r="A36" s="144" t="s">
        <v>1205</v>
      </c>
      <c r="B36" s="145" t="s">
        <v>1214</v>
      </c>
      <c r="C36" s="145" t="s">
        <v>1260</v>
      </c>
      <c r="D36" s="145" t="s">
        <v>1261</v>
      </c>
      <c r="E36" s="145" t="s">
        <v>1262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1223</v>
      </c>
      <c r="K36" s="145" t="s">
        <v>312</v>
      </c>
      <c r="L36" s="145" t="s">
        <v>1210</v>
      </c>
      <c r="M36" s="146">
        <v>4.8899999999999997</v>
      </c>
      <c r="N36" s="145" t="s">
        <v>1263</v>
      </c>
      <c r="O36" s="148">
        <v>0.01</v>
      </c>
      <c r="P36" s="148">
        <v>4.2880000000000001E-2</v>
      </c>
      <c r="Q36" s="159"/>
      <c r="R36" s="146">
        <v>39366</v>
      </c>
      <c r="S36" s="146">
        <v>1</v>
      </c>
      <c r="T36" s="146">
        <v>85.48</v>
      </c>
      <c r="U36" s="146">
        <v>33.65</v>
      </c>
      <c r="V36" s="159"/>
      <c r="W36" s="159"/>
      <c r="X36" s="148">
        <v>0</v>
      </c>
      <c r="Y36" s="148">
        <v>2.733E-2</v>
      </c>
      <c r="Z36" s="149">
        <v>1.558E-2</v>
      </c>
      <c r="AA36" s="199"/>
    </row>
    <row r="37" spans="1:27" x14ac:dyDescent="0.2">
      <c r="A37" s="144" t="s">
        <v>1205</v>
      </c>
      <c r="B37" s="145" t="s">
        <v>1214</v>
      </c>
      <c r="C37" s="145" t="s">
        <v>1220</v>
      </c>
      <c r="D37" s="145" t="s">
        <v>1251</v>
      </c>
      <c r="E37" s="145" t="s">
        <v>1252</v>
      </c>
      <c r="F37" s="145" t="s">
        <v>945</v>
      </c>
      <c r="G37" s="145" t="s">
        <v>204</v>
      </c>
      <c r="H37" s="145" t="s">
        <v>204</v>
      </c>
      <c r="I37" s="145" t="s">
        <v>340</v>
      </c>
      <c r="J37" s="145" t="s">
        <v>1223</v>
      </c>
      <c r="K37" s="145" t="s">
        <v>312</v>
      </c>
      <c r="L37" s="145" t="s">
        <v>1210</v>
      </c>
      <c r="M37" s="146">
        <v>14.74</v>
      </c>
      <c r="N37" s="145" t="s">
        <v>1253</v>
      </c>
      <c r="O37" s="148">
        <v>3.7499999999999999E-2</v>
      </c>
      <c r="P37" s="148">
        <v>4.8599999999999997E-2</v>
      </c>
      <c r="Q37" s="159"/>
      <c r="R37" s="146">
        <v>31636</v>
      </c>
      <c r="S37" s="146">
        <v>1</v>
      </c>
      <c r="T37" s="146">
        <v>85.21</v>
      </c>
      <c r="U37" s="146">
        <v>26.957000000000001</v>
      </c>
      <c r="V37" s="159"/>
      <c r="W37" s="159"/>
      <c r="X37" s="148">
        <v>0</v>
      </c>
      <c r="Y37" s="148">
        <v>2.1899999999999999E-2</v>
      </c>
      <c r="Z37" s="149">
        <v>1.248E-2</v>
      </c>
      <c r="AA37" s="199"/>
    </row>
    <row r="38" spans="1:27" x14ac:dyDescent="0.2">
      <c r="A38" s="144" t="s">
        <v>1205</v>
      </c>
      <c r="B38" s="145" t="s">
        <v>1214</v>
      </c>
      <c r="C38" s="145" t="s">
        <v>1220</v>
      </c>
      <c r="D38" s="145" t="s">
        <v>1248</v>
      </c>
      <c r="E38" s="145" t="s">
        <v>1249</v>
      </c>
      <c r="F38" s="145" t="s">
        <v>945</v>
      </c>
      <c r="G38" s="145" t="s">
        <v>204</v>
      </c>
      <c r="H38" s="145" t="s">
        <v>204</v>
      </c>
      <c r="I38" s="145" t="s">
        <v>340</v>
      </c>
      <c r="J38" s="145" t="s">
        <v>1223</v>
      </c>
      <c r="K38" s="145" t="s">
        <v>312</v>
      </c>
      <c r="L38" s="145" t="s">
        <v>1210</v>
      </c>
      <c r="M38" s="146">
        <v>8.4</v>
      </c>
      <c r="N38" s="145" t="s">
        <v>1250</v>
      </c>
      <c r="O38" s="148">
        <v>0.04</v>
      </c>
      <c r="P38" s="148">
        <v>4.4850000000000001E-2</v>
      </c>
      <c r="Q38" s="159"/>
      <c r="R38" s="146">
        <v>24780</v>
      </c>
      <c r="S38" s="146">
        <v>1</v>
      </c>
      <c r="T38" s="146">
        <v>96.17</v>
      </c>
      <c r="U38" s="146">
        <v>23.831</v>
      </c>
      <c r="V38" s="159"/>
      <c r="W38" s="159"/>
      <c r="X38" s="148">
        <v>0</v>
      </c>
      <c r="Y38" s="148">
        <v>1.9359999999999999E-2</v>
      </c>
      <c r="Z38" s="149">
        <v>1.103E-2</v>
      </c>
      <c r="AA38" s="199"/>
    </row>
    <row r="39" spans="1:27" x14ac:dyDescent="0.2">
      <c r="A39" s="144" t="s">
        <v>1205</v>
      </c>
      <c r="B39" s="145" t="s">
        <v>1214</v>
      </c>
      <c r="C39" s="145" t="s">
        <v>1260</v>
      </c>
      <c r="D39" s="145" t="s">
        <v>1279</v>
      </c>
      <c r="E39" s="145" t="s">
        <v>1280</v>
      </c>
      <c r="F39" s="145" t="s">
        <v>945</v>
      </c>
      <c r="G39" s="145" t="s">
        <v>204</v>
      </c>
      <c r="H39" s="145" t="s">
        <v>204</v>
      </c>
      <c r="I39" s="145" t="s">
        <v>340</v>
      </c>
      <c r="J39" s="145" t="s">
        <v>1223</v>
      </c>
      <c r="K39" s="145" t="s">
        <v>312</v>
      </c>
      <c r="L39" s="145" t="s">
        <v>1210</v>
      </c>
      <c r="M39" s="146">
        <v>3.7</v>
      </c>
      <c r="N39" s="145" t="s">
        <v>1281</v>
      </c>
      <c r="O39" s="148">
        <v>3.7499999999999999E-2</v>
      </c>
      <c r="P39" s="148">
        <v>4.2680000000000003E-2</v>
      </c>
      <c r="Q39" s="159"/>
      <c r="R39" s="146">
        <v>10787</v>
      </c>
      <c r="S39" s="146">
        <v>1</v>
      </c>
      <c r="T39" s="146">
        <v>98.49</v>
      </c>
      <c r="U39" s="146">
        <v>10.624000000000001</v>
      </c>
      <c r="V39" s="159"/>
      <c r="W39" s="159"/>
      <c r="X39" s="148">
        <v>0</v>
      </c>
      <c r="Y39" s="148">
        <v>8.6300000000000005E-3</v>
      </c>
      <c r="Z39" s="149">
        <v>4.9199999999999999E-3</v>
      </c>
      <c r="AA39" s="199"/>
    </row>
    <row r="40" spans="1:27" x14ac:dyDescent="0.2">
      <c r="A40" s="144" t="s">
        <v>1205</v>
      </c>
      <c r="B40" s="145" t="s">
        <v>1214</v>
      </c>
      <c r="C40" s="145" t="s">
        <v>1260</v>
      </c>
      <c r="D40" s="145" t="s">
        <v>1267</v>
      </c>
      <c r="E40" s="145" t="s">
        <v>1268</v>
      </c>
      <c r="F40" s="145" t="s">
        <v>945</v>
      </c>
      <c r="G40" s="145" t="s">
        <v>204</v>
      </c>
      <c r="H40" s="145" t="s">
        <v>204</v>
      </c>
      <c r="I40" s="145" t="s">
        <v>340</v>
      </c>
      <c r="J40" s="145" t="s">
        <v>1223</v>
      </c>
      <c r="K40" s="145" t="s">
        <v>312</v>
      </c>
      <c r="L40" s="145" t="s">
        <v>1210</v>
      </c>
      <c r="M40" s="146">
        <v>4.03</v>
      </c>
      <c r="N40" s="145" t="s">
        <v>1269</v>
      </c>
      <c r="O40" s="148">
        <v>4.5999999999999999E-2</v>
      </c>
      <c r="P40" s="148">
        <v>4.267E-2</v>
      </c>
      <c r="Q40" s="159"/>
      <c r="R40" s="146">
        <v>8951</v>
      </c>
      <c r="S40" s="146">
        <v>1</v>
      </c>
      <c r="T40" s="146">
        <v>103.16</v>
      </c>
      <c r="U40" s="146">
        <v>9.234</v>
      </c>
      <c r="V40" s="159"/>
      <c r="W40" s="159"/>
      <c r="X40" s="148">
        <v>0</v>
      </c>
      <c r="Y40" s="148">
        <v>7.4999999999999997E-3</v>
      </c>
      <c r="Z40" s="149">
        <v>4.2700000000000004E-3</v>
      </c>
      <c r="AA40" s="199"/>
    </row>
    <row r="41" spans="1:27" x14ac:dyDescent="0.2">
      <c r="A41" s="144" t="s">
        <v>1205</v>
      </c>
      <c r="B41" s="145" t="s">
        <v>1214</v>
      </c>
      <c r="C41" s="145" t="s">
        <v>1220</v>
      </c>
      <c r="D41" s="145" t="s">
        <v>1276</v>
      </c>
      <c r="E41" s="145" t="s">
        <v>1277</v>
      </c>
      <c r="F41" s="145" t="s">
        <v>943</v>
      </c>
      <c r="G41" s="145" t="s">
        <v>204</v>
      </c>
      <c r="H41" s="145" t="s">
        <v>204</v>
      </c>
      <c r="I41" s="145" t="s">
        <v>340</v>
      </c>
      <c r="J41" s="145" t="s">
        <v>1223</v>
      </c>
      <c r="K41" s="145" t="s">
        <v>312</v>
      </c>
      <c r="L41" s="145" t="s">
        <v>1210</v>
      </c>
      <c r="M41" s="146">
        <v>9.15</v>
      </c>
      <c r="N41" s="145" t="s">
        <v>1278</v>
      </c>
      <c r="O41" s="148">
        <v>4.011E-2</v>
      </c>
      <c r="P41" s="148">
        <v>2.12E-2</v>
      </c>
      <c r="Q41" s="159"/>
      <c r="R41" s="146">
        <v>3259</v>
      </c>
      <c r="S41" s="146">
        <v>1</v>
      </c>
      <c r="T41" s="146">
        <v>167.49</v>
      </c>
      <c r="U41" s="146">
        <v>5.4580000000000002</v>
      </c>
      <c r="V41" s="159"/>
      <c r="W41" s="159"/>
      <c r="X41" s="148">
        <v>0</v>
      </c>
      <c r="Y41" s="148">
        <v>4.4299999999999999E-3</v>
      </c>
      <c r="Z41" s="149">
        <v>2.5300000000000001E-3</v>
      </c>
      <c r="AA41" s="199"/>
    </row>
    <row r="42" spans="1:27" x14ac:dyDescent="0.2">
      <c r="A42" s="144" t="s">
        <v>1205</v>
      </c>
      <c r="B42" s="145" t="s">
        <v>1214</v>
      </c>
      <c r="C42" s="145" t="s">
        <v>1220</v>
      </c>
      <c r="D42" s="145" t="s">
        <v>1257</v>
      </c>
      <c r="E42" s="145" t="s">
        <v>1258</v>
      </c>
      <c r="F42" s="145" t="s">
        <v>943</v>
      </c>
      <c r="G42" s="145" t="s">
        <v>204</v>
      </c>
      <c r="H42" s="145" t="s">
        <v>204</v>
      </c>
      <c r="I42" s="145" t="s">
        <v>340</v>
      </c>
      <c r="J42" s="145" t="s">
        <v>1223</v>
      </c>
      <c r="K42" s="145" t="s">
        <v>312</v>
      </c>
      <c r="L42" s="145" t="s">
        <v>1210</v>
      </c>
      <c r="M42" s="146">
        <v>1.33</v>
      </c>
      <c r="N42" s="145" t="s">
        <v>1259</v>
      </c>
      <c r="O42" s="148">
        <v>1E-3</v>
      </c>
      <c r="P42" s="148">
        <v>1.9599999999999999E-2</v>
      </c>
      <c r="Q42" s="159"/>
      <c r="R42" s="146">
        <v>1840</v>
      </c>
      <c r="S42" s="146">
        <v>1</v>
      </c>
      <c r="T42" s="146">
        <v>112.95</v>
      </c>
      <c r="U42" s="146">
        <v>2.0779999999999998</v>
      </c>
      <c r="V42" s="159"/>
      <c r="W42" s="159"/>
      <c r="X42" s="148">
        <v>0</v>
      </c>
      <c r="Y42" s="148">
        <v>1.6900000000000001E-3</v>
      </c>
      <c r="Z42" s="149">
        <v>9.6000000000000002E-4</v>
      </c>
      <c r="AA42" s="199"/>
    </row>
    <row r="43" spans="1:27" x14ac:dyDescent="0.2">
      <c r="A43" s="144" t="s">
        <v>1205</v>
      </c>
      <c r="B43" s="145" t="s">
        <v>1214</v>
      </c>
      <c r="C43" s="145" t="s">
        <v>1220</v>
      </c>
      <c r="D43" s="145" t="s">
        <v>1282</v>
      </c>
      <c r="E43" s="145" t="s">
        <v>1283</v>
      </c>
      <c r="F43" s="145" t="s">
        <v>945</v>
      </c>
      <c r="G43" s="145" t="s">
        <v>204</v>
      </c>
      <c r="H43" s="145" t="s">
        <v>204</v>
      </c>
      <c r="I43" s="145" t="s">
        <v>340</v>
      </c>
      <c r="J43" s="145" t="s">
        <v>1223</v>
      </c>
      <c r="K43" s="145" t="s">
        <v>312</v>
      </c>
      <c r="L43" s="145" t="s">
        <v>1210</v>
      </c>
      <c r="M43" s="146">
        <v>17.43</v>
      </c>
      <c r="N43" s="145" t="s">
        <v>1284</v>
      </c>
      <c r="O43" s="148">
        <v>2.8080000000000001E-2</v>
      </c>
      <c r="P43" s="148">
        <v>4.9450000000000001E-2</v>
      </c>
      <c r="Q43" s="159"/>
      <c r="R43" s="146">
        <v>30</v>
      </c>
      <c r="S43" s="146">
        <v>1</v>
      </c>
      <c r="T43" s="146">
        <v>68.95</v>
      </c>
      <c r="U43" s="146">
        <v>2.1000000000000001E-2</v>
      </c>
      <c r="V43" s="159"/>
      <c r="W43" s="159"/>
      <c r="X43" s="148">
        <v>0</v>
      </c>
      <c r="Y43" s="148">
        <v>2.0000000000000002E-5</v>
      </c>
      <c r="Z43" s="149">
        <v>1.0000000000000001E-5</v>
      </c>
      <c r="AA43" s="199"/>
    </row>
    <row r="44" spans="1:27" x14ac:dyDescent="0.2">
      <c r="A44" s="144" t="s">
        <v>1205</v>
      </c>
      <c r="B44" s="145" t="s">
        <v>1214</v>
      </c>
      <c r="C44" s="145" t="s">
        <v>1285</v>
      </c>
      <c r="D44" s="145" t="s">
        <v>1290</v>
      </c>
      <c r="E44" s="145" t="s">
        <v>1291</v>
      </c>
      <c r="F44" s="145" t="s">
        <v>947</v>
      </c>
      <c r="G44" s="145" t="s">
        <v>205</v>
      </c>
      <c r="H44" s="145" t="s">
        <v>224</v>
      </c>
      <c r="I44" s="145" t="s">
        <v>344</v>
      </c>
      <c r="J44" s="145" t="s">
        <v>1292</v>
      </c>
      <c r="K44" s="145" t="s">
        <v>423</v>
      </c>
      <c r="L44" s="145" t="s">
        <v>1211</v>
      </c>
      <c r="M44" s="146">
        <v>7.0380000000000003</v>
      </c>
      <c r="N44" s="145" t="s">
        <v>1293</v>
      </c>
      <c r="O44" s="148">
        <v>3.875E-2</v>
      </c>
      <c r="P44" s="148">
        <v>4.1529999999999997E-2</v>
      </c>
      <c r="Q44" s="159"/>
      <c r="R44" s="146">
        <v>5900</v>
      </c>
      <c r="S44" s="146">
        <v>3.718</v>
      </c>
      <c r="T44" s="146">
        <v>98.542000000000002</v>
      </c>
      <c r="U44" s="146">
        <v>21.616</v>
      </c>
      <c r="V44" s="159"/>
      <c r="W44" s="159"/>
      <c r="X44" s="148">
        <v>0</v>
      </c>
      <c r="Y44" s="148">
        <v>1.7559999999999999E-2</v>
      </c>
      <c r="Z44" s="149">
        <v>1.001E-2</v>
      </c>
      <c r="AA44" s="199"/>
    </row>
    <row r="45" spans="1:27" x14ac:dyDescent="0.2">
      <c r="A45" s="144" t="s">
        <v>1205</v>
      </c>
      <c r="B45" s="145" t="s">
        <v>1214</v>
      </c>
      <c r="C45" s="145" t="s">
        <v>1285</v>
      </c>
      <c r="D45" s="145" t="s">
        <v>1297</v>
      </c>
      <c r="E45" s="145" t="s">
        <v>1298</v>
      </c>
      <c r="F45" s="145" t="s">
        <v>947</v>
      </c>
      <c r="G45" s="145" t="s">
        <v>205</v>
      </c>
      <c r="H45" s="145" t="s">
        <v>224</v>
      </c>
      <c r="I45" s="145" t="s">
        <v>344</v>
      </c>
      <c r="J45" s="145" t="s">
        <v>1288</v>
      </c>
      <c r="K45" s="145" t="s">
        <v>423</v>
      </c>
      <c r="L45" s="145" t="s">
        <v>1211</v>
      </c>
      <c r="M45" s="146">
        <v>7.3570000000000002</v>
      </c>
      <c r="N45" s="145" t="s">
        <v>1299</v>
      </c>
      <c r="O45" s="148">
        <v>0.04</v>
      </c>
      <c r="P45" s="148">
        <v>4.1779999999999998E-2</v>
      </c>
      <c r="Q45" s="159"/>
      <c r="R45" s="146">
        <v>1000</v>
      </c>
      <c r="S45" s="146">
        <v>3.718</v>
      </c>
      <c r="T45" s="146">
        <v>99.198999999999998</v>
      </c>
      <c r="U45" s="146">
        <v>3.6880000000000002</v>
      </c>
      <c r="V45" s="159"/>
      <c r="W45" s="159"/>
      <c r="X45" s="148">
        <v>0</v>
      </c>
      <c r="Y45" s="148">
        <v>3.0000000000000001E-3</v>
      </c>
      <c r="Z45" s="149">
        <v>1.7099999999999999E-3</v>
      </c>
      <c r="AA45" s="199"/>
    </row>
    <row r="46" spans="1:27" x14ac:dyDescent="0.2">
      <c r="A46" s="144" t="s">
        <v>1205</v>
      </c>
      <c r="B46" s="145" t="s">
        <v>1205</v>
      </c>
      <c r="C46" s="145" t="s">
        <v>1220</v>
      </c>
      <c r="D46" s="145" t="s">
        <v>1221</v>
      </c>
      <c r="E46" s="145" t="s">
        <v>1222</v>
      </c>
      <c r="F46" s="145" t="s">
        <v>945</v>
      </c>
      <c r="G46" s="145" t="s">
        <v>204</v>
      </c>
      <c r="H46" s="145" t="s">
        <v>204</v>
      </c>
      <c r="I46" s="145" t="s">
        <v>340</v>
      </c>
      <c r="J46" s="145" t="s">
        <v>1223</v>
      </c>
      <c r="K46" s="145" t="s">
        <v>312</v>
      </c>
      <c r="L46" s="145" t="s">
        <v>1210</v>
      </c>
      <c r="M46" s="146">
        <v>10.81</v>
      </c>
      <c r="N46" s="145" t="s">
        <v>1224</v>
      </c>
      <c r="O46" s="148">
        <v>1.504E-2</v>
      </c>
      <c r="P46" s="148">
        <v>4.614E-2</v>
      </c>
      <c r="Q46" s="159"/>
      <c r="R46" s="146">
        <v>32856748</v>
      </c>
      <c r="S46" s="146">
        <v>1</v>
      </c>
      <c r="T46" s="146">
        <v>72.72</v>
      </c>
      <c r="U46" s="146">
        <v>23893.427</v>
      </c>
      <c r="V46" s="159"/>
      <c r="W46" s="159"/>
      <c r="X46" s="148">
        <v>1.01E-3</v>
      </c>
      <c r="Y46" s="148">
        <v>0.15784000000000001</v>
      </c>
      <c r="Z46" s="149">
        <v>2.273E-2</v>
      </c>
      <c r="AA46" s="199"/>
    </row>
    <row r="47" spans="1:27" x14ac:dyDescent="0.2">
      <c r="A47" s="144" t="s">
        <v>1205</v>
      </c>
      <c r="B47" s="145" t="s">
        <v>1205</v>
      </c>
      <c r="C47" s="145" t="s">
        <v>1220</v>
      </c>
      <c r="D47" s="145" t="s">
        <v>1235</v>
      </c>
      <c r="E47" s="145" t="s">
        <v>1236</v>
      </c>
      <c r="F47" s="145" t="s">
        <v>943</v>
      </c>
      <c r="G47" s="145" t="s">
        <v>204</v>
      </c>
      <c r="H47" s="145" t="s">
        <v>204</v>
      </c>
      <c r="I47" s="145" t="s">
        <v>340</v>
      </c>
      <c r="J47" s="145" t="s">
        <v>1223</v>
      </c>
      <c r="K47" s="145" t="s">
        <v>312</v>
      </c>
      <c r="L47" s="145" t="s">
        <v>1210</v>
      </c>
      <c r="M47" s="146">
        <v>0.57999999999999996</v>
      </c>
      <c r="N47" s="145" t="s">
        <v>1237</v>
      </c>
      <c r="O47" s="148">
        <v>7.5199999999999998E-3</v>
      </c>
      <c r="P47" s="148">
        <v>1.2359999999999999E-2</v>
      </c>
      <c r="Q47" s="159"/>
      <c r="R47" s="146">
        <v>13805304</v>
      </c>
      <c r="S47" s="146">
        <v>1</v>
      </c>
      <c r="T47" s="146">
        <v>116.16</v>
      </c>
      <c r="U47" s="146">
        <v>16036.241</v>
      </c>
      <c r="V47" s="159"/>
      <c r="W47" s="159"/>
      <c r="X47" s="148">
        <v>6.4000000000000005E-4</v>
      </c>
      <c r="Y47" s="148">
        <v>0.10593</v>
      </c>
      <c r="Z47" s="149">
        <v>1.525E-2</v>
      </c>
      <c r="AA47" s="199"/>
    </row>
    <row r="48" spans="1:27" x14ac:dyDescent="0.2">
      <c r="A48" s="144" t="s">
        <v>1205</v>
      </c>
      <c r="B48" s="145" t="s">
        <v>1205</v>
      </c>
      <c r="C48" s="145" t="s">
        <v>1241</v>
      </c>
      <c r="D48" s="145" t="s">
        <v>1300</v>
      </c>
      <c r="E48" s="145" t="s">
        <v>1301</v>
      </c>
      <c r="F48" s="145" t="s">
        <v>945</v>
      </c>
      <c r="G48" s="145" t="s">
        <v>204</v>
      </c>
      <c r="H48" s="145" t="s">
        <v>204</v>
      </c>
      <c r="I48" s="145" t="s">
        <v>340</v>
      </c>
      <c r="J48" s="145" t="s">
        <v>1223</v>
      </c>
      <c r="K48" s="145" t="s">
        <v>312</v>
      </c>
      <c r="L48" s="145" t="s">
        <v>1210</v>
      </c>
      <c r="M48" s="146">
        <v>0.67</v>
      </c>
      <c r="N48" s="145" t="s">
        <v>1302</v>
      </c>
      <c r="O48" s="145" t="s">
        <v>1234</v>
      </c>
      <c r="P48" s="148">
        <v>4.24E-2</v>
      </c>
      <c r="Q48" s="159"/>
      <c r="R48" s="146">
        <v>16391154</v>
      </c>
      <c r="S48" s="146">
        <v>1</v>
      </c>
      <c r="T48" s="146">
        <v>97.24</v>
      </c>
      <c r="U48" s="146">
        <v>15938.758</v>
      </c>
      <c r="V48" s="159"/>
      <c r="W48" s="159"/>
      <c r="X48" s="148">
        <v>1.17E-3</v>
      </c>
      <c r="Y48" s="148">
        <v>0.10528999999999999</v>
      </c>
      <c r="Z48" s="149">
        <v>1.516E-2</v>
      </c>
      <c r="AA48" s="199"/>
    </row>
    <row r="49" spans="1:27" x14ac:dyDescent="0.2">
      <c r="A49" s="144" t="s">
        <v>1205</v>
      </c>
      <c r="B49" s="145" t="s">
        <v>1205</v>
      </c>
      <c r="C49" s="145" t="s">
        <v>1220</v>
      </c>
      <c r="D49" s="145" t="s">
        <v>1228</v>
      </c>
      <c r="E49" s="145" t="s">
        <v>1229</v>
      </c>
      <c r="F49" s="145" t="s">
        <v>943</v>
      </c>
      <c r="G49" s="145" t="s">
        <v>204</v>
      </c>
      <c r="H49" s="145" t="s">
        <v>204</v>
      </c>
      <c r="I49" s="145" t="s">
        <v>340</v>
      </c>
      <c r="J49" s="145" t="s">
        <v>1223</v>
      </c>
      <c r="K49" s="145" t="s">
        <v>312</v>
      </c>
      <c r="L49" s="145" t="s">
        <v>1210</v>
      </c>
      <c r="M49" s="146">
        <v>6.65</v>
      </c>
      <c r="N49" s="145" t="s">
        <v>1230</v>
      </c>
      <c r="O49" s="148">
        <v>1E-3</v>
      </c>
      <c r="P49" s="148">
        <v>2.0310000000000002E-2</v>
      </c>
      <c r="Q49" s="159"/>
      <c r="R49" s="146">
        <v>14619425</v>
      </c>
      <c r="S49" s="146">
        <v>1</v>
      </c>
      <c r="T49" s="146">
        <v>101.91</v>
      </c>
      <c r="U49" s="146">
        <v>14898.656000000001</v>
      </c>
      <c r="V49" s="159"/>
      <c r="W49" s="159"/>
      <c r="X49" s="148">
        <v>4.8000000000000001E-4</v>
      </c>
      <c r="Y49" s="148">
        <v>9.8419999999999994E-2</v>
      </c>
      <c r="Z49" s="149">
        <v>1.417E-2</v>
      </c>
      <c r="AA49" s="199"/>
    </row>
    <row r="50" spans="1:27" x14ac:dyDescent="0.2">
      <c r="A50" s="144" t="s">
        <v>1205</v>
      </c>
      <c r="B50" s="145" t="s">
        <v>1205</v>
      </c>
      <c r="C50" s="145" t="s">
        <v>1220</v>
      </c>
      <c r="D50" s="145" t="s">
        <v>1238</v>
      </c>
      <c r="E50" s="145" t="s">
        <v>1239</v>
      </c>
      <c r="F50" s="145" t="s">
        <v>945</v>
      </c>
      <c r="G50" s="145" t="s">
        <v>204</v>
      </c>
      <c r="H50" s="145" t="s">
        <v>204</v>
      </c>
      <c r="I50" s="145" t="s">
        <v>340</v>
      </c>
      <c r="J50" s="145" t="s">
        <v>1223</v>
      </c>
      <c r="K50" s="145" t="s">
        <v>312</v>
      </c>
      <c r="L50" s="145" t="s">
        <v>1210</v>
      </c>
      <c r="M50" s="146">
        <v>11.55</v>
      </c>
      <c r="N50" s="145" t="s">
        <v>1240</v>
      </c>
      <c r="O50" s="148">
        <v>5.5149999999999998E-2</v>
      </c>
      <c r="P50" s="148">
        <v>4.7300000000000002E-2</v>
      </c>
      <c r="Q50" s="159"/>
      <c r="R50" s="146">
        <v>10175802.130000001</v>
      </c>
      <c r="S50" s="146">
        <v>1</v>
      </c>
      <c r="T50" s="146">
        <v>109.69</v>
      </c>
      <c r="U50" s="146">
        <v>11161.837</v>
      </c>
      <c r="V50" s="159"/>
      <c r="W50" s="159"/>
      <c r="X50" s="148">
        <v>3.6999999999999999E-4</v>
      </c>
      <c r="Y50" s="148">
        <v>7.3730000000000004E-2</v>
      </c>
      <c r="Z50" s="149">
        <v>1.0619999999999999E-2</v>
      </c>
      <c r="AA50" s="199"/>
    </row>
    <row r="51" spans="1:27" x14ac:dyDescent="0.2">
      <c r="A51" s="144" t="s">
        <v>1205</v>
      </c>
      <c r="B51" s="145" t="s">
        <v>1205</v>
      </c>
      <c r="C51" s="145" t="s">
        <v>1220</v>
      </c>
      <c r="D51" s="145" t="s">
        <v>1303</v>
      </c>
      <c r="E51" s="145" t="s">
        <v>1304</v>
      </c>
      <c r="F51" s="145" t="s">
        <v>945</v>
      </c>
      <c r="G51" s="145" t="s">
        <v>204</v>
      </c>
      <c r="H51" s="145" t="s">
        <v>204</v>
      </c>
      <c r="I51" s="145" t="s">
        <v>340</v>
      </c>
      <c r="J51" s="145" t="s">
        <v>1223</v>
      </c>
      <c r="K51" s="145" t="s">
        <v>312</v>
      </c>
      <c r="L51" s="145" t="s">
        <v>1210</v>
      </c>
      <c r="M51" s="146">
        <v>0.35</v>
      </c>
      <c r="N51" s="145" t="s">
        <v>1305</v>
      </c>
      <c r="O51" s="145" t="s">
        <v>1234</v>
      </c>
      <c r="P51" s="148">
        <v>4.2869999999999998E-2</v>
      </c>
      <c r="Q51" s="159"/>
      <c r="R51" s="146">
        <v>8900000</v>
      </c>
      <c r="S51" s="146">
        <v>1</v>
      </c>
      <c r="T51" s="146">
        <v>98.55</v>
      </c>
      <c r="U51" s="146">
        <v>8770.9500000000007</v>
      </c>
      <c r="V51" s="159"/>
      <c r="W51" s="159"/>
      <c r="X51" s="148">
        <v>7.3999999999999999E-4</v>
      </c>
      <c r="Y51" s="148">
        <v>5.7939999999999998E-2</v>
      </c>
      <c r="Z51" s="149">
        <v>8.3400000000000002E-3</v>
      </c>
      <c r="AA51" s="199"/>
    </row>
    <row r="52" spans="1:27" x14ac:dyDescent="0.2">
      <c r="A52" s="144" t="s">
        <v>1205</v>
      </c>
      <c r="B52" s="145" t="s">
        <v>1205</v>
      </c>
      <c r="C52" s="145" t="s">
        <v>1220</v>
      </c>
      <c r="D52" s="145" t="s">
        <v>1251</v>
      </c>
      <c r="E52" s="145" t="s">
        <v>1252</v>
      </c>
      <c r="F52" s="145" t="s">
        <v>945</v>
      </c>
      <c r="G52" s="145" t="s">
        <v>204</v>
      </c>
      <c r="H52" s="145" t="s">
        <v>204</v>
      </c>
      <c r="I52" s="145" t="s">
        <v>340</v>
      </c>
      <c r="J52" s="145" t="s">
        <v>1223</v>
      </c>
      <c r="K52" s="145" t="s">
        <v>312</v>
      </c>
      <c r="L52" s="145" t="s">
        <v>1210</v>
      </c>
      <c r="M52" s="146">
        <v>14.74</v>
      </c>
      <c r="N52" s="145" t="s">
        <v>1253</v>
      </c>
      <c r="O52" s="148">
        <v>3.7499999999999999E-2</v>
      </c>
      <c r="P52" s="148">
        <v>4.8599999999999997E-2</v>
      </c>
      <c r="Q52" s="159"/>
      <c r="R52" s="146">
        <v>9261009</v>
      </c>
      <c r="S52" s="146">
        <v>1</v>
      </c>
      <c r="T52" s="146">
        <v>85.21</v>
      </c>
      <c r="U52" s="146">
        <v>7891.3059999999996</v>
      </c>
      <c r="V52" s="159"/>
      <c r="W52" s="159"/>
      <c r="X52" s="148">
        <v>3.5E-4</v>
      </c>
      <c r="Y52" s="148">
        <v>5.2130000000000003E-2</v>
      </c>
      <c r="Z52" s="149">
        <v>7.5100000000000002E-3</v>
      </c>
      <c r="AA52" s="199"/>
    </row>
    <row r="53" spans="1:27" x14ac:dyDescent="0.2">
      <c r="A53" s="144" t="s">
        <v>1205</v>
      </c>
      <c r="B53" s="145" t="s">
        <v>1205</v>
      </c>
      <c r="C53" s="145" t="s">
        <v>1260</v>
      </c>
      <c r="D53" s="145" t="s">
        <v>1261</v>
      </c>
      <c r="E53" s="145" t="s">
        <v>1262</v>
      </c>
      <c r="F53" s="145" t="s">
        <v>945</v>
      </c>
      <c r="G53" s="145" t="s">
        <v>204</v>
      </c>
      <c r="H53" s="145" t="s">
        <v>204</v>
      </c>
      <c r="I53" s="145" t="s">
        <v>340</v>
      </c>
      <c r="J53" s="145" t="s">
        <v>1223</v>
      </c>
      <c r="K53" s="145" t="s">
        <v>312</v>
      </c>
      <c r="L53" s="145" t="s">
        <v>1210</v>
      </c>
      <c r="M53" s="146">
        <v>4.8899999999999997</v>
      </c>
      <c r="N53" s="145" t="s">
        <v>1263</v>
      </c>
      <c r="O53" s="148">
        <v>0.01</v>
      </c>
      <c r="P53" s="148">
        <v>4.2880000000000001E-2</v>
      </c>
      <c r="Q53" s="159"/>
      <c r="R53" s="146">
        <v>7451377</v>
      </c>
      <c r="S53" s="146">
        <v>1</v>
      </c>
      <c r="T53" s="146">
        <v>85.48</v>
      </c>
      <c r="U53" s="146">
        <v>6369.4369999999999</v>
      </c>
      <c r="V53" s="159"/>
      <c r="W53" s="159"/>
      <c r="X53" s="148">
        <v>2.0000000000000001E-4</v>
      </c>
      <c r="Y53" s="148">
        <v>4.2079999999999999E-2</v>
      </c>
      <c r="Z53" s="149">
        <v>6.0600000000000003E-3</v>
      </c>
      <c r="AA53" s="199"/>
    </row>
    <row r="54" spans="1:27" x14ac:dyDescent="0.2">
      <c r="A54" s="144" t="s">
        <v>1205</v>
      </c>
      <c r="B54" s="145" t="s">
        <v>1205</v>
      </c>
      <c r="C54" s="145" t="s">
        <v>1260</v>
      </c>
      <c r="D54" s="145" t="s">
        <v>1279</v>
      </c>
      <c r="E54" s="145" t="s">
        <v>1280</v>
      </c>
      <c r="F54" s="145" t="s">
        <v>945</v>
      </c>
      <c r="G54" s="145" t="s">
        <v>204</v>
      </c>
      <c r="H54" s="145" t="s">
        <v>204</v>
      </c>
      <c r="I54" s="145" t="s">
        <v>340</v>
      </c>
      <c r="J54" s="145" t="s">
        <v>1223</v>
      </c>
      <c r="K54" s="145" t="s">
        <v>312</v>
      </c>
      <c r="L54" s="145" t="s">
        <v>1210</v>
      </c>
      <c r="M54" s="146">
        <v>3.7</v>
      </c>
      <c r="N54" s="145" t="s">
        <v>1281</v>
      </c>
      <c r="O54" s="148">
        <v>3.7499999999999999E-2</v>
      </c>
      <c r="P54" s="148">
        <v>4.2680000000000003E-2</v>
      </c>
      <c r="Q54" s="159"/>
      <c r="R54" s="146">
        <v>6370527</v>
      </c>
      <c r="S54" s="146">
        <v>1</v>
      </c>
      <c r="T54" s="146">
        <v>98.49</v>
      </c>
      <c r="U54" s="146">
        <v>6274.3320000000003</v>
      </c>
      <c r="V54" s="159"/>
      <c r="W54" s="159"/>
      <c r="X54" s="148">
        <v>1.8000000000000001E-4</v>
      </c>
      <c r="Y54" s="148">
        <v>4.1450000000000001E-2</v>
      </c>
      <c r="Z54" s="149">
        <v>5.9699999999999996E-3</v>
      </c>
      <c r="AA54" s="199"/>
    </row>
    <row r="55" spans="1:27" x14ac:dyDescent="0.2">
      <c r="A55" s="144" t="s">
        <v>1205</v>
      </c>
      <c r="B55" s="145" t="s">
        <v>1205</v>
      </c>
      <c r="C55" s="145" t="s">
        <v>1220</v>
      </c>
      <c r="D55" s="145" t="s">
        <v>1248</v>
      </c>
      <c r="E55" s="145" t="s">
        <v>1249</v>
      </c>
      <c r="F55" s="145" t="s">
        <v>945</v>
      </c>
      <c r="G55" s="145" t="s">
        <v>204</v>
      </c>
      <c r="H55" s="145" t="s">
        <v>204</v>
      </c>
      <c r="I55" s="145" t="s">
        <v>340</v>
      </c>
      <c r="J55" s="145" t="s">
        <v>1223</v>
      </c>
      <c r="K55" s="145" t="s">
        <v>312</v>
      </c>
      <c r="L55" s="145" t="s">
        <v>1210</v>
      </c>
      <c r="M55" s="146">
        <v>8.4</v>
      </c>
      <c r="N55" s="145" t="s">
        <v>1250</v>
      </c>
      <c r="O55" s="148">
        <v>0.04</v>
      </c>
      <c r="P55" s="148">
        <v>4.4850000000000001E-2</v>
      </c>
      <c r="Q55" s="159"/>
      <c r="R55" s="146">
        <v>5580334</v>
      </c>
      <c r="S55" s="146">
        <v>1</v>
      </c>
      <c r="T55" s="146">
        <v>96.17</v>
      </c>
      <c r="U55" s="146">
        <v>5366.607</v>
      </c>
      <c r="V55" s="159"/>
      <c r="W55" s="159"/>
      <c r="X55" s="148">
        <v>1.9000000000000001E-4</v>
      </c>
      <c r="Y55" s="148">
        <v>3.5450000000000002E-2</v>
      </c>
      <c r="Z55" s="149">
        <v>5.1000000000000004E-3</v>
      </c>
      <c r="AA55" s="199"/>
    </row>
    <row r="56" spans="1:27" x14ac:dyDescent="0.2">
      <c r="A56" s="144" t="s">
        <v>1205</v>
      </c>
      <c r="B56" s="145" t="s">
        <v>1205</v>
      </c>
      <c r="C56" s="145" t="s">
        <v>1220</v>
      </c>
      <c r="D56" s="145" t="s">
        <v>1225</v>
      </c>
      <c r="E56" s="145" t="s">
        <v>1226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1223</v>
      </c>
      <c r="K56" s="145" t="s">
        <v>312</v>
      </c>
      <c r="L56" s="145" t="s">
        <v>1210</v>
      </c>
      <c r="M56" s="146">
        <v>6.68</v>
      </c>
      <c r="N56" s="145" t="s">
        <v>1227</v>
      </c>
      <c r="O56" s="148">
        <v>1.2999999999999999E-2</v>
      </c>
      <c r="P56" s="148">
        <v>4.3790000000000003E-2</v>
      </c>
      <c r="Q56" s="159"/>
      <c r="R56" s="146">
        <v>6460914</v>
      </c>
      <c r="S56" s="146">
        <v>1</v>
      </c>
      <c r="T56" s="146">
        <v>82.78</v>
      </c>
      <c r="U56" s="146">
        <v>5348.3450000000003</v>
      </c>
      <c r="V56" s="159"/>
      <c r="W56" s="159"/>
      <c r="X56" s="148">
        <v>1.9000000000000001E-4</v>
      </c>
      <c r="Y56" s="148">
        <v>3.533E-2</v>
      </c>
      <c r="Z56" s="149">
        <v>5.0899999999999999E-3</v>
      </c>
      <c r="AA56" s="199"/>
    </row>
    <row r="57" spans="1:27" x14ac:dyDescent="0.2">
      <c r="A57" s="144" t="s">
        <v>1205</v>
      </c>
      <c r="B57" s="145" t="s">
        <v>1205</v>
      </c>
      <c r="C57" s="145" t="s">
        <v>1260</v>
      </c>
      <c r="D57" s="145" t="s">
        <v>1267</v>
      </c>
      <c r="E57" s="145" t="s">
        <v>1268</v>
      </c>
      <c r="F57" s="145" t="s">
        <v>945</v>
      </c>
      <c r="G57" s="145" t="s">
        <v>204</v>
      </c>
      <c r="H57" s="145" t="s">
        <v>204</v>
      </c>
      <c r="I57" s="145" t="s">
        <v>340</v>
      </c>
      <c r="J57" s="145" t="s">
        <v>1223</v>
      </c>
      <c r="K57" s="145" t="s">
        <v>312</v>
      </c>
      <c r="L57" s="145" t="s">
        <v>1210</v>
      </c>
      <c r="M57" s="146">
        <v>4.03</v>
      </c>
      <c r="N57" s="145" t="s">
        <v>1269</v>
      </c>
      <c r="O57" s="148">
        <v>4.5999999999999999E-2</v>
      </c>
      <c r="P57" s="148">
        <v>4.267E-2</v>
      </c>
      <c r="Q57" s="159"/>
      <c r="R57" s="146">
        <v>4441252</v>
      </c>
      <c r="S57" s="146">
        <v>1</v>
      </c>
      <c r="T57" s="146">
        <v>103.16</v>
      </c>
      <c r="U57" s="146">
        <v>4581.5959999999995</v>
      </c>
      <c r="V57" s="159"/>
      <c r="W57" s="159"/>
      <c r="X57" s="148">
        <v>4.2000000000000002E-4</v>
      </c>
      <c r="Y57" s="148">
        <v>3.0269999999999998E-2</v>
      </c>
      <c r="Z57" s="149">
        <v>4.3600000000000002E-3</v>
      </c>
      <c r="AA57" s="199"/>
    </row>
    <row r="58" spans="1:27" x14ac:dyDescent="0.2">
      <c r="A58" s="144" t="s">
        <v>1205</v>
      </c>
      <c r="B58" s="145" t="s">
        <v>1205</v>
      </c>
      <c r="C58" s="145" t="s">
        <v>1220</v>
      </c>
      <c r="D58" s="145" t="s">
        <v>1254</v>
      </c>
      <c r="E58" s="145" t="s">
        <v>1255</v>
      </c>
      <c r="F58" s="145" t="s">
        <v>945</v>
      </c>
      <c r="G58" s="145" t="s">
        <v>204</v>
      </c>
      <c r="H58" s="145" t="s">
        <v>204</v>
      </c>
      <c r="I58" s="145" t="s">
        <v>340</v>
      </c>
      <c r="J58" s="145" t="s">
        <v>1223</v>
      </c>
      <c r="K58" s="145" t="s">
        <v>312</v>
      </c>
      <c r="L58" s="145" t="s">
        <v>1210</v>
      </c>
      <c r="M58" s="146">
        <v>0.1</v>
      </c>
      <c r="N58" s="145" t="s">
        <v>1256</v>
      </c>
      <c r="O58" s="145" t="s">
        <v>1234</v>
      </c>
      <c r="P58" s="148">
        <v>4.2529999999999998E-2</v>
      </c>
      <c r="Q58" s="159"/>
      <c r="R58" s="146">
        <v>3440845</v>
      </c>
      <c r="S58" s="146">
        <v>1</v>
      </c>
      <c r="T58" s="146">
        <v>99.59</v>
      </c>
      <c r="U58" s="146">
        <v>3426.7379999999998</v>
      </c>
      <c r="V58" s="159"/>
      <c r="W58" s="159"/>
      <c r="X58" s="148">
        <v>9.0000000000000006E-5</v>
      </c>
      <c r="Y58" s="148">
        <v>2.264E-2</v>
      </c>
      <c r="Z58" s="149">
        <v>3.2599999999999999E-3</v>
      </c>
      <c r="AA58" s="199"/>
    </row>
    <row r="59" spans="1:27" x14ac:dyDescent="0.2">
      <c r="A59" s="144" t="s">
        <v>1205</v>
      </c>
      <c r="B59" s="145" t="s">
        <v>1205</v>
      </c>
      <c r="C59" s="145" t="s">
        <v>1220</v>
      </c>
      <c r="D59" s="145" t="s">
        <v>1270</v>
      </c>
      <c r="E59" s="145" t="s">
        <v>1271</v>
      </c>
      <c r="F59" s="145" t="s">
        <v>943</v>
      </c>
      <c r="G59" s="145" t="s">
        <v>204</v>
      </c>
      <c r="H59" s="145" t="s">
        <v>204</v>
      </c>
      <c r="I59" s="145" t="s">
        <v>340</v>
      </c>
      <c r="J59" s="145" t="s">
        <v>1223</v>
      </c>
      <c r="K59" s="145" t="s">
        <v>312</v>
      </c>
      <c r="L59" s="145" t="s">
        <v>1210</v>
      </c>
      <c r="M59" s="146">
        <v>2.14</v>
      </c>
      <c r="N59" s="145" t="s">
        <v>1272</v>
      </c>
      <c r="O59" s="148">
        <v>7.4999999999999997E-3</v>
      </c>
      <c r="P59" s="148">
        <v>1.9449999999999999E-2</v>
      </c>
      <c r="Q59" s="159"/>
      <c r="R59" s="146">
        <v>2208629</v>
      </c>
      <c r="S59" s="146">
        <v>1</v>
      </c>
      <c r="T59" s="146">
        <v>114.63</v>
      </c>
      <c r="U59" s="146">
        <v>2531.7510000000002</v>
      </c>
      <c r="V59" s="159"/>
      <c r="W59" s="159"/>
      <c r="X59" s="148">
        <v>9.0000000000000006E-5</v>
      </c>
      <c r="Y59" s="148">
        <v>1.6719999999999999E-2</v>
      </c>
      <c r="Z59" s="149">
        <v>2.4099999999999998E-3</v>
      </c>
      <c r="AA59" s="199"/>
    </row>
    <row r="60" spans="1:27" x14ac:dyDescent="0.2">
      <c r="A60" s="144" t="s">
        <v>1205</v>
      </c>
      <c r="B60" s="145" t="s">
        <v>1205</v>
      </c>
      <c r="C60" s="145" t="s">
        <v>1220</v>
      </c>
      <c r="D60" s="145" t="s">
        <v>1264</v>
      </c>
      <c r="E60" s="145" t="s">
        <v>1265</v>
      </c>
      <c r="F60" s="145" t="s">
        <v>943</v>
      </c>
      <c r="G60" s="145" t="s">
        <v>204</v>
      </c>
      <c r="H60" s="145" t="s">
        <v>204</v>
      </c>
      <c r="I60" s="145" t="s">
        <v>340</v>
      </c>
      <c r="J60" s="145" t="s">
        <v>1223</v>
      </c>
      <c r="K60" s="145" t="s">
        <v>312</v>
      </c>
      <c r="L60" s="145" t="s">
        <v>1210</v>
      </c>
      <c r="M60" s="146">
        <v>4.12</v>
      </c>
      <c r="N60" s="145" t="s">
        <v>1266</v>
      </c>
      <c r="O60" s="148">
        <v>5.0000000000000001E-3</v>
      </c>
      <c r="P60" s="148">
        <v>1.9689999999999999E-2</v>
      </c>
      <c r="Q60" s="159"/>
      <c r="R60" s="146">
        <v>1553828</v>
      </c>
      <c r="S60" s="146">
        <v>1</v>
      </c>
      <c r="T60" s="146">
        <v>109.42</v>
      </c>
      <c r="U60" s="146">
        <v>1700.1990000000001</v>
      </c>
      <c r="V60" s="159"/>
      <c r="W60" s="159"/>
      <c r="X60" s="148">
        <v>6.0000000000000002E-5</v>
      </c>
      <c r="Y60" s="148">
        <v>1.123E-2</v>
      </c>
      <c r="Z60" s="149">
        <v>1.6199999999999999E-3</v>
      </c>
      <c r="AA60" s="199"/>
    </row>
    <row r="61" spans="1:27" x14ac:dyDescent="0.2">
      <c r="A61" s="144" t="s">
        <v>1205</v>
      </c>
      <c r="B61" s="145" t="s">
        <v>1205</v>
      </c>
      <c r="C61" s="145" t="s">
        <v>1220</v>
      </c>
      <c r="D61" s="145" t="s">
        <v>1282</v>
      </c>
      <c r="E61" s="145" t="s">
        <v>1283</v>
      </c>
      <c r="F61" s="145" t="s">
        <v>945</v>
      </c>
      <c r="G61" s="145" t="s">
        <v>204</v>
      </c>
      <c r="H61" s="145" t="s">
        <v>204</v>
      </c>
      <c r="I61" s="145" t="s">
        <v>340</v>
      </c>
      <c r="J61" s="145" t="s">
        <v>1223</v>
      </c>
      <c r="K61" s="145" t="s">
        <v>312</v>
      </c>
      <c r="L61" s="145" t="s">
        <v>1210</v>
      </c>
      <c r="M61" s="146">
        <v>17.43</v>
      </c>
      <c r="N61" s="145" t="s">
        <v>1284</v>
      </c>
      <c r="O61" s="148">
        <v>2.8080000000000001E-2</v>
      </c>
      <c r="P61" s="148">
        <v>4.9450000000000001E-2</v>
      </c>
      <c r="Q61" s="159"/>
      <c r="R61" s="146">
        <v>1845025</v>
      </c>
      <c r="S61" s="146">
        <v>1</v>
      </c>
      <c r="T61" s="146">
        <v>68.95</v>
      </c>
      <c r="U61" s="146">
        <v>1272.145</v>
      </c>
      <c r="V61" s="159"/>
      <c r="W61" s="159"/>
      <c r="X61" s="148">
        <v>8.0000000000000007E-5</v>
      </c>
      <c r="Y61" s="148">
        <v>8.3999999999999995E-3</v>
      </c>
      <c r="Z61" s="149">
        <v>1.2099999999999999E-3</v>
      </c>
      <c r="AA61" s="199"/>
    </row>
    <row r="62" spans="1:27" x14ac:dyDescent="0.2">
      <c r="A62" s="144" t="s">
        <v>1205</v>
      </c>
      <c r="B62" s="145" t="s">
        <v>1205</v>
      </c>
      <c r="C62" s="145" t="s">
        <v>1220</v>
      </c>
      <c r="D62" s="145" t="s">
        <v>1273</v>
      </c>
      <c r="E62" s="145" t="s">
        <v>1274</v>
      </c>
      <c r="F62" s="145" t="s">
        <v>943</v>
      </c>
      <c r="G62" s="145" t="s">
        <v>204</v>
      </c>
      <c r="H62" s="145" t="s">
        <v>204</v>
      </c>
      <c r="I62" s="145" t="s">
        <v>340</v>
      </c>
      <c r="J62" s="145" t="s">
        <v>1223</v>
      </c>
      <c r="K62" s="145" t="s">
        <v>312</v>
      </c>
      <c r="L62" s="145" t="s">
        <v>1210</v>
      </c>
      <c r="M62" s="146">
        <v>3.52</v>
      </c>
      <c r="N62" s="145" t="s">
        <v>1275</v>
      </c>
      <c r="O62" s="148">
        <v>1.103E-2</v>
      </c>
      <c r="P62" s="148">
        <v>1.9820000000000001E-2</v>
      </c>
      <c r="Q62" s="159"/>
      <c r="R62" s="146">
        <v>1144047</v>
      </c>
      <c r="S62" s="146">
        <v>1</v>
      </c>
      <c r="T62" s="146">
        <v>101.93</v>
      </c>
      <c r="U62" s="146">
        <v>1166.127</v>
      </c>
      <c r="V62" s="159"/>
      <c r="W62" s="159"/>
      <c r="X62" s="148">
        <v>4.0000000000000003E-5</v>
      </c>
      <c r="Y62" s="148">
        <v>7.7000000000000002E-3</v>
      </c>
      <c r="Z62" s="149">
        <v>1.1100000000000001E-3</v>
      </c>
      <c r="AA62" s="199"/>
    </row>
    <row r="63" spans="1:27" x14ac:dyDescent="0.2">
      <c r="A63" s="144" t="s">
        <v>1205</v>
      </c>
      <c r="B63" s="145" t="s">
        <v>1205</v>
      </c>
      <c r="C63" s="145" t="s">
        <v>1220</v>
      </c>
      <c r="D63" s="145" t="s">
        <v>1245</v>
      </c>
      <c r="E63" s="145" t="s">
        <v>1246</v>
      </c>
      <c r="F63" s="145" t="s">
        <v>945</v>
      </c>
      <c r="G63" s="145" t="s">
        <v>204</v>
      </c>
      <c r="H63" s="145" t="s">
        <v>204</v>
      </c>
      <c r="I63" s="145" t="s">
        <v>340</v>
      </c>
      <c r="J63" s="145" t="s">
        <v>1223</v>
      </c>
      <c r="K63" s="145" t="s">
        <v>314</v>
      </c>
      <c r="L63" s="145" t="s">
        <v>1210</v>
      </c>
      <c r="M63" s="146">
        <v>0.18</v>
      </c>
      <c r="N63" s="145" t="s">
        <v>1247</v>
      </c>
      <c r="O63" s="145" t="s">
        <v>1234</v>
      </c>
      <c r="P63" s="148">
        <v>4.3249999999999997E-2</v>
      </c>
      <c r="Q63" s="159"/>
      <c r="R63" s="146">
        <v>950000</v>
      </c>
      <c r="S63" s="146">
        <v>1</v>
      </c>
      <c r="T63" s="146">
        <v>99.26</v>
      </c>
      <c r="U63" s="146">
        <v>942.97</v>
      </c>
      <c r="V63" s="159"/>
      <c r="W63" s="159"/>
      <c r="X63" s="148">
        <v>3.0000000000000001E-5</v>
      </c>
      <c r="Y63" s="148">
        <v>6.2300000000000003E-3</v>
      </c>
      <c r="Z63" s="149">
        <v>8.9999999999999998E-4</v>
      </c>
      <c r="AA63" s="199"/>
    </row>
    <row r="64" spans="1:27" x14ac:dyDescent="0.2">
      <c r="A64" s="144" t="s">
        <v>1205</v>
      </c>
      <c r="B64" s="145" t="s">
        <v>1205</v>
      </c>
      <c r="C64" s="145" t="s">
        <v>1220</v>
      </c>
      <c r="D64" s="145" t="s">
        <v>1276</v>
      </c>
      <c r="E64" s="145" t="s">
        <v>1277</v>
      </c>
      <c r="F64" s="145" t="s">
        <v>943</v>
      </c>
      <c r="G64" s="145" t="s">
        <v>204</v>
      </c>
      <c r="H64" s="145" t="s">
        <v>204</v>
      </c>
      <c r="I64" s="145" t="s">
        <v>340</v>
      </c>
      <c r="J64" s="145" t="s">
        <v>1223</v>
      </c>
      <c r="K64" s="145" t="s">
        <v>312</v>
      </c>
      <c r="L64" s="145" t="s">
        <v>1210</v>
      </c>
      <c r="M64" s="146">
        <v>9.15</v>
      </c>
      <c r="N64" s="145" t="s">
        <v>1278</v>
      </c>
      <c r="O64" s="148">
        <v>4.011E-2</v>
      </c>
      <c r="P64" s="148">
        <v>2.12E-2</v>
      </c>
      <c r="Q64" s="159"/>
      <c r="R64" s="146">
        <v>547217</v>
      </c>
      <c r="S64" s="146">
        <v>1</v>
      </c>
      <c r="T64" s="146">
        <v>167.49</v>
      </c>
      <c r="U64" s="146">
        <v>916.53399999999999</v>
      </c>
      <c r="V64" s="159"/>
      <c r="W64" s="159"/>
      <c r="X64" s="148">
        <v>3.0000000000000001E-5</v>
      </c>
      <c r="Y64" s="148">
        <v>6.0499999999999998E-3</v>
      </c>
      <c r="Z64" s="149">
        <v>8.7000000000000001E-4</v>
      </c>
      <c r="AA64" s="199"/>
    </row>
    <row r="65" spans="1:27" x14ac:dyDescent="0.2">
      <c r="A65" s="144" t="s">
        <v>1205</v>
      </c>
      <c r="B65" s="145" t="s">
        <v>1205</v>
      </c>
      <c r="C65" s="145" t="s">
        <v>1220</v>
      </c>
      <c r="D65" s="145" t="s">
        <v>1257</v>
      </c>
      <c r="E65" s="145" t="s">
        <v>1258</v>
      </c>
      <c r="F65" s="145" t="s">
        <v>943</v>
      </c>
      <c r="G65" s="145" t="s">
        <v>204</v>
      </c>
      <c r="H65" s="145" t="s">
        <v>204</v>
      </c>
      <c r="I65" s="145" t="s">
        <v>340</v>
      </c>
      <c r="J65" s="145" t="s">
        <v>1223</v>
      </c>
      <c r="K65" s="145" t="s">
        <v>312</v>
      </c>
      <c r="L65" s="145" t="s">
        <v>1210</v>
      </c>
      <c r="M65" s="146">
        <v>1.33</v>
      </c>
      <c r="N65" s="145" t="s">
        <v>1259</v>
      </c>
      <c r="O65" s="148">
        <v>1E-3</v>
      </c>
      <c r="P65" s="148">
        <v>1.9599999999999999E-2</v>
      </c>
      <c r="Q65" s="159"/>
      <c r="R65" s="146">
        <v>336328</v>
      </c>
      <c r="S65" s="146">
        <v>1</v>
      </c>
      <c r="T65" s="146">
        <v>112.95</v>
      </c>
      <c r="U65" s="146">
        <v>379.88200000000001</v>
      </c>
      <c r="V65" s="159"/>
      <c r="W65" s="159"/>
      <c r="X65" s="148">
        <v>2.0000000000000002E-5</v>
      </c>
      <c r="Y65" s="148">
        <v>2.5100000000000001E-3</v>
      </c>
      <c r="Z65" s="149">
        <v>3.6000000000000002E-4</v>
      </c>
      <c r="AA65" s="199"/>
    </row>
    <row r="66" spans="1:27" x14ac:dyDescent="0.2">
      <c r="A66" s="144" t="s">
        <v>1205</v>
      </c>
      <c r="B66" s="145" t="s">
        <v>1205</v>
      </c>
      <c r="C66" s="145" t="s">
        <v>1285</v>
      </c>
      <c r="D66" s="145" t="s">
        <v>1294</v>
      </c>
      <c r="E66" s="145" t="s">
        <v>1295</v>
      </c>
      <c r="F66" s="145" t="s">
        <v>947</v>
      </c>
      <c r="G66" s="145" t="s">
        <v>205</v>
      </c>
      <c r="H66" s="145" t="s">
        <v>224</v>
      </c>
      <c r="I66" s="145" t="s">
        <v>344</v>
      </c>
      <c r="J66" s="145" t="s">
        <v>1288</v>
      </c>
      <c r="K66" s="145" t="s">
        <v>423</v>
      </c>
      <c r="L66" s="145" t="s">
        <v>1211</v>
      </c>
      <c r="M66" s="146">
        <v>7.7279999999999998</v>
      </c>
      <c r="N66" s="145" t="s">
        <v>1296</v>
      </c>
      <c r="O66" s="148">
        <v>3.875E-2</v>
      </c>
      <c r="P66" s="148">
        <v>4.1980000000000003E-2</v>
      </c>
      <c r="Q66" s="159"/>
      <c r="R66" s="146">
        <v>1381000</v>
      </c>
      <c r="S66" s="146">
        <v>3.718</v>
      </c>
      <c r="T66" s="146">
        <v>97.992999999999995</v>
      </c>
      <c r="U66" s="146">
        <v>5031.5259999999998</v>
      </c>
      <c r="V66" s="159"/>
      <c r="W66" s="159"/>
      <c r="X66" s="148">
        <v>1.0000000000000001E-5</v>
      </c>
      <c r="Y66" s="148">
        <v>3.3239999999999999E-2</v>
      </c>
      <c r="Z66" s="149">
        <v>4.79E-3</v>
      </c>
      <c r="AA66" s="199"/>
    </row>
    <row r="67" spans="1:27" x14ac:dyDescent="0.2">
      <c r="A67" s="144" t="s">
        <v>1205</v>
      </c>
      <c r="B67" s="145" t="s">
        <v>1205</v>
      </c>
      <c r="C67" s="145" t="s">
        <v>1285</v>
      </c>
      <c r="D67" s="145" t="s">
        <v>1290</v>
      </c>
      <c r="E67" s="145" t="s">
        <v>1291</v>
      </c>
      <c r="F67" s="145" t="s">
        <v>947</v>
      </c>
      <c r="G67" s="145" t="s">
        <v>205</v>
      </c>
      <c r="H67" s="145" t="s">
        <v>224</v>
      </c>
      <c r="I67" s="145" t="s">
        <v>344</v>
      </c>
      <c r="J67" s="145" t="s">
        <v>1292</v>
      </c>
      <c r="K67" s="145" t="s">
        <v>423</v>
      </c>
      <c r="L67" s="145" t="s">
        <v>1211</v>
      </c>
      <c r="M67" s="146">
        <v>7.0380000000000003</v>
      </c>
      <c r="N67" s="145" t="s">
        <v>1293</v>
      </c>
      <c r="O67" s="148">
        <v>3.875E-2</v>
      </c>
      <c r="P67" s="148">
        <v>4.1529999999999997E-2</v>
      </c>
      <c r="Q67" s="159"/>
      <c r="R67" s="146">
        <v>987500</v>
      </c>
      <c r="S67" s="146">
        <v>3.718</v>
      </c>
      <c r="T67" s="146">
        <v>98.542000000000002</v>
      </c>
      <c r="U67" s="146">
        <v>3617.9940000000001</v>
      </c>
      <c r="V67" s="159"/>
      <c r="W67" s="159"/>
      <c r="X67" s="148">
        <v>1.0000000000000001E-5</v>
      </c>
      <c r="Y67" s="148">
        <v>2.3900000000000001E-2</v>
      </c>
      <c r="Z67" s="149">
        <v>3.4399999999999999E-3</v>
      </c>
      <c r="AA67" s="199"/>
    </row>
    <row r="68" spans="1:27" x14ac:dyDescent="0.2">
      <c r="A68" s="144" t="s">
        <v>1205</v>
      </c>
      <c r="B68" s="145" t="s">
        <v>1205</v>
      </c>
      <c r="C68" s="145" t="s">
        <v>1285</v>
      </c>
      <c r="D68" s="145" t="s">
        <v>1286</v>
      </c>
      <c r="E68" s="145" t="s">
        <v>1287</v>
      </c>
      <c r="F68" s="145" t="s">
        <v>947</v>
      </c>
      <c r="G68" s="145" t="s">
        <v>205</v>
      </c>
      <c r="H68" s="145" t="s">
        <v>224</v>
      </c>
      <c r="I68" s="145" t="s">
        <v>344</v>
      </c>
      <c r="J68" s="145" t="s">
        <v>1288</v>
      </c>
      <c r="K68" s="145" t="s">
        <v>423</v>
      </c>
      <c r="L68" s="145" t="s">
        <v>1211</v>
      </c>
      <c r="M68" s="146">
        <v>7.7130000000000001</v>
      </c>
      <c r="N68" s="145" t="s">
        <v>1289</v>
      </c>
      <c r="O68" s="148">
        <v>4.2500000000000003E-2</v>
      </c>
      <c r="P68" s="148">
        <v>4.206E-2</v>
      </c>
      <c r="Q68" s="159"/>
      <c r="R68" s="146">
        <v>597000</v>
      </c>
      <c r="S68" s="146">
        <v>3.718</v>
      </c>
      <c r="T68" s="146">
        <v>101.961</v>
      </c>
      <c r="U68" s="146">
        <v>2263.165</v>
      </c>
      <c r="V68" s="159"/>
      <c r="W68" s="159"/>
      <c r="X68" s="148">
        <v>1.0000000000000001E-5</v>
      </c>
      <c r="Y68" s="148">
        <v>1.495E-2</v>
      </c>
      <c r="Z68" s="149">
        <v>2.15E-3</v>
      </c>
      <c r="AA68" s="199"/>
    </row>
    <row r="69" spans="1:27" x14ac:dyDescent="0.2">
      <c r="A69" s="144" t="s">
        <v>1205</v>
      </c>
      <c r="B69" s="145" t="s">
        <v>1205</v>
      </c>
      <c r="C69" s="145" t="s">
        <v>1285</v>
      </c>
      <c r="D69" s="145" t="s">
        <v>1297</v>
      </c>
      <c r="E69" s="145" t="s">
        <v>1298</v>
      </c>
      <c r="F69" s="145" t="s">
        <v>947</v>
      </c>
      <c r="G69" s="145" t="s">
        <v>205</v>
      </c>
      <c r="H69" s="145" t="s">
        <v>224</v>
      </c>
      <c r="I69" s="145" t="s">
        <v>344</v>
      </c>
      <c r="J69" s="145" t="s">
        <v>1288</v>
      </c>
      <c r="K69" s="145" t="s">
        <v>423</v>
      </c>
      <c r="L69" s="145" t="s">
        <v>1211</v>
      </c>
      <c r="M69" s="146">
        <v>7.3570000000000002</v>
      </c>
      <c r="N69" s="145" t="s">
        <v>1299</v>
      </c>
      <c r="O69" s="148">
        <v>0.04</v>
      </c>
      <c r="P69" s="148">
        <v>4.1779999999999998E-2</v>
      </c>
      <c r="Q69" s="159"/>
      <c r="R69" s="146">
        <v>434000</v>
      </c>
      <c r="S69" s="146">
        <v>3.718</v>
      </c>
      <c r="T69" s="146">
        <v>99.198999999999998</v>
      </c>
      <c r="U69" s="146">
        <v>1600.681</v>
      </c>
      <c r="V69" s="159"/>
      <c r="W69" s="159"/>
      <c r="X69" s="148">
        <v>0</v>
      </c>
      <c r="Y69" s="148">
        <v>1.057E-2</v>
      </c>
      <c r="Z69" s="149">
        <v>1.5200000000000001E-3</v>
      </c>
      <c r="AA69" s="199"/>
    </row>
    <row r="70" spans="1:27" x14ac:dyDescent="0.2">
      <c r="A70" s="144" t="s">
        <v>1217</v>
      </c>
      <c r="B70" s="145" t="s">
        <v>1218</v>
      </c>
      <c r="C70" s="145" t="s">
        <v>1220</v>
      </c>
      <c r="D70" s="145" t="s">
        <v>1221</v>
      </c>
      <c r="E70" s="145" t="s">
        <v>1222</v>
      </c>
      <c r="F70" s="145" t="s">
        <v>945</v>
      </c>
      <c r="G70" s="145" t="s">
        <v>204</v>
      </c>
      <c r="H70" s="145" t="s">
        <v>204</v>
      </c>
      <c r="I70" s="145" t="s">
        <v>340</v>
      </c>
      <c r="J70" s="145" t="s">
        <v>1223</v>
      </c>
      <c r="K70" s="145" t="s">
        <v>312</v>
      </c>
      <c r="L70" s="145" t="s">
        <v>1210</v>
      </c>
      <c r="M70" s="146">
        <v>10.81</v>
      </c>
      <c r="N70" s="145" t="s">
        <v>1224</v>
      </c>
      <c r="O70" s="148">
        <v>1.504E-2</v>
      </c>
      <c r="P70" s="148">
        <v>4.614E-2</v>
      </c>
      <c r="Q70" s="159"/>
      <c r="R70" s="146">
        <v>54452453</v>
      </c>
      <c r="S70" s="146">
        <v>1</v>
      </c>
      <c r="T70" s="146">
        <v>72.72</v>
      </c>
      <c r="U70" s="146">
        <v>39597.824000000001</v>
      </c>
      <c r="V70" s="159"/>
      <c r="W70" s="159"/>
      <c r="X70" s="148">
        <v>1.67E-3</v>
      </c>
      <c r="Y70" s="148">
        <v>0.11845</v>
      </c>
      <c r="Z70" s="149">
        <v>3.124E-2</v>
      </c>
      <c r="AA70" s="199"/>
    </row>
    <row r="71" spans="1:27" x14ac:dyDescent="0.2">
      <c r="A71" s="144" t="s">
        <v>1217</v>
      </c>
      <c r="B71" s="145" t="s">
        <v>1218</v>
      </c>
      <c r="C71" s="145" t="s">
        <v>1220</v>
      </c>
      <c r="D71" s="145" t="s">
        <v>1228</v>
      </c>
      <c r="E71" s="145" t="s">
        <v>1229</v>
      </c>
      <c r="F71" s="145" t="s">
        <v>943</v>
      </c>
      <c r="G71" s="145" t="s">
        <v>204</v>
      </c>
      <c r="H71" s="145" t="s">
        <v>204</v>
      </c>
      <c r="I71" s="145" t="s">
        <v>340</v>
      </c>
      <c r="J71" s="145" t="s">
        <v>1223</v>
      </c>
      <c r="K71" s="145" t="s">
        <v>312</v>
      </c>
      <c r="L71" s="145" t="s">
        <v>1210</v>
      </c>
      <c r="M71" s="146">
        <v>6.65</v>
      </c>
      <c r="N71" s="145" t="s">
        <v>1230</v>
      </c>
      <c r="O71" s="148">
        <v>1E-3</v>
      </c>
      <c r="P71" s="148">
        <v>2.0310000000000002E-2</v>
      </c>
      <c r="Q71" s="159"/>
      <c r="R71" s="146">
        <v>29553596</v>
      </c>
      <c r="S71" s="146">
        <v>1</v>
      </c>
      <c r="T71" s="146">
        <v>101.91</v>
      </c>
      <c r="U71" s="146">
        <v>30118.07</v>
      </c>
      <c r="V71" s="159"/>
      <c r="W71" s="159"/>
      <c r="X71" s="148">
        <v>9.6000000000000002E-4</v>
      </c>
      <c r="Y71" s="148">
        <v>9.0090000000000003E-2</v>
      </c>
      <c r="Z71" s="149">
        <v>2.376E-2</v>
      </c>
      <c r="AA71" s="199"/>
    </row>
    <row r="72" spans="1:27" x14ac:dyDescent="0.2">
      <c r="A72" s="144" t="s">
        <v>1217</v>
      </c>
      <c r="B72" s="145" t="s">
        <v>1218</v>
      </c>
      <c r="C72" s="145" t="s">
        <v>1260</v>
      </c>
      <c r="D72" s="145" t="s">
        <v>1261</v>
      </c>
      <c r="E72" s="145" t="s">
        <v>1262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1223</v>
      </c>
      <c r="K72" s="145" t="s">
        <v>312</v>
      </c>
      <c r="L72" s="145" t="s">
        <v>1210</v>
      </c>
      <c r="M72" s="146">
        <v>4.8899999999999997</v>
      </c>
      <c r="N72" s="145" t="s">
        <v>1263</v>
      </c>
      <c r="O72" s="148">
        <v>0.01</v>
      </c>
      <c r="P72" s="148">
        <v>4.2880000000000001E-2</v>
      </c>
      <c r="Q72" s="159"/>
      <c r="R72" s="146">
        <v>33015639</v>
      </c>
      <c r="S72" s="146">
        <v>1</v>
      </c>
      <c r="T72" s="146">
        <v>85.48</v>
      </c>
      <c r="U72" s="146">
        <v>28221.768</v>
      </c>
      <c r="V72" s="159"/>
      <c r="W72" s="159"/>
      <c r="X72" s="148">
        <v>8.7000000000000001E-4</v>
      </c>
      <c r="Y72" s="148">
        <v>8.4419999999999995E-2</v>
      </c>
      <c r="Z72" s="149">
        <v>2.2259999999999999E-2</v>
      </c>
      <c r="AA72" s="199"/>
    </row>
    <row r="73" spans="1:27" x14ac:dyDescent="0.2">
      <c r="A73" s="144" t="s">
        <v>1217</v>
      </c>
      <c r="B73" s="145" t="s">
        <v>1218</v>
      </c>
      <c r="C73" s="145" t="s">
        <v>1241</v>
      </c>
      <c r="D73" s="145" t="s">
        <v>1242</v>
      </c>
      <c r="E73" s="145" t="s">
        <v>1243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1223</v>
      </c>
      <c r="K73" s="145" t="s">
        <v>312</v>
      </c>
      <c r="L73" s="145" t="s">
        <v>1210</v>
      </c>
      <c r="M73" s="146">
        <v>0.85</v>
      </c>
      <c r="N73" s="145" t="s">
        <v>1244</v>
      </c>
      <c r="O73" s="145" t="s">
        <v>1234</v>
      </c>
      <c r="P73" s="148">
        <v>4.2599999999999999E-2</v>
      </c>
      <c r="Q73" s="159"/>
      <c r="R73" s="146">
        <v>28649169</v>
      </c>
      <c r="S73" s="146">
        <v>1</v>
      </c>
      <c r="T73" s="146">
        <v>96.53</v>
      </c>
      <c r="U73" s="146">
        <v>27655.043000000001</v>
      </c>
      <c r="V73" s="159"/>
      <c r="W73" s="159"/>
      <c r="X73" s="148">
        <v>1.5900000000000001E-3</v>
      </c>
      <c r="Y73" s="148">
        <v>8.2720000000000002E-2</v>
      </c>
      <c r="Z73" s="149">
        <v>2.1819999999999999E-2</v>
      </c>
      <c r="AA73" s="199"/>
    </row>
    <row r="74" spans="1:27" x14ac:dyDescent="0.2">
      <c r="A74" s="144" t="s">
        <v>1217</v>
      </c>
      <c r="B74" s="145" t="s">
        <v>1218</v>
      </c>
      <c r="C74" s="145" t="s">
        <v>1220</v>
      </c>
      <c r="D74" s="145" t="s">
        <v>1225</v>
      </c>
      <c r="E74" s="145" t="s">
        <v>1226</v>
      </c>
      <c r="F74" s="145" t="s">
        <v>945</v>
      </c>
      <c r="G74" s="145" t="s">
        <v>204</v>
      </c>
      <c r="H74" s="145" t="s">
        <v>204</v>
      </c>
      <c r="I74" s="145" t="s">
        <v>340</v>
      </c>
      <c r="J74" s="145" t="s">
        <v>1223</v>
      </c>
      <c r="K74" s="145" t="s">
        <v>312</v>
      </c>
      <c r="L74" s="145" t="s">
        <v>1210</v>
      </c>
      <c r="M74" s="146">
        <v>6.68</v>
      </c>
      <c r="N74" s="145" t="s">
        <v>1227</v>
      </c>
      <c r="O74" s="148">
        <v>1.2999999999999999E-2</v>
      </c>
      <c r="P74" s="148">
        <v>4.3790000000000003E-2</v>
      </c>
      <c r="Q74" s="159"/>
      <c r="R74" s="146">
        <v>31538841</v>
      </c>
      <c r="S74" s="146">
        <v>1</v>
      </c>
      <c r="T74" s="146">
        <v>82.78</v>
      </c>
      <c r="U74" s="146">
        <v>26107.852999999999</v>
      </c>
      <c r="V74" s="159"/>
      <c r="W74" s="159"/>
      <c r="X74" s="148">
        <v>9.1E-4</v>
      </c>
      <c r="Y74" s="148">
        <v>7.8100000000000003E-2</v>
      </c>
      <c r="Z74" s="149">
        <v>2.06E-2</v>
      </c>
      <c r="AA74" s="199"/>
    </row>
    <row r="75" spans="1:27" x14ac:dyDescent="0.2">
      <c r="A75" s="144" t="s">
        <v>1217</v>
      </c>
      <c r="B75" s="145" t="s">
        <v>1218</v>
      </c>
      <c r="C75" s="145" t="s">
        <v>1220</v>
      </c>
      <c r="D75" s="145" t="s">
        <v>1235</v>
      </c>
      <c r="E75" s="145" t="s">
        <v>1236</v>
      </c>
      <c r="F75" s="145" t="s">
        <v>943</v>
      </c>
      <c r="G75" s="145" t="s">
        <v>204</v>
      </c>
      <c r="H75" s="145" t="s">
        <v>204</v>
      </c>
      <c r="I75" s="145" t="s">
        <v>340</v>
      </c>
      <c r="J75" s="145" t="s">
        <v>1223</v>
      </c>
      <c r="K75" s="145" t="s">
        <v>312</v>
      </c>
      <c r="L75" s="145" t="s">
        <v>1210</v>
      </c>
      <c r="M75" s="146">
        <v>0.57999999999999996</v>
      </c>
      <c r="N75" s="145" t="s">
        <v>1237</v>
      </c>
      <c r="O75" s="148">
        <v>7.5199999999999998E-3</v>
      </c>
      <c r="P75" s="148">
        <v>1.2359999999999999E-2</v>
      </c>
      <c r="Q75" s="159"/>
      <c r="R75" s="146">
        <v>21300382</v>
      </c>
      <c r="S75" s="146">
        <v>1</v>
      </c>
      <c r="T75" s="146">
        <v>116.16</v>
      </c>
      <c r="U75" s="146">
        <v>24742.524000000001</v>
      </c>
      <c r="V75" s="159"/>
      <c r="W75" s="159"/>
      <c r="X75" s="148">
        <v>9.7999999999999997E-4</v>
      </c>
      <c r="Y75" s="148">
        <v>7.4010000000000006E-2</v>
      </c>
      <c r="Z75" s="149">
        <v>1.9519999999999999E-2</v>
      </c>
      <c r="AA75" s="199"/>
    </row>
    <row r="76" spans="1:27" x14ac:dyDescent="0.2">
      <c r="A76" s="144" t="s">
        <v>1217</v>
      </c>
      <c r="B76" s="145" t="s">
        <v>1218</v>
      </c>
      <c r="C76" s="145" t="s">
        <v>1220</v>
      </c>
      <c r="D76" s="145" t="s">
        <v>1238</v>
      </c>
      <c r="E76" s="145" t="s">
        <v>1239</v>
      </c>
      <c r="F76" s="145" t="s">
        <v>945</v>
      </c>
      <c r="G76" s="145" t="s">
        <v>204</v>
      </c>
      <c r="H76" s="145" t="s">
        <v>204</v>
      </c>
      <c r="I76" s="145" t="s">
        <v>340</v>
      </c>
      <c r="J76" s="145" t="s">
        <v>1223</v>
      </c>
      <c r="K76" s="145" t="s">
        <v>312</v>
      </c>
      <c r="L76" s="145" t="s">
        <v>1210</v>
      </c>
      <c r="M76" s="146">
        <v>11.55</v>
      </c>
      <c r="N76" s="145" t="s">
        <v>1240</v>
      </c>
      <c r="O76" s="148">
        <v>5.5149999999999998E-2</v>
      </c>
      <c r="P76" s="148">
        <v>4.7300000000000002E-2</v>
      </c>
      <c r="Q76" s="159"/>
      <c r="R76" s="146">
        <v>18746732.609999999</v>
      </c>
      <c r="S76" s="146">
        <v>1</v>
      </c>
      <c r="T76" s="146">
        <v>109.69</v>
      </c>
      <c r="U76" s="146">
        <v>20563.291000000001</v>
      </c>
      <c r="V76" s="159"/>
      <c r="W76" s="159"/>
      <c r="X76" s="148">
        <v>6.8999999999999997E-4</v>
      </c>
      <c r="Y76" s="148">
        <v>6.1510000000000002E-2</v>
      </c>
      <c r="Z76" s="149">
        <v>1.6219999999999998E-2</v>
      </c>
      <c r="AA76" s="199"/>
    </row>
    <row r="77" spans="1:27" x14ac:dyDescent="0.2">
      <c r="A77" s="144" t="s">
        <v>1217</v>
      </c>
      <c r="B77" s="145" t="s">
        <v>1218</v>
      </c>
      <c r="C77" s="145" t="s">
        <v>1220</v>
      </c>
      <c r="D77" s="145" t="s">
        <v>1251</v>
      </c>
      <c r="E77" s="145" t="s">
        <v>1252</v>
      </c>
      <c r="F77" s="145" t="s">
        <v>945</v>
      </c>
      <c r="G77" s="145" t="s">
        <v>204</v>
      </c>
      <c r="H77" s="145" t="s">
        <v>204</v>
      </c>
      <c r="I77" s="145" t="s">
        <v>340</v>
      </c>
      <c r="J77" s="145" t="s">
        <v>1223</v>
      </c>
      <c r="K77" s="145" t="s">
        <v>312</v>
      </c>
      <c r="L77" s="145" t="s">
        <v>1210</v>
      </c>
      <c r="M77" s="146">
        <v>14.74</v>
      </c>
      <c r="N77" s="145" t="s">
        <v>1253</v>
      </c>
      <c r="O77" s="148">
        <v>3.7499999999999999E-2</v>
      </c>
      <c r="P77" s="148">
        <v>4.8599999999999997E-2</v>
      </c>
      <c r="Q77" s="159"/>
      <c r="R77" s="146">
        <v>18239254</v>
      </c>
      <c r="S77" s="146">
        <v>1</v>
      </c>
      <c r="T77" s="146">
        <v>85.21</v>
      </c>
      <c r="U77" s="146">
        <v>15541.668</v>
      </c>
      <c r="V77" s="159"/>
      <c r="W77" s="159"/>
      <c r="X77" s="148">
        <v>6.8999999999999997E-4</v>
      </c>
      <c r="Y77" s="148">
        <v>4.6489999999999997E-2</v>
      </c>
      <c r="Z77" s="149">
        <v>1.226E-2</v>
      </c>
      <c r="AA77" s="199"/>
    </row>
    <row r="78" spans="1:27" x14ac:dyDescent="0.2">
      <c r="A78" s="144" t="s">
        <v>1217</v>
      </c>
      <c r="B78" s="145" t="s">
        <v>1218</v>
      </c>
      <c r="C78" s="145" t="s">
        <v>1220</v>
      </c>
      <c r="D78" s="145" t="s">
        <v>1245</v>
      </c>
      <c r="E78" s="145" t="s">
        <v>1246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1223</v>
      </c>
      <c r="K78" s="145" t="s">
        <v>314</v>
      </c>
      <c r="L78" s="145" t="s">
        <v>1210</v>
      </c>
      <c r="M78" s="146">
        <v>0.18</v>
      </c>
      <c r="N78" s="145" t="s">
        <v>1247</v>
      </c>
      <c r="O78" s="145" t="s">
        <v>1234</v>
      </c>
      <c r="P78" s="148">
        <v>4.3249999999999997E-2</v>
      </c>
      <c r="Q78" s="159"/>
      <c r="R78" s="146">
        <v>13950000</v>
      </c>
      <c r="S78" s="146">
        <v>1</v>
      </c>
      <c r="T78" s="146">
        <v>99.26</v>
      </c>
      <c r="U78" s="146">
        <v>13846.77</v>
      </c>
      <c r="V78" s="159"/>
      <c r="W78" s="159"/>
      <c r="X78" s="148">
        <v>4.6000000000000001E-4</v>
      </c>
      <c r="Y78" s="148">
        <v>4.1419999999999998E-2</v>
      </c>
      <c r="Z78" s="149">
        <v>1.0919999999999999E-2</v>
      </c>
      <c r="AA78" s="199"/>
    </row>
    <row r="79" spans="1:27" x14ac:dyDescent="0.2">
      <c r="A79" s="144" t="s">
        <v>1217</v>
      </c>
      <c r="B79" s="145" t="s">
        <v>1218</v>
      </c>
      <c r="C79" s="145" t="s">
        <v>1220</v>
      </c>
      <c r="D79" s="145" t="s">
        <v>1231</v>
      </c>
      <c r="E79" s="145" t="s">
        <v>1232</v>
      </c>
      <c r="F79" s="145" t="s">
        <v>945</v>
      </c>
      <c r="G79" s="145" t="s">
        <v>204</v>
      </c>
      <c r="H79" s="145" t="s">
        <v>204</v>
      </c>
      <c r="I79" s="145" t="s">
        <v>340</v>
      </c>
      <c r="J79" s="145" t="s">
        <v>1223</v>
      </c>
      <c r="K79" s="145" t="s">
        <v>312</v>
      </c>
      <c r="L79" s="145" t="s">
        <v>1210</v>
      </c>
      <c r="M79" s="146">
        <v>0.02</v>
      </c>
      <c r="N79" s="145" t="s">
        <v>1233</v>
      </c>
      <c r="O79" s="145" t="s">
        <v>1234</v>
      </c>
      <c r="P79" s="148">
        <v>0.11498999999999999</v>
      </c>
      <c r="Q79" s="159"/>
      <c r="R79" s="146">
        <v>12963442</v>
      </c>
      <c r="S79" s="146">
        <v>1</v>
      </c>
      <c r="T79" s="146">
        <v>99.97</v>
      </c>
      <c r="U79" s="146">
        <v>12959.553</v>
      </c>
      <c r="V79" s="159"/>
      <c r="W79" s="159"/>
      <c r="X79" s="148">
        <v>3.6999999999999999E-4</v>
      </c>
      <c r="Y79" s="148">
        <v>3.8769999999999999E-2</v>
      </c>
      <c r="Z79" s="149">
        <v>1.022E-2</v>
      </c>
      <c r="AA79" s="199"/>
    </row>
    <row r="80" spans="1:27" x14ac:dyDescent="0.2">
      <c r="A80" s="144" t="s">
        <v>1217</v>
      </c>
      <c r="B80" s="145" t="s">
        <v>1218</v>
      </c>
      <c r="C80" s="145" t="s">
        <v>1220</v>
      </c>
      <c r="D80" s="145" t="s">
        <v>1248</v>
      </c>
      <c r="E80" s="145" t="s">
        <v>1249</v>
      </c>
      <c r="F80" s="145" t="s">
        <v>945</v>
      </c>
      <c r="G80" s="145" t="s">
        <v>204</v>
      </c>
      <c r="H80" s="145" t="s">
        <v>204</v>
      </c>
      <c r="I80" s="145" t="s">
        <v>340</v>
      </c>
      <c r="J80" s="145" t="s">
        <v>1223</v>
      </c>
      <c r="K80" s="145" t="s">
        <v>312</v>
      </c>
      <c r="L80" s="145" t="s">
        <v>1210</v>
      </c>
      <c r="M80" s="146">
        <v>8.4</v>
      </c>
      <c r="N80" s="145" t="s">
        <v>1250</v>
      </c>
      <c r="O80" s="148">
        <v>0.04</v>
      </c>
      <c r="P80" s="148">
        <v>4.4850000000000001E-2</v>
      </c>
      <c r="Q80" s="159"/>
      <c r="R80" s="146">
        <v>12330493</v>
      </c>
      <c r="S80" s="146">
        <v>1</v>
      </c>
      <c r="T80" s="146">
        <v>96.17</v>
      </c>
      <c r="U80" s="146">
        <v>11858.235000000001</v>
      </c>
      <c r="V80" s="159"/>
      <c r="W80" s="159"/>
      <c r="X80" s="148">
        <v>4.2000000000000002E-4</v>
      </c>
      <c r="Y80" s="148">
        <v>3.5470000000000002E-2</v>
      </c>
      <c r="Z80" s="149">
        <v>9.3500000000000007E-3</v>
      </c>
      <c r="AA80" s="199"/>
    </row>
    <row r="81" spans="1:27" x14ac:dyDescent="0.2">
      <c r="A81" s="144" t="s">
        <v>1217</v>
      </c>
      <c r="B81" s="145" t="s">
        <v>1218</v>
      </c>
      <c r="C81" s="145" t="s">
        <v>1220</v>
      </c>
      <c r="D81" s="145" t="s">
        <v>1264</v>
      </c>
      <c r="E81" s="145" t="s">
        <v>1265</v>
      </c>
      <c r="F81" s="145" t="s">
        <v>943</v>
      </c>
      <c r="G81" s="145" t="s">
        <v>204</v>
      </c>
      <c r="H81" s="145" t="s">
        <v>204</v>
      </c>
      <c r="I81" s="145" t="s">
        <v>340</v>
      </c>
      <c r="J81" s="145" t="s">
        <v>1223</v>
      </c>
      <c r="K81" s="145" t="s">
        <v>312</v>
      </c>
      <c r="L81" s="145" t="s">
        <v>1210</v>
      </c>
      <c r="M81" s="146">
        <v>4.12</v>
      </c>
      <c r="N81" s="145" t="s">
        <v>1266</v>
      </c>
      <c r="O81" s="148">
        <v>5.0000000000000001E-3</v>
      </c>
      <c r="P81" s="148">
        <v>1.9689999999999999E-2</v>
      </c>
      <c r="Q81" s="159"/>
      <c r="R81" s="146">
        <v>8848118</v>
      </c>
      <c r="S81" s="146">
        <v>1</v>
      </c>
      <c r="T81" s="146">
        <v>109.42</v>
      </c>
      <c r="U81" s="146">
        <v>9681.6110000000008</v>
      </c>
      <c r="V81" s="159"/>
      <c r="W81" s="159"/>
      <c r="X81" s="148">
        <v>3.2000000000000003E-4</v>
      </c>
      <c r="Y81" s="148">
        <v>2.896E-2</v>
      </c>
      <c r="Z81" s="149">
        <v>7.6400000000000001E-3</v>
      </c>
      <c r="AA81" s="199"/>
    </row>
    <row r="82" spans="1:27" x14ac:dyDescent="0.2">
      <c r="A82" s="144" t="s">
        <v>1217</v>
      </c>
      <c r="B82" s="145" t="s">
        <v>1218</v>
      </c>
      <c r="C82" s="145" t="s">
        <v>1220</v>
      </c>
      <c r="D82" s="145" t="s">
        <v>1257</v>
      </c>
      <c r="E82" s="145" t="s">
        <v>1258</v>
      </c>
      <c r="F82" s="145" t="s">
        <v>943</v>
      </c>
      <c r="G82" s="145" t="s">
        <v>204</v>
      </c>
      <c r="H82" s="145" t="s">
        <v>204</v>
      </c>
      <c r="I82" s="145" t="s">
        <v>340</v>
      </c>
      <c r="J82" s="145" t="s">
        <v>1223</v>
      </c>
      <c r="K82" s="145" t="s">
        <v>312</v>
      </c>
      <c r="L82" s="145" t="s">
        <v>1210</v>
      </c>
      <c r="M82" s="146">
        <v>1.33</v>
      </c>
      <c r="N82" s="145" t="s">
        <v>1259</v>
      </c>
      <c r="O82" s="148">
        <v>1E-3</v>
      </c>
      <c r="P82" s="148">
        <v>1.9599999999999999E-2</v>
      </c>
      <c r="Q82" s="159"/>
      <c r="R82" s="146">
        <v>8331076</v>
      </c>
      <c r="S82" s="146">
        <v>1</v>
      </c>
      <c r="T82" s="146">
        <v>112.95</v>
      </c>
      <c r="U82" s="146">
        <v>9409.9500000000007</v>
      </c>
      <c r="V82" s="159"/>
      <c r="W82" s="159"/>
      <c r="X82" s="148">
        <v>4.0999999999999999E-4</v>
      </c>
      <c r="Y82" s="148">
        <v>2.8150000000000001E-2</v>
      </c>
      <c r="Z82" s="149">
        <v>7.4200000000000004E-3</v>
      </c>
      <c r="AA82" s="199"/>
    </row>
    <row r="83" spans="1:27" x14ac:dyDescent="0.2">
      <c r="A83" s="144" t="s">
        <v>1217</v>
      </c>
      <c r="B83" s="145" t="s">
        <v>1218</v>
      </c>
      <c r="C83" s="145" t="s">
        <v>1220</v>
      </c>
      <c r="D83" s="145" t="s">
        <v>1254</v>
      </c>
      <c r="E83" s="145" t="s">
        <v>1255</v>
      </c>
      <c r="F83" s="145" t="s">
        <v>945</v>
      </c>
      <c r="G83" s="145" t="s">
        <v>204</v>
      </c>
      <c r="H83" s="145" t="s">
        <v>204</v>
      </c>
      <c r="I83" s="145" t="s">
        <v>340</v>
      </c>
      <c r="J83" s="145" t="s">
        <v>1223</v>
      </c>
      <c r="K83" s="145" t="s">
        <v>312</v>
      </c>
      <c r="L83" s="145" t="s">
        <v>1210</v>
      </c>
      <c r="M83" s="146">
        <v>0.1</v>
      </c>
      <c r="N83" s="145" t="s">
        <v>1256</v>
      </c>
      <c r="O83" s="145" t="s">
        <v>1234</v>
      </c>
      <c r="P83" s="148">
        <v>4.2529999999999998E-2</v>
      </c>
      <c r="Q83" s="159"/>
      <c r="R83" s="146">
        <v>8341441</v>
      </c>
      <c r="S83" s="146">
        <v>1</v>
      </c>
      <c r="T83" s="146">
        <v>99.59</v>
      </c>
      <c r="U83" s="146">
        <v>8307.241</v>
      </c>
      <c r="V83" s="159"/>
      <c r="W83" s="159"/>
      <c r="X83" s="148">
        <v>2.3000000000000001E-4</v>
      </c>
      <c r="Y83" s="148">
        <v>2.4850000000000001E-2</v>
      </c>
      <c r="Z83" s="149">
        <v>6.5500000000000003E-3</v>
      </c>
      <c r="AA83" s="199"/>
    </row>
    <row r="84" spans="1:27" x14ac:dyDescent="0.2">
      <c r="A84" s="144" t="s">
        <v>1217</v>
      </c>
      <c r="B84" s="145" t="s">
        <v>1218</v>
      </c>
      <c r="C84" s="145" t="s">
        <v>1220</v>
      </c>
      <c r="D84" s="145" t="s">
        <v>1306</v>
      </c>
      <c r="E84" s="145" t="s">
        <v>1307</v>
      </c>
      <c r="F84" s="145" t="s">
        <v>945</v>
      </c>
      <c r="G84" s="145" t="s">
        <v>204</v>
      </c>
      <c r="H84" s="145" t="s">
        <v>204</v>
      </c>
      <c r="I84" s="145" t="s">
        <v>340</v>
      </c>
      <c r="J84" s="145" t="s">
        <v>1223</v>
      </c>
      <c r="K84" s="145" t="s">
        <v>312</v>
      </c>
      <c r="L84" s="145" t="s">
        <v>1210</v>
      </c>
      <c r="M84" s="146">
        <v>3.36</v>
      </c>
      <c r="N84" s="145" t="s">
        <v>1308</v>
      </c>
      <c r="O84" s="148">
        <v>2.2499999999999999E-2</v>
      </c>
      <c r="P84" s="148">
        <v>4.2610000000000002E-2</v>
      </c>
      <c r="Q84" s="159"/>
      <c r="R84" s="146">
        <v>8662546</v>
      </c>
      <c r="S84" s="146">
        <v>1</v>
      </c>
      <c r="T84" s="146">
        <v>94.71</v>
      </c>
      <c r="U84" s="146">
        <v>8204.2970000000005</v>
      </c>
      <c r="V84" s="159"/>
      <c r="W84" s="159"/>
      <c r="X84" s="148">
        <v>2.5000000000000001E-4</v>
      </c>
      <c r="Y84" s="148">
        <v>2.4539999999999999E-2</v>
      </c>
      <c r="Z84" s="149">
        <v>6.4700000000000001E-3</v>
      </c>
      <c r="AA84" s="199"/>
    </row>
    <row r="85" spans="1:27" x14ac:dyDescent="0.2">
      <c r="A85" s="144" t="s">
        <v>1217</v>
      </c>
      <c r="B85" s="145" t="s">
        <v>1218</v>
      </c>
      <c r="C85" s="145" t="s">
        <v>1260</v>
      </c>
      <c r="D85" s="145" t="s">
        <v>1267</v>
      </c>
      <c r="E85" s="145" t="s">
        <v>1268</v>
      </c>
      <c r="F85" s="145" t="s">
        <v>945</v>
      </c>
      <c r="G85" s="145" t="s">
        <v>204</v>
      </c>
      <c r="H85" s="145" t="s">
        <v>204</v>
      </c>
      <c r="I85" s="145" t="s">
        <v>340</v>
      </c>
      <c r="J85" s="145" t="s">
        <v>1223</v>
      </c>
      <c r="K85" s="145" t="s">
        <v>312</v>
      </c>
      <c r="L85" s="145" t="s">
        <v>1210</v>
      </c>
      <c r="M85" s="146">
        <v>4.03</v>
      </c>
      <c r="N85" s="145" t="s">
        <v>1269</v>
      </c>
      <c r="O85" s="148">
        <v>4.5999999999999999E-2</v>
      </c>
      <c r="P85" s="148">
        <v>4.267E-2</v>
      </c>
      <c r="Q85" s="159"/>
      <c r="R85" s="146">
        <v>5237382</v>
      </c>
      <c r="S85" s="146">
        <v>1</v>
      </c>
      <c r="T85" s="146">
        <v>103.16</v>
      </c>
      <c r="U85" s="146">
        <v>5402.8829999999998</v>
      </c>
      <c r="V85" s="159"/>
      <c r="W85" s="159"/>
      <c r="X85" s="148">
        <v>4.8999999999999998E-4</v>
      </c>
      <c r="Y85" s="148">
        <v>1.6160000000000001E-2</v>
      </c>
      <c r="Z85" s="149">
        <v>4.2599999999999999E-3</v>
      </c>
      <c r="AA85" s="199"/>
    </row>
    <row r="86" spans="1:27" x14ac:dyDescent="0.2">
      <c r="A86" s="144" t="s">
        <v>1217</v>
      </c>
      <c r="B86" s="145" t="s">
        <v>1218</v>
      </c>
      <c r="C86" s="145" t="s">
        <v>1220</v>
      </c>
      <c r="D86" s="145" t="s">
        <v>1270</v>
      </c>
      <c r="E86" s="145" t="s">
        <v>1271</v>
      </c>
      <c r="F86" s="145" t="s">
        <v>943</v>
      </c>
      <c r="G86" s="145" t="s">
        <v>204</v>
      </c>
      <c r="H86" s="145" t="s">
        <v>204</v>
      </c>
      <c r="I86" s="145" t="s">
        <v>340</v>
      </c>
      <c r="J86" s="145" t="s">
        <v>1223</v>
      </c>
      <c r="K86" s="145" t="s">
        <v>312</v>
      </c>
      <c r="L86" s="145" t="s">
        <v>1210</v>
      </c>
      <c r="M86" s="146">
        <v>2.14</v>
      </c>
      <c r="N86" s="145" t="s">
        <v>1272</v>
      </c>
      <c r="O86" s="148">
        <v>7.4999999999999997E-3</v>
      </c>
      <c r="P86" s="148">
        <v>1.9449999999999999E-2</v>
      </c>
      <c r="Q86" s="159"/>
      <c r="R86" s="146">
        <v>3874396</v>
      </c>
      <c r="S86" s="146">
        <v>1</v>
      </c>
      <c r="T86" s="146">
        <v>114.63</v>
      </c>
      <c r="U86" s="146">
        <v>4441.22</v>
      </c>
      <c r="V86" s="159"/>
      <c r="W86" s="159"/>
      <c r="X86" s="148">
        <v>1.6000000000000001E-4</v>
      </c>
      <c r="Y86" s="148">
        <v>1.329E-2</v>
      </c>
      <c r="Z86" s="149">
        <v>3.5000000000000001E-3</v>
      </c>
      <c r="AA86" s="199"/>
    </row>
    <row r="87" spans="1:27" x14ac:dyDescent="0.2">
      <c r="A87" s="144" t="s">
        <v>1217</v>
      </c>
      <c r="B87" s="145" t="s">
        <v>1218</v>
      </c>
      <c r="C87" s="145" t="s">
        <v>1260</v>
      </c>
      <c r="D87" s="145" t="s">
        <v>1279</v>
      </c>
      <c r="E87" s="145" t="s">
        <v>1280</v>
      </c>
      <c r="F87" s="145" t="s">
        <v>945</v>
      </c>
      <c r="G87" s="145" t="s">
        <v>204</v>
      </c>
      <c r="H87" s="145" t="s">
        <v>204</v>
      </c>
      <c r="I87" s="145" t="s">
        <v>340</v>
      </c>
      <c r="J87" s="145" t="s">
        <v>1223</v>
      </c>
      <c r="K87" s="145" t="s">
        <v>312</v>
      </c>
      <c r="L87" s="145" t="s">
        <v>1210</v>
      </c>
      <c r="M87" s="146">
        <v>3.7</v>
      </c>
      <c r="N87" s="145" t="s">
        <v>1281</v>
      </c>
      <c r="O87" s="148">
        <v>3.7499999999999999E-2</v>
      </c>
      <c r="P87" s="148">
        <v>4.2680000000000003E-2</v>
      </c>
      <c r="Q87" s="159"/>
      <c r="R87" s="146">
        <v>4271240</v>
      </c>
      <c r="S87" s="146">
        <v>1</v>
      </c>
      <c r="T87" s="146">
        <v>98.49</v>
      </c>
      <c r="U87" s="146">
        <v>4206.7439999999997</v>
      </c>
      <c r="V87" s="159"/>
      <c r="W87" s="159"/>
      <c r="X87" s="148">
        <v>1.2E-4</v>
      </c>
      <c r="Y87" s="148">
        <v>1.2579999999999999E-2</v>
      </c>
      <c r="Z87" s="149">
        <v>3.32E-3</v>
      </c>
      <c r="AA87" s="199"/>
    </row>
    <row r="88" spans="1:27" x14ac:dyDescent="0.2">
      <c r="A88" s="144" t="s">
        <v>1217</v>
      </c>
      <c r="B88" s="145" t="s">
        <v>1218</v>
      </c>
      <c r="C88" s="145" t="s">
        <v>1220</v>
      </c>
      <c r="D88" s="145" t="s">
        <v>1273</v>
      </c>
      <c r="E88" s="145" t="s">
        <v>1274</v>
      </c>
      <c r="F88" s="145" t="s">
        <v>943</v>
      </c>
      <c r="G88" s="145" t="s">
        <v>204</v>
      </c>
      <c r="H88" s="145" t="s">
        <v>204</v>
      </c>
      <c r="I88" s="145" t="s">
        <v>340</v>
      </c>
      <c r="J88" s="145" t="s">
        <v>1223</v>
      </c>
      <c r="K88" s="145" t="s">
        <v>312</v>
      </c>
      <c r="L88" s="145" t="s">
        <v>1210</v>
      </c>
      <c r="M88" s="146">
        <v>3.52</v>
      </c>
      <c r="N88" s="145" t="s">
        <v>1275</v>
      </c>
      <c r="O88" s="148">
        <v>1.103E-2</v>
      </c>
      <c r="P88" s="148">
        <v>1.9820000000000001E-2</v>
      </c>
      <c r="Q88" s="159"/>
      <c r="R88" s="146">
        <v>3649055</v>
      </c>
      <c r="S88" s="146">
        <v>1</v>
      </c>
      <c r="T88" s="146">
        <v>101.93</v>
      </c>
      <c r="U88" s="146">
        <v>3719.482</v>
      </c>
      <c r="V88" s="159"/>
      <c r="W88" s="159"/>
      <c r="X88" s="148">
        <v>1.2E-4</v>
      </c>
      <c r="Y88" s="148">
        <v>1.1129999999999999E-2</v>
      </c>
      <c r="Z88" s="149">
        <v>2.9299999999999999E-3</v>
      </c>
      <c r="AA88" s="199"/>
    </row>
    <row r="89" spans="1:27" x14ac:dyDescent="0.2">
      <c r="A89" s="144" t="s">
        <v>1217</v>
      </c>
      <c r="B89" s="145" t="s">
        <v>1218</v>
      </c>
      <c r="C89" s="145" t="s">
        <v>1220</v>
      </c>
      <c r="D89" s="145" t="s">
        <v>1303</v>
      </c>
      <c r="E89" s="145" t="s">
        <v>1304</v>
      </c>
      <c r="F89" s="145" t="s">
        <v>945</v>
      </c>
      <c r="G89" s="145" t="s">
        <v>204</v>
      </c>
      <c r="H89" s="145" t="s">
        <v>204</v>
      </c>
      <c r="I89" s="145" t="s">
        <v>340</v>
      </c>
      <c r="J89" s="145" t="s">
        <v>1223</v>
      </c>
      <c r="K89" s="145" t="s">
        <v>312</v>
      </c>
      <c r="L89" s="145" t="s">
        <v>1210</v>
      </c>
      <c r="M89" s="146">
        <v>0.35</v>
      </c>
      <c r="N89" s="145" t="s">
        <v>1305</v>
      </c>
      <c r="O89" s="145" t="s">
        <v>1234</v>
      </c>
      <c r="P89" s="148">
        <v>4.2869999999999998E-2</v>
      </c>
      <c r="Q89" s="159"/>
      <c r="R89" s="146">
        <v>3700000</v>
      </c>
      <c r="S89" s="146">
        <v>1</v>
      </c>
      <c r="T89" s="146">
        <v>98.55</v>
      </c>
      <c r="U89" s="146">
        <v>3646.35</v>
      </c>
      <c r="V89" s="159"/>
      <c r="W89" s="159"/>
      <c r="X89" s="148">
        <v>3.1E-4</v>
      </c>
      <c r="Y89" s="148">
        <v>1.091E-2</v>
      </c>
      <c r="Z89" s="149">
        <v>2.8800000000000002E-3</v>
      </c>
      <c r="AA89" s="199"/>
    </row>
    <row r="90" spans="1:27" x14ac:dyDescent="0.2">
      <c r="A90" s="144" t="s">
        <v>1217</v>
      </c>
      <c r="B90" s="145" t="s">
        <v>1218</v>
      </c>
      <c r="C90" s="145" t="s">
        <v>1220</v>
      </c>
      <c r="D90" s="145" t="s">
        <v>1282</v>
      </c>
      <c r="E90" s="145" t="s">
        <v>1283</v>
      </c>
      <c r="F90" s="145" t="s">
        <v>945</v>
      </c>
      <c r="G90" s="145" t="s">
        <v>204</v>
      </c>
      <c r="H90" s="145" t="s">
        <v>204</v>
      </c>
      <c r="I90" s="145" t="s">
        <v>340</v>
      </c>
      <c r="J90" s="145" t="s">
        <v>1223</v>
      </c>
      <c r="K90" s="145" t="s">
        <v>312</v>
      </c>
      <c r="L90" s="145" t="s">
        <v>1210</v>
      </c>
      <c r="M90" s="146">
        <v>17.43</v>
      </c>
      <c r="N90" s="145" t="s">
        <v>1284</v>
      </c>
      <c r="O90" s="148">
        <v>2.8080000000000001E-2</v>
      </c>
      <c r="P90" s="148">
        <v>4.9450000000000001E-2</v>
      </c>
      <c r="Q90" s="159"/>
      <c r="R90" s="146">
        <v>1794527</v>
      </c>
      <c r="S90" s="146">
        <v>1</v>
      </c>
      <c r="T90" s="146">
        <v>68.95</v>
      </c>
      <c r="U90" s="146">
        <v>1237.326</v>
      </c>
      <c r="V90" s="159"/>
      <c r="W90" s="159"/>
      <c r="X90" s="148">
        <v>8.0000000000000007E-5</v>
      </c>
      <c r="Y90" s="148">
        <v>3.7000000000000002E-3</v>
      </c>
      <c r="Z90" s="149">
        <v>9.7999999999999997E-4</v>
      </c>
      <c r="AA90" s="199"/>
    </row>
    <row r="91" spans="1:27" x14ac:dyDescent="0.2">
      <c r="A91" s="144" t="s">
        <v>1217</v>
      </c>
      <c r="B91" s="145" t="s">
        <v>1218</v>
      </c>
      <c r="C91" s="145" t="s">
        <v>1220</v>
      </c>
      <c r="D91" s="145" t="s">
        <v>1276</v>
      </c>
      <c r="E91" s="145" t="s">
        <v>1277</v>
      </c>
      <c r="F91" s="145" t="s">
        <v>943</v>
      </c>
      <c r="G91" s="145" t="s">
        <v>204</v>
      </c>
      <c r="H91" s="145" t="s">
        <v>204</v>
      </c>
      <c r="I91" s="145" t="s">
        <v>340</v>
      </c>
      <c r="J91" s="145" t="s">
        <v>1223</v>
      </c>
      <c r="K91" s="145" t="s">
        <v>312</v>
      </c>
      <c r="L91" s="145" t="s">
        <v>1210</v>
      </c>
      <c r="M91" s="146">
        <v>9.15</v>
      </c>
      <c r="N91" s="145" t="s">
        <v>1278</v>
      </c>
      <c r="O91" s="148">
        <v>4.011E-2</v>
      </c>
      <c r="P91" s="148">
        <v>2.12E-2</v>
      </c>
      <c r="Q91" s="159"/>
      <c r="R91" s="146">
        <v>546581</v>
      </c>
      <c r="S91" s="146">
        <v>1</v>
      </c>
      <c r="T91" s="146">
        <v>167.49</v>
      </c>
      <c r="U91" s="146">
        <v>915.46900000000005</v>
      </c>
      <c r="V91" s="159"/>
      <c r="W91" s="159"/>
      <c r="X91" s="148">
        <v>3.0000000000000001E-5</v>
      </c>
      <c r="Y91" s="148">
        <v>2.7399999999999998E-3</v>
      </c>
      <c r="Z91" s="149">
        <v>7.2000000000000005E-4</v>
      </c>
      <c r="AA91" s="199"/>
    </row>
    <row r="92" spans="1:27" x14ac:dyDescent="0.2">
      <c r="A92" s="144" t="s">
        <v>1217</v>
      </c>
      <c r="B92" s="145" t="s">
        <v>1218</v>
      </c>
      <c r="C92" s="145" t="s">
        <v>1285</v>
      </c>
      <c r="D92" s="145" t="s">
        <v>1294</v>
      </c>
      <c r="E92" s="145" t="s">
        <v>1295</v>
      </c>
      <c r="F92" s="145" t="s">
        <v>947</v>
      </c>
      <c r="G92" s="145" t="s">
        <v>205</v>
      </c>
      <c r="H92" s="145" t="s">
        <v>224</v>
      </c>
      <c r="I92" s="145" t="s">
        <v>344</v>
      </c>
      <c r="J92" s="145" t="s">
        <v>1288</v>
      </c>
      <c r="K92" s="145" t="s">
        <v>423</v>
      </c>
      <c r="L92" s="145" t="s">
        <v>1211</v>
      </c>
      <c r="M92" s="146">
        <v>7.7279999999999998</v>
      </c>
      <c r="N92" s="145" t="s">
        <v>1296</v>
      </c>
      <c r="O92" s="148">
        <v>3.875E-2</v>
      </c>
      <c r="P92" s="148">
        <v>4.1980000000000003E-2</v>
      </c>
      <c r="Q92" s="159"/>
      <c r="R92" s="146">
        <v>3065000</v>
      </c>
      <c r="S92" s="146">
        <v>3.718</v>
      </c>
      <c r="T92" s="146">
        <v>97.992999999999995</v>
      </c>
      <c r="U92" s="146">
        <v>11167</v>
      </c>
      <c r="V92" s="159"/>
      <c r="W92" s="159"/>
      <c r="X92" s="148">
        <v>2.0000000000000002E-5</v>
      </c>
      <c r="Y92" s="148">
        <v>3.3399999999999999E-2</v>
      </c>
      <c r="Z92" s="149">
        <v>8.8100000000000001E-3</v>
      </c>
      <c r="AA92" s="199"/>
    </row>
    <row r="93" spans="1:27" x14ac:dyDescent="0.2">
      <c r="A93" s="144" t="s">
        <v>1217</v>
      </c>
      <c r="B93" s="145" t="s">
        <v>1218</v>
      </c>
      <c r="C93" s="145" t="s">
        <v>1285</v>
      </c>
      <c r="D93" s="145" t="s">
        <v>1290</v>
      </c>
      <c r="E93" s="145" t="s">
        <v>1291</v>
      </c>
      <c r="F93" s="145" t="s">
        <v>947</v>
      </c>
      <c r="G93" s="145" t="s">
        <v>205</v>
      </c>
      <c r="H93" s="145" t="s">
        <v>224</v>
      </c>
      <c r="I93" s="145" t="s">
        <v>344</v>
      </c>
      <c r="J93" s="145" t="s">
        <v>1292</v>
      </c>
      <c r="K93" s="145" t="s">
        <v>423</v>
      </c>
      <c r="L93" s="145" t="s">
        <v>1211</v>
      </c>
      <c r="M93" s="146">
        <v>7.0380000000000003</v>
      </c>
      <c r="N93" s="145" t="s">
        <v>1293</v>
      </c>
      <c r="O93" s="148">
        <v>3.875E-2</v>
      </c>
      <c r="P93" s="148">
        <v>4.1529999999999997E-2</v>
      </c>
      <c r="Q93" s="159"/>
      <c r="R93" s="146">
        <v>1962000</v>
      </c>
      <c r="S93" s="146">
        <v>3.718</v>
      </c>
      <c r="T93" s="146">
        <v>98.542000000000002</v>
      </c>
      <c r="U93" s="146">
        <v>7188.36</v>
      </c>
      <c r="V93" s="159"/>
      <c r="W93" s="159"/>
      <c r="X93" s="148">
        <v>2.0000000000000002E-5</v>
      </c>
      <c r="Y93" s="148">
        <v>2.1499999999999998E-2</v>
      </c>
      <c r="Z93" s="149">
        <v>5.6699999999999997E-3</v>
      </c>
      <c r="AA93" s="199"/>
    </row>
    <row r="94" spans="1:27" x14ac:dyDescent="0.2">
      <c r="A94" s="144" t="s">
        <v>1217</v>
      </c>
      <c r="B94" s="145" t="s">
        <v>1218</v>
      </c>
      <c r="C94" s="145" t="s">
        <v>1285</v>
      </c>
      <c r="D94" s="145" t="s">
        <v>1297</v>
      </c>
      <c r="E94" s="145" t="s">
        <v>1298</v>
      </c>
      <c r="F94" s="145" t="s">
        <v>947</v>
      </c>
      <c r="G94" s="145" t="s">
        <v>205</v>
      </c>
      <c r="H94" s="145" t="s">
        <v>224</v>
      </c>
      <c r="I94" s="145" t="s">
        <v>344</v>
      </c>
      <c r="J94" s="145" t="s">
        <v>1288</v>
      </c>
      <c r="K94" s="145" t="s">
        <v>423</v>
      </c>
      <c r="L94" s="145" t="s">
        <v>1211</v>
      </c>
      <c r="M94" s="146">
        <v>7.3570000000000002</v>
      </c>
      <c r="N94" s="145" t="s">
        <v>1299</v>
      </c>
      <c r="O94" s="148">
        <v>0.04</v>
      </c>
      <c r="P94" s="148">
        <v>4.1779999999999998E-2</v>
      </c>
      <c r="Q94" s="159"/>
      <c r="R94" s="146">
        <v>819000</v>
      </c>
      <c r="S94" s="146">
        <v>3.718</v>
      </c>
      <c r="T94" s="146">
        <v>99.198999999999998</v>
      </c>
      <c r="U94" s="146">
        <v>3020.6390000000001</v>
      </c>
      <c r="V94" s="159"/>
      <c r="W94" s="159"/>
      <c r="X94" s="148">
        <v>1.0000000000000001E-5</v>
      </c>
      <c r="Y94" s="148">
        <v>9.0399999999999994E-3</v>
      </c>
      <c r="Z94" s="149">
        <v>2.3800000000000002E-3</v>
      </c>
      <c r="AA94" s="199"/>
    </row>
    <row r="95" spans="1:27" x14ac:dyDescent="0.2">
      <c r="A95" s="144" t="s">
        <v>1217</v>
      </c>
      <c r="B95" s="145" t="s">
        <v>1218</v>
      </c>
      <c r="C95" s="145" t="s">
        <v>1285</v>
      </c>
      <c r="D95" s="145" t="s">
        <v>1286</v>
      </c>
      <c r="E95" s="145" t="s">
        <v>1287</v>
      </c>
      <c r="F95" s="145" t="s">
        <v>947</v>
      </c>
      <c r="G95" s="145" t="s">
        <v>205</v>
      </c>
      <c r="H95" s="145" t="s">
        <v>224</v>
      </c>
      <c r="I95" s="145" t="s">
        <v>344</v>
      </c>
      <c r="J95" s="145" t="s">
        <v>1288</v>
      </c>
      <c r="K95" s="145" t="s">
        <v>423</v>
      </c>
      <c r="L95" s="145" t="s">
        <v>1211</v>
      </c>
      <c r="M95" s="146">
        <v>7.7130000000000001</v>
      </c>
      <c r="N95" s="145" t="s">
        <v>1289</v>
      </c>
      <c r="O95" s="148">
        <v>4.2500000000000003E-2</v>
      </c>
      <c r="P95" s="148">
        <v>4.206E-2</v>
      </c>
      <c r="Q95" s="159"/>
      <c r="R95" s="146">
        <v>670000</v>
      </c>
      <c r="S95" s="146">
        <v>3.718</v>
      </c>
      <c r="T95" s="146">
        <v>101.961</v>
      </c>
      <c r="U95" s="146">
        <v>2539.9009999999998</v>
      </c>
      <c r="V95" s="159"/>
      <c r="W95" s="159"/>
      <c r="X95" s="148">
        <v>1.0000000000000001E-5</v>
      </c>
      <c r="Y95" s="148">
        <v>7.6E-3</v>
      </c>
      <c r="Z95" s="149">
        <v>2E-3</v>
      </c>
      <c r="AA95" s="199"/>
    </row>
    <row r="96" spans="1:27" x14ac:dyDescent="0.2">
      <c r="A96" s="144" t="s">
        <v>1217</v>
      </c>
      <c r="B96" s="145" t="s">
        <v>1219</v>
      </c>
      <c r="C96" s="145" t="s">
        <v>1220</v>
      </c>
      <c r="D96" s="145" t="s">
        <v>1235</v>
      </c>
      <c r="E96" s="145" t="s">
        <v>1236</v>
      </c>
      <c r="F96" s="145" t="s">
        <v>943</v>
      </c>
      <c r="G96" s="145" t="s">
        <v>204</v>
      </c>
      <c r="H96" s="145" t="s">
        <v>204</v>
      </c>
      <c r="I96" s="145" t="s">
        <v>340</v>
      </c>
      <c r="J96" s="145" t="s">
        <v>1223</v>
      </c>
      <c r="K96" s="145" t="s">
        <v>312</v>
      </c>
      <c r="L96" s="145" t="s">
        <v>1210</v>
      </c>
      <c r="M96" s="146">
        <v>0.57999999999999996</v>
      </c>
      <c r="N96" s="145" t="s">
        <v>1237</v>
      </c>
      <c r="O96" s="148">
        <v>7.5199999999999998E-3</v>
      </c>
      <c r="P96" s="148">
        <v>1.2359999999999999E-2</v>
      </c>
      <c r="Q96" s="159"/>
      <c r="R96" s="146">
        <v>1202983</v>
      </c>
      <c r="S96" s="146">
        <v>1</v>
      </c>
      <c r="T96" s="146">
        <v>116.16</v>
      </c>
      <c r="U96" s="146">
        <v>1397.385</v>
      </c>
      <c r="V96" s="159"/>
      <c r="W96" s="159"/>
      <c r="X96" s="148">
        <v>6.0000000000000002E-5</v>
      </c>
      <c r="Y96" s="148">
        <v>0.23194000000000001</v>
      </c>
      <c r="Z96" s="149">
        <v>0.13372999999999999</v>
      </c>
      <c r="AA96" s="199"/>
    </row>
    <row r="97" spans="1:27" x14ac:dyDescent="0.2">
      <c r="A97" s="144" t="s">
        <v>1217</v>
      </c>
      <c r="B97" s="145" t="s">
        <v>1219</v>
      </c>
      <c r="C97" s="145" t="s">
        <v>1220</v>
      </c>
      <c r="D97" s="145" t="s">
        <v>1221</v>
      </c>
      <c r="E97" s="145" t="s">
        <v>1222</v>
      </c>
      <c r="F97" s="145" t="s">
        <v>945</v>
      </c>
      <c r="G97" s="145" t="s">
        <v>204</v>
      </c>
      <c r="H97" s="145" t="s">
        <v>204</v>
      </c>
      <c r="I97" s="145" t="s">
        <v>340</v>
      </c>
      <c r="J97" s="145" t="s">
        <v>1223</v>
      </c>
      <c r="K97" s="145" t="s">
        <v>312</v>
      </c>
      <c r="L97" s="145" t="s">
        <v>1210</v>
      </c>
      <c r="M97" s="146">
        <v>10.81</v>
      </c>
      <c r="N97" s="145" t="s">
        <v>1224</v>
      </c>
      <c r="O97" s="148">
        <v>1.504E-2</v>
      </c>
      <c r="P97" s="148">
        <v>4.614E-2</v>
      </c>
      <c r="Q97" s="159"/>
      <c r="R97" s="146">
        <v>1421892</v>
      </c>
      <c r="S97" s="146">
        <v>1</v>
      </c>
      <c r="T97" s="146">
        <v>72.72</v>
      </c>
      <c r="U97" s="146">
        <v>1034</v>
      </c>
      <c r="V97" s="159"/>
      <c r="W97" s="159"/>
      <c r="X97" s="148">
        <v>4.0000000000000003E-5</v>
      </c>
      <c r="Y97" s="148">
        <v>0.17163</v>
      </c>
      <c r="Z97" s="149">
        <v>9.8960000000000006E-2</v>
      </c>
      <c r="AA97" s="199"/>
    </row>
    <row r="98" spans="1:27" x14ac:dyDescent="0.2">
      <c r="A98" s="144" t="s">
        <v>1217</v>
      </c>
      <c r="B98" s="145" t="s">
        <v>1219</v>
      </c>
      <c r="C98" s="145" t="s">
        <v>1220</v>
      </c>
      <c r="D98" s="145" t="s">
        <v>1228</v>
      </c>
      <c r="E98" s="145" t="s">
        <v>1229</v>
      </c>
      <c r="F98" s="145" t="s">
        <v>943</v>
      </c>
      <c r="G98" s="145" t="s">
        <v>204</v>
      </c>
      <c r="H98" s="145" t="s">
        <v>204</v>
      </c>
      <c r="I98" s="145" t="s">
        <v>340</v>
      </c>
      <c r="J98" s="145" t="s">
        <v>1223</v>
      </c>
      <c r="K98" s="145" t="s">
        <v>312</v>
      </c>
      <c r="L98" s="145" t="s">
        <v>1210</v>
      </c>
      <c r="M98" s="146">
        <v>6.65</v>
      </c>
      <c r="N98" s="145" t="s">
        <v>1230</v>
      </c>
      <c r="O98" s="148">
        <v>1E-3</v>
      </c>
      <c r="P98" s="148">
        <v>2.0310000000000002E-2</v>
      </c>
      <c r="Q98" s="159"/>
      <c r="R98" s="146">
        <v>846933</v>
      </c>
      <c r="S98" s="146">
        <v>1</v>
      </c>
      <c r="T98" s="146">
        <v>101.91</v>
      </c>
      <c r="U98" s="146">
        <v>863.10900000000004</v>
      </c>
      <c r="V98" s="159"/>
      <c r="W98" s="159"/>
      <c r="X98" s="148">
        <v>3.0000000000000001E-5</v>
      </c>
      <c r="Y98" s="148">
        <v>0.14326</v>
      </c>
      <c r="Z98" s="149">
        <v>8.2600000000000007E-2</v>
      </c>
      <c r="AA98" s="199"/>
    </row>
    <row r="99" spans="1:27" x14ac:dyDescent="0.2">
      <c r="A99" s="144" t="s">
        <v>1217</v>
      </c>
      <c r="B99" s="145" t="s">
        <v>1219</v>
      </c>
      <c r="C99" s="145" t="s">
        <v>1241</v>
      </c>
      <c r="D99" s="145" t="s">
        <v>1242</v>
      </c>
      <c r="E99" s="145" t="s">
        <v>1243</v>
      </c>
      <c r="F99" s="145" t="s">
        <v>945</v>
      </c>
      <c r="G99" s="145" t="s">
        <v>204</v>
      </c>
      <c r="H99" s="145" t="s">
        <v>204</v>
      </c>
      <c r="I99" s="145" t="s">
        <v>340</v>
      </c>
      <c r="J99" s="145" t="s">
        <v>1223</v>
      </c>
      <c r="K99" s="145" t="s">
        <v>312</v>
      </c>
      <c r="L99" s="145" t="s">
        <v>1210</v>
      </c>
      <c r="M99" s="146">
        <v>0.85</v>
      </c>
      <c r="N99" s="145" t="s">
        <v>1244</v>
      </c>
      <c r="O99" s="145" t="s">
        <v>1234</v>
      </c>
      <c r="P99" s="148">
        <v>4.2599999999999999E-2</v>
      </c>
      <c r="Q99" s="159"/>
      <c r="R99" s="146">
        <v>602598</v>
      </c>
      <c r="S99" s="146">
        <v>1</v>
      </c>
      <c r="T99" s="146">
        <v>96.53</v>
      </c>
      <c r="U99" s="146">
        <v>581.68799999999999</v>
      </c>
      <c r="V99" s="159"/>
      <c r="W99" s="159"/>
      <c r="X99" s="148">
        <v>3.0000000000000001E-5</v>
      </c>
      <c r="Y99" s="148">
        <v>9.6549999999999997E-2</v>
      </c>
      <c r="Z99" s="149">
        <v>5.5669999999999997E-2</v>
      </c>
      <c r="AA99" s="199"/>
    </row>
    <row r="100" spans="1:27" x14ac:dyDescent="0.2">
      <c r="A100" s="144" t="s">
        <v>1217</v>
      </c>
      <c r="B100" s="145" t="s">
        <v>1219</v>
      </c>
      <c r="C100" s="145" t="s">
        <v>1220</v>
      </c>
      <c r="D100" s="145" t="s">
        <v>1245</v>
      </c>
      <c r="E100" s="145" t="s">
        <v>1246</v>
      </c>
      <c r="F100" s="145" t="s">
        <v>945</v>
      </c>
      <c r="G100" s="145" t="s">
        <v>204</v>
      </c>
      <c r="H100" s="145" t="s">
        <v>204</v>
      </c>
      <c r="I100" s="145" t="s">
        <v>340</v>
      </c>
      <c r="J100" s="145" t="s">
        <v>1223</v>
      </c>
      <c r="K100" s="145" t="s">
        <v>314</v>
      </c>
      <c r="L100" s="145" t="s">
        <v>1210</v>
      </c>
      <c r="M100" s="146">
        <v>0.18</v>
      </c>
      <c r="N100" s="145" t="s">
        <v>1247</v>
      </c>
      <c r="O100" s="145" t="s">
        <v>1234</v>
      </c>
      <c r="P100" s="148">
        <v>4.3249999999999997E-2</v>
      </c>
      <c r="Q100" s="159"/>
      <c r="R100" s="146">
        <v>505000</v>
      </c>
      <c r="S100" s="146">
        <v>1</v>
      </c>
      <c r="T100" s="146">
        <v>99.26</v>
      </c>
      <c r="U100" s="146">
        <v>501.26299999999998</v>
      </c>
      <c r="V100" s="159"/>
      <c r="W100" s="159"/>
      <c r="X100" s="148">
        <v>2.0000000000000002E-5</v>
      </c>
      <c r="Y100" s="148">
        <v>8.3199999999999996E-2</v>
      </c>
      <c r="Z100" s="149">
        <v>4.7969999999999999E-2</v>
      </c>
      <c r="AA100" s="199"/>
    </row>
    <row r="101" spans="1:27" x14ac:dyDescent="0.2">
      <c r="A101" s="144" t="s">
        <v>1217</v>
      </c>
      <c r="B101" s="145" t="s">
        <v>1219</v>
      </c>
      <c r="C101" s="145" t="s">
        <v>1220</v>
      </c>
      <c r="D101" s="145" t="s">
        <v>1251</v>
      </c>
      <c r="E101" s="145" t="s">
        <v>1252</v>
      </c>
      <c r="F101" s="145" t="s">
        <v>945</v>
      </c>
      <c r="G101" s="145" t="s">
        <v>204</v>
      </c>
      <c r="H101" s="145" t="s">
        <v>204</v>
      </c>
      <c r="I101" s="145" t="s">
        <v>340</v>
      </c>
      <c r="J101" s="145" t="s">
        <v>1223</v>
      </c>
      <c r="K101" s="145" t="s">
        <v>312</v>
      </c>
      <c r="L101" s="145" t="s">
        <v>1210</v>
      </c>
      <c r="M101" s="146">
        <v>14.74</v>
      </c>
      <c r="N101" s="145" t="s">
        <v>1253</v>
      </c>
      <c r="O101" s="148">
        <v>3.7499999999999999E-2</v>
      </c>
      <c r="P101" s="148">
        <v>4.8599999999999997E-2</v>
      </c>
      <c r="Q101" s="159"/>
      <c r="R101" s="146">
        <v>439903</v>
      </c>
      <c r="S101" s="146">
        <v>1</v>
      </c>
      <c r="T101" s="146">
        <v>85.21</v>
      </c>
      <c r="U101" s="146">
        <v>374.84100000000001</v>
      </c>
      <c r="V101" s="159"/>
      <c r="W101" s="159"/>
      <c r="X101" s="148">
        <v>2.0000000000000002E-5</v>
      </c>
      <c r="Y101" s="148">
        <v>6.2219999999999998E-2</v>
      </c>
      <c r="Z101" s="149">
        <v>3.5869999999999999E-2</v>
      </c>
      <c r="AA101" s="199"/>
    </row>
    <row r="102" spans="1:27" x14ac:dyDescent="0.2">
      <c r="A102" s="144" t="s">
        <v>1217</v>
      </c>
      <c r="B102" s="145" t="s">
        <v>1219</v>
      </c>
      <c r="C102" s="145" t="s">
        <v>1220</v>
      </c>
      <c r="D102" s="145" t="s">
        <v>1238</v>
      </c>
      <c r="E102" s="145" t="s">
        <v>1239</v>
      </c>
      <c r="F102" s="145" t="s">
        <v>945</v>
      </c>
      <c r="G102" s="145" t="s">
        <v>204</v>
      </c>
      <c r="H102" s="145" t="s">
        <v>204</v>
      </c>
      <c r="I102" s="145" t="s">
        <v>340</v>
      </c>
      <c r="J102" s="145" t="s">
        <v>1223</v>
      </c>
      <c r="K102" s="145" t="s">
        <v>312</v>
      </c>
      <c r="L102" s="145" t="s">
        <v>1210</v>
      </c>
      <c r="M102" s="146">
        <v>11.55</v>
      </c>
      <c r="N102" s="145" t="s">
        <v>1240</v>
      </c>
      <c r="O102" s="148">
        <v>5.5149999999999998E-2</v>
      </c>
      <c r="P102" s="148">
        <v>4.7300000000000002E-2</v>
      </c>
      <c r="Q102" s="159"/>
      <c r="R102" s="146">
        <v>280966.74</v>
      </c>
      <c r="S102" s="146">
        <v>1</v>
      </c>
      <c r="T102" s="146">
        <v>109.69</v>
      </c>
      <c r="U102" s="146">
        <v>308.19200000000001</v>
      </c>
      <c r="V102" s="159"/>
      <c r="W102" s="159"/>
      <c r="X102" s="148">
        <v>1.0000000000000001E-5</v>
      </c>
      <c r="Y102" s="148">
        <v>5.1150000000000001E-2</v>
      </c>
      <c r="Z102" s="149">
        <v>2.9489999999999999E-2</v>
      </c>
      <c r="AA102" s="199"/>
    </row>
    <row r="103" spans="1:27" x14ac:dyDescent="0.2">
      <c r="A103" s="144" t="s">
        <v>1217</v>
      </c>
      <c r="B103" s="145" t="s">
        <v>1219</v>
      </c>
      <c r="C103" s="145" t="s">
        <v>1220</v>
      </c>
      <c r="D103" s="145" t="s">
        <v>1225</v>
      </c>
      <c r="E103" s="145" t="s">
        <v>1226</v>
      </c>
      <c r="F103" s="145" t="s">
        <v>945</v>
      </c>
      <c r="G103" s="145" t="s">
        <v>204</v>
      </c>
      <c r="H103" s="145" t="s">
        <v>204</v>
      </c>
      <c r="I103" s="145" t="s">
        <v>340</v>
      </c>
      <c r="J103" s="145" t="s">
        <v>1223</v>
      </c>
      <c r="K103" s="145" t="s">
        <v>312</v>
      </c>
      <c r="L103" s="145" t="s">
        <v>1210</v>
      </c>
      <c r="M103" s="146">
        <v>6.68</v>
      </c>
      <c r="N103" s="145" t="s">
        <v>1227</v>
      </c>
      <c r="O103" s="148">
        <v>1.2999999999999999E-2</v>
      </c>
      <c r="P103" s="148">
        <v>4.3790000000000003E-2</v>
      </c>
      <c r="Q103" s="159"/>
      <c r="R103" s="146">
        <v>195845</v>
      </c>
      <c r="S103" s="146">
        <v>1</v>
      </c>
      <c r="T103" s="146">
        <v>82.78</v>
      </c>
      <c r="U103" s="146">
        <v>162.12</v>
      </c>
      <c r="V103" s="159"/>
      <c r="W103" s="159"/>
      <c r="X103" s="148">
        <v>1.0000000000000001E-5</v>
      </c>
      <c r="Y103" s="148">
        <v>2.691E-2</v>
      </c>
      <c r="Z103" s="149">
        <v>1.5520000000000001E-2</v>
      </c>
      <c r="AA103" s="199"/>
    </row>
    <row r="104" spans="1:27" x14ac:dyDescent="0.2">
      <c r="A104" s="144" t="s">
        <v>1217</v>
      </c>
      <c r="B104" s="145" t="s">
        <v>1219</v>
      </c>
      <c r="C104" s="145" t="s">
        <v>1220</v>
      </c>
      <c r="D104" s="145" t="s">
        <v>1254</v>
      </c>
      <c r="E104" s="145" t="s">
        <v>1255</v>
      </c>
      <c r="F104" s="145" t="s">
        <v>945</v>
      </c>
      <c r="G104" s="145" t="s">
        <v>204</v>
      </c>
      <c r="H104" s="145" t="s">
        <v>204</v>
      </c>
      <c r="I104" s="145" t="s">
        <v>340</v>
      </c>
      <c r="J104" s="145" t="s">
        <v>1223</v>
      </c>
      <c r="K104" s="145" t="s">
        <v>312</v>
      </c>
      <c r="L104" s="145" t="s">
        <v>1210</v>
      </c>
      <c r="M104" s="146">
        <v>0.1</v>
      </c>
      <c r="N104" s="145" t="s">
        <v>1256</v>
      </c>
      <c r="O104" s="145" t="s">
        <v>1234</v>
      </c>
      <c r="P104" s="148">
        <v>4.2529999999999998E-2</v>
      </c>
      <c r="Q104" s="159"/>
      <c r="R104" s="146">
        <v>156402</v>
      </c>
      <c r="S104" s="146">
        <v>1</v>
      </c>
      <c r="T104" s="146">
        <v>99.59</v>
      </c>
      <c r="U104" s="146">
        <v>155.761</v>
      </c>
      <c r="V104" s="159"/>
      <c r="W104" s="159"/>
      <c r="X104" s="148">
        <v>0</v>
      </c>
      <c r="Y104" s="148">
        <v>2.5850000000000001E-2</v>
      </c>
      <c r="Z104" s="149">
        <v>1.491E-2</v>
      </c>
      <c r="AA104" s="199"/>
    </row>
    <row r="105" spans="1:27" x14ac:dyDescent="0.2">
      <c r="A105" s="144" t="s">
        <v>1217</v>
      </c>
      <c r="B105" s="145" t="s">
        <v>1219</v>
      </c>
      <c r="C105" s="145" t="s">
        <v>1220</v>
      </c>
      <c r="D105" s="145" t="s">
        <v>1309</v>
      </c>
      <c r="E105" s="145" t="s">
        <v>1310</v>
      </c>
      <c r="F105" s="145" t="s">
        <v>943</v>
      </c>
      <c r="G105" s="145" t="s">
        <v>204</v>
      </c>
      <c r="H105" s="145" t="s">
        <v>204</v>
      </c>
      <c r="I105" s="145" t="s">
        <v>340</v>
      </c>
      <c r="J105" s="145" t="s">
        <v>1223</v>
      </c>
      <c r="K105" s="145" t="s">
        <v>312</v>
      </c>
      <c r="L105" s="145" t="s">
        <v>1210</v>
      </c>
      <c r="M105" s="146">
        <v>17.920000000000002</v>
      </c>
      <c r="N105" s="145" t="s">
        <v>1311</v>
      </c>
      <c r="O105" s="148">
        <v>0.01</v>
      </c>
      <c r="P105" s="148">
        <v>2.206E-2</v>
      </c>
      <c r="Q105" s="159"/>
      <c r="R105" s="146">
        <v>141131</v>
      </c>
      <c r="S105" s="146">
        <v>1</v>
      </c>
      <c r="T105" s="146">
        <v>94.86</v>
      </c>
      <c r="U105" s="146">
        <v>133.87700000000001</v>
      </c>
      <c r="V105" s="159"/>
      <c r="W105" s="159"/>
      <c r="X105" s="148">
        <v>1.0000000000000001E-5</v>
      </c>
      <c r="Y105" s="148">
        <v>2.222E-2</v>
      </c>
      <c r="Z105" s="149">
        <v>1.281E-2</v>
      </c>
      <c r="AA105" s="199"/>
    </row>
    <row r="106" spans="1:27" x14ac:dyDescent="0.2">
      <c r="A106" s="144" t="s">
        <v>1217</v>
      </c>
      <c r="B106" s="145" t="s">
        <v>1219</v>
      </c>
      <c r="C106" s="145" t="s">
        <v>1220</v>
      </c>
      <c r="D106" s="145" t="s">
        <v>1257</v>
      </c>
      <c r="E106" s="145" t="s">
        <v>1258</v>
      </c>
      <c r="F106" s="145" t="s">
        <v>943</v>
      </c>
      <c r="G106" s="145" t="s">
        <v>204</v>
      </c>
      <c r="H106" s="145" t="s">
        <v>204</v>
      </c>
      <c r="I106" s="145" t="s">
        <v>340</v>
      </c>
      <c r="J106" s="145" t="s">
        <v>1223</v>
      </c>
      <c r="K106" s="145" t="s">
        <v>312</v>
      </c>
      <c r="L106" s="145" t="s">
        <v>1210</v>
      </c>
      <c r="M106" s="146">
        <v>1.33</v>
      </c>
      <c r="N106" s="145" t="s">
        <v>1259</v>
      </c>
      <c r="O106" s="148">
        <v>1E-3</v>
      </c>
      <c r="P106" s="148">
        <v>1.9599999999999999E-2</v>
      </c>
      <c r="Q106" s="159"/>
      <c r="R106" s="146">
        <v>117627</v>
      </c>
      <c r="S106" s="146">
        <v>1</v>
      </c>
      <c r="T106" s="146">
        <v>112.95</v>
      </c>
      <c r="U106" s="146">
        <v>132.86000000000001</v>
      </c>
      <c r="V106" s="159"/>
      <c r="W106" s="159"/>
      <c r="X106" s="148">
        <v>1.0000000000000001E-5</v>
      </c>
      <c r="Y106" s="148">
        <v>2.205E-2</v>
      </c>
      <c r="Z106" s="149">
        <v>1.2710000000000001E-2</v>
      </c>
      <c r="AA106" s="199"/>
    </row>
    <row r="107" spans="1:27" x14ac:dyDescent="0.2">
      <c r="A107" s="144" t="s">
        <v>1217</v>
      </c>
      <c r="B107" s="145" t="s">
        <v>1219</v>
      </c>
      <c r="C107" s="145" t="s">
        <v>1220</v>
      </c>
      <c r="D107" s="145" t="s">
        <v>1248</v>
      </c>
      <c r="E107" s="145" t="s">
        <v>1249</v>
      </c>
      <c r="F107" s="145" t="s">
        <v>945</v>
      </c>
      <c r="G107" s="145" t="s">
        <v>204</v>
      </c>
      <c r="H107" s="145" t="s">
        <v>204</v>
      </c>
      <c r="I107" s="145" t="s">
        <v>340</v>
      </c>
      <c r="J107" s="145" t="s">
        <v>1223</v>
      </c>
      <c r="K107" s="145" t="s">
        <v>312</v>
      </c>
      <c r="L107" s="145" t="s">
        <v>1210</v>
      </c>
      <c r="M107" s="146">
        <v>8.4</v>
      </c>
      <c r="N107" s="145" t="s">
        <v>1250</v>
      </c>
      <c r="O107" s="148">
        <v>0.04</v>
      </c>
      <c r="P107" s="148">
        <v>4.4850000000000001E-2</v>
      </c>
      <c r="Q107" s="159"/>
      <c r="R107" s="146">
        <v>91004</v>
      </c>
      <c r="S107" s="146">
        <v>1</v>
      </c>
      <c r="T107" s="146">
        <v>96.17</v>
      </c>
      <c r="U107" s="146">
        <v>87.519000000000005</v>
      </c>
      <c r="V107" s="159"/>
      <c r="W107" s="159"/>
      <c r="X107" s="148">
        <v>0</v>
      </c>
      <c r="Y107" s="148">
        <v>1.453E-2</v>
      </c>
      <c r="Z107" s="149">
        <v>8.3800000000000003E-3</v>
      </c>
      <c r="AA107" s="199"/>
    </row>
    <row r="108" spans="1:27" x14ac:dyDescent="0.2">
      <c r="A108" s="144" t="s">
        <v>1217</v>
      </c>
      <c r="B108" s="145" t="s">
        <v>1219</v>
      </c>
      <c r="C108" s="145" t="s">
        <v>1260</v>
      </c>
      <c r="D108" s="145" t="s">
        <v>1261</v>
      </c>
      <c r="E108" s="145" t="s">
        <v>1262</v>
      </c>
      <c r="F108" s="145" t="s">
        <v>945</v>
      </c>
      <c r="G108" s="145" t="s">
        <v>204</v>
      </c>
      <c r="H108" s="145" t="s">
        <v>204</v>
      </c>
      <c r="I108" s="145" t="s">
        <v>340</v>
      </c>
      <c r="J108" s="145" t="s">
        <v>1223</v>
      </c>
      <c r="K108" s="145" t="s">
        <v>312</v>
      </c>
      <c r="L108" s="145" t="s">
        <v>1210</v>
      </c>
      <c r="M108" s="146">
        <v>4.8899999999999997</v>
      </c>
      <c r="N108" s="145" t="s">
        <v>1263</v>
      </c>
      <c r="O108" s="148">
        <v>0.01</v>
      </c>
      <c r="P108" s="148">
        <v>4.2880000000000001E-2</v>
      </c>
      <c r="Q108" s="159"/>
      <c r="R108" s="146">
        <v>61521</v>
      </c>
      <c r="S108" s="146">
        <v>1</v>
      </c>
      <c r="T108" s="146">
        <v>85.48</v>
      </c>
      <c r="U108" s="146">
        <v>52.588000000000001</v>
      </c>
      <c r="V108" s="159"/>
      <c r="W108" s="159"/>
      <c r="X108" s="148">
        <v>0</v>
      </c>
      <c r="Y108" s="148">
        <v>8.7299999999999999E-3</v>
      </c>
      <c r="Z108" s="149">
        <v>5.0299999999999997E-3</v>
      </c>
      <c r="AA108" s="199"/>
    </row>
    <row r="109" spans="1:27" x14ac:dyDescent="0.2">
      <c r="A109" s="144" t="s">
        <v>1217</v>
      </c>
      <c r="B109" s="145" t="s">
        <v>1219</v>
      </c>
      <c r="C109" s="145" t="s">
        <v>1220</v>
      </c>
      <c r="D109" s="145" t="s">
        <v>1306</v>
      </c>
      <c r="E109" s="145" t="s">
        <v>1307</v>
      </c>
      <c r="F109" s="145" t="s">
        <v>945</v>
      </c>
      <c r="G109" s="145" t="s">
        <v>204</v>
      </c>
      <c r="H109" s="145" t="s">
        <v>204</v>
      </c>
      <c r="I109" s="145" t="s">
        <v>340</v>
      </c>
      <c r="J109" s="145" t="s">
        <v>1223</v>
      </c>
      <c r="K109" s="145" t="s">
        <v>312</v>
      </c>
      <c r="L109" s="145" t="s">
        <v>1210</v>
      </c>
      <c r="M109" s="146">
        <v>3.36</v>
      </c>
      <c r="N109" s="145" t="s">
        <v>1308</v>
      </c>
      <c r="O109" s="148">
        <v>2.2499999999999999E-2</v>
      </c>
      <c r="P109" s="148">
        <v>4.2610000000000002E-2</v>
      </c>
      <c r="Q109" s="159"/>
      <c r="R109" s="146">
        <v>51667</v>
      </c>
      <c r="S109" s="146">
        <v>1</v>
      </c>
      <c r="T109" s="146">
        <v>94.71</v>
      </c>
      <c r="U109" s="146">
        <v>48.933999999999997</v>
      </c>
      <c r="V109" s="159"/>
      <c r="W109" s="159"/>
      <c r="X109" s="148">
        <v>0</v>
      </c>
      <c r="Y109" s="148">
        <v>8.1200000000000005E-3</v>
      </c>
      <c r="Z109" s="149">
        <v>4.6800000000000001E-3</v>
      </c>
      <c r="AA109" s="199"/>
    </row>
    <row r="110" spans="1:27" x14ac:dyDescent="0.2">
      <c r="A110" s="144" t="s">
        <v>1217</v>
      </c>
      <c r="B110" s="145" t="s">
        <v>1219</v>
      </c>
      <c r="C110" s="145" t="s">
        <v>1260</v>
      </c>
      <c r="D110" s="145" t="s">
        <v>1267</v>
      </c>
      <c r="E110" s="145" t="s">
        <v>1268</v>
      </c>
      <c r="F110" s="145" t="s">
        <v>945</v>
      </c>
      <c r="G110" s="145" t="s">
        <v>204</v>
      </c>
      <c r="H110" s="145" t="s">
        <v>204</v>
      </c>
      <c r="I110" s="145" t="s">
        <v>340</v>
      </c>
      <c r="J110" s="145" t="s">
        <v>1223</v>
      </c>
      <c r="K110" s="145" t="s">
        <v>312</v>
      </c>
      <c r="L110" s="145" t="s">
        <v>1210</v>
      </c>
      <c r="M110" s="146">
        <v>4.03</v>
      </c>
      <c r="N110" s="145" t="s">
        <v>1269</v>
      </c>
      <c r="O110" s="148">
        <v>4.5999999999999999E-2</v>
      </c>
      <c r="P110" s="148">
        <v>4.267E-2</v>
      </c>
      <c r="Q110" s="159"/>
      <c r="R110" s="146">
        <v>43886</v>
      </c>
      <c r="S110" s="146">
        <v>1</v>
      </c>
      <c r="T110" s="146">
        <v>103.16</v>
      </c>
      <c r="U110" s="146">
        <v>45.273000000000003</v>
      </c>
      <c r="V110" s="159"/>
      <c r="W110" s="159"/>
      <c r="X110" s="148">
        <v>0</v>
      </c>
      <c r="Y110" s="148">
        <v>7.5100000000000002E-3</v>
      </c>
      <c r="Z110" s="149">
        <v>4.3299999999999996E-3</v>
      </c>
      <c r="AA110" s="199"/>
    </row>
    <row r="111" spans="1:27" x14ac:dyDescent="0.2">
      <c r="A111" s="144" t="s">
        <v>1217</v>
      </c>
      <c r="B111" s="145" t="s">
        <v>1219</v>
      </c>
      <c r="C111" s="145" t="s">
        <v>1220</v>
      </c>
      <c r="D111" s="145" t="s">
        <v>1312</v>
      </c>
      <c r="E111" s="145" t="s">
        <v>1313</v>
      </c>
      <c r="F111" s="145" t="s">
        <v>945</v>
      </c>
      <c r="G111" s="145" t="s">
        <v>204</v>
      </c>
      <c r="H111" s="145" t="s">
        <v>204</v>
      </c>
      <c r="I111" s="145" t="s">
        <v>340</v>
      </c>
      <c r="J111" s="145" t="s">
        <v>1223</v>
      </c>
      <c r="K111" s="145" t="s">
        <v>312</v>
      </c>
      <c r="L111" s="145" t="s">
        <v>1210</v>
      </c>
      <c r="M111" s="146">
        <v>1.98</v>
      </c>
      <c r="N111" s="145" t="s">
        <v>1314</v>
      </c>
      <c r="O111" s="148">
        <v>0.02</v>
      </c>
      <c r="P111" s="148">
        <v>4.224E-2</v>
      </c>
      <c r="Q111" s="159"/>
      <c r="R111" s="146">
        <v>12297</v>
      </c>
      <c r="S111" s="146">
        <v>1</v>
      </c>
      <c r="T111" s="146">
        <v>95.83</v>
      </c>
      <c r="U111" s="146">
        <v>11.784000000000001</v>
      </c>
      <c r="V111" s="159"/>
      <c r="W111" s="159"/>
      <c r="X111" s="148">
        <v>0</v>
      </c>
      <c r="Y111" s="148">
        <v>1.9599999999999999E-3</v>
      </c>
      <c r="Z111" s="149">
        <v>1.1299999999999999E-3</v>
      </c>
      <c r="AA111" s="199"/>
    </row>
    <row r="112" spans="1:27" x14ac:dyDescent="0.2">
      <c r="A112" s="144" t="s">
        <v>1217</v>
      </c>
      <c r="B112" s="145" t="s">
        <v>1219</v>
      </c>
      <c r="C112" s="145" t="s">
        <v>1285</v>
      </c>
      <c r="D112" s="145" t="s">
        <v>1290</v>
      </c>
      <c r="E112" s="145" t="s">
        <v>1291</v>
      </c>
      <c r="F112" s="145" t="s">
        <v>947</v>
      </c>
      <c r="G112" s="145" t="s">
        <v>205</v>
      </c>
      <c r="H112" s="145" t="s">
        <v>224</v>
      </c>
      <c r="I112" s="145" t="s">
        <v>344</v>
      </c>
      <c r="J112" s="145" t="s">
        <v>1292</v>
      </c>
      <c r="K112" s="145" t="s">
        <v>423</v>
      </c>
      <c r="L112" s="145" t="s">
        <v>1211</v>
      </c>
      <c r="M112" s="146">
        <v>7.0380000000000003</v>
      </c>
      <c r="N112" s="145" t="s">
        <v>1293</v>
      </c>
      <c r="O112" s="148">
        <v>3.875E-2</v>
      </c>
      <c r="P112" s="148">
        <v>4.1529999999999997E-2</v>
      </c>
      <c r="Q112" s="159"/>
      <c r="R112" s="146">
        <v>29900</v>
      </c>
      <c r="S112" s="146">
        <v>3.718</v>
      </c>
      <c r="T112" s="146">
        <v>98.542000000000002</v>
      </c>
      <c r="U112" s="146">
        <v>109.547</v>
      </c>
      <c r="V112" s="159"/>
      <c r="W112" s="159"/>
      <c r="X112" s="148">
        <v>0</v>
      </c>
      <c r="Y112" s="148">
        <v>1.8180000000000002E-2</v>
      </c>
      <c r="Z112" s="149">
        <v>1.048E-2</v>
      </c>
      <c r="AA112" s="199"/>
    </row>
    <row r="113" spans="1:27" x14ac:dyDescent="0.2">
      <c r="A113" s="144" t="s">
        <v>1217</v>
      </c>
      <c r="B113" s="145" t="s">
        <v>1219</v>
      </c>
      <c r="C113" s="145" t="s">
        <v>1285</v>
      </c>
      <c r="D113" s="145" t="s">
        <v>1297</v>
      </c>
      <c r="E113" s="145" t="s">
        <v>1298</v>
      </c>
      <c r="F113" s="145" t="s">
        <v>947</v>
      </c>
      <c r="G113" s="145" t="s">
        <v>205</v>
      </c>
      <c r="H113" s="145" t="s">
        <v>224</v>
      </c>
      <c r="I113" s="145" t="s">
        <v>344</v>
      </c>
      <c r="J113" s="145" t="s">
        <v>1288</v>
      </c>
      <c r="K113" s="145" t="s">
        <v>423</v>
      </c>
      <c r="L113" s="145" t="s">
        <v>1211</v>
      </c>
      <c r="M113" s="146">
        <v>7.3570000000000002</v>
      </c>
      <c r="N113" s="145" t="s">
        <v>1299</v>
      </c>
      <c r="O113" s="148">
        <v>0.04</v>
      </c>
      <c r="P113" s="148">
        <v>4.1779999999999998E-2</v>
      </c>
      <c r="Q113" s="159"/>
      <c r="R113" s="146">
        <v>6500</v>
      </c>
      <c r="S113" s="146">
        <v>3.718</v>
      </c>
      <c r="T113" s="146">
        <v>99.198999999999998</v>
      </c>
      <c r="U113" s="146">
        <v>23.972999999999999</v>
      </c>
      <c r="V113" s="159"/>
      <c r="W113" s="159"/>
      <c r="X113" s="148">
        <v>0</v>
      </c>
      <c r="Y113" s="148">
        <v>3.98E-3</v>
      </c>
      <c r="Z113" s="149">
        <v>2.2899999999999999E-3</v>
      </c>
      <c r="AA113" s="199"/>
    </row>
    <row r="114" spans="1:27" x14ac:dyDescent="0.2">
      <c r="A114" s="144" t="s">
        <v>1217</v>
      </c>
      <c r="B114" s="145" t="s">
        <v>1217</v>
      </c>
      <c r="C114" s="145" t="s">
        <v>1220</v>
      </c>
      <c r="D114" s="145" t="s">
        <v>1221</v>
      </c>
      <c r="E114" s="145" t="s">
        <v>1222</v>
      </c>
      <c r="F114" s="145" t="s">
        <v>945</v>
      </c>
      <c r="G114" s="145" t="s">
        <v>204</v>
      </c>
      <c r="H114" s="145" t="s">
        <v>204</v>
      </c>
      <c r="I114" s="145" t="s">
        <v>340</v>
      </c>
      <c r="J114" s="145" t="s">
        <v>1223</v>
      </c>
      <c r="K114" s="145" t="s">
        <v>312</v>
      </c>
      <c r="L114" s="145" t="s">
        <v>1210</v>
      </c>
      <c r="M114" s="146">
        <v>10.81</v>
      </c>
      <c r="N114" s="145" t="s">
        <v>1224</v>
      </c>
      <c r="O114" s="148">
        <v>1.504E-2</v>
      </c>
      <c r="P114" s="148">
        <v>4.614E-2</v>
      </c>
      <c r="Q114" s="159"/>
      <c r="R114" s="146">
        <v>704957353</v>
      </c>
      <c r="S114" s="146">
        <v>1</v>
      </c>
      <c r="T114" s="146">
        <v>72.72</v>
      </c>
      <c r="U114" s="146">
        <v>512644.98700000002</v>
      </c>
      <c r="V114" s="159"/>
      <c r="W114" s="159"/>
      <c r="X114" s="148">
        <v>2.1579999999999998E-2</v>
      </c>
      <c r="Y114" s="148">
        <v>0.14033999999999999</v>
      </c>
      <c r="Z114" s="149">
        <v>2.1090000000000001E-2</v>
      </c>
      <c r="AA114" s="199"/>
    </row>
    <row r="115" spans="1:27" x14ac:dyDescent="0.2">
      <c r="A115" s="144" t="s">
        <v>1217</v>
      </c>
      <c r="B115" s="145" t="s">
        <v>1217</v>
      </c>
      <c r="C115" s="145" t="s">
        <v>1220</v>
      </c>
      <c r="D115" s="145" t="s">
        <v>1228</v>
      </c>
      <c r="E115" s="145" t="s">
        <v>1229</v>
      </c>
      <c r="F115" s="145" t="s">
        <v>943</v>
      </c>
      <c r="G115" s="145" t="s">
        <v>204</v>
      </c>
      <c r="H115" s="145" t="s">
        <v>204</v>
      </c>
      <c r="I115" s="145" t="s">
        <v>340</v>
      </c>
      <c r="J115" s="145" t="s">
        <v>1223</v>
      </c>
      <c r="K115" s="145" t="s">
        <v>312</v>
      </c>
      <c r="L115" s="145" t="s">
        <v>1210</v>
      </c>
      <c r="M115" s="146">
        <v>6.65</v>
      </c>
      <c r="N115" s="145" t="s">
        <v>1230</v>
      </c>
      <c r="O115" s="148">
        <v>1E-3</v>
      </c>
      <c r="P115" s="148">
        <v>2.0310000000000002E-2</v>
      </c>
      <c r="Q115" s="159"/>
      <c r="R115" s="146">
        <v>303016795</v>
      </c>
      <c r="S115" s="146">
        <v>1</v>
      </c>
      <c r="T115" s="146">
        <v>101.91</v>
      </c>
      <c r="U115" s="146">
        <v>308804.41600000003</v>
      </c>
      <c r="V115" s="159"/>
      <c r="W115" s="159"/>
      <c r="X115" s="148">
        <v>9.8700000000000003E-3</v>
      </c>
      <c r="Y115" s="148">
        <v>8.4540000000000004E-2</v>
      </c>
      <c r="Z115" s="149">
        <v>1.2699999999999999E-2</v>
      </c>
      <c r="AA115" s="199"/>
    </row>
    <row r="116" spans="1:27" x14ac:dyDescent="0.2">
      <c r="A116" s="144" t="s">
        <v>1217</v>
      </c>
      <c r="B116" s="145" t="s">
        <v>1217</v>
      </c>
      <c r="C116" s="145" t="s">
        <v>1220</v>
      </c>
      <c r="D116" s="145" t="s">
        <v>1225</v>
      </c>
      <c r="E116" s="145" t="s">
        <v>1226</v>
      </c>
      <c r="F116" s="145" t="s">
        <v>945</v>
      </c>
      <c r="G116" s="145" t="s">
        <v>204</v>
      </c>
      <c r="H116" s="145" t="s">
        <v>204</v>
      </c>
      <c r="I116" s="145" t="s">
        <v>340</v>
      </c>
      <c r="J116" s="145" t="s">
        <v>1223</v>
      </c>
      <c r="K116" s="145" t="s">
        <v>312</v>
      </c>
      <c r="L116" s="145" t="s">
        <v>1210</v>
      </c>
      <c r="M116" s="146">
        <v>6.68</v>
      </c>
      <c r="N116" s="145" t="s">
        <v>1227</v>
      </c>
      <c r="O116" s="148">
        <v>1.2999999999999999E-2</v>
      </c>
      <c r="P116" s="148">
        <v>4.3790000000000003E-2</v>
      </c>
      <c r="Q116" s="159"/>
      <c r="R116" s="146">
        <v>310999073</v>
      </c>
      <c r="S116" s="146">
        <v>1</v>
      </c>
      <c r="T116" s="146">
        <v>82.78</v>
      </c>
      <c r="U116" s="146">
        <v>257445.033</v>
      </c>
      <c r="V116" s="159"/>
      <c r="W116" s="159"/>
      <c r="X116" s="148">
        <v>8.9899999999999997E-3</v>
      </c>
      <c r="Y116" s="148">
        <v>7.0480000000000001E-2</v>
      </c>
      <c r="Z116" s="149">
        <v>1.059E-2</v>
      </c>
      <c r="AA116" s="199"/>
    </row>
    <row r="117" spans="1:27" x14ac:dyDescent="0.2">
      <c r="A117" s="144" t="s">
        <v>1217</v>
      </c>
      <c r="B117" s="145" t="s">
        <v>1217</v>
      </c>
      <c r="C117" s="145" t="s">
        <v>1241</v>
      </c>
      <c r="D117" s="145" t="s">
        <v>1300</v>
      </c>
      <c r="E117" s="145" t="s">
        <v>1301</v>
      </c>
      <c r="F117" s="145" t="s">
        <v>945</v>
      </c>
      <c r="G117" s="145" t="s">
        <v>204</v>
      </c>
      <c r="H117" s="145" t="s">
        <v>204</v>
      </c>
      <c r="I117" s="145" t="s">
        <v>340</v>
      </c>
      <c r="J117" s="145" t="s">
        <v>1223</v>
      </c>
      <c r="K117" s="145" t="s">
        <v>312</v>
      </c>
      <c r="L117" s="145" t="s">
        <v>1210</v>
      </c>
      <c r="M117" s="146">
        <v>0.67</v>
      </c>
      <c r="N117" s="145" t="s">
        <v>1302</v>
      </c>
      <c r="O117" s="145" t="s">
        <v>1234</v>
      </c>
      <c r="P117" s="148">
        <v>4.24E-2</v>
      </c>
      <c r="Q117" s="159"/>
      <c r="R117" s="146">
        <v>246863769</v>
      </c>
      <c r="S117" s="146">
        <v>1</v>
      </c>
      <c r="T117" s="146">
        <v>97.24</v>
      </c>
      <c r="U117" s="146">
        <v>240050.329</v>
      </c>
      <c r="V117" s="159"/>
      <c r="W117" s="159"/>
      <c r="X117" s="148">
        <v>1.763E-2</v>
      </c>
      <c r="Y117" s="148">
        <v>6.5710000000000005E-2</v>
      </c>
      <c r="Z117" s="149">
        <v>9.8799999999999999E-3</v>
      </c>
      <c r="AA117" s="199"/>
    </row>
    <row r="118" spans="1:27" x14ac:dyDescent="0.2">
      <c r="A118" s="144" t="s">
        <v>1217</v>
      </c>
      <c r="B118" s="145" t="s">
        <v>1217</v>
      </c>
      <c r="C118" s="145" t="s">
        <v>1220</v>
      </c>
      <c r="D118" s="145" t="s">
        <v>1303</v>
      </c>
      <c r="E118" s="145" t="s">
        <v>1304</v>
      </c>
      <c r="F118" s="145" t="s">
        <v>945</v>
      </c>
      <c r="G118" s="145" t="s">
        <v>204</v>
      </c>
      <c r="H118" s="145" t="s">
        <v>204</v>
      </c>
      <c r="I118" s="145" t="s">
        <v>340</v>
      </c>
      <c r="J118" s="145" t="s">
        <v>1223</v>
      </c>
      <c r="K118" s="145" t="s">
        <v>312</v>
      </c>
      <c r="L118" s="145" t="s">
        <v>1210</v>
      </c>
      <c r="M118" s="146">
        <v>0.35</v>
      </c>
      <c r="N118" s="145" t="s">
        <v>1305</v>
      </c>
      <c r="O118" s="145" t="s">
        <v>1234</v>
      </c>
      <c r="P118" s="148">
        <v>4.2869999999999998E-2</v>
      </c>
      <c r="Q118" s="159"/>
      <c r="R118" s="146">
        <v>220000000</v>
      </c>
      <c r="S118" s="146">
        <v>1</v>
      </c>
      <c r="T118" s="146">
        <v>98.55</v>
      </c>
      <c r="U118" s="146">
        <v>216810</v>
      </c>
      <c r="V118" s="159"/>
      <c r="W118" s="159"/>
      <c r="X118" s="148">
        <v>1.8329999999999999E-2</v>
      </c>
      <c r="Y118" s="148">
        <v>5.935E-2</v>
      </c>
      <c r="Z118" s="149">
        <v>8.9200000000000008E-3</v>
      </c>
      <c r="AA118" s="199"/>
    </row>
    <row r="119" spans="1:27" x14ac:dyDescent="0.2">
      <c r="A119" s="144" t="s">
        <v>1217</v>
      </c>
      <c r="B119" s="145" t="s">
        <v>1217</v>
      </c>
      <c r="C119" s="145" t="s">
        <v>1220</v>
      </c>
      <c r="D119" s="145" t="s">
        <v>1238</v>
      </c>
      <c r="E119" s="145" t="s">
        <v>1239</v>
      </c>
      <c r="F119" s="145" t="s">
        <v>945</v>
      </c>
      <c r="G119" s="145" t="s">
        <v>204</v>
      </c>
      <c r="H119" s="145" t="s">
        <v>204</v>
      </c>
      <c r="I119" s="145" t="s">
        <v>340</v>
      </c>
      <c r="J119" s="145" t="s">
        <v>1223</v>
      </c>
      <c r="K119" s="145" t="s">
        <v>312</v>
      </c>
      <c r="L119" s="145" t="s">
        <v>1210</v>
      </c>
      <c r="M119" s="146">
        <v>11.55</v>
      </c>
      <c r="N119" s="145" t="s">
        <v>1240</v>
      </c>
      <c r="O119" s="148">
        <v>5.5149999999999998E-2</v>
      </c>
      <c r="P119" s="148">
        <v>4.7300000000000002E-2</v>
      </c>
      <c r="Q119" s="159"/>
      <c r="R119" s="146">
        <v>186371022</v>
      </c>
      <c r="S119" s="146">
        <v>1</v>
      </c>
      <c r="T119" s="146">
        <v>109.69</v>
      </c>
      <c r="U119" s="146">
        <v>204430.37400000001</v>
      </c>
      <c r="V119" s="159"/>
      <c r="W119" s="159"/>
      <c r="X119" s="148">
        <v>6.8700000000000002E-3</v>
      </c>
      <c r="Y119" s="148">
        <v>5.5960000000000003E-2</v>
      </c>
      <c r="Z119" s="149">
        <v>8.4100000000000008E-3</v>
      </c>
      <c r="AA119" s="199"/>
    </row>
    <row r="120" spans="1:27" x14ac:dyDescent="0.2">
      <c r="A120" s="144" t="s">
        <v>1217</v>
      </c>
      <c r="B120" s="145" t="s">
        <v>1217</v>
      </c>
      <c r="C120" s="145" t="s">
        <v>1260</v>
      </c>
      <c r="D120" s="145" t="s">
        <v>1261</v>
      </c>
      <c r="E120" s="145" t="s">
        <v>1262</v>
      </c>
      <c r="F120" s="145" t="s">
        <v>945</v>
      </c>
      <c r="G120" s="145" t="s">
        <v>204</v>
      </c>
      <c r="H120" s="145" t="s">
        <v>204</v>
      </c>
      <c r="I120" s="145" t="s">
        <v>340</v>
      </c>
      <c r="J120" s="145" t="s">
        <v>1223</v>
      </c>
      <c r="K120" s="145" t="s">
        <v>312</v>
      </c>
      <c r="L120" s="145" t="s">
        <v>1210</v>
      </c>
      <c r="M120" s="146">
        <v>4.8899999999999997</v>
      </c>
      <c r="N120" s="145" t="s">
        <v>1263</v>
      </c>
      <c r="O120" s="148">
        <v>0.01</v>
      </c>
      <c r="P120" s="148">
        <v>4.2880000000000001E-2</v>
      </c>
      <c r="Q120" s="159"/>
      <c r="R120" s="146">
        <v>232737317</v>
      </c>
      <c r="S120" s="146">
        <v>1</v>
      </c>
      <c r="T120" s="146">
        <v>85.48</v>
      </c>
      <c r="U120" s="146">
        <v>198943.859</v>
      </c>
      <c r="V120" s="159"/>
      <c r="W120" s="159"/>
      <c r="X120" s="148">
        <v>6.1599999999999997E-3</v>
      </c>
      <c r="Y120" s="148">
        <v>5.4460000000000001E-2</v>
      </c>
      <c r="Z120" s="149">
        <v>8.1799999999999998E-3</v>
      </c>
      <c r="AA120" s="199"/>
    </row>
    <row r="121" spans="1:27" x14ac:dyDescent="0.2">
      <c r="A121" s="144" t="s">
        <v>1217</v>
      </c>
      <c r="B121" s="145" t="s">
        <v>1217</v>
      </c>
      <c r="C121" s="145" t="s">
        <v>1220</v>
      </c>
      <c r="D121" s="145" t="s">
        <v>1235</v>
      </c>
      <c r="E121" s="145" t="s">
        <v>1236</v>
      </c>
      <c r="F121" s="145" t="s">
        <v>943</v>
      </c>
      <c r="G121" s="145" t="s">
        <v>204</v>
      </c>
      <c r="H121" s="145" t="s">
        <v>204</v>
      </c>
      <c r="I121" s="145" t="s">
        <v>340</v>
      </c>
      <c r="J121" s="145" t="s">
        <v>1223</v>
      </c>
      <c r="K121" s="145" t="s">
        <v>312</v>
      </c>
      <c r="L121" s="145" t="s">
        <v>1210</v>
      </c>
      <c r="M121" s="146">
        <v>0.57999999999999996</v>
      </c>
      <c r="N121" s="145" t="s">
        <v>1237</v>
      </c>
      <c r="O121" s="148">
        <v>7.5199999999999998E-3</v>
      </c>
      <c r="P121" s="148">
        <v>1.2359999999999999E-2</v>
      </c>
      <c r="Q121" s="159"/>
      <c r="R121" s="146">
        <v>170628024</v>
      </c>
      <c r="S121" s="146">
        <v>1</v>
      </c>
      <c r="T121" s="146">
        <v>116.16</v>
      </c>
      <c r="U121" s="146">
        <v>198201.51300000001</v>
      </c>
      <c r="V121" s="159"/>
      <c r="W121" s="159"/>
      <c r="X121" s="148">
        <v>7.8600000000000007E-3</v>
      </c>
      <c r="Y121" s="148">
        <v>5.4260000000000003E-2</v>
      </c>
      <c r="Z121" s="149">
        <v>8.1499999999999993E-3</v>
      </c>
      <c r="AA121" s="199"/>
    </row>
    <row r="122" spans="1:27" x14ac:dyDescent="0.2">
      <c r="A122" s="144" t="s">
        <v>1217</v>
      </c>
      <c r="B122" s="145" t="s">
        <v>1217</v>
      </c>
      <c r="C122" s="145" t="s">
        <v>1220</v>
      </c>
      <c r="D122" s="145" t="s">
        <v>1257</v>
      </c>
      <c r="E122" s="145" t="s">
        <v>1258</v>
      </c>
      <c r="F122" s="145" t="s">
        <v>943</v>
      </c>
      <c r="G122" s="145" t="s">
        <v>204</v>
      </c>
      <c r="H122" s="145" t="s">
        <v>204</v>
      </c>
      <c r="I122" s="145" t="s">
        <v>340</v>
      </c>
      <c r="J122" s="145" t="s">
        <v>1223</v>
      </c>
      <c r="K122" s="145" t="s">
        <v>312</v>
      </c>
      <c r="L122" s="145" t="s">
        <v>1210</v>
      </c>
      <c r="M122" s="146">
        <v>1.33</v>
      </c>
      <c r="N122" s="145" t="s">
        <v>1259</v>
      </c>
      <c r="O122" s="148">
        <v>1E-3</v>
      </c>
      <c r="P122" s="148">
        <v>1.9599999999999999E-2</v>
      </c>
      <c r="Q122" s="159"/>
      <c r="R122" s="146">
        <v>166294008</v>
      </c>
      <c r="S122" s="146">
        <v>1</v>
      </c>
      <c r="T122" s="146">
        <v>112.95</v>
      </c>
      <c r="U122" s="146">
        <v>187829.08199999999</v>
      </c>
      <c r="V122" s="159"/>
      <c r="W122" s="159"/>
      <c r="X122" s="148">
        <v>8.2299999999999995E-3</v>
      </c>
      <c r="Y122" s="148">
        <v>5.142E-2</v>
      </c>
      <c r="Z122" s="149">
        <v>7.7299999999999999E-3</v>
      </c>
      <c r="AA122" s="199"/>
    </row>
    <row r="123" spans="1:27" x14ac:dyDescent="0.2">
      <c r="A123" s="144" t="s">
        <v>1217</v>
      </c>
      <c r="B123" s="145" t="s">
        <v>1217</v>
      </c>
      <c r="C123" s="145" t="s">
        <v>1220</v>
      </c>
      <c r="D123" s="145" t="s">
        <v>1251</v>
      </c>
      <c r="E123" s="145" t="s">
        <v>1252</v>
      </c>
      <c r="F123" s="145" t="s">
        <v>945</v>
      </c>
      <c r="G123" s="145" t="s">
        <v>204</v>
      </c>
      <c r="H123" s="145" t="s">
        <v>204</v>
      </c>
      <c r="I123" s="145" t="s">
        <v>340</v>
      </c>
      <c r="J123" s="145" t="s">
        <v>1223</v>
      </c>
      <c r="K123" s="145" t="s">
        <v>312</v>
      </c>
      <c r="L123" s="145" t="s">
        <v>1210</v>
      </c>
      <c r="M123" s="146">
        <v>14.74</v>
      </c>
      <c r="N123" s="145" t="s">
        <v>1253</v>
      </c>
      <c r="O123" s="148">
        <v>3.7499999999999999E-2</v>
      </c>
      <c r="P123" s="148">
        <v>4.8599999999999997E-2</v>
      </c>
      <c r="Q123" s="159"/>
      <c r="R123" s="146">
        <v>208722219</v>
      </c>
      <c r="S123" s="146">
        <v>1</v>
      </c>
      <c r="T123" s="146">
        <v>85.21</v>
      </c>
      <c r="U123" s="146">
        <v>177852.20300000001</v>
      </c>
      <c r="V123" s="159"/>
      <c r="W123" s="159"/>
      <c r="X123" s="148">
        <v>7.9500000000000005E-3</v>
      </c>
      <c r="Y123" s="148">
        <v>4.8689999999999997E-2</v>
      </c>
      <c r="Z123" s="149">
        <v>7.3200000000000001E-3</v>
      </c>
      <c r="AA123" s="199"/>
    </row>
    <row r="124" spans="1:27" x14ac:dyDescent="0.2">
      <c r="A124" s="144" t="s">
        <v>1217</v>
      </c>
      <c r="B124" s="145" t="s">
        <v>1217</v>
      </c>
      <c r="C124" s="145" t="s">
        <v>1220</v>
      </c>
      <c r="D124" s="145" t="s">
        <v>1273</v>
      </c>
      <c r="E124" s="145" t="s">
        <v>1274</v>
      </c>
      <c r="F124" s="145" t="s">
        <v>943</v>
      </c>
      <c r="G124" s="145" t="s">
        <v>204</v>
      </c>
      <c r="H124" s="145" t="s">
        <v>204</v>
      </c>
      <c r="I124" s="145" t="s">
        <v>340</v>
      </c>
      <c r="J124" s="145" t="s">
        <v>1223</v>
      </c>
      <c r="K124" s="145" t="s">
        <v>312</v>
      </c>
      <c r="L124" s="145" t="s">
        <v>1210</v>
      </c>
      <c r="M124" s="146">
        <v>3.52</v>
      </c>
      <c r="N124" s="145" t="s">
        <v>1275</v>
      </c>
      <c r="O124" s="148">
        <v>1.103E-2</v>
      </c>
      <c r="P124" s="148">
        <v>1.9820000000000001E-2</v>
      </c>
      <c r="Q124" s="159"/>
      <c r="R124" s="146">
        <v>128030234</v>
      </c>
      <c r="S124" s="146">
        <v>1</v>
      </c>
      <c r="T124" s="146">
        <v>101.93</v>
      </c>
      <c r="U124" s="146">
        <v>130501.21799999999</v>
      </c>
      <c r="V124" s="159"/>
      <c r="W124" s="159"/>
      <c r="X124" s="148">
        <v>4.3200000000000001E-3</v>
      </c>
      <c r="Y124" s="148">
        <v>3.5729999999999998E-2</v>
      </c>
      <c r="Z124" s="149">
        <v>5.3699999999999998E-3</v>
      </c>
      <c r="AA124" s="199"/>
    </row>
    <row r="125" spans="1:27" x14ac:dyDescent="0.2">
      <c r="A125" s="144" t="s">
        <v>1217</v>
      </c>
      <c r="B125" s="145" t="s">
        <v>1217</v>
      </c>
      <c r="C125" s="145" t="s">
        <v>1220</v>
      </c>
      <c r="D125" s="145" t="s">
        <v>1248</v>
      </c>
      <c r="E125" s="145" t="s">
        <v>1249</v>
      </c>
      <c r="F125" s="145" t="s">
        <v>945</v>
      </c>
      <c r="G125" s="145" t="s">
        <v>204</v>
      </c>
      <c r="H125" s="145" t="s">
        <v>204</v>
      </c>
      <c r="I125" s="145" t="s">
        <v>340</v>
      </c>
      <c r="J125" s="145" t="s">
        <v>1223</v>
      </c>
      <c r="K125" s="145" t="s">
        <v>312</v>
      </c>
      <c r="L125" s="145" t="s">
        <v>1210</v>
      </c>
      <c r="M125" s="146">
        <v>8.4</v>
      </c>
      <c r="N125" s="145" t="s">
        <v>1250</v>
      </c>
      <c r="O125" s="148">
        <v>0.04</v>
      </c>
      <c r="P125" s="148">
        <v>4.4850000000000001E-2</v>
      </c>
      <c r="Q125" s="159"/>
      <c r="R125" s="146">
        <v>126416453</v>
      </c>
      <c r="S125" s="146">
        <v>1</v>
      </c>
      <c r="T125" s="146">
        <v>96.17</v>
      </c>
      <c r="U125" s="146">
        <v>121574.70299999999</v>
      </c>
      <c r="V125" s="159"/>
      <c r="W125" s="159"/>
      <c r="X125" s="148">
        <v>4.2700000000000004E-3</v>
      </c>
      <c r="Y125" s="148">
        <v>3.3279999999999997E-2</v>
      </c>
      <c r="Z125" s="149">
        <v>5.0000000000000001E-3</v>
      </c>
      <c r="AA125" s="199"/>
    </row>
    <row r="126" spans="1:27" x14ac:dyDescent="0.2">
      <c r="A126" s="144" t="s">
        <v>1217</v>
      </c>
      <c r="B126" s="145" t="s">
        <v>1217</v>
      </c>
      <c r="C126" s="145" t="s">
        <v>1220</v>
      </c>
      <c r="D126" s="145" t="s">
        <v>1315</v>
      </c>
      <c r="E126" s="145" t="s">
        <v>1316</v>
      </c>
      <c r="F126" s="145" t="s">
        <v>945</v>
      </c>
      <c r="G126" s="145" t="s">
        <v>204</v>
      </c>
      <c r="H126" s="145" t="s">
        <v>204</v>
      </c>
      <c r="I126" s="145" t="s">
        <v>340</v>
      </c>
      <c r="J126" s="145" t="s">
        <v>1223</v>
      </c>
      <c r="K126" s="145" t="s">
        <v>312</v>
      </c>
      <c r="L126" s="145" t="s">
        <v>1210</v>
      </c>
      <c r="M126" s="146">
        <v>0.25</v>
      </c>
      <c r="N126" s="145" t="s">
        <v>1317</v>
      </c>
      <c r="O126" s="145" t="s">
        <v>1234</v>
      </c>
      <c r="P126" s="148">
        <v>4.2759999999999999E-2</v>
      </c>
      <c r="Q126" s="159"/>
      <c r="R126" s="146">
        <v>107853940</v>
      </c>
      <c r="S126" s="146">
        <v>1</v>
      </c>
      <c r="T126" s="146">
        <v>98.95</v>
      </c>
      <c r="U126" s="146">
        <v>106721.474</v>
      </c>
      <c r="V126" s="159"/>
      <c r="W126" s="159"/>
      <c r="X126" s="148">
        <v>8.9899999999999997E-3</v>
      </c>
      <c r="Y126" s="148">
        <v>2.9219999999999999E-2</v>
      </c>
      <c r="Z126" s="149">
        <v>4.3899999999999998E-3</v>
      </c>
      <c r="AA126" s="199"/>
    </row>
    <row r="127" spans="1:27" x14ac:dyDescent="0.2">
      <c r="A127" s="144" t="s">
        <v>1217</v>
      </c>
      <c r="B127" s="145" t="s">
        <v>1217</v>
      </c>
      <c r="C127" s="145" t="s">
        <v>1260</v>
      </c>
      <c r="D127" s="145" t="s">
        <v>1267</v>
      </c>
      <c r="E127" s="145" t="s">
        <v>1268</v>
      </c>
      <c r="F127" s="145" t="s">
        <v>945</v>
      </c>
      <c r="G127" s="145" t="s">
        <v>204</v>
      </c>
      <c r="H127" s="145" t="s">
        <v>204</v>
      </c>
      <c r="I127" s="145" t="s">
        <v>340</v>
      </c>
      <c r="J127" s="145" t="s">
        <v>1223</v>
      </c>
      <c r="K127" s="145" t="s">
        <v>312</v>
      </c>
      <c r="L127" s="145" t="s">
        <v>1210</v>
      </c>
      <c r="M127" s="146">
        <v>4.03</v>
      </c>
      <c r="N127" s="145" t="s">
        <v>1269</v>
      </c>
      <c r="O127" s="148">
        <v>4.5999999999999999E-2</v>
      </c>
      <c r="P127" s="148">
        <v>4.267E-2</v>
      </c>
      <c r="Q127" s="159"/>
      <c r="R127" s="146">
        <v>102373349</v>
      </c>
      <c r="S127" s="146">
        <v>1</v>
      </c>
      <c r="T127" s="146">
        <v>103.16</v>
      </c>
      <c r="U127" s="146">
        <v>105608.34699999999</v>
      </c>
      <c r="V127" s="159"/>
      <c r="W127" s="159"/>
      <c r="X127" s="148">
        <v>9.5899999999999996E-3</v>
      </c>
      <c r="Y127" s="148">
        <v>2.8910000000000002E-2</v>
      </c>
      <c r="Z127" s="149">
        <v>4.3400000000000001E-3</v>
      </c>
      <c r="AA127" s="199"/>
    </row>
    <row r="128" spans="1:27" x14ac:dyDescent="0.2">
      <c r="A128" s="144" t="s">
        <v>1217</v>
      </c>
      <c r="B128" s="145" t="s">
        <v>1217</v>
      </c>
      <c r="C128" s="145" t="s">
        <v>1220</v>
      </c>
      <c r="D128" s="145" t="s">
        <v>1264</v>
      </c>
      <c r="E128" s="145" t="s">
        <v>1265</v>
      </c>
      <c r="F128" s="145" t="s">
        <v>943</v>
      </c>
      <c r="G128" s="145" t="s">
        <v>204</v>
      </c>
      <c r="H128" s="145" t="s">
        <v>204</v>
      </c>
      <c r="I128" s="145" t="s">
        <v>340</v>
      </c>
      <c r="J128" s="145" t="s">
        <v>1223</v>
      </c>
      <c r="K128" s="145" t="s">
        <v>312</v>
      </c>
      <c r="L128" s="145" t="s">
        <v>1210</v>
      </c>
      <c r="M128" s="146">
        <v>4.12</v>
      </c>
      <c r="N128" s="145" t="s">
        <v>1266</v>
      </c>
      <c r="O128" s="148">
        <v>5.0000000000000001E-3</v>
      </c>
      <c r="P128" s="148">
        <v>1.9689999999999999E-2</v>
      </c>
      <c r="Q128" s="159"/>
      <c r="R128" s="146">
        <v>74017512</v>
      </c>
      <c r="S128" s="146">
        <v>1</v>
      </c>
      <c r="T128" s="146">
        <v>109.42</v>
      </c>
      <c r="U128" s="146">
        <v>80989.962</v>
      </c>
      <c r="V128" s="159"/>
      <c r="W128" s="159"/>
      <c r="X128" s="148">
        <v>2.6900000000000001E-3</v>
      </c>
      <c r="Y128" s="148">
        <v>2.2169999999999999E-2</v>
      </c>
      <c r="Z128" s="149">
        <v>3.3300000000000001E-3</v>
      </c>
      <c r="AA128" s="199"/>
    </row>
    <row r="129" spans="1:27" x14ac:dyDescent="0.2">
      <c r="A129" s="144" t="s">
        <v>1217</v>
      </c>
      <c r="B129" s="145" t="s">
        <v>1217</v>
      </c>
      <c r="C129" s="145" t="s">
        <v>1260</v>
      </c>
      <c r="D129" s="145" t="s">
        <v>1279</v>
      </c>
      <c r="E129" s="145" t="s">
        <v>1280</v>
      </c>
      <c r="F129" s="145" t="s">
        <v>945</v>
      </c>
      <c r="G129" s="145" t="s">
        <v>204</v>
      </c>
      <c r="H129" s="145" t="s">
        <v>204</v>
      </c>
      <c r="I129" s="145" t="s">
        <v>340</v>
      </c>
      <c r="J129" s="145" t="s">
        <v>1223</v>
      </c>
      <c r="K129" s="145" t="s">
        <v>312</v>
      </c>
      <c r="L129" s="145" t="s">
        <v>1210</v>
      </c>
      <c r="M129" s="146">
        <v>3.7</v>
      </c>
      <c r="N129" s="145" t="s">
        <v>1281</v>
      </c>
      <c r="O129" s="148">
        <v>3.7499999999999999E-2</v>
      </c>
      <c r="P129" s="148">
        <v>4.2680000000000003E-2</v>
      </c>
      <c r="Q129" s="159"/>
      <c r="R129" s="146">
        <v>81801134</v>
      </c>
      <c r="S129" s="146">
        <v>1</v>
      </c>
      <c r="T129" s="146">
        <v>98.49</v>
      </c>
      <c r="U129" s="146">
        <v>80565.937000000005</v>
      </c>
      <c r="V129" s="159"/>
      <c r="W129" s="159"/>
      <c r="X129" s="148">
        <v>2.31E-3</v>
      </c>
      <c r="Y129" s="148">
        <v>2.206E-2</v>
      </c>
      <c r="Z129" s="149">
        <v>3.31E-3</v>
      </c>
      <c r="AA129" s="199"/>
    </row>
    <row r="130" spans="1:27" x14ac:dyDescent="0.2">
      <c r="A130" s="144" t="s">
        <v>1217</v>
      </c>
      <c r="B130" s="145" t="s">
        <v>1217</v>
      </c>
      <c r="C130" s="145" t="s">
        <v>1220</v>
      </c>
      <c r="D130" s="145" t="s">
        <v>1254</v>
      </c>
      <c r="E130" s="145" t="s">
        <v>1255</v>
      </c>
      <c r="F130" s="145" t="s">
        <v>945</v>
      </c>
      <c r="G130" s="145" t="s">
        <v>204</v>
      </c>
      <c r="H130" s="145" t="s">
        <v>204</v>
      </c>
      <c r="I130" s="145" t="s">
        <v>340</v>
      </c>
      <c r="J130" s="145" t="s">
        <v>1223</v>
      </c>
      <c r="K130" s="145" t="s">
        <v>312</v>
      </c>
      <c r="L130" s="145" t="s">
        <v>1210</v>
      </c>
      <c r="M130" s="146">
        <v>0.1</v>
      </c>
      <c r="N130" s="145" t="s">
        <v>1256</v>
      </c>
      <c r="O130" s="145" t="s">
        <v>1234</v>
      </c>
      <c r="P130" s="148">
        <v>4.2529999999999998E-2</v>
      </c>
      <c r="Q130" s="159"/>
      <c r="R130" s="146">
        <v>59486867</v>
      </c>
      <c r="S130" s="146">
        <v>1</v>
      </c>
      <c r="T130" s="146">
        <v>99.59</v>
      </c>
      <c r="U130" s="146">
        <v>59242.970999999998</v>
      </c>
      <c r="V130" s="159"/>
      <c r="W130" s="159"/>
      <c r="X130" s="148">
        <v>1.6100000000000001E-3</v>
      </c>
      <c r="Y130" s="148">
        <v>1.6219999999999998E-2</v>
      </c>
      <c r="Z130" s="149">
        <v>2.4399999999999999E-3</v>
      </c>
      <c r="AA130" s="199"/>
    </row>
    <row r="131" spans="1:27" x14ac:dyDescent="0.2">
      <c r="A131" s="144" t="s">
        <v>1217</v>
      </c>
      <c r="B131" s="145" t="s">
        <v>1217</v>
      </c>
      <c r="C131" s="145" t="s">
        <v>1220</v>
      </c>
      <c r="D131" s="145" t="s">
        <v>1270</v>
      </c>
      <c r="E131" s="145" t="s">
        <v>1271</v>
      </c>
      <c r="F131" s="145" t="s">
        <v>943</v>
      </c>
      <c r="G131" s="145" t="s">
        <v>204</v>
      </c>
      <c r="H131" s="145" t="s">
        <v>204</v>
      </c>
      <c r="I131" s="145" t="s">
        <v>340</v>
      </c>
      <c r="J131" s="145" t="s">
        <v>1223</v>
      </c>
      <c r="K131" s="145" t="s">
        <v>312</v>
      </c>
      <c r="L131" s="145" t="s">
        <v>1210</v>
      </c>
      <c r="M131" s="146">
        <v>2.14</v>
      </c>
      <c r="N131" s="145" t="s">
        <v>1272</v>
      </c>
      <c r="O131" s="148">
        <v>7.4999999999999997E-3</v>
      </c>
      <c r="P131" s="148">
        <v>1.9449999999999999E-2</v>
      </c>
      <c r="Q131" s="159"/>
      <c r="R131" s="146">
        <v>50042702</v>
      </c>
      <c r="S131" s="146">
        <v>1</v>
      </c>
      <c r="T131" s="146">
        <v>114.63</v>
      </c>
      <c r="U131" s="146">
        <v>57363.949000000001</v>
      </c>
      <c r="V131" s="159"/>
      <c r="W131" s="159"/>
      <c r="X131" s="148">
        <v>2.0500000000000002E-3</v>
      </c>
      <c r="Y131" s="148">
        <v>1.5699999999999999E-2</v>
      </c>
      <c r="Z131" s="149">
        <v>2.3600000000000001E-3</v>
      </c>
      <c r="AA131" s="199"/>
    </row>
    <row r="132" spans="1:27" x14ac:dyDescent="0.2">
      <c r="A132" s="144" t="s">
        <v>1217</v>
      </c>
      <c r="B132" s="145" t="s">
        <v>1217</v>
      </c>
      <c r="C132" s="145" t="s">
        <v>1220</v>
      </c>
      <c r="D132" s="145" t="s">
        <v>1245</v>
      </c>
      <c r="E132" s="145" t="s">
        <v>1246</v>
      </c>
      <c r="F132" s="145" t="s">
        <v>945</v>
      </c>
      <c r="G132" s="145" t="s">
        <v>204</v>
      </c>
      <c r="H132" s="145" t="s">
        <v>204</v>
      </c>
      <c r="I132" s="145" t="s">
        <v>340</v>
      </c>
      <c r="J132" s="145" t="s">
        <v>1223</v>
      </c>
      <c r="K132" s="145" t="s">
        <v>314</v>
      </c>
      <c r="L132" s="145" t="s">
        <v>1210</v>
      </c>
      <c r="M132" s="146">
        <v>0.18</v>
      </c>
      <c r="N132" s="145" t="s">
        <v>1247</v>
      </c>
      <c r="O132" s="145" t="s">
        <v>1234</v>
      </c>
      <c r="P132" s="148">
        <v>4.3249999999999997E-2</v>
      </c>
      <c r="Q132" s="159"/>
      <c r="R132" s="146">
        <v>41950000</v>
      </c>
      <c r="S132" s="146">
        <v>1</v>
      </c>
      <c r="T132" s="146">
        <v>99.26</v>
      </c>
      <c r="U132" s="146">
        <v>41639.57</v>
      </c>
      <c r="V132" s="159"/>
      <c r="W132" s="159"/>
      <c r="X132" s="148">
        <v>1.4E-3</v>
      </c>
      <c r="Y132" s="148">
        <v>1.14E-2</v>
      </c>
      <c r="Z132" s="149">
        <v>1.7099999999999999E-3</v>
      </c>
      <c r="AA132" s="199"/>
    </row>
    <row r="133" spans="1:27" x14ac:dyDescent="0.2">
      <c r="A133" s="144" t="s">
        <v>1217</v>
      </c>
      <c r="B133" s="145" t="s">
        <v>1217</v>
      </c>
      <c r="C133" s="145" t="s">
        <v>1220</v>
      </c>
      <c r="D133" s="145" t="s">
        <v>1282</v>
      </c>
      <c r="E133" s="145" t="s">
        <v>1283</v>
      </c>
      <c r="F133" s="145" t="s">
        <v>945</v>
      </c>
      <c r="G133" s="145" t="s">
        <v>204</v>
      </c>
      <c r="H133" s="145" t="s">
        <v>204</v>
      </c>
      <c r="I133" s="145" t="s">
        <v>340</v>
      </c>
      <c r="J133" s="145" t="s">
        <v>1223</v>
      </c>
      <c r="K133" s="145" t="s">
        <v>312</v>
      </c>
      <c r="L133" s="145" t="s">
        <v>1210</v>
      </c>
      <c r="M133" s="146">
        <v>17.43</v>
      </c>
      <c r="N133" s="145" t="s">
        <v>1284</v>
      </c>
      <c r="O133" s="148">
        <v>2.8080000000000001E-2</v>
      </c>
      <c r="P133" s="148">
        <v>4.9450000000000001E-2</v>
      </c>
      <c r="Q133" s="159"/>
      <c r="R133" s="146">
        <v>41390548</v>
      </c>
      <c r="S133" s="146">
        <v>1</v>
      </c>
      <c r="T133" s="146">
        <v>68.95</v>
      </c>
      <c r="U133" s="146">
        <v>28538.782999999999</v>
      </c>
      <c r="V133" s="159"/>
      <c r="W133" s="159"/>
      <c r="X133" s="148">
        <v>1.7899999999999999E-3</v>
      </c>
      <c r="Y133" s="148">
        <v>7.8100000000000001E-3</v>
      </c>
      <c r="Z133" s="149">
        <v>1.17E-3</v>
      </c>
      <c r="AA133" s="199"/>
    </row>
    <row r="134" spans="1:27" x14ac:dyDescent="0.2">
      <c r="A134" s="144" t="s">
        <v>1217</v>
      </c>
      <c r="B134" s="145" t="s">
        <v>1217</v>
      </c>
      <c r="C134" s="145" t="s">
        <v>1220</v>
      </c>
      <c r="D134" s="145" t="s">
        <v>1312</v>
      </c>
      <c r="E134" s="145" t="s">
        <v>1313</v>
      </c>
      <c r="F134" s="145" t="s">
        <v>945</v>
      </c>
      <c r="G134" s="145" t="s">
        <v>204</v>
      </c>
      <c r="H134" s="145" t="s">
        <v>204</v>
      </c>
      <c r="I134" s="145" t="s">
        <v>340</v>
      </c>
      <c r="J134" s="145" t="s">
        <v>1223</v>
      </c>
      <c r="K134" s="145" t="s">
        <v>312</v>
      </c>
      <c r="L134" s="145" t="s">
        <v>1210</v>
      </c>
      <c r="M134" s="146">
        <v>1.98</v>
      </c>
      <c r="N134" s="145" t="s">
        <v>1314</v>
      </c>
      <c r="O134" s="148">
        <v>0.02</v>
      </c>
      <c r="P134" s="148">
        <v>4.224E-2</v>
      </c>
      <c r="Q134" s="159"/>
      <c r="R134" s="146">
        <v>24448028</v>
      </c>
      <c r="S134" s="146">
        <v>1</v>
      </c>
      <c r="T134" s="146">
        <v>95.83</v>
      </c>
      <c r="U134" s="146">
        <v>23428.544999999998</v>
      </c>
      <c r="V134" s="159"/>
      <c r="W134" s="159"/>
      <c r="X134" s="148">
        <v>8.7000000000000001E-4</v>
      </c>
      <c r="Y134" s="148">
        <v>6.4099999999999999E-3</v>
      </c>
      <c r="Z134" s="149">
        <v>9.6000000000000002E-4</v>
      </c>
      <c r="AA134" s="199"/>
    </row>
    <row r="135" spans="1:27" x14ac:dyDescent="0.2">
      <c r="A135" s="144" t="s">
        <v>1217</v>
      </c>
      <c r="B135" s="145" t="s">
        <v>1217</v>
      </c>
      <c r="C135" s="145" t="s">
        <v>1220</v>
      </c>
      <c r="D135" s="145" t="s">
        <v>1276</v>
      </c>
      <c r="E135" s="145" t="s">
        <v>1277</v>
      </c>
      <c r="F135" s="145" t="s">
        <v>943</v>
      </c>
      <c r="G135" s="145" t="s">
        <v>204</v>
      </c>
      <c r="H135" s="145" t="s">
        <v>204</v>
      </c>
      <c r="I135" s="145" t="s">
        <v>340</v>
      </c>
      <c r="J135" s="145" t="s">
        <v>1223</v>
      </c>
      <c r="K135" s="145" t="s">
        <v>312</v>
      </c>
      <c r="L135" s="145" t="s">
        <v>1210</v>
      </c>
      <c r="M135" s="146">
        <v>9.15</v>
      </c>
      <c r="N135" s="145" t="s">
        <v>1278</v>
      </c>
      <c r="O135" s="148">
        <v>4.011E-2</v>
      </c>
      <c r="P135" s="148">
        <v>2.12E-2</v>
      </c>
      <c r="Q135" s="159"/>
      <c r="R135" s="146">
        <v>12231606</v>
      </c>
      <c r="S135" s="146">
        <v>1</v>
      </c>
      <c r="T135" s="146">
        <v>167.49</v>
      </c>
      <c r="U135" s="146">
        <v>20486.717000000001</v>
      </c>
      <c r="V135" s="159"/>
      <c r="W135" s="159"/>
      <c r="X135" s="148">
        <v>7.6999999999999996E-4</v>
      </c>
      <c r="Y135" s="148">
        <v>5.6100000000000004E-3</v>
      </c>
      <c r="Z135" s="149">
        <v>8.4000000000000003E-4</v>
      </c>
      <c r="AA135" s="199"/>
    </row>
    <row r="136" spans="1:27" x14ac:dyDescent="0.2">
      <c r="A136" s="144" t="s">
        <v>1217</v>
      </c>
      <c r="B136" s="145" t="s">
        <v>1217</v>
      </c>
      <c r="C136" s="145" t="s">
        <v>1220</v>
      </c>
      <c r="D136" s="145" t="s">
        <v>1306</v>
      </c>
      <c r="E136" s="145" t="s">
        <v>1307</v>
      </c>
      <c r="F136" s="145" t="s">
        <v>945</v>
      </c>
      <c r="G136" s="145" t="s">
        <v>204</v>
      </c>
      <c r="H136" s="145" t="s">
        <v>204</v>
      </c>
      <c r="I136" s="145" t="s">
        <v>340</v>
      </c>
      <c r="J136" s="145" t="s">
        <v>1223</v>
      </c>
      <c r="K136" s="145" t="s">
        <v>312</v>
      </c>
      <c r="L136" s="145" t="s">
        <v>1210</v>
      </c>
      <c r="M136" s="146">
        <v>3.36</v>
      </c>
      <c r="N136" s="145" t="s">
        <v>1308</v>
      </c>
      <c r="O136" s="148">
        <v>2.2499999999999999E-2</v>
      </c>
      <c r="P136" s="148">
        <v>4.2610000000000002E-2</v>
      </c>
      <c r="Q136" s="159"/>
      <c r="R136" s="146">
        <v>702597</v>
      </c>
      <c r="S136" s="146">
        <v>1</v>
      </c>
      <c r="T136" s="146">
        <v>94.71</v>
      </c>
      <c r="U136" s="146">
        <v>665.43</v>
      </c>
      <c r="V136" s="159"/>
      <c r="W136" s="159"/>
      <c r="X136" s="148">
        <v>2.0000000000000002E-5</v>
      </c>
      <c r="Y136" s="148">
        <v>1.8000000000000001E-4</v>
      </c>
      <c r="Z136" s="149">
        <v>3.0000000000000001E-5</v>
      </c>
      <c r="AA136" s="199"/>
    </row>
    <row r="137" spans="1:27" x14ac:dyDescent="0.2">
      <c r="A137" s="144" t="s">
        <v>1217</v>
      </c>
      <c r="B137" s="145" t="s">
        <v>1217</v>
      </c>
      <c r="C137" s="145" t="s">
        <v>1285</v>
      </c>
      <c r="D137" s="145" t="s">
        <v>1294</v>
      </c>
      <c r="E137" s="145" t="s">
        <v>1295</v>
      </c>
      <c r="F137" s="145" t="s">
        <v>947</v>
      </c>
      <c r="G137" s="145" t="s">
        <v>205</v>
      </c>
      <c r="H137" s="145" t="s">
        <v>224</v>
      </c>
      <c r="I137" s="145" t="s">
        <v>344</v>
      </c>
      <c r="J137" s="145" t="s">
        <v>1288</v>
      </c>
      <c r="K137" s="145" t="s">
        <v>423</v>
      </c>
      <c r="L137" s="145" t="s">
        <v>1211</v>
      </c>
      <c r="M137" s="146">
        <v>7.7279999999999998</v>
      </c>
      <c r="N137" s="145" t="s">
        <v>1296</v>
      </c>
      <c r="O137" s="148">
        <v>3.875E-2</v>
      </c>
      <c r="P137" s="148">
        <v>4.1980000000000003E-2</v>
      </c>
      <c r="Q137" s="159"/>
      <c r="R137" s="146">
        <v>33861000</v>
      </c>
      <c r="S137" s="146">
        <v>3.718</v>
      </c>
      <c r="T137" s="146">
        <v>97.992999999999995</v>
      </c>
      <c r="U137" s="146">
        <v>123368.93399999999</v>
      </c>
      <c r="V137" s="159"/>
      <c r="W137" s="159"/>
      <c r="X137" s="148">
        <v>2.5999999999999998E-4</v>
      </c>
      <c r="Y137" s="148">
        <v>3.3770000000000001E-2</v>
      </c>
      <c r="Z137" s="149">
        <v>5.0800000000000003E-3</v>
      </c>
      <c r="AA137" s="199"/>
    </row>
    <row r="138" spans="1:27" x14ac:dyDescent="0.2">
      <c r="A138" s="144" t="s">
        <v>1217</v>
      </c>
      <c r="B138" s="145" t="s">
        <v>1217</v>
      </c>
      <c r="C138" s="145" t="s">
        <v>1285</v>
      </c>
      <c r="D138" s="145" t="s">
        <v>1290</v>
      </c>
      <c r="E138" s="145" t="s">
        <v>1291</v>
      </c>
      <c r="F138" s="145" t="s">
        <v>947</v>
      </c>
      <c r="G138" s="145" t="s">
        <v>205</v>
      </c>
      <c r="H138" s="145" t="s">
        <v>224</v>
      </c>
      <c r="I138" s="145" t="s">
        <v>344</v>
      </c>
      <c r="J138" s="145" t="s">
        <v>1292</v>
      </c>
      <c r="K138" s="145" t="s">
        <v>423</v>
      </c>
      <c r="L138" s="145" t="s">
        <v>1211</v>
      </c>
      <c r="M138" s="146">
        <v>7.0380000000000003</v>
      </c>
      <c r="N138" s="145" t="s">
        <v>1293</v>
      </c>
      <c r="O138" s="148">
        <v>3.875E-2</v>
      </c>
      <c r="P138" s="148">
        <v>4.1529999999999997E-2</v>
      </c>
      <c r="Q138" s="159"/>
      <c r="R138" s="146">
        <v>22133100</v>
      </c>
      <c r="S138" s="146">
        <v>3.718</v>
      </c>
      <c r="T138" s="146">
        <v>98.542000000000002</v>
      </c>
      <c r="U138" s="146">
        <v>81091.072</v>
      </c>
      <c r="V138" s="159"/>
      <c r="W138" s="159"/>
      <c r="X138" s="148">
        <v>1.8000000000000001E-4</v>
      </c>
      <c r="Y138" s="148">
        <v>2.2200000000000001E-2</v>
      </c>
      <c r="Z138" s="149">
        <v>3.3400000000000001E-3</v>
      </c>
      <c r="AA138" s="199"/>
    </row>
    <row r="139" spans="1:27" x14ac:dyDescent="0.2">
      <c r="A139" s="144" t="s">
        <v>1217</v>
      </c>
      <c r="B139" s="145" t="s">
        <v>1217</v>
      </c>
      <c r="C139" s="145" t="s">
        <v>1285</v>
      </c>
      <c r="D139" s="145" t="s">
        <v>1286</v>
      </c>
      <c r="E139" s="145" t="s">
        <v>1287</v>
      </c>
      <c r="F139" s="145" t="s">
        <v>947</v>
      </c>
      <c r="G139" s="145" t="s">
        <v>205</v>
      </c>
      <c r="H139" s="145" t="s">
        <v>224</v>
      </c>
      <c r="I139" s="145" t="s">
        <v>344</v>
      </c>
      <c r="J139" s="145" t="s">
        <v>1288</v>
      </c>
      <c r="K139" s="145" t="s">
        <v>423</v>
      </c>
      <c r="L139" s="145" t="s">
        <v>1211</v>
      </c>
      <c r="M139" s="146">
        <v>7.7130000000000001</v>
      </c>
      <c r="N139" s="145" t="s">
        <v>1289</v>
      </c>
      <c r="O139" s="148">
        <v>4.2500000000000003E-2</v>
      </c>
      <c r="P139" s="148">
        <v>4.206E-2</v>
      </c>
      <c r="Q139" s="159"/>
      <c r="R139" s="146">
        <v>13691000</v>
      </c>
      <c r="S139" s="146">
        <v>3.718</v>
      </c>
      <c r="T139" s="146">
        <v>101.961</v>
      </c>
      <c r="U139" s="146">
        <v>51901.17</v>
      </c>
      <c r="V139" s="159"/>
      <c r="W139" s="159"/>
      <c r="X139" s="148">
        <v>1.4999999999999999E-4</v>
      </c>
      <c r="Y139" s="148">
        <v>1.421E-2</v>
      </c>
      <c r="Z139" s="149">
        <v>2.14E-3</v>
      </c>
      <c r="AA139" s="199"/>
    </row>
    <row r="140" spans="1:27" x14ac:dyDescent="0.2">
      <c r="A140" s="152" t="s">
        <v>1217</v>
      </c>
      <c r="B140" s="153" t="s">
        <v>1217</v>
      </c>
      <c r="C140" s="153" t="s">
        <v>1285</v>
      </c>
      <c r="D140" s="153" t="s">
        <v>1297</v>
      </c>
      <c r="E140" s="153" t="s">
        <v>1298</v>
      </c>
      <c r="F140" s="153" t="s">
        <v>947</v>
      </c>
      <c r="G140" s="153" t="s">
        <v>205</v>
      </c>
      <c r="H140" s="153" t="s">
        <v>224</v>
      </c>
      <c r="I140" s="153" t="s">
        <v>344</v>
      </c>
      <c r="J140" s="153" t="s">
        <v>1288</v>
      </c>
      <c r="K140" s="153" t="s">
        <v>423</v>
      </c>
      <c r="L140" s="153" t="s">
        <v>1211</v>
      </c>
      <c r="M140" s="154">
        <v>7.3570000000000002</v>
      </c>
      <c r="N140" s="153" t="s">
        <v>1299</v>
      </c>
      <c r="O140" s="156">
        <v>0.04</v>
      </c>
      <c r="P140" s="156">
        <v>4.1779999999999998E-2</v>
      </c>
      <c r="Q140" s="160"/>
      <c r="R140" s="154">
        <v>9818000</v>
      </c>
      <c r="S140" s="154">
        <v>3.718</v>
      </c>
      <c r="T140" s="154">
        <v>99.198999999999998</v>
      </c>
      <c r="U140" s="154">
        <v>36210.79</v>
      </c>
      <c r="V140" s="160"/>
      <c r="W140" s="160"/>
      <c r="X140" s="156">
        <v>8.0000000000000007E-5</v>
      </c>
      <c r="Y140" s="156">
        <v>9.9100000000000004E-3</v>
      </c>
      <c r="Z140" s="157">
        <v>1.49E-3</v>
      </c>
      <c r="AA140" s="199"/>
    </row>
    <row r="141" spans="1:27" x14ac:dyDescent="0.2">
      <c r="A141" s="199" t="s">
        <v>3461</v>
      </c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spans="1:27" x14ac:dyDescent="0.2">
      <c r="A142" s="4" t="s">
        <v>3460</v>
      </c>
    </row>
    <row r="143" spans="1:27" x14ac:dyDescent="0.2">
      <c r="A143" s="200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41:Z141"/>
    <mergeCell ref="AA2:AA140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3467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199" t="s">
        <v>3462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199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199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199"/>
    </row>
    <row r="6" spans="1:37" x14ac:dyDescent="0.2">
      <c r="A6" s="144" t="s">
        <v>1217</v>
      </c>
      <c r="B6" s="145" t="s">
        <v>1218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199"/>
    </row>
    <row r="7" spans="1:37" x14ac:dyDescent="0.2">
      <c r="A7" s="144" t="s">
        <v>1217</v>
      </c>
      <c r="B7" s="145" t="s">
        <v>1219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199"/>
    </row>
    <row r="8" spans="1:37" x14ac:dyDescent="0.2">
      <c r="A8" s="152" t="s">
        <v>1217</v>
      </c>
      <c r="B8" s="153" t="s">
        <v>1217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199"/>
    </row>
    <row r="9" spans="1:37" x14ac:dyDescent="0.2">
      <c r="A9" s="199" t="s">
        <v>3461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</row>
    <row r="10" spans="1:37" x14ac:dyDescent="0.2">
      <c r="A10" s="4" t="s">
        <v>3460</v>
      </c>
    </row>
    <row r="11" spans="1:37" x14ac:dyDescent="0.2">
      <c r="A11" s="2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09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3468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196" t="s">
        <v>3462</v>
      </c>
    </row>
    <row r="3" spans="1:37" x14ac:dyDescent="0.2">
      <c r="A3" s="144" t="s">
        <v>1205</v>
      </c>
      <c r="B3" s="145" t="s">
        <v>1206</v>
      </c>
      <c r="C3" s="145" t="s">
        <v>1318</v>
      </c>
      <c r="D3" s="145" t="s">
        <v>1319</v>
      </c>
      <c r="E3" s="145" t="s">
        <v>313</v>
      </c>
      <c r="F3" s="145" t="s">
        <v>1320</v>
      </c>
      <c r="G3" s="145" t="s">
        <v>1321</v>
      </c>
      <c r="H3" s="145" t="s">
        <v>321</v>
      </c>
      <c r="I3" s="145" t="s">
        <v>754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440</v>
      </c>
      <c r="O3" s="145" t="s">
        <v>339</v>
      </c>
      <c r="P3" s="145" t="s">
        <v>1209</v>
      </c>
      <c r="Q3" s="145" t="s">
        <v>415</v>
      </c>
      <c r="R3" s="145" t="s">
        <v>407</v>
      </c>
      <c r="S3" s="145" t="s">
        <v>1210</v>
      </c>
      <c r="T3" s="146">
        <v>10.119999999999999</v>
      </c>
      <c r="U3" s="145" t="s">
        <v>1322</v>
      </c>
      <c r="V3" s="148">
        <v>3.2000000000000001E-2</v>
      </c>
      <c r="W3" s="148">
        <v>3.1019999999999999E-2</v>
      </c>
      <c r="X3" s="145" t="s">
        <v>412</v>
      </c>
      <c r="Y3" s="158"/>
      <c r="Z3" s="146">
        <v>111000</v>
      </c>
      <c r="AA3" s="146">
        <v>1</v>
      </c>
      <c r="AB3" s="146">
        <v>107.1</v>
      </c>
      <c r="AC3" s="161"/>
      <c r="AD3" s="146">
        <v>118.881</v>
      </c>
      <c r="AE3" s="161"/>
      <c r="AF3" s="161"/>
      <c r="AG3" s="158"/>
      <c r="AH3" s="148">
        <v>2.0000000000000002E-5</v>
      </c>
      <c r="AI3" s="148">
        <v>6.0040000000000003E-2</v>
      </c>
      <c r="AJ3" s="149">
        <v>3.7399999999999998E-3</v>
      </c>
      <c r="AK3" s="196"/>
    </row>
    <row r="4" spans="1:37" x14ac:dyDescent="0.2">
      <c r="A4" s="144" t="s">
        <v>1205</v>
      </c>
      <c r="B4" s="145" t="s">
        <v>1206</v>
      </c>
      <c r="C4" s="145" t="s">
        <v>1318</v>
      </c>
      <c r="D4" s="145" t="s">
        <v>1319</v>
      </c>
      <c r="E4" s="145" t="s">
        <v>313</v>
      </c>
      <c r="F4" s="145" t="s">
        <v>1323</v>
      </c>
      <c r="G4" s="145" t="s">
        <v>1324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1209</v>
      </c>
      <c r="Q4" s="145" t="s">
        <v>415</v>
      </c>
      <c r="R4" s="145" t="s">
        <v>407</v>
      </c>
      <c r="S4" s="145" t="s">
        <v>1210</v>
      </c>
      <c r="T4" s="146">
        <v>7.27</v>
      </c>
      <c r="U4" s="145" t="s">
        <v>1325</v>
      </c>
      <c r="V4" s="148">
        <v>0.03</v>
      </c>
      <c r="W4" s="148">
        <v>2.9510000000000002E-2</v>
      </c>
      <c r="X4" s="145" t="s">
        <v>412</v>
      </c>
      <c r="Y4" s="158"/>
      <c r="Z4" s="146">
        <v>109000</v>
      </c>
      <c r="AA4" s="146">
        <v>1</v>
      </c>
      <c r="AB4" s="146">
        <v>106.29</v>
      </c>
      <c r="AC4" s="161"/>
      <c r="AD4" s="146">
        <v>115.85599999999999</v>
      </c>
      <c r="AE4" s="161"/>
      <c r="AF4" s="150"/>
      <c r="AG4" s="158"/>
      <c r="AH4" s="148">
        <v>3.0000000000000001E-5</v>
      </c>
      <c r="AI4" s="148">
        <v>5.8520000000000003E-2</v>
      </c>
      <c r="AJ4" s="149">
        <v>3.65E-3</v>
      </c>
      <c r="AK4" s="196"/>
    </row>
    <row r="5" spans="1:37" x14ac:dyDescent="0.2">
      <c r="A5" s="144" t="s">
        <v>1205</v>
      </c>
      <c r="B5" s="145" t="s">
        <v>1206</v>
      </c>
      <c r="C5" s="145" t="s">
        <v>1326</v>
      </c>
      <c r="D5" s="145" t="s">
        <v>1327</v>
      </c>
      <c r="E5" s="145" t="s">
        <v>309</v>
      </c>
      <c r="F5" s="145" t="s">
        <v>1328</v>
      </c>
      <c r="G5" s="145" t="s">
        <v>1329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1330</v>
      </c>
      <c r="Q5" s="145" t="s">
        <v>413</v>
      </c>
      <c r="R5" s="145" t="s">
        <v>407</v>
      </c>
      <c r="S5" s="145" t="s">
        <v>1210</v>
      </c>
      <c r="T5" s="146">
        <v>1.22</v>
      </c>
      <c r="U5" s="145" t="s">
        <v>1331</v>
      </c>
      <c r="V5" s="148">
        <v>3.8E-3</v>
      </c>
      <c r="W5" s="148">
        <v>2.3910000000000001E-2</v>
      </c>
      <c r="X5" s="145" t="s">
        <v>412</v>
      </c>
      <c r="Y5" s="158"/>
      <c r="Z5" s="146">
        <v>97447</v>
      </c>
      <c r="AA5" s="146">
        <v>1</v>
      </c>
      <c r="AB5" s="146">
        <v>111.45</v>
      </c>
      <c r="AC5" s="161"/>
      <c r="AD5" s="146">
        <v>108.605</v>
      </c>
      <c r="AE5" s="161"/>
      <c r="AF5" s="150"/>
      <c r="AG5" s="158"/>
      <c r="AH5" s="148">
        <v>3.0000000000000001E-5</v>
      </c>
      <c r="AI5" s="148">
        <v>5.4850000000000003E-2</v>
      </c>
      <c r="AJ5" s="149">
        <v>3.4199999999999999E-3</v>
      </c>
      <c r="AK5" s="196"/>
    </row>
    <row r="6" spans="1:37" x14ac:dyDescent="0.2">
      <c r="A6" s="144" t="s">
        <v>1205</v>
      </c>
      <c r="B6" s="145" t="s">
        <v>1206</v>
      </c>
      <c r="C6" s="145" t="s">
        <v>1326</v>
      </c>
      <c r="D6" s="145" t="s">
        <v>1327</v>
      </c>
      <c r="E6" s="145" t="s">
        <v>309</v>
      </c>
      <c r="F6" s="145" t="s">
        <v>1332</v>
      </c>
      <c r="G6" s="145" t="s">
        <v>1333</v>
      </c>
      <c r="H6" s="145" t="s">
        <v>321</v>
      </c>
      <c r="I6" s="145" t="s">
        <v>754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448</v>
      </c>
      <c r="O6" s="145" t="s">
        <v>339</v>
      </c>
      <c r="P6" s="145" t="s">
        <v>1330</v>
      </c>
      <c r="Q6" s="145" t="s">
        <v>413</v>
      </c>
      <c r="R6" s="145" t="s">
        <v>407</v>
      </c>
      <c r="S6" s="145" t="s">
        <v>1210</v>
      </c>
      <c r="T6" s="146">
        <v>5.22</v>
      </c>
      <c r="U6" s="145" t="s">
        <v>1334</v>
      </c>
      <c r="V6" s="148">
        <v>2E-3</v>
      </c>
      <c r="W6" s="148">
        <v>2.606E-2</v>
      </c>
      <c r="X6" s="145" t="s">
        <v>412</v>
      </c>
      <c r="Y6" s="158"/>
      <c r="Z6" s="146">
        <v>105239</v>
      </c>
      <c r="AA6" s="146">
        <v>1</v>
      </c>
      <c r="AB6" s="146">
        <v>102.35</v>
      </c>
      <c r="AC6" s="161"/>
      <c r="AD6" s="146">
        <v>107.712</v>
      </c>
      <c r="AE6" s="161"/>
      <c r="AF6" s="150"/>
      <c r="AG6" s="158"/>
      <c r="AH6" s="148">
        <v>3.0000000000000001E-5</v>
      </c>
      <c r="AI6" s="148">
        <v>5.4399999999999997E-2</v>
      </c>
      <c r="AJ6" s="149">
        <v>3.3899999999999998E-3</v>
      </c>
      <c r="AK6" s="196"/>
    </row>
    <row r="7" spans="1:37" x14ac:dyDescent="0.2">
      <c r="A7" s="144" t="s">
        <v>1205</v>
      </c>
      <c r="B7" s="145" t="s">
        <v>1206</v>
      </c>
      <c r="C7" s="145" t="s">
        <v>1335</v>
      </c>
      <c r="D7" s="145" t="s">
        <v>1336</v>
      </c>
      <c r="E7" s="145" t="s">
        <v>309</v>
      </c>
      <c r="F7" s="145" t="s">
        <v>1337</v>
      </c>
      <c r="G7" s="145" t="s">
        <v>1338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1330</v>
      </c>
      <c r="Q7" s="145" t="s">
        <v>413</v>
      </c>
      <c r="R7" s="145" t="s">
        <v>407</v>
      </c>
      <c r="S7" s="145" t="s">
        <v>1210</v>
      </c>
      <c r="T7" s="146">
        <v>4.6399999999999997</v>
      </c>
      <c r="U7" s="145" t="s">
        <v>1339</v>
      </c>
      <c r="V7" s="148">
        <v>1E-3</v>
      </c>
      <c r="W7" s="148">
        <v>2.571E-2</v>
      </c>
      <c r="X7" s="145" t="s">
        <v>412</v>
      </c>
      <c r="Y7" s="158"/>
      <c r="Z7" s="146">
        <v>85820</v>
      </c>
      <c r="AA7" s="146">
        <v>1</v>
      </c>
      <c r="AB7" s="146">
        <v>100.7</v>
      </c>
      <c r="AC7" s="161"/>
      <c r="AD7" s="146">
        <v>86.421000000000006</v>
      </c>
      <c r="AE7" s="150"/>
      <c r="AF7" s="150"/>
      <c r="AG7" s="150"/>
      <c r="AH7" s="148">
        <v>3.0000000000000001E-5</v>
      </c>
      <c r="AI7" s="148">
        <v>4.3650000000000001E-2</v>
      </c>
      <c r="AJ7" s="149">
        <v>2.7200000000000002E-3</v>
      </c>
      <c r="AK7" s="196"/>
    </row>
    <row r="8" spans="1:37" x14ac:dyDescent="0.2">
      <c r="A8" s="144" t="s">
        <v>1205</v>
      </c>
      <c r="B8" s="145" t="s">
        <v>1206</v>
      </c>
      <c r="C8" s="145" t="s">
        <v>1326</v>
      </c>
      <c r="D8" s="145" t="s">
        <v>1327</v>
      </c>
      <c r="E8" s="145" t="s">
        <v>309</v>
      </c>
      <c r="F8" s="145" t="s">
        <v>1340</v>
      </c>
      <c r="G8" s="145" t="s">
        <v>1341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1330</v>
      </c>
      <c r="Q8" s="145" t="s">
        <v>413</v>
      </c>
      <c r="R8" s="145" t="s">
        <v>407</v>
      </c>
      <c r="S8" s="145" t="s">
        <v>1210</v>
      </c>
      <c r="T8" s="146">
        <v>2.46</v>
      </c>
      <c r="U8" s="145" t="s">
        <v>1342</v>
      </c>
      <c r="V8" s="148">
        <v>1.2200000000000001E-2</v>
      </c>
      <c r="W8" s="148">
        <v>2.4389999999999998E-2</v>
      </c>
      <c r="X8" s="145" t="s">
        <v>412</v>
      </c>
      <c r="Y8" s="158"/>
      <c r="Z8" s="146">
        <v>67596</v>
      </c>
      <c r="AA8" s="146">
        <v>1</v>
      </c>
      <c r="AB8" s="146">
        <v>114.03</v>
      </c>
      <c r="AC8" s="161"/>
      <c r="AD8" s="146">
        <v>77.08</v>
      </c>
      <c r="AE8" s="150"/>
      <c r="AF8" s="150"/>
      <c r="AG8" s="150"/>
      <c r="AH8" s="148">
        <v>2.0000000000000002E-5</v>
      </c>
      <c r="AI8" s="148">
        <v>3.8929999999999999E-2</v>
      </c>
      <c r="AJ8" s="149">
        <v>2.4299999999999999E-3</v>
      </c>
      <c r="AK8" s="196"/>
    </row>
    <row r="9" spans="1:37" x14ac:dyDescent="0.2">
      <c r="A9" s="144" t="s">
        <v>1205</v>
      </c>
      <c r="B9" s="145" t="s">
        <v>1206</v>
      </c>
      <c r="C9" s="145" t="s">
        <v>1326</v>
      </c>
      <c r="D9" s="145" t="s">
        <v>1327</v>
      </c>
      <c r="E9" s="145" t="s">
        <v>309</v>
      </c>
      <c r="F9" s="145" t="s">
        <v>1343</v>
      </c>
      <c r="G9" s="145" t="s">
        <v>1344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1209</v>
      </c>
      <c r="Q9" s="145" t="s">
        <v>415</v>
      </c>
      <c r="R9" s="145" t="s">
        <v>407</v>
      </c>
      <c r="S9" s="145" t="s">
        <v>1210</v>
      </c>
      <c r="T9" s="146">
        <v>1.67</v>
      </c>
      <c r="U9" s="145" t="s">
        <v>1345</v>
      </c>
      <c r="V9" s="148">
        <v>5.0000000000000001E-3</v>
      </c>
      <c r="W9" s="148">
        <v>2.4320000000000001E-2</v>
      </c>
      <c r="X9" s="145" t="s">
        <v>412</v>
      </c>
      <c r="Y9" s="158"/>
      <c r="Z9" s="146">
        <v>61199</v>
      </c>
      <c r="AA9" s="146">
        <v>1</v>
      </c>
      <c r="AB9" s="146">
        <v>111.01</v>
      </c>
      <c r="AC9" s="161"/>
      <c r="AD9" s="146">
        <v>67.936999999999998</v>
      </c>
      <c r="AE9" s="161"/>
      <c r="AF9" s="150"/>
      <c r="AG9" s="158"/>
      <c r="AH9" s="148">
        <v>8.0000000000000007E-5</v>
      </c>
      <c r="AI9" s="148">
        <v>3.431E-2</v>
      </c>
      <c r="AJ9" s="149">
        <v>2.14E-3</v>
      </c>
      <c r="AK9" s="196"/>
    </row>
    <row r="10" spans="1:37" x14ac:dyDescent="0.2">
      <c r="A10" s="144" t="s">
        <v>1205</v>
      </c>
      <c r="B10" s="145" t="s">
        <v>1206</v>
      </c>
      <c r="C10" s="145" t="s">
        <v>1346</v>
      </c>
      <c r="D10" s="145" t="s">
        <v>1347</v>
      </c>
      <c r="E10" s="145" t="s">
        <v>309</v>
      </c>
      <c r="F10" s="145" t="s">
        <v>1348</v>
      </c>
      <c r="G10" s="145" t="s">
        <v>1349</v>
      </c>
      <c r="H10" s="145" t="s">
        <v>321</v>
      </c>
      <c r="I10" s="145" t="s">
        <v>951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445</v>
      </c>
      <c r="O10" s="145" t="s">
        <v>339</v>
      </c>
      <c r="P10" s="145" t="s">
        <v>1350</v>
      </c>
      <c r="Q10" s="145" t="s">
        <v>413</v>
      </c>
      <c r="R10" s="145" t="s">
        <v>407</v>
      </c>
      <c r="S10" s="145" t="s">
        <v>1210</v>
      </c>
      <c r="T10" s="146">
        <v>4.7</v>
      </c>
      <c r="U10" s="145" t="s">
        <v>1263</v>
      </c>
      <c r="V10" s="148">
        <v>2.64E-2</v>
      </c>
      <c r="W10" s="148">
        <v>5.0160000000000003E-2</v>
      </c>
      <c r="X10" s="145" t="s">
        <v>412</v>
      </c>
      <c r="Y10" s="158"/>
      <c r="Z10" s="146">
        <v>75266.25</v>
      </c>
      <c r="AA10" s="146">
        <v>1</v>
      </c>
      <c r="AB10" s="146">
        <v>89.86</v>
      </c>
      <c r="AC10" s="161"/>
      <c r="AD10" s="146">
        <v>67.634</v>
      </c>
      <c r="AE10" s="161"/>
      <c r="AF10" s="150"/>
      <c r="AG10" s="158"/>
      <c r="AH10" s="148">
        <v>5.0000000000000002E-5</v>
      </c>
      <c r="AI10" s="148">
        <v>3.4160000000000003E-2</v>
      </c>
      <c r="AJ10" s="149">
        <v>2.1299999999999999E-3</v>
      </c>
      <c r="AK10" s="196"/>
    </row>
    <row r="11" spans="1:37" x14ac:dyDescent="0.2">
      <c r="A11" s="144" t="s">
        <v>1205</v>
      </c>
      <c r="B11" s="145" t="s">
        <v>1206</v>
      </c>
      <c r="C11" s="145" t="s">
        <v>1326</v>
      </c>
      <c r="D11" s="145" t="s">
        <v>1327</v>
      </c>
      <c r="E11" s="145" t="s">
        <v>309</v>
      </c>
      <c r="F11" s="145" t="s">
        <v>1351</v>
      </c>
      <c r="G11" s="145" t="s">
        <v>1352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448</v>
      </c>
      <c r="O11" s="145" t="s">
        <v>339</v>
      </c>
      <c r="P11" s="145" t="s">
        <v>1330</v>
      </c>
      <c r="Q11" s="145" t="s">
        <v>413</v>
      </c>
      <c r="R11" s="145" t="s">
        <v>407</v>
      </c>
      <c r="S11" s="145" t="s">
        <v>1210</v>
      </c>
      <c r="T11" s="146">
        <v>0.19</v>
      </c>
      <c r="U11" s="145" t="s">
        <v>1353</v>
      </c>
      <c r="V11" s="148">
        <v>2.98E-2</v>
      </c>
      <c r="W11" s="148">
        <v>4.4909999999999999E-2</v>
      </c>
      <c r="X11" s="145" t="s">
        <v>412</v>
      </c>
      <c r="Y11" s="158"/>
      <c r="Z11" s="146">
        <v>63654</v>
      </c>
      <c r="AA11" s="146">
        <v>1</v>
      </c>
      <c r="AB11" s="146">
        <v>102.14</v>
      </c>
      <c r="AC11" s="161"/>
      <c r="AD11" s="146">
        <v>65.016000000000005</v>
      </c>
      <c r="AE11" s="161"/>
      <c r="AF11" s="150"/>
      <c r="AG11" s="158"/>
      <c r="AH11" s="148">
        <v>3.0000000000000001E-5</v>
      </c>
      <c r="AI11" s="148">
        <v>3.2840000000000001E-2</v>
      </c>
      <c r="AJ11" s="149">
        <v>2.0500000000000002E-3</v>
      </c>
      <c r="AK11" s="196"/>
    </row>
    <row r="12" spans="1:37" x14ac:dyDescent="0.2">
      <c r="A12" s="144" t="s">
        <v>1205</v>
      </c>
      <c r="B12" s="145" t="s">
        <v>1206</v>
      </c>
      <c r="C12" s="145" t="s">
        <v>1354</v>
      </c>
      <c r="D12" s="145" t="s">
        <v>1355</v>
      </c>
      <c r="E12" s="145" t="s">
        <v>309</v>
      </c>
      <c r="F12" s="145" t="s">
        <v>1356</v>
      </c>
      <c r="G12" s="145" t="s">
        <v>1357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445</v>
      </c>
      <c r="O12" s="145" t="s">
        <v>339</v>
      </c>
      <c r="P12" s="145" t="s">
        <v>1358</v>
      </c>
      <c r="Q12" s="145" t="s">
        <v>415</v>
      </c>
      <c r="R12" s="145" t="s">
        <v>407</v>
      </c>
      <c r="S12" s="145" t="s">
        <v>1210</v>
      </c>
      <c r="T12" s="146">
        <v>6.33</v>
      </c>
      <c r="U12" s="145" t="s">
        <v>1359</v>
      </c>
      <c r="V12" s="148">
        <v>5.0200000000000002E-2</v>
      </c>
      <c r="W12" s="148">
        <v>5.2510000000000001E-2</v>
      </c>
      <c r="X12" s="145" t="s">
        <v>412</v>
      </c>
      <c r="Y12" s="158"/>
      <c r="Z12" s="146">
        <v>60000</v>
      </c>
      <c r="AA12" s="146">
        <v>1</v>
      </c>
      <c r="AB12" s="146">
        <v>99.08</v>
      </c>
      <c r="AC12" s="161"/>
      <c r="AD12" s="146">
        <v>59.448</v>
      </c>
      <c r="AE12" s="161"/>
      <c r="AF12" s="150"/>
      <c r="AG12" s="158"/>
      <c r="AH12" s="148">
        <v>1.4999999999999999E-4</v>
      </c>
      <c r="AI12" s="148">
        <v>3.0030000000000001E-2</v>
      </c>
      <c r="AJ12" s="149">
        <v>1.8699999999999999E-3</v>
      </c>
      <c r="AK12" s="196"/>
    </row>
    <row r="13" spans="1:37" x14ac:dyDescent="0.2">
      <c r="A13" s="144" t="s">
        <v>1205</v>
      </c>
      <c r="B13" s="145" t="s">
        <v>1206</v>
      </c>
      <c r="C13" s="145" t="s">
        <v>1346</v>
      </c>
      <c r="D13" s="145" t="s">
        <v>1347</v>
      </c>
      <c r="E13" s="145" t="s">
        <v>309</v>
      </c>
      <c r="F13" s="145" t="s">
        <v>1360</v>
      </c>
      <c r="G13" s="145" t="s">
        <v>1361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445</v>
      </c>
      <c r="O13" s="145" t="s">
        <v>339</v>
      </c>
      <c r="P13" s="145" t="s">
        <v>1350</v>
      </c>
      <c r="Q13" s="145" t="s">
        <v>413</v>
      </c>
      <c r="R13" s="145" t="s">
        <v>407</v>
      </c>
      <c r="S13" s="145" t="s">
        <v>1210</v>
      </c>
      <c r="T13" s="146">
        <v>6.41</v>
      </c>
      <c r="U13" s="145" t="s">
        <v>1362</v>
      </c>
      <c r="V13" s="148">
        <v>2.5000000000000001E-2</v>
      </c>
      <c r="W13" s="148">
        <v>5.2859999999999997E-2</v>
      </c>
      <c r="X13" s="145" t="s">
        <v>412</v>
      </c>
      <c r="Y13" s="158"/>
      <c r="Z13" s="146">
        <v>70000</v>
      </c>
      <c r="AA13" s="146">
        <v>1</v>
      </c>
      <c r="AB13" s="146">
        <v>84.22</v>
      </c>
      <c r="AC13" s="161"/>
      <c r="AD13" s="146">
        <v>58.954000000000001</v>
      </c>
      <c r="AE13" s="161"/>
      <c r="AF13" s="150"/>
      <c r="AG13" s="158"/>
      <c r="AH13" s="148">
        <v>5.0000000000000002E-5</v>
      </c>
      <c r="AI13" s="148">
        <v>2.9780000000000001E-2</v>
      </c>
      <c r="AJ13" s="149">
        <v>1.8600000000000001E-3</v>
      </c>
      <c r="AK13" s="196"/>
    </row>
    <row r="14" spans="1:37" x14ac:dyDescent="0.2">
      <c r="A14" s="144" t="s">
        <v>1205</v>
      </c>
      <c r="B14" s="145" t="s">
        <v>1206</v>
      </c>
      <c r="C14" s="145" t="s">
        <v>1363</v>
      </c>
      <c r="D14" s="145" t="s">
        <v>1364</v>
      </c>
      <c r="E14" s="145" t="s">
        <v>309</v>
      </c>
      <c r="F14" s="145" t="s">
        <v>1365</v>
      </c>
      <c r="G14" s="145" t="s">
        <v>1366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448</v>
      </c>
      <c r="O14" s="145" t="s">
        <v>339</v>
      </c>
      <c r="P14" s="145" t="s">
        <v>1330</v>
      </c>
      <c r="Q14" s="145" t="s">
        <v>413</v>
      </c>
      <c r="R14" s="145" t="s">
        <v>407</v>
      </c>
      <c r="S14" s="145" t="s">
        <v>1210</v>
      </c>
      <c r="T14" s="146">
        <v>3.05</v>
      </c>
      <c r="U14" s="145" t="s">
        <v>1367</v>
      </c>
      <c r="V14" s="148">
        <v>1.7500000000000002E-2</v>
      </c>
      <c r="W14" s="148">
        <v>2.546E-2</v>
      </c>
      <c r="X14" s="145" t="s">
        <v>412</v>
      </c>
      <c r="Y14" s="158"/>
      <c r="Z14" s="146">
        <v>52023.41</v>
      </c>
      <c r="AA14" s="146">
        <v>1</v>
      </c>
      <c r="AB14" s="146">
        <v>112.78</v>
      </c>
      <c r="AC14" s="161"/>
      <c r="AD14" s="146">
        <v>58.671999999999997</v>
      </c>
      <c r="AE14" s="161"/>
      <c r="AF14" s="150"/>
      <c r="AG14" s="158"/>
      <c r="AH14" s="148">
        <v>2.0000000000000002E-5</v>
      </c>
      <c r="AI14" s="148">
        <v>2.963E-2</v>
      </c>
      <c r="AJ14" s="149">
        <v>1.8500000000000001E-3</v>
      </c>
      <c r="AK14" s="196"/>
    </row>
    <row r="15" spans="1:37" x14ac:dyDescent="0.2">
      <c r="A15" s="144" t="s">
        <v>1205</v>
      </c>
      <c r="B15" s="145" t="s">
        <v>1206</v>
      </c>
      <c r="C15" s="145" t="s">
        <v>1335</v>
      </c>
      <c r="D15" s="145" t="s">
        <v>1336</v>
      </c>
      <c r="E15" s="145" t="s">
        <v>309</v>
      </c>
      <c r="F15" s="145" t="s">
        <v>1368</v>
      </c>
      <c r="G15" s="145" t="s">
        <v>1369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448</v>
      </c>
      <c r="O15" s="145" t="s">
        <v>339</v>
      </c>
      <c r="P15" s="145" t="s">
        <v>1330</v>
      </c>
      <c r="Q15" s="145" t="s">
        <v>413</v>
      </c>
      <c r="R15" s="145" t="s">
        <v>407</v>
      </c>
      <c r="S15" s="145" t="s">
        <v>1210</v>
      </c>
      <c r="T15" s="146">
        <v>4.5999999999999996</v>
      </c>
      <c r="U15" s="145" t="s">
        <v>1370</v>
      </c>
      <c r="V15" s="148">
        <v>2.0199999999999999E-2</v>
      </c>
      <c r="W15" s="148">
        <v>2.5819999999999999E-2</v>
      </c>
      <c r="X15" s="145" t="s">
        <v>412</v>
      </c>
      <c r="Y15" s="158"/>
      <c r="Z15" s="146">
        <v>54000</v>
      </c>
      <c r="AA15" s="146">
        <v>1</v>
      </c>
      <c r="AB15" s="146">
        <v>101.85</v>
      </c>
      <c r="AC15" s="161"/>
      <c r="AD15" s="146">
        <v>54.999000000000002</v>
      </c>
      <c r="AE15" s="161"/>
      <c r="AF15" s="150"/>
      <c r="AG15" s="158"/>
      <c r="AH15" s="148">
        <v>2.0000000000000002E-5</v>
      </c>
      <c r="AI15" s="148">
        <v>2.7779999999999999E-2</v>
      </c>
      <c r="AJ15" s="149">
        <v>1.73E-3</v>
      </c>
      <c r="AK15" s="196"/>
    </row>
    <row r="16" spans="1:37" x14ac:dyDescent="0.2">
      <c r="A16" s="144" t="s">
        <v>1205</v>
      </c>
      <c r="B16" s="145" t="s">
        <v>1206</v>
      </c>
      <c r="C16" s="145" t="s">
        <v>1371</v>
      </c>
      <c r="D16" s="145" t="s">
        <v>1372</v>
      </c>
      <c r="E16" s="145" t="s">
        <v>309</v>
      </c>
      <c r="F16" s="145" t="s">
        <v>1373</v>
      </c>
      <c r="G16" s="145" t="s">
        <v>1374</v>
      </c>
      <c r="H16" s="145" t="s">
        <v>321</v>
      </c>
      <c r="I16" s="145" t="s">
        <v>951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484</v>
      </c>
      <c r="O16" s="145" t="s">
        <v>339</v>
      </c>
      <c r="P16" s="145" t="s">
        <v>1375</v>
      </c>
      <c r="Q16" s="145" t="s">
        <v>415</v>
      </c>
      <c r="R16" s="145" t="s">
        <v>407</v>
      </c>
      <c r="S16" s="145" t="s">
        <v>1210</v>
      </c>
      <c r="T16" s="146">
        <v>4.07</v>
      </c>
      <c r="U16" s="145" t="s">
        <v>1376</v>
      </c>
      <c r="V16" s="148">
        <v>5.5E-2</v>
      </c>
      <c r="W16" s="148">
        <v>5.1830000000000001E-2</v>
      </c>
      <c r="X16" s="145" t="s">
        <v>412</v>
      </c>
      <c r="Y16" s="158"/>
      <c r="Z16" s="146">
        <v>51412.5</v>
      </c>
      <c r="AA16" s="146">
        <v>1</v>
      </c>
      <c r="AB16" s="146">
        <v>104.5</v>
      </c>
      <c r="AC16" s="161"/>
      <c r="AD16" s="146">
        <v>53.725999999999999</v>
      </c>
      <c r="AE16" s="161"/>
      <c r="AF16" s="150"/>
      <c r="AG16" s="158"/>
      <c r="AH16" s="148">
        <v>5.0000000000000002E-5</v>
      </c>
      <c r="AI16" s="148">
        <v>2.7140000000000001E-2</v>
      </c>
      <c r="AJ16" s="149">
        <v>1.6900000000000001E-3</v>
      </c>
      <c r="AK16" s="196"/>
    </row>
    <row r="17" spans="1:37" x14ac:dyDescent="0.2">
      <c r="A17" s="144" t="s">
        <v>1205</v>
      </c>
      <c r="B17" s="145" t="s">
        <v>1206</v>
      </c>
      <c r="C17" s="145" t="s">
        <v>1318</v>
      </c>
      <c r="D17" s="145" t="s">
        <v>1319</v>
      </c>
      <c r="E17" s="145" t="s">
        <v>313</v>
      </c>
      <c r="F17" s="145" t="s">
        <v>1377</v>
      </c>
      <c r="G17" s="145" t="s">
        <v>1378</v>
      </c>
      <c r="H17" s="145" t="s">
        <v>321</v>
      </c>
      <c r="I17" s="145" t="s">
        <v>754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440</v>
      </c>
      <c r="O17" s="145" t="s">
        <v>339</v>
      </c>
      <c r="P17" s="145" t="s">
        <v>1209</v>
      </c>
      <c r="Q17" s="145" t="s">
        <v>415</v>
      </c>
      <c r="R17" s="145" t="s">
        <v>407</v>
      </c>
      <c r="S17" s="145" t="s">
        <v>1210</v>
      </c>
      <c r="T17" s="146">
        <v>5.37</v>
      </c>
      <c r="U17" s="145" t="s">
        <v>1379</v>
      </c>
      <c r="V17" s="148">
        <v>2.3900000000000001E-2</v>
      </c>
      <c r="W17" s="148">
        <v>2.7189999999999999E-2</v>
      </c>
      <c r="X17" s="145" t="s">
        <v>412</v>
      </c>
      <c r="Y17" s="158"/>
      <c r="Z17" s="146">
        <v>46000</v>
      </c>
      <c r="AA17" s="146">
        <v>1</v>
      </c>
      <c r="AB17" s="146">
        <v>113.4</v>
      </c>
      <c r="AC17" s="161"/>
      <c r="AD17" s="146">
        <v>52.164000000000001</v>
      </c>
      <c r="AE17" s="161"/>
      <c r="AF17" s="150"/>
      <c r="AG17" s="158"/>
      <c r="AH17" s="148">
        <v>1.0000000000000001E-5</v>
      </c>
      <c r="AI17" s="148">
        <v>2.6349999999999998E-2</v>
      </c>
      <c r="AJ17" s="149">
        <v>1.64E-3</v>
      </c>
      <c r="AK17" s="196"/>
    </row>
    <row r="18" spans="1:37" x14ac:dyDescent="0.2">
      <c r="A18" s="144" t="s">
        <v>1205</v>
      </c>
      <c r="B18" s="145" t="s">
        <v>1206</v>
      </c>
      <c r="C18" s="145" t="s">
        <v>1380</v>
      </c>
      <c r="D18" s="145" t="s">
        <v>1381</v>
      </c>
      <c r="E18" s="145" t="s">
        <v>309</v>
      </c>
      <c r="F18" s="145" t="s">
        <v>1382</v>
      </c>
      <c r="G18" s="145" t="s">
        <v>1383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465</v>
      </c>
      <c r="O18" s="145" t="s">
        <v>339</v>
      </c>
      <c r="P18" s="145" t="s">
        <v>1375</v>
      </c>
      <c r="Q18" s="145" t="s">
        <v>415</v>
      </c>
      <c r="R18" s="145" t="s">
        <v>407</v>
      </c>
      <c r="S18" s="145" t="s">
        <v>1210</v>
      </c>
      <c r="T18" s="146">
        <v>1.39</v>
      </c>
      <c r="U18" s="145" t="s">
        <v>1384</v>
      </c>
      <c r="V18" s="148">
        <v>0.04</v>
      </c>
      <c r="W18" s="148">
        <v>4.675E-2</v>
      </c>
      <c r="X18" s="145" t="s">
        <v>412</v>
      </c>
      <c r="Y18" s="158"/>
      <c r="Z18" s="146">
        <v>42857.25</v>
      </c>
      <c r="AA18" s="146">
        <v>1</v>
      </c>
      <c r="AB18" s="146">
        <v>115.5</v>
      </c>
      <c r="AC18" s="161"/>
      <c r="AD18" s="146">
        <v>49.5</v>
      </c>
      <c r="AE18" s="161"/>
      <c r="AF18" s="150"/>
      <c r="AG18" s="158"/>
      <c r="AH18" s="148">
        <v>2.0000000000000002E-5</v>
      </c>
      <c r="AI18" s="148">
        <v>2.5000000000000001E-2</v>
      </c>
      <c r="AJ18" s="149">
        <v>1.56E-3</v>
      </c>
      <c r="AK18" s="196"/>
    </row>
    <row r="19" spans="1:37" x14ac:dyDescent="0.2">
      <c r="A19" s="144" t="s">
        <v>1205</v>
      </c>
      <c r="B19" s="145" t="s">
        <v>1206</v>
      </c>
      <c r="C19" s="145" t="s">
        <v>1346</v>
      </c>
      <c r="D19" s="145" t="s">
        <v>1347</v>
      </c>
      <c r="E19" s="145" t="s">
        <v>309</v>
      </c>
      <c r="F19" s="145" t="s">
        <v>1385</v>
      </c>
      <c r="G19" s="145" t="s">
        <v>1386</v>
      </c>
      <c r="H19" s="145" t="s">
        <v>321</v>
      </c>
      <c r="I19" s="145" t="s">
        <v>754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445</v>
      </c>
      <c r="O19" s="145" t="s">
        <v>339</v>
      </c>
      <c r="P19" s="145" t="s">
        <v>1350</v>
      </c>
      <c r="Q19" s="145" t="s">
        <v>413</v>
      </c>
      <c r="R19" s="145" t="s">
        <v>407</v>
      </c>
      <c r="S19" s="145" t="s">
        <v>1210</v>
      </c>
      <c r="T19" s="146">
        <v>0.33</v>
      </c>
      <c r="U19" s="145" t="s">
        <v>1387</v>
      </c>
      <c r="V19" s="148">
        <v>2.4799999999999999E-2</v>
      </c>
      <c r="W19" s="148">
        <v>2.597E-2</v>
      </c>
      <c r="X19" s="145" t="s">
        <v>412</v>
      </c>
      <c r="Y19" s="158"/>
      <c r="Z19" s="146">
        <v>39784</v>
      </c>
      <c r="AA19" s="146">
        <v>1</v>
      </c>
      <c r="AB19" s="146">
        <v>116.22</v>
      </c>
      <c r="AC19" s="161"/>
      <c r="AD19" s="146">
        <v>46.237000000000002</v>
      </c>
      <c r="AE19" s="161"/>
      <c r="AF19" s="150"/>
      <c r="AG19" s="158"/>
      <c r="AH19" s="148">
        <v>9.0000000000000006E-5</v>
      </c>
      <c r="AI19" s="148">
        <v>2.3349999999999999E-2</v>
      </c>
      <c r="AJ19" s="149">
        <v>1.4599999999999999E-3</v>
      </c>
      <c r="AK19" s="196"/>
    </row>
    <row r="20" spans="1:37" x14ac:dyDescent="0.2">
      <c r="A20" s="144" t="s">
        <v>1205</v>
      </c>
      <c r="B20" s="145" t="s">
        <v>1206</v>
      </c>
      <c r="C20" s="145" t="s">
        <v>1388</v>
      </c>
      <c r="D20" s="145" t="s">
        <v>1389</v>
      </c>
      <c r="E20" s="145" t="s">
        <v>309</v>
      </c>
      <c r="F20" s="145" t="s">
        <v>1390</v>
      </c>
      <c r="G20" s="145" t="s">
        <v>1391</v>
      </c>
      <c r="H20" s="145" t="s">
        <v>321</v>
      </c>
      <c r="I20" s="145" t="s">
        <v>754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464</v>
      </c>
      <c r="O20" s="145" t="s">
        <v>339</v>
      </c>
      <c r="P20" s="145" t="s">
        <v>1392</v>
      </c>
      <c r="Q20" s="145" t="s">
        <v>413</v>
      </c>
      <c r="R20" s="145" t="s">
        <v>407</v>
      </c>
      <c r="S20" s="145" t="s">
        <v>1210</v>
      </c>
      <c r="T20" s="146">
        <v>4.67</v>
      </c>
      <c r="U20" s="145" t="s">
        <v>1393</v>
      </c>
      <c r="V20" s="148">
        <v>5.8999999999999999E-3</v>
      </c>
      <c r="W20" s="148">
        <v>3.0779999999999998E-2</v>
      </c>
      <c r="X20" s="145" t="s">
        <v>412</v>
      </c>
      <c r="Y20" s="158"/>
      <c r="Z20" s="146">
        <v>46000</v>
      </c>
      <c r="AA20" s="146">
        <v>1</v>
      </c>
      <c r="AB20" s="146">
        <v>100.11</v>
      </c>
      <c r="AC20" s="161"/>
      <c r="AD20" s="146">
        <v>46.051000000000002</v>
      </c>
      <c r="AE20" s="161"/>
      <c r="AF20" s="150"/>
      <c r="AG20" s="158"/>
      <c r="AH20" s="148">
        <v>3.0000000000000001E-5</v>
      </c>
      <c r="AI20" s="148">
        <v>2.3259999999999999E-2</v>
      </c>
      <c r="AJ20" s="149">
        <v>1.4499999999999999E-3</v>
      </c>
      <c r="AK20" s="196"/>
    </row>
    <row r="21" spans="1:37" x14ac:dyDescent="0.2">
      <c r="A21" s="144" t="s">
        <v>1205</v>
      </c>
      <c r="B21" s="145" t="s">
        <v>1206</v>
      </c>
      <c r="C21" s="145" t="s">
        <v>1394</v>
      </c>
      <c r="D21" s="145" t="s">
        <v>1395</v>
      </c>
      <c r="E21" s="145" t="s">
        <v>309</v>
      </c>
      <c r="F21" s="145" t="s">
        <v>1396</v>
      </c>
      <c r="G21" s="145" t="s">
        <v>1397</v>
      </c>
      <c r="H21" s="145" t="s">
        <v>321</v>
      </c>
      <c r="I21" s="145" t="s">
        <v>951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445</v>
      </c>
      <c r="O21" s="145" t="s">
        <v>339</v>
      </c>
      <c r="P21" s="145" t="s">
        <v>1358</v>
      </c>
      <c r="Q21" s="145" t="s">
        <v>415</v>
      </c>
      <c r="R21" s="145" t="s">
        <v>407</v>
      </c>
      <c r="S21" s="145" t="s">
        <v>1210</v>
      </c>
      <c r="T21" s="146">
        <v>3.49</v>
      </c>
      <c r="U21" s="145" t="s">
        <v>1398</v>
      </c>
      <c r="V21" s="148">
        <v>3.95E-2</v>
      </c>
      <c r="W21" s="148">
        <v>4.6510000000000003E-2</v>
      </c>
      <c r="X21" s="145" t="s">
        <v>412</v>
      </c>
      <c r="Y21" s="158"/>
      <c r="Z21" s="146">
        <v>42734</v>
      </c>
      <c r="AA21" s="146">
        <v>1</v>
      </c>
      <c r="AB21" s="146">
        <v>98.76</v>
      </c>
      <c r="AC21" s="150"/>
      <c r="AD21" s="146">
        <v>42.204000000000001</v>
      </c>
      <c r="AE21" s="150"/>
      <c r="AF21" s="150"/>
      <c r="AG21" s="150"/>
      <c r="AH21" s="148">
        <v>1.8000000000000001E-4</v>
      </c>
      <c r="AI21" s="148">
        <v>2.1319999999999999E-2</v>
      </c>
      <c r="AJ21" s="149">
        <v>1.33E-3</v>
      </c>
      <c r="AK21" s="196"/>
    </row>
    <row r="22" spans="1:37" x14ac:dyDescent="0.2">
      <c r="A22" s="144" t="s">
        <v>1205</v>
      </c>
      <c r="B22" s="145" t="s">
        <v>1206</v>
      </c>
      <c r="C22" s="145" t="s">
        <v>1380</v>
      </c>
      <c r="D22" s="145" t="s">
        <v>1381</v>
      </c>
      <c r="E22" s="145" t="s">
        <v>309</v>
      </c>
      <c r="F22" s="145" t="s">
        <v>1399</v>
      </c>
      <c r="G22" s="145" t="s">
        <v>1400</v>
      </c>
      <c r="H22" s="145" t="s">
        <v>321</v>
      </c>
      <c r="I22" s="145" t="s">
        <v>754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465</v>
      </c>
      <c r="O22" s="145" t="s">
        <v>339</v>
      </c>
      <c r="P22" s="145" t="s">
        <v>1375</v>
      </c>
      <c r="Q22" s="145" t="s">
        <v>415</v>
      </c>
      <c r="R22" s="145" t="s">
        <v>407</v>
      </c>
      <c r="S22" s="145" t="s">
        <v>1210</v>
      </c>
      <c r="T22" s="146">
        <v>1.76</v>
      </c>
      <c r="U22" s="145" t="s">
        <v>1401</v>
      </c>
      <c r="V22" s="148">
        <v>3.2800000000000003E-2</v>
      </c>
      <c r="W22" s="148">
        <v>4.9459999999999997E-2</v>
      </c>
      <c r="X22" s="145" t="s">
        <v>412</v>
      </c>
      <c r="Y22" s="159"/>
      <c r="Z22" s="146">
        <v>36564.800000000003</v>
      </c>
      <c r="AA22" s="146">
        <v>1</v>
      </c>
      <c r="AB22" s="146">
        <v>114.78</v>
      </c>
      <c r="AC22" s="150"/>
      <c r="AD22" s="146">
        <v>41.969000000000001</v>
      </c>
      <c r="AE22" s="150"/>
      <c r="AF22" s="150"/>
      <c r="AG22" s="150"/>
      <c r="AH22" s="148">
        <v>2.0000000000000002E-5</v>
      </c>
      <c r="AI22" s="148">
        <v>2.12E-2</v>
      </c>
      <c r="AJ22" s="149">
        <v>1.32E-3</v>
      </c>
      <c r="AK22" s="196"/>
    </row>
    <row r="23" spans="1:37" x14ac:dyDescent="0.2">
      <c r="A23" s="144" t="s">
        <v>1205</v>
      </c>
      <c r="B23" s="145" t="s">
        <v>1206</v>
      </c>
      <c r="C23" s="145" t="s">
        <v>1402</v>
      </c>
      <c r="D23" s="145" t="s">
        <v>1403</v>
      </c>
      <c r="E23" s="145" t="s">
        <v>309</v>
      </c>
      <c r="F23" s="145" t="s">
        <v>1404</v>
      </c>
      <c r="G23" s="145" t="s">
        <v>1405</v>
      </c>
      <c r="H23" s="145" t="s">
        <v>321</v>
      </c>
      <c r="I23" s="145" t="s">
        <v>951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445</v>
      </c>
      <c r="O23" s="145" t="s">
        <v>339</v>
      </c>
      <c r="P23" s="145" t="s">
        <v>1406</v>
      </c>
      <c r="Q23" s="145" t="s">
        <v>415</v>
      </c>
      <c r="R23" s="145" t="s">
        <v>407</v>
      </c>
      <c r="S23" s="145" t="s">
        <v>1210</v>
      </c>
      <c r="T23" s="146">
        <v>0.33</v>
      </c>
      <c r="U23" s="145" t="s">
        <v>1387</v>
      </c>
      <c r="V23" s="148">
        <v>3.61E-2</v>
      </c>
      <c r="W23" s="148">
        <v>5.0680000000000003E-2</v>
      </c>
      <c r="X23" s="145" t="s">
        <v>412</v>
      </c>
      <c r="Y23" s="159"/>
      <c r="Z23" s="146">
        <v>39130</v>
      </c>
      <c r="AA23" s="146">
        <v>1</v>
      </c>
      <c r="AB23" s="146">
        <v>100.15</v>
      </c>
      <c r="AC23" s="150"/>
      <c r="AD23" s="146">
        <v>39.189</v>
      </c>
      <c r="AE23" s="150"/>
      <c r="AF23" s="150"/>
      <c r="AG23" s="150"/>
      <c r="AH23" s="148">
        <v>5.0000000000000002E-5</v>
      </c>
      <c r="AI23" s="148">
        <v>1.9789999999999999E-2</v>
      </c>
      <c r="AJ23" s="149">
        <v>1.23E-3</v>
      </c>
      <c r="AK23" s="196"/>
    </row>
    <row r="24" spans="1:37" x14ac:dyDescent="0.2">
      <c r="A24" s="144" t="s">
        <v>1205</v>
      </c>
      <c r="B24" s="145" t="s">
        <v>1206</v>
      </c>
      <c r="C24" s="145" t="s">
        <v>1346</v>
      </c>
      <c r="D24" s="145" t="s">
        <v>1347</v>
      </c>
      <c r="E24" s="145" t="s">
        <v>309</v>
      </c>
      <c r="F24" s="145" t="s">
        <v>1407</v>
      </c>
      <c r="G24" s="145" t="s">
        <v>1408</v>
      </c>
      <c r="H24" s="145" t="s">
        <v>321</v>
      </c>
      <c r="I24" s="145" t="s">
        <v>951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445</v>
      </c>
      <c r="O24" s="145" t="s">
        <v>339</v>
      </c>
      <c r="P24" s="145" t="s">
        <v>1350</v>
      </c>
      <c r="Q24" s="145" t="s">
        <v>413</v>
      </c>
      <c r="R24" s="145" t="s">
        <v>407</v>
      </c>
      <c r="S24" s="145" t="s">
        <v>1210</v>
      </c>
      <c r="T24" s="146">
        <v>7.41</v>
      </c>
      <c r="U24" s="145" t="s">
        <v>1409</v>
      </c>
      <c r="V24" s="148">
        <v>5.3100000000000001E-2</v>
      </c>
      <c r="W24" s="148">
        <v>5.4260000000000003E-2</v>
      </c>
      <c r="X24" s="145" t="s">
        <v>412</v>
      </c>
      <c r="Y24" s="159"/>
      <c r="Z24" s="146">
        <v>38262.910000000003</v>
      </c>
      <c r="AA24" s="146">
        <v>1</v>
      </c>
      <c r="AB24" s="146">
        <v>100.54</v>
      </c>
      <c r="AC24" s="150"/>
      <c r="AD24" s="146">
        <v>38.47</v>
      </c>
      <c r="AE24" s="150"/>
      <c r="AF24" s="150"/>
      <c r="AG24" s="150"/>
      <c r="AH24" s="148">
        <v>3.0000000000000001E-5</v>
      </c>
      <c r="AI24" s="148">
        <v>1.9429999999999999E-2</v>
      </c>
      <c r="AJ24" s="149">
        <v>1.2099999999999999E-3</v>
      </c>
      <c r="AK24" s="196"/>
    </row>
    <row r="25" spans="1:37" x14ac:dyDescent="0.2">
      <c r="A25" s="144" t="s">
        <v>1205</v>
      </c>
      <c r="B25" s="145" t="s">
        <v>1206</v>
      </c>
      <c r="C25" s="145" t="s">
        <v>1410</v>
      </c>
      <c r="D25" s="145" t="s">
        <v>1411</v>
      </c>
      <c r="E25" s="145" t="s">
        <v>309</v>
      </c>
      <c r="F25" s="145" t="s">
        <v>1412</v>
      </c>
      <c r="G25" s="145" t="s">
        <v>1413</v>
      </c>
      <c r="H25" s="145" t="s">
        <v>321</v>
      </c>
      <c r="I25" s="145" t="s">
        <v>951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445</v>
      </c>
      <c r="O25" s="145" t="s">
        <v>339</v>
      </c>
      <c r="P25" s="145" t="s">
        <v>1350</v>
      </c>
      <c r="Q25" s="145" t="s">
        <v>413</v>
      </c>
      <c r="R25" s="145" t="s">
        <v>407</v>
      </c>
      <c r="S25" s="145" t="s">
        <v>1210</v>
      </c>
      <c r="T25" s="146">
        <v>4.8099999999999996</v>
      </c>
      <c r="U25" s="145" t="s">
        <v>1414</v>
      </c>
      <c r="V25" s="148">
        <v>5.2499999999999998E-2</v>
      </c>
      <c r="W25" s="148">
        <v>5.0959999999999998E-2</v>
      </c>
      <c r="X25" s="145" t="s">
        <v>412</v>
      </c>
      <c r="Y25" s="159"/>
      <c r="Z25" s="146">
        <v>37000</v>
      </c>
      <c r="AA25" s="146">
        <v>1</v>
      </c>
      <c r="AB25" s="146">
        <v>103.2</v>
      </c>
      <c r="AC25" s="150"/>
      <c r="AD25" s="146">
        <v>38.183999999999997</v>
      </c>
      <c r="AE25" s="150"/>
      <c r="AF25" s="150"/>
      <c r="AG25" s="150"/>
      <c r="AH25" s="148">
        <v>6.9999999999999994E-5</v>
      </c>
      <c r="AI25" s="148">
        <v>1.9290000000000002E-2</v>
      </c>
      <c r="AJ25" s="149">
        <v>1.1999999999999999E-3</v>
      </c>
      <c r="AK25" s="196"/>
    </row>
    <row r="26" spans="1:37" x14ac:dyDescent="0.2">
      <c r="A26" s="144" t="s">
        <v>1205</v>
      </c>
      <c r="B26" s="145" t="s">
        <v>1206</v>
      </c>
      <c r="C26" s="145" t="s">
        <v>1415</v>
      </c>
      <c r="D26" s="145" t="s">
        <v>1416</v>
      </c>
      <c r="E26" s="145" t="s">
        <v>309</v>
      </c>
      <c r="F26" s="145" t="s">
        <v>1417</v>
      </c>
      <c r="G26" s="145" t="s">
        <v>1418</v>
      </c>
      <c r="H26" s="145" t="s">
        <v>321</v>
      </c>
      <c r="I26" s="145" t="s">
        <v>754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448</v>
      </c>
      <c r="O26" s="145" t="s">
        <v>339</v>
      </c>
      <c r="P26" s="145" t="s">
        <v>1350</v>
      </c>
      <c r="Q26" s="145" t="s">
        <v>413</v>
      </c>
      <c r="R26" s="145" t="s">
        <v>407</v>
      </c>
      <c r="S26" s="145" t="s">
        <v>1210</v>
      </c>
      <c r="T26" s="146">
        <v>4.13</v>
      </c>
      <c r="U26" s="145" t="s">
        <v>1419</v>
      </c>
      <c r="V26" s="148">
        <v>2.5899999999999999E-2</v>
      </c>
      <c r="W26" s="148">
        <v>2.7740000000000001E-2</v>
      </c>
      <c r="X26" s="145" t="s">
        <v>412</v>
      </c>
      <c r="Y26" s="159"/>
      <c r="Z26" s="146">
        <v>37000</v>
      </c>
      <c r="AA26" s="146">
        <v>1</v>
      </c>
      <c r="AB26" s="146">
        <v>103.09</v>
      </c>
      <c r="AC26" s="150"/>
      <c r="AD26" s="146">
        <v>38.143000000000001</v>
      </c>
      <c r="AE26" s="150"/>
      <c r="AF26" s="150"/>
      <c r="AG26" s="150"/>
      <c r="AH26" s="148">
        <v>5.0000000000000002E-5</v>
      </c>
      <c r="AI26" s="148">
        <v>1.9259999999999999E-2</v>
      </c>
      <c r="AJ26" s="149">
        <v>1.1999999999999999E-3</v>
      </c>
      <c r="AK26" s="196"/>
    </row>
    <row r="27" spans="1:37" x14ac:dyDescent="0.2">
      <c r="A27" s="144" t="s">
        <v>1205</v>
      </c>
      <c r="B27" s="145" t="s">
        <v>1206</v>
      </c>
      <c r="C27" s="145" t="s">
        <v>1363</v>
      </c>
      <c r="D27" s="145" t="s">
        <v>1364</v>
      </c>
      <c r="E27" s="145" t="s">
        <v>309</v>
      </c>
      <c r="F27" s="145" t="s">
        <v>1420</v>
      </c>
      <c r="G27" s="145" t="s">
        <v>1421</v>
      </c>
      <c r="H27" s="145" t="s">
        <v>321</v>
      </c>
      <c r="I27" s="145" t="s">
        <v>754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448</v>
      </c>
      <c r="O27" s="145" t="s">
        <v>339</v>
      </c>
      <c r="P27" s="145" t="s">
        <v>1330</v>
      </c>
      <c r="Q27" s="145" t="s">
        <v>413</v>
      </c>
      <c r="R27" s="145" t="s">
        <v>407</v>
      </c>
      <c r="S27" s="145" t="s">
        <v>1210</v>
      </c>
      <c r="T27" s="146">
        <v>3.97</v>
      </c>
      <c r="U27" s="145" t="s">
        <v>1422</v>
      </c>
      <c r="V27" s="148">
        <v>1.3899999999999999E-2</v>
      </c>
      <c r="W27" s="148">
        <v>2.5270000000000001E-2</v>
      </c>
      <c r="X27" s="145" t="s">
        <v>412</v>
      </c>
      <c r="Y27" s="159"/>
      <c r="Z27" s="146">
        <v>36800</v>
      </c>
      <c r="AA27" s="146">
        <v>1</v>
      </c>
      <c r="AB27" s="146">
        <v>103.09</v>
      </c>
      <c r="AC27" s="151"/>
      <c r="AD27" s="146">
        <v>37.936999999999998</v>
      </c>
      <c r="AE27" s="151"/>
      <c r="AF27" s="151"/>
      <c r="AG27" s="151"/>
      <c r="AH27" s="148">
        <v>2.0000000000000002E-5</v>
      </c>
      <c r="AI27" s="148">
        <v>1.916E-2</v>
      </c>
      <c r="AJ27" s="149">
        <v>1.1900000000000001E-3</v>
      </c>
      <c r="AK27" s="196"/>
    </row>
    <row r="28" spans="1:37" x14ac:dyDescent="0.2">
      <c r="A28" s="144" t="s">
        <v>1205</v>
      </c>
      <c r="B28" s="145" t="s">
        <v>1206</v>
      </c>
      <c r="C28" s="145" t="s">
        <v>1415</v>
      </c>
      <c r="D28" s="145" t="s">
        <v>1416</v>
      </c>
      <c r="E28" s="145" t="s">
        <v>309</v>
      </c>
      <c r="F28" s="145" t="s">
        <v>1423</v>
      </c>
      <c r="G28" s="145" t="s">
        <v>1424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448</v>
      </c>
      <c r="O28" s="145" t="s">
        <v>339</v>
      </c>
      <c r="P28" s="145" t="s">
        <v>1350</v>
      </c>
      <c r="Q28" s="145" t="s">
        <v>413</v>
      </c>
      <c r="R28" s="145" t="s">
        <v>407</v>
      </c>
      <c r="S28" s="145" t="s">
        <v>1210</v>
      </c>
      <c r="T28" s="146">
        <v>1.24</v>
      </c>
      <c r="U28" s="145" t="s">
        <v>1425</v>
      </c>
      <c r="V28" s="148">
        <v>2E-3</v>
      </c>
      <c r="W28" s="148">
        <v>2.5510000000000001E-2</v>
      </c>
      <c r="X28" s="145" t="s">
        <v>412</v>
      </c>
      <c r="Y28" s="159"/>
      <c r="Z28" s="146">
        <v>30162.5</v>
      </c>
      <c r="AA28" s="146">
        <v>1</v>
      </c>
      <c r="AB28" s="146">
        <v>111.21</v>
      </c>
      <c r="AC28" s="151"/>
      <c r="AD28" s="146">
        <v>33.543999999999997</v>
      </c>
      <c r="AE28" s="151"/>
      <c r="AF28" s="151"/>
      <c r="AG28" s="151"/>
      <c r="AH28" s="148">
        <v>1.1E-4</v>
      </c>
      <c r="AI28" s="148">
        <v>1.694E-2</v>
      </c>
      <c r="AJ28" s="149">
        <v>1.06E-3</v>
      </c>
      <c r="AK28" s="196"/>
    </row>
    <row r="29" spans="1:37" x14ac:dyDescent="0.2">
      <c r="A29" s="144" t="s">
        <v>1205</v>
      </c>
      <c r="B29" s="145" t="s">
        <v>1206</v>
      </c>
      <c r="C29" s="145" t="s">
        <v>1380</v>
      </c>
      <c r="D29" s="145" t="s">
        <v>1381</v>
      </c>
      <c r="E29" s="145" t="s">
        <v>309</v>
      </c>
      <c r="F29" s="145" t="s">
        <v>1426</v>
      </c>
      <c r="G29" s="145" t="s">
        <v>1427</v>
      </c>
      <c r="H29" s="145" t="s">
        <v>321</v>
      </c>
      <c r="I29" s="145" t="s">
        <v>754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465</v>
      </c>
      <c r="O29" s="145" t="s">
        <v>339</v>
      </c>
      <c r="P29" s="145" t="s">
        <v>1375</v>
      </c>
      <c r="Q29" s="145" t="s">
        <v>415</v>
      </c>
      <c r="R29" s="145" t="s">
        <v>407</v>
      </c>
      <c r="S29" s="145" t="s">
        <v>1210</v>
      </c>
      <c r="T29" s="146">
        <v>5.16</v>
      </c>
      <c r="U29" s="145" t="s">
        <v>1428</v>
      </c>
      <c r="V29" s="148">
        <v>1.7899999999999999E-2</v>
      </c>
      <c r="W29" s="148">
        <v>4.9320000000000003E-2</v>
      </c>
      <c r="X29" s="145" t="s">
        <v>412</v>
      </c>
      <c r="Y29" s="159"/>
      <c r="Z29" s="146">
        <v>33934.949999999997</v>
      </c>
      <c r="AA29" s="146">
        <v>1</v>
      </c>
      <c r="AB29" s="146">
        <v>98.15</v>
      </c>
      <c r="AC29" s="151"/>
      <c r="AD29" s="146">
        <v>33.307000000000002</v>
      </c>
      <c r="AE29" s="151"/>
      <c r="AF29" s="151"/>
      <c r="AG29" s="151"/>
      <c r="AH29" s="148">
        <v>3.0000000000000001E-5</v>
      </c>
      <c r="AI29" s="148">
        <v>1.6820000000000002E-2</v>
      </c>
      <c r="AJ29" s="149">
        <v>1.0499999999999999E-3</v>
      </c>
      <c r="AK29" s="196"/>
    </row>
    <row r="30" spans="1:37" x14ac:dyDescent="0.2">
      <c r="A30" s="144" t="s">
        <v>1205</v>
      </c>
      <c r="B30" s="145" t="s">
        <v>1206</v>
      </c>
      <c r="C30" s="145" t="s">
        <v>1429</v>
      </c>
      <c r="D30" s="145" t="s">
        <v>1430</v>
      </c>
      <c r="E30" s="145" t="s">
        <v>309</v>
      </c>
      <c r="F30" s="145" t="s">
        <v>1431</v>
      </c>
      <c r="G30" s="145" t="s">
        <v>1432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465</v>
      </c>
      <c r="O30" s="145" t="s">
        <v>339</v>
      </c>
      <c r="P30" s="145" t="s">
        <v>1433</v>
      </c>
      <c r="Q30" s="145" t="s">
        <v>415</v>
      </c>
      <c r="R30" s="145" t="s">
        <v>407</v>
      </c>
      <c r="S30" s="145" t="s">
        <v>1210</v>
      </c>
      <c r="T30" s="146">
        <v>1.29</v>
      </c>
      <c r="U30" s="145" t="s">
        <v>1434</v>
      </c>
      <c r="V30" s="148">
        <v>2.5700000000000001E-2</v>
      </c>
      <c r="W30" s="148">
        <v>3.1440000000000003E-2</v>
      </c>
      <c r="X30" s="145" t="s">
        <v>412</v>
      </c>
      <c r="Y30" s="159"/>
      <c r="Z30" s="146">
        <v>28356.59</v>
      </c>
      <c r="AA30" s="146">
        <v>1</v>
      </c>
      <c r="AB30" s="146">
        <v>117.15</v>
      </c>
      <c r="AC30" s="151"/>
      <c r="AD30" s="146">
        <v>33.22</v>
      </c>
      <c r="AE30" s="151"/>
      <c r="AF30" s="151"/>
      <c r="AG30" s="151"/>
      <c r="AH30" s="148">
        <v>3.0000000000000001E-5</v>
      </c>
      <c r="AI30" s="148">
        <v>1.678E-2</v>
      </c>
      <c r="AJ30" s="149">
        <v>1.0499999999999999E-3</v>
      </c>
      <c r="AK30" s="196"/>
    </row>
    <row r="31" spans="1:37" x14ac:dyDescent="0.2">
      <c r="A31" s="144" t="s">
        <v>1205</v>
      </c>
      <c r="B31" s="145" t="s">
        <v>1206</v>
      </c>
      <c r="C31" s="145" t="s">
        <v>1435</v>
      </c>
      <c r="D31" s="145" t="s">
        <v>1436</v>
      </c>
      <c r="E31" s="145" t="s">
        <v>309</v>
      </c>
      <c r="F31" s="145" t="s">
        <v>1437</v>
      </c>
      <c r="G31" s="145" t="s">
        <v>1438</v>
      </c>
      <c r="H31" s="145" t="s">
        <v>321</v>
      </c>
      <c r="I31" s="145" t="s">
        <v>951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440</v>
      </c>
      <c r="O31" s="145" t="s">
        <v>339</v>
      </c>
      <c r="P31" s="145" t="s">
        <v>1439</v>
      </c>
      <c r="Q31" s="145" t="s">
        <v>413</v>
      </c>
      <c r="R31" s="145" t="s">
        <v>407</v>
      </c>
      <c r="S31" s="145" t="s">
        <v>1210</v>
      </c>
      <c r="T31" s="146">
        <v>3.03</v>
      </c>
      <c r="U31" s="145" t="s">
        <v>1440</v>
      </c>
      <c r="V31" s="148">
        <v>2.5000000000000001E-2</v>
      </c>
      <c r="W31" s="148">
        <v>5.5570000000000001E-2</v>
      </c>
      <c r="X31" s="145" t="s">
        <v>412</v>
      </c>
      <c r="Y31" s="159"/>
      <c r="Z31" s="146">
        <v>33600</v>
      </c>
      <c r="AA31" s="146">
        <v>1</v>
      </c>
      <c r="AB31" s="146">
        <v>91.59</v>
      </c>
      <c r="AC31" s="151"/>
      <c r="AD31" s="146">
        <v>30.774000000000001</v>
      </c>
      <c r="AE31" s="151"/>
      <c r="AF31" s="151"/>
      <c r="AG31" s="151"/>
      <c r="AH31" s="148">
        <v>5.0000000000000002E-5</v>
      </c>
      <c r="AI31" s="148">
        <v>1.554E-2</v>
      </c>
      <c r="AJ31" s="149">
        <v>9.7000000000000005E-4</v>
      </c>
      <c r="AK31" s="196"/>
    </row>
    <row r="32" spans="1:37" x14ac:dyDescent="0.2">
      <c r="A32" s="144" t="s">
        <v>1205</v>
      </c>
      <c r="B32" s="145" t="s">
        <v>1206</v>
      </c>
      <c r="C32" s="145" t="s">
        <v>1363</v>
      </c>
      <c r="D32" s="145" t="s">
        <v>1364</v>
      </c>
      <c r="E32" s="145" t="s">
        <v>309</v>
      </c>
      <c r="F32" s="145" t="s">
        <v>1441</v>
      </c>
      <c r="G32" s="145" t="s">
        <v>1442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448</v>
      </c>
      <c r="O32" s="145" t="s">
        <v>339</v>
      </c>
      <c r="P32" s="145" t="s">
        <v>1330</v>
      </c>
      <c r="Q32" s="145" t="s">
        <v>413</v>
      </c>
      <c r="R32" s="145" t="s">
        <v>407</v>
      </c>
      <c r="S32" s="145" t="s">
        <v>1210</v>
      </c>
      <c r="T32" s="146">
        <v>3.59</v>
      </c>
      <c r="U32" s="145" t="s">
        <v>1443</v>
      </c>
      <c r="V32" s="148">
        <v>1E-3</v>
      </c>
      <c r="W32" s="148">
        <v>2.5610000000000001E-2</v>
      </c>
      <c r="X32" s="145" t="s">
        <v>412</v>
      </c>
      <c r="Y32" s="159"/>
      <c r="Z32" s="146">
        <v>28000</v>
      </c>
      <c r="AA32" s="146">
        <v>1</v>
      </c>
      <c r="AB32" s="146">
        <v>103.24</v>
      </c>
      <c r="AC32" s="151"/>
      <c r="AD32" s="146">
        <v>28.907</v>
      </c>
      <c r="AE32" s="151"/>
      <c r="AF32" s="151"/>
      <c r="AG32" s="151"/>
      <c r="AH32" s="148">
        <v>3.0000000000000001E-5</v>
      </c>
      <c r="AI32" s="148">
        <v>1.46E-2</v>
      </c>
      <c r="AJ32" s="149">
        <v>9.1E-4</v>
      </c>
      <c r="AK32" s="196"/>
    </row>
    <row r="33" spans="1:37" x14ac:dyDescent="0.2">
      <c r="A33" s="144" t="s">
        <v>1205</v>
      </c>
      <c r="B33" s="145" t="s">
        <v>1206</v>
      </c>
      <c r="C33" s="145" t="s">
        <v>1444</v>
      </c>
      <c r="D33" s="145" t="s">
        <v>1445</v>
      </c>
      <c r="E33" s="145" t="s">
        <v>309</v>
      </c>
      <c r="F33" s="145" t="s">
        <v>1446</v>
      </c>
      <c r="G33" s="145" t="s">
        <v>1447</v>
      </c>
      <c r="H33" s="145" t="s">
        <v>321</v>
      </c>
      <c r="I33" s="145" t="s">
        <v>754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464</v>
      </c>
      <c r="O33" s="145" t="s">
        <v>339</v>
      </c>
      <c r="P33" s="145" t="s">
        <v>1392</v>
      </c>
      <c r="Q33" s="145" t="s">
        <v>413</v>
      </c>
      <c r="R33" s="145" t="s">
        <v>407</v>
      </c>
      <c r="S33" s="145" t="s">
        <v>1210</v>
      </c>
      <c r="T33" s="146">
        <v>2.27</v>
      </c>
      <c r="U33" s="145" t="s">
        <v>1281</v>
      </c>
      <c r="V33" s="148">
        <v>2.3400000000000001E-2</v>
      </c>
      <c r="W33" s="148">
        <v>2.7980000000000001E-2</v>
      </c>
      <c r="X33" s="145" t="s">
        <v>412</v>
      </c>
      <c r="Y33" s="159"/>
      <c r="Z33" s="146">
        <v>24664.57</v>
      </c>
      <c r="AA33" s="146">
        <v>1</v>
      </c>
      <c r="AB33" s="146">
        <v>114.39</v>
      </c>
      <c r="AC33" s="151"/>
      <c r="AD33" s="146">
        <v>28.213999999999999</v>
      </c>
      <c r="AE33" s="151"/>
      <c r="AF33" s="151"/>
      <c r="AG33" s="151"/>
      <c r="AH33" s="148">
        <v>2.0000000000000002E-5</v>
      </c>
      <c r="AI33" s="148">
        <v>1.4250000000000001E-2</v>
      </c>
      <c r="AJ33" s="149">
        <v>8.8999999999999995E-4</v>
      </c>
      <c r="AK33" s="196"/>
    </row>
    <row r="34" spans="1:37" x14ac:dyDescent="0.2">
      <c r="A34" s="144" t="s">
        <v>1205</v>
      </c>
      <c r="B34" s="145" t="s">
        <v>1206</v>
      </c>
      <c r="C34" s="145" t="s">
        <v>1402</v>
      </c>
      <c r="D34" s="145" t="s">
        <v>1403</v>
      </c>
      <c r="E34" s="145" t="s">
        <v>309</v>
      </c>
      <c r="F34" s="145" t="s">
        <v>1448</v>
      </c>
      <c r="G34" s="145" t="s">
        <v>1449</v>
      </c>
      <c r="H34" s="145" t="s">
        <v>321</v>
      </c>
      <c r="I34" s="145" t="s">
        <v>754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445</v>
      </c>
      <c r="O34" s="145" t="s">
        <v>339</v>
      </c>
      <c r="P34" s="145" t="s">
        <v>1406</v>
      </c>
      <c r="Q34" s="145" t="s">
        <v>415</v>
      </c>
      <c r="R34" s="145" t="s">
        <v>407</v>
      </c>
      <c r="S34" s="145" t="s">
        <v>1210</v>
      </c>
      <c r="T34" s="146">
        <v>4.68</v>
      </c>
      <c r="U34" s="145" t="s">
        <v>1450</v>
      </c>
      <c r="V34" s="148">
        <v>4.6899999999999997E-2</v>
      </c>
      <c r="W34" s="148">
        <v>5.033E-2</v>
      </c>
      <c r="X34" s="145" t="s">
        <v>412</v>
      </c>
      <c r="Y34" s="159"/>
      <c r="Z34" s="146">
        <v>27000</v>
      </c>
      <c r="AA34" s="146">
        <v>1</v>
      </c>
      <c r="AB34" s="146">
        <v>98.85</v>
      </c>
      <c r="AC34" s="151"/>
      <c r="AD34" s="146">
        <v>26.69</v>
      </c>
      <c r="AE34" s="151"/>
      <c r="AF34" s="151"/>
      <c r="AG34" s="151"/>
      <c r="AH34" s="148">
        <v>5.0000000000000002E-5</v>
      </c>
      <c r="AI34" s="148">
        <v>1.3480000000000001E-2</v>
      </c>
      <c r="AJ34" s="149">
        <v>8.4000000000000003E-4</v>
      </c>
      <c r="AK34" s="196"/>
    </row>
    <row r="35" spans="1:37" x14ac:dyDescent="0.2">
      <c r="A35" s="144" t="s">
        <v>1205</v>
      </c>
      <c r="B35" s="145" t="s">
        <v>1206</v>
      </c>
      <c r="C35" s="145" t="s">
        <v>1326</v>
      </c>
      <c r="D35" s="145" t="s">
        <v>1327</v>
      </c>
      <c r="E35" s="145" t="s">
        <v>309</v>
      </c>
      <c r="F35" s="145" t="s">
        <v>1451</v>
      </c>
      <c r="G35" s="145" t="s">
        <v>1452</v>
      </c>
      <c r="H35" s="145" t="s">
        <v>321</v>
      </c>
      <c r="I35" s="145" t="s">
        <v>754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448</v>
      </c>
      <c r="O35" s="145" t="s">
        <v>339</v>
      </c>
      <c r="P35" s="145" t="s">
        <v>1330</v>
      </c>
      <c r="Q35" s="145" t="s">
        <v>413</v>
      </c>
      <c r="R35" s="145" t="s">
        <v>407</v>
      </c>
      <c r="S35" s="145" t="s">
        <v>1210</v>
      </c>
      <c r="T35" s="146">
        <v>4.45</v>
      </c>
      <c r="U35" s="145" t="s">
        <v>1453</v>
      </c>
      <c r="V35" s="148">
        <v>1.9900000000000001E-2</v>
      </c>
      <c r="W35" s="148">
        <v>2.5350000000000001E-2</v>
      </c>
      <c r="X35" s="145" t="s">
        <v>412</v>
      </c>
      <c r="Y35" s="159"/>
      <c r="Z35" s="146">
        <v>24300</v>
      </c>
      <c r="AA35" s="146">
        <v>1</v>
      </c>
      <c r="AB35" s="146">
        <v>101.81</v>
      </c>
      <c r="AC35" s="151"/>
      <c r="AD35" s="146">
        <v>24.74</v>
      </c>
      <c r="AE35" s="151"/>
      <c r="AF35" s="151"/>
      <c r="AG35" s="151"/>
      <c r="AH35" s="148">
        <v>1.0000000000000001E-5</v>
      </c>
      <c r="AI35" s="148">
        <v>1.2500000000000001E-2</v>
      </c>
      <c r="AJ35" s="149">
        <v>7.7999999999999999E-4</v>
      </c>
      <c r="AK35" s="196"/>
    </row>
    <row r="36" spans="1:37" x14ac:dyDescent="0.2">
      <c r="A36" s="144" t="s">
        <v>1205</v>
      </c>
      <c r="B36" s="145" t="s">
        <v>1206</v>
      </c>
      <c r="C36" s="145" t="s">
        <v>1454</v>
      </c>
      <c r="D36" s="145" t="s">
        <v>1455</v>
      </c>
      <c r="E36" s="145" t="s">
        <v>309</v>
      </c>
      <c r="F36" s="145" t="s">
        <v>1456</v>
      </c>
      <c r="G36" s="145" t="s">
        <v>1457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464</v>
      </c>
      <c r="O36" s="145" t="s">
        <v>339</v>
      </c>
      <c r="P36" s="145" t="s">
        <v>1392</v>
      </c>
      <c r="Q36" s="145" t="s">
        <v>413</v>
      </c>
      <c r="R36" s="145" t="s">
        <v>407</v>
      </c>
      <c r="S36" s="145" t="s">
        <v>1210</v>
      </c>
      <c r="T36" s="146">
        <v>0.27</v>
      </c>
      <c r="U36" s="145" t="s">
        <v>1458</v>
      </c>
      <c r="V36" s="148">
        <v>1.7600000000000001E-2</v>
      </c>
      <c r="W36" s="148">
        <v>2.298E-2</v>
      </c>
      <c r="X36" s="145" t="s">
        <v>412</v>
      </c>
      <c r="Y36" s="159"/>
      <c r="Z36" s="146">
        <v>19060.240000000002</v>
      </c>
      <c r="AA36" s="146">
        <v>1</v>
      </c>
      <c r="AB36" s="146">
        <v>117.72</v>
      </c>
      <c r="AC36" s="151"/>
      <c r="AD36" s="146">
        <v>22.437999999999999</v>
      </c>
      <c r="AE36" s="151"/>
      <c r="AF36" s="151"/>
      <c r="AG36" s="151"/>
      <c r="AH36" s="148">
        <v>6.9999999999999994E-5</v>
      </c>
      <c r="AI36" s="148">
        <v>1.133E-2</v>
      </c>
      <c r="AJ36" s="149">
        <v>7.1000000000000002E-4</v>
      </c>
      <c r="AK36" s="196"/>
    </row>
    <row r="37" spans="1:37" x14ac:dyDescent="0.2">
      <c r="A37" s="144" t="s">
        <v>1205</v>
      </c>
      <c r="B37" s="145" t="s">
        <v>1206</v>
      </c>
      <c r="C37" s="145" t="s">
        <v>1459</v>
      </c>
      <c r="D37" s="145" t="s">
        <v>1460</v>
      </c>
      <c r="E37" s="145" t="s">
        <v>309</v>
      </c>
      <c r="F37" s="145" t="s">
        <v>1461</v>
      </c>
      <c r="G37" s="145" t="s">
        <v>1462</v>
      </c>
      <c r="H37" s="145" t="s">
        <v>321</v>
      </c>
      <c r="I37" s="145" t="s">
        <v>754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440</v>
      </c>
      <c r="O37" s="145" t="s">
        <v>339</v>
      </c>
      <c r="P37" s="145" t="s">
        <v>1350</v>
      </c>
      <c r="Q37" s="145" t="s">
        <v>413</v>
      </c>
      <c r="R37" s="145" t="s">
        <v>407</v>
      </c>
      <c r="S37" s="145" t="s">
        <v>1210</v>
      </c>
      <c r="T37" s="146">
        <v>2.1</v>
      </c>
      <c r="U37" s="145" t="s">
        <v>1463</v>
      </c>
      <c r="V37" s="148">
        <v>1.9400000000000001E-2</v>
      </c>
      <c r="W37" s="148">
        <v>2.5569999999999999E-2</v>
      </c>
      <c r="X37" s="145" t="s">
        <v>412</v>
      </c>
      <c r="Y37" s="159"/>
      <c r="Z37" s="146">
        <v>19048.39</v>
      </c>
      <c r="AA37" s="146">
        <v>1</v>
      </c>
      <c r="AB37" s="146">
        <v>115.77</v>
      </c>
      <c r="AC37" s="151"/>
      <c r="AD37" s="146">
        <v>22.052</v>
      </c>
      <c r="AE37" s="151"/>
      <c r="AF37" s="151"/>
      <c r="AG37" s="151"/>
      <c r="AH37" s="148">
        <v>8.0000000000000007E-5</v>
      </c>
      <c r="AI37" s="148">
        <v>1.1140000000000001E-2</v>
      </c>
      <c r="AJ37" s="149">
        <v>6.8999999999999997E-4</v>
      </c>
      <c r="AK37" s="196"/>
    </row>
    <row r="38" spans="1:37" x14ac:dyDescent="0.2">
      <c r="A38" s="144" t="s">
        <v>1205</v>
      </c>
      <c r="B38" s="145" t="s">
        <v>1206</v>
      </c>
      <c r="C38" s="145" t="s">
        <v>1318</v>
      </c>
      <c r="D38" s="145" t="s">
        <v>1319</v>
      </c>
      <c r="E38" s="145" t="s">
        <v>313</v>
      </c>
      <c r="F38" s="145" t="s">
        <v>1464</v>
      </c>
      <c r="G38" s="145" t="s">
        <v>1465</v>
      </c>
      <c r="H38" s="145" t="s">
        <v>321</v>
      </c>
      <c r="I38" s="145" t="s">
        <v>754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440</v>
      </c>
      <c r="O38" s="145" t="s">
        <v>339</v>
      </c>
      <c r="P38" s="145" t="s">
        <v>1209</v>
      </c>
      <c r="Q38" s="145" t="s">
        <v>415</v>
      </c>
      <c r="R38" s="145" t="s">
        <v>407</v>
      </c>
      <c r="S38" s="145" t="s">
        <v>1210</v>
      </c>
      <c r="T38" s="146">
        <v>0.9</v>
      </c>
      <c r="U38" s="145" t="s">
        <v>1466</v>
      </c>
      <c r="V38" s="148">
        <v>4.4999999999999998E-2</v>
      </c>
      <c r="W38" s="148">
        <v>2.3970000000000002E-2</v>
      </c>
      <c r="X38" s="145" t="s">
        <v>412</v>
      </c>
      <c r="Y38" s="159"/>
      <c r="Z38" s="146">
        <v>14548</v>
      </c>
      <c r="AA38" s="146">
        <v>1</v>
      </c>
      <c r="AB38" s="146">
        <v>119.86</v>
      </c>
      <c r="AC38" s="151"/>
      <c r="AD38" s="146">
        <v>17.437000000000001</v>
      </c>
      <c r="AE38" s="151"/>
      <c r="AF38" s="151"/>
      <c r="AG38" s="151"/>
      <c r="AH38" s="148">
        <v>1.0000000000000001E-5</v>
      </c>
      <c r="AI38" s="148">
        <v>8.8100000000000001E-3</v>
      </c>
      <c r="AJ38" s="149">
        <v>5.5000000000000003E-4</v>
      </c>
      <c r="AK38" s="196"/>
    </row>
    <row r="39" spans="1:37" x14ac:dyDescent="0.2">
      <c r="A39" s="144" t="s">
        <v>1205</v>
      </c>
      <c r="B39" s="145" t="s">
        <v>1206</v>
      </c>
      <c r="C39" s="145" t="s">
        <v>1394</v>
      </c>
      <c r="D39" s="145" t="s">
        <v>1395</v>
      </c>
      <c r="E39" s="145" t="s">
        <v>309</v>
      </c>
      <c r="F39" s="145" t="s">
        <v>1467</v>
      </c>
      <c r="G39" s="145" t="s">
        <v>1468</v>
      </c>
      <c r="H39" s="145" t="s">
        <v>321</v>
      </c>
      <c r="I39" s="145" t="s">
        <v>754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445</v>
      </c>
      <c r="O39" s="145" t="s">
        <v>339</v>
      </c>
      <c r="P39" s="145" t="s">
        <v>1358</v>
      </c>
      <c r="Q39" s="145" t="s">
        <v>415</v>
      </c>
      <c r="R39" s="145" t="s">
        <v>407</v>
      </c>
      <c r="S39" s="145" t="s">
        <v>1210</v>
      </c>
      <c r="T39" s="146">
        <v>1.72</v>
      </c>
      <c r="U39" s="145" t="s">
        <v>1425</v>
      </c>
      <c r="V39" s="148">
        <v>2.4E-2</v>
      </c>
      <c r="W39" s="148">
        <v>2.5260000000000001E-2</v>
      </c>
      <c r="X39" s="145" t="s">
        <v>412</v>
      </c>
      <c r="Y39" s="159"/>
      <c r="Z39" s="146">
        <v>14090.79</v>
      </c>
      <c r="AA39" s="146">
        <v>1</v>
      </c>
      <c r="AB39" s="146">
        <v>116.02</v>
      </c>
      <c r="AC39" s="151"/>
      <c r="AD39" s="146">
        <v>16.347999999999999</v>
      </c>
      <c r="AE39" s="151"/>
      <c r="AF39" s="151"/>
      <c r="AG39" s="151"/>
      <c r="AH39" s="148">
        <v>5.0000000000000002E-5</v>
      </c>
      <c r="AI39" s="148">
        <v>8.26E-3</v>
      </c>
      <c r="AJ39" s="149">
        <v>5.1000000000000004E-4</v>
      </c>
      <c r="AK39" s="196"/>
    </row>
    <row r="40" spans="1:37" x14ac:dyDescent="0.2">
      <c r="A40" s="144" t="s">
        <v>1205</v>
      </c>
      <c r="B40" s="145" t="s">
        <v>1206</v>
      </c>
      <c r="C40" s="145" t="s">
        <v>1469</v>
      </c>
      <c r="D40" s="145" t="s">
        <v>1470</v>
      </c>
      <c r="E40" s="145" t="s">
        <v>309</v>
      </c>
      <c r="F40" s="145" t="s">
        <v>1471</v>
      </c>
      <c r="G40" s="145" t="s">
        <v>1472</v>
      </c>
      <c r="H40" s="145" t="s">
        <v>321</v>
      </c>
      <c r="I40" s="145" t="s">
        <v>951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451</v>
      </c>
      <c r="O40" s="145" t="s">
        <v>339</v>
      </c>
      <c r="P40" s="145" t="s">
        <v>1473</v>
      </c>
      <c r="Q40" s="145" t="s">
        <v>413</v>
      </c>
      <c r="R40" s="145" t="s">
        <v>407</v>
      </c>
      <c r="S40" s="145" t="s">
        <v>1210</v>
      </c>
      <c r="T40" s="146">
        <v>0.73</v>
      </c>
      <c r="U40" s="145" t="s">
        <v>1474</v>
      </c>
      <c r="V40" s="148">
        <v>0.04</v>
      </c>
      <c r="W40" s="148">
        <v>5.407E-2</v>
      </c>
      <c r="X40" s="145" t="s">
        <v>412</v>
      </c>
      <c r="Y40" s="159"/>
      <c r="Z40" s="146">
        <v>13143.8</v>
      </c>
      <c r="AA40" s="146">
        <v>1</v>
      </c>
      <c r="AB40" s="146">
        <v>100.05</v>
      </c>
      <c r="AC40" s="151"/>
      <c r="AD40" s="146">
        <v>13.15</v>
      </c>
      <c r="AE40" s="151"/>
      <c r="AF40" s="151"/>
      <c r="AG40" s="151"/>
      <c r="AH40" s="148">
        <v>1E-4</v>
      </c>
      <c r="AI40" s="148">
        <v>6.6400000000000001E-3</v>
      </c>
      <c r="AJ40" s="149">
        <v>4.0999999999999999E-4</v>
      </c>
      <c r="AK40" s="196"/>
    </row>
    <row r="41" spans="1:37" x14ac:dyDescent="0.2">
      <c r="A41" s="144" t="s">
        <v>1205</v>
      </c>
      <c r="B41" s="145" t="s">
        <v>1206</v>
      </c>
      <c r="C41" s="145" t="s">
        <v>1475</v>
      </c>
      <c r="D41" s="145" t="s">
        <v>1476</v>
      </c>
      <c r="E41" s="145" t="s">
        <v>309</v>
      </c>
      <c r="F41" s="145" t="s">
        <v>1477</v>
      </c>
      <c r="G41" s="145" t="s">
        <v>1478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484</v>
      </c>
      <c r="O41" s="145" t="s">
        <v>339</v>
      </c>
      <c r="P41" s="145" t="s">
        <v>1406</v>
      </c>
      <c r="Q41" s="145" t="s">
        <v>415</v>
      </c>
      <c r="R41" s="145" t="s">
        <v>407</v>
      </c>
      <c r="S41" s="145" t="s">
        <v>1210</v>
      </c>
      <c r="T41" s="146">
        <v>0.66</v>
      </c>
      <c r="U41" s="145" t="s">
        <v>1479</v>
      </c>
      <c r="V41" s="148">
        <v>3.6499999999999998E-2</v>
      </c>
      <c r="W41" s="148">
        <v>4.4749999999999998E-2</v>
      </c>
      <c r="X41" s="145" t="s">
        <v>412</v>
      </c>
      <c r="Y41" s="159"/>
      <c r="Z41" s="146">
        <v>12647.39</v>
      </c>
      <c r="AA41" s="146">
        <v>1</v>
      </c>
      <c r="AB41" s="146">
        <v>100.7</v>
      </c>
      <c r="AC41" s="151"/>
      <c r="AD41" s="146">
        <v>12.736000000000001</v>
      </c>
      <c r="AE41" s="151"/>
      <c r="AF41" s="151"/>
      <c r="AG41" s="151"/>
      <c r="AH41" s="148">
        <v>2.0000000000000002E-5</v>
      </c>
      <c r="AI41" s="148">
        <v>6.43E-3</v>
      </c>
      <c r="AJ41" s="149">
        <v>4.0000000000000002E-4</v>
      </c>
      <c r="AK41" s="196"/>
    </row>
    <row r="42" spans="1:37" x14ac:dyDescent="0.2">
      <c r="A42" s="144" t="s">
        <v>1205</v>
      </c>
      <c r="B42" s="145" t="s">
        <v>1206</v>
      </c>
      <c r="C42" s="145" t="s">
        <v>1480</v>
      </c>
      <c r="D42" s="145" t="s">
        <v>1481</v>
      </c>
      <c r="E42" s="145" t="s">
        <v>309</v>
      </c>
      <c r="F42" s="145" t="s">
        <v>1482</v>
      </c>
      <c r="G42" s="145" t="s">
        <v>1483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475</v>
      </c>
      <c r="O42" s="145" t="s">
        <v>339</v>
      </c>
      <c r="P42" s="145" t="s">
        <v>1392</v>
      </c>
      <c r="Q42" s="145" t="s">
        <v>413</v>
      </c>
      <c r="R42" s="145" t="s">
        <v>407</v>
      </c>
      <c r="S42" s="145" t="s">
        <v>1210</v>
      </c>
      <c r="T42" s="146">
        <v>2.34</v>
      </c>
      <c r="U42" s="145" t="s">
        <v>1484</v>
      </c>
      <c r="V42" s="148">
        <v>5.0900000000000001E-2</v>
      </c>
      <c r="W42" s="148">
        <v>4.7509999999999997E-2</v>
      </c>
      <c r="X42" s="145" t="s">
        <v>412</v>
      </c>
      <c r="Y42" s="159"/>
      <c r="Z42" s="146">
        <v>10422.370000000001</v>
      </c>
      <c r="AA42" s="146">
        <v>1</v>
      </c>
      <c r="AB42" s="146">
        <v>103.18</v>
      </c>
      <c r="AC42" s="151"/>
      <c r="AD42" s="146">
        <v>10.754</v>
      </c>
      <c r="AE42" s="151"/>
      <c r="AF42" s="151"/>
      <c r="AG42" s="151"/>
      <c r="AH42" s="148">
        <v>2.0000000000000002E-5</v>
      </c>
      <c r="AI42" s="148">
        <v>5.4299999999999999E-3</v>
      </c>
      <c r="AJ42" s="149">
        <v>3.4000000000000002E-4</v>
      </c>
      <c r="AK42" s="196"/>
    </row>
    <row r="43" spans="1:37" x14ac:dyDescent="0.2">
      <c r="A43" s="144" t="s">
        <v>1205</v>
      </c>
      <c r="B43" s="145" t="s">
        <v>1206</v>
      </c>
      <c r="C43" s="145" t="s">
        <v>1402</v>
      </c>
      <c r="D43" s="145" t="s">
        <v>1403</v>
      </c>
      <c r="E43" s="145" t="s">
        <v>309</v>
      </c>
      <c r="F43" s="145" t="s">
        <v>1485</v>
      </c>
      <c r="G43" s="145" t="s">
        <v>1486</v>
      </c>
      <c r="H43" s="145" t="s">
        <v>321</v>
      </c>
      <c r="I43" s="145" t="s">
        <v>951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445</v>
      </c>
      <c r="O43" s="145" t="s">
        <v>339</v>
      </c>
      <c r="P43" s="145" t="s">
        <v>1406</v>
      </c>
      <c r="Q43" s="145" t="s">
        <v>415</v>
      </c>
      <c r="R43" s="145" t="s">
        <v>407</v>
      </c>
      <c r="S43" s="145" t="s">
        <v>1210</v>
      </c>
      <c r="T43" s="146">
        <v>3.84</v>
      </c>
      <c r="U43" s="145" t="s">
        <v>1487</v>
      </c>
      <c r="V43" s="148">
        <v>2.6200000000000001E-2</v>
      </c>
      <c r="W43" s="148">
        <v>4.8739999999999999E-2</v>
      </c>
      <c r="X43" s="145" t="s">
        <v>412</v>
      </c>
      <c r="Y43" s="159"/>
      <c r="Z43" s="146">
        <v>10590</v>
      </c>
      <c r="AA43" s="146">
        <v>1</v>
      </c>
      <c r="AB43" s="146">
        <v>93.04</v>
      </c>
      <c r="AC43" s="151"/>
      <c r="AD43" s="146">
        <v>9.8529999999999998</v>
      </c>
      <c r="AE43" s="151"/>
      <c r="AF43" s="151"/>
      <c r="AG43" s="151"/>
      <c r="AH43" s="148">
        <v>1.0000000000000001E-5</v>
      </c>
      <c r="AI43" s="148">
        <v>4.9800000000000001E-3</v>
      </c>
      <c r="AJ43" s="149">
        <v>3.1E-4</v>
      </c>
      <c r="AK43" s="196"/>
    </row>
    <row r="44" spans="1:37" x14ac:dyDescent="0.2">
      <c r="A44" s="144" t="s">
        <v>1205</v>
      </c>
      <c r="B44" s="145" t="s">
        <v>1206</v>
      </c>
      <c r="C44" s="145" t="s">
        <v>1488</v>
      </c>
      <c r="D44" s="145" t="s">
        <v>1489</v>
      </c>
      <c r="E44" s="145" t="s">
        <v>309</v>
      </c>
      <c r="F44" s="145" t="s">
        <v>1490</v>
      </c>
      <c r="G44" s="145" t="s">
        <v>1491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445</v>
      </c>
      <c r="O44" s="145" t="s">
        <v>339</v>
      </c>
      <c r="P44" s="145" t="s">
        <v>1433</v>
      </c>
      <c r="Q44" s="145" t="s">
        <v>415</v>
      </c>
      <c r="R44" s="145" t="s">
        <v>407</v>
      </c>
      <c r="S44" s="145" t="s">
        <v>1210</v>
      </c>
      <c r="T44" s="146">
        <v>4.1399999999999997</v>
      </c>
      <c r="U44" s="145" t="s">
        <v>1376</v>
      </c>
      <c r="V44" s="148">
        <v>5.1700000000000003E-2</v>
      </c>
      <c r="W44" s="148">
        <v>5.1369999999999999E-2</v>
      </c>
      <c r="X44" s="145" t="s">
        <v>412</v>
      </c>
      <c r="Y44" s="159"/>
      <c r="Z44" s="146">
        <v>7725</v>
      </c>
      <c r="AA44" s="146">
        <v>1</v>
      </c>
      <c r="AB44" s="146">
        <v>102.11</v>
      </c>
      <c r="AC44" s="151"/>
      <c r="AD44" s="146">
        <v>7.8879999999999999</v>
      </c>
      <c r="AE44" s="151"/>
      <c r="AF44" s="151"/>
      <c r="AG44" s="151"/>
      <c r="AH44" s="148">
        <v>1.0000000000000001E-5</v>
      </c>
      <c r="AI44" s="148">
        <v>3.98E-3</v>
      </c>
      <c r="AJ44" s="149">
        <v>2.5000000000000001E-4</v>
      </c>
      <c r="AK44" s="196"/>
    </row>
    <row r="45" spans="1:37" x14ac:dyDescent="0.2">
      <c r="A45" s="144" t="s">
        <v>1205</v>
      </c>
      <c r="B45" s="145" t="s">
        <v>1206</v>
      </c>
      <c r="C45" s="145" t="s">
        <v>1394</v>
      </c>
      <c r="D45" s="145" t="s">
        <v>1395</v>
      </c>
      <c r="E45" s="145" t="s">
        <v>309</v>
      </c>
      <c r="F45" s="145" t="s">
        <v>1492</v>
      </c>
      <c r="G45" s="145" t="s">
        <v>1493</v>
      </c>
      <c r="H45" s="145" t="s">
        <v>321</v>
      </c>
      <c r="I45" s="145" t="s">
        <v>951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445</v>
      </c>
      <c r="O45" s="145" t="s">
        <v>339</v>
      </c>
      <c r="P45" s="145" t="s">
        <v>1358</v>
      </c>
      <c r="Q45" s="145" t="s">
        <v>415</v>
      </c>
      <c r="R45" s="145" t="s">
        <v>407</v>
      </c>
      <c r="S45" s="145" t="s">
        <v>1210</v>
      </c>
      <c r="T45" s="146">
        <v>2.59</v>
      </c>
      <c r="U45" s="145" t="s">
        <v>1494</v>
      </c>
      <c r="V45" s="148">
        <v>4.36E-2</v>
      </c>
      <c r="W45" s="148">
        <v>4.6519999999999999E-2</v>
      </c>
      <c r="X45" s="145" t="s">
        <v>412</v>
      </c>
      <c r="Y45" s="159"/>
      <c r="Z45" s="146">
        <v>7345</v>
      </c>
      <c r="AA45" s="146">
        <v>1</v>
      </c>
      <c r="AB45" s="146">
        <v>100.47</v>
      </c>
      <c r="AC45" s="151"/>
      <c r="AD45" s="146">
        <v>7.38</v>
      </c>
      <c r="AE45" s="151"/>
      <c r="AF45" s="151"/>
      <c r="AG45" s="151"/>
      <c r="AH45" s="148">
        <v>2.0000000000000002E-5</v>
      </c>
      <c r="AI45" s="148">
        <v>3.7299999999999998E-3</v>
      </c>
      <c r="AJ45" s="149">
        <v>2.3000000000000001E-4</v>
      </c>
      <c r="AK45" s="196"/>
    </row>
    <row r="46" spans="1:37" x14ac:dyDescent="0.2">
      <c r="A46" s="144" t="s">
        <v>1205</v>
      </c>
      <c r="B46" s="145" t="s">
        <v>1206</v>
      </c>
      <c r="C46" s="145" t="s">
        <v>1495</v>
      </c>
      <c r="D46" s="145" t="s">
        <v>1496</v>
      </c>
      <c r="E46" s="145" t="s">
        <v>309</v>
      </c>
      <c r="F46" s="145" t="s">
        <v>1497</v>
      </c>
      <c r="G46" s="145" t="s">
        <v>1498</v>
      </c>
      <c r="H46" s="145" t="s">
        <v>321</v>
      </c>
      <c r="I46" s="145" t="s">
        <v>754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448</v>
      </c>
      <c r="O46" s="145" t="s">
        <v>339</v>
      </c>
      <c r="P46" s="145" t="s">
        <v>1330</v>
      </c>
      <c r="Q46" s="145" t="s">
        <v>413</v>
      </c>
      <c r="R46" s="145" t="s">
        <v>407</v>
      </c>
      <c r="S46" s="145" t="s">
        <v>1210</v>
      </c>
      <c r="T46" s="146">
        <v>2.76</v>
      </c>
      <c r="U46" s="145" t="s">
        <v>1499</v>
      </c>
      <c r="V46" s="148">
        <v>1.4999999999999999E-2</v>
      </c>
      <c r="W46" s="148">
        <v>2.5190000000000001E-2</v>
      </c>
      <c r="X46" s="145" t="s">
        <v>412</v>
      </c>
      <c r="Y46" s="159"/>
      <c r="Z46" s="146">
        <v>5682.84</v>
      </c>
      <c r="AA46" s="146">
        <v>1</v>
      </c>
      <c r="AB46" s="146">
        <v>112.67</v>
      </c>
      <c r="AC46" s="151"/>
      <c r="AD46" s="146">
        <v>6.4029999999999996</v>
      </c>
      <c r="AE46" s="151"/>
      <c r="AF46" s="151"/>
      <c r="AG46" s="151"/>
      <c r="AH46" s="148">
        <v>2.0000000000000002E-5</v>
      </c>
      <c r="AI46" s="148">
        <v>3.2299999999999998E-3</v>
      </c>
      <c r="AJ46" s="149">
        <v>2.0000000000000001E-4</v>
      </c>
      <c r="AK46" s="196"/>
    </row>
    <row r="47" spans="1:37" x14ac:dyDescent="0.2">
      <c r="A47" s="144" t="s">
        <v>1205</v>
      </c>
      <c r="B47" s="145" t="s">
        <v>1206</v>
      </c>
      <c r="C47" s="145" t="s">
        <v>1500</v>
      </c>
      <c r="D47" s="145" t="s">
        <v>1501</v>
      </c>
      <c r="E47" s="145" t="s">
        <v>309</v>
      </c>
      <c r="F47" s="145" t="s">
        <v>1502</v>
      </c>
      <c r="G47" s="145" t="s">
        <v>1503</v>
      </c>
      <c r="H47" s="145" t="s">
        <v>321</v>
      </c>
      <c r="I47" s="145" t="s">
        <v>754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445</v>
      </c>
      <c r="O47" s="145" t="s">
        <v>339</v>
      </c>
      <c r="P47" s="145" t="s">
        <v>1392</v>
      </c>
      <c r="Q47" s="145" t="s">
        <v>413</v>
      </c>
      <c r="R47" s="145" t="s">
        <v>407</v>
      </c>
      <c r="S47" s="145" t="s">
        <v>1210</v>
      </c>
      <c r="T47" s="146">
        <v>4.05</v>
      </c>
      <c r="U47" s="145" t="s">
        <v>1504</v>
      </c>
      <c r="V47" s="148">
        <v>4.4000000000000003E-3</v>
      </c>
      <c r="W47" s="148">
        <v>2.7269999999999999E-2</v>
      </c>
      <c r="X47" s="145" t="s">
        <v>412</v>
      </c>
      <c r="Y47" s="159"/>
      <c r="Z47" s="146">
        <v>4748.4799999999996</v>
      </c>
      <c r="AA47" s="146">
        <v>1</v>
      </c>
      <c r="AB47" s="146">
        <v>105.45</v>
      </c>
      <c r="AC47" s="151"/>
      <c r="AD47" s="146">
        <v>5.0069999999999997</v>
      </c>
      <c r="AE47" s="151"/>
      <c r="AF47" s="151"/>
      <c r="AG47" s="151"/>
      <c r="AH47" s="148">
        <v>0</v>
      </c>
      <c r="AI47" s="148">
        <v>2.5300000000000001E-3</v>
      </c>
      <c r="AJ47" s="149">
        <v>1.6000000000000001E-4</v>
      </c>
      <c r="AK47" s="196"/>
    </row>
    <row r="48" spans="1:37" x14ac:dyDescent="0.2">
      <c r="A48" s="144" t="s">
        <v>1205</v>
      </c>
      <c r="B48" s="145" t="s">
        <v>1206</v>
      </c>
      <c r="C48" s="145" t="s">
        <v>1505</v>
      </c>
      <c r="D48" s="145" t="s">
        <v>1506</v>
      </c>
      <c r="E48" s="145" t="s">
        <v>309</v>
      </c>
      <c r="F48" s="145" t="s">
        <v>1507</v>
      </c>
      <c r="G48" s="145" t="s">
        <v>1508</v>
      </c>
      <c r="H48" s="145" t="s">
        <v>321</v>
      </c>
      <c r="I48" s="145" t="s">
        <v>951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445</v>
      </c>
      <c r="O48" s="145" t="s">
        <v>339</v>
      </c>
      <c r="P48" s="145" t="s">
        <v>1406</v>
      </c>
      <c r="Q48" s="145" t="s">
        <v>415</v>
      </c>
      <c r="R48" s="145" t="s">
        <v>407</v>
      </c>
      <c r="S48" s="145" t="s">
        <v>1210</v>
      </c>
      <c r="T48" s="146">
        <v>0.98</v>
      </c>
      <c r="U48" s="145" t="s">
        <v>1509</v>
      </c>
      <c r="V48" s="148">
        <v>2.9399999999999999E-2</v>
      </c>
      <c r="W48" s="148">
        <v>4.9570000000000003E-2</v>
      </c>
      <c r="X48" s="145" t="s">
        <v>412</v>
      </c>
      <c r="Y48" s="159"/>
      <c r="Z48" s="146">
        <v>4431.8100000000004</v>
      </c>
      <c r="AA48" s="146">
        <v>1</v>
      </c>
      <c r="AB48" s="146">
        <v>99.54</v>
      </c>
      <c r="AC48" s="151"/>
      <c r="AD48" s="146">
        <v>4.4109999999999996</v>
      </c>
      <c r="AE48" s="151"/>
      <c r="AF48" s="151"/>
      <c r="AG48" s="151"/>
      <c r="AH48" s="148">
        <v>4.0000000000000003E-5</v>
      </c>
      <c r="AI48" s="148">
        <v>2.2300000000000002E-3</v>
      </c>
      <c r="AJ48" s="149">
        <v>1.3999999999999999E-4</v>
      </c>
      <c r="AK48" s="196"/>
    </row>
    <row r="49" spans="1:37" x14ac:dyDescent="0.2">
      <c r="A49" s="144" t="s">
        <v>1205</v>
      </c>
      <c r="B49" s="145" t="s">
        <v>1206</v>
      </c>
      <c r="C49" s="145" t="s">
        <v>1488</v>
      </c>
      <c r="D49" s="145" t="s">
        <v>1489</v>
      </c>
      <c r="E49" s="145" t="s">
        <v>309</v>
      </c>
      <c r="F49" s="145" t="s">
        <v>1510</v>
      </c>
      <c r="G49" s="145" t="s">
        <v>1511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445</v>
      </c>
      <c r="O49" s="145" t="s">
        <v>339</v>
      </c>
      <c r="P49" s="145" t="s">
        <v>1433</v>
      </c>
      <c r="Q49" s="145" t="s">
        <v>415</v>
      </c>
      <c r="R49" s="145" t="s">
        <v>407</v>
      </c>
      <c r="S49" s="145" t="s">
        <v>1210</v>
      </c>
      <c r="T49" s="146">
        <v>4.96</v>
      </c>
      <c r="U49" s="145" t="s">
        <v>1512</v>
      </c>
      <c r="V49" s="148">
        <v>5.3999999999999999E-2</v>
      </c>
      <c r="W49" s="148">
        <v>5.2179999999999997E-2</v>
      </c>
      <c r="X49" s="145" t="s">
        <v>412</v>
      </c>
      <c r="Y49" s="159"/>
      <c r="Z49" s="146">
        <v>4187</v>
      </c>
      <c r="AA49" s="146">
        <v>1</v>
      </c>
      <c r="AB49" s="146">
        <v>102.55</v>
      </c>
      <c r="AC49" s="151"/>
      <c r="AD49" s="146">
        <v>4.2939999999999996</v>
      </c>
      <c r="AE49" s="151"/>
      <c r="AF49" s="151"/>
      <c r="AG49" s="151"/>
      <c r="AH49" s="148">
        <v>1.0000000000000001E-5</v>
      </c>
      <c r="AI49" s="148">
        <v>2.1700000000000001E-3</v>
      </c>
      <c r="AJ49" s="149">
        <v>1.3999999999999999E-4</v>
      </c>
      <c r="AK49" s="196"/>
    </row>
    <row r="50" spans="1:37" x14ac:dyDescent="0.2">
      <c r="A50" s="144" t="s">
        <v>1205</v>
      </c>
      <c r="B50" s="145" t="s">
        <v>1206</v>
      </c>
      <c r="C50" s="145" t="s">
        <v>1459</v>
      </c>
      <c r="D50" s="145" t="s">
        <v>1460</v>
      </c>
      <c r="E50" s="145" t="s">
        <v>309</v>
      </c>
      <c r="F50" s="145" t="s">
        <v>1513</v>
      </c>
      <c r="G50" s="145" t="s">
        <v>1514</v>
      </c>
      <c r="H50" s="145" t="s">
        <v>321</v>
      </c>
      <c r="I50" s="145" t="s">
        <v>754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440</v>
      </c>
      <c r="O50" s="145" t="s">
        <v>339</v>
      </c>
      <c r="P50" s="145" t="s">
        <v>1350</v>
      </c>
      <c r="Q50" s="145" t="s">
        <v>413</v>
      </c>
      <c r="R50" s="145" t="s">
        <v>407</v>
      </c>
      <c r="S50" s="145" t="s">
        <v>1210</v>
      </c>
      <c r="T50" s="146">
        <v>3.08</v>
      </c>
      <c r="U50" s="145" t="s">
        <v>1515</v>
      </c>
      <c r="V50" s="148">
        <v>1.23E-2</v>
      </c>
      <c r="W50" s="148">
        <v>2.758E-2</v>
      </c>
      <c r="X50" s="145" t="s">
        <v>412</v>
      </c>
      <c r="Y50" s="159"/>
      <c r="Z50" s="146">
        <v>2228.39</v>
      </c>
      <c r="AA50" s="146">
        <v>1</v>
      </c>
      <c r="AB50" s="146">
        <v>111.43</v>
      </c>
      <c r="AC50" s="151"/>
      <c r="AD50" s="146">
        <v>2.4830000000000001</v>
      </c>
      <c r="AE50" s="151"/>
      <c r="AF50" s="151"/>
      <c r="AG50" s="151"/>
      <c r="AH50" s="148">
        <v>0</v>
      </c>
      <c r="AI50" s="148">
        <v>1.25E-3</v>
      </c>
      <c r="AJ50" s="149">
        <v>8.0000000000000007E-5</v>
      </c>
      <c r="AK50" s="196"/>
    </row>
    <row r="51" spans="1:37" x14ac:dyDescent="0.2">
      <c r="A51" s="144" t="s">
        <v>1205</v>
      </c>
      <c r="B51" s="145" t="s">
        <v>1206</v>
      </c>
      <c r="C51" s="145" t="s">
        <v>1516</v>
      </c>
      <c r="D51" s="145" t="s">
        <v>1517</v>
      </c>
      <c r="E51" s="145" t="s">
        <v>309</v>
      </c>
      <c r="F51" s="145" t="s">
        <v>1518</v>
      </c>
      <c r="G51" s="145" t="s">
        <v>1519</v>
      </c>
      <c r="H51" s="145" t="s">
        <v>321</v>
      </c>
      <c r="I51" s="145" t="s">
        <v>951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465</v>
      </c>
      <c r="O51" s="145" t="s">
        <v>339</v>
      </c>
      <c r="P51" s="145" t="s">
        <v>1520</v>
      </c>
      <c r="Q51" s="145" t="s">
        <v>415</v>
      </c>
      <c r="R51" s="145" t="s">
        <v>407</v>
      </c>
      <c r="S51" s="145" t="s">
        <v>1210</v>
      </c>
      <c r="T51" s="146">
        <v>0.37</v>
      </c>
      <c r="U51" s="145" t="s">
        <v>1521</v>
      </c>
      <c r="V51" s="148">
        <v>3.5000000000000003E-2</v>
      </c>
      <c r="W51" s="148">
        <v>5.756E-2</v>
      </c>
      <c r="X51" s="145" t="s">
        <v>412</v>
      </c>
      <c r="Y51" s="159"/>
      <c r="Z51" s="146">
        <v>2370.7399999999998</v>
      </c>
      <c r="AA51" s="146">
        <v>1</v>
      </c>
      <c r="AB51" s="146">
        <v>99.65</v>
      </c>
      <c r="AC51" s="151"/>
      <c r="AD51" s="146">
        <v>2.3620000000000001</v>
      </c>
      <c r="AE51" s="151"/>
      <c r="AF51" s="151"/>
      <c r="AG51" s="151"/>
      <c r="AH51" s="148">
        <v>5.0000000000000002E-5</v>
      </c>
      <c r="AI51" s="148">
        <v>1.1900000000000001E-3</v>
      </c>
      <c r="AJ51" s="149">
        <v>6.9999999999999994E-5</v>
      </c>
      <c r="AK51" s="196"/>
    </row>
    <row r="52" spans="1:37" x14ac:dyDescent="0.2">
      <c r="A52" s="144" t="s">
        <v>1205</v>
      </c>
      <c r="B52" s="145" t="s">
        <v>1206</v>
      </c>
      <c r="C52" s="145" t="s">
        <v>1522</v>
      </c>
      <c r="D52" s="145" t="s">
        <v>1523</v>
      </c>
      <c r="E52" s="145" t="s">
        <v>309</v>
      </c>
      <c r="F52" s="145" t="s">
        <v>1524</v>
      </c>
      <c r="G52" s="145" t="s">
        <v>1525</v>
      </c>
      <c r="H52" s="145" t="s">
        <v>321</v>
      </c>
      <c r="I52" s="145" t="s">
        <v>754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464</v>
      </c>
      <c r="O52" s="145" t="s">
        <v>339</v>
      </c>
      <c r="P52" s="145" t="s">
        <v>1358</v>
      </c>
      <c r="Q52" s="145" t="s">
        <v>415</v>
      </c>
      <c r="R52" s="145" t="s">
        <v>407</v>
      </c>
      <c r="S52" s="145" t="s">
        <v>1210</v>
      </c>
      <c r="T52" s="146">
        <v>2.44</v>
      </c>
      <c r="U52" s="145" t="s">
        <v>1526</v>
      </c>
      <c r="V52" s="148">
        <v>1.9599999999999999E-2</v>
      </c>
      <c r="W52" s="148">
        <v>2.877E-2</v>
      </c>
      <c r="X52" s="145" t="s">
        <v>412</v>
      </c>
      <c r="Y52" s="159"/>
      <c r="Z52" s="146">
        <v>1899</v>
      </c>
      <c r="AA52" s="146">
        <v>1</v>
      </c>
      <c r="AB52" s="146">
        <v>114.79</v>
      </c>
      <c r="AC52" s="151"/>
      <c r="AD52" s="146">
        <v>2.1800000000000002</v>
      </c>
      <c r="AE52" s="151"/>
      <c r="AF52" s="151"/>
      <c r="AG52" s="151"/>
      <c r="AH52" s="148">
        <v>0</v>
      </c>
      <c r="AI52" s="148">
        <v>1.1000000000000001E-3</v>
      </c>
      <c r="AJ52" s="149">
        <v>6.9999999999999994E-5</v>
      </c>
      <c r="AK52" s="196"/>
    </row>
    <row r="53" spans="1:37" x14ac:dyDescent="0.2">
      <c r="A53" s="144" t="s">
        <v>1205</v>
      </c>
      <c r="B53" s="145" t="s">
        <v>1206</v>
      </c>
      <c r="C53" s="145" t="s">
        <v>1394</v>
      </c>
      <c r="D53" s="145" t="s">
        <v>1395</v>
      </c>
      <c r="E53" s="145" t="s">
        <v>309</v>
      </c>
      <c r="F53" s="145" t="s">
        <v>1527</v>
      </c>
      <c r="G53" s="145" t="s">
        <v>1528</v>
      </c>
      <c r="H53" s="145" t="s">
        <v>321</v>
      </c>
      <c r="I53" s="145" t="s">
        <v>951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445</v>
      </c>
      <c r="O53" s="145" t="s">
        <v>339</v>
      </c>
      <c r="P53" s="145" t="s">
        <v>1358</v>
      </c>
      <c r="Q53" s="145" t="s">
        <v>415</v>
      </c>
      <c r="R53" s="145" t="s">
        <v>407</v>
      </c>
      <c r="S53" s="145" t="s">
        <v>1210</v>
      </c>
      <c r="T53" s="146">
        <v>4.33</v>
      </c>
      <c r="U53" s="145" t="s">
        <v>1529</v>
      </c>
      <c r="V53" s="148">
        <v>3.95E-2</v>
      </c>
      <c r="W53" s="148">
        <v>4.8520000000000001E-2</v>
      </c>
      <c r="X53" s="145" t="s">
        <v>412</v>
      </c>
      <c r="Y53" s="159"/>
      <c r="Z53" s="146">
        <v>1670</v>
      </c>
      <c r="AA53" s="146">
        <v>1</v>
      </c>
      <c r="AB53" s="146">
        <v>97.42</v>
      </c>
      <c r="AC53" s="151"/>
      <c r="AD53" s="146">
        <v>1.627</v>
      </c>
      <c r="AE53" s="151"/>
      <c r="AF53" s="151"/>
      <c r="AG53" s="151"/>
      <c r="AH53" s="148">
        <v>1.0000000000000001E-5</v>
      </c>
      <c r="AI53" s="148">
        <v>8.1999999999999998E-4</v>
      </c>
      <c r="AJ53" s="149">
        <v>5.0000000000000002E-5</v>
      </c>
      <c r="AK53" s="196"/>
    </row>
    <row r="54" spans="1:37" x14ac:dyDescent="0.2">
      <c r="A54" s="144" t="s">
        <v>1205</v>
      </c>
      <c r="B54" s="145" t="s">
        <v>1206</v>
      </c>
      <c r="C54" s="145" t="s">
        <v>1388</v>
      </c>
      <c r="D54" s="145" t="s">
        <v>1389</v>
      </c>
      <c r="E54" s="145" t="s">
        <v>309</v>
      </c>
      <c r="F54" s="145" t="s">
        <v>1530</v>
      </c>
      <c r="G54" s="145" t="s">
        <v>1531</v>
      </c>
      <c r="H54" s="145" t="s">
        <v>321</v>
      </c>
      <c r="I54" s="145" t="s">
        <v>951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464</v>
      </c>
      <c r="O54" s="145" t="s">
        <v>339</v>
      </c>
      <c r="P54" s="145" t="s">
        <v>1392</v>
      </c>
      <c r="Q54" s="145" t="s">
        <v>413</v>
      </c>
      <c r="R54" s="145" t="s">
        <v>407</v>
      </c>
      <c r="S54" s="145" t="s">
        <v>1210</v>
      </c>
      <c r="T54" s="146">
        <v>4.76</v>
      </c>
      <c r="U54" s="145" t="s">
        <v>1532</v>
      </c>
      <c r="V54" s="148">
        <v>2.5499999999999998E-2</v>
      </c>
      <c r="W54" s="148">
        <v>5.2699999999999997E-2</v>
      </c>
      <c r="X54" s="145" t="s">
        <v>412</v>
      </c>
      <c r="Y54" s="159"/>
      <c r="Z54" s="146">
        <v>839.15</v>
      </c>
      <c r="AA54" s="146">
        <v>1</v>
      </c>
      <c r="AB54" s="146">
        <v>88.7</v>
      </c>
      <c r="AC54" s="151"/>
      <c r="AD54" s="146">
        <v>0.74399999999999999</v>
      </c>
      <c r="AE54" s="151"/>
      <c r="AF54" s="151"/>
      <c r="AG54" s="151"/>
      <c r="AH54" s="148">
        <v>0</v>
      </c>
      <c r="AI54" s="148">
        <v>3.8000000000000002E-4</v>
      </c>
      <c r="AJ54" s="149">
        <v>2.0000000000000002E-5</v>
      </c>
      <c r="AK54" s="196"/>
    </row>
    <row r="55" spans="1:37" x14ac:dyDescent="0.2">
      <c r="A55" s="144" t="s">
        <v>1205</v>
      </c>
      <c r="B55" s="145" t="s">
        <v>1206</v>
      </c>
      <c r="C55" s="145" t="s">
        <v>1533</v>
      </c>
      <c r="D55" s="145" t="s">
        <v>1534</v>
      </c>
      <c r="E55" s="145" t="s">
        <v>309</v>
      </c>
      <c r="F55" s="145" t="s">
        <v>1535</v>
      </c>
      <c r="G55" s="145" t="s">
        <v>1536</v>
      </c>
      <c r="H55" s="145" t="s">
        <v>321</v>
      </c>
      <c r="I55" s="145" t="s">
        <v>755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454</v>
      </c>
      <c r="O55" s="145" t="s">
        <v>339</v>
      </c>
      <c r="P55" s="145" t="s">
        <v>1433</v>
      </c>
      <c r="Q55" s="145" t="s">
        <v>415</v>
      </c>
      <c r="R55" s="145" t="s">
        <v>407</v>
      </c>
      <c r="S55" s="145" t="s">
        <v>1210</v>
      </c>
      <c r="T55" s="146">
        <v>2.83</v>
      </c>
      <c r="U55" s="145" t="s">
        <v>1537</v>
      </c>
      <c r="V55" s="148">
        <v>4.6899999999999997E-2</v>
      </c>
      <c r="W55" s="148">
        <v>6.6970000000000002E-2</v>
      </c>
      <c r="X55" s="145" t="s">
        <v>412</v>
      </c>
      <c r="Y55" s="159"/>
      <c r="Z55" s="146">
        <v>0.71</v>
      </c>
      <c r="AA55" s="146">
        <v>1</v>
      </c>
      <c r="AB55" s="146">
        <v>102.77</v>
      </c>
      <c r="AC55" s="151"/>
      <c r="AD55" s="146">
        <v>1E-3</v>
      </c>
      <c r="AE55" s="151"/>
      <c r="AF55" s="151"/>
      <c r="AG55" s="151"/>
      <c r="AH55" s="148">
        <v>0</v>
      </c>
      <c r="AI55" s="148">
        <v>0</v>
      </c>
      <c r="AJ55" s="149">
        <v>0</v>
      </c>
      <c r="AK55" s="196"/>
    </row>
    <row r="56" spans="1:37" x14ac:dyDescent="0.2">
      <c r="A56" s="144" t="s">
        <v>1205</v>
      </c>
      <c r="B56" s="145" t="s">
        <v>1206</v>
      </c>
      <c r="C56" s="145" t="s">
        <v>1538</v>
      </c>
      <c r="D56" s="145" t="s">
        <v>1539</v>
      </c>
      <c r="E56" s="145" t="s">
        <v>309</v>
      </c>
      <c r="F56" s="145" t="s">
        <v>1540</v>
      </c>
      <c r="G56" s="145" t="s">
        <v>1541</v>
      </c>
      <c r="H56" s="145" t="s">
        <v>321</v>
      </c>
      <c r="I56" s="145" t="s">
        <v>951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461</v>
      </c>
      <c r="O56" s="145" t="s">
        <v>339</v>
      </c>
      <c r="P56" s="145" t="s">
        <v>1520</v>
      </c>
      <c r="Q56" s="145" t="s">
        <v>415</v>
      </c>
      <c r="R56" s="145" t="s">
        <v>407</v>
      </c>
      <c r="S56" s="145" t="s">
        <v>1210</v>
      </c>
      <c r="T56" s="146">
        <v>3.19</v>
      </c>
      <c r="U56" s="145" t="s">
        <v>1542</v>
      </c>
      <c r="V56" s="148">
        <v>2.6599999999999999E-2</v>
      </c>
      <c r="W56" s="148">
        <v>5.747E-2</v>
      </c>
      <c r="X56" s="145" t="s">
        <v>412</v>
      </c>
      <c r="Y56" s="159"/>
      <c r="Z56" s="146">
        <v>0.42</v>
      </c>
      <c r="AA56" s="146">
        <v>1</v>
      </c>
      <c r="AB56" s="146">
        <v>89.58</v>
      </c>
      <c r="AC56" s="151"/>
      <c r="AD56" s="146">
        <v>0</v>
      </c>
      <c r="AE56" s="151"/>
      <c r="AF56" s="151"/>
      <c r="AG56" s="151"/>
      <c r="AH56" s="148">
        <v>0</v>
      </c>
      <c r="AI56" s="148">
        <v>0</v>
      </c>
      <c r="AJ56" s="149">
        <v>0</v>
      </c>
      <c r="AK56" s="196"/>
    </row>
    <row r="57" spans="1:37" x14ac:dyDescent="0.2">
      <c r="A57" s="144" t="s">
        <v>1205</v>
      </c>
      <c r="B57" s="145" t="s">
        <v>1214</v>
      </c>
      <c r="C57" s="145" t="s">
        <v>1543</v>
      </c>
      <c r="D57" s="145" t="s">
        <v>1544</v>
      </c>
      <c r="E57" s="145" t="s">
        <v>309</v>
      </c>
      <c r="F57" s="145" t="s">
        <v>1545</v>
      </c>
      <c r="G57" s="145" t="s">
        <v>1546</v>
      </c>
      <c r="H57" s="145" t="s">
        <v>321</v>
      </c>
      <c r="I57" s="145" t="s">
        <v>754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464</v>
      </c>
      <c r="O57" s="145" t="s">
        <v>339</v>
      </c>
      <c r="P57" s="145" t="s">
        <v>1547</v>
      </c>
      <c r="Q57" s="145" t="s">
        <v>413</v>
      </c>
      <c r="R57" s="145" t="s">
        <v>407</v>
      </c>
      <c r="S57" s="145" t="s">
        <v>1210</v>
      </c>
      <c r="T57" s="146">
        <v>6.47</v>
      </c>
      <c r="U57" s="145" t="s">
        <v>1548</v>
      </c>
      <c r="V57" s="148">
        <v>8.9999999999999993E-3</v>
      </c>
      <c r="W57" s="148">
        <v>3.0720000000000001E-2</v>
      </c>
      <c r="X57" s="145" t="s">
        <v>412</v>
      </c>
      <c r="Y57" s="159"/>
      <c r="Z57" s="146">
        <v>26824</v>
      </c>
      <c r="AA57" s="146">
        <v>1</v>
      </c>
      <c r="AB57" s="146">
        <v>99.26</v>
      </c>
      <c r="AC57" s="151"/>
      <c r="AD57" s="146">
        <v>26.626000000000001</v>
      </c>
      <c r="AE57" s="151"/>
      <c r="AF57" s="151"/>
      <c r="AG57" s="151"/>
      <c r="AH57" s="148">
        <v>1.0000000000000001E-5</v>
      </c>
      <c r="AI57" s="148">
        <v>0.10564</v>
      </c>
      <c r="AJ57" s="149">
        <v>1.2319999999999999E-2</v>
      </c>
      <c r="AK57" s="196"/>
    </row>
    <row r="58" spans="1:37" x14ac:dyDescent="0.2">
      <c r="A58" s="144" t="s">
        <v>1205</v>
      </c>
      <c r="B58" s="145" t="s">
        <v>1214</v>
      </c>
      <c r="C58" s="145" t="s">
        <v>1488</v>
      </c>
      <c r="D58" s="145" t="s">
        <v>1489</v>
      </c>
      <c r="E58" s="145" t="s">
        <v>309</v>
      </c>
      <c r="F58" s="145" t="s">
        <v>1549</v>
      </c>
      <c r="G58" s="145" t="s">
        <v>1550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445</v>
      </c>
      <c r="O58" s="145" t="s">
        <v>339</v>
      </c>
      <c r="P58" s="145" t="s">
        <v>1433</v>
      </c>
      <c r="Q58" s="145" t="s">
        <v>415</v>
      </c>
      <c r="R58" s="145" t="s">
        <v>407</v>
      </c>
      <c r="S58" s="145" t="s">
        <v>1210</v>
      </c>
      <c r="T58" s="146">
        <v>6.25</v>
      </c>
      <c r="U58" s="145" t="s">
        <v>1551</v>
      </c>
      <c r="V58" s="148">
        <v>6.0699999999999997E-2</v>
      </c>
      <c r="W58" s="148">
        <v>5.457E-2</v>
      </c>
      <c r="X58" s="145" t="s">
        <v>412</v>
      </c>
      <c r="Y58" s="159"/>
      <c r="Z58" s="146">
        <v>24945</v>
      </c>
      <c r="AA58" s="146">
        <v>1</v>
      </c>
      <c r="AB58" s="146">
        <v>105.78</v>
      </c>
      <c r="AC58" s="151"/>
      <c r="AD58" s="146">
        <v>26.387</v>
      </c>
      <c r="AE58" s="151"/>
      <c r="AF58" s="151"/>
      <c r="AG58" s="151"/>
      <c r="AH58" s="148">
        <v>6.0000000000000002E-5</v>
      </c>
      <c r="AI58" s="148">
        <v>0.10469000000000001</v>
      </c>
      <c r="AJ58" s="149">
        <v>1.221E-2</v>
      </c>
      <c r="AK58" s="196"/>
    </row>
    <row r="59" spans="1:37" x14ac:dyDescent="0.2">
      <c r="A59" s="144" t="s">
        <v>1205</v>
      </c>
      <c r="B59" s="145" t="s">
        <v>1214</v>
      </c>
      <c r="C59" s="145" t="s">
        <v>1346</v>
      </c>
      <c r="D59" s="145" t="s">
        <v>1347</v>
      </c>
      <c r="E59" s="145" t="s">
        <v>309</v>
      </c>
      <c r="F59" s="145" t="s">
        <v>1348</v>
      </c>
      <c r="G59" s="145" t="s">
        <v>1349</v>
      </c>
      <c r="H59" s="145" t="s">
        <v>321</v>
      </c>
      <c r="I59" s="145" t="s">
        <v>951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445</v>
      </c>
      <c r="O59" s="145" t="s">
        <v>339</v>
      </c>
      <c r="P59" s="145" t="s">
        <v>1350</v>
      </c>
      <c r="Q59" s="145" t="s">
        <v>413</v>
      </c>
      <c r="R59" s="145" t="s">
        <v>407</v>
      </c>
      <c r="S59" s="145" t="s">
        <v>1210</v>
      </c>
      <c r="T59" s="146">
        <v>4.7</v>
      </c>
      <c r="U59" s="145" t="s">
        <v>1263</v>
      </c>
      <c r="V59" s="148">
        <v>2.64E-2</v>
      </c>
      <c r="W59" s="148">
        <v>5.0160000000000003E-2</v>
      </c>
      <c r="X59" s="145" t="s">
        <v>412</v>
      </c>
      <c r="Y59" s="159"/>
      <c r="Z59" s="146">
        <v>14440.75</v>
      </c>
      <c r="AA59" s="146">
        <v>1</v>
      </c>
      <c r="AB59" s="146">
        <v>89.86</v>
      </c>
      <c r="AC59" s="151"/>
      <c r="AD59" s="146">
        <v>12.976000000000001</v>
      </c>
      <c r="AE59" s="151"/>
      <c r="AF59" s="151"/>
      <c r="AG59" s="151"/>
      <c r="AH59" s="148">
        <v>1.0000000000000001E-5</v>
      </c>
      <c r="AI59" s="148">
        <v>5.1479999999999998E-2</v>
      </c>
      <c r="AJ59" s="149">
        <v>6.0099999999999997E-3</v>
      </c>
      <c r="AK59" s="196"/>
    </row>
    <row r="60" spans="1:37" x14ac:dyDescent="0.2">
      <c r="A60" s="144" t="s">
        <v>1205</v>
      </c>
      <c r="B60" s="145" t="s">
        <v>1214</v>
      </c>
      <c r="C60" s="145" t="s">
        <v>1429</v>
      </c>
      <c r="D60" s="145" t="s">
        <v>1430</v>
      </c>
      <c r="E60" s="145" t="s">
        <v>309</v>
      </c>
      <c r="F60" s="145" t="s">
        <v>1552</v>
      </c>
      <c r="G60" s="145" t="s">
        <v>1553</v>
      </c>
      <c r="H60" s="145" t="s">
        <v>321</v>
      </c>
      <c r="I60" s="145" t="s">
        <v>754</v>
      </c>
      <c r="J60" s="145" t="s">
        <v>204</v>
      </c>
      <c r="K60" s="145" t="s">
        <v>293</v>
      </c>
      <c r="L60" s="145" t="s">
        <v>325</v>
      </c>
      <c r="M60" s="145" t="s">
        <v>340</v>
      </c>
      <c r="N60" s="145" t="s">
        <v>465</v>
      </c>
      <c r="O60" s="145" t="s">
        <v>339</v>
      </c>
      <c r="P60" s="145" t="s">
        <v>1433</v>
      </c>
      <c r="Q60" s="145" t="s">
        <v>415</v>
      </c>
      <c r="R60" s="145" t="s">
        <v>407</v>
      </c>
      <c r="S60" s="145" t="s">
        <v>1210</v>
      </c>
      <c r="T60" s="146">
        <v>4.7</v>
      </c>
      <c r="U60" s="145" t="s">
        <v>1554</v>
      </c>
      <c r="V60" s="148">
        <v>1.54E-2</v>
      </c>
      <c r="W60" s="148">
        <v>3.2770000000000001E-2</v>
      </c>
      <c r="X60" s="145" t="s">
        <v>412</v>
      </c>
      <c r="Y60" s="159"/>
      <c r="Z60" s="146">
        <v>12000</v>
      </c>
      <c r="AA60" s="146">
        <v>1</v>
      </c>
      <c r="AB60" s="146">
        <v>103.7</v>
      </c>
      <c r="AC60" s="151"/>
      <c r="AD60" s="146">
        <v>12.444000000000001</v>
      </c>
      <c r="AE60" s="151"/>
      <c r="AF60" s="151"/>
      <c r="AG60" s="151"/>
      <c r="AH60" s="148">
        <v>2.0000000000000002E-5</v>
      </c>
      <c r="AI60" s="148">
        <v>4.9369999999999997E-2</v>
      </c>
      <c r="AJ60" s="149">
        <v>5.7600000000000004E-3</v>
      </c>
      <c r="AK60" s="196"/>
    </row>
    <row r="61" spans="1:37" x14ac:dyDescent="0.2">
      <c r="A61" s="144" t="s">
        <v>1205</v>
      </c>
      <c r="B61" s="145" t="s">
        <v>1214</v>
      </c>
      <c r="C61" s="145" t="s">
        <v>1318</v>
      </c>
      <c r="D61" s="145" t="s">
        <v>1319</v>
      </c>
      <c r="E61" s="145" t="s">
        <v>313</v>
      </c>
      <c r="F61" s="145" t="s">
        <v>1320</v>
      </c>
      <c r="G61" s="145" t="s">
        <v>1321</v>
      </c>
      <c r="H61" s="145" t="s">
        <v>321</v>
      </c>
      <c r="I61" s="145" t="s">
        <v>754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440</v>
      </c>
      <c r="O61" s="145" t="s">
        <v>339</v>
      </c>
      <c r="P61" s="145" t="s">
        <v>1209</v>
      </c>
      <c r="Q61" s="145" t="s">
        <v>415</v>
      </c>
      <c r="R61" s="145" t="s">
        <v>407</v>
      </c>
      <c r="S61" s="145" t="s">
        <v>1210</v>
      </c>
      <c r="T61" s="146">
        <v>10.119999999999999</v>
      </c>
      <c r="U61" s="145" t="s">
        <v>1322</v>
      </c>
      <c r="V61" s="148">
        <v>3.2000000000000001E-2</v>
      </c>
      <c r="W61" s="148">
        <v>3.1019999999999999E-2</v>
      </c>
      <c r="X61" s="145" t="s">
        <v>412</v>
      </c>
      <c r="Y61" s="159"/>
      <c r="Z61" s="146">
        <v>10304</v>
      </c>
      <c r="AA61" s="146">
        <v>1</v>
      </c>
      <c r="AB61" s="146">
        <v>107.1</v>
      </c>
      <c r="AC61" s="151"/>
      <c r="AD61" s="146">
        <v>11.036</v>
      </c>
      <c r="AE61" s="151"/>
      <c r="AF61" s="151"/>
      <c r="AG61" s="151"/>
      <c r="AH61" s="148">
        <v>0</v>
      </c>
      <c r="AI61" s="148">
        <v>4.3779999999999999E-2</v>
      </c>
      <c r="AJ61" s="149">
        <v>5.11E-3</v>
      </c>
      <c r="AK61" s="196"/>
    </row>
    <row r="62" spans="1:37" x14ac:dyDescent="0.2">
      <c r="A62" s="144" t="s">
        <v>1205</v>
      </c>
      <c r="B62" s="145" t="s">
        <v>1214</v>
      </c>
      <c r="C62" s="145" t="s">
        <v>1326</v>
      </c>
      <c r="D62" s="145" t="s">
        <v>1327</v>
      </c>
      <c r="E62" s="145" t="s">
        <v>309</v>
      </c>
      <c r="F62" s="145" t="s">
        <v>1340</v>
      </c>
      <c r="G62" s="145" t="s">
        <v>1341</v>
      </c>
      <c r="H62" s="145" t="s">
        <v>321</v>
      </c>
      <c r="I62" s="145" t="s">
        <v>754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448</v>
      </c>
      <c r="O62" s="145" t="s">
        <v>339</v>
      </c>
      <c r="P62" s="145" t="s">
        <v>1330</v>
      </c>
      <c r="Q62" s="145" t="s">
        <v>413</v>
      </c>
      <c r="R62" s="145" t="s">
        <v>407</v>
      </c>
      <c r="S62" s="145" t="s">
        <v>1210</v>
      </c>
      <c r="T62" s="146">
        <v>2.46</v>
      </c>
      <c r="U62" s="145" t="s">
        <v>1342</v>
      </c>
      <c r="V62" s="148">
        <v>1.2200000000000001E-2</v>
      </c>
      <c r="W62" s="148">
        <v>2.4389999999999998E-2</v>
      </c>
      <c r="X62" s="145" t="s">
        <v>412</v>
      </c>
      <c r="Y62" s="159"/>
      <c r="Z62" s="146">
        <v>9441</v>
      </c>
      <c r="AA62" s="146">
        <v>1</v>
      </c>
      <c r="AB62" s="146">
        <v>114.03</v>
      </c>
      <c r="AC62" s="151"/>
      <c r="AD62" s="146">
        <v>10.766</v>
      </c>
      <c r="AE62" s="151"/>
      <c r="AF62" s="151"/>
      <c r="AG62" s="151"/>
      <c r="AH62" s="148">
        <v>0</v>
      </c>
      <c r="AI62" s="148">
        <v>4.2709999999999998E-2</v>
      </c>
      <c r="AJ62" s="149">
        <v>4.9800000000000001E-3</v>
      </c>
      <c r="AK62" s="196"/>
    </row>
    <row r="63" spans="1:37" x14ac:dyDescent="0.2">
      <c r="A63" s="144" t="s">
        <v>1205</v>
      </c>
      <c r="B63" s="145" t="s">
        <v>1214</v>
      </c>
      <c r="C63" s="145" t="s">
        <v>1402</v>
      </c>
      <c r="D63" s="145" t="s">
        <v>1403</v>
      </c>
      <c r="E63" s="145" t="s">
        <v>309</v>
      </c>
      <c r="F63" s="145" t="s">
        <v>1404</v>
      </c>
      <c r="G63" s="145" t="s">
        <v>1405</v>
      </c>
      <c r="H63" s="145" t="s">
        <v>321</v>
      </c>
      <c r="I63" s="145" t="s">
        <v>951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445</v>
      </c>
      <c r="O63" s="145" t="s">
        <v>339</v>
      </c>
      <c r="P63" s="145" t="s">
        <v>1406</v>
      </c>
      <c r="Q63" s="145" t="s">
        <v>415</v>
      </c>
      <c r="R63" s="145" t="s">
        <v>407</v>
      </c>
      <c r="S63" s="145" t="s">
        <v>1210</v>
      </c>
      <c r="T63" s="146">
        <v>0.33</v>
      </c>
      <c r="U63" s="145" t="s">
        <v>1387</v>
      </c>
      <c r="V63" s="148">
        <v>3.61E-2</v>
      </c>
      <c r="W63" s="148">
        <v>5.0680000000000003E-2</v>
      </c>
      <c r="X63" s="145" t="s">
        <v>412</v>
      </c>
      <c r="Y63" s="159"/>
      <c r="Z63" s="146">
        <v>7978</v>
      </c>
      <c r="AA63" s="146">
        <v>1</v>
      </c>
      <c r="AB63" s="146">
        <v>100.15</v>
      </c>
      <c r="AC63" s="151"/>
      <c r="AD63" s="146">
        <v>7.99</v>
      </c>
      <c r="AE63" s="151"/>
      <c r="AF63" s="151"/>
      <c r="AG63" s="151"/>
      <c r="AH63" s="148">
        <v>1.0000000000000001E-5</v>
      </c>
      <c r="AI63" s="148">
        <v>3.1699999999999999E-2</v>
      </c>
      <c r="AJ63" s="149">
        <v>3.7000000000000002E-3</v>
      </c>
      <c r="AK63" s="196"/>
    </row>
    <row r="64" spans="1:37" x14ac:dyDescent="0.2">
      <c r="A64" s="144" t="s">
        <v>1205</v>
      </c>
      <c r="B64" s="145" t="s">
        <v>1214</v>
      </c>
      <c r="C64" s="145" t="s">
        <v>1371</v>
      </c>
      <c r="D64" s="145" t="s">
        <v>1372</v>
      </c>
      <c r="E64" s="145" t="s">
        <v>309</v>
      </c>
      <c r="F64" s="145" t="s">
        <v>1373</v>
      </c>
      <c r="G64" s="145" t="s">
        <v>1374</v>
      </c>
      <c r="H64" s="145" t="s">
        <v>321</v>
      </c>
      <c r="I64" s="145" t="s">
        <v>951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484</v>
      </c>
      <c r="O64" s="145" t="s">
        <v>339</v>
      </c>
      <c r="P64" s="145" t="s">
        <v>1375</v>
      </c>
      <c r="Q64" s="145" t="s">
        <v>415</v>
      </c>
      <c r="R64" s="145" t="s">
        <v>407</v>
      </c>
      <c r="S64" s="145" t="s">
        <v>1210</v>
      </c>
      <c r="T64" s="146">
        <v>4.07</v>
      </c>
      <c r="U64" s="145" t="s">
        <v>1376</v>
      </c>
      <c r="V64" s="148">
        <v>5.5E-2</v>
      </c>
      <c r="W64" s="148">
        <v>5.1830000000000001E-2</v>
      </c>
      <c r="X64" s="145" t="s">
        <v>412</v>
      </c>
      <c r="Y64" s="159"/>
      <c r="Z64" s="146">
        <v>7423.97</v>
      </c>
      <c r="AA64" s="146">
        <v>1</v>
      </c>
      <c r="AB64" s="146">
        <v>104.5</v>
      </c>
      <c r="AC64" s="151"/>
      <c r="AD64" s="146">
        <v>7.758</v>
      </c>
      <c r="AE64" s="151"/>
      <c r="AF64" s="151"/>
      <c r="AG64" s="151"/>
      <c r="AH64" s="148">
        <v>1.0000000000000001E-5</v>
      </c>
      <c r="AI64" s="148">
        <v>3.0779999999999998E-2</v>
      </c>
      <c r="AJ64" s="149">
        <v>3.5899999999999999E-3</v>
      </c>
      <c r="AK64" s="196"/>
    </row>
    <row r="65" spans="1:37" x14ac:dyDescent="0.2">
      <c r="A65" s="144" t="s">
        <v>1205</v>
      </c>
      <c r="B65" s="145" t="s">
        <v>1214</v>
      </c>
      <c r="C65" s="145" t="s">
        <v>1410</v>
      </c>
      <c r="D65" s="145" t="s">
        <v>1411</v>
      </c>
      <c r="E65" s="145" t="s">
        <v>309</v>
      </c>
      <c r="F65" s="145" t="s">
        <v>1412</v>
      </c>
      <c r="G65" s="145" t="s">
        <v>1413</v>
      </c>
      <c r="H65" s="145" t="s">
        <v>321</v>
      </c>
      <c r="I65" s="145" t="s">
        <v>951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445</v>
      </c>
      <c r="O65" s="145" t="s">
        <v>339</v>
      </c>
      <c r="P65" s="145" t="s">
        <v>1350</v>
      </c>
      <c r="Q65" s="145" t="s">
        <v>413</v>
      </c>
      <c r="R65" s="145" t="s">
        <v>407</v>
      </c>
      <c r="S65" s="145" t="s">
        <v>1210</v>
      </c>
      <c r="T65" s="146">
        <v>4.8099999999999996</v>
      </c>
      <c r="U65" s="145" t="s">
        <v>1414</v>
      </c>
      <c r="V65" s="148">
        <v>5.2499999999999998E-2</v>
      </c>
      <c r="W65" s="148">
        <v>5.0959999999999998E-2</v>
      </c>
      <c r="X65" s="145" t="s">
        <v>412</v>
      </c>
      <c r="Y65" s="159"/>
      <c r="Z65" s="146">
        <v>7000</v>
      </c>
      <c r="AA65" s="146">
        <v>1</v>
      </c>
      <c r="AB65" s="146">
        <v>103.2</v>
      </c>
      <c r="AC65" s="151"/>
      <c r="AD65" s="146">
        <v>7.2240000000000002</v>
      </c>
      <c r="AE65" s="151"/>
      <c r="AF65" s="151"/>
      <c r="AG65" s="151"/>
      <c r="AH65" s="148">
        <v>1.0000000000000001E-5</v>
      </c>
      <c r="AI65" s="148">
        <v>2.8660000000000001E-2</v>
      </c>
      <c r="AJ65" s="149">
        <v>3.3400000000000001E-3</v>
      </c>
      <c r="AK65" s="196"/>
    </row>
    <row r="66" spans="1:37" x14ac:dyDescent="0.2">
      <c r="A66" s="144" t="s">
        <v>1205</v>
      </c>
      <c r="B66" s="145" t="s">
        <v>1214</v>
      </c>
      <c r="C66" s="145" t="s">
        <v>1415</v>
      </c>
      <c r="D66" s="145" t="s">
        <v>1416</v>
      </c>
      <c r="E66" s="145" t="s">
        <v>309</v>
      </c>
      <c r="F66" s="145" t="s">
        <v>1417</v>
      </c>
      <c r="G66" s="145" t="s">
        <v>1418</v>
      </c>
      <c r="H66" s="145" t="s">
        <v>321</v>
      </c>
      <c r="I66" s="145" t="s">
        <v>754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448</v>
      </c>
      <c r="O66" s="145" t="s">
        <v>339</v>
      </c>
      <c r="P66" s="145" t="s">
        <v>1350</v>
      </c>
      <c r="Q66" s="145" t="s">
        <v>413</v>
      </c>
      <c r="R66" s="145" t="s">
        <v>407</v>
      </c>
      <c r="S66" s="145" t="s">
        <v>1210</v>
      </c>
      <c r="T66" s="146">
        <v>4.13</v>
      </c>
      <c r="U66" s="145" t="s">
        <v>1419</v>
      </c>
      <c r="V66" s="148">
        <v>2.5899999999999999E-2</v>
      </c>
      <c r="W66" s="148">
        <v>2.7740000000000001E-2</v>
      </c>
      <c r="X66" s="145" t="s">
        <v>412</v>
      </c>
      <c r="Y66" s="159"/>
      <c r="Z66" s="146">
        <v>7000</v>
      </c>
      <c r="AA66" s="146">
        <v>1</v>
      </c>
      <c r="AB66" s="146">
        <v>103.09</v>
      </c>
      <c r="AC66" s="151"/>
      <c r="AD66" s="146">
        <v>7.2160000000000002</v>
      </c>
      <c r="AE66" s="151"/>
      <c r="AF66" s="151"/>
      <c r="AG66" s="151"/>
      <c r="AH66" s="148">
        <v>1.0000000000000001E-5</v>
      </c>
      <c r="AI66" s="148">
        <v>2.8629999999999999E-2</v>
      </c>
      <c r="AJ66" s="149">
        <v>3.3400000000000001E-3</v>
      </c>
      <c r="AK66" s="196"/>
    </row>
    <row r="67" spans="1:37" x14ac:dyDescent="0.2">
      <c r="A67" s="144" t="s">
        <v>1205</v>
      </c>
      <c r="B67" s="145" t="s">
        <v>1214</v>
      </c>
      <c r="C67" s="145" t="s">
        <v>1435</v>
      </c>
      <c r="D67" s="145" t="s">
        <v>1436</v>
      </c>
      <c r="E67" s="145" t="s">
        <v>309</v>
      </c>
      <c r="F67" s="145" t="s">
        <v>1437</v>
      </c>
      <c r="G67" s="145" t="s">
        <v>1438</v>
      </c>
      <c r="H67" s="145" t="s">
        <v>321</v>
      </c>
      <c r="I67" s="145" t="s">
        <v>951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440</v>
      </c>
      <c r="O67" s="145" t="s">
        <v>339</v>
      </c>
      <c r="P67" s="145" t="s">
        <v>1439</v>
      </c>
      <c r="Q67" s="145" t="s">
        <v>413</v>
      </c>
      <c r="R67" s="145" t="s">
        <v>407</v>
      </c>
      <c r="S67" s="145" t="s">
        <v>1210</v>
      </c>
      <c r="T67" s="146">
        <v>3.03</v>
      </c>
      <c r="U67" s="145" t="s">
        <v>1440</v>
      </c>
      <c r="V67" s="148">
        <v>2.5000000000000001E-2</v>
      </c>
      <c r="W67" s="148">
        <v>5.5570000000000001E-2</v>
      </c>
      <c r="X67" s="145" t="s">
        <v>412</v>
      </c>
      <c r="Y67" s="159"/>
      <c r="Z67" s="146">
        <v>7560</v>
      </c>
      <c r="AA67" s="146">
        <v>1</v>
      </c>
      <c r="AB67" s="146">
        <v>91.59</v>
      </c>
      <c r="AC67" s="151"/>
      <c r="AD67" s="146">
        <v>6.9240000000000004</v>
      </c>
      <c r="AE67" s="151"/>
      <c r="AF67" s="151"/>
      <c r="AG67" s="151"/>
      <c r="AH67" s="148">
        <v>1.0000000000000001E-5</v>
      </c>
      <c r="AI67" s="148">
        <v>2.7470000000000001E-2</v>
      </c>
      <c r="AJ67" s="149">
        <v>3.2000000000000002E-3</v>
      </c>
      <c r="AK67" s="196"/>
    </row>
    <row r="68" spans="1:37" x14ac:dyDescent="0.2">
      <c r="A68" s="144" t="s">
        <v>1205</v>
      </c>
      <c r="B68" s="145" t="s">
        <v>1214</v>
      </c>
      <c r="C68" s="145" t="s">
        <v>1543</v>
      </c>
      <c r="D68" s="145" t="s">
        <v>1544</v>
      </c>
      <c r="E68" s="145" t="s">
        <v>309</v>
      </c>
      <c r="F68" s="145" t="s">
        <v>1555</v>
      </c>
      <c r="G68" s="145" t="s">
        <v>1556</v>
      </c>
      <c r="H68" s="145" t="s">
        <v>321</v>
      </c>
      <c r="I68" s="145" t="s">
        <v>754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464</v>
      </c>
      <c r="O68" s="145" t="s">
        <v>339</v>
      </c>
      <c r="P68" s="145" t="s">
        <v>1547</v>
      </c>
      <c r="Q68" s="145" t="s">
        <v>413</v>
      </c>
      <c r="R68" s="145" t="s">
        <v>407</v>
      </c>
      <c r="S68" s="145" t="s">
        <v>1210</v>
      </c>
      <c r="T68" s="146">
        <v>9.99</v>
      </c>
      <c r="U68" s="145" t="s">
        <v>1557</v>
      </c>
      <c r="V68" s="148">
        <v>1.6899999999999998E-2</v>
      </c>
      <c r="W68" s="148">
        <v>3.2899999999999999E-2</v>
      </c>
      <c r="X68" s="145" t="s">
        <v>412</v>
      </c>
      <c r="Y68" s="159"/>
      <c r="Z68" s="146">
        <v>6642</v>
      </c>
      <c r="AA68" s="146">
        <v>1</v>
      </c>
      <c r="AB68" s="146">
        <v>97.7</v>
      </c>
      <c r="AC68" s="151"/>
      <c r="AD68" s="146">
        <v>6.4889999999999999</v>
      </c>
      <c r="AE68" s="151"/>
      <c r="AF68" s="151"/>
      <c r="AG68" s="151"/>
      <c r="AH68" s="148">
        <v>0</v>
      </c>
      <c r="AI68" s="148">
        <v>2.5749999999999999E-2</v>
      </c>
      <c r="AJ68" s="149">
        <v>3.0000000000000001E-3</v>
      </c>
      <c r="AK68" s="196"/>
    </row>
    <row r="69" spans="1:37" x14ac:dyDescent="0.2">
      <c r="A69" s="144" t="s">
        <v>1205</v>
      </c>
      <c r="B69" s="145" t="s">
        <v>1214</v>
      </c>
      <c r="C69" s="145" t="s">
        <v>1326</v>
      </c>
      <c r="D69" s="145" t="s">
        <v>1327</v>
      </c>
      <c r="E69" s="145" t="s">
        <v>309</v>
      </c>
      <c r="F69" s="145" t="s">
        <v>1351</v>
      </c>
      <c r="G69" s="145" t="s">
        <v>1352</v>
      </c>
      <c r="H69" s="145" t="s">
        <v>321</v>
      </c>
      <c r="I69" s="145" t="s">
        <v>951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448</v>
      </c>
      <c r="O69" s="145" t="s">
        <v>339</v>
      </c>
      <c r="P69" s="145" t="s">
        <v>1330</v>
      </c>
      <c r="Q69" s="145" t="s">
        <v>413</v>
      </c>
      <c r="R69" s="145" t="s">
        <v>407</v>
      </c>
      <c r="S69" s="145" t="s">
        <v>1210</v>
      </c>
      <c r="T69" s="146">
        <v>0.19</v>
      </c>
      <c r="U69" s="145" t="s">
        <v>1353</v>
      </c>
      <c r="V69" s="148">
        <v>2.98E-2</v>
      </c>
      <c r="W69" s="148">
        <v>4.4909999999999999E-2</v>
      </c>
      <c r="X69" s="145" t="s">
        <v>412</v>
      </c>
      <c r="Y69" s="159"/>
      <c r="Z69" s="146">
        <v>6231</v>
      </c>
      <c r="AA69" s="146">
        <v>1</v>
      </c>
      <c r="AB69" s="146">
        <v>102.14</v>
      </c>
      <c r="AC69" s="151"/>
      <c r="AD69" s="146">
        <v>6.3639999999999999</v>
      </c>
      <c r="AE69" s="151"/>
      <c r="AF69" s="151"/>
      <c r="AG69" s="151"/>
      <c r="AH69" s="148">
        <v>0</v>
      </c>
      <c r="AI69" s="148">
        <v>2.5250000000000002E-2</v>
      </c>
      <c r="AJ69" s="149">
        <v>2.9499999999999999E-3</v>
      </c>
      <c r="AK69" s="196"/>
    </row>
    <row r="70" spans="1:37" x14ac:dyDescent="0.2">
      <c r="A70" s="144" t="s">
        <v>1205</v>
      </c>
      <c r="B70" s="145" t="s">
        <v>1214</v>
      </c>
      <c r="C70" s="145" t="s">
        <v>1363</v>
      </c>
      <c r="D70" s="145" t="s">
        <v>1364</v>
      </c>
      <c r="E70" s="145" t="s">
        <v>309</v>
      </c>
      <c r="F70" s="145" t="s">
        <v>1365</v>
      </c>
      <c r="G70" s="145" t="s">
        <v>1366</v>
      </c>
      <c r="H70" s="145" t="s">
        <v>321</v>
      </c>
      <c r="I70" s="145" t="s">
        <v>754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448</v>
      </c>
      <c r="O70" s="145" t="s">
        <v>339</v>
      </c>
      <c r="P70" s="145" t="s">
        <v>1330</v>
      </c>
      <c r="Q70" s="145" t="s">
        <v>413</v>
      </c>
      <c r="R70" s="145" t="s">
        <v>407</v>
      </c>
      <c r="S70" s="145" t="s">
        <v>1210</v>
      </c>
      <c r="T70" s="146">
        <v>3.05</v>
      </c>
      <c r="U70" s="145" t="s">
        <v>1367</v>
      </c>
      <c r="V70" s="148">
        <v>1.7500000000000002E-2</v>
      </c>
      <c r="W70" s="148">
        <v>2.546E-2</v>
      </c>
      <c r="X70" s="145" t="s">
        <v>412</v>
      </c>
      <c r="Y70" s="159"/>
      <c r="Z70" s="146">
        <v>5303.91</v>
      </c>
      <c r="AA70" s="146">
        <v>1</v>
      </c>
      <c r="AB70" s="146">
        <v>112.78</v>
      </c>
      <c r="AC70" s="151"/>
      <c r="AD70" s="146">
        <v>5.9820000000000002</v>
      </c>
      <c r="AE70" s="151"/>
      <c r="AF70" s="151"/>
      <c r="AG70" s="151"/>
      <c r="AH70" s="148">
        <v>0</v>
      </c>
      <c r="AI70" s="148">
        <v>2.3730000000000001E-2</v>
      </c>
      <c r="AJ70" s="149">
        <v>2.7699999999999999E-3</v>
      </c>
      <c r="AK70" s="196"/>
    </row>
    <row r="71" spans="1:37" x14ac:dyDescent="0.2">
      <c r="A71" s="144" t="s">
        <v>1205</v>
      </c>
      <c r="B71" s="145" t="s">
        <v>1214</v>
      </c>
      <c r="C71" s="145" t="s">
        <v>1558</v>
      </c>
      <c r="D71" s="145" t="s">
        <v>1559</v>
      </c>
      <c r="E71" s="145" t="s">
        <v>309</v>
      </c>
      <c r="F71" s="145" t="s">
        <v>1560</v>
      </c>
      <c r="G71" s="145" t="s">
        <v>1561</v>
      </c>
      <c r="H71" s="145" t="s">
        <v>321</v>
      </c>
      <c r="I71" s="145" t="s">
        <v>754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464</v>
      </c>
      <c r="O71" s="145" t="s">
        <v>339</v>
      </c>
      <c r="P71" s="145" t="s">
        <v>1562</v>
      </c>
      <c r="Q71" s="145" t="s">
        <v>413</v>
      </c>
      <c r="R71" s="145" t="s">
        <v>407</v>
      </c>
      <c r="S71" s="145" t="s">
        <v>1210</v>
      </c>
      <c r="T71" s="146">
        <v>2.4900000000000002</v>
      </c>
      <c r="U71" s="145" t="s">
        <v>1494</v>
      </c>
      <c r="V71" s="148">
        <v>1.7999999999999999E-2</v>
      </c>
      <c r="W71" s="148">
        <v>2.9749999999999999E-2</v>
      </c>
      <c r="X71" s="145" t="s">
        <v>412</v>
      </c>
      <c r="Y71" s="159"/>
      <c r="Z71" s="146">
        <v>4945.5</v>
      </c>
      <c r="AA71" s="146">
        <v>1</v>
      </c>
      <c r="AB71" s="146">
        <v>113.34</v>
      </c>
      <c r="AC71" s="151"/>
      <c r="AD71" s="146">
        <v>5.6050000000000004</v>
      </c>
      <c r="AE71" s="151"/>
      <c r="AF71" s="151"/>
      <c r="AG71" s="151"/>
      <c r="AH71" s="148">
        <v>1.0000000000000001E-5</v>
      </c>
      <c r="AI71" s="148">
        <v>2.2239999999999999E-2</v>
      </c>
      <c r="AJ71" s="149">
        <v>2.5899999999999999E-3</v>
      </c>
      <c r="AK71" s="196"/>
    </row>
    <row r="72" spans="1:37" x14ac:dyDescent="0.2">
      <c r="A72" s="144" t="s">
        <v>1205</v>
      </c>
      <c r="B72" s="145" t="s">
        <v>1214</v>
      </c>
      <c r="C72" s="145" t="s">
        <v>1394</v>
      </c>
      <c r="D72" s="145" t="s">
        <v>1395</v>
      </c>
      <c r="E72" s="145" t="s">
        <v>309</v>
      </c>
      <c r="F72" s="145" t="s">
        <v>1467</v>
      </c>
      <c r="G72" s="145" t="s">
        <v>1468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445</v>
      </c>
      <c r="O72" s="145" t="s">
        <v>339</v>
      </c>
      <c r="P72" s="145" t="s">
        <v>1358</v>
      </c>
      <c r="Q72" s="145" t="s">
        <v>415</v>
      </c>
      <c r="R72" s="145" t="s">
        <v>407</v>
      </c>
      <c r="S72" s="145" t="s">
        <v>1210</v>
      </c>
      <c r="T72" s="146">
        <v>1.72</v>
      </c>
      <c r="U72" s="145" t="s">
        <v>1425</v>
      </c>
      <c r="V72" s="148">
        <v>2.4E-2</v>
      </c>
      <c r="W72" s="148">
        <v>2.5260000000000001E-2</v>
      </c>
      <c r="X72" s="145" t="s">
        <v>412</v>
      </c>
      <c r="Y72" s="159"/>
      <c r="Z72" s="146">
        <v>4726.51</v>
      </c>
      <c r="AA72" s="146">
        <v>1</v>
      </c>
      <c r="AB72" s="146">
        <v>116.02</v>
      </c>
      <c r="AC72" s="151"/>
      <c r="AD72" s="146">
        <v>5.484</v>
      </c>
      <c r="AE72" s="151"/>
      <c r="AF72" s="151"/>
      <c r="AG72" s="151"/>
      <c r="AH72" s="148">
        <v>2.0000000000000002E-5</v>
      </c>
      <c r="AI72" s="148">
        <v>2.1760000000000002E-2</v>
      </c>
      <c r="AJ72" s="149">
        <v>2.5400000000000002E-3</v>
      </c>
      <c r="AK72" s="196"/>
    </row>
    <row r="73" spans="1:37" x14ac:dyDescent="0.2">
      <c r="A73" s="144" t="s">
        <v>1205</v>
      </c>
      <c r="B73" s="145" t="s">
        <v>1214</v>
      </c>
      <c r="C73" s="145" t="s">
        <v>1563</v>
      </c>
      <c r="D73" s="145" t="s">
        <v>1564</v>
      </c>
      <c r="E73" s="145" t="s">
        <v>309</v>
      </c>
      <c r="F73" s="145" t="s">
        <v>1565</v>
      </c>
      <c r="G73" s="145" t="s">
        <v>1566</v>
      </c>
      <c r="H73" s="145" t="s">
        <v>321</v>
      </c>
      <c r="I73" s="145" t="s">
        <v>951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447</v>
      </c>
      <c r="O73" s="145" t="s">
        <v>339</v>
      </c>
      <c r="P73" s="145" t="s">
        <v>1375</v>
      </c>
      <c r="Q73" s="145" t="s">
        <v>415</v>
      </c>
      <c r="R73" s="145" t="s">
        <v>407</v>
      </c>
      <c r="S73" s="145" t="s">
        <v>1210</v>
      </c>
      <c r="T73" s="146">
        <v>2.0299999999999998</v>
      </c>
      <c r="U73" s="145" t="s">
        <v>1494</v>
      </c>
      <c r="V73" s="148">
        <v>4.53E-2</v>
      </c>
      <c r="W73" s="148">
        <v>5.8549999999999998E-2</v>
      </c>
      <c r="X73" s="145" t="s">
        <v>412</v>
      </c>
      <c r="Y73" s="159"/>
      <c r="Z73" s="146">
        <v>5480.1</v>
      </c>
      <c r="AA73" s="146">
        <v>1</v>
      </c>
      <c r="AB73" s="146">
        <v>98.67</v>
      </c>
      <c r="AC73" s="151"/>
      <c r="AD73" s="146">
        <v>5.407</v>
      </c>
      <c r="AE73" s="151"/>
      <c r="AF73" s="151"/>
      <c r="AG73" s="151"/>
      <c r="AH73" s="148">
        <v>1.0000000000000001E-5</v>
      </c>
      <c r="AI73" s="148">
        <v>2.145E-2</v>
      </c>
      <c r="AJ73" s="149">
        <v>2.5000000000000001E-3</v>
      </c>
      <c r="AK73" s="196"/>
    </row>
    <row r="74" spans="1:37" x14ac:dyDescent="0.2">
      <c r="A74" s="144" t="s">
        <v>1205</v>
      </c>
      <c r="B74" s="145" t="s">
        <v>1214</v>
      </c>
      <c r="C74" s="145" t="s">
        <v>1318</v>
      </c>
      <c r="D74" s="145" t="s">
        <v>1319</v>
      </c>
      <c r="E74" s="145" t="s">
        <v>313</v>
      </c>
      <c r="F74" s="145" t="s">
        <v>1323</v>
      </c>
      <c r="G74" s="145" t="s">
        <v>1324</v>
      </c>
      <c r="H74" s="145" t="s">
        <v>321</v>
      </c>
      <c r="I74" s="145" t="s">
        <v>754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1209</v>
      </c>
      <c r="Q74" s="145" t="s">
        <v>415</v>
      </c>
      <c r="R74" s="145" t="s">
        <v>407</v>
      </c>
      <c r="S74" s="145" t="s">
        <v>1210</v>
      </c>
      <c r="T74" s="146">
        <v>7.27</v>
      </c>
      <c r="U74" s="145" t="s">
        <v>1325</v>
      </c>
      <c r="V74" s="148">
        <v>0.03</v>
      </c>
      <c r="W74" s="148">
        <v>2.9510000000000002E-2</v>
      </c>
      <c r="X74" s="145" t="s">
        <v>412</v>
      </c>
      <c r="Y74" s="159"/>
      <c r="Z74" s="146">
        <v>5000</v>
      </c>
      <c r="AA74" s="146">
        <v>1</v>
      </c>
      <c r="AB74" s="146">
        <v>106.29</v>
      </c>
      <c r="AC74" s="151"/>
      <c r="AD74" s="146">
        <v>5.3150000000000004</v>
      </c>
      <c r="AE74" s="151"/>
      <c r="AF74" s="151"/>
      <c r="AG74" s="151"/>
      <c r="AH74" s="148">
        <v>0</v>
      </c>
      <c r="AI74" s="148">
        <v>2.1090000000000001E-2</v>
      </c>
      <c r="AJ74" s="149">
        <v>2.4599999999999999E-3</v>
      </c>
      <c r="AK74" s="196"/>
    </row>
    <row r="75" spans="1:37" x14ac:dyDescent="0.2">
      <c r="A75" s="144" t="s">
        <v>1205</v>
      </c>
      <c r="B75" s="145" t="s">
        <v>1214</v>
      </c>
      <c r="C75" s="145" t="s">
        <v>1326</v>
      </c>
      <c r="D75" s="145" t="s">
        <v>1327</v>
      </c>
      <c r="E75" s="145" t="s">
        <v>309</v>
      </c>
      <c r="F75" s="145" t="s">
        <v>1343</v>
      </c>
      <c r="G75" s="145" t="s">
        <v>1344</v>
      </c>
      <c r="H75" s="145" t="s">
        <v>321</v>
      </c>
      <c r="I75" s="145" t="s">
        <v>754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448</v>
      </c>
      <c r="O75" s="145" t="s">
        <v>339</v>
      </c>
      <c r="P75" s="145" t="s">
        <v>1209</v>
      </c>
      <c r="Q75" s="145" t="s">
        <v>415</v>
      </c>
      <c r="R75" s="145" t="s">
        <v>407</v>
      </c>
      <c r="S75" s="145" t="s">
        <v>1210</v>
      </c>
      <c r="T75" s="146">
        <v>1.67</v>
      </c>
      <c r="U75" s="145" t="s">
        <v>1345</v>
      </c>
      <c r="V75" s="148">
        <v>5.0000000000000001E-3</v>
      </c>
      <c r="W75" s="148">
        <v>2.4320000000000001E-2</v>
      </c>
      <c r="X75" s="145" t="s">
        <v>412</v>
      </c>
      <c r="Y75" s="159"/>
      <c r="Z75" s="146">
        <v>4526</v>
      </c>
      <c r="AA75" s="146">
        <v>1</v>
      </c>
      <c r="AB75" s="146">
        <v>111.01</v>
      </c>
      <c r="AC75" s="151"/>
      <c r="AD75" s="146">
        <v>5.024</v>
      </c>
      <c r="AE75" s="151"/>
      <c r="AF75" s="151"/>
      <c r="AG75" s="151"/>
      <c r="AH75" s="148">
        <v>1.0000000000000001E-5</v>
      </c>
      <c r="AI75" s="148">
        <v>1.993E-2</v>
      </c>
      <c r="AJ75" s="149">
        <v>2.33E-3</v>
      </c>
      <c r="AK75" s="196"/>
    </row>
    <row r="76" spans="1:37" x14ac:dyDescent="0.2">
      <c r="A76" s="144" t="s">
        <v>1205</v>
      </c>
      <c r="B76" s="145" t="s">
        <v>1214</v>
      </c>
      <c r="C76" s="145" t="s">
        <v>1326</v>
      </c>
      <c r="D76" s="145" t="s">
        <v>1327</v>
      </c>
      <c r="E76" s="145" t="s">
        <v>309</v>
      </c>
      <c r="F76" s="145" t="s">
        <v>1328</v>
      </c>
      <c r="G76" s="145" t="s">
        <v>1329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448</v>
      </c>
      <c r="O76" s="145" t="s">
        <v>339</v>
      </c>
      <c r="P76" s="145" t="s">
        <v>1330</v>
      </c>
      <c r="Q76" s="145" t="s">
        <v>413</v>
      </c>
      <c r="R76" s="145" t="s">
        <v>407</v>
      </c>
      <c r="S76" s="145" t="s">
        <v>1210</v>
      </c>
      <c r="T76" s="146">
        <v>1.22</v>
      </c>
      <c r="U76" s="145" t="s">
        <v>1331</v>
      </c>
      <c r="V76" s="148">
        <v>3.8E-3</v>
      </c>
      <c r="W76" s="148">
        <v>2.3910000000000001E-2</v>
      </c>
      <c r="X76" s="145" t="s">
        <v>412</v>
      </c>
      <c r="Y76" s="159"/>
      <c r="Z76" s="146">
        <v>4177</v>
      </c>
      <c r="AA76" s="146">
        <v>1</v>
      </c>
      <c r="AB76" s="146">
        <v>111.45</v>
      </c>
      <c r="AC76" s="151"/>
      <c r="AD76" s="146">
        <v>4.6550000000000002</v>
      </c>
      <c r="AE76" s="151"/>
      <c r="AF76" s="151"/>
      <c r="AG76" s="151"/>
      <c r="AH76" s="148">
        <v>0</v>
      </c>
      <c r="AI76" s="148">
        <v>1.847E-2</v>
      </c>
      <c r="AJ76" s="149">
        <v>2.15E-3</v>
      </c>
      <c r="AK76" s="196"/>
    </row>
    <row r="77" spans="1:37" x14ac:dyDescent="0.2">
      <c r="A77" s="144" t="s">
        <v>1205</v>
      </c>
      <c r="B77" s="145" t="s">
        <v>1214</v>
      </c>
      <c r="C77" s="145" t="s">
        <v>1335</v>
      </c>
      <c r="D77" s="145" t="s">
        <v>1336</v>
      </c>
      <c r="E77" s="145" t="s">
        <v>309</v>
      </c>
      <c r="F77" s="145" t="s">
        <v>1368</v>
      </c>
      <c r="G77" s="145" t="s">
        <v>1369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448</v>
      </c>
      <c r="O77" s="145" t="s">
        <v>339</v>
      </c>
      <c r="P77" s="145" t="s">
        <v>1330</v>
      </c>
      <c r="Q77" s="145" t="s">
        <v>413</v>
      </c>
      <c r="R77" s="145" t="s">
        <v>407</v>
      </c>
      <c r="S77" s="145" t="s">
        <v>1210</v>
      </c>
      <c r="T77" s="146">
        <v>4.5999999999999996</v>
      </c>
      <c r="U77" s="145" t="s">
        <v>1370</v>
      </c>
      <c r="V77" s="148">
        <v>2.0199999999999999E-2</v>
      </c>
      <c r="W77" s="148">
        <v>2.5819999999999999E-2</v>
      </c>
      <c r="X77" s="145" t="s">
        <v>412</v>
      </c>
      <c r="Y77" s="159"/>
      <c r="Z77" s="146">
        <v>4000</v>
      </c>
      <c r="AA77" s="146">
        <v>1</v>
      </c>
      <c r="AB77" s="146">
        <v>101.85</v>
      </c>
      <c r="AC77" s="151"/>
      <c r="AD77" s="146">
        <v>4.0739999999999998</v>
      </c>
      <c r="AE77" s="151"/>
      <c r="AF77" s="151"/>
      <c r="AG77" s="151"/>
      <c r="AH77" s="148">
        <v>0</v>
      </c>
      <c r="AI77" s="148">
        <v>1.6160000000000001E-2</v>
      </c>
      <c r="AJ77" s="149">
        <v>1.89E-3</v>
      </c>
      <c r="AK77" s="196"/>
    </row>
    <row r="78" spans="1:37" x14ac:dyDescent="0.2">
      <c r="A78" s="144" t="s">
        <v>1205</v>
      </c>
      <c r="B78" s="145" t="s">
        <v>1214</v>
      </c>
      <c r="C78" s="145" t="s">
        <v>1402</v>
      </c>
      <c r="D78" s="145" t="s">
        <v>1403</v>
      </c>
      <c r="E78" s="145" t="s">
        <v>309</v>
      </c>
      <c r="F78" s="145" t="s">
        <v>1448</v>
      </c>
      <c r="G78" s="145" t="s">
        <v>1449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445</v>
      </c>
      <c r="O78" s="145" t="s">
        <v>339</v>
      </c>
      <c r="P78" s="145" t="s">
        <v>1406</v>
      </c>
      <c r="Q78" s="145" t="s">
        <v>415</v>
      </c>
      <c r="R78" s="145" t="s">
        <v>407</v>
      </c>
      <c r="S78" s="145" t="s">
        <v>1210</v>
      </c>
      <c r="T78" s="146">
        <v>4.68</v>
      </c>
      <c r="U78" s="145" t="s">
        <v>1450</v>
      </c>
      <c r="V78" s="148">
        <v>4.6899999999999997E-2</v>
      </c>
      <c r="W78" s="148">
        <v>5.033E-2</v>
      </c>
      <c r="X78" s="145" t="s">
        <v>412</v>
      </c>
      <c r="Y78" s="159"/>
      <c r="Z78" s="146">
        <v>4000</v>
      </c>
      <c r="AA78" s="146">
        <v>1</v>
      </c>
      <c r="AB78" s="146">
        <v>98.85</v>
      </c>
      <c r="AC78" s="151"/>
      <c r="AD78" s="146">
        <v>3.9540000000000002</v>
      </c>
      <c r="AE78" s="151"/>
      <c r="AF78" s="151"/>
      <c r="AG78" s="151"/>
      <c r="AH78" s="148">
        <v>1.0000000000000001E-5</v>
      </c>
      <c r="AI78" s="148">
        <v>1.5689999999999999E-2</v>
      </c>
      <c r="AJ78" s="149">
        <v>1.83E-3</v>
      </c>
      <c r="AK78" s="196"/>
    </row>
    <row r="79" spans="1:37" x14ac:dyDescent="0.2">
      <c r="A79" s="144" t="s">
        <v>1205</v>
      </c>
      <c r="B79" s="145" t="s">
        <v>1214</v>
      </c>
      <c r="C79" s="145" t="s">
        <v>1480</v>
      </c>
      <c r="D79" s="145" t="s">
        <v>1481</v>
      </c>
      <c r="E79" s="145" t="s">
        <v>309</v>
      </c>
      <c r="F79" s="145" t="s">
        <v>1482</v>
      </c>
      <c r="G79" s="145" t="s">
        <v>1483</v>
      </c>
      <c r="H79" s="145" t="s">
        <v>321</v>
      </c>
      <c r="I79" s="145" t="s">
        <v>951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475</v>
      </c>
      <c r="O79" s="145" t="s">
        <v>339</v>
      </c>
      <c r="P79" s="145" t="s">
        <v>1392</v>
      </c>
      <c r="Q79" s="145" t="s">
        <v>413</v>
      </c>
      <c r="R79" s="145" t="s">
        <v>407</v>
      </c>
      <c r="S79" s="145" t="s">
        <v>1210</v>
      </c>
      <c r="T79" s="146">
        <v>2.34</v>
      </c>
      <c r="U79" s="145" t="s">
        <v>1484</v>
      </c>
      <c r="V79" s="148">
        <v>5.0900000000000001E-2</v>
      </c>
      <c r="W79" s="148">
        <v>4.7509999999999997E-2</v>
      </c>
      <c r="X79" s="145" t="s">
        <v>412</v>
      </c>
      <c r="Y79" s="159"/>
      <c r="Z79" s="146">
        <v>3664.22</v>
      </c>
      <c r="AA79" s="146">
        <v>1</v>
      </c>
      <c r="AB79" s="146">
        <v>103.18</v>
      </c>
      <c r="AC79" s="151"/>
      <c r="AD79" s="146">
        <v>3.7810000000000001</v>
      </c>
      <c r="AE79" s="151"/>
      <c r="AF79" s="151"/>
      <c r="AG79" s="151"/>
      <c r="AH79" s="148">
        <v>1.0000000000000001E-5</v>
      </c>
      <c r="AI79" s="148">
        <v>1.4999999999999999E-2</v>
      </c>
      <c r="AJ79" s="149">
        <v>1.75E-3</v>
      </c>
      <c r="AK79" s="196"/>
    </row>
    <row r="80" spans="1:37" x14ac:dyDescent="0.2">
      <c r="A80" s="144" t="s">
        <v>1205</v>
      </c>
      <c r="B80" s="145" t="s">
        <v>1214</v>
      </c>
      <c r="C80" s="145" t="s">
        <v>1326</v>
      </c>
      <c r="D80" s="145" t="s">
        <v>1327</v>
      </c>
      <c r="E80" s="145" t="s">
        <v>309</v>
      </c>
      <c r="F80" s="145" t="s">
        <v>1451</v>
      </c>
      <c r="G80" s="145" t="s">
        <v>1452</v>
      </c>
      <c r="H80" s="145" t="s">
        <v>321</v>
      </c>
      <c r="I80" s="145" t="s">
        <v>754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448</v>
      </c>
      <c r="O80" s="145" t="s">
        <v>339</v>
      </c>
      <c r="P80" s="145" t="s">
        <v>1330</v>
      </c>
      <c r="Q80" s="145" t="s">
        <v>413</v>
      </c>
      <c r="R80" s="145" t="s">
        <v>407</v>
      </c>
      <c r="S80" s="145" t="s">
        <v>1210</v>
      </c>
      <c r="T80" s="146">
        <v>4.45</v>
      </c>
      <c r="U80" s="145" t="s">
        <v>1453</v>
      </c>
      <c r="V80" s="148">
        <v>1.9900000000000001E-2</v>
      </c>
      <c r="W80" s="148">
        <v>2.5350000000000001E-2</v>
      </c>
      <c r="X80" s="145" t="s">
        <v>412</v>
      </c>
      <c r="Y80" s="159"/>
      <c r="Z80" s="146">
        <v>3600</v>
      </c>
      <c r="AA80" s="146">
        <v>1</v>
      </c>
      <c r="AB80" s="146">
        <v>101.81</v>
      </c>
      <c r="AC80" s="151"/>
      <c r="AD80" s="146">
        <v>3.665</v>
      </c>
      <c r="AE80" s="151"/>
      <c r="AF80" s="151"/>
      <c r="AG80" s="151"/>
      <c r="AH80" s="148">
        <v>0</v>
      </c>
      <c r="AI80" s="148">
        <v>1.4540000000000001E-2</v>
      </c>
      <c r="AJ80" s="149">
        <v>1.6999999999999999E-3</v>
      </c>
      <c r="AK80" s="196"/>
    </row>
    <row r="81" spans="1:37" x14ac:dyDescent="0.2">
      <c r="A81" s="144" t="s">
        <v>1205</v>
      </c>
      <c r="B81" s="145" t="s">
        <v>1214</v>
      </c>
      <c r="C81" s="145" t="s">
        <v>1318</v>
      </c>
      <c r="D81" s="145" t="s">
        <v>1319</v>
      </c>
      <c r="E81" s="145" t="s">
        <v>313</v>
      </c>
      <c r="F81" s="145" t="s">
        <v>1464</v>
      </c>
      <c r="G81" s="145" t="s">
        <v>1465</v>
      </c>
      <c r="H81" s="145" t="s">
        <v>321</v>
      </c>
      <c r="I81" s="145" t="s">
        <v>754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440</v>
      </c>
      <c r="O81" s="145" t="s">
        <v>339</v>
      </c>
      <c r="P81" s="145" t="s">
        <v>1209</v>
      </c>
      <c r="Q81" s="145" t="s">
        <v>415</v>
      </c>
      <c r="R81" s="145" t="s">
        <v>407</v>
      </c>
      <c r="S81" s="145" t="s">
        <v>1210</v>
      </c>
      <c r="T81" s="146">
        <v>0.9</v>
      </c>
      <c r="U81" s="145" t="s">
        <v>1466</v>
      </c>
      <c r="V81" s="148">
        <v>4.4999999999999998E-2</v>
      </c>
      <c r="W81" s="148">
        <v>2.3970000000000002E-2</v>
      </c>
      <c r="X81" s="145" t="s">
        <v>412</v>
      </c>
      <c r="Y81" s="159"/>
      <c r="Z81" s="146">
        <v>3034</v>
      </c>
      <c r="AA81" s="146">
        <v>1</v>
      </c>
      <c r="AB81" s="146">
        <v>119.86</v>
      </c>
      <c r="AC81" s="151"/>
      <c r="AD81" s="146">
        <v>3.637</v>
      </c>
      <c r="AE81" s="151"/>
      <c r="AF81" s="151"/>
      <c r="AG81" s="151"/>
      <c r="AH81" s="148">
        <v>0</v>
      </c>
      <c r="AI81" s="148">
        <v>1.443E-2</v>
      </c>
      <c r="AJ81" s="149">
        <v>1.6800000000000001E-3</v>
      </c>
      <c r="AK81" s="196"/>
    </row>
    <row r="82" spans="1:37" x14ac:dyDescent="0.2">
      <c r="A82" s="144" t="s">
        <v>1205</v>
      </c>
      <c r="B82" s="145" t="s">
        <v>1214</v>
      </c>
      <c r="C82" s="145" t="s">
        <v>1567</v>
      </c>
      <c r="D82" s="145" t="s">
        <v>1568</v>
      </c>
      <c r="E82" s="145" t="s">
        <v>309</v>
      </c>
      <c r="F82" s="145" t="s">
        <v>1569</v>
      </c>
      <c r="G82" s="145" t="s">
        <v>1570</v>
      </c>
      <c r="H82" s="145" t="s">
        <v>321</v>
      </c>
      <c r="I82" s="145" t="s">
        <v>754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440</v>
      </c>
      <c r="O82" s="145" t="s">
        <v>339</v>
      </c>
      <c r="P82" s="145" t="s">
        <v>1375</v>
      </c>
      <c r="Q82" s="145" t="s">
        <v>415</v>
      </c>
      <c r="R82" s="145" t="s">
        <v>407</v>
      </c>
      <c r="S82" s="145" t="s">
        <v>1210</v>
      </c>
      <c r="T82" s="146">
        <v>3.45</v>
      </c>
      <c r="U82" s="145" t="s">
        <v>1428</v>
      </c>
      <c r="V82" s="148">
        <v>1.7999999999999999E-2</v>
      </c>
      <c r="W82" s="148">
        <v>3.4950000000000002E-2</v>
      </c>
      <c r="X82" s="145" t="s">
        <v>412</v>
      </c>
      <c r="Y82" s="159"/>
      <c r="Z82" s="146">
        <v>2800</v>
      </c>
      <c r="AA82" s="146">
        <v>1</v>
      </c>
      <c r="AB82" s="146">
        <v>109.14</v>
      </c>
      <c r="AC82" s="151"/>
      <c r="AD82" s="146">
        <v>3.056</v>
      </c>
      <c r="AE82" s="151"/>
      <c r="AF82" s="151"/>
      <c r="AG82" s="151"/>
      <c r="AH82" s="148">
        <v>0</v>
      </c>
      <c r="AI82" s="148">
        <v>1.2120000000000001E-2</v>
      </c>
      <c r="AJ82" s="149">
        <v>1.41E-3</v>
      </c>
      <c r="AK82" s="196"/>
    </row>
    <row r="83" spans="1:37" x14ac:dyDescent="0.2">
      <c r="A83" s="144" t="s">
        <v>1205</v>
      </c>
      <c r="B83" s="145" t="s">
        <v>1214</v>
      </c>
      <c r="C83" s="145" t="s">
        <v>1571</v>
      </c>
      <c r="D83" s="145" t="s">
        <v>1572</v>
      </c>
      <c r="E83" s="145" t="s">
        <v>309</v>
      </c>
      <c r="F83" s="145" t="s">
        <v>1573</v>
      </c>
      <c r="G83" s="145" t="s">
        <v>1574</v>
      </c>
      <c r="H83" s="145" t="s">
        <v>321</v>
      </c>
      <c r="I83" s="145" t="s">
        <v>951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443</v>
      </c>
      <c r="O83" s="145" t="s">
        <v>339</v>
      </c>
      <c r="P83" s="145" t="s">
        <v>1433</v>
      </c>
      <c r="Q83" s="145" t="s">
        <v>415</v>
      </c>
      <c r="R83" s="145" t="s">
        <v>407</v>
      </c>
      <c r="S83" s="145" t="s">
        <v>1210</v>
      </c>
      <c r="T83" s="146">
        <v>0.47</v>
      </c>
      <c r="U83" s="145" t="s">
        <v>1575</v>
      </c>
      <c r="V83" s="148">
        <v>4.7500000000000001E-2</v>
      </c>
      <c r="W83" s="148">
        <v>5.9470000000000002E-2</v>
      </c>
      <c r="X83" s="145" t="s">
        <v>412</v>
      </c>
      <c r="Y83" s="159"/>
      <c r="Z83" s="146">
        <v>3065.2</v>
      </c>
      <c r="AA83" s="146">
        <v>1</v>
      </c>
      <c r="AB83" s="146">
        <v>99.61</v>
      </c>
      <c r="AC83" s="151"/>
      <c r="AD83" s="146">
        <v>3.0529999999999999</v>
      </c>
      <c r="AE83" s="151"/>
      <c r="AF83" s="151"/>
      <c r="AG83" s="151"/>
      <c r="AH83" s="148">
        <v>0</v>
      </c>
      <c r="AI83" s="148">
        <v>1.2109999999999999E-2</v>
      </c>
      <c r="AJ83" s="149">
        <v>1.41E-3</v>
      </c>
      <c r="AK83" s="196"/>
    </row>
    <row r="84" spans="1:37" x14ac:dyDescent="0.2">
      <c r="A84" s="144" t="s">
        <v>1205</v>
      </c>
      <c r="B84" s="145" t="s">
        <v>1214</v>
      </c>
      <c r="C84" s="145" t="s">
        <v>1576</v>
      </c>
      <c r="D84" s="145" t="s">
        <v>1577</v>
      </c>
      <c r="E84" s="145" t="s">
        <v>309</v>
      </c>
      <c r="F84" s="145" t="s">
        <v>1578</v>
      </c>
      <c r="G84" s="145" t="s">
        <v>1579</v>
      </c>
      <c r="H84" s="145" t="s">
        <v>321</v>
      </c>
      <c r="I84" s="145" t="s">
        <v>951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464</v>
      </c>
      <c r="O84" s="145" t="s">
        <v>339</v>
      </c>
      <c r="P84" s="145" t="s">
        <v>1350</v>
      </c>
      <c r="Q84" s="145" t="s">
        <v>413</v>
      </c>
      <c r="R84" s="145" t="s">
        <v>407</v>
      </c>
      <c r="S84" s="145" t="s">
        <v>1210</v>
      </c>
      <c r="T84" s="146">
        <v>6.16</v>
      </c>
      <c r="U84" s="145" t="s">
        <v>1580</v>
      </c>
      <c r="V84" s="148">
        <v>4.9399999999999999E-2</v>
      </c>
      <c r="W84" s="148">
        <v>5.5919999999999997E-2</v>
      </c>
      <c r="X84" s="145" t="s">
        <v>412</v>
      </c>
      <c r="Y84" s="159"/>
      <c r="Z84" s="146">
        <v>2531.11</v>
      </c>
      <c r="AA84" s="146">
        <v>1</v>
      </c>
      <c r="AB84" s="146">
        <v>96.63</v>
      </c>
      <c r="AC84" s="151"/>
      <c r="AD84" s="146">
        <v>2.4460000000000002</v>
      </c>
      <c r="AE84" s="151"/>
      <c r="AF84" s="151"/>
      <c r="AG84" s="151"/>
      <c r="AH84" s="148">
        <v>0</v>
      </c>
      <c r="AI84" s="148">
        <v>9.7000000000000003E-3</v>
      </c>
      <c r="AJ84" s="149">
        <v>1.1299999999999999E-3</v>
      </c>
      <c r="AK84" s="196"/>
    </row>
    <row r="85" spans="1:37" x14ac:dyDescent="0.2">
      <c r="A85" s="144" t="s">
        <v>1205</v>
      </c>
      <c r="B85" s="145" t="s">
        <v>1214</v>
      </c>
      <c r="C85" s="145" t="s">
        <v>1346</v>
      </c>
      <c r="D85" s="145" t="s">
        <v>1347</v>
      </c>
      <c r="E85" s="145" t="s">
        <v>309</v>
      </c>
      <c r="F85" s="145" t="s">
        <v>1407</v>
      </c>
      <c r="G85" s="145" t="s">
        <v>1408</v>
      </c>
      <c r="H85" s="145" t="s">
        <v>321</v>
      </c>
      <c r="I85" s="145" t="s">
        <v>951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445</v>
      </c>
      <c r="O85" s="145" t="s">
        <v>339</v>
      </c>
      <c r="P85" s="145" t="s">
        <v>1350</v>
      </c>
      <c r="Q85" s="145" t="s">
        <v>413</v>
      </c>
      <c r="R85" s="145" t="s">
        <v>407</v>
      </c>
      <c r="S85" s="145" t="s">
        <v>1210</v>
      </c>
      <c r="T85" s="146">
        <v>7.41</v>
      </c>
      <c r="U85" s="145" t="s">
        <v>1409</v>
      </c>
      <c r="V85" s="148">
        <v>5.3100000000000001E-2</v>
      </c>
      <c r="W85" s="148">
        <v>5.4260000000000003E-2</v>
      </c>
      <c r="X85" s="145" t="s">
        <v>412</v>
      </c>
      <c r="Y85" s="159"/>
      <c r="Z85" s="146">
        <v>2283.81</v>
      </c>
      <c r="AA85" s="146">
        <v>1</v>
      </c>
      <c r="AB85" s="146">
        <v>100.54</v>
      </c>
      <c r="AC85" s="151"/>
      <c r="AD85" s="146">
        <v>2.2959999999999998</v>
      </c>
      <c r="AE85" s="151"/>
      <c r="AF85" s="151"/>
      <c r="AG85" s="151"/>
      <c r="AH85" s="148">
        <v>0</v>
      </c>
      <c r="AI85" s="148">
        <v>9.11E-3</v>
      </c>
      <c r="AJ85" s="149">
        <v>1.06E-3</v>
      </c>
      <c r="AK85" s="196"/>
    </row>
    <row r="86" spans="1:37" x14ac:dyDescent="0.2">
      <c r="A86" s="144" t="s">
        <v>1205</v>
      </c>
      <c r="B86" s="145" t="s">
        <v>1214</v>
      </c>
      <c r="C86" s="145" t="s">
        <v>1581</v>
      </c>
      <c r="D86" s="145" t="s">
        <v>1582</v>
      </c>
      <c r="E86" s="145" t="s">
        <v>309</v>
      </c>
      <c r="F86" s="145" t="s">
        <v>1583</v>
      </c>
      <c r="G86" s="145" t="s">
        <v>1584</v>
      </c>
      <c r="H86" s="145" t="s">
        <v>321</v>
      </c>
      <c r="I86" s="145" t="s">
        <v>754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464</v>
      </c>
      <c r="O86" s="145" t="s">
        <v>339</v>
      </c>
      <c r="P86" s="145" t="s">
        <v>1358</v>
      </c>
      <c r="Q86" s="145" t="s">
        <v>415</v>
      </c>
      <c r="R86" s="145" t="s">
        <v>407</v>
      </c>
      <c r="S86" s="145" t="s">
        <v>1210</v>
      </c>
      <c r="T86" s="146">
        <v>4</v>
      </c>
      <c r="U86" s="145" t="s">
        <v>1585</v>
      </c>
      <c r="V86" s="148">
        <v>1.17E-2</v>
      </c>
      <c r="W86" s="148">
        <v>2.9520000000000001E-2</v>
      </c>
      <c r="X86" s="145" t="s">
        <v>412</v>
      </c>
      <c r="Y86" s="159"/>
      <c r="Z86" s="146">
        <v>2135.2800000000002</v>
      </c>
      <c r="AA86" s="146">
        <v>1</v>
      </c>
      <c r="AB86" s="146">
        <v>107.32</v>
      </c>
      <c r="AC86" s="151"/>
      <c r="AD86" s="146">
        <v>2.2919999999999998</v>
      </c>
      <c r="AE86" s="151"/>
      <c r="AF86" s="151"/>
      <c r="AG86" s="151"/>
      <c r="AH86" s="148">
        <v>0</v>
      </c>
      <c r="AI86" s="148">
        <v>9.0900000000000009E-3</v>
      </c>
      <c r="AJ86" s="149">
        <v>1.06E-3</v>
      </c>
      <c r="AK86" s="196"/>
    </row>
    <row r="87" spans="1:37" x14ac:dyDescent="0.2">
      <c r="A87" s="144" t="s">
        <v>1205</v>
      </c>
      <c r="B87" s="145" t="s">
        <v>1214</v>
      </c>
      <c r="C87" s="145" t="s">
        <v>1354</v>
      </c>
      <c r="D87" s="145" t="s">
        <v>1355</v>
      </c>
      <c r="E87" s="145" t="s">
        <v>309</v>
      </c>
      <c r="F87" s="145" t="s">
        <v>1586</v>
      </c>
      <c r="G87" s="145" t="s">
        <v>1587</v>
      </c>
      <c r="H87" s="145" t="s">
        <v>321</v>
      </c>
      <c r="I87" s="145" t="s">
        <v>951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445</v>
      </c>
      <c r="O87" s="145" t="s">
        <v>339</v>
      </c>
      <c r="P87" s="145" t="s">
        <v>1358</v>
      </c>
      <c r="Q87" s="145" t="s">
        <v>415</v>
      </c>
      <c r="R87" s="145" t="s">
        <v>407</v>
      </c>
      <c r="S87" s="145" t="s">
        <v>1210</v>
      </c>
      <c r="T87" s="146">
        <v>1.48</v>
      </c>
      <c r="U87" s="145" t="s">
        <v>1509</v>
      </c>
      <c r="V87" s="148">
        <v>1.84E-2</v>
      </c>
      <c r="W87" s="148">
        <v>4.999E-2</v>
      </c>
      <c r="X87" s="145" t="s">
        <v>412</v>
      </c>
      <c r="Y87" s="159"/>
      <c r="Z87" s="146">
        <v>2389</v>
      </c>
      <c r="AA87" s="146">
        <v>1</v>
      </c>
      <c r="AB87" s="146">
        <v>95.58</v>
      </c>
      <c r="AC87" s="151"/>
      <c r="AD87" s="146">
        <v>2.2829999999999999</v>
      </c>
      <c r="AE87" s="151"/>
      <c r="AF87" s="151"/>
      <c r="AG87" s="151"/>
      <c r="AH87" s="148">
        <v>1.0000000000000001E-5</v>
      </c>
      <c r="AI87" s="148">
        <v>9.0600000000000003E-3</v>
      </c>
      <c r="AJ87" s="149">
        <v>1.06E-3</v>
      </c>
      <c r="AK87" s="196"/>
    </row>
    <row r="88" spans="1:37" x14ac:dyDescent="0.2">
      <c r="A88" s="144" t="s">
        <v>1205</v>
      </c>
      <c r="B88" s="145" t="s">
        <v>1214</v>
      </c>
      <c r="C88" s="145" t="s">
        <v>1335</v>
      </c>
      <c r="D88" s="145" t="s">
        <v>1336</v>
      </c>
      <c r="E88" s="145" t="s">
        <v>309</v>
      </c>
      <c r="F88" s="145" t="s">
        <v>1337</v>
      </c>
      <c r="G88" s="145" t="s">
        <v>1338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448</v>
      </c>
      <c r="O88" s="145" t="s">
        <v>339</v>
      </c>
      <c r="P88" s="145" t="s">
        <v>1330</v>
      </c>
      <c r="Q88" s="145" t="s">
        <v>413</v>
      </c>
      <c r="R88" s="145" t="s">
        <v>407</v>
      </c>
      <c r="S88" s="145" t="s">
        <v>1210</v>
      </c>
      <c r="T88" s="146">
        <v>4.6399999999999997</v>
      </c>
      <c r="U88" s="145" t="s">
        <v>1339</v>
      </c>
      <c r="V88" s="148">
        <v>1E-3</v>
      </c>
      <c r="W88" s="148">
        <v>2.571E-2</v>
      </c>
      <c r="X88" s="145" t="s">
        <v>412</v>
      </c>
      <c r="Y88" s="159"/>
      <c r="Z88" s="146">
        <v>2137</v>
      </c>
      <c r="AA88" s="146">
        <v>1</v>
      </c>
      <c r="AB88" s="146">
        <v>100.7</v>
      </c>
      <c r="AC88" s="151"/>
      <c r="AD88" s="146">
        <v>2.1520000000000001</v>
      </c>
      <c r="AE88" s="151"/>
      <c r="AF88" s="151"/>
      <c r="AG88" s="151"/>
      <c r="AH88" s="148">
        <v>0</v>
      </c>
      <c r="AI88" s="148">
        <v>8.5400000000000007E-3</v>
      </c>
      <c r="AJ88" s="149">
        <v>1E-3</v>
      </c>
      <c r="AK88" s="196"/>
    </row>
    <row r="89" spans="1:37" x14ac:dyDescent="0.2">
      <c r="A89" s="144" t="s">
        <v>1205</v>
      </c>
      <c r="B89" s="145" t="s">
        <v>1214</v>
      </c>
      <c r="C89" s="145" t="s">
        <v>1394</v>
      </c>
      <c r="D89" s="145" t="s">
        <v>1395</v>
      </c>
      <c r="E89" s="145" t="s">
        <v>309</v>
      </c>
      <c r="F89" s="145" t="s">
        <v>1492</v>
      </c>
      <c r="G89" s="145" t="s">
        <v>1493</v>
      </c>
      <c r="H89" s="145" t="s">
        <v>321</v>
      </c>
      <c r="I89" s="145" t="s">
        <v>951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445</v>
      </c>
      <c r="O89" s="145" t="s">
        <v>339</v>
      </c>
      <c r="P89" s="145" t="s">
        <v>1358</v>
      </c>
      <c r="Q89" s="145" t="s">
        <v>415</v>
      </c>
      <c r="R89" s="145" t="s">
        <v>407</v>
      </c>
      <c r="S89" s="145" t="s">
        <v>1210</v>
      </c>
      <c r="T89" s="146">
        <v>2.59</v>
      </c>
      <c r="U89" s="145" t="s">
        <v>1494</v>
      </c>
      <c r="V89" s="148">
        <v>4.36E-2</v>
      </c>
      <c r="W89" s="148">
        <v>4.6519999999999999E-2</v>
      </c>
      <c r="X89" s="145" t="s">
        <v>412</v>
      </c>
      <c r="Y89" s="159"/>
      <c r="Z89" s="146">
        <v>2000</v>
      </c>
      <c r="AA89" s="146">
        <v>1</v>
      </c>
      <c r="AB89" s="146">
        <v>100.47</v>
      </c>
      <c r="AC89" s="151"/>
      <c r="AD89" s="146">
        <v>2.0089999999999999</v>
      </c>
      <c r="AE89" s="151"/>
      <c r="AF89" s="151"/>
      <c r="AG89" s="151"/>
      <c r="AH89" s="148">
        <v>1.0000000000000001E-5</v>
      </c>
      <c r="AI89" s="148">
        <v>7.9699999999999997E-3</v>
      </c>
      <c r="AJ89" s="149">
        <v>9.3000000000000005E-4</v>
      </c>
      <c r="AK89" s="196"/>
    </row>
    <row r="90" spans="1:37" x14ac:dyDescent="0.2">
      <c r="A90" s="144" t="s">
        <v>1205</v>
      </c>
      <c r="B90" s="145" t="s">
        <v>1214</v>
      </c>
      <c r="C90" s="145" t="s">
        <v>1588</v>
      </c>
      <c r="D90" s="145" t="s">
        <v>1589</v>
      </c>
      <c r="E90" s="145" t="s">
        <v>309</v>
      </c>
      <c r="F90" s="145" t="s">
        <v>1590</v>
      </c>
      <c r="G90" s="145" t="s">
        <v>1591</v>
      </c>
      <c r="H90" s="145" t="s">
        <v>321</v>
      </c>
      <c r="I90" s="145" t="s">
        <v>951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451</v>
      </c>
      <c r="O90" s="145" t="s">
        <v>339</v>
      </c>
      <c r="P90" s="145" t="s">
        <v>1473</v>
      </c>
      <c r="Q90" s="145" t="s">
        <v>413</v>
      </c>
      <c r="R90" s="145" t="s">
        <v>407</v>
      </c>
      <c r="S90" s="145" t="s">
        <v>1210</v>
      </c>
      <c r="T90" s="146">
        <v>1.86</v>
      </c>
      <c r="U90" s="145" t="s">
        <v>1401</v>
      </c>
      <c r="V90" s="148">
        <v>2.1999999999999999E-2</v>
      </c>
      <c r="W90" s="148">
        <v>5.1889999999999999E-2</v>
      </c>
      <c r="X90" s="145" t="s">
        <v>412</v>
      </c>
      <c r="Y90" s="159"/>
      <c r="Z90" s="146">
        <v>1995.75</v>
      </c>
      <c r="AA90" s="146">
        <v>1</v>
      </c>
      <c r="AB90" s="146">
        <v>95.28</v>
      </c>
      <c r="AC90" s="151"/>
      <c r="AD90" s="146">
        <v>1.9019999999999999</v>
      </c>
      <c r="AE90" s="151"/>
      <c r="AF90" s="151"/>
      <c r="AG90" s="151"/>
      <c r="AH90" s="148">
        <v>0</v>
      </c>
      <c r="AI90" s="148">
        <v>7.5399999999999998E-3</v>
      </c>
      <c r="AJ90" s="149">
        <v>8.8000000000000003E-4</v>
      </c>
      <c r="AK90" s="196"/>
    </row>
    <row r="91" spans="1:37" x14ac:dyDescent="0.2">
      <c r="A91" s="144" t="s">
        <v>1205</v>
      </c>
      <c r="B91" s="145" t="s">
        <v>1214</v>
      </c>
      <c r="C91" s="145" t="s">
        <v>1543</v>
      </c>
      <c r="D91" s="145" t="s">
        <v>1544</v>
      </c>
      <c r="E91" s="145" t="s">
        <v>309</v>
      </c>
      <c r="F91" s="145" t="s">
        <v>1592</v>
      </c>
      <c r="G91" s="145" t="s">
        <v>1593</v>
      </c>
      <c r="H91" s="145" t="s">
        <v>321</v>
      </c>
      <c r="I91" s="145" t="s">
        <v>754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464</v>
      </c>
      <c r="O91" s="145" t="s">
        <v>339</v>
      </c>
      <c r="P91" s="145" t="s">
        <v>1594</v>
      </c>
      <c r="Q91" s="145" t="s">
        <v>415</v>
      </c>
      <c r="R91" s="145" t="s">
        <v>407</v>
      </c>
      <c r="S91" s="145" t="s">
        <v>1210</v>
      </c>
      <c r="T91" s="146">
        <v>2.0699999999999998</v>
      </c>
      <c r="U91" s="145" t="s">
        <v>1401</v>
      </c>
      <c r="V91" s="148">
        <v>1.77E-2</v>
      </c>
      <c r="W91" s="148">
        <v>2.751E-2</v>
      </c>
      <c r="X91" s="145" t="s">
        <v>412</v>
      </c>
      <c r="Y91" s="159"/>
      <c r="Z91" s="146">
        <v>1600</v>
      </c>
      <c r="AA91" s="146">
        <v>1</v>
      </c>
      <c r="AB91" s="146">
        <v>113.81</v>
      </c>
      <c r="AC91" s="151"/>
      <c r="AD91" s="146">
        <v>1.821</v>
      </c>
      <c r="AE91" s="151"/>
      <c r="AF91" s="151"/>
      <c r="AG91" s="151"/>
      <c r="AH91" s="148">
        <v>0</v>
      </c>
      <c r="AI91" s="148">
        <v>7.2199999999999999E-3</v>
      </c>
      <c r="AJ91" s="149">
        <v>8.4000000000000003E-4</v>
      </c>
      <c r="AK91" s="196"/>
    </row>
    <row r="92" spans="1:37" x14ac:dyDescent="0.2">
      <c r="A92" s="144" t="s">
        <v>1205</v>
      </c>
      <c r="B92" s="145" t="s">
        <v>1214</v>
      </c>
      <c r="C92" s="145" t="s">
        <v>1495</v>
      </c>
      <c r="D92" s="145" t="s">
        <v>1496</v>
      </c>
      <c r="E92" s="145" t="s">
        <v>309</v>
      </c>
      <c r="F92" s="145" t="s">
        <v>1497</v>
      </c>
      <c r="G92" s="145" t="s">
        <v>1498</v>
      </c>
      <c r="H92" s="145" t="s">
        <v>321</v>
      </c>
      <c r="I92" s="145" t="s">
        <v>754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448</v>
      </c>
      <c r="O92" s="145" t="s">
        <v>339</v>
      </c>
      <c r="P92" s="145" t="s">
        <v>1330</v>
      </c>
      <c r="Q92" s="145" t="s">
        <v>413</v>
      </c>
      <c r="R92" s="145" t="s">
        <v>407</v>
      </c>
      <c r="S92" s="145" t="s">
        <v>1210</v>
      </c>
      <c r="T92" s="146">
        <v>2.76</v>
      </c>
      <c r="U92" s="145" t="s">
        <v>1499</v>
      </c>
      <c r="V92" s="148">
        <v>1.4999999999999999E-2</v>
      </c>
      <c r="W92" s="148">
        <v>2.5190000000000001E-2</v>
      </c>
      <c r="X92" s="145" t="s">
        <v>412</v>
      </c>
      <c r="Y92" s="159"/>
      <c r="Z92" s="146">
        <v>1580.41</v>
      </c>
      <c r="AA92" s="146">
        <v>1</v>
      </c>
      <c r="AB92" s="146">
        <v>112.67</v>
      </c>
      <c r="AC92" s="151"/>
      <c r="AD92" s="146">
        <v>1.7809999999999999</v>
      </c>
      <c r="AE92" s="151"/>
      <c r="AF92" s="151"/>
      <c r="AG92" s="151"/>
      <c r="AH92" s="148">
        <v>1.0000000000000001E-5</v>
      </c>
      <c r="AI92" s="148">
        <v>7.0600000000000003E-3</v>
      </c>
      <c r="AJ92" s="149">
        <v>8.1999999999999998E-4</v>
      </c>
      <c r="AK92" s="196"/>
    </row>
    <row r="93" spans="1:37" x14ac:dyDescent="0.2">
      <c r="A93" s="144" t="s">
        <v>1205</v>
      </c>
      <c r="B93" s="145" t="s">
        <v>1214</v>
      </c>
      <c r="C93" s="145" t="s">
        <v>1469</v>
      </c>
      <c r="D93" s="145" t="s">
        <v>1470</v>
      </c>
      <c r="E93" s="145" t="s">
        <v>309</v>
      </c>
      <c r="F93" s="145" t="s">
        <v>1471</v>
      </c>
      <c r="G93" s="145" t="s">
        <v>1472</v>
      </c>
      <c r="H93" s="145" t="s">
        <v>321</v>
      </c>
      <c r="I93" s="145" t="s">
        <v>951</v>
      </c>
      <c r="J93" s="145" t="s">
        <v>204</v>
      </c>
      <c r="K93" s="145" t="s">
        <v>204</v>
      </c>
      <c r="L93" s="145" t="s">
        <v>325</v>
      </c>
      <c r="M93" s="145" t="s">
        <v>340</v>
      </c>
      <c r="N93" s="145" t="s">
        <v>451</v>
      </c>
      <c r="O93" s="145" t="s">
        <v>339</v>
      </c>
      <c r="P93" s="145" t="s">
        <v>1473</v>
      </c>
      <c r="Q93" s="145" t="s">
        <v>413</v>
      </c>
      <c r="R93" s="145" t="s">
        <v>407</v>
      </c>
      <c r="S93" s="145" t="s">
        <v>1210</v>
      </c>
      <c r="T93" s="146">
        <v>0.73</v>
      </c>
      <c r="U93" s="145" t="s">
        <v>1474</v>
      </c>
      <c r="V93" s="148">
        <v>0.04</v>
      </c>
      <c r="W93" s="148">
        <v>5.407E-2</v>
      </c>
      <c r="X93" s="145" t="s">
        <v>412</v>
      </c>
      <c r="Y93" s="159"/>
      <c r="Z93" s="146">
        <v>1571.07</v>
      </c>
      <c r="AA93" s="146">
        <v>1</v>
      </c>
      <c r="AB93" s="146">
        <v>100.05</v>
      </c>
      <c r="AC93" s="151"/>
      <c r="AD93" s="146">
        <v>1.5720000000000001</v>
      </c>
      <c r="AE93" s="151"/>
      <c r="AF93" s="151"/>
      <c r="AG93" s="151"/>
      <c r="AH93" s="148">
        <v>1.0000000000000001E-5</v>
      </c>
      <c r="AI93" s="148">
        <v>6.2399999999999999E-3</v>
      </c>
      <c r="AJ93" s="149">
        <v>7.2999999999999996E-4</v>
      </c>
      <c r="AK93" s="196"/>
    </row>
    <row r="94" spans="1:37" x14ac:dyDescent="0.2">
      <c r="A94" s="144" t="s">
        <v>1205</v>
      </c>
      <c r="B94" s="145" t="s">
        <v>1214</v>
      </c>
      <c r="C94" s="145" t="s">
        <v>1595</v>
      </c>
      <c r="D94" s="145" t="s">
        <v>1596</v>
      </c>
      <c r="E94" s="145" t="s">
        <v>309</v>
      </c>
      <c r="F94" s="145" t="s">
        <v>1597</v>
      </c>
      <c r="G94" s="145" t="s">
        <v>1598</v>
      </c>
      <c r="H94" s="145" t="s">
        <v>321</v>
      </c>
      <c r="I94" s="145" t="s">
        <v>951</v>
      </c>
      <c r="J94" s="145" t="s">
        <v>204</v>
      </c>
      <c r="K94" s="145" t="s">
        <v>224</v>
      </c>
      <c r="L94" s="145" t="s">
        <v>325</v>
      </c>
      <c r="M94" s="145" t="s">
        <v>340</v>
      </c>
      <c r="N94" s="145" t="s">
        <v>465</v>
      </c>
      <c r="O94" s="145" t="s">
        <v>339</v>
      </c>
      <c r="P94" s="145" t="s">
        <v>1473</v>
      </c>
      <c r="Q94" s="145" t="s">
        <v>413</v>
      </c>
      <c r="R94" s="145" t="s">
        <v>407</v>
      </c>
      <c r="S94" s="145" t="s">
        <v>1210</v>
      </c>
      <c r="T94" s="146">
        <v>0.66</v>
      </c>
      <c r="U94" s="145" t="s">
        <v>1599</v>
      </c>
      <c r="V94" s="148">
        <v>3.95E-2</v>
      </c>
      <c r="W94" s="148">
        <v>5.8720000000000001E-2</v>
      </c>
      <c r="X94" s="145" t="s">
        <v>412</v>
      </c>
      <c r="Y94" s="159"/>
      <c r="Z94" s="146">
        <v>1500</v>
      </c>
      <c r="AA94" s="146">
        <v>1</v>
      </c>
      <c r="AB94" s="146">
        <v>100.13</v>
      </c>
      <c r="AC94" s="151"/>
      <c r="AD94" s="146">
        <v>1.502</v>
      </c>
      <c r="AE94" s="151"/>
      <c r="AF94" s="151"/>
      <c r="AG94" s="151"/>
      <c r="AH94" s="148">
        <v>0</v>
      </c>
      <c r="AI94" s="148">
        <v>5.96E-3</v>
      </c>
      <c r="AJ94" s="149">
        <v>6.9999999999999999E-4</v>
      </c>
      <c r="AK94" s="196"/>
    </row>
    <row r="95" spans="1:37" x14ac:dyDescent="0.2">
      <c r="A95" s="144" t="s">
        <v>1205</v>
      </c>
      <c r="B95" s="145" t="s">
        <v>1214</v>
      </c>
      <c r="C95" s="145" t="s">
        <v>1380</v>
      </c>
      <c r="D95" s="145" t="s">
        <v>1381</v>
      </c>
      <c r="E95" s="145" t="s">
        <v>309</v>
      </c>
      <c r="F95" s="145" t="s">
        <v>1382</v>
      </c>
      <c r="G95" s="145" t="s">
        <v>1383</v>
      </c>
      <c r="H95" s="145" t="s">
        <v>321</v>
      </c>
      <c r="I95" s="145" t="s">
        <v>754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465</v>
      </c>
      <c r="O95" s="145" t="s">
        <v>339</v>
      </c>
      <c r="P95" s="145" t="s">
        <v>1375</v>
      </c>
      <c r="Q95" s="145" t="s">
        <v>415</v>
      </c>
      <c r="R95" s="145" t="s">
        <v>407</v>
      </c>
      <c r="S95" s="145" t="s">
        <v>1210</v>
      </c>
      <c r="T95" s="146">
        <v>1.39</v>
      </c>
      <c r="U95" s="145" t="s">
        <v>1384</v>
      </c>
      <c r="V95" s="148">
        <v>0.04</v>
      </c>
      <c r="W95" s="148">
        <v>4.675E-2</v>
      </c>
      <c r="X95" s="145" t="s">
        <v>412</v>
      </c>
      <c r="Y95" s="159"/>
      <c r="Z95" s="146">
        <v>1263</v>
      </c>
      <c r="AA95" s="146">
        <v>1</v>
      </c>
      <c r="AB95" s="146">
        <v>115.5</v>
      </c>
      <c r="AC95" s="151"/>
      <c r="AD95" s="146">
        <v>1.4590000000000001</v>
      </c>
      <c r="AE95" s="151"/>
      <c r="AF95" s="151"/>
      <c r="AG95" s="151"/>
      <c r="AH95" s="148">
        <v>0</v>
      </c>
      <c r="AI95" s="148">
        <v>5.79E-3</v>
      </c>
      <c r="AJ95" s="149">
        <v>6.8000000000000005E-4</v>
      </c>
      <c r="AK95" s="196"/>
    </row>
    <row r="96" spans="1:37" x14ac:dyDescent="0.2">
      <c r="A96" s="144" t="s">
        <v>1205</v>
      </c>
      <c r="B96" s="145" t="s">
        <v>1214</v>
      </c>
      <c r="C96" s="145" t="s">
        <v>1475</v>
      </c>
      <c r="D96" s="145" t="s">
        <v>1476</v>
      </c>
      <c r="E96" s="145" t="s">
        <v>309</v>
      </c>
      <c r="F96" s="145" t="s">
        <v>1477</v>
      </c>
      <c r="G96" s="145" t="s">
        <v>1478</v>
      </c>
      <c r="H96" s="145" t="s">
        <v>321</v>
      </c>
      <c r="I96" s="145" t="s">
        <v>951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484</v>
      </c>
      <c r="O96" s="145" t="s">
        <v>339</v>
      </c>
      <c r="P96" s="145" t="s">
        <v>1406</v>
      </c>
      <c r="Q96" s="145" t="s">
        <v>415</v>
      </c>
      <c r="R96" s="145" t="s">
        <v>407</v>
      </c>
      <c r="S96" s="145" t="s">
        <v>1210</v>
      </c>
      <c r="T96" s="146">
        <v>0.66</v>
      </c>
      <c r="U96" s="145" t="s">
        <v>1479</v>
      </c>
      <c r="V96" s="148">
        <v>3.6499999999999998E-2</v>
      </c>
      <c r="W96" s="148">
        <v>4.4749999999999998E-2</v>
      </c>
      <c r="X96" s="145" t="s">
        <v>412</v>
      </c>
      <c r="Y96" s="159"/>
      <c r="Z96" s="146">
        <v>1435.88</v>
      </c>
      <c r="AA96" s="146">
        <v>1</v>
      </c>
      <c r="AB96" s="146">
        <v>100.7</v>
      </c>
      <c r="AC96" s="151"/>
      <c r="AD96" s="146">
        <v>1.446</v>
      </c>
      <c r="AE96" s="151"/>
      <c r="AF96" s="151"/>
      <c r="AG96" s="151"/>
      <c r="AH96" s="148">
        <v>0</v>
      </c>
      <c r="AI96" s="148">
        <v>5.7400000000000003E-3</v>
      </c>
      <c r="AJ96" s="149">
        <v>6.7000000000000002E-4</v>
      </c>
      <c r="AK96" s="196"/>
    </row>
    <row r="97" spans="1:37" x14ac:dyDescent="0.2">
      <c r="A97" s="144" t="s">
        <v>1205</v>
      </c>
      <c r="B97" s="145" t="s">
        <v>1214</v>
      </c>
      <c r="C97" s="145" t="s">
        <v>1488</v>
      </c>
      <c r="D97" s="145" t="s">
        <v>1489</v>
      </c>
      <c r="E97" s="145" t="s">
        <v>309</v>
      </c>
      <c r="F97" s="145" t="s">
        <v>1490</v>
      </c>
      <c r="G97" s="145" t="s">
        <v>1491</v>
      </c>
      <c r="H97" s="145" t="s">
        <v>321</v>
      </c>
      <c r="I97" s="145" t="s">
        <v>754</v>
      </c>
      <c r="J97" s="145" t="s">
        <v>204</v>
      </c>
      <c r="K97" s="145" t="s">
        <v>204</v>
      </c>
      <c r="L97" s="145" t="s">
        <v>325</v>
      </c>
      <c r="M97" s="145" t="s">
        <v>340</v>
      </c>
      <c r="N97" s="145" t="s">
        <v>445</v>
      </c>
      <c r="O97" s="145" t="s">
        <v>339</v>
      </c>
      <c r="P97" s="145" t="s">
        <v>1433</v>
      </c>
      <c r="Q97" s="145" t="s">
        <v>415</v>
      </c>
      <c r="R97" s="145" t="s">
        <v>407</v>
      </c>
      <c r="S97" s="145" t="s">
        <v>1210</v>
      </c>
      <c r="T97" s="146">
        <v>4.1399999999999997</v>
      </c>
      <c r="U97" s="145" t="s">
        <v>1376</v>
      </c>
      <c r="V97" s="148">
        <v>5.1700000000000003E-2</v>
      </c>
      <c r="W97" s="148">
        <v>5.1369999999999999E-2</v>
      </c>
      <c r="X97" s="145" t="s">
        <v>412</v>
      </c>
      <c r="Y97" s="159"/>
      <c r="Z97" s="146">
        <v>1379</v>
      </c>
      <c r="AA97" s="146">
        <v>1</v>
      </c>
      <c r="AB97" s="146">
        <v>102.11</v>
      </c>
      <c r="AC97" s="151"/>
      <c r="AD97" s="146">
        <v>1.4079999999999999</v>
      </c>
      <c r="AE97" s="151"/>
      <c r="AF97" s="151"/>
      <c r="AG97" s="151"/>
      <c r="AH97" s="148">
        <v>0</v>
      </c>
      <c r="AI97" s="148">
        <v>5.5900000000000004E-3</v>
      </c>
      <c r="AJ97" s="149">
        <v>6.4999999999999997E-4</v>
      </c>
      <c r="AK97" s="196"/>
    </row>
    <row r="98" spans="1:37" x14ac:dyDescent="0.2">
      <c r="A98" s="144" t="s">
        <v>1205</v>
      </c>
      <c r="B98" s="145" t="s">
        <v>1214</v>
      </c>
      <c r="C98" s="145" t="s">
        <v>1444</v>
      </c>
      <c r="D98" s="145" t="s">
        <v>1445</v>
      </c>
      <c r="E98" s="145" t="s">
        <v>309</v>
      </c>
      <c r="F98" s="145" t="s">
        <v>1446</v>
      </c>
      <c r="G98" s="145" t="s">
        <v>1447</v>
      </c>
      <c r="H98" s="145" t="s">
        <v>321</v>
      </c>
      <c r="I98" s="145" t="s">
        <v>754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464</v>
      </c>
      <c r="O98" s="145" t="s">
        <v>339</v>
      </c>
      <c r="P98" s="145" t="s">
        <v>1392</v>
      </c>
      <c r="Q98" s="145" t="s">
        <v>413</v>
      </c>
      <c r="R98" s="145" t="s">
        <v>407</v>
      </c>
      <c r="S98" s="145" t="s">
        <v>1210</v>
      </c>
      <c r="T98" s="146">
        <v>2.27</v>
      </c>
      <c r="U98" s="145" t="s">
        <v>1281</v>
      </c>
      <c r="V98" s="148">
        <v>2.3400000000000001E-2</v>
      </c>
      <c r="W98" s="148">
        <v>2.7980000000000001E-2</v>
      </c>
      <c r="X98" s="145" t="s">
        <v>412</v>
      </c>
      <c r="Y98" s="159"/>
      <c r="Z98" s="146">
        <v>1180.9100000000001</v>
      </c>
      <c r="AA98" s="146">
        <v>1</v>
      </c>
      <c r="AB98" s="146">
        <v>114.39</v>
      </c>
      <c r="AC98" s="151"/>
      <c r="AD98" s="146">
        <v>1.351</v>
      </c>
      <c r="AE98" s="151"/>
      <c r="AF98" s="151"/>
      <c r="AG98" s="151"/>
      <c r="AH98" s="148">
        <v>0</v>
      </c>
      <c r="AI98" s="148">
        <v>5.3600000000000002E-3</v>
      </c>
      <c r="AJ98" s="149">
        <v>6.3000000000000003E-4</v>
      </c>
      <c r="AK98" s="196"/>
    </row>
    <row r="99" spans="1:37" x14ac:dyDescent="0.2">
      <c r="A99" s="144" t="s">
        <v>1205</v>
      </c>
      <c r="B99" s="145" t="s">
        <v>1214</v>
      </c>
      <c r="C99" s="145" t="s">
        <v>1380</v>
      </c>
      <c r="D99" s="145" t="s">
        <v>1381</v>
      </c>
      <c r="E99" s="145" t="s">
        <v>309</v>
      </c>
      <c r="F99" s="145" t="s">
        <v>1426</v>
      </c>
      <c r="G99" s="145" t="s">
        <v>1427</v>
      </c>
      <c r="H99" s="145" t="s">
        <v>321</v>
      </c>
      <c r="I99" s="145" t="s">
        <v>754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465</v>
      </c>
      <c r="O99" s="145" t="s">
        <v>339</v>
      </c>
      <c r="P99" s="145" t="s">
        <v>1375</v>
      </c>
      <c r="Q99" s="145" t="s">
        <v>415</v>
      </c>
      <c r="R99" s="145" t="s">
        <v>407</v>
      </c>
      <c r="S99" s="145" t="s">
        <v>1210</v>
      </c>
      <c r="T99" s="146">
        <v>5.16</v>
      </c>
      <c r="U99" s="145" t="s">
        <v>1428</v>
      </c>
      <c r="V99" s="148">
        <v>1.7899999999999999E-2</v>
      </c>
      <c r="W99" s="148">
        <v>4.9320000000000003E-2</v>
      </c>
      <c r="X99" s="145" t="s">
        <v>412</v>
      </c>
      <c r="Y99" s="159"/>
      <c r="Z99" s="146">
        <v>1317.22</v>
      </c>
      <c r="AA99" s="146">
        <v>1</v>
      </c>
      <c r="AB99" s="146">
        <v>98.15</v>
      </c>
      <c r="AC99" s="151"/>
      <c r="AD99" s="146">
        <v>1.2929999999999999</v>
      </c>
      <c r="AE99" s="151"/>
      <c r="AF99" s="151"/>
      <c r="AG99" s="151"/>
      <c r="AH99" s="148">
        <v>0</v>
      </c>
      <c r="AI99" s="148">
        <v>5.13E-3</v>
      </c>
      <c r="AJ99" s="149">
        <v>5.9999999999999995E-4</v>
      </c>
      <c r="AK99" s="196"/>
    </row>
    <row r="100" spans="1:37" x14ac:dyDescent="0.2">
      <c r="A100" s="144" t="s">
        <v>1205</v>
      </c>
      <c r="B100" s="145" t="s">
        <v>1214</v>
      </c>
      <c r="C100" s="145" t="s">
        <v>1346</v>
      </c>
      <c r="D100" s="145" t="s">
        <v>1347</v>
      </c>
      <c r="E100" s="145" t="s">
        <v>309</v>
      </c>
      <c r="F100" s="145" t="s">
        <v>1385</v>
      </c>
      <c r="G100" s="145" t="s">
        <v>1386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445</v>
      </c>
      <c r="O100" s="145" t="s">
        <v>339</v>
      </c>
      <c r="P100" s="145" t="s">
        <v>1350</v>
      </c>
      <c r="Q100" s="145" t="s">
        <v>413</v>
      </c>
      <c r="R100" s="145" t="s">
        <v>407</v>
      </c>
      <c r="S100" s="145" t="s">
        <v>1210</v>
      </c>
      <c r="T100" s="146">
        <v>0.33</v>
      </c>
      <c r="U100" s="145" t="s">
        <v>1387</v>
      </c>
      <c r="V100" s="148">
        <v>2.4799999999999999E-2</v>
      </c>
      <c r="W100" s="148">
        <v>2.597E-2</v>
      </c>
      <c r="X100" s="145" t="s">
        <v>412</v>
      </c>
      <c r="Y100" s="159"/>
      <c r="Z100" s="146">
        <v>1110</v>
      </c>
      <c r="AA100" s="146">
        <v>1</v>
      </c>
      <c r="AB100" s="146">
        <v>116.22</v>
      </c>
      <c r="AC100" s="151"/>
      <c r="AD100" s="146">
        <v>1.29</v>
      </c>
      <c r="AE100" s="151"/>
      <c r="AF100" s="151"/>
      <c r="AG100" s="151"/>
      <c r="AH100" s="148">
        <v>0</v>
      </c>
      <c r="AI100" s="148">
        <v>5.1200000000000004E-3</v>
      </c>
      <c r="AJ100" s="149">
        <v>5.9999999999999995E-4</v>
      </c>
      <c r="AK100" s="196"/>
    </row>
    <row r="101" spans="1:37" x14ac:dyDescent="0.2">
      <c r="A101" s="144" t="s">
        <v>1205</v>
      </c>
      <c r="B101" s="145" t="s">
        <v>1214</v>
      </c>
      <c r="C101" s="145" t="s">
        <v>1600</v>
      </c>
      <c r="D101" s="145" t="s">
        <v>1601</v>
      </c>
      <c r="E101" s="145" t="s">
        <v>309</v>
      </c>
      <c r="F101" s="145" t="s">
        <v>1602</v>
      </c>
      <c r="G101" s="145" t="s">
        <v>1603</v>
      </c>
      <c r="H101" s="145" t="s">
        <v>321</v>
      </c>
      <c r="I101" s="145" t="s">
        <v>951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464</v>
      </c>
      <c r="O101" s="145" t="s">
        <v>339</v>
      </c>
      <c r="P101" s="145" t="s">
        <v>1520</v>
      </c>
      <c r="Q101" s="145" t="s">
        <v>415</v>
      </c>
      <c r="R101" s="145" t="s">
        <v>407</v>
      </c>
      <c r="S101" s="145" t="s">
        <v>1210</v>
      </c>
      <c r="T101" s="146">
        <v>2.67</v>
      </c>
      <c r="U101" s="145" t="s">
        <v>1604</v>
      </c>
      <c r="V101" s="148">
        <v>1.0919999999999999E-2</v>
      </c>
      <c r="W101" s="148">
        <v>5.0459999999999998E-2</v>
      </c>
      <c r="X101" s="145" t="s">
        <v>412</v>
      </c>
      <c r="Y101" s="159"/>
      <c r="Z101" s="146">
        <v>1308.69</v>
      </c>
      <c r="AA101" s="146">
        <v>1</v>
      </c>
      <c r="AB101" s="146">
        <v>95.73</v>
      </c>
      <c r="AC101" s="151"/>
      <c r="AD101" s="146">
        <v>1.2529999999999999</v>
      </c>
      <c r="AE101" s="151"/>
      <c r="AF101" s="151"/>
      <c r="AG101" s="151"/>
      <c r="AH101" s="148">
        <v>0</v>
      </c>
      <c r="AI101" s="148">
        <v>4.9699999999999996E-3</v>
      </c>
      <c r="AJ101" s="149">
        <v>5.8E-4</v>
      </c>
      <c r="AK101" s="196"/>
    </row>
    <row r="102" spans="1:37" x14ac:dyDescent="0.2">
      <c r="A102" s="144" t="s">
        <v>1205</v>
      </c>
      <c r="B102" s="145" t="s">
        <v>1214</v>
      </c>
      <c r="C102" s="145" t="s">
        <v>1605</v>
      </c>
      <c r="D102" s="145" t="s">
        <v>1606</v>
      </c>
      <c r="E102" s="145" t="s">
        <v>309</v>
      </c>
      <c r="F102" s="145" t="s">
        <v>1607</v>
      </c>
      <c r="G102" s="145" t="s">
        <v>1608</v>
      </c>
      <c r="H102" s="145" t="s">
        <v>321</v>
      </c>
      <c r="I102" s="145" t="s">
        <v>754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443</v>
      </c>
      <c r="O102" s="145" t="s">
        <v>339</v>
      </c>
      <c r="P102" s="145" t="s">
        <v>1433</v>
      </c>
      <c r="Q102" s="145" t="s">
        <v>415</v>
      </c>
      <c r="R102" s="145" t="s">
        <v>407</v>
      </c>
      <c r="S102" s="145" t="s">
        <v>1210</v>
      </c>
      <c r="T102" s="146">
        <v>0.53</v>
      </c>
      <c r="U102" s="145" t="s">
        <v>1609</v>
      </c>
      <c r="V102" s="148">
        <v>1.8499999999999999E-2</v>
      </c>
      <c r="W102" s="148">
        <v>2.962E-2</v>
      </c>
      <c r="X102" s="145" t="s">
        <v>412</v>
      </c>
      <c r="Y102" s="159"/>
      <c r="Z102" s="146">
        <v>1042.1600000000001</v>
      </c>
      <c r="AA102" s="146">
        <v>1</v>
      </c>
      <c r="AB102" s="146">
        <v>115.43</v>
      </c>
      <c r="AC102" s="151"/>
      <c r="AD102" s="146">
        <v>1.2030000000000001</v>
      </c>
      <c r="AE102" s="151"/>
      <c r="AF102" s="151"/>
      <c r="AG102" s="151"/>
      <c r="AH102" s="148">
        <v>0</v>
      </c>
      <c r="AI102" s="148">
        <v>4.7699999999999999E-3</v>
      </c>
      <c r="AJ102" s="149">
        <v>5.5999999999999995E-4</v>
      </c>
      <c r="AK102" s="196"/>
    </row>
    <row r="103" spans="1:37" x14ac:dyDescent="0.2">
      <c r="A103" s="144" t="s">
        <v>1205</v>
      </c>
      <c r="B103" s="145" t="s">
        <v>1214</v>
      </c>
      <c r="C103" s="145" t="s">
        <v>1581</v>
      </c>
      <c r="D103" s="145" t="s">
        <v>1582</v>
      </c>
      <c r="E103" s="145" t="s">
        <v>309</v>
      </c>
      <c r="F103" s="145" t="s">
        <v>1610</v>
      </c>
      <c r="G103" s="145" t="s">
        <v>1611</v>
      </c>
      <c r="H103" s="145" t="s">
        <v>321</v>
      </c>
      <c r="I103" s="145" t="s">
        <v>754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464</v>
      </c>
      <c r="O103" s="145" t="s">
        <v>339</v>
      </c>
      <c r="P103" s="145" t="s">
        <v>1358</v>
      </c>
      <c r="Q103" s="145" t="s">
        <v>415</v>
      </c>
      <c r="R103" s="145" t="s">
        <v>407</v>
      </c>
      <c r="S103" s="145" t="s">
        <v>1210</v>
      </c>
      <c r="T103" s="146">
        <v>4.01</v>
      </c>
      <c r="U103" s="145" t="s">
        <v>1554</v>
      </c>
      <c r="V103" s="148">
        <v>1.3299999999999999E-2</v>
      </c>
      <c r="W103" s="148">
        <v>3.049E-2</v>
      </c>
      <c r="X103" s="145" t="s">
        <v>412</v>
      </c>
      <c r="Y103" s="159"/>
      <c r="Z103" s="146">
        <v>1080</v>
      </c>
      <c r="AA103" s="146">
        <v>1</v>
      </c>
      <c r="AB103" s="146">
        <v>107.88</v>
      </c>
      <c r="AC103" s="151"/>
      <c r="AD103" s="146">
        <v>1.165</v>
      </c>
      <c r="AE103" s="151"/>
      <c r="AF103" s="151"/>
      <c r="AG103" s="151"/>
      <c r="AH103" s="148">
        <v>0</v>
      </c>
      <c r="AI103" s="148">
        <v>4.62E-3</v>
      </c>
      <c r="AJ103" s="149">
        <v>5.4000000000000001E-4</v>
      </c>
      <c r="AK103" s="196"/>
    </row>
    <row r="104" spans="1:37" x14ac:dyDescent="0.2">
      <c r="A104" s="144" t="s">
        <v>1205</v>
      </c>
      <c r="B104" s="145" t="s">
        <v>1214</v>
      </c>
      <c r="C104" s="145" t="s">
        <v>1380</v>
      </c>
      <c r="D104" s="145" t="s">
        <v>1381</v>
      </c>
      <c r="E104" s="145" t="s">
        <v>309</v>
      </c>
      <c r="F104" s="145" t="s">
        <v>1399</v>
      </c>
      <c r="G104" s="145" t="s">
        <v>1400</v>
      </c>
      <c r="H104" s="145" t="s">
        <v>321</v>
      </c>
      <c r="I104" s="145" t="s">
        <v>754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465</v>
      </c>
      <c r="O104" s="145" t="s">
        <v>339</v>
      </c>
      <c r="P104" s="145" t="s">
        <v>1375</v>
      </c>
      <c r="Q104" s="145" t="s">
        <v>415</v>
      </c>
      <c r="R104" s="145" t="s">
        <v>407</v>
      </c>
      <c r="S104" s="145" t="s">
        <v>1210</v>
      </c>
      <c r="T104" s="146">
        <v>1.76</v>
      </c>
      <c r="U104" s="145" t="s">
        <v>1401</v>
      </c>
      <c r="V104" s="148">
        <v>3.2800000000000003E-2</v>
      </c>
      <c r="W104" s="148">
        <v>4.9459999999999997E-2</v>
      </c>
      <c r="X104" s="145" t="s">
        <v>412</v>
      </c>
      <c r="Y104" s="159"/>
      <c r="Z104" s="146">
        <v>987.2</v>
      </c>
      <c r="AA104" s="146">
        <v>1</v>
      </c>
      <c r="AB104" s="146">
        <v>114.78</v>
      </c>
      <c r="AC104" s="151"/>
      <c r="AD104" s="146">
        <v>1.133</v>
      </c>
      <c r="AE104" s="151"/>
      <c r="AF104" s="151"/>
      <c r="AG104" s="151"/>
      <c r="AH104" s="148">
        <v>0</v>
      </c>
      <c r="AI104" s="148">
        <v>4.4999999999999997E-3</v>
      </c>
      <c r="AJ104" s="149">
        <v>5.1999999999999995E-4</v>
      </c>
      <c r="AK104" s="196"/>
    </row>
    <row r="105" spans="1:37" x14ac:dyDescent="0.2">
      <c r="A105" s="144" t="s">
        <v>1205</v>
      </c>
      <c r="B105" s="145" t="s">
        <v>1214</v>
      </c>
      <c r="C105" s="145" t="s">
        <v>1505</v>
      </c>
      <c r="D105" s="145" t="s">
        <v>1506</v>
      </c>
      <c r="E105" s="145" t="s">
        <v>309</v>
      </c>
      <c r="F105" s="145" t="s">
        <v>1507</v>
      </c>
      <c r="G105" s="145" t="s">
        <v>1508</v>
      </c>
      <c r="H105" s="145" t="s">
        <v>321</v>
      </c>
      <c r="I105" s="145" t="s">
        <v>951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445</v>
      </c>
      <c r="O105" s="145" t="s">
        <v>339</v>
      </c>
      <c r="P105" s="145" t="s">
        <v>1406</v>
      </c>
      <c r="Q105" s="145" t="s">
        <v>415</v>
      </c>
      <c r="R105" s="145" t="s">
        <v>407</v>
      </c>
      <c r="S105" s="145" t="s">
        <v>1210</v>
      </c>
      <c r="T105" s="146">
        <v>0.98</v>
      </c>
      <c r="U105" s="145" t="s">
        <v>1509</v>
      </c>
      <c r="V105" s="148">
        <v>2.9399999999999999E-2</v>
      </c>
      <c r="W105" s="148">
        <v>4.9570000000000003E-2</v>
      </c>
      <c r="X105" s="145" t="s">
        <v>412</v>
      </c>
      <c r="Y105" s="159"/>
      <c r="Z105" s="146">
        <v>1047.8499999999999</v>
      </c>
      <c r="AA105" s="146">
        <v>1</v>
      </c>
      <c r="AB105" s="146">
        <v>99.54</v>
      </c>
      <c r="AC105" s="151"/>
      <c r="AD105" s="146">
        <v>1.0429999999999999</v>
      </c>
      <c r="AE105" s="151"/>
      <c r="AF105" s="151"/>
      <c r="AG105" s="151"/>
      <c r="AH105" s="148">
        <v>1.0000000000000001E-5</v>
      </c>
      <c r="AI105" s="148">
        <v>4.1399999999999996E-3</v>
      </c>
      <c r="AJ105" s="149">
        <v>4.8000000000000001E-4</v>
      </c>
      <c r="AK105" s="196"/>
    </row>
    <row r="106" spans="1:37" x14ac:dyDescent="0.2">
      <c r="A106" s="144" t="s">
        <v>1205</v>
      </c>
      <c r="B106" s="145" t="s">
        <v>1214</v>
      </c>
      <c r="C106" s="145" t="s">
        <v>1612</v>
      </c>
      <c r="D106" s="145" t="s">
        <v>1613</v>
      </c>
      <c r="E106" s="145" t="s">
        <v>309</v>
      </c>
      <c r="F106" s="145" t="s">
        <v>1614</v>
      </c>
      <c r="G106" s="145" t="s">
        <v>1615</v>
      </c>
      <c r="H106" s="145" t="s">
        <v>321</v>
      </c>
      <c r="I106" s="145" t="s">
        <v>951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454</v>
      </c>
      <c r="O106" s="145" t="s">
        <v>339</v>
      </c>
      <c r="P106" s="145" t="s">
        <v>1439</v>
      </c>
      <c r="Q106" s="145" t="s">
        <v>413</v>
      </c>
      <c r="R106" s="145" t="s">
        <v>407</v>
      </c>
      <c r="S106" s="145" t="s">
        <v>1210</v>
      </c>
      <c r="T106" s="146">
        <v>2.58</v>
      </c>
      <c r="U106" s="145" t="s">
        <v>1616</v>
      </c>
      <c r="V106" s="148">
        <v>6.7500000000000004E-2</v>
      </c>
      <c r="W106" s="148">
        <v>5.6410000000000002E-2</v>
      </c>
      <c r="X106" s="145" t="s">
        <v>412</v>
      </c>
      <c r="Y106" s="159"/>
      <c r="Z106" s="146">
        <v>874.73</v>
      </c>
      <c r="AA106" s="146">
        <v>1</v>
      </c>
      <c r="AB106" s="146">
        <v>104.13</v>
      </c>
      <c r="AC106" s="151"/>
      <c r="AD106" s="146">
        <v>0.91100000000000003</v>
      </c>
      <c r="AE106" s="151"/>
      <c r="AF106" s="151"/>
      <c r="AG106" s="151"/>
      <c r="AH106" s="148">
        <v>0</v>
      </c>
      <c r="AI106" s="148">
        <v>3.6099999999999999E-3</v>
      </c>
      <c r="AJ106" s="149">
        <v>4.2000000000000002E-4</v>
      </c>
      <c r="AK106" s="196"/>
    </row>
    <row r="107" spans="1:37" x14ac:dyDescent="0.2">
      <c r="A107" s="144" t="s">
        <v>1205</v>
      </c>
      <c r="B107" s="145" t="s">
        <v>1214</v>
      </c>
      <c r="C107" s="145" t="s">
        <v>1488</v>
      </c>
      <c r="D107" s="145" t="s">
        <v>1489</v>
      </c>
      <c r="E107" s="145" t="s">
        <v>309</v>
      </c>
      <c r="F107" s="145" t="s">
        <v>1510</v>
      </c>
      <c r="G107" s="145" t="s">
        <v>1511</v>
      </c>
      <c r="H107" s="145" t="s">
        <v>321</v>
      </c>
      <c r="I107" s="145" t="s">
        <v>754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445</v>
      </c>
      <c r="O107" s="145" t="s">
        <v>339</v>
      </c>
      <c r="P107" s="145" t="s">
        <v>1433</v>
      </c>
      <c r="Q107" s="145" t="s">
        <v>415</v>
      </c>
      <c r="R107" s="145" t="s">
        <v>407</v>
      </c>
      <c r="S107" s="145" t="s">
        <v>1210</v>
      </c>
      <c r="T107" s="146">
        <v>4.96</v>
      </c>
      <c r="U107" s="145" t="s">
        <v>1512</v>
      </c>
      <c r="V107" s="148">
        <v>5.3999999999999999E-2</v>
      </c>
      <c r="W107" s="148">
        <v>5.2179999999999997E-2</v>
      </c>
      <c r="X107" s="145" t="s">
        <v>412</v>
      </c>
      <c r="Y107" s="159"/>
      <c r="Z107" s="146">
        <v>747</v>
      </c>
      <c r="AA107" s="146">
        <v>1</v>
      </c>
      <c r="AB107" s="146">
        <v>102.55</v>
      </c>
      <c r="AC107" s="151"/>
      <c r="AD107" s="146">
        <v>0.76600000000000001</v>
      </c>
      <c r="AE107" s="151"/>
      <c r="AF107" s="151"/>
      <c r="AG107" s="151"/>
      <c r="AH107" s="148">
        <v>0</v>
      </c>
      <c r="AI107" s="148">
        <v>3.0400000000000002E-3</v>
      </c>
      <c r="AJ107" s="149">
        <v>3.5E-4</v>
      </c>
      <c r="AK107" s="196"/>
    </row>
    <row r="108" spans="1:37" x14ac:dyDescent="0.2">
      <c r="A108" s="144" t="s">
        <v>1205</v>
      </c>
      <c r="B108" s="145" t="s">
        <v>1214</v>
      </c>
      <c r="C108" s="145" t="s">
        <v>1459</v>
      </c>
      <c r="D108" s="145" t="s">
        <v>1460</v>
      </c>
      <c r="E108" s="145" t="s">
        <v>309</v>
      </c>
      <c r="F108" s="145" t="s">
        <v>1461</v>
      </c>
      <c r="G108" s="145" t="s">
        <v>1462</v>
      </c>
      <c r="H108" s="145" t="s">
        <v>321</v>
      </c>
      <c r="I108" s="145" t="s">
        <v>754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440</v>
      </c>
      <c r="O108" s="145" t="s">
        <v>339</v>
      </c>
      <c r="P108" s="145" t="s">
        <v>1350</v>
      </c>
      <c r="Q108" s="145" t="s">
        <v>413</v>
      </c>
      <c r="R108" s="145" t="s">
        <v>407</v>
      </c>
      <c r="S108" s="145" t="s">
        <v>1210</v>
      </c>
      <c r="T108" s="146">
        <v>2.1</v>
      </c>
      <c r="U108" s="145" t="s">
        <v>1463</v>
      </c>
      <c r="V108" s="148">
        <v>1.9400000000000001E-2</v>
      </c>
      <c r="W108" s="148">
        <v>2.5569999999999999E-2</v>
      </c>
      <c r="X108" s="145" t="s">
        <v>412</v>
      </c>
      <c r="Y108" s="159"/>
      <c r="Z108" s="146">
        <v>615.13</v>
      </c>
      <c r="AA108" s="146">
        <v>1</v>
      </c>
      <c r="AB108" s="146">
        <v>115.77</v>
      </c>
      <c r="AC108" s="151"/>
      <c r="AD108" s="146">
        <v>0.71199999999999997</v>
      </c>
      <c r="AE108" s="151"/>
      <c r="AF108" s="151"/>
      <c r="AG108" s="151"/>
      <c r="AH108" s="148">
        <v>0</v>
      </c>
      <c r="AI108" s="148">
        <v>2.8300000000000001E-3</v>
      </c>
      <c r="AJ108" s="149">
        <v>3.3E-4</v>
      </c>
      <c r="AK108" s="196"/>
    </row>
    <row r="109" spans="1:37" x14ac:dyDescent="0.2">
      <c r="A109" s="144" t="s">
        <v>1205</v>
      </c>
      <c r="B109" s="145" t="s">
        <v>1214</v>
      </c>
      <c r="C109" s="145" t="s">
        <v>1617</v>
      </c>
      <c r="D109" s="145" t="s">
        <v>1618</v>
      </c>
      <c r="E109" s="145" t="s">
        <v>309</v>
      </c>
      <c r="F109" s="145" t="s">
        <v>1619</v>
      </c>
      <c r="G109" s="145" t="s">
        <v>1620</v>
      </c>
      <c r="H109" s="145" t="s">
        <v>321</v>
      </c>
      <c r="I109" s="145" t="s">
        <v>951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451</v>
      </c>
      <c r="O109" s="145" t="s">
        <v>339</v>
      </c>
      <c r="P109" s="145" t="s">
        <v>1621</v>
      </c>
      <c r="Q109" s="145" t="s">
        <v>413</v>
      </c>
      <c r="R109" s="145" t="s">
        <v>407</v>
      </c>
      <c r="S109" s="145" t="s">
        <v>1210</v>
      </c>
      <c r="T109" s="146">
        <v>1.2</v>
      </c>
      <c r="U109" s="145" t="s">
        <v>1622</v>
      </c>
      <c r="V109" s="148">
        <v>4.9239999999999999E-2</v>
      </c>
      <c r="W109" s="148">
        <v>6.6960000000000006E-2</v>
      </c>
      <c r="X109" s="145" t="s">
        <v>412</v>
      </c>
      <c r="Y109" s="159"/>
      <c r="Z109" s="146">
        <v>667.2</v>
      </c>
      <c r="AA109" s="146">
        <v>1</v>
      </c>
      <c r="AB109" s="146">
        <v>99.46</v>
      </c>
      <c r="AC109" s="151"/>
      <c r="AD109" s="146">
        <v>0.66400000000000003</v>
      </c>
      <c r="AE109" s="151"/>
      <c r="AF109" s="151"/>
      <c r="AG109" s="151"/>
      <c r="AH109" s="148">
        <v>0</v>
      </c>
      <c r="AI109" s="148">
        <v>2.63E-3</v>
      </c>
      <c r="AJ109" s="149">
        <v>3.1E-4</v>
      </c>
      <c r="AK109" s="196"/>
    </row>
    <row r="110" spans="1:37" x14ac:dyDescent="0.2">
      <c r="A110" s="144" t="s">
        <v>1205</v>
      </c>
      <c r="B110" s="145" t="s">
        <v>1214</v>
      </c>
      <c r="C110" s="145" t="s">
        <v>1623</v>
      </c>
      <c r="D110" s="145" t="s">
        <v>1624</v>
      </c>
      <c r="E110" s="145" t="s">
        <v>309</v>
      </c>
      <c r="F110" s="145" t="s">
        <v>1625</v>
      </c>
      <c r="G110" s="145" t="s">
        <v>1626</v>
      </c>
      <c r="H110" s="145" t="s">
        <v>321</v>
      </c>
      <c r="I110" s="145" t="s">
        <v>754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464</v>
      </c>
      <c r="O110" s="145" t="s">
        <v>339</v>
      </c>
      <c r="P110" s="145" t="s">
        <v>1473</v>
      </c>
      <c r="Q110" s="145" t="s">
        <v>413</v>
      </c>
      <c r="R110" s="145" t="s">
        <v>407</v>
      </c>
      <c r="S110" s="145" t="s">
        <v>1210</v>
      </c>
      <c r="T110" s="146">
        <v>1.39</v>
      </c>
      <c r="U110" s="145" t="s">
        <v>1627</v>
      </c>
      <c r="V110" s="148">
        <v>2.0500000000000001E-2</v>
      </c>
      <c r="W110" s="148">
        <v>3.1309999999999998E-2</v>
      </c>
      <c r="X110" s="145" t="s">
        <v>412</v>
      </c>
      <c r="Y110" s="159"/>
      <c r="Z110" s="146">
        <v>0.51</v>
      </c>
      <c r="AA110" s="146">
        <v>1</v>
      </c>
      <c r="AB110" s="146">
        <v>115.58</v>
      </c>
      <c r="AC110" s="151"/>
      <c r="AD110" s="146">
        <v>1E-3</v>
      </c>
      <c r="AE110" s="151"/>
      <c r="AF110" s="151"/>
      <c r="AG110" s="151"/>
      <c r="AH110" s="148">
        <v>0</v>
      </c>
      <c r="AI110" s="148">
        <v>0</v>
      </c>
      <c r="AJ110" s="149">
        <v>0</v>
      </c>
      <c r="AK110" s="196"/>
    </row>
    <row r="111" spans="1:37" x14ac:dyDescent="0.2">
      <c r="A111" s="144" t="s">
        <v>1205</v>
      </c>
      <c r="B111" s="145" t="s">
        <v>1205</v>
      </c>
      <c r="C111" s="145" t="s">
        <v>1335</v>
      </c>
      <c r="D111" s="145" t="s">
        <v>1336</v>
      </c>
      <c r="E111" s="145" t="s">
        <v>309</v>
      </c>
      <c r="F111" s="145" t="s">
        <v>1368</v>
      </c>
      <c r="G111" s="145" t="s">
        <v>1369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448</v>
      </c>
      <c r="O111" s="145" t="s">
        <v>339</v>
      </c>
      <c r="P111" s="145" t="s">
        <v>1330</v>
      </c>
      <c r="Q111" s="145" t="s">
        <v>413</v>
      </c>
      <c r="R111" s="145" t="s">
        <v>407</v>
      </c>
      <c r="S111" s="145" t="s">
        <v>1210</v>
      </c>
      <c r="T111" s="146">
        <v>4.5999999999999996</v>
      </c>
      <c r="U111" s="145" t="s">
        <v>1370</v>
      </c>
      <c r="V111" s="148">
        <v>2.0199999999999999E-2</v>
      </c>
      <c r="W111" s="148">
        <v>2.5819999999999999E-2</v>
      </c>
      <c r="X111" s="145" t="s">
        <v>412</v>
      </c>
      <c r="Y111" s="159"/>
      <c r="Z111" s="146">
        <v>4870000</v>
      </c>
      <c r="AA111" s="146">
        <v>1</v>
      </c>
      <c r="AB111" s="146">
        <v>101.85</v>
      </c>
      <c r="AC111" s="151"/>
      <c r="AD111" s="146">
        <v>4960.0950000000003</v>
      </c>
      <c r="AE111" s="151"/>
      <c r="AF111" s="151"/>
      <c r="AG111" s="151"/>
      <c r="AH111" s="148">
        <v>1.3600000000000001E-3</v>
      </c>
      <c r="AI111" s="148">
        <v>3.431E-2</v>
      </c>
      <c r="AJ111" s="149">
        <v>4.7200000000000002E-3</v>
      </c>
      <c r="AK111" s="196"/>
    </row>
    <row r="112" spans="1:37" x14ac:dyDescent="0.2">
      <c r="A112" s="144" t="s">
        <v>1205</v>
      </c>
      <c r="B112" s="145" t="s">
        <v>1205</v>
      </c>
      <c r="C112" s="145" t="s">
        <v>1628</v>
      </c>
      <c r="D112" s="145" t="s">
        <v>1629</v>
      </c>
      <c r="E112" s="145" t="s">
        <v>309</v>
      </c>
      <c r="F112" s="145" t="s">
        <v>1630</v>
      </c>
      <c r="G112" s="145" t="s">
        <v>1631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448</v>
      </c>
      <c r="O112" s="145" t="s">
        <v>339</v>
      </c>
      <c r="P112" s="145" t="s">
        <v>1330</v>
      </c>
      <c r="Q112" s="145" t="s">
        <v>413</v>
      </c>
      <c r="R112" s="145" t="s">
        <v>407</v>
      </c>
      <c r="S112" s="145" t="s">
        <v>1210</v>
      </c>
      <c r="T112" s="146">
        <v>5.15</v>
      </c>
      <c r="U112" s="145" t="s">
        <v>1632</v>
      </c>
      <c r="V112" s="148">
        <v>2.1090000000000001E-2</v>
      </c>
      <c r="W112" s="148">
        <v>2.6089999999999999E-2</v>
      </c>
      <c r="X112" s="145" t="s">
        <v>412</v>
      </c>
      <c r="Y112" s="159"/>
      <c r="Z112" s="146">
        <v>4459000</v>
      </c>
      <c r="AA112" s="146">
        <v>1</v>
      </c>
      <c r="AB112" s="146">
        <v>101.3</v>
      </c>
      <c r="AC112" s="151"/>
      <c r="AD112" s="146">
        <v>4516.9669999999996</v>
      </c>
      <c r="AE112" s="151"/>
      <c r="AF112" s="151"/>
      <c r="AG112" s="151"/>
      <c r="AH112" s="148">
        <v>1.7099999999999999E-3</v>
      </c>
      <c r="AI112" s="148">
        <v>3.124E-2</v>
      </c>
      <c r="AJ112" s="149">
        <v>4.3E-3</v>
      </c>
      <c r="AK112" s="196"/>
    </row>
    <row r="113" spans="1:37" x14ac:dyDescent="0.2">
      <c r="A113" s="144" t="s">
        <v>1205</v>
      </c>
      <c r="B113" s="145" t="s">
        <v>1205</v>
      </c>
      <c r="C113" s="145" t="s">
        <v>1318</v>
      </c>
      <c r="D113" s="145" t="s">
        <v>1319</v>
      </c>
      <c r="E113" s="145" t="s">
        <v>313</v>
      </c>
      <c r="F113" s="145" t="s">
        <v>1320</v>
      </c>
      <c r="G113" s="145" t="s">
        <v>1321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440</v>
      </c>
      <c r="O113" s="145" t="s">
        <v>339</v>
      </c>
      <c r="P113" s="145" t="s">
        <v>1209</v>
      </c>
      <c r="Q113" s="145" t="s">
        <v>415</v>
      </c>
      <c r="R113" s="145" t="s">
        <v>407</v>
      </c>
      <c r="S113" s="145" t="s">
        <v>1210</v>
      </c>
      <c r="T113" s="146">
        <v>10.119999999999999</v>
      </c>
      <c r="U113" s="145" t="s">
        <v>1322</v>
      </c>
      <c r="V113" s="148">
        <v>3.2000000000000001E-2</v>
      </c>
      <c r="W113" s="148">
        <v>3.1019999999999999E-2</v>
      </c>
      <c r="X113" s="145" t="s">
        <v>412</v>
      </c>
      <c r="Y113" s="159"/>
      <c r="Z113" s="146">
        <v>3855389</v>
      </c>
      <c r="AA113" s="146">
        <v>1</v>
      </c>
      <c r="AB113" s="146">
        <v>107.1</v>
      </c>
      <c r="AC113" s="151"/>
      <c r="AD113" s="146">
        <v>4129.1220000000003</v>
      </c>
      <c r="AE113" s="151"/>
      <c r="AF113" s="151"/>
      <c r="AG113" s="151"/>
      <c r="AH113" s="148">
        <v>7.7999999999999999E-4</v>
      </c>
      <c r="AI113" s="148">
        <v>2.8559999999999999E-2</v>
      </c>
      <c r="AJ113" s="149">
        <v>3.9300000000000003E-3</v>
      </c>
      <c r="AK113" s="196"/>
    </row>
    <row r="114" spans="1:37" x14ac:dyDescent="0.2">
      <c r="A114" s="144" t="s">
        <v>1205</v>
      </c>
      <c r="B114" s="145" t="s">
        <v>1205</v>
      </c>
      <c r="C114" s="145" t="s">
        <v>1318</v>
      </c>
      <c r="D114" s="145" t="s">
        <v>1319</v>
      </c>
      <c r="E114" s="145" t="s">
        <v>313</v>
      </c>
      <c r="F114" s="145" t="s">
        <v>1323</v>
      </c>
      <c r="G114" s="145" t="s">
        <v>1324</v>
      </c>
      <c r="H114" s="145" t="s">
        <v>321</v>
      </c>
      <c r="I114" s="145" t="s">
        <v>754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440</v>
      </c>
      <c r="O114" s="145" t="s">
        <v>339</v>
      </c>
      <c r="P114" s="145" t="s">
        <v>1209</v>
      </c>
      <c r="Q114" s="145" t="s">
        <v>415</v>
      </c>
      <c r="R114" s="145" t="s">
        <v>407</v>
      </c>
      <c r="S114" s="145" t="s">
        <v>1210</v>
      </c>
      <c r="T114" s="146">
        <v>7.27</v>
      </c>
      <c r="U114" s="145" t="s">
        <v>1325</v>
      </c>
      <c r="V114" s="148">
        <v>0.03</v>
      </c>
      <c r="W114" s="148">
        <v>2.9510000000000002E-2</v>
      </c>
      <c r="X114" s="145" t="s">
        <v>412</v>
      </c>
      <c r="Y114" s="159"/>
      <c r="Z114" s="146">
        <v>3828000</v>
      </c>
      <c r="AA114" s="146">
        <v>1</v>
      </c>
      <c r="AB114" s="146">
        <v>106.29</v>
      </c>
      <c r="AC114" s="151"/>
      <c r="AD114" s="146">
        <v>4068.7809999999999</v>
      </c>
      <c r="AE114" s="151"/>
      <c r="AF114" s="151"/>
      <c r="AG114" s="151"/>
      <c r="AH114" s="148">
        <v>9.3999999999999997E-4</v>
      </c>
      <c r="AI114" s="148">
        <v>2.8139999999999998E-2</v>
      </c>
      <c r="AJ114" s="149">
        <v>3.8700000000000002E-3</v>
      </c>
      <c r="AK114" s="196"/>
    </row>
    <row r="115" spans="1:37" x14ac:dyDescent="0.2">
      <c r="A115" s="144" t="s">
        <v>1205</v>
      </c>
      <c r="B115" s="145" t="s">
        <v>1205</v>
      </c>
      <c r="C115" s="145" t="s">
        <v>1326</v>
      </c>
      <c r="D115" s="145" t="s">
        <v>1327</v>
      </c>
      <c r="E115" s="145" t="s">
        <v>309</v>
      </c>
      <c r="F115" s="145" t="s">
        <v>1332</v>
      </c>
      <c r="G115" s="145" t="s">
        <v>1333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448</v>
      </c>
      <c r="O115" s="145" t="s">
        <v>339</v>
      </c>
      <c r="P115" s="145" t="s">
        <v>1330</v>
      </c>
      <c r="Q115" s="145" t="s">
        <v>413</v>
      </c>
      <c r="R115" s="145" t="s">
        <v>407</v>
      </c>
      <c r="S115" s="145" t="s">
        <v>1210</v>
      </c>
      <c r="T115" s="146">
        <v>5.22</v>
      </c>
      <c r="U115" s="145" t="s">
        <v>1334</v>
      </c>
      <c r="V115" s="148">
        <v>2E-3</v>
      </c>
      <c r="W115" s="148">
        <v>2.606E-2</v>
      </c>
      <c r="X115" s="145" t="s">
        <v>412</v>
      </c>
      <c r="Y115" s="159"/>
      <c r="Z115" s="146">
        <v>3510320</v>
      </c>
      <c r="AA115" s="146">
        <v>1</v>
      </c>
      <c r="AB115" s="146">
        <v>102.35</v>
      </c>
      <c r="AC115" s="151"/>
      <c r="AD115" s="146">
        <v>3592.8130000000001</v>
      </c>
      <c r="AE115" s="151"/>
      <c r="AF115" s="151"/>
      <c r="AG115" s="151"/>
      <c r="AH115" s="148">
        <v>1.0200000000000001E-3</v>
      </c>
      <c r="AI115" s="148">
        <v>2.4850000000000001E-2</v>
      </c>
      <c r="AJ115" s="149">
        <v>3.4199999999999999E-3</v>
      </c>
      <c r="AK115" s="196"/>
    </row>
    <row r="116" spans="1:37" x14ac:dyDescent="0.2">
      <c r="A116" s="144" t="s">
        <v>1205</v>
      </c>
      <c r="B116" s="145" t="s">
        <v>1205</v>
      </c>
      <c r="C116" s="145" t="s">
        <v>1335</v>
      </c>
      <c r="D116" s="145" t="s">
        <v>1336</v>
      </c>
      <c r="E116" s="145" t="s">
        <v>309</v>
      </c>
      <c r="F116" s="145" t="s">
        <v>1337</v>
      </c>
      <c r="G116" s="145" t="s">
        <v>1338</v>
      </c>
      <c r="H116" s="145" t="s">
        <v>321</v>
      </c>
      <c r="I116" s="145" t="s">
        <v>754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448</v>
      </c>
      <c r="O116" s="145" t="s">
        <v>339</v>
      </c>
      <c r="P116" s="145" t="s">
        <v>1330</v>
      </c>
      <c r="Q116" s="145" t="s">
        <v>413</v>
      </c>
      <c r="R116" s="145" t="s">
        <v>407</v>
      </c>
      <c r="S116" s="145" t="s">
        <v>1210</v>
      </c>
      <c r="T116" s="146">
        <v>4.6399999999999997</v>
      </c>
      <c r="U116" s="145" t="s">
        <v>1339</v>
      </c>
      <c r="V116" s="148">
        <v>1E-3</v>
      </c>
      <c r="W116" s="148">
        <v>2.571E-2</v>
      </c>
      <c r="X116" s="145" t="s">
        <v>412</v>
      </c>
      <c r="Y116" s="159"/>
      <c r="Z116" s="146">
        <v>3084746</v>
      </c>
      <c r="AA116" s="146">
        <v>1</v>
      </c>
      <c r="AB116" s="146">
        <v>100.7</v>
      </c>
      <c r="AC116" s="151"/>
      <c r="AD116" s="146">
        <v>3106.3389999999999</v>
      </c>
      <c r="AE116" s="151"/>
      <c r="AF116" s="151"/>
      <c r="AG116" s="151"/>
      <c r="AH116" s="148">
        <v>1.24E-3</v>
      </c>
      <c r="AI116" s="148">
        <v>2.1489999999999999E-2</v>
      </c>
      <c r="AJ116" s="149">
        <v>2.9499999999999999E-3</v>
      </c>
      <c r="AK116" s="196"/>
    </row>
    <row r="117" spans="1:37" x14ac:dyDescent="0.2">
      <c r="A117" s="144" t="s">
        <v>1205</v>
      </c>
      <c r="B117" s="145" t="s">
        <v>1205</v>
      </c>
      <c r="C117" s="145" t="s">
        <v>1346</v>
      </c>
      <c r="D117" s="145" t="s">
        <v>1347</v>
      </c>
      <c r="E117" s="145" t="s">
        <v>309</v>
      </c>
      <c r="F117" s="145" t="s">
        <v>1348</v>
      </c>
      <c r="G117" s="145" t="s">
        <v>1349</v>
      </c>
      <c r="H117" s="145" t="s">
        <v>321</v>
      </c>
      <c r="I117" s="145" t="s">
        <v>951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445</v>
      </c>
      <c r="O117" s="145" t="s">
        <v>339</v>
      </c>
      <c r="P117" s="145" t="s">
        <v>1350</v>
      </c>
      <c r="Q117" s="145" t="s">
        <v>413</v>
      </c>
      <c r="R117" s="145" t="s">
        <v>407</v>
      </c>
      <c r="S117" s="145" t="s">
        <v>1210</v>
      </c>
      <c r="T117" s="146">
        <v>4.7</v>
      </c>
      <c r="U117" s="145" t="s">
        <v>1263</v>
      </c>
      <c r="V117" s="148">
        <v>2.64E-2</v>
      </c>
      <c r="W117" s="148">
        <v>5.0160000000000003E-2</v>
      </c>
      <c r="X117" s="145" t="s">
        <v>412</v>
      </c>
      <c r="Y117" s="159"/>
      <c r="Z117" s="146">
        <v>2977636.18</v>
      </c>
      <c r="AA117" s="146">
        <v>1</v>
      </c>
      <c r="AB117" s="146">
        <v>89.86</v>
      </c>
      <c r="AC117" s="151"/>
      <c r="AD117" s="146">
        <v>2675.7040000000002</v>
      </c>
      <c r="AE117" s="151"/>
      <c r="AF117" s="151"/>
      <c r="AG117" s="151"/>
      <c r="AH117" s="148">
        <v>1.82E-3</v>
      </c>
      <c r="AI117" s="148">
        <v>1.8509999999999999E-2</v>
      </c>
      <c r="AJ117" s="149">
        <v>2.5500000000000002E-3</v>
      </c>
      <c r="AK117" s="196"/>
    </row>
    <row r="118" spans="1:37" x14ac:dyDescent="0.2">
      <c r="A118" s="144" t="s">
        <v>1205</v>
      </c>
      <c r="B118" s="145" t="s">
        <v>1205</v>
      </c>
      <c r="C118" s="145" t="s">
        <v>1475</v>
      </c>
      <c r="D118" s="145" t="s">
        <v>1476</v>
      </c>
      <c r="E118" s="145" t="s">
        <v>309</v>
      </c>
      <c r="F118" s="145" t="s">
        <v>1633</v>
      </c>
      <c r="G118" s="145" t="s">
        <v>1634</v>
      </c>
      <c r="H118" s="145" t="s">
        <v>321</v>
      </c>
      <c r="I118" s="145" t="s">
        <v>951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484</v>
      </c>
      <c r="O118" s="145" t="s">
        <v>339</v>
      </c>
      <c r="P118" s="145" t="s">
        <v>1406</v>
      </c>
      <c r="Q118" s="145" t="s">
        <v>415</v>
      </c>
      <c r="R118" s="145" t="s">
        <v>407</v>
      </c>
      <c r="S118" s="145" t="s">
        <v>1210</v>
      </c>
      <c r="T118" s="146">
        <v>7.52</v>
      </c>
      <c r="U118" s="145" t="s">
        <v>1635</v>
      </c>
      <c r="V118" s="148">
        <v>2.7900000000000001E-2</v>
      </c>
      <c r="W118" s="148">
        <v>5.1869999999999999E-2</v>
      </c>
      <c r="X118" s="145" t="s">
        <v>412</v>
      </c>
      <c r="Y118" s="159"/>
      <c r="Z118" s="146">
        <v>3070000</v>
      </c>
      <c r="AA118" s="146">
        <v>1</v>
      </c>
      <c r="AB118" s="146">
        <v>84.82</v>
      </c>
      <c r="AC118" s="151"/>
      <c r="AD118" s="146">
        <v>2603.9740000000002</v>
      </c>
      <c r="AE118" s="151"/>
      <c r="AF118" s="151"/>
      <c r="AG118" s="151"/>
      <c r="AH118" s="148">
        <v>2.1900000000000001E-3</v>
      </c>
      <c r="AI118" s="148">
        <v>1.8010000000000002E-2</v>
      </c>
      <c r="AJ118" s="149">
        <v>2.48E-3</v>
      </c>
      <c r="AK118" s="196"/>
    </row>
    <row r="119" spans="1:37" x14ac:dyDescent="0.2">
      <c r="A119" s="144" t="s">
        <v>1205</v>
      </c>
      <c r="B119" s="145" t="s">
        <v>1205</v>
      </c>
      <c r="C119" s="145" t="s">
        <v>1346</v>
      </c>
      <c r="D119" s="145" t="s">
        <v>1347</v>
      </c>
      <c r="E119" s="145" t="s">
        <v>309</v>
      </c>
      <c r="F119" s="145" t="s">
        <v>1360</v>
      </c>
      <c r="G119" s="145" t="s">
        <v>1361</v>
      </c>
      <c r="H119" s="145" t="s">
        <v>321</v>
      </c>
      <c r="I119" s="145" t="s">
        <v>754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445</v>
      </c>
      <c r="O119" s="145" t="s">
        <v>339</v>
      </c>
      <c r="P119" s="145" t="s">
        <v>1350</v>
      </c>
      <c r="Q119" s="145" t="s">
        <v>413</v>
      </c>
      <c r="R119" s="145" t="s">
        <v>407</v>
      </c>
      <c r="S119" s="145" t="s">
        <v>1210</v>
      </c>
      <c r="T119" s="146">
        <v>6.41</v>
      </c>
      <c r="U119" s="145" t="s">
        <v>1362</v>
      </c>
      <c r="V119" s="148">
        <v>2.5000000000000001E-2</v>
      </c>
      <c r="W119" s="148">
        <v>5.2859999999999997E-2</v>
      </c>
      <c r="X119" s="145" t="s">
        <v>412</v>
      </c>
      <c r="Y119" s="159"/>
      <c r="Z119" s="146">
        <v>3055228</v>
      </c>
      <c r="AA119" s="146">
        <v>1</v>
      </c>
      <c r="AB119" s="146">
        <v>84.22</v>
      </c>
      <c r="AC119" s="151"/>
      <c r="AD119" s="146">
        <v>2573.1129999999998</v>
      </c>
      <c r="AE119" s="151"/>
      <c r="AF119" s="151"/>
      <c r="AG119" s="151"/>
      <c r="AH119" s="148">
        <v>2.2899999999999999E-3</v>
      </c>
      <c r="AI119" s="148">
        <v>1.78E-2</v>
      </c>
      <c r="AJ119" s="149">
        <v>2.4499999999999999E-3</v>
      </c>
      <c r="AK119" s="196"/>
    </row>
    <row r="120" spans="1:37" x14ac:dyDescent="0.2">
      <c r="A120" s="144" t="s">
        <v>1205</v>
      </c>
      <c r="B120" s="145" t="s">
        <v>1205</v>
      </c>
      <c r="C120" s="145" t="s">
        <v>1326</v>
      </c>
      <c r="D120" s="145" t="s">
        <v>1327</v>
      </c>
      <c r="E120" s="145" t="s">
        <v>309</v>
      </c>
      <c r="F120" s="145" t="s">
        <v>1340</v>
      </c>
      <c r="G120" s="145" t="s">
        <v>1341</v>
      </c>
      <c r="H120" s="145" t="s">
        <v>321</v>
      </c>
      <c r="I120" s="145" t="s">
        <v>754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448</v>
      </c>
      <c r="O120" s="145" t="s">
        <v>339</v>
      </c>
      <c r="P120" s="145" t="s">
        <v>1330</v>
      </c>
      <c r="Q120" s="145" t="s">
        <v>413</v>
      </c>
      <c r="R120" s="145" t="s">
        <v>407</v>
      </c>
      <c r="S120" s="145" t="s">
        <v>1210</v>
      </c>
      <c r="T120" s="146">
        <v>2.46</v>
      </c>
      <c r="U120" s="145" t="s">
        <v>1342</v>
      </c>
      <c r="V120" s="148">
        <v>1.2200000000000001E-2</v>
      </c>
      <c r="W120" s="148">
        <v>2.4389999999999998E-2</v>
      </c>
      <c r="X120" s="145" t="s">
        <v>412</v>
      </c>
      <c r="Y120" s="159"/>
      <c r="Z120" s="146">
        <v>2246325</v>
      </c>
      <c r="AA120" s="146">
        <v>1</v>
      </c>
      <c r="AB120" s="146">
        <v>114.03</v>
      </c>
      <c r="AC120" s="151"/>
      <c r="AD120" s="146">
        <v>2561.4839999999999</v>
      </c>
      <c r="AE120" s="151"/>
      <c r="AF120" s="151"/>
      <c r="AG120" s="151"/>
      <c r="AH120" s="148">
        <v>7.3999999999999999E-4</v>
      </c>
      <c r="AI120" s="148">
        <v>1.772E-2</v>
      </c>
      <c r="AJ120" s="149">
        <v>2.4399999999999999E-3</v>
      </c>
      <c r="AK120" s="196"/>
    </row>
    <row r="121" spans="1:37" x14ac:dyDescent="0.2">
      <c r="A121" s="144" t="s">
        <v>1205</v>
      </c>
      <c r="B121" s="145" t="s">
        <v>1205</v>
      </c>
      <c r="C121" s="145" t="s">
        <v>1326</v>
      </c>
      <c r="D121" s="145" t="s">
        <v>1327</v>
      </c>
      <c r="E121" s="145" t="s">
        <v>309</v>
      </c>
      <c r="F121" s="145" t="s">
        <v>1351</v>
      </c>
      <c r="G121" s="145" t="s">
        <v>1352</v>
      </c>
      <c r="H121" s="145" t="s">
        <v>321</v>
      </c>
      <c r="I121" s="145" t="s">
        <v>951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448</v>
      </c>
      <c r="O121" s="145" t="s">
        <v>339</v>
      </c>
      <c r="P121" s="145" t="s">
        <v>1330</v>
      </c>
      <c r="Q121" s="145" t="s">
        <v>413</v>
      </c>
      <c r="R121" s="145" t="s">
        <v>407</v>
      </c>
      <c r="S121" s="145" t="s">
        <v>1210</v>
      </c>
      <c r="T121" s="146">
        <v>0.19</v>
      </c>
      <c r="U121" s="145" t="s">
        <v>1353</v>
      </c>
      <c r="V121" s="148">
        <v>2.98E-2</v>
      </c>
      <c r="W121" s="148">
        <v>4.4909999999999999E-2</v>
      </c>
      <c r="X121" s="145" t="s">
        <v>412</v>
      </c>
      <c r="Y121" s="159"/>
      <c r="Z121" s="146">
        <v>2465697</v>
      </c>
      <c r="AA121" s="146">
        <v>1</v>
      </c>
      <c r="AB121" s="146">
        <v>102.14</v>
      </c>
      <c r="AC121" s="151"/>
      <c r="AD121" s="146">
        <v>2518.4630000000002</v>
      </c>
      <c r="AE121" s="151"/>
      <c r="AF121" s="151"/>
      <c r="AG121" s="151"/>
      <c r="AH121" s="148">
        <v>9.7000000000000005E-4</v>
      </c>
      <c r="AI121" s="148">
        <v>1.7420000000000001E-2</v>
      </c>
      <c r="AJ121" s="149">
        <v>2.3999999999999998E-3</v>
      </c>
      <c r="AK121" s="196"/>
    </row>
    <row r="122" spans="1:37" x14ac:dyDescent="0.2">
      <c r="A122" s="144" t="s">
        <v>1205</v>
      </c>
      <c r="B122" s="145" t="s">
        <v>1205</v>
      </c>
      <c r="C122" s="145" t="s">
        <v>1581</v>
      </c>
      <c r="D122" s="145" t="s">
        <v>1582</v>
      </c>
      <c r="E122" s="145" t="s">
        <v>309</v>
      </c>
      <c r="F122" s="145" t="s">
        <v>1636</v>
      </c>
      <c r="G122" s="145" t="s">
        <v>1637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464</v>
      </c>
      <c r="O122" s="145" t="s">
        <v>339</v>
      </c>
      <c r="P122" s="145" t="s">
        <v>1358</v>
      </c>
      <c r="Q122" s="145" t="s">
        <v>415</v>
      </c>
      <c r="R122" s="145" t="s">
        <v>407</v>
      </c>
      <c r="S122" s="145" t="s">
        <v>1210</v>
      </c>
      <c r="T122" s="146">
        <v>4.88</v>
      </c>
      <c r="U122" s="145" t="s">
        <v>1638</v>
      </c>
      <c r="V122" s="148">
        <v>1.8700000000000001E-2</v>
      </c>
      <c r="W122" s="148">
        <v>3.1629999999999998E-2</v>
      </c>
      <c r="X122" s="145" t="s">
        <v>412</v>
      </c>
      <c r="Y122" s="159"/>
      <c r="Z122" s="146">
        <v>2325999.9900000002</v>
      </c>
      <c r="AA122" s="146">
        <v>1</v>
      </c>
      <c r="AB122" s="146">
        <v>105.08</v>
      </c>
      <c r="AC122" s="151"/>
      <c r="AD122" s="146">
        <v>2444.1610000000001</v>
      </c>
      <c r="AE122" s="151"/>
      <c r="AF122" s="151"/>
      <c r="AG122" s="151"/>
      <c r="AH122" s="148">
        <v>2.2699999999999999E-3</v>
      </c>
      <c r="AI122" s="148">
        <v>1.6910000000000001E-2</v>
      </c>
      <c r="AJ122" s="149">
        <v>2.32E-3</v>
      </c>
      <c r="AK122" s="196"/>
    </row>
    <row r="123" spans="1:37" x14ac:dyDescent="0.2">
      <c r="A123" s="144" t="s">
        <v>1205</v>
      </c>
      <c r="B123" s="145" t="s">
        <v>1205</v>
      </c>
      <c r="C123" s="145" t="s">
        <v>1371</v>
      </c>
      <c r="D123" s="145" t="s">
        <v>1372</v>
      </c>
      <c r="E123" s="145" t="s">
        <v>309</v>
      </c>
      <c r="F123" s="145" t="s">
        <v>1373</v>
      </c>
      <c r="G123" s="145" t="s">
        <v>1374</v>
      </c>
      <c r="H123" s="145" t="s">
        <v>321</v>
      </c>
      <c r="I123" s="145" t="s">
        <v>951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484</v>
      </c>
      <c r="O123" s="145" t="s">
        <v>339</v>
      </c>
      <c r="P123" s="145" t="s">
        <v>1375</v>
      </c>
      <c r="Q123" s="145" t="s">
        <v>415</v>
      </c>
      <c r="R123" s="145" t="s">
        <v>407</v>
      </c>
      <c r="S123" s="145" t="s">
        <v>1210</v>
      </c>
      <c r="T123" s="146">
        <v>4.07</v>
      </c>
      <c r="U123" s="145" t="s">
        <v>1376</v>
      </c>
      <c r="V123" s="148">
        <v>5.5E-2</v>
      </c>
      <c r="W123" s="148">
        <v>5.1830000000000001E-2</v>
      </c>
      <c r="X123" s="145" t="s">
        <v>412</v>
      </c>
      <c r="Y123" s="159"/>
      <c r="Z123" s="146">
        <v>2169934.23</v>
      </c>
      <c r="AA123" s="146">
        <v>1</v>
      </c>
      <c r="AB123" s="146">
        <v>104.5</v>
      </c>
      <c r="AC123" s="151"/>
      <c r="AD123" s="146">
        <v>2267.5810000000001</v>
      </c>
      <c r="AE123" s="151"/>
      <c r="AF123" s="151"/>
      <c r="AG123" s="151"/>
      <c r="AH123" s="148">
        <v>2.15E-3</v>
      </c>
      <c r="AI123" s="148">
        <v>1.5679999999999999E-2</v>
      </c>
      <c r="AJ123" s="149">
        <v>2.16E-3</v>
      </c>
      <c r="AK123" s="196"/>
    </row>
    <row r="124" spans="1:37" x14ac:dyDescent="0.2">
      <c r="A124" s="144" t="s">
        <v>1205</v>
      </c>
      <c r="B124" s="145" t="s">
        <v>1205</v>
      </c>
      <c r="C124" s="145" t="s">
        <v>1543</v>
      </c>
      <c r="D124" s="145" t="s">
        <v>1544</v>
      </c>
      <c r="E124" s="145" t="s">
        <v>309</v>
      </c>
      <c r="F124" s="145" t="s">
        <v>1639</v>
      </c>
      <c r="G124" s="145" t="s">
        <v>1640</v>
      </c>
      <c r="H124" s="145" t="s">
        <v>321</v>
      </c>
      <c r="I124" s="145" t="s">
        <v>754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464</v>
      </c>
      <c r="O124" s="145" t="s">
        <v>339</v>
      </c>
      <c r="P124" s="145" t="s">
        <v>1594</v>
      </c>
      <c r="Q124" s="145" t="s">
        <v>415</v>
      </c>
      <c r="R124" s="145" t="s">
        <v>407</v>
      </c>
      <c r="S124" s="145" t="s">
        <v>1210</v>
      </c>
      <c r="T124" s="146">
        <v>11.9</v>
      </c>
      <c r="U124" s="145" t="s">
        <v>1641</v>
      </c>
      <c r="V124" s="148">
        <v>3.6700000000000003E-2</v>
      </c>
      <c r="W124" s="148">
        <v>3.4259999999999999E-2</v>
      </c>
      <c r="X124" s="145" t="s">
        <v>412</v>
      </c>
      <c r="Y124" s="159"/>
      <c r="Z124" s="146">
        <v>2140000</v>
      </c>
      <c r="AA124" s="146">
        <v>1</v>
      </c>
      <c r="AB124" s="146">
        <v>105.88</v>
      </c>
      <c r="AC124" s="151"/>
      <c r="AD124" s="146">
        <v>2265.8319999999999</v>
      </c>
      <c r="AE124" s="151"/>
      <c r="AF124" s="151"/>
      <c r="AG124" s="151"/>
      <c r="AH124" s="148">
        <v>6.4999999999999997E-4</v>
      </c>
      <c r="AI124" s="148">
        <v>1.567E-2</v>
      </c>
      <c r="AJ124" s="149">
        <v>2.16E-3</v>
      </c>
      <c r="AK124" s="196"/>
    </row>
    <row r="125" spans="1:37" x14ac:dyDescent="0.2">
      <c r="A125" s="144" t="s">
        <v>1205</v>
      </c>
      <c r="B125" s="145" t="s">
        <v>1205</v>
      </c>
      <c r="C125" s="145" t="s">
        <v>1454</v>
      </c>
      <c r="D125" s="145" t="s">
        <v>1455</v>
      </c>
      <c r="E125" s="145" t="s">
        <v>309</v>
      </c>
      <c r="F125" s="145" t="s">
        <v>1642</v>
      </c>
      <c r="G125" s="145" t="s">
        <v>1643</v>
      </c>
      <c r="H125" s="145" t="s">
        <v>321</v>
      </c>
      <c r="I125" s="145" t="s">
        <v>754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464</v>
      </c>
      <c r="O125" s="145" t="s">
        <v>339</v>
      </c>
      <c r="P125" s="145" t="s">
        <v>1392</v>
      </c>
      <c r="Q125" s="145" t="s">
        <v>413</v>
      </c>
      <c r="R125" s="145" t="s">
        <v>407</v>
      </c>
      <c r="S125" s="145" t="s">
        <v>1210</v>
      </c>
      <c r="T125" s="146">
        <v>5.73</v>
      </c>
      <c r="U125" s="145" t="s">
        <v>1644</v>
      </c>
      <c r="V125" s="148">
        <v>3.61E-2</v>
      </c>
      <c r="W125" s="148">
        <v>3.0759999999999999E-2</v>
      </c>
      <c r="X125" s="145" t="s">
        <v>412</v>
      </c>
      <c r="Y125" s="159"/>
      <c r="Z125" s="146">
        <v>2005275.51</v>
      </c>
      <c r="AA125" s="146">
        <v>1</v>
      </c>
      <c r="AB125" s="146">
        <v>110.37</v>
      </c>
      <c r="AC125" s="151"/>
      <c r="AD125" s="146">
        <v>2213.223</v>
      </c>
      <c r="AE125" s="151"/>
      <c r="AF125" s="151"/>
      <c r="AG125" s="151"/>
      <c r="AH125" s="148">
        <v>1.2800000000000001E-3</v>
      </c>
      <c r="AI125" s="148">
        <v>1.5310000000000001E-2</v>
      </c>
      <c r="AJ125" s="149">
        <v>2.1099999999999999E-3</v>
      </c>
      <c r="AK125" s="196"/>
    </row>
    <row r="126" spans="1:37" x14ac:dyDescent="0.2">
      <c r="A126" s="144" t="s">
        <v>1205</v>
      </c>
      <c r="B126" s="145" t="s">
        <v>1205</v>
      </c>
      <c r="C126" s="145" t="s">
        <v>1628</v>
      </c>
      <c r="D126" s="145" t="s">
        <v>1629</v>
      </c>
      <c r="E126" s="145" t="s">
        <v>309</v>
      </c>
      <c r="F126" s="145" t="s">
        <v>1645</v>
      </c>
      <c r="G126" s="145" t="s">
        <v>1646</v>
      </c>
      <c r="H126" s="145" t="s">
        <v>321</v>
      </c>
      <c r="I126" s="145" t="s">
        <v>754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448</v>
      </c>
      <c r="O126" s="145" t="s">
        <v>339</v>
      </c>
      <c r="P126" s="145" t="s">
        <v>1330</v>
      </c>
      <c r="Q126" s="145" t="s">
        <v>413</v>
      </c>
      <c r="R126" s="145" t="s">
        <v>407</v>
      </c>
      <c r="S126" s="145" t="s">
        <v>1210</v>
      </c>
      <c r="T126" s="146">
        <v>5.07</v>
      </c>
      <c r="U126" s="145" t="s">
        <v>1632</v>
      </c>
      <c r="V126" s="148">
        <v>2.4E-2</v>
      </c>
      <c r="W126" s="148">
        <v>2.6120000000000001E-2</v>
      </c>
      <c r="X126" s="145" t="s">
        <v>412</v>
      </c>
      <c r="Y126" s="159"/>
      <c r="Z126" s="146">
        <v>2140000</v>
      </c>
      <c r="AA126" s="146">
        <v>1</v>
      </c>
      <c r="AB126" s="146">
        <v>99.73</v>
      </c>
      <c r="AC126" s="151"/>
      <c r="AD126" s="146">
        <v>2134.2220000000002</v>
      </c>
      <c r="AE126" s="151"/>
      <c r="AF126" s="151"/>
      <c r="AG126" s="151"/>
      <c r="AH126" s="148">
        <v>1.7700000000000001E-3</v>
      </c>
      <c r="AI126" s="148">
        <v>1.4760000000000001E-2</v>
      </c>
      <c r="AJ126" s="149">
        <v>2.0300000000000001E-3</v>
      </c>
      <c r="AK126" s="196"/>
    </row>
    <row r="127" spans="1:37" x14ac:dyDescent="0.2">
      <c r="A127" s="144" t="s">
        <v>1205</v>
      </c>
      <c r="B127" s="145" t="s">
        <v>1205</v>
      </c>
      <c r="C127" s="145" t="s">
        <v>1402</v>
      </c>
      <c r="D127" s="145" t="s">
        <v>1403</v>
      </c>
      <c r="E127" s="145" t="s">
        <v>309</v>
      </c>
      <c r="F127" s="145" t="s">
        <v>1404</v>
      </c>
      <c r="G127" s="145" t="s">
        <v>1405</v>
      </c>
      <c r="H127" s="145" t="s">
        <v>321</v>
      </c>
      <c r="I127" s="145" t="s">
        <v>951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445</v>
      </c>
      <c r="O127" s="145" t="s">
        <v>339</v>
      </c>
      <c r="P127" s="145" t="s">
        <v>1406</v>
      </c>
      <c r="Q127" s="145" t="s">
        <v>415</v>
      </c>
      <c r="R127" s="145" t="s">
        <v>407</v>
      </c>
      <c r="S127" s="145" t="s">
        <v>1210</v>
      </c>
      <c r="T127" s="146">
        <v>0.33</v>
      </c>
      <c r="U127" s="145" t="s">
        <v>1387</v>
      </c>
      <c r="V127" s="148">
        <v>3.61E-2</v>
      </c>
      <c r="W127" s="148">
        <v>5.0680000000000003E-2</v>
      </c>
      <c r="X127" s="145" t="s">
        <v>412</v>
      </c>
      <c r="Y127" s="159"/>
      <c r="Z127" s="146">
        <v>2035382</v>
      </c>
      <c r="AA127" s="146">
        <v>1</v>
      </c>
      <c r="AB127" s="146">
        <v>100.15</v>
      </c>
      <c r="AC127" s="151"/>
      <c r="AD127" s="146">
        <v>2038.4349999999999</v>
      </c>
      <c r="AE127" s="151"/>
      <c r="AF127" s="151"/>
      <c r="AG127" s="151"/>
      <c r="AH127" s="148">
        <v>2.65E-3</v>
      </c>
      <c r="AI127" s="148">
        <v>1.41E-2</v>
      </c>
      <c r="AJ127" s="149">
        <v>1.9400000000000001E-3</v>
      </c>
      <c r="AK127" s="196"/>
    </row>
    <row r="128" spans="1:37" x14ac:dyDescent="0.2">
      <c r="A128" s="144" t="s">
        <v>1205</v>
      </c>
      <c r="B128" s="145" t="s">
        <v>1205</v>
      </c>
      <c r="C128" s="145" t="s">
        <v>1543</v>
      </c>
      <c r="D128" s="145" t="s">
        <v>1544</v>
      </c>
      <c r="E128" s="145" t="s">
        <v>309</v>
      </c>
      <c r="F128" s="145" t="s">
        <v>1555</v>
      </c>
      <c r="G128" s="145" t="s">
        <v>1556</v>
      </c>
      <c r="H128" s="145" t="s">
        <v>321</v>
      </c>
      <c r="I128" s="145" t="s">
        <v>754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464</v>
      </c>
      <c r="O128" s="145" t="s">
        <v>339</v>
      </c>
      <c r="P128" s="145" t="s">
        <v>1547</v>
      </c>
      <c r="Q128" s="145" t="s">
        <v>413</v>
      </c>
      <c r="R128" s="145" t="s">
        <v>407</v>
      </c>
      <c r="S128" s="145" t="s">
        <v>1210</v>
      </c>
      <c r="T128" s="146">
        <v>9.99</v>
      </c>
      <c r="U128" s="145" t="s">
        <v>1557</v>
      </c>
      <c r="V128" s="148">
        <v>1.6899999999999998E-2</v>
      </c>
      <c r="W128" s="148">
        <v>3.2899999999999999E-2</v>
      </c>
      <c r="X128" s="145" t="s">
        <v>412</v>
      </c>
      <c r="Y128" s="159"/>
      <c r="Z128" s="146">
        <v>2029893</v>
      </c>
      <c r="AA128" s="146">
        <v>1</v>
      </c>
      <c r="AB128" s="146">
        <v>97.7</v>
      </c>
      <c r="AC128" s="151"/>
      <c r="AD128" s="146">
        <v>1983.2049999999999</v>
      </c>
      <c r="AE128" s="151"/>
      <c r="AF128" s="151"/>
      <c r="AG128" s="151"/>
      <c r="AH128" s="148">
        <v>4.6999999999999999E-4</v>
      </c>
      <c r="AI128" s="148">
        <v>1.372E-2</v>
      </c>
      <c r="AJ128" s="149">
        <v>1.89E-3</v>
      </c>
      <c r="AK128" s="196"/>
    </row>
    <row r="129" spans="1:37" x14ac:dyDescent="0.2">
      <c r="A129" s="144" t="s">
        <v>1205</v>
      </c>
      <c r="B129" s="145" t="s">
        <v>1205</v>
      </c>
      <c r="C129" s="145" t="s">
        <v>1318</v>
      </c>
      <c r="D129" s="145" t="s">
        <v>1319</v>
      </c>
      <c r="E129" s="145" t="s">
        <v>313</v>
      </c>
      <c r="F129" s="145" t="s">
        <v>1377</v>
      </c>
      <c r="G129" s="145" t="s">
        <v>1378</v>
      </c>
      <c r="H129" s="145" t="s">
        <v>321</v>
      </c>
      <c r="I129" s="145" t="s">
        <v>754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440</v>
      </c>
      <c r="O129" s="145" t="s">
        <v>339</v>
      </c>
      <c r="P129" s="145" t="s">
        <v>1209</v>
      </c>
      <c r="Q129" s="145" t="s">
        <v>415</v>
      </c>
      <c r="R129" s="145" t="s">
        <v>407</v>
      </c>
      <c r="S129" s="145" t="s">
        <v>1210</v>
      </c>
      <c r="T129" s="146">
        <v>5.37</v>
      </c>
      <c r="U129" s="145" t="s">
        <v>1379</v>
      </c>
      <c r="V129" s="148">
        <v>2.3900000000000001E-2</v>
      </c>
      <c r="W129" s="148">
        <v>2.7189999999999999E-2</v>
      </c>
      <c r="X129" s="145" t="s">
        <v>412</v>
      </c>
      <c r="Y129" s="159"/>
      <c r="Z129" s="146">
        <v>1700000</v>
      </c>
      <c r="AA129" s="146">
        <v>1</v>
      </c>
      <c r="AB129" s="146">
        <v>113.4</v>
      </c>
      <c r="AC129" s="151"/>
      <c r="AD129" s="146">
        <v>1927.8</v>
      </c>
      <c r="AE129" s="151"/>
      <c r="AF129" s="151"/>
      <c r="AG129" s="151"/>
      <c r="AH129" s="148">
        <v>4.4000000000000002E-4</v>
      </c>
      <c r="AI129" s="148">
        <v>1.333E-2</v>
      </c>
      <c r="AJ129" s="149">
        <v>1.83E-3</v>
      </c>
      <c r="AK129" s="196"/>
    </row>
    <row r="130" spans="1:37" x14ac:dyDescent="0.2">
      <c r="A130" s="144" t="s">
        <v>1205</v>
      </c>
      <c r="B130" s="145" t="s">
        <v>1205</v>
      </c>
      <c r="C130" s="145" t="s">
        <v>1647</v>
      </c>
      <c r="D130" s="145" t="s">
        <v>1648</v>
      </c>
      <c r="E130" s="145" t="s">
        <v>309</v>
      </c>
      <c r="F130" s="145" t="s">
        <v>1649</v>
      </c>
      <c r="G130" s="145" t="s">
        <v>1650</v>
      </c>
      <c r="H130" s="145" t="s">
        <v>321</v>
      </c>
      <c r="I130" s="145" t="s">
        <v>754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464</v>
      </c>
      <c r="O130" s="145" t="s">
        <v>339</v>
      </c>
      <c r="P130" s="145" t="s">
        <v>1562</v>
      </c>
      <c r="Q130" s="145" t="s">
        <v>413</v>
      </c>
      <c r="R130" s="145" t="s">
        <v>407</v>
      </c>
      <c r="S130" s="145" t="s">
        <v>1210</v>
      </c>
      <c r="T130" s="146">
        <v>5.71</v>
      </c>
      <c r="U130" s="145" t="s">
        <v>1651</v>
      </c>
      <c r="V130" s="148">
        <v>3.6799999999999999E-2</v>
      </c>
      <c r="W130" s="148">
        <v>3.5349999999999999E-2</v>
      </c>
      <c r="X130" s="145" t="s">
        <v>412</v>
      </c>
      <c r="Y130" s="159"/>
      <c r="Z130" s="146">
        <v>1749463</v>
      </c>
      <c r="AA130" s="146">
        <v>1</v>
      </c>
      <c r="AB130" s="146">
        <v>105.69</v>
      </c>
      <c r="AC130" s="151"/>
      <c r="AD130" s="146">
        <v>1849.0070000000001</v>
      </c>
      <c r="AE130" s="151"/>
      <c r="AF130" s="151"/>
      <c r="AG130" s="151"/>
      <c r="AH130" s="148">
        <v>3.9399999999999999E-3</v>
      </c>
      <c r="AI130" s="148">
        <v>1.2789999999999999E-2</v>
      </c>
      <c r="AJ130" s="149">
        <v>1.7600000000000001E-3</v>
      </c>
      <c r="AK130" s="196"/>
    </row>
    <row r="131" spans="1:37" x14ac:dyDescent="0.2">
      <c r="A131" s="144" t="s">
        <v>1205</v>
      </c>
      <c r="B131" s="145" t="s">
        <v>1205</v>
      </c>
      <c r="C131" s="145" t="s">
        <v>1652</v>
      </c>
      <c r="D131" s="145" t="s">
        <v>1653</v>
      </c>
      <c r="E131" s="145" t="s">
        <v>309</v>
      </c>
      <c r="F131" s="145" t="s">
        <v>1654</v>
      </c>
      <c r="G131" s="145" t="s">
        <v>1655</v>
      </c>
      <c r="H131" s="145" t="s">
        <v>321</v>
      </c>
      <c r="I131" s="145" t="s">
        <v>951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440</v>
      </c>
      <c r="O131" s="145" t="s">
        <v>339</v>
      </c>
      <c r="P131" s="145" t="s">
        <v>1473</v>
      </c>
      <c r="Q131" s="145" t="s">
        <v>413</v>
      </c>
      <c r="R131" s="145" t="s">
        <v>407</v>
      </c>
      <c r="S131" s="145" t="s">
        <v>1210</v>
      </c>
      <c r="T131" s="146">
        <v>4.26</v>
      </c>
      <c r="U131" s="145" t="s">
        <v>1656</v>
      </c>
      <c r="V131" s="148">
        <v>5.7500000000000002E-2</v>
      </c>
      <c r="W131" s="148">
        <v>5.4940000000000003E-2</v>
      </c>
      <c r="X131" s="145" t="s">
        <v>412</v>
      </c>
      <c r="Y131" s="159"/>
      <c r="Z131" s="146">
        <v>1788000</v>
      </c>
      <c r="AA131" s="146">
        <v>1</v>
      </c>
      <c r="AB131" s="146">
        <v>101.46</v>
      </c>
      <c r="AC131" s="151"/>
      <c r="AD131" s="146">
        <v>1814.105</v>
      </c>
      <c r="AE131" s="151"/>
      <c r="AF131" s="151"/>
      <c r="AG131" s="151"/>
      <c r="AH131" s="148">
        <v>3.4099999999999998E-3</v>
      </c>
      <c r="AI131" s="148">
        <v>1.255E-2</v>
      </c>
      <c r="AJ131" s="149">
        <v>1.73E-3</v>
      </c>
      <c r="AK131" s="196"/>
    </row>
    <row r="132" spans="1:37" x14ac:dyDescent="0.2">
      <c r="A132" s="144" t="s">
        <v>1205</v>
      </c>
      <c r="B132" s="145" t="s">
        <v>1205</v>
      </c>
      <c r="C132" s="145" t="s">
        <v>1415</v>
      </c>
      <c r="D132" s="145" t="s">
        <v>1416</v>
      </c>
      <c r="E132" s="145" t="s">
        <v>309</v>
      </c>
      <c r="F132" s="145" t="s">
        <v>1657</v>
      </c>
      <c r="G132" s="145" t="s">
        <v>1658</v>
      </c>
      <c r="H132" s="145" t="s">
        <v>321</v>
      </c>
      <c r="I132" s="145" t="s">
        <v>754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448</v>
      </c>
      <c r="O132" s="145" t="s">
        <v>339</v>
      </c>
      <c r="P132" s="145" t="s">
        <v>1350</v>
      </c>
      <c r="Q132" s="145" t="s">
        <v>413</v>
      </c>
      <c r="R132" s="145" t="s">
        <v>407</v>
      </c>
      <c r="S132" s="145" t="s">
        <v>1210</v>
      </c>
      <c r="T132" s="146">
        <v>1.71</v>
      </c>
      <c r="U132" s="145" t="s">
        <v>1401</v>
      </c>
      <c r="V132" s="148">
        <v>2E-3</v>
      </c>
      <c r="W132" s="148">
        <v>2.6679999999999999E-2</v>
      </c>
      <c r="X132" s="145" t="s">
        <v>412</v>
      </c>
      <c r="Y132" s="159"/>
      <c r="Z132" s="146">
        <v>1571000</v>
      </c>
      <c r="AA132" s="146">
        <v>1</v>
      </c>
      <c r="AB132" s="146">
        <v>111.08</v>
      </c>
      <c r="AC132" s="151"/>
      <c r="AD132" s="146">
        <v>1745.067</v>
      </c>
      <c r="AE132" s="151"/>
      <c r="AF132" s="151"/>
      <c r="AG132" s="151"/>
      <c r="AH132" s="148">
        <v>1.8600000000000001E-3</v>
      </c>
      <c r="AI132" s="148">
        <v>1.2070000000000001E-2</v>
      </c>
      <c r="AJ132" s="149">
        <v>1.66E-3</v>
      </c>
      <c r="AK132" s="196"/>
    </row>
    <row r="133" spans="1:37" x14ac:dyDescent="0.2">
      <c r="A133" s="144" t="s">
        <v>1205</v>
      </c>
      <c r="B133" s="145" t="s">
        <v>1205</v>
      </c>
      <c r="C133" s="145" t="s">
        <v>1326</v>
      </c>
      <c r="D133" s="145" t="s">
        <v>1327</v>
      </c>
      <c r="E133" s="145" t="s">
        <v>309</v>
      </c>
      <c r="F133" s="145" t="s">
        <v>1328</v>
      </c>
      <c r="G133" s="145" t="s">
        <v>1329</v>
      </c>
      <c r="H133" s="145" t="s">
        <v>321</v>
      </c>
      <c r="I133" s="145" t="s">
        <v>754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448</v>
      </c>
      <c r="O133" s="145" t="s">
        <v>339</v>
      </c>
      <c r="P133" s="145" t="s">
        <v>1330</v>
      </c>
      <c r="Q133" s="145" t="s">
        <v>413</v>
      </c>
      <c r="R133" s="145" t="s">
        <v>407</v>
      </c>
      <c r="S133" s="145" t="s">
        <v>1210</v>
      </c>
      <c r="T133" s="146">
        <v>1.22</v>
      </c>
      <c r="U133" s="145" t="s">
        <v>1331</v>
      </c>
      <c r="V133" s="148">
        <v>3.8E-3</v>
      </c>
      <c r="W133" s="148">
        <v>2.3910000000000001E-2</v>
      </c>
      <c r="X133" s="145" t="s">
        <v>412</v>
      </c>
      <c r="Y133" s="159"/>
      <c r="Z133" s="146">
        <v>1554896</v>
      </c>
      <c r="AA133" s="146">
        <v>1</v>
      </c>
      <c r="AB133" s="146">
        <v>111.45</v>
      </c>
      <c r="AC133" s="151"/>
      <c r="AD133" s="146">
        <v>1732.932</v>
      </c>
      <c r="AE133" s="151"/>
      <c r="AF133" s="151"/>
      <c r="AG133" s="151"/>
      <c r="AH133" s="148">
        <v>5.1999999999999995E-4</v>
      </c>
      <c r="AI133" s="148">
        <v>1.1990000000000001E-2</v>
      </c>
      <c r="AJ133" s="149">
        <v>1.65E-3</v>
      </c>
      <c r="AK133" s="196"/>
    </row>
    <row r="134" spans="1:37" x14ac:dyDescent="0.2">
      <c r="A134" s="144" t="s">
        <v>1205</v>
      </c>
      <c r="B134" s="145" t="s">
        <v>1205</v>
      </c>
      <c r="C134" s="145" t="s">
        <v>1576</v>
      </c>
      <c r="D134" s="145" t="s">
        <v>1577</v>
      </c>
      <c r="E134" s="145" t="s">
        <v>309</v>
      </c>
      <c r="F134" s="145" t="s">
        <v>1578</v>
      </c>
      <c r="G134" s="145" t="s">
        <v>1579</v>
      </c>
      <c r="H134" s="145" t="s">
        <v>321</v>
      </c>
      <c r="I134" s="145" t="s">
        <v>951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464</v>
      </c>
      <c r="O134" s="145" t="s">
        <v>339</v>
      </c>
      <c r="P134" s="145" t="s">
        <v>1350</v>
      </c>
      <c r="Q134" s="145" t="s">
        <v>413</v>
      </c>
      <c r="R134" s="145" t="s">
        <v>407</v>
      </c>
      <c r="S134" s="145" t="s">
        <v>1210</v>
      </c>
      <c r="T134" s="146">
        <v>6.16</v>
      </c>
      <c r="U134" s="145" t="s">
        <v>1580</v>
      </c>
      <c r="V134" s="148">
        <v>4.9399999999999999E-2</v>
      </c>
      <c r="W134" s="148">
        <v>5.5919999999999997E-2</v>
      </c>
      <c r="X134" s="145" t="s">
        <v>412</v>
      </c>
      <c r="Y134" s="159"/>
      <c r="Z134" s="146">
        <v>1776723.07</v>
      </c>
      <c r="AA134" s="146">
        <v>1</v>
      </c>
      <c r="AB134" s="146">
        <v>96.63</v>
      </c>
      <c r="AC134" s="151"/>
      <c r="AD134" s="146">
        <v>1716.848</v>
      </c>
      <c r="AE134" s="151"/>
      <c r="AF134" s="151"/>
      <c r="AG134" s="151"/>
      <c r="AH134" s="148">
        <v>1.2999999999999999E-3</v>
      </c>
      <c r="AI134" s="148">
        <v>1.187E-2</v>
      </c>
      <c r="AJ134" s="149">
        <v>1.6299999999999999E-3</v>
      </c>
      <c r="AK134" s="196"/>
    </row>
    <row r="135" spans="1:37" x14ac:dyDescent="0.2">
      <c r="A135" s="144" t="s">
        <v>1205</v>
      </c>
      <c r="B135" s="145" t="s">
        <v>1205</v>
      </c>
      <c r="C135" s="145" t="s">
        <v>1388</v>
      </c>
      <c r="D135" s="145" t="s">
        <v>1389</v>
      </c>
      <c r="E135" s="145" t="s">
        <v>309</v>
      </c>
      <c r="F135" s="145" t="s">
        <v>1390</v>
      </c>
      <c r="G135" s="145" t="s">
        <v>1391</v>
      </c>
      <c r="H135" s="145" t="s">
        <v>321</v>
      </c>
      <c r="I135" s="145" t="s">
        <v>754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464</v>
      </c>
      <c r="O135" s="145" t="s">
        <v>339</v>
      </c>
      <c r="P135" s="145" t="s">
        <v>1392</v>
      </c>
      <c r="Q135" s="145" t="s">
        <v>413</v>
      </c>
      <c r="R135" s="145" t="s">
        <v>407</v>
      </c>
      <c r="S135" s="145" t="s">
        <v>1210</v>
      </c>
      <c r="T135" s="146">
        <v>4.67</v>
      </c>
      <c r="U135" s="145" t="s">
        <v>1393</v>
      </c>
      <c r="V135" s="148">
        <v>5.8999999999999999E-3</v>
      </c>
      <c r="W135" s="148">
        <v>3.0779999999999998E-2</v>
      </c>
      <c r="X135" s="145" t="s">
        <v>412</v>
      </c>
      <c r="Y135" s="159"/>
      <c r="Z135" s="146">
        <v>1700000</v>
      </c>
      <c r="AA135" s="146">
        <v>1</v>
      </c>
      <c r="AB135" s="146">
        <v>100.11</v>
      </c>
      <c r="AC135" s="151"/>
      <c r="AD135" s="146">
        <v>1701.87</v>
      </c>
      <c r="AE135" s="151"/>
      <c r="AF135" s="151"/>
      <c r="AG135" s="151"/>
      <c r="AH135" s="148">
        <v>1.2099999999999999E-3</v>
      </c>
      <c r="AI135" s="148">
        <v>1.1769999999999999E-2</v>
      </c>
      <c r="AJ135" s="149">
        <v>1.6199999999999999E-3</v>
      </c>
      <c r="AK135" s="196"/>
    </row>
    <row r="136" spans="1:37" x14ac:dyDescent="0.2">
      <c r="A136" s="144" t="s">
        <v>1205</v>
      </c>
      <c r="B136" s="145" t="s">
        <v>1205</v>
      </c>
      <c r="C136" s="145" t="s">
        <v>1576</v>
      </c>
      <c r="D136" s="145" t="s">
        <v>1577</v>
      </c>
      <c r="E136" s="145" t="s">
        <v>309</v>
      </c>
      <c r="F136" s="145" t="s">
        <v>1659</v>
      </c>
      <c r="G136" s="145" t="s">
        <v>1660</v>
      </c>
      <c r="H136" s="145" t="s">
        <v>321</v>
      </c>
      <c r="I136" s="145" t="s">
        <v>754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464</v>
      </c>
      <c r="O136" s="145" t="s">
        <v>339</v>
      </c>
      <c r="P136" s="145" t="s">
        <v>1350</v>
      </c>
      <c r="Q136" s="145" t="s">
        <v>413</v>
      </c>
      <c r="R136" s="145" t="s">
        <v>407</v>
      </c>
      <c r="S136" s="145" t="s">
        <v>1210</v>
      </c>
      <c r="T136" s="146">
        <v>6.66</v>
      </c>
      <c r="U136" s="145" t="s">
        <v>1580</v>
      </c>
      <c r="V136" s="148">
        <v>2.5600000000000001E-2</v>
      </c>
      <c r="W136" s="148">
        <v>3.5029999999999999E-2</v>
      </c>
      <c r="X136" s="145" t="s">
        <v>412</v>
      </c>
      <c r="Y136" s="159"/>
      <c r="Z136" s="146">
        <v>1634735</v>
      </c>
      <c r="AA136" s="146">
        <v>1</v>
      </c>
      <c r="AB136" s="146">
        <v>101.59</v>
      </c>
      <c r="AC136" s="151"/>
      <c r="AD136" s="146">
        <v>1660.7270000000001</v>
      </c>
      <c r="AE136" s="151"/>
      <c r="AF136" s="151"/>
      <c r="AG136" s="151"/>
      <c r="AH136" s="148">
        <v>1.56E-3</v>
      </c>
      <c r="AI136" s="148">
        <v>1.149E-2</v>
      </c>
      <c r="AJ136" s="149">
        <v>1.58E-3</v>
      </c>
      <c r="AK136" s="196"/>
    </row>
    <row r="137" spans="1:37" x14ac:dyDescent="0.2">
      <c r="A137" s="144" t="s">
        <v>1205</v>
      </c>
      <c r="B137" s="145" t="s">
        <v>1205</v>
      </c>
      <c r="C137" s="145" t="s">
        <v>1363</v>
      </c>
      <c r="D137" s="145" t="s">
        <v>1364</v>
      </c>
      <c r="E137" s="145" t="s">
        <v>309</v>
      </c>
      <c r="F137" s="145" t="s">
        <v>1365</v>
      </c>
      <c r="G137" s="145" t="s">
        <v>1366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448</v>
      </c>
      <c r="O137" s="145" t="s">
        <v>339</v>
      </c>
      <c r="P137" s="145" t="s">
        <v>1330</v>
      </c>
      <c r="Q137" s="145" t="s">
        <v>413</v>
      </c>
      <c r="R137" s="145" t="s">
        <v>407</v>
      </c>
      <c r="S137" s="145" t="s">
        <v>1210</v>
      </c>
      <c r="T137" s="146">
        <v>3.05</v>
      </c>
      <c r="U137" s="145" t="s">
        <v>1367</v>
      </c>
      <c r="V137" s="148">
        <v>1.7500000000000002E-2</v>
      </c>
      <c r="W137" s="148">
        <v>2.546E-2</v>
      </c>
      <c r="X137" s="145" t="s">
        <v>412</v>
      </c>
      <c r="Y137" s="159"/>
      <c r="Z137" s="146">
        <v>1466388.17</v>
      </c>
      <c r="AA137" s="146">
        <v>1</v>
      </c>
      <c r="AB137" s="146">
        <v>112.78</v>
      </c>
      <c r="AC137" s="151"/>
      <c r="AD137" s="146">
        <v>1653.7929999999999</v>
      </c>
      <c r="AE137" s="151"/>
      <c r="AF137" s="151"/>
      <c r="AG137" s="151"/>
      <c r="AH137" s="148">
        <v>6.6E-4</v>
      </c>
      <c r="AI137" s="148">
        <v>1.1440000000000001E-2</v>
      </c>
      <c r="AJ137" s="149">
        <v>1.57E-3</v>
      </c>
      <c r="AK137" s="196"/>
    </row>
    <row r="138" spans="1:37" x14ac:dyDescent="0.2">
      <c r="A138" s="144" t="s">
        <v>1205</v>
      </c>
      <c r="B138" s="145" t="s">
        <v>1205</v>
      </c>
      <c r="C138" s="145" t="s">
        <v>1346</v>
      </c>
      <c r="D138" s="145" t="s">
        <v>1347</v>
      </c>
      <c r="E138" s="145" t="s">
        <v>309</v>
      </c>
      <c r="F138" s="145" t="s">
        <v>1385</v>
      </c>
      <c r="G138" s="145" t="s">
        <v>1386</v>
      </c>
      <c r="H138" s="145" t="s">
        <v>321</v>
      </c>
      <c r="I138" s="145" t="s">
        <v>754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445</v>
      </c>
      <c r="O138" s="145" t="s">
        <v>339</v>
      </c>
      <c r="P138" s="145" t="s">
        <v>1350</v>
      </c>
      <c r="Q138" s="145" t="s">
        <v>413</v>
      </c>
      <c r="R138" s="145" t="s">
        <v>407</v>
      </c>
      <c r="S138" s="145" t="s">
        <v>1210</v>
      </c>
      <c r="T138" s="146">
        <v>0.33</v>
      </c>
      <c r="U138" s="145" t="s">
        <v>1387</v>
      </c>
      <c r="V138" s="148">
        <v>2.4799999999999999E-2</v>
      </c>
      <c r="W138" s="148">
        <v>2.597E-2</v>
      </c>
      <c r="X138" s="145" t="s">
        <v>412</v>
      </c>
      <c r="Y138" s="159"/>
      <c r="Z138" s="146">
        <v>1268339.3999999999</v>
      </c>
      <c r="AA138" s="146">
        <v>1</v>
      </c>
      <c r="AB138" s="146">
        <v>116.22</v>
      </c>
      <c r="AC138" s="151"/>
      <c r="AD138" s="146">
        <v>1474.0640000000001</v>
      </c>
      <c r="AE138" s="151"/>
      <c r="AF138" s="151"/>
      <c r="AG138" s="151"/>
      <c r="AH138" s="148">
        <v>2.99E-3</v>
      </c>
      <c r="AI138" s="148">
        <v>1.0200000000000001E-2</v>
      </c>
      <c r="AJ138" s="149">
        <v>1.4E-3</v>
      </c>
      <c r="AK138" s="196"/>
    </row>
    <row r="139" spans="1:37" x14ac:dyDescent="0.2">
      <c r="A139" s="144" t="s">
        <v>1205</v>
      </c>
      <c r="B139" s="145" t="s">
        <v>1205</v>
      </c>
      <c r="C139" s="145" t="s">
        <v>1581</v>
      </c>
      <c r="D139" s="145" t="s">
        <v>1582</v>
      </c>
      <c r="E139" s="145" t="s">
        <v>309</v>
      </c>
      <c r="F139" s="145" t="s">
        <v>1583</v>
      </c>
      <c r="G139" s="145" t="s">
        <v>1584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464</v>
      </c>
      <c r="O139" s="145" t="s">
        <v>339</v>
      </c>
      <c r="P139" s="145" t="s">
        <v>1358</v>
      </c>
      <c r="Q139" s="145" t="s">
        <v>415</v>
      </c>
      <c r="R139" s="145" t="s">
        <v>407</v>
      </c>
      <c r="S139" s="145" t="s">
        <v>1210</v>
      </c>
      <c r="T139" s="146">
        <v>4</v>
      </c>
      <c r="U139" s="145" t="s">
        <v>1585</v>
      </c>
      <c r="V139" s="148">
        <v>1.17E-2</v>
      </c>
      <c r="W139" s="148">
        <v>2.9520000000000001E-2</v>
      </c>
      <c r="X139" s="145" t="s">
        <v>412</v>
      </c>
      <c r="Y139" s="159"/>
      <c r="Z139" s="146">
        <v>1365890.5</v>
      </c>
      <c r="AA139" s="146">
        <v>1</v>
      </c>
      <c r="AB139" s="146">
        <v>107.32</v>
      </c>
      <c r="AC139" s="151"/>
      <c r="AD139" s="146">
        <v>1465.874</v>
      </c>
      <c r="AE139" s="151"/>
      <c r="AF139" s="151"/>
      <c r="AG139" s="151"/>
      <c r="AH139" s="148">
        <v>1.98E-3</v>
      </c>
      <c r="AI139" s="148">
        <v>1.014E-2</v>
      </c>
      <c r="AJ139" s="149">
        <v>1.39E-3</v>
      </c>
      <c r="AK139" s="196"/>
    </row>
    <row r="140" spans="1:37" x14ac:dyDescent="0.2">
      <c r="A140" s="144" t="s">
        <v>1205</v>
      </c>
      <c r="B140" s="145" t="s">
        <v>1205</v>
      </c>
      <c r="C140" s="145" t="s">
        <v>1454</v>
      </c>
      <c r="D140" s="145" t="s">
        <v>1455</v>
      </c>
      <c r="E140" s="145" t="s">
        <v>309</v>
      </c>
      <c r="F140" s="145" t="s">
        <v>1456</v>
      </c>
      <c r="G140" s="145" t="s">
        <v>1457</v>
      </c>
      <c r="H140" s="145" t="s">
        <v>321</v>
      </c>
      <c r="I140" s="145" t="s">
        <v>754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464</v>
      </c>
      <c r="O140" s="145" t="s">
        <v>339</v>
      </c>
      <c r="P140" s="145" t="s">
        <v>1392</v>
      </c>
      <c r="Q140" s="145" t="s">
        <v>413</v>
      </c>
      <c r="R140" s="145" t="s">
        <v>407</v>
      </c>
      <c r="S140" s="145" t="s">
        <v>1210</v>
      </c>
      <c r="T140" s="146">
        <v>0.27</v>
      </c>
      <c r="U140" s="145" t="s">
        <v>1458</v>
      </c>
      <c r="V140" s="148">
        <v>1.7600000000000001E-2</v>
      </c>
      <c r="W140" s="148">
        <v>2.298E-2</v>
      </c>
      <c r="X140" s="145" t="s">
        <v>412</v>
      </c>
      <c r="Y140" s="159"/>
      <c r="Z140" s="146">
        <v>1207863.19</v>
      </c>
      <c r="AA140" s="146">
        <v>1</v>
      </c>
      <c r="AB140" s="146">
        <v>117.72</v>
      </c>
      <c r="AC140" s="151"/>
      <c r="AD140" s="146">
        <v>1421.8969999999999</v>
      </c>
      <c r="AE140" s="151"/>
      <c r="AF140" s="151"/>
      <c r="AG140" s="151"/>
      <c r="AH140" s="148">
        <v>4.4799999999999996E-3</v>
      </c>
      <c r="AI140" s="148">
        <v>9.8300000000000002E-3</v>
      </c>
      <c r="AJ140" s="149">
        <v>1.3500000000000001E-3</v>
      </c>
      <c r="AK140" s="196"/>
    </row>
    <row r="141" spans="1:37" x14ac:dyDescent="0.2">
      <c r="A141" s="144" t="s">
        <v>1205</v>
      </c>
      <c r="B141" s="145" t="s">
        <v>1205</v>
      </c>
      <c r="C141" s="145" t="s">
        <v>1363</v>
      </c>
      <c r="D141" s="145" t="s">
        <v>1364</v>
      </c>
      <c r="E141" s="145" t="s">
        <v>309</v>
      </c>
      <c r="F141" s="145" t="s">
        <v>1420</v>
      </c>
      <c r="G141" s="145" t="s">
        <v>1421</v>
      </c>
      <c r="H141" s="145" t="s">
        <v>321</v>
      </c>
      <c r="I141" s="145" t="s">
        <v>754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448</v>
      </c>
      <c r="O141" s="145" t="s">
        <v>339</v>
      </c>
      <c r="P141" s="145" t="s">
        <v>1330</v>
      </c>
      <c r="Q141" s="145" t="s">
        <v>413</v>
      </c>
      <c r="R141" s="145" t="s">
        <v>407</v>
      </c>
      <c r="S141" s="145" t="s">
        <v>1210</v>
      </c>
      <c r="T141" s="146">
        <v>3.97</v>
      </c>
      <c r="U141" s="145" t="s">
        <v>1422</v>
      </c>
      <c r="V141" s="148">
        <v>1.3899999999999999E-2</v>
      </c>
      <c r="W141" s="148">
        <v>2.5270000000000001E-2</v>
      </c>
      <c r="X141" s="145" t="s">
        <v>412</v>
      </c>
      <c r="Y141" s="159"/>
      <c r="Z141" s="146">
        <v>1358400.02</v>
      </c>
      <c r="AA141" s="146">
        <v>1</v>
      </c>
      <c r="AB141" s="146">
        <v>103.09</v>
      </c>
      <c r="AC141" s="151"/>
      <c r="AD141" s="146">
        <v>1400.375</v>
      </c>
      <c r="AE141" s="151"/>
      <c r="AF141" s="151"/>
      <c r="AG141" s="151"/>
      <c r="AH141" s="148">
        <v>8.4999999999999995E-4</v>
      </c>
      <c r="AI141" s="148">
        <v>9.6900000000000007E-3</v>
      </c>
      <c r="AJ141" s="149">
        <v>1.33E-3</v>
      </c>
      <c r="AK141" s="196"/>
    </row>
    <row r="142" spans="1:37" x14ac:dyDescent="0.2">
      <c r="A142" s="144" t="s">
        <v>1205</v>
      </c>
      <c r="B142" s="145" t="s">
        <v>1205</v>
      </c>
      <c r="C142" s="145" t="s">
        <v>1661</v>
      </c>
      <c r="D142" s="145" t="s">
        <v>1662</v>
      </c>
      <c r="E142" s="145" t="s">
        <v>309</v>
      </c>
      <c r="F142" s="145" t="s">
        <v>1663</v>
      </c>
      <c r="G142" s="145" t="s">
        <v>1664</v>
      </c>
      <c r="H142" s="145" t="s">
        <v>321</v>
      </c>
      <c r="I142" s="145" t="s">
        <v>754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464</v>
      </c>
      <c r="O142" s="145" t="s">
        <v>339</v>
      </c>
      <c r="P142" s="145" t="s">
        <v>1392</v>
      </c>
      <c r="Q142" s="145" t="s">
        <v>413</v>
      </c>
      <c r="R142" s="145" t="s">
        <v>407</v>
      </c>
      <c r="S142" s="145" t="s">
        <v>1210</v>
      </c>
      <c r="T142" s="146">
        <v>5.12</v>
      </c>
      <c r="U142" s="145" t="s">
        <v>1665</v>
      </c>
      <c r="V142" s="148">
        <v>9.1999999999999998E-3</v>
      </c>
      <c r="W142" s="148">
        <v>2.98E-2</v>
      </c>
      <c r="X142" s="145" t="s">
        <v>412</v>
      </c>
      <c r="Y142" s="159"/>
      <c r="Z142" s="146">
        <v>1300000</v>
      </c>
      <c r="AA142" s="146">
        <v>1</v>
      </c>
      <c r="AB142" s="146">
        <v>104.6</v>
      </c>
      <c r="AC142" s="151"/>
      <c r="AD142" s="146">
        <v>1359.8</v>
      </c>
      <c r="AE142" s="151"/>
      <c r="AF142" s="151"/>
      <c r="AG142" s="151"/>
      <c r="AH142" s="148">
        <v>5.0000000000000001E-4</v>
      </c>
      <c r="AI142" s="148">
        <v>9.41E-3</v>
      </c>
      <c r="AJ142" s="149">
        <v>1.2899999999999999E-3</v>
      </c>
      <c r="AK142" s="196"/>
    </row>
    <row r="143" spans="1:37" x14ac:dyDescent="0.2">
      <c r="A143" s="144" t="s">
        <v>1205</v>
      </c>
      <c r="B143" s="145" t="s">
        <v>1205</v>
      </c>
      <c r="C143" s="145" t="s">
        <v>1363</v>
      </c>
      <c r="D143" s="145" t="s">
        <v>1364</v>
      </c>
      <c r="E143" s="145" t="s">
        <v>309</v>
      </c>
      <c r="F143" s="145" t="s">
        <v>1666</v>
      </c>
      <c r="G143" s="145" t="s">
        <v>1667</v>
      </c>
      <c r="H143" s="145" t="s">
        <v>321</v>
      </c>
      <c r="I143" s="145" t="s">
        <v>754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1330</v>
      </c>
      <c r="Q143" s="145" t="s">
        <v>413</v>
      </c>
      <c r="R143" s="145" t="s">
        <v>407</v>
      </c>
      <c r="S143" s="145" t="s">
        <v>1210</v>
      </c>
      <c r="T143" s="146">
        <v>1.54</v>
      </c>
      <c r="U143" s="145" t="s">
        <v>1668</v>
      </c>
      <c r="V143" s="148">
        <v>6.0000000000000001E-3</v>
      </c>
      <c r="W143" s="148">
        <v>2.4459999999999999E-2</v>
      </c>
      <c r="X143" s="145" t="s">
        <v>412</v>
      </c>
      <c r="Y143" s="159"/>
      <c r="Z143" s="146">
        <v>1159600.02</v>
      </c>
      <c r="AA143" s="146">
        <v>1</v>
      </c>
      <c r="AB143" s="146">
        <v>113.98</v>
      </c>
      <c r="AC143" s="151"/>
      <c r="AD143" s="146">
        <v>1321.712</v>
      </c>
      <c r="AE143" s="151"/>
      <c r="AF143" s="151"/>
      <c r="AG143" s="151"/>
      <c r="AH143" s="148">
        <v>1.2999999999999999E-3</v>
      </c>
      <c r="AI143" s="148">
        <v>9.1400000000000006E-3</v>
      </c>
      <c r="AJ143" s="149">
        <v>1.2600000000000001E-3</v>
      </c>
      <c r="AK143" s="196"/>
    </row>
    <row r="144" spans="1:37" x14ac:dyDescent="0.2">
      <c r="A144" s="144" t="s">
        <v>1205</v>
      </c>
      <c r="B144" s="145" t="s">
        <v>1205</v>
      </c>
      <c r="C144" s="145" t="s">
        <v>1410</v>
      </c>
      <c r="D144" s="145" t="s">
        <v>1411</v>
      </c>
      <c r="E144" s="145" t="s">
        <v>309</v>
      </c>
      <c r="F144" s="145" t="s">
        <v>1412</v>
      </c>
      <c r="G144" s="145" t="s">
        <v>1413</v>
      </c>
      <c r="H144" s="145" t="s">
        <v>321</v>
      </c>
      <c r="I144" s="145" t="s">
        <v>951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445</v>
      </c>
      <c r="O144" s="145" t="s">
        <v>339</v>
      </c>
      <c r="P144" s="145" t="s">
        <v>1350</v>
      </c>
      <c r="Q144" s="145" t="s">
        <v>413</v>
      </c>
      <c r="R144" s="145" t="s">
        <v>407</v>
      </c>
      <c r="S144" s="145" t="s">
        <v>1210</v>
      </c>
      <c r="T144" s="146">
        <v>4.8099999999999996</v>
      </c>
      <c r="U144" s="145" t="s">
        <v>1414</v>
      </c>
      <c r="V144" s="148">
        <v>5.2499999999999998E-2</v>
      </c>
      <c r="W144" s="148">
        <v>5.0959999999999998E-2</v>
      </c>
      <c r="X144" s="145" t="s">
        <v>412</v>
      </c>
      <c r="Y144" s="159"/>
      <c r="Z144" s="146">
        <v>1280000</v>
      </c>
      <c r="AA144" s="146">
        <v>1</v>
      </c>
      <c r="AB144" s="146">
        <v>103.2</v>
      </c>
      <c r="AC144" s="151"/>
      <c r="AD144" s="146">
        <v>1320.96</v>
      </c>
      <c r="AE144" s="151"/>
      <c r="AF144" s="151"/>
      <c r="AG144" s="151"/>
      <c r="AH144" s="148">
        <v>2.5600000000000002E-3</v>
      </c>
      <c r="AI144" s="148">
        <v>9.1400000000000006E-3</v>
      </c>
      <c r="AJ144" s="149">
        <v>1.2600000000000001E-3</v>
      </c>
      <c r="AK144" s="196"/>
    </row>
    <row r="145" spans="1:37" x14ac:dyDescent="0.2">
      <c r="A145" s="144" t="s">
        <v>1205</v>
      </c>
      <c r="B145" s="145" t="s">
        <v>1205</v>
      </c>
      <c r="C145" s="145" t="s">
        <v>1415</v>
      </c>
      <c r="D145" s="145" t="s">
        <v>1416</v>
      </c>
      <c r="E145" s="145" t="s">
        <v>309</v>
      </c>
      <c r="F145" s="145" t="s">
        <v>1417</v>
      </c>
      <c r="G145" s="145" t="s">
        <v>1418</v>
      </c>
      <c r="H145" s="145" t="s">
        <v>321</v>
      </c>
      <c r="I145" s="145" t="s">
        <v>754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448</v>
      </c>
      <c r="O145" s="145" t="s">
        <v>339</v>
      </c>
      <c r="P145" s="145" t="s">
        <v>1350</v>
      </c>
      <c r="Q145" s="145" t="s">
        <v>413</v>
      </c>
      <c r="R145" s="145" t="s">
        <v>407</v>
      </c>
      <c r="S145" s="145" t="s">
        <v>1210</v>
      </c>
      <c r="T145" s="146">
        <v>4.13</v>
      </c>
      <c r="U145" s="145" t="s">
        <v>1419</v>
      </c>
      <c r="V145" s="148">
        <v>2.5899999999999999E-2</v>
      </c>
      <c r="W145" s="148">
        <v>2.7740000000000001E-2</v>
      </c>
      <c r="X145" s="145" t="s">
        <v>412</v>
      </c>
      <c r="Y145" s="159"/>
      <c r="Z145" s="146">
        <v>1280000</v>
      </c>
      <c r="AA145" s="146">
        <v>1</v>
      </c>
      <c r="AB145" s="146">
        <v>103.09</v>
      </c>
      <c r="AC145" s="151"/>
      <c r="AD145" s="146">
        <v>1319.5519999999999</v>
      </c>
      <c r="AE145" s="151"/>
      <c r="AF145" s="151"/>
      <c r="AG145" s="151"/>
      <c r="AH145" s="148">
        <v>1.8699999999999999E-3</v>
      </c>
      <c r="AI145" s="148">
        <v>9.1299999999999992E-3</v>
      </c>
      <c r="AJ145" s="149">
        <v>1.2600000000000001E-3</v>
      </c>
      <c r="AK145" s="196"/>
    </row>
    <row r="146" spans="1:37" x14ac:dyDescent="0.2">
      <c r="A146" s="144" t="s">
        <v>1205</v>
      </c>
      <c r="B146" s="145" t="s">
        <v>1205</v>
      </c>
      <c r="C146" s="145" t="s">
        <v>1326</v>
      </c>
      <c r="D146" s="145" t="s">
        <v>1327</v>
      </c>
      <c r="E146" s="145" t="s">
        <v>309</v>
      </c>
      <c r="F146" s="145" t="s">
        <v>1343</v>
      </c>
      <c r="G146" s="145" t="s">
        <v>1344</v>
      </c>
      <c r="H146" s="145" t="s">
        <v>321</v>
      </c>
      <c r="I146" s="145" t="s">
        <v>754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448</v>
      </c>
      <c r="O146" s="145" t="s">
        <v>339</v>
      </c>
      <c r="P146" s="145" t="s">
        <v>1209</v>
      </c>
      <c r="Q146" s="145" t="s">
        <v>415</v>
      </c>
      <c r="R146" s="145" t="s">
        <v>407</v>
      </c>
      <c r="S146" s="145" t="s">
        <v>1210</v>
      </c>
      <c r="T146" s="146">
        <v>1.67</v>
      </c>
      <c r="U146" s="145" t="s">
        <v>1345</v>
      </c>
      <c r="V146" s="148">
        <v>5.0000000000000001E-3</v>
      </c>
      <c r="W146" s="148">
        <v>2.4320000000000001E-2</v>
      </c>
      <c r="X146" s="145" t="s">
        <v>412</v>
      </c>
      <c r="Y146" s="159"/>
      <c r="Z146" s="146">
        <v>1165600</v>
      </c>
      <c r="AA146" s="146">
        <v>1</v>
      </c>
      <c r="AB146" s="146">
        <v>111.01</v>
      </c>
      <c r="AC146" s="151"/>
      <c r="AD146" s="146">
        <v>1293.933</v>
      </c>
      <c r="AE146" s="151"/>
      <c r="AF146" s="151"/>
      <c r="AG146" s="151"/>
      <c r="AH146" s="148">
        <v>1.5299999999999999E-3</v>
      </c>
      <c r="AI146" s="148">
        <v>8.9499999999999996E-3</v>
      </c>
      <c r="AJ146" s="149">
        <v>1.23E-3</v>
      </c>
      <c r="AK146" s="196"/>
    </row>
    <row r="147" spans="1:37" x14ac:dyDescent="0.2">
      <c r="A147" s="144" t="s">
        <v>1205</v>
      </c>
      <c r="B147" s="145" t="s">
        <v>1205</v>
      </c>
      <c r="C147" s="145" t="s">
        <v>1363</v>
      </c>
      <c r="D147" s="145" t="s">
        <v>1364</v>
      </c>
      <c r="E147" s="145" t="s">
        <v>309</v>
      </c>
      <c r="F147" s="145" t="s">
        <v>1441</v>
      </c>
      <c r="G147" s="145" t="s">
        <v>1442</v>
      </c>
      <c r="H147" s="145" t="s">
        <v>321</v>
      </c>
      <c r="I147" s="145" t="s">
        <v>754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1330</v>
      </c>
      <c r="Q147" s="145" t="s">
        <v>413</v>
      </c>
      <c r="R147" s="145" t="s">
        <v>407</v>
      </c>
      <c r="S147" s="145" t="s">
        <v>1210</v>
      </c>
      <c r="T147" s="146">
        <v>3.59</v>
      </c>
      <c r="U147" s="145" t="s">
        <v>1443</v>
      </c>
      <c r="V147" s="148">
        <v>1E-3</v>
      </c>
      <c r="W147" s="148">
        <v>2.5610000000000001E-2</v>
      </c>
      <c r="X147" s="145" t="s">
        <v>412</v>
      </c>
      <c r="Y147" s="159"/>
      <c r="Z147" s="146">
        <v>1232000.02</v>
      </c>
      <c r="AA147" s="146">
        <v>1</v>
      </c>
      <c r="AB147" s="146">
        <v>103.24</v>
      </c>
      <c r="AC147" s="151"/>
      <c r="AD147" s="146">
        <v>1271.9169999999999</v>
      </c>
      <c r="AE147" s="151"/>
      <c r="AF147" s="151"/>
      <c r="AG147" s="151"/>
      <c r="AH147" s="148">
        <v>1.25E-3</v>
      </c>
      <c r="AI147" s="148">
        <v>8.8000000000000005E-3</v>
      </c>
      <c r="AJ147" s="149">
        <v>1.2099999999999999E-3</v>
      </c>
      <c r="AK147" s="196"/>
    </row>
    <row r="148" spans="1:37" x14ac:dyDescent="0.2">
      <c r="A148" s="144" t="s">
        <v>1205</v>
      </c>
      <c r="B148" s="145" t="s">
        <v>1205</v>
      </c>
      <c r="C148" s="145" t="s">
        <v>1567</v>
      </c>
      <c r="D148" s="145" t="s">
        <v>1568</v>
      </c>
      <c r="E148" s="145" t="s">
        <v>309</v>
      </c>
      <c r="F148" s="145" t="s">
        <v>1669</v>
      </c>
      <c r="G148" s="145" t="s">
        <v>1670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440</v>
      </c>
      <c r="O148" s="145" t="s">
        <v>339</v>
      </c>
      <c r="P148" s="145" t="s">
        <v>1375</v>
      </c>
      <c r="Q148" s="145" t="s">
        <v>415</v>
      </c>
      <c r="R148" s="145" t="s">
        <v>407</v>
      </c>
      <c r="S148" s="145" t="s">
        <v>1210</v>
      </c>
      <c r="T148" s="146">
        <v>5.78</v>
      </c>
      <c r="U148" s="145" t="s">
        <v>1671</v>
      </c>
      <c r="V148" s="148">
        <v>3.3000000000000002E-2</v>
      </c>
      <c r="W148" s="148">
        <v>3.7769999999999998E-2</v>
      </c>
      <c r="X148" s="145" t="s">
        <v>412</v>
      </c>
      <c r="Y148" s="159"/>
      <c r="Z148" s="146">
        <v>1184400.05</v>
      </c>
      <c r="AA148" s="146">
        <v>1</v>
      </c>
      <c r="AB148" s="146">
        <v>104.23</v>
      </c>
      <c r="AC148" s="151"/>
      <c r="AD148" s="146">
        <v>1234.5</v>
      </c>
      <c r="AE148" s="151"/>
      <c r="AF148" s="151"/>
      <c r="AG148" s="151"/>
      <c r="AH148" s="148">
        <v>1E-3</v>
      </c>
      <c r="AI148" s="148">
        <v>8.5400000000000007E-3</v>
      </c>
      <c r="AJ148" s="149">
        <v>1.17E-3</v>
      </c>
      <c r="AK148" s="196"/>
    </row>
    <row r="149" spans="1:37" x14ac:dyDescent="0.2">
      <c r="A149" s="144" t="s">
        <v>1205</v>
      </c>
      <c r="B149" s="145" t="s">
        <v>1205</v>
      </c>
      <c r="C149" s="145" t="s">
        <v>1454</v>
      </c>
      <c r="D149" s="145" t="s">
        <v>1455</v>
      </c>
      <c r="E149" s="145" t="s">
        <v>309</v>
      </c>
      <c r="F149" s="145" t="s">
        <v>1672</v>
      </c>
      <c r="G149" s="145" t="s">
        <v>1673</v>
      </c>
      <c r="H149" s="145" t="s">
        <v>321</v>
      </c>
      <c r="I149" s="145" t="s">
        <v>754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464</v>
      </c>
      <c r="O149" s="145" t="s">
        <v>339</v>
      </c>
      <c r="P149" s="145" t="s">
        <v>1392</v>
      </c>
      <c r="Q149" s="145" t="s">
        <v>413</v>
      </c>
      <c r="R149" s="145" t="s">
        <v>407</v>
      </c>
      <c r="S149" s="145" t="s">
        <v>1210</v>
      </c>
      <c r="T149" s="146">
        <v>3.49</v>
      </c>
      <c r="U149" s="145" t="s">
        <v>1674</v>
      </c>
      <c r="V149" s="148">
        <v>2.2499999999999999E-2</v>
      </c>
      <c r="W149" s="148">
        <v>2.9409999999999999E-2</v>
      </c>
      <c r="X149" s="145" t="s">
        <v>412</v>
      </c>
      <c r="Y149" s="159"/>
      <c r="Z149" s="146">
        <v>1071631.6399999999</v>
      </c>
      <c r="AA149" s="146">
        <v>1</v>
      </c>
      <c r="AB149" s="146">
        <v>115.02</v>
      </c>
      <c r="AC149" s="151"/>
      <c r="AD149" s="146">
        <v>1232.5909999999999</v>
      </c>
      <c r="AE149" s="151"/>
      <c r="AF149" s="151"/>
      <c r="AG149" s="151"/>
      <c r="AH149" s="148">
        <v>6.0999999999999997E-4</v>
      </c>
      <c r="AI149" s="148">
        <v>8.5299999999999994E-3</v>
      </c>
      <c r="AJ149" s="149">
        <v>1.17E-3</v>
      </c>
      <c r="AK149" s="196"/>
    </row>
    <row r="150" spans="1:37" x14ac:dyDescent="0.2">
      <c r="A150" s="144" t="s">
        <v>1205</v>
      </c>
      <c r="B150" s="145" t="s">
        <v>1205</v>
      </c>
      <c r="C150" s="145" t="s">
        <v>1567</v>
      </c>
      <c r="D150" s="145" t="s">
        <v>1568</v>
      </c>
      <c r="E150" s="145" t="s">
        <v>309</v>
      </c>
      <c r="F150" s="145" t="s">
        <v>1569</v>
      </c>
      <c r="G150" s="145" t="s">
        <v>1570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440</v>
      </c>
      <c r="O150" s="145" t="s">
        <v>339</v>
      </c>
      <c r="P150" s="145" t="s">
        <v>1375</v>
      </c>
      <c r="Q150" s="145" t="s">
        <v>415</v>
      </c>
      <c r="R150" s="145" t="s">
        <v>407</v>
      </c>
      <c r="S150" s="145" t="s">
        <v>1210</v>
      </c>
      <c r="T150" s="146">
        <v>3.45</v>
      </c>
      <c r="U150" s="145" t="s">
        <v>1428</v>
      </c>
      <c r="V150" s="148">
        <v>1.7999999999999999E-2</v>
      </c>
      <c r="W150" s="148">
        <v>3.4950000000000002E-2</v>
      </c>
      <c r="X150" s="145" t="s">
        <v>412</v>
      </c>
      <c r="Y150" s="159"/>
      <c r="Z150" s="146">
        <v>1111599.96</v>
      </c>
      <c r="AA150" s="146">
        <v>1</v>
      </c>
      <c r="AB150" s="146">
        <v>109.14</v>
      </c>
      <c r="AC150" s="151"/>
      <c r="AD150" s="146">
        <v>1213.2</v>
      </c>
      <c r="AE150" s="151"/>
      <c r="AF150" s="151"/>
      <c r="AG150" s="151"/>
      <c r="AH150" s="148">
        <v>1.2600000000000001E-3</v>
      </c>
      <c r="AI150" s="148">
        <v>8.3899999999999999E-3</v>
      </c>
      <c r="AJ150" s="149">
        <v>1.15E-3</v>
      </c>
      <c r="AK150" s="196"/>
    </row>
    <row r="151" spans="1:37" x14ac:dyDescent="0.2">
      <c r="A151" s="144" t="s">
        <v>1205</v>
      </c>
      <c r="B151" s="145" t="s">
        <v>1205</v>
      </c>
      <c r="C151" s="145" t="s">
        <v>1488</v>
      </c>
      <c r="D151" s="145" t="s">
        <v>1489</v>
      </c>
      <c r="E151" s="145" t="s">
        <v>309</v>
      </c>
      <c r="F151" s="145" t="s">
        <v>1490</v>
      </c>
      <c r="G151" s="145" t="s">
        <v>1491</v>
      </c>
      <c r="H151" s="145" t="s">
        <v>321</v>
      </c>
      <c r="I151" s="145" t="s">
        <v>754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445</v>
      </c>
      <c r="O151" s="145" t="s">
        <v>339</v>
      </c>
      <c r="P151" s="145" t="s">
        <v>1433</v>
      </c>
      <c r="Q151" s="145" t="s">
        <v>415</v>
      </c>
      <c r="R151" s="145" t="s">
        <v>407</v>
      </c>
      <c r="S151" s="145" t="s">
        <v>1210</v>
      </c>
      <c r="T151" s="146">
        <v>4.1399999999999997</v>
      </c>
      <c r="U151" s="145" t="s">
        <v>1376</v>
      </c>
      <c r="V151" s="148">
        <v>5.1700000000000003E-2</v>
      </c>
      <c r="W151" s="148">
        <v>5.1369999999999999E-2</v>
      </c>
      <c r="X151" s="145" t="s">
        <v>412</v>
      </c>
      <c r="Y151" s="159"/>
      <c r="Z151" s="146">
        <v>1187299</v>
      </c>
      <c r="AA151" s="146">
        <v>1</v>
      </c>
      <c r="AB151" s="146">
        <v>102.11</v>
      </c>
      <c r="AC151" s="151"/>
      <c r="AD151" s="146">
        <v>1212.3510000000001</v>
      </c>
      <c r="AE151" s="151"/>
      <c r="AF151" s="151"/>
      <c r="AG151" s="151"/>
      <c r="AH151" s="148">
        <v>1.9499999999999999E-3</v>
      </c>
      <c r="AI151" s="148">
        <v>8.3899999999999999E-3</v>
      </c>
      <c r="AJ151" s="149">
        <v>1.15E-3</v>
      </c>
      <c r="AK151" s="196"/>
    </row>
    <row r="152" spans="1:37" x14ac:dyDescent="0.2">
      <c r="A152" s="144" t="s">
        <v>1205</v>
      </c>
      <c r="B152" s="145" t="s">
        <v>1205</v>
      </c>
      <c r="C152" s="145" t="s">
        <v>1661</v>
      </c>
      <c r="D152" s="145" t="s">
        <v>1662</v>
      </c>
      <c r="E152" s="145" t="s">
        <v>309</v>
      </c>
      <c r="F152" s="145" t="s">
        <v>1675</v>
      </c>
      <c r="G152" s="145" t="s">
        <v>1676</v>
      </c>
      <c r="H152" s="145" t="s">
        <v>321</v>
      </c>
      <c r="I152" s="145" t="s">
        <v>951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464</v>
      </c>
      <c r="O152" s="145" t="s">
        <v>339</v>
      </c>
      <c r="P152" s="145" t="s">
        <v>1392</v>
      </c>
      <c r="Q152" s="145" t="s">
        <v>413</v>
      </c>
      <c r="R152" s="145" t="s">
        <v>407</v>
      </c>
      <c r="S152" s="145" t="s">
        <v>1210</v>
      </c>
      <c r="T152" s="146">
        <v>4.91</v>
      </c>
      <c r="U152" s="145" t="s">
        <v>1665</v>
      </c>
      <c r="V152" s="148">
        <v>2.4400000000000002E-2</v>
      </c>
      <c r="W152" s="148">
        <v>5.1529999999999999E-2</v>
      </c>
      <c r="X152" s="145" t="s">
        <v>412</v>
      </c>
      <c r="Y152" s="159"/>
      <c r="Z152" s="146">
        <v>1300000</v>
      </c>
      <c r="AA152" s="146">
        <v>1</v>
      </c>
      <c r="AB152" s="146">
        <v>88.38</v>
      </c>
      <c r="AC152" s="151"/>
      <c r="AD152" s="146">
        <v>1148.94</v>
      </c>
      <c r="AE152" s="151"/>
      <c r="AF152" s="151"/>
      <c r="AG152" s="151"/>
      <c r="AH152" s="148">
        <v>1.07E-3</v>
      </c>
      <c r="AI152" s="148">
        <v>7.9500000000000005E-3</v>
      </c>
      <c r="AJ152" s="149">
        <v>1.09E-3</v>
      </c>
      <c r="AK152" s="196"/>
    </row>
    <row r="153" spans="1:37" x14ac:dyDescent="0.2">
      <c r="A153" s="144" t="s">
        <v>1205</v>
      </c>
      <c r="B153" s="145" t="s">
        <v>1205</v>
      </c>
      <c r="C153" s="145" t="s">
        <v>1581</v>
      </c>
      <c r="D153" s="145" t="s">
        <v>1582</v>
      </c>
      <c r="E153" s="145" t="s">
        <v>309</v>
      </c>
      <c r="F153" s="145" t="s">
        <v>1677</v>
      </c>
      <c r="G153" s="145" t="s">
        <v>1678</v>
      </c>
      <c r="H153" s="145" t="s">
        <v>321</v>
      </c>
      <c r="I153" s="145" t="s">
        <v>754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464</v>
      </c>
      <c r="O153" s="145" t="s">
        <v>339</v>
      </c>
      <c r="P153" s="145" t="s">
        <v>1392</v>
      </c>
      <c r="Q153" s="145" t="s">
        <v>413</v>
      </c>
      <c r="R153" s="145" t="s">
        <v>407</v>
      </c>
      <c r="S153" s="145" t="s">
        <v>1210</v>
      </c>
      <c r="T153" s="146">
        <v>3.19</v>
      </c>
      <c r="U153" s="145" t="s">
        <v>1679</v>
      </c>
      <c r="V153" s="148">
        <v>7.7999999999999996E-3</v>
      </c>
      <c r="W153" s="148">
        <v>2.794E-2</v>
      </c>
      <c r="X153" s="145" t="s">
        <v>412</v>
      </c>
      <c r="Y153" s="159"/>
      <c r="Z153" s="146">
        <v>1060000</v>
      </c>
      <c r="AA153" s="146">
        <v>1</v>
      </c>
      <c r="AB153" s="146">
        <v>107.52</v>
      </c>
      <c r="AC153" s="151"/>
      <c r="AD153" s="146">
        <v>1139.712</v>
      </c>
      <c r="AE153" s="151"/>
      <c r="AF153" s="151"/>
      <c r="AG153" s="151"/>
      <c r="AH153" s="148">
        <v>1.83E-3</v>
      </c>
      <c r="AI153" s="148">
        <v>7.8799999999999999E-3</v>
      </c>
      <c r="AJ153" s="149">
        <v>1.08E-3</v>
      </c>
      <c r="AK153" s="196"/>
    </row>
    <row r="154" spans="1:37" x14ac:dyDescent="0.2">
      <c r="A154" s="144" t="s">
        <v>1205</v>
      </c>
      <c r="B154" s="145" t="s">
        <v>1205</v>
      </c>
      <c r="C154" s="145" t="s">
        <v>1680</v>
      </c>
      <c r="D154" s="145" t="s">
        <v>1681</v>
      </c>
      <c r="E154" s="145" t="s">
        <v>309</v>
      </c>
      <c r="F154" s="145" t="s">
        <v>1682</v>
      </c>
      <c r="G154" s="145" t="s">
        <v>1683</v>
      </c>
      <c r="H154" s="145" t="s">
        <v>321</v>
      </c>
      <c r="I154" s="145" t="s">
        <v>951</v>
      </c>
      <c r="J154" s="145" t="s">
        <v>204</v>
      </c>
      <c r="K154" s="145" t="s">
        <v>224</v>
      </c>
      <c r="L154" s="145" t="s">
        <v>325</v>
      </c>
      <c r="M154" s="145" t="s">
        <v>340</v>
      </c>
      <c r="N154" s="145" t="s">
        <v>465</v>
      </c>
      <c r="O154" s="145" t="s">
        <v>339</v>
      </c>
      <c r="P154" s="145" t="s">
        <v>1350</v>
      </c>
      <c r="Q154" s="145" t="s">
        <v>413</v>
      </c>
      <c r="R154" s="145" t="s">
        <v>407</v>
      </c>
      <c r="S154" s="145" t="s">
        <v>1210</v>
      </c>
      <c r="T154" s="146">
        <v>5.59</v>
      </c>
      <c r="U154" s="145" t="s">
        <v>1684</v>
      </c>
      <c r="V154" s="148">
        <v>6.5000000000000002E-2</v>
      </c>
      <c r="W154" s="148">
        <v>6.1809999999999997E-2</v>
      </c>
      <c r="X154" s="145" t="s">
        <v>412</v>
      </c>
      <c r="Y154" s="159"/>
      <c r="Z154" s="146">
        <v>1080000</v>
      </c>
      <c r="AA154" s="146">
        <v>1</v>
      </c>
      <c r="AB154" s="146">
        <v>104.91</v>
      </c>
      <c r="AC154" s="151"/>
      <c r="AD154" s="146">
        <v>1133.028</v>
      </c>
      <c r="AE154" s="151"/>
      <c r="AF154" s="151"/>
      <c r="AG154" s="151"/>
      <c r="AH154" s="148">
        <v>1.74E-3</v>
      </c>
      <c r="AI154" s="148">
        <v>7.8399999999999997E-3</v>
      </c>
      <c r="AJ154" s="149">
        <v>1.08E-3</v>
      </c>
      <c r="AK154" s="196"/>
    </row>
    <row r="155" spans="1:37" x14ac:dyDescent="0.2">
      <c r="A155" s="144" t="s">
        <v>1205</v>
      </c>
      <c r="B155" s="145" t="s">
        <v>1205</v>
      </c>
      <c r="C155" s="145" t="s">
        <v>1444</v>
      </c>
      <c r="D155" s="145" t="s">
        <v>1445</v>
      </c>
      <c r="E155" s="145" t="s">
        <v>309</v>
      </c>
      <c r="F155" s="145" t="s">
        <v>1685</v>
      </c>
      <c r="G155" s="145" t="s">
        <v>1686</v>
      </c>
      <c r="H155" s="145" t="s">
        <v>321</v>
      </c>
      <c r="I155" s="145" t="s">
        <v>754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464</v>
      </c>
      <c r="O155" s="145" t="s">
        <v>339</v>
      </c>
      <c r="P155" s="145" t="s">
        <v>1392</v>
      </c>
      <c r="Q155" s="145" t="s">
        <v>413</v>
      </c>
      <c r="R155" s="145" t="s">
        <v>407</v>
      </c>
      <c r="S155" s="145" t="s">
        <v>1210</v>
      </c>
      <c r="T155" s="146">
        <v>7.29</v>
      </c>
      <c r="U155" s="145" t="s">
        <v>1687</v>
      </c>
      <c r="V155" s="148">
        <v>3.5999999999999997E-2</v>
      </c>
      <c r="W155" s="148">
        <v>3.2489999999999998E-2</v>
      </c>
      <c r="X155" s="145" t="s">
        <v>412</v>
      </c>
      <c r="Y155" s="159"/>
      <c r="Z155" s="146">
        <v>1070000</v>
      </c>
      <c r="AA155" s="146">
        <v>1</v>
      </c>
      <c r="AB155" s="146">
        <v>104.88</v>
      </c>
      <c r="AC155" s="151"/>
      <c r="AD155" s="146">
        <v>1122.2159999999999</v>
      </c>
      <c r="AE155" s="151"/>
      <c r="AF155" s="151"/>
      <c r="AG155" s="151"/>
      <c r="AH155" s="148">
        <v>1.4599999999999999E-3</v>
      </c>
      <c r="AI155" s="148">
        <v>7.7600000000000004E-3</v>
      </c>
      <c r="AJ155" s="149">
        <v>1.07E-3</v>
      </c>
      <c r="AK155" s="196"/>
    </row>
    <row r="156" spans="1:37" x14ac:dyDescent="0.2">
      <c r="A156" s="144" t="s">
        <v>1205</v>
      </c>
      <c r="B156" s="145" t="s">
        <v>1205</v>
      </c>
      <c r="C156" s="145" t="s">
        <v>1688</v>
      </c>
      <c r="D156" s="145" t="s">
        <v>1689</v>
      </c>
      <c r="E156" s="145" t="s">
        <v>309</v>
      </c>
      <c r="F156" s="145" t="s">
        <v>1690</v>
      </c>
      <c r="G156" s="145" t="s">
        <v>1691</v>
      </c>
      <c r="H156" s="145" t="s">
        <v>321</v>
      </c>
      <c r="I156" s="145" t="s">
        <v>951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445</v>
      </c>
      <c r="O156" s="145" t="s">
        <v>339</v>
      </c>
      <c r="P156" s="145" t="s">
        <v>1406</v>
      </c>
      <c r="Q156" s="145" t="s">
        <v>415</v>
      </c>
      <c r="R156" s="145" t="s">
        <v>407</v>
      </c>
      <c r="S156" s="145" t="s">
        <v>1210</v>
      </c>
      <c r="T156" s="146">
        <v>4.84</v>
      </c>
      <c r="U156" s="145" t="s">
        <v>1692</v>
      </c>
      <c r="V156" s="148">
        <v>1.95E-2</v>
      </c>
      <c r="W156" s="148">
        <v>5.0020000000000002E-2</v>
      </c>
      <c r="X156" s="145" t="s">
        <v>412</v>
      </c>
      <c r="Y156" s="159"/>
      <c r="Z156" s="146">
        <v>1283716.1399999999</v>
      </c>
      <c r="AA156" s="146">
        <v>1</v>
      </c>
      <c r="AB156" s="146">
        <v>86.78</v>
      </c>
      <c r="AC156" s="151"/>
      <c r="AD156" s="146">
        <v>1114.009</v>
      </c>
      <c r="AE156" s="151"/>
      <c r="AF156" s="151"/>
      <c r="AG156" s="151"/>
      <c r="AH156" s="148">
        <v>1.2800000000000001E-3</v>
      </c>
      <c r="AI156" s="148">
        <v>7.7099999999999998E-3</v>
      </c>
      <c r="AJ156" s="149">
        <v>1.06E-3</v>
      </c>
      <c r="AK156" s="196"/>
    </row>
    <row r="157" spans="1:37" x14ac:dyDescent="0.2">
      <c r="A157" s="144" t="s">
        <v>1205</v>
      </c>
      <c r="B157" s="145" t="s">
        <v>1205</v>
      </c>
      <c r="C157" s="145" t="s">
        <v>1429</v>
      </c>
      <c r="D157" s="145" t="s">
        <v>1430</v>
      </c>
      <c r="E157" s="145" t="s">
        <v>309</v>
      </c>
      <c r="F157" s="145" t="s">
        <v>1693</v>
      </c>
      <c r="G157" s="145" t="s">
        <v>1694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465</v>
      </c>
      <c r="O157" s="145" t="s">
        <v>339</v>
      </c>
      <c r="P157" s="145" t="s">
        <v>1473</v>
      </c>
      <c r="Q157" s="145" t="s">
        <v>413</v>
      </c>
      <c r="R157" s="145" t="s">
        <v>407</v>
      </c>
      <c r="S157" s="145" t="s">
        <v>1210</v>
      </c>
      <c r="T157" s="146">
        <v>6.83</v>
      </c>
      <c r="U157" s="145" t="s">
        <v>1671</v>
      </c>
      <c r="V157" s="148">
        <v>4.011E-2</v>
      </c>
      <c r="W157" s="148">
        <v>3.5560000000000001E-2</v>
      </c>
      <c r="X157" s="145" t="s">
        <v>412</v>
      </c>
      <c r="Y157" s="159"/>
      <c r="Z157" s="146">
        <v>1025000</v>
      </c>
      <c r="AA157" s="146">
        <v>1</v>
      </c>
      <c r="AB157" s="146">
        <v>104.52</v>
      </c>
      <c r="AC157" s="151"/>
      <c r="AD157" s="146">
        <v>1071.33</v>
      </c>
      <c r="AE157" s="151"/>
      <c r="AF157" s="151"/>
      <c r="AG157" s="151"/>
      <c r="AH157" s="148">
        <v>1.2700000000000001E-3</v>
      </c>
      <c r="AI157" s="148">
        <v>7.4099999999999999E-3</v>
      </c>
      <c r="AJ157" s="149">
        <v>1.0200000000000001E-3</v>
      </c>
      <c r="AK157" s="196"/>
    </row>
    <row r="158" spans="1:37" x14ac:dyDescent="0.2">
      <c r="A158" s="144" t="s">
        <v>1205</v>
      </c>
      <c r="B158" s="145" t="s">
        <v>1205</v>
      </c>
      <c r="C158" s="145" t="s">
        <v>1394</v>
      </c>
      <c r="D158" s="145" t="s">
        <v>1395</v>
      </c>
      <c r="E158" s="145" t="s">
        <v>309</v>
      </c>
      <c r="F158" s="145" t="s">
        <v>1695</v>
      </c>
      <c r="G158" s="145" t="s">
        <v>1696</v>
      </c>
      <c r="H158" s="145" t="s">
        <v>321</v>
      </c>
      <c r="I158" s="145" t="s">
        <v>951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445</v>
      </c>
      <c r="O158" s="145" t="s">
        <v>339</v>
      </c>
      <c r="P158" s="145" t="s">
        <v>1350</v>
      </c>
      <c r="Q158" s="145" t="s">
        <v>413</v>
      </c>
      <c r="R158" s="145" t="s">
        <v>407</v>
      </c>
      <c r="S158" s="145" t="s">
        <v>1210</v>
      </c>
      <c r="T158" s="146">
        <v>6.89</v>
      </c>
      <c r="U158" s="145" t="s">
        <v>1651</v>
      </c>
      <c r="V158" s="148">
        <v>6.0199999999999997E-2</v>
      </c>
      <c r="W158" s="148">
        <v>5.2900000000000003E-2</v>
      </c>
      <c r="X158" s="145" t="s">
        <v>412</v>
      </c>
      <c r="Y158" s="159"/>
      <c r="Z158" s="146">
        <v>1000000</v>
      </c>
      <c r="AA158" s="146">
        <v>1</v>
      </c>
      <c r="AB158" s="146">
        <v>107.02</v>
      </c>
      <c r="AC158" s="151"/>
      <c r="AD158" s="146">
        <v>1070.2</v>
      </c>
      <c r="AE158" s="151"/>
      <c r="AF158" s="151"/>
      <c r="AG158" s="151"/>
      <c r="AH158" s="148">
        <v>2E-3</v>
      </c>
      <c r="AI158" s="148">
        <v>7.4000000000000003E-3</v>
      </c>
      <c r="AJ158" s="149">
        <v>1.0200000000000001E-3</v>
      </c>
      <c r="AK158" s="196"/>
    </row>
    <row r="159" spans="1:37" x14ac:dyDescent="0.2">
      <c r="A159" s="144" t="s">
        <v>1205</v>
      </c>
      <c r="B159" s="145" t="s">
        <v>1205</v>
      </c>
      <c r="C159" s="145" t="s">
        <v>1410</v>
      </c>
      <c r="D159" s="145" t="s">
        <v>1411</v>
      </c>
      <c r="E159" s="145" t="s">
        <v>309</v>
      </c>
      <c r="F159" s="145" t="s">
        <v>1697</v>
      </c>
      <c r="G159" s="145" t="s">
        <v>1698</v>
      </c>
      <c r="H159" s="145" t="s">
        <v>321</v>
      </c>
      <c r="I159" s="145" t="s">
        <v>951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445</v>
      </c>
      <c r="O159" s="145" t="s">
        <v>339</v>
      </c>
      <c r="P159" s="145" t="s">
        <v>1350</v>
      </c>
      <c r="Q159" s="145" t="s">
        <v>413</v>
      </c>
      <c r="R159" s="145" t="s">
        <v>407</v>
      </c>
      <c r="S159" s="145" t="s">
        <v>1210</v>
      </c>
      <c r="T159" s="146">
        <v>2.78</v>
      </c>
      <c r="U159" s="145" t="s">
        <v>1699</v>
      </c>
      <c r="V159" s="148">
        <v>4.7E-2</v>
      </c>
      <c r="W159" s="148">
        <v>4.9200000000000001E-2</v>
      </c>
      <c r="X159" s="145" t="s">
        <v>412</v>
      </c>
      <c r="Y159" s="159"/>
      <c r="Z159" s="146">
        <v>1068000</v>
      </c>
      <c r="AA159" s="146">
        <v>1</v>
      </c>
      <c r="AB159" s="146">
        <v>99.82</v>
      </c>
      <c r="AC159" s="151"/>
      <c r="AD159" s="146">
        <v>1066.078</v>
      </c>
      <c r="AE159" s="151"/>
      <c r="AF159" s="151"/>
      <c r="AG159" s="151"/>
      <c r="AH159" s="148">
        <v>1.1900000000000001E-3</v>
      </c>
      <c r="AI159" s="148">
        <v>7.3699999999999998E-3</v>
      </c>
      <c r="AJ159" s="149">
        <v>1.01E-3</v>
      </c>
      <c r="AK159" s="196"/>
    </row>
    <row r="160" spans="1:37" x14ac:dyDescent="0.2">
      <c r="A160" s="144" t="s">
        <v>1205</v>
      </c>
      <c r="B160" s="145" t="s">
        <v>1205</v>
      </c>
      <c r="C160" s="145" t="s">
        <v>1326</v>
      </c>
      <c r="D160" s="145" t="s">
        <v>1327</v>
      </c>
      <c r="E160" s="145" t="s">
        <v>309</v>
      </c>
      <c r="F160" s="145" t="s">
        <v>1700</v>
      </c>
      <c r="G160" s="145" t="s">
        <v>1701</v>
      </c>
      <c r="H160" s="145" t="s">
        <v>321</v>
      </c>
      <c r="I160" s="145" t="s">
        <v>754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448</v>
      </c>
      <c r="O160" s="145" t="s">
        <v>339</v>
      </c>
      <c r="P160" s="145" t="s">
        <v>1330</v>
      </c>
      <c r="Q160" s="145" t="s">
        <v>413</v>
      </c>
      <c r="R160" s="145" t="s">
        <v>407</v>
      </c>
      <c r="S160" s="145" t="s">
        <v>1210</v>
      </c>
      <c r="T160" s="146">
        <v>3.53</v>
      </c>
      <c r="U160" s="145" t="s">
        <v>1702</v>
      </c>
      <c r="V160" s="148">
        <v>1.6400000000000001E-2</v>
      </c>
      <c r="W160" s="148">
        <v>2.5860000000000001E-2</v>
      </c>
      <c r="X160" s="145" t="s">
        <v>412</v>
      </c>
      <c r="Y160" s="159"/>
      <c r="Z160" s="146">
        <v>1011140.04</v>
      </c>
      <c r="AA160" s="146">
        <v>1</v>
      </c>
      <c r="AB160" s="146">
        <v>104.35</v>
      </c>
      <c r="AC160" s="151"/>
      <c r="AD160" s="146">
        <v>1055.125</v>
      </c>
      <c r="AE160" s="151"/>
      <c r="AF160" s="151"/>
      <c r="AG160" s="151"/>
      <c r="AH160" s="148">
        <v>1.07E-3</v>
      </c>
      <c r="AI160" s="148">
        <v>7.3000000000000001E-3</v>
      </c>
      <c r="AJ160" s="149">
        <v>1E-3</v>
      </c>
      <c r="AK160" s="196"/>
    </row>
    <row r="161" spans="1:37" x14ac:dyDescent="0.2">
      <c r="A161" s="144" t="s">
        <v>1205</v>
      </c>
      <c r="B161" s="145" t="s">
        <v>1205</v>
      </c>
      <c r="C161" s="145" t="s">
        <v>1354</v>
      </c>
      <c r="D161" s="145" t="s">
        <v>1355</v>
      </c>
      <c r="E161" s="145" t="s">
        <v>309</v>
      </c>
      <c r="F161" s="145" t="s">
        <v>1356</v>
      </c>
      <c r="G161" s="145" t="s">
        <v>1357</v>
      </c>
      <c r="H161" s="145" t="s">
        <v>321</v>
      </c>
      <c r="I161" s="145" t="s">
        <v>754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445</v>
      </c>
      <c r="O161" s="145" t="s">
        <v>339</v>
      </c>
      <c r="P161" s="145" t="s">
        <v>1358</v>
      </c>
      <c r="Q161" s="145" t="s">
        <v>415</v>
      </c>
      <c r="R161" s="145" t="s">
        <v>407</v>
      </c>
      <c r="S161" s="145" t="s">
        <v>1210</v>
      </c>
      <c r="T161" s="146">
        <v>6.33</v>
      </c>
      <c r="U161" s="145" t="s">
        <v>1359</v>
      </c>
      <c r="V161" s="148">
        <v>5.0200000000000002E-2</v>
      </c>
      <c r="W161" s="148">
        <v>5.2510000000000001E-2</v>
      </c>
      <c r="X161" s="145" t="s">
        <v>412</v>
      </c>
      <c r="Y161" s="159"/>
      <c r="Z161" s="146">
        <v>1060000</v>
      </c>
      <c r="AA161" s="146">
        <v>1</v>
      </c>
      <c r="AB161" s="146">
        <v>99.08</v>
      </c>
      <c r="AC161" s="151"/>
      <c r="AD161" s="146">
        <v>1050.248</v>
      </c>
      <c r="AE161" s="151"/>
      <c r="AF161" s="151"/>
      <c r="AG161" s="151"/>
      <c r="AH161" s="148">
        <v>2.65E-3</v>
      </c>
      <c r="AI161" s="148">
        <v>7.26E-3</v>
      </c>
      <c r="AJ161" s="149">
        <v>1E-3</v>
      </c>
      <c r="AK161" s="196"/>
    </row>
    <row r="162" spans="1:37" x14ac:dyDescent="0.2">
      <c r="A162" s="144" t="s">
        <v>1205</v>
      </c>
      <c r="B162" s="145" t="s">
        <v>1205</v>
      </c>
      <c r="C162" s="145" t="s">
        <v>1623</v>
      </c>
      <c r="D162" s="145" t="s">
        <v>1624</v>
      </c>
      <c r="E162" s="145" t="s">
        <v>309</v>
      </c>
      <c r="F162" s="145" t="s">
        <v>1703</v>
      </c>
      <c r="G162" s="145" t="s">
        <v>1704</v>
      </c>
      <c r="H162" s="145" t="s">
        <v>321</v>
      </c>
      <c r="I162" s="145" t="s">
        <v>754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464</v>
      </c>
      <c r="O162" s="145" t="s">
        <v>339</v>
      </c>
      <c r="P162" s="145" t="s">
        <v>1473</v>
      </c>
      <c r="Q162" s="145" t="s">
        <v>413</v>
      </c>
      <c r="R162" s="145" t="s">
        <v>407</v>
      </c>
      <c r="S162" s="145" t="s">
        <v>1210</v>
      </c>
      <c r="T162" s="146">
        <v>5.36</v>
      </c>
      <c r="U162" s="145" t="s">
        <v>1362</v>
      </c>
      <c r="V162" s="148">
        <v>9.7000000000000003E-3</v>
      </c>
      <c r="W162" s="148">
        <v>3.3239999999999999E-2</v>
      </c>
      <c r="X162" s="145" t="s">
        <v>412</v>
      </c>
      <c r="Y162" s="159"/>
      <c r="Z162" s="146">
        <v>1038529.37</v>
      </c>
      <c r="AA162" s="146">
        <v>1</v>
      </c>
      <c r="AB162" s="146">
        <v>100.61</v>
      </c>
      <c r="AC162" s="151"/>
      <c r="AD162" s="146">
        <v>1044.864</v>
      </c>
      <c r="AE162" s="151"/>
      <c r="AF162" s="151"/>
      <c r="AG162" s="151"/>
      <c r="AH162" s="148">
        <v>1.73E-3</v>
      </c>
      <c r="AI162" s="148">
        <v>7.2300000000000003E-3</v>
      </c>
      <c r="AJ162" s="149">
        <v>9.8999999999999999E-4</v>
      </c>
      <c r="AK162" s="196"/>
    </row>
    <row r="163" spans="1:37" x14ac:dyDescent="0.2">
      <c r="A163" s="144" t="s">
        <v>1205</v>
      </c>
      <c r="B163" s="145" t="s">
        <v>1205</v>
      </c>
      <c r="C163" s="145" t="s">
        <v>1558</v>
      </c>
      <c r="D163" s="145" t="s">
        <v>1559</v>
      </c>
      <c r="E163" s="145" t="s">
        <v>309</v>
      </c>
      <c r="F163" s="145" t="s">
        <v>1705</v>
      </c>
      <c r="G163" s="145" t="s">
        <v>1706</v>
      </c>
      <c r="H163" s="145" t="s">
        <v>321</v>
      </c>
      <c r="I163" s="145" t="s">
        <v>754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464</v>
      </c>
      <c r="O163" s="145" t="s">
        <v>339</v>
      </c>
      <c r="P163" s="145" t="s">
        <v>1562</v>
      </c>
      <c r="Q163" s="145" t="s">
        <v>413</v>
      </c>
      <c r="R163" s="145" t="s">
        <v>407</v>
      </c>
      <c r="S163" s="145" t="s">
        <v>1210</v>
      </c>
      <c r="T163" s="146">
        <v>3.08</v>
      </c>
      <c r="U163" s="145" t="s">
        <v>1529</v>
      </c>
      <c r="V163" s="148">
        <v>2.7E-2</v>
      </c>
      <c r="W163" s="148">
        <v>3.3099999999999997E-2</v>
      </c>
      <c r="X163" s="145" t="s">
        <v>412</v>
      </c>
      <c r="Y163" s="159"/>
      <c r="Z163" s="146">
        <v>945900</v>
      </c>
      <c r="AA163" s="146">
        <v>1</v>
      </c>
      <c r="AB163" s="146">
        <v>106.11</v>
      </c>
      <c r="AC163" s="151"/>
      <c r="AD163" s="146">
        <v>1003.694</v>
      </c>
      <c r="AE163" s="151"/>
      <c r="AF163" s="151"/>
      <c r="AG163" s="151"/>
      <c r="AH163" s="148">
        <v>2.3999999999999998E-3</v>
      </c>
      <c r="AI163" s="148">
        <v>6.94E-3</v>
      </c>
      <c r="AJ163" s="149">
        <v>9.5E-4</v>
      </c>
      <c r="AK163" s="196"/>
    </row>
    <row r="164" spans="1:37" x14ac:dyDescent="0.2">
      <c r="A164" s="144" t="s">
        <v>1205</v>
      </c>
      <c r="B164" s="145" t="s">
        <v>1205</v>
      </c>
      <c r="C164" s="145" t="s">
        <v>1543</v>
      </c>
      <c r="D164" s="145" t="s">
        <v>1544</v>
      </c>
      <c r="E164" s="145" t="s">
        <v>309</v>
      </c>
      <c r="F164" s="145" t="s">
        <v>1545</v>
      </c>
      <c r="G164" s="145" t="s">
        <v>1546</v>
      </c>
      <c r="H164" s="145" t="s">
        <v>321</v>
      </c>
      <c r="I164" s="145" t="s">
        <v>754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464</v>
      </c>
      <c r="O164" s="145" t="s">
        <v>339</v>
      </c>
      <c r="P164" s="145" t="s">
        <v>1547</v>
      </c>
      <c r="Q164" s="145" t="s">
        <v>413</v>
      </c>
      <c r="R164" s="145" t="s">
        <v>407</v>
      </c>
      <c r="S164" s="145" t="s">
        <v>1210</v>
      </c>
      <c r="T164" s="146">
        <v>6.47</v>
      </c>
      <c r="U164" s="145" t="s">
        <v>1548</v>
      </c>
      <c r="V164" s="148">
        <v>8.9999999999999993E-3</v>
      </c>
      <c r="W164" s="148">
        <v>3.0720000000000001E-2</v>
      </c>
      <c r="X164" s="145" t="s">
        <v>412</v>
      </c>
      <c r="Y164" s="159"/>
      <c r="Z164" s="146">
        <v>1000000</v>
      </c>
      <c r="AA164" s="146">
        <v>1</v>
      </c>
      <c r="AB164" s="146">
        <v>99.26</v>
      </c>
      <c r="AC164" s="151"/>
      <c r="AD164" s="146">
        <v>992.6</v>
      </c>
      <c r="AE164" s="151"/>
      <c r="AF164" s="151"/>
      <c r="AG164" s="151"/>
      <c r="AH164" s="148">
        <v>3.6000000000000002E-4</v>
      </c>
      <c r="AI164" s="148">
        <v>6.8700000000000002E-3</v>
      </c>
      <c r="AJ164" s="149">
        <v>9.3999999999999997E-4</v>
      </c>
      <c r="AK164" s="196"/>
    </row>
    <row r="165" spans="1:37" x14ac:dyDescent="0.2">
      <c r="A165" s="144" t="s">
        <v>1205</v>
      </c>
      <c r="B165" s="145" t="s">
        <v>1205</v>
      </c>
      <c r="C165" s="145" t="s">
        <v>1326</v>
      </c>
      <c r="D165" s="145" t="s">
        <v>1327</v>
      </c>
      <c r="E165" s="145" t="s">
        <v>309</v>
      </c>
      <c r="F165" s="145" t="s">
        <v>1707</v>
      </c>
      <c r="G165" s="145" t="s">
        <v>1708</v>
      </c>
      <c r="H165" s="145" t="s">
        <v>321</v>
      </c>
      <c r="I165" s="145" t="s">
        <v>951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448</v>
      </c>
      <c r="O165" s="145" t="s">
        <v>339</v>
      </c>
      <c r="P165" s="145" t="s">
        <v>1330</v>
      </c>
      <c r="Q165" s="145" t="s">
        <v>413</v>
      </c>
      <c r="R165" s="145" t="s">
        <v>407</v>
      </c>
      <c r="S165" s="145" t="s">
        <v>1210</v>
      </c>
      <c r="T165" s="146">
        <v>2.75</v>
      </c>
      <c r="U165" s="145" t="s">
        <v>1709</v>
      </c>
      <c r="V165" s="148">
        <v>2.7400000000000001E-2</v>
      </c>
      <c r="W165" s="148">
        <v>4.666E-2</v>
      </c>
      <c r="X165" s="145" t="s">
        <v>412</v>
      </c>
      <c r="Y165" s="159"/>
      <c r="Z165" s="146">
        <v>1011140.04</v>
      </c>
      <c r="AA165" s="146">
        <v>1</v>
      </c>
      <c r="AB165" s="146">
        <v>97.47</v>
      </c>
      <c r="AC165" s="151"/>
      <c r="AD165" s="146">
        <v>985.55799999999999</v>
      </c>
      <c r="AE165" s="151"/>
      <c r="AF165" s="151"/>
      <c r="AG165" s="151"/>
      <c r="AH165" s="148">
        <v>6.7000000000000002E-4</v>
      </c>
      <c r="AI165" s="148">
        <v>6.8199999999999997E-3</v>
      </c>
      <c r="AJ165" s="149">
        <v>9.3999999999999997E-4</v>
      </c>
      <c r="AK165" s="196"/>
    </row>
    <row r="166" spans="1:37" x14ac:dyDescent="0.2">
      <c r="A166" s="144" t="s">
        <v>1205</v>
      </c>
      <c r="B166" s="145" t="s">
        <v>1205</v>
      </c>
      <c r="C166" s="145" t="s">
        <v>1558</v>
      </c>
      <c r="D166" s="145" t="s">
        <v>1559</v>
      </c>
      <c r="E166" s="145" t="s">
        <v>309</v>
      </c>
      <c r="F166" s="145" t="s">
        <v>1560</v>
      </c>
      <c r="G166" s="145" t="s">
        <v>1561</v>
      </c>
      <c r="H166" s="145" t="s">
        <v>321</v>
      </c>
      <c r="I166" s="145" t="s">
        <v>754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464</v>
      </c>
      <c r="O166" s="145" t="s">
        <v>339</v>
      </c>
      <c r="P166" s="145" t="s">
        <v>1562</v>
      </c>
      <c r="Q166" s="145" t="s">
        <v>413</v>
      </c>
      <c r="R166" s="145" t="s">
        <v>407</v>
      </c>
      <c r="S166" s="145" t="s">
        <v>1210</v>
      </c>
      <c r="T166" s="146">
        <v>2.4900000000000002</v>
      </c>
      <c r="U166" s="145" t="s">
        <v>1494</v>
      </c>
      <c r="V166" s="148">
        <v>1.7999999999999999E-2</v>
      </c>
      <c r="W166" s="148">
        <v>2.9749999999999999E-2</v>
      </c>
      <c r="X166" s="145" t="s">
        <v>412</v>
      </c>
      <c r="Y166" s="159"/>
      <c r="Z166" s="146">
        <v>868881.82</v>
      </c>
      <c r="AA166" s="146">
        <v>1</v>
      </c>
      <c r="AB166" s="146">
        <v>113.34</v>
      </c>
      <c r="AC166" s="151"/>
      <c r="AD166" s="146">
        <v>984.79100000000005</v>
      </c>
      <c r="AE166" s="151"/>
      <c r="AF166" s="151"/>
      <c r="AG166" s="151"/>
      <c r="AH166" s="148">
        <v>1.1800000000000001E-3</v>
      </c>
      <c r="AI166" s="148">
        <v>6.8100000000000001E-3</v>
      </c>
      <c r="AJ166" s="149">
        <v>9.3999999999999997E-4</v>
      </c>
      <c r="AK166" s="196"/>
    </row>
    <row r="167" spans="1:37" x14ac:dyDescent="0.2">
      <c r="A167" s="144" t="s">
        <v>1205</v>
      </c>
      <c r="B167" s="145" t="s">
        <v>1205</v>
      </c>
      <c r="C167" s="145" t="s">
        <v>1581</v>
      </c>
      <c r="D167" s="145" t="s">
        <v>1582</v>
      </c>
      <c r="E167" s="145" t="s">
        <v>309</v>
      </c>
      <c r="F167" s="145" t="s">
        <v>1710</v>
      </c>
      <c r="G167" s="145" t="s">
        <v>1711</v>
      </c>
      <c r="H167" s="145" t="s">
        <v>321</v>
      </c>
      <c r="I167" s="145" t="s">
        <v>754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464</v>
      </c>
      <c r="O167" s="145" t="s">
        <v>339</v>
      </c>
      <c r="P167" s="145" t="s">
        <v>1392</v>
      </c>
      <c r="Q167" s="145" t="s">
        <v>413</v>
      </c>
      <c r="R167" s="145" t="s">
        <v>407</v>
      </c>
      <c r="S167" s="145" t="s">
        <v>1210</v>
      </c>
      <c r="T167" s="146">
        <v>4.92</v>
      </c>
      <c r="U167" s="145" t="s">
        <v>1712</v>
      </c>
      <c r="V167" s="148">
        <v>2.5999999999999999E-2</v>
      </c>
      <c r="W167" s="148">
        <v>2.827E-2</v>
      </c>
      <c r="X167" s="145" t="s">
        <v>412</v>
      </c>
      <c r="Y167" s="159"/>
      <c r="Z167" s="146">
        <v>939000</v>
      </c>
      <c r="AA167" s="146">
        <v>1</v>
      </c>
      <c r="AB167" s="146">
        <v>103.33</v>
      </c>
      <c r="AC167" s="151"/>
      <c r="AD167" s="146">
        <v>970.26900000000001</v>
      </c>
      <c r="AE167" s="151"/>
      <c r="AF167" s="151"/>
      <c r="AG167" s="151"/>
      <c r="AH167" s="148">
        <v>1.75E-3</v>
      </c>
      <c r="AI167" s="148">
        <v>6.7099999999999998E-3</v>
      </c>
      <c r="AJ167" s="149">
        <v>9.2000000000000003E-4</v>
      </c>
      <c r="AK167" s="196"/>
    </row>
    <row r="168" spans="1:37" x14ac:dyDescent="0.2">
      <c r="A168" s="144" t="s">
        <v>1205</v>
      </c>
      <c r="B168" s="145" t="s">
        <v>1205</v>
      </c>
      <c r="C168" s="145" t="s">
        <v>1558</v>
      </c>
      <c r="D168" s="145" t="s">
        <v>1559</v>
      </c>
      <c r="E168" s="145" t="s">
        <v>309</v>
      </c>
      <c r="F168" s="145" t="s">
        <v>1713</v>
      </c>
      <c r="G168" s="145" t="s">
        <v>1714</v>
      </c>
      <c r="H168" s="145" t="s">
        <v>321</v>
      </c>
      <c r="I168" s="145" t="s">
        <v>754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464</v>
      </c>
      <c r="O168" s="145" t="s">
        <v>339</v>
      </c>
      <c r="P168" s="145" t="s">
        <v>1439</v>
      </c>
      <c r="Q168" s="145" t="s">
        <v>413</v>
      </c>
      <c r="R168" s="145" t="s">
        <v>407</v>
      </c>
      <c r="S168" s="145" t="s">
        <v>1210</v>
      </c>
      <c r="T168" s="146">
        <v>4.38</v>
      </c>
      <c r="U168" s="145" t="s">
        <v>1715</v>
      </c>
      <c r="V168" s="148">
        <v>4.4499999999999998E-2</v>
      </c>
      <c r="W168" s="148">
        <v>3.8440000000000002E-2</v>
      </c>
      <c r="X168" s="145" t="s">
        <v>412</v>
      </c>
      <c r="Y168" s="159"/>
      <c r="Z168" s="146">
        <v>896000</v>
      </c>
      <c r="AA168" s="146">
        <v>1</v>
      </c>
      <c r="AB168" s="146">
        <v>107.49</v>
      </c>
      <c r="AC168" s="151"/>
      <c r="AD168" s="146">
        <v>963.11</v>
      </c>
      <c r="AE168" s="151"/>
      <c r="AF168" s="151"/>
      <c r="AG168" s="151"/>
      <c r="AH168" s="148">
        <v>1.99E-3</v>
      </c>
      <c r="AI168" s="148">
        <v>6.6600000000000001E-3</v>
      </c>
      <c r="AJ168" s="149">
        <v>9.2000000000000003E-4</v>
      </c>
      <c r="AK168" s="196"/>
    </row>
    <row r="169" spans="1:37" x14ac:dyDescent="0.2">
      <c r="A169" s="144" t="s">
        <v>1205</v>
      </c>
      <c r="B169" s="145" t="s">
        <v>1205</v>
      </c>
      <c r="C169" s="145" t="s">
        <v>1716</v>
      </c>
      <c r="D169" s="145" t="s">
        <v>1717</v>
      </c>
      <c r="E169" s="145" t="s">
        <v>309</v>
      </c>
      <c r="F169" s="145" t="s">
        <v>1718</v>
      </c>
      <c r="G169" s="145" t="s">
        <v>1719</v>
      </c>
      <c r="H169" s="145" t="s">
        <v>321</v>
      </c>
      <c r="I169" s="145" t="s">
        <v>754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477</v>
      </c>
      <c r="O169" s="145" t="s">
        <v>339</v>
      </c>
      <c r="P169" s="145" t="s">
        <v>1330</v>
      </c>
      <c r="Q169" s="145" t="s">
        <v>413</v>
      </c>
      <c r="R169" s="145" t="s">
        <v>407</v>
      </c>
      <c r="S169" s="145" t="s">
        <v>1210</v>
      </c>
      <c r="T169" s="146">
        <v>11.71</v>
      </c>
      <c r="U169" s="145" t="s">
        <v>1720</v>
      </c>
      <c r="V169" s="148">
        <v>2.07E-2</v>
      </c>
      <c r="W169" s="148">
        <v>2.9860000000000001E-2</v>
      </c>
      <c r="X169" s="145" t="s">
        <v>412</v>
      </c>
      <c r="Y169" s="159"/>
      <c r="Z169" s="146">
        <v>918681.35</v>
      </c>
      <c r="AA169" s="146">
        <v>1</v>
      </c>
      <c r="AB169" s="146">
        <v>102.91</v>
      </c>
      <c r="AC169" s="151"/>
      <c r="AD169" s="146">
        <v>945.41499999999996</v>
      </c>
      <c r="AE169" s="151"/>
      <c r="AF169" s="151"/>
      <c r="AG169" s="151"/>
      <c r="AH169" s="148">
        <v>1.7000000000000001E-4</v>
      </c>
      <c r="AI169" s="148">
        <v>6.5399999999999998E-3</v>
      </c>
      <c r="AJ169" s="149">
        <v>8.9999999999999998E-4</v>
      </c>
      <c r="AK169" s="196"/>
    </row>
    <row r="170" spans="1:37" x14ac:dyDescent="0.2">
      <c r="A170" s="144" t="s">
        <v>1205</v>
      </c>
      <c r="B170" s="145" t="s">
        <v>1205</v>
      </c>
      <c r="C170" s="145" t="s">
        <v>1600</v>
      </c>
      <c r="D170" s="145" t="s">
        <v>1601</v>
      </c>
      <c r="E170" s="145" t="s">
        <v>309</v>
      </c>
      <c r="F170" s="145" t="s">
        <v>1721</v>
      </c>
      <c r="G170" s="145" t="s">
        <v>1722</v>
      </c>
      <c r="H170" s="145" t="s">
        <v>321</v>
      </c>
      <c r="I170" s="145" t="s">
        <v>951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464</v>
      </c>
      <c r="O170" s="145" t="s">
        <v>339</v>
      </c>
      <c r="P170" s="145" t="s">
        <v>1520</v>
      </c>
      <c r="Q170" s="145" t="s">
        <v>415</v>
      </c>
      <c r="R170" s="145" t="s">
        <v>407</v>
      </c>
      <c r="S170" s="145" t="s">
        <v>1210</v>
      </c>
      <c r="T170" s="146">
        <v>4.99</v>
      </c>
      <c r="U170" s="145" t="s">
        <v>1723</v>
      </c>
      <c r="V170" s="148">
        <v>5.4800000000000001E-2</v>
      </c>
      <c r="W170" s="148">
        <v>5.3800000000000001E-2</v>
      </c>
      <c r="X170" s="145" t="s">
        <v>412</v>
      </c>
      <c r="Y170" s="159"/>
      <c r="Z170" s="146">
        <v>920000</v>
      </c>
      <c r="AA170" s="146">
        <v>1</v>
      </c>
      <c r="AB170" s="146">
        <v>102.2</v>
      </c>
      <c r="AC170" s="151"/>
      <c r="AD170" s="146">
        <v>940.24</v>
      </c>
      <c r="AE170" s="151"/>
      <c r="AF170" s="151"/>
      <c r="AG170" s="151"/>
      <c r="AH170" s="148">
        <v>3.0699999999999998E-3</v>
      </c>
      <c r="AI170" s="148">
        <v>6.4999999999999997E-3</v>
      </c>
      <c r="AJ170" s="149">
        <v>8.8999999999999995E-4</v>
      </c>
      <c r="AK170" s="196"/>
    </row>
    <row r="171" spans="1:37" x14ac:dyDescent="0.2">
      <c r="A171" s="144" t="s">
        <v>1205</v>
      </c>
      <c r="B171" s="145" t="s">
        <v>1205</v>
      </c>
      <c r="C171" s="145" t="s">
        <v>1495</v>
      </c>
      <c r="D171" s="145" t="s">
        <v>1496</v>
      </c>
      <c r="E171" s="145" t="s">
        <v>309</v>
      </c>
      <c r="F171" s="145" t="s">
        <v>1497</v>
      </c>
      <c r="G171" s="145" t="s">
        <v>1498</v>
      </c>
      <c r="H171" s="145" t="s">
        <v>321</v>
      </c>
      <c r="I171" s="145" t="s">
        <v>754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448</v>
      </c>
      <c r="O171" s="145" t="s">
        <v>339</v>
      </c>
      <c r="P171" s="145" t="s">
        <v>1330</v>
      </c>
      <c r="Q171" s="145" t="s">
        <v>413</v>
      </c>
      <c r="R171" s="145" t="s">
        <v>407</v>
      </c>
      <c r="S171" s="145" t="s">
        <v>1210</v>
      </c>
      <c r="T171" s="146">
        <v>2.76</v>
      </c>
      <c r="U171" s="145" t="s">
        <v>1499</v>
      </c>
      <c r="V171" s="148">
        <v>1.4999999999999999E-2</v>
      </c>
      <c r="W171" s="148">
        <v>2.5190000000000001E-2</v>
      </c>
      <c r="X171" s="145" t="s">
        <v>412</v>
      </c>
      <c r="Y171" s="159"/>
      <c r="Z171" s="146">
        <v>830691.45</v>
      </c>
      <c r="AA171" s="146">
        <v>1</v>
      </c>
      <c r="AB171" s="146">
        <v>112.67</v>
      </c>
      <c r="AC171" s="151"/>
      <c r="AD171" s="146">
        <v>935.94</v>
      </c>
      <c r="AE171" s="151"/>
      <c r="AF171" s="151"/>
      <c r="AG171" s="151"/>
      <c r="AH171" s="148">
        <v>3.5699999999999998E-3</v>
      </c>
      <c r="AI171" s="148">
        <v>6.4700000000000001E-3</v>
      </c>
      <c r="AJ171" s="149">
        <v>8.8999999999999995E-4</v>
      </c>
      <c r="AK171" s="196"/>
    </row>
    <row r="172" spans="1:37" x14ac:dyDescent="0.2">
      <c r="A172" s="144" t="s">
        <v>1205</v>
      </c>
      <c r="B172" s="145" t="s">
        <v>1205</v>
      </c>
      <c r="C172" s="145" t="s">
        <v>1429</v>
      </c>
      <c r="D172" s="145" t="s">
        <v>1430</v>
      </c>
      <c r="E172" s="145" t="s">
        <v>309</v>
      </c>
      <c r="F172" s="145" t="s">
        <v>1552</v>
      </c>
      <c r="G172" s="145" t="s">
        <v>1553</v>
      </c>
      <c r="H172" s="145" t="s">
        <v>321</v>
      </c>
      <c r="I172" s="145" t="s">
        <v>754</v>
      </c>
      <c r="J172" s="145" t="s">
        <v>204</v>
      </c>
      <c r="K172" s="145" t="s">
        <v>293</v>
      </c>
      <c r="L172" s="145" t="s">
        <v>325</v>
      </c>
      <c r="M172" s="145" t="s">
        <v>340</v>
      </c>
      <c r="N172" s="145" t="s">
        <v>465</v>
      </c>
      <c r="O172" s="145" t="s">
        <v>339</v>
      </c>
      <c r="P172" s="145" t="s">
        <v>1433</v>
      </c>
      <c r="Q172" s="145" t="s">
        <v>415</v>
      </c>
      <c r="R172" s="145" t="s">
        <v>407</v>
      </c>
      <c r="S172" s="145" t="s">
        <v>1210</v>
      </c>
      <c r="T172" s="146">
        <v>4.7</v>
      </c>
      <c r="U172" s="145" t="s">
        <v>1554</v>
      </c>
      <c r="V172" s="148">
        <v>1.54E-2</v>
      </c>
      <c r="W172" s="148">
        <v>3.2770000000000001E-2</v>
      </c>
      <c r="X172" s="145" t="s">
        <v>412</v>
      </c>
      <c r="Y172" s="159"/>
      <c r="Z172" s="146">
        <v>893000</v>
      </c>
      <c r="AA172" s="146">
        <v>1</v>
      </c>
      <c r="AB172" s="146">
        <v>103.7</v>
      </c>
      <c r="AC172" s="151"/>
      <c r="AD172" s="146">
        <v>926.04100000000005</v>
      </c>
      <c r="AE172" s="151"/>
      <c r="AF172" s="151"/>
      <c r="AG172" s="151"/>
      <c r="AH172" s="148">
        <v>1.5E-3</v>
      </c>
      <c r="AI172" s="148">
        <v>6.4099999999999999E-3</v>
      </c>
      <c r="AJ172" s="149">
        <v>8.8000000000000003E-4</v>
      </c>
      <c r="AK172" s="196"/>
    </row>
    <row r="173" spans="1:37" x14ac:dyDescent="0.2">
      <c r="A173" s="144" t="s">
        <v>1205</v>
      </c>
      <c r="B173" s="145" t="s">
        <v>1205</v>
      </c>
      <c r="C173" s="145" t="s">
        <v>1724</v>
      </c>
      <c r="D173" s="145" t="s">
        <v>1725</v>
      </c>
      <c r="E173" s="145" t="s">
        <v>309</v>
      </c>
      <c r="F173" s="145" t="s">
        <v>1726</v>
      </c>
      <c r="G173" s="145" t="s">
        <v>1727</v>
      </c>
      <c r="H173" s="145" t="s">
        <v>321</v>
      </c>
      <c r="I173" s="145" t="s">
        <v>754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464</v>
      </c>
      <c r="O173" s="145" t="s">
        <v>339</v>
      </c>
      <c r="P173" s="145" t="s">
        <v>1392</v>
      </c>
      <c r="Q173" s="145" t="s">
        <v>413</v>
      </c>
      <c r="R173" s="145" t="s">
        <v>407</v>
      </c>
      <c r="S173" s="145" t="s">
        <v>1210</v>
      </c>
      <c r="T173" s="146">
        <v>5.36</v>
      </c>
      <c r="U173" s="145" t="s">
        <v>1728</v>
      </c>
      <c r="V173" s="148">
        <v>3.5000000000000001E-3</v>
      </c>
      <c r="W173" s="148">
        <v>3.125E-2</v>
      </c>
      <c r="X173" s="145" t="s">
        <v>412</v>
      </c>
      <c r="Y173" s="159"/>
      <c r="Z173" s="146">
        <v>950000</v>
      </c>
      <c r="AA173" s="146">
        <v>1</v>
      </c>
      <c r="AB173" s="146">
        <v>97.32</v>
      </c>
      <c r="AC173" s="151"/>
      <c r="AD173" s="146">
        <v>924.54</v>
      </c>
      <c r="AE173" s="151"/>
      <c r="AF173" s="151"/>
      <c r="AG173" s="151"/>
      <c r="AH173" s="148">
        <v>2.7E-4</v>
      </c>
      <c r="AI173" s="148">
        <v>6.3899999999999998E-3</v>
      </c>
      <c r="AJ173" s="149">
        <v>8.8000000000000003E-4</v>
      </c>
      <c r="AK173" s="196"/>
    </row>
    <row r="174" spans="1:37" x14ac:dyDescent="0.2">
      <c r="A174" s="144" t="s">
        <v>1205</v>
      </c>
      <c r="B174" s="145" t="s">
        <v>1205</v>
      </c>
      <c r="C174" s="145" t="s">
        <v>1402</v>
      </c>
      <c r="D174" s="145" t="s">
        <v>1403</v>
      </c>
      <c r="E174" s="145" t="s">
        <v>309</v>
      </c>
      <c r="F174" s="145" t="s">
        <v>1448</v>
      </c>
      <c r="G174" s="145" t="s">
        <v>1449</v>
      </c>
      <c r="H174" s="145" t="s">
        <v>321</v>
      </c>
      <c r="I174" s="145" t="s">
        <v>754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445</v>
      </c>
      <c r="O174" s="145" t="s">
        <v>339</v>
      </c>
      <c r="P174" s="145" t="s">
        <v>1406</v>
      </c>
      <c r="Q174" s="145" t="s">
        <v>415</v>
      </c>
      <c r="R174" s="145" t="s">
        <v>407</v>
      </c>
      <c r="S174" s="145" t="s">
        <v>1210</v>
      </c>
      <c r="T174" s="146">
        <v>4.68</v>
      </c>
      <c r="U174" s="145" t="s">
        <v>1450</v>
      </c>
      <c r="V174" s="148">
        <v>4.6899999999999997E-2</v>
      </c>
      <c r="W174" s="148">
        <v>5.033E-2</v>
      </c>
      <c r="X174" s="145" t="s">
        <v>412</v>
      </c>
      <c r="Y174" s="159"/>
      <c r="Z174" s="146">
        <v>935000</v>
      </c>
      <c r="AA174" s="146">
        <v>1</v>
      </c>
      <c r="AB174" s="146">
        <v>98.85</v>
      </c>
      <c r="AC174" s="151"/>
      <c r="AD174" s="146">
        <v>924.24800000000005</v>
      </c>
      <c r="AE174" s="151"/>
      <c r="AF174" s="151"/>
      <c r="AG174" s="151"/>
      <c r="AH174" s="148">
        <v>1.8699999999999999E-3</v>
      </c>
      <c r="AI174" s="148">
        <v>6.3899999999999998E-3</v>
      </c>
      <c r="AJ174" s="149">
        <v>8.8000000000000003E-4</v>
      </c>
      <c r="AK174" s="196"/>
    </row>
    <row r="175" spans="1:37" x14ac:dyDescent="0.2">
      <c r="A175" s="144" t="s">
        <v>1205</v>
      </c>
      <c r="B175" s="145" t="s">
        <v>1205</v>
      </c>
      <c r="C175" s="145" t="s">
        <v>1516</v>
      </c>
      <c r="D175" s="145" t="s">
        <v>1517</v>
      </c>
      <c r="E175" s="145" t="s">
        <v>309</v>
      </c>
      <c r="F175" s="145" t="s">
        <v>1729</v>
      </c>
      <c r="G175" s="145" t="s">
        <v>1730</v>
      </c>
      <c r="H175" s="145" t="s">
        <v>321</v>
      </c>
      <c r="I175" s="145" t="s">
        <v>951</v>
      </c>
      <c r="J175" s="145" t="s">
        <v>204</v>
      </c>
      <c r="K175" s="145" t="s">
        <v>293</v>
      </c>
      <c r="L175" s="145" t="s">
        <v>325</v>
      </c>
      <c r="M175" s="145" t="s">
        <v>340</v>
      </c>
      <c r="N175" s="145" t="s">
        <v>465</v>
      </c>
      <c r="O175" s="145" t="s">
        <v>339</v>
      </c>
      <c r="P175" s="145" t="s">
        <v>1520</v>
      </c>
      <c r="Q175" s="145" t="s">
        <v>415</v>
      </c>
      <c r="R175" s="145" t="s">
        <v>407</v>
      </c>
      <c r="S175" s="145" t="s">
        <v>1210</v>
      </c>
      <c r="T175" s="146">
        <v>5.87</v>
      </c>
      <c r="U175" s="145" t="s">
        <v>1671</v>
      </c>
      <c r="V175" s="148">
        <v>5.5899999999999998E-2</v>
      </c>
      <c r="W175" s="148">
        <v>5.8270000000000002E-2</v>
      </c>
      <c r="X175" s="145" t="s">
        <v>412</v>
      </c>
      <c r="Y175" s="159"/>
      <c r="Z175" s="146">
        <v>921000</v>
      </c>
      <c r="AA175" s="146">
        <v>1</v>
      </c>
      <c r="AB175" s="146">
        <v>99.28</v>
      </c>
      <c r="AC175" s="151"/>
      <c r="AD175" s="146">
        <v>914.36900000000003</v>
      </c>
      <c r="AE175" s="151"/>
      <c r="AF175" s="151"/>
      <c r="AG175" s="151"/>
      <c r="AH175" s="148">
        <v>4.1200000000000004E-3</v>
      </c>
      <c r="AI175" s="148">
        <v>6.3200000000000001E-3</v>
      </c>
      <c r="AJ175" s="149">
        <v>8.7000000000000001E-4</v>
      </c>
      <c r="AK175" s="196"/>
    </row>
    <row r="176" spans="1:37" x14ac:dyDescent="0.2">
      <c r="A176" s="144" t="s">
        <v>1205</v>
      </c>
      <c r="B176" s="145" t="s">
        <v>1205</v>
      </c>
      <c r="C176" s="145" t="s">
        <v>1318</v>
      </c>
      <c r="D176" s="145" t="s">
        <v>1319</v>
      </c>
      <c r="E176" s="145" t="s">
        <v>313</v>
      </c>
      <c r="F176" s="145" t="s">
        <v>1464</v>
      </c>
      <c r="G176" s="145" t="s">
        <v>1465</v>
      </c>
      <c r="H176" s="145" t="s">
        <v>321</v>
      </c>
      <c r="I176" s="145" t="s">
        <v>754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440</v>
      </c>
      <c r="O176" s="145" t="s">
        <v>339</v>
      </c>
      <c r="P176" s="145" t="s">
        <v>1209</v>
      </c>
      <c r="Q176" s="145" t="s">
        <v>415</v>
      </c>
      <c r="R176" s="145" t="s">
        <v>407</v>
      </c>
      <c r="S176" s="145" t="s">
        <v>1210</v>
      </c>
      <c r="T176" s="146">
        <v>0.9</v>
      </c>
      <c r="U176" s="145" t="s">
        <v>1466</v>
      </c>
      <c r="V176" s="148">
        <v>4.4999999999999998E-2</v>
      </c>
      <c r="W176" s="148">
        <v>2.3970000000000002E-2</v>
      </c>
      <c r="X176" s="145" t="s">
        <v>412</v>
      </c>
      <c r="Y176" s="159"/>
      <c r="Z176" s="146">
        <v>761902</v>
      </c>
      <c r="AA176" s="146">
        <v>1</v>
      </c>
      <c r="AB176" s="146">
        <v>119.86</v>
      </c>
      <c r="AC176" s="151"/>
      <c r="AD176" s="146">
        <v>913.21600000000001</v>
      </c>
      <c r="AE176" s="151"/>
      <c r="AF176" s="151"/>
      <c r="AG176" s="151"/>
      <c r="AH176" s="148">
        <v>5.1999999999999995E-4</v>
      </c>
      <c r="AI176" s="148">
        <v>6.3200000000000001E-3</v>
      </c>
      <c r="AJ176" s="149">
        <v>8.7000000000000001E-4</v>
      </c>
      <c r="AK176" s="196"/>
    </row>
    <row r="177" spans="1:37" x14ac:dyDescent="0.2">
      <c r="A177" s="144" t="s">
        <v>1205</v>
      </c>
      <c r="B177" s="145" t="s">
        <v>1205</v>
      </c>
      <c r="C177" s="145" t="s">
        <v>1600</v>
      </c>
      <c r="D177" s="145" t="s">
        <v>1601</v>
      </c>
      <c r="E177" s="145" t="s">
        <v>309</v>
      </c>
      <c r="F177" s="145" t="s">
        <v>1731</v>
      </c>
      <c r="G177" s="145" t="s">
        <v>1732</v>
      </c>
      <c r="H177" s="145" t="s">
        <v>321</v>
      </c>
      <c r="I177" s="145" t="s">
        <v>951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1520</v>
      </c>
      <c r="Q177" s="145" t="s">
        <v>415</v>
      </c>
      <c r="R177" s="145" t="s">
        <v>407</v>
      </c>
      <c r="S177" s="145" t="s">
        <v>1210</v>
      </c>
      <c r="T177" s="146">
        <v>6.66</v>
      </c>
      <c r="U177" s="145" t="s">
        <v>1393</v>
      </c>
      <c r="V177" s="148">
        <v>5.2900000000000003E-2</v>
      </c>
      <c r="W177" s="148">
        <v>5.527E-2</v>
      </c>
      <c r="X177" s="145" t="s">
        <v>412</v>
      </c>
      <c r="Y177" s="159"/>
      <c r="Z177" s="146">
        <v>898183</v>
      </c>
      <c r="AA177" s="146">
        <v>1</v>
      </c>
      <c r="AB177" s="146">
        <v>99.53</v>
      </c>
      <c r="AC177" s="151"/>
      <c r="AD177" s="146">
        <v>893.96199999999999</v>
      </c>
      <c r="AE177" s="151"/>
      <c r="AF177" s="151"/>
      <c r="AG177" s="151"/>
      <c r="AH177" s="148">
        <v>4.4900000000000001E-3</v>
      </c>
      <c r="AI177" s="148">
        <v>6.1799999999999997E-3</v>
      </c>
      <c r="AJ177" s="149">
        <v>8.4999999999999995E-4</v>
      </c>
      <c r="AK177" s="196"/>
    </row>
    <row r="178" spans="1:37" x14ac:dyDescent="0.2">
      <c r="A178" s="144" t="s">
        <v>1205</v>
      </c>
      <c r="B178" s="145" t="s">
        <v>1205</v>
      </c>
      <c r="C178" s="145" t="s">
        <v>1733</v>
      </c>
      <c r="D178" s="145" t="s">
        <v>1734</v>
      </c>
      <c r="E178" s="145" t="s">
        <v>309</v>
      </c>
      <c r="F178" s="145" t="s">
        <v>1735</v>
      </c>
      <c r="G178" s="145" t="s">
        <v>1736</v>
      </c>
      <c r="H178" s="145" t="s">
        <v>321</v>
      </c>
      <c r="I178" s="145" t="s">
        <v>754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448</v>
      </c>
      <c r="O178" s="145" t="s">
        <v>339</v>
      </c>
      <c r="P178" s="145" t="s">
        <v>1330</v>
      </c>
      <c r="Q178" s="145" t="s">
        <v>413</v>
      </c>
      <c r="R178" s="145" t="s">
        <v>407</v>
      </c>
      <c r="S178" s="145" t="s">
        <v>1210</v>
      </c>
      <c r="T178" s="146">
        <v>1.67</v>
      </c>
      <c r="U178" s="145" t="s">
        <v>1737</v>
      </c>
      <c r="V178" s="148">
        <v>1E-3</v>
      </c>
      <c r="W178" s="148">
        <v>2.4340000000000001E-2</v>
      </c>
      <c r="X178" s="145" t="s">
        <v>412</v>
      </c>
      <c r="Y178" s="159"/>
      <c r="Z178" s="146">
        <v>821000</v>
      </c>
      <c r="AA178" s="146">
        <v>1</v>
      </c>
      <c r="AB178" s="146">
        <v>108.5</v>
      </c>
      <c r="AC178" s="151"/>
      <c r="AD178" s="146">
        <v>890.78499999999997</v>
      </c>
      <c r="AE178" s="151"/>
      <c r="AF178" s="151"/>
      <c r="AG178" s="151"/>
      <c r="AH178" s="148">
        <v>1.7600000000000001E-3</v>
      </c>
      <c r="AI178" s="148">
        <v>6.1599999999999997E-3</v>
      </c>
      <c r="AJ178" s="149">
        <v>8.4999999999999995E-4</v>
      </c>
      <c r="AK178" s="196"/>
    </row>
    <row r="179" spans="1:37" x14ac:dyDescent="0.2">
      <c r="A179" s="144" t="s">
        <v>1205</v>
      </c>
      <c r="B179" s="145" t="s">
        <v>1205</v>
      </c>
      <c r="C179" s="145" t="s">
        <v>1326</v>
      </c>
      <c r="D179" s="145" t="s">
        <v>1327</v>
      </c>
      <c r="E179" s="145" t="s">
        <v>309</v>
      </c>
      <c r="F179" s="145" t="s">
        <v>1451</v>
      </c>
      <c r="G179" s="145" t="s">
        <v>1452</v>
      </c>
      <c r="H179" s="145" t="s">
        <v>321</v>
      </c>
      <c r="I179" s="145" t="s">
        <v>754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448</v>
      </c>
      <c r="O179" s="145" t="s">
        <v>339</v>
      </c>
      <c r="P179" s="145" t="s">
        <v>1330</v>
      </c>
      <c r="Q179" s="145" t="s">
        <v>413</v>
      </c>
      <c r="R179" s="145" t="s">
        <v>407</v>
      </c>
      <c r="S179" s="145" t="s">
        <v>1210</v>
      </c>
      <c r="T179" s="146">
        <v>4.45</v>
      </c>
      <c r="U179" s="145" t="s">
        <v>1453</v>
      </c>
      <c r="V179" s="148">
        <v>1.9900000000000001E-2</v>
      </c>
      <c r="W179" s="148">
        <v>2.5350000000000001E-2</v>
      </c>
      <c r="X179" s="145" t="s">
        <v>412</v>
      </c>
      <c r="Y179" s="159"/>
      <c r="Z179" s="146">
        <v>837000</v>
      </c>
      <c r="AA179" s="146">
        <v>1</v>
      </c>
      <c r="AB179" s="146">
        <v>101.81</v>
      </c>
      <c r="AC179" s="151"/>
      <c r="AD179" s="146">
        <v>852.15</v>
      </c>
      <c r="AE179" s="151"/>
      <c r="AF179" s="151"/>
      <c r="AG179" s="151"/>
      <c r="AH179" s="148">
        <v>3.4000000000000002E-4</v>
      </c>
      <c r="AI179" s="148">
        <v>5.8900000000000003E-3</v>
      </c>
      <c r="AJ179" s="149">
        <v>8.0999999999999996E-4</v>
      </c>
      <c r="AK179" s="196"/>
    </row>
    <row r="180" spans="1:37" x14ac:dyDescent="0.2">
      <c r="A180" s="144" t="s">
        <v>1205</v>
      </c>
      <c r="B180" s="145" t="s">
        <v>1205</v>
      </c>
      <c r="C180" s="145" t="s">
        <v>1738</v>
      </c>
      <c r="D180" s="145" t="s">
        <v>1739</v>
      </c>
      <c r="E180" s="145" t="s">
        <v>309</v>
      </c>
      <c r="F180" s="145" t="s">
        <v>1740</v>
      </c>
      <c r="G180" s="145" t="s">
        <v>1741</v>
      </c>
      <c r="H180" s="145" t="s">
        <v>321</v>
      </c>
      <c r="I180" s="145" t="s">
        <v>951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465</v>
      </c>
      <c r="O180" s="145" t="s">
        <v>339</v>
      </c>
      <c r="P180" s="145" t="s">
        <v>1392</v>
      </c>
      <c r="Q180" s="145" t="s">
        <v>413</v>
      </c>
      <c r="R180" s="145" t="s">
        <v>407</v>
      </c>
      <c r="S180" s="145" t="s">
        <v>1210</v>
      </c>
      <c r="T180" s="146">
        <v>4.0199999999999996</v>
      </c>
      <c r="U180" s="145" t="s">
        <v>1512</v>
      </c>
      <c r="V180" s="148">
        <v>6.7400000000000002E-2</v>
      </c>
      <c r="W180" s="148">
        <v>6.0229999999999999E-2</v>
      </c>
      <c r="X180" s="145" t="s">
        <v>412</v>
      </c>
      <c r="Y180" s="159"/>
      <c r="Z180" s="146">
        <v>792760</v>
      </c>
      <c r="AA180" s="146">
        <v>1</v>
      </c>
      <c r="AB180" s="146">
        <v>106.73</v>
      </c>
      <c r="AC180" s="151"/>
      <c r="AD180" s="146">
        <v>846.11300000000006</v>
      </c>
      <c r="AE180" s="151"/>
      <c r="AF180" s="151"/>
      <c r="AG180" s="151"/>
      <c r="AH180" s="148">
        <v>2.7799999999999999E-3</v>
      </c>
      <c r="AI180" s="148">
        <v>5.8500000000000002E-3</v>
      </c>
      <c r="AJ180" s="149">
        <v>8.0000000000000004E-4</v>
      </c>
      <c r="AK180" s="196"/>
    </row>
    <row r="181" spans="1:37" x14ac:dyDescent="0.2">
      <c r="A181" s="144" t="s">
        <v>1205</v>
      </c>
      <c r="B181" s="145" t="s">
        <v>1205</v>
      </c>
      <c r="C181" s="145" t="s">
        <v>1388</v>
      </c>
      <c r="D181" s="145" t="s">
        <v>1389</v>
      </c>
      <c r="E181" s="145" t="s">
        <v>309</v>
      </c>
      <c r="F181" s="145" t="s">
        <v>1530</v>
      </c>
      <c r="G181" s="145" t="s">
        <v>1531</v>
      </c>
      <c r="H181" s="145" t="s">
        <v>321</v>
      </c>
      <c r="I181" s="145" t="s">
        <v>951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464</v>
      </c>
      <c r="O181" s="145" t="s">
        <v>339</v>
      </c>
      <c r="P181" s="145" t="s">
        <v>1392</v>
      </c>
      <c r="Q181" s="145" t="s">
        <v>413</v>
      </c>
      <c r="R181" s="145" t="s">
        <v>407</v>
      </c>
      <c r="S181" s="145" t="s">
        <v>1210</v>
      </c>
      <c r="T181" s="146">
        <v>4.76</v>
      </c>
      <c r="U181" s="145" t="s">
        <v>1532</v>
      </c>
      <c r="V181" s="148">
        <v>2.5499999999999998E-2</v>
      </c>
      <c r="W181" s="148">
        <v>5.2699999999999997E-2</v>
      </c>
      <c r="X181" s="145" t="s">
        <v>412</v>
      </c>
      <c r="Y181" s="159"/>
      <c r="Z181" s="146">
        <v>938598.49</v>
      </c>
      <c r="AA181" s="146">
        <v>1</v>
      </c>
      <c r="AB181" s="146">
        <v>88.7</v>
      </c>
      <c r="AC181" s="151"/>
      <c r="AD181" s="146">
        <v>832.53700000000003</v>
      </c>
      <c r="AE181" s="151"/>
      <c r="AF181" s="151"/>
      <c r="AG181" s="151"/>
      <c r="AH181" s="148">
        <v>4.0000000000000002E-4</v>
      </c>
      <c r="AI181" s="148">
        <v>5.7600000000000004E-3</v>
      </c>
      <c r="AJ181" s="149">
        <v>7.9000000000000001E-4</v>
      </c>
      <c r="AK181" s="196"/>
    </row>
    <row r="182" spans="1:37" x14ac:dyDescent="0.2">
      <c r="A182" s="144" t="s">
        <v>1205</v>
      </c>
      <c r="B182" s="145" t="s">
        <v>1205</v>
      </c>
      <c r="C182" s="145" t="s">
        <v>1742</v>
      </c>
      <c r="D182" s="145" t="s">
        <v>1743</v>
      </c>
      <c r="E182" s="145" t="s">
        <v>309</v>
      </c>
      <c r="F182" s="145" t="s">
        <v>1744</v>
      </c>
      <c r="G182" s="145" t="s">
        <v>1745</v>
      </c>
      <c r="H182" s="145" t="s">
        <v>321</v>
      </c>
      <c r="I182" s="145" t="s">
        <v>952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441</v>
      </c>
      <c r="O182" s="145" t="s">
        <v>339</v>
      </c>
      <c r="P182" s="145" t="s">
        <v>1375</v>
      </c>
      <c r="Q182" s="145" t="s">
        <v>415</v>
      </c>
      <c r="R182" s="145" t="s">
        <v>407</v>
      </c>
      <c r="S182" s="145" t="s">
        <v>1210</v>
      </c>
      <c r="T182" s="146">
        <v>3.43</v>
      </c>
      <c r="U182" s="145" t="s">
        <v>1604</v>
      </c>
      <c r="V182" s="148">
        <v>0.05</v>
      </c>
      <c r="W182" s="148">
        <v>4.446E-2</v>
      </c>
      <c r="X182" s="145" t="s">
        <v>412</v>
      </c>
      <c r="Y182" s="159"/>
      <c r="Z182" s="146">
        <v>786000</v>
      </c>
      <c r="AA182" s="146">
        <v>1</v>
      </c>
      <c r="AB182" s="146">
        <v>103.3</v>
      </c>
      <c r="AC182" s="151"/>
      <c r="AD182" s="146">
        <v>811.93799999999999</v>
      </c>
      <c r="AE182" s="151"/>
      <c r="AF182" s="151"/>
      <c r="AG182" s="151"/>
      <c r="AH182" s="148">
        <v>1.57E-3</v>
      </c>
      <c r="AI182" s="148">
        <v>5.62E-3</v>
      </c>
      <c r="AJ182" s="149">
        <v>7.6999999999999996E-4</v>
      </c>
      <c r="AK182" s="196"/>
    </row>
    <row r="183" spans="1:37" x14ac:dyDescent="0.2">
      <c r="A183" s="144" t="s">
        <v>1205</v>
      </c>
      <c r="B183" s="145" t="s">
        <v>1205</v>
      </c>
      <c r="C183" s="145" t="s">
        <v>1746</v>
      </c>
      <c r="D183" s="145" t="s">
        <v>1747</v>
      </c>
      <c r="E183" s="145" t="s">
        <v>309</v>
      </c>
      <c r="F183" s="145" t="s">
        <v>1748</v>
      </c>
      <c r="G183" s="145" t="s">
        <v>1749</v>
      </c>
      <c r="H183" s="145" t="s">
        <v>321</v>
      </c>
      <c r="I183" s="145" t="s">
        <v>951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484</v>
      </c>
      <c r="O183" s="145" t="s">
        <v>339</v>
      </c>
      <c r="P183" s="145" t="s">
        <v>1473</v>
      </c>
      <c r="Q183" s="145" t="s">
        <v>413</v>
      </c>
      <c r="R183" s="145" t="s">
        <v>407</v>
      </c>
      <c r="S183" s="145" t="s">
        <v>1210</v>
      </c>
      <c r="T183" s="146">
        <v>2.99</v>
      </c>
      <c r="U183" s="145" t="s">
        <v>1750</v>
      </c>
      <c r="V183" s="148">
        <v>4.7300000000000002E-2</v>
      </c>
      <c r="W183" s="148">
        <v>5.0959999999999998E-2</v>
      </c>
      <c r="X183" s="145" t="s">
        <v>412</v>
      </c>
      <c r="Y183" s="159"/>
      <c r="Z183" s="146">
        <v>807500</v>
      </c>
      <c r="AA183" s="146">
        <v>1</v>
      </c>
      <c r="AB183" s="146">
        <v>100.21</v>
      </c>
      <c r="AC183" s="151"/>
      <c r="AD183" s="146">
        <v>809.19600000000003</v>
      </c>
      <c r="AE183" s="151"/>
      <c r="AF183" s="151"/>
      <c r="AG183" s="151"/>
      <c r="AH183" s="148">
        <v>1.72E-3</v>
      </c>
      <c r="AI183" s="148">
        <v>5.5999999999999999E-3</v>
      </c>
      <c r="AJ183" s="149">
        <v>7.6999999999999996E-4</v>
      </c>
      <c r="AK183" s="196"/>
    </row>
    <row r="184" spans="1:37" x14ac:dyDescent="0.2">
      <c r="A184" s="144" t="s">
        <v>1205</v>
      </c>
      <c r="B184" s="145" t="s">
        <v>1205</v>
      </c>
      <c r="C184" s="145" t="s">
        <v>1571</v>
      </c>
      <c r="D184" s="145" t="s">
        <v>1572</v>
      </c>
      <c r="E184" s="145" t="s">
        <v>309</v>
      </c>
      <c r="F184" s="145" t="s">
        <v>1573</v>
      </c>
      <c r="G184" s="145" t="s">
        <v>1574</v>
      </c>
      <c r="H184" s="145" t="s">
        <v>321</v>
      </c>
      <c r="I184" s="145" t="s">
        <v>951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443</v>
      </c>
      <c r="O184" s="145" t="s">
        <v>339</v>
      </c>
      <c r="P184" s="145" t="s">
        <v>1433</v>
      </c>
      <c r="Q184" s="145" t="s">
        <v>415</v>
      </c>
      <c r="R184" s="145" t="s">
        <v>407</v>
      </c>
      <c r="S184" s="145" t="s">
        <v>1210</v>
      </c>
      <c r="T184" s="146">
        <v>0.47</v>
      </c>
      <c r="U184" s="145" t="s">
        <v>1575</v>
      </c>
      <c r="V184" s="148">
        <v>4.7500000000000001E-2</v>
      </c>
      <c r="W184" s="148">
        <v>5.9470000000000002E-2</v>
      </c>
      <c r="X184" s="145" t="s">
        <v>412</v>
      </c>
      <c r="Y184" s="159"/>
      <c r="Z184" s="146">
        <v>806728.94</v>
      </c>
      <c r="AA184" s="146">
        <v>1</v>
      </c>
      <c r="AB184" s="146">
        <v>99.61</v>
      </c>
      <c r="AC184" s="151"/>
      <c r="AD184" s="146">
        <v>803.58299999999997</v>
      </c>
      <c r="AE184" s="151"/>
      <c r="AF184" s="151"/>
      <c r="AG184" s="151"/>
      <c r="AH184" s="148">
        <v>1.2800000000000001E-3</v>
      </c>
      <c r="AI184" s="148">
        <v>5.5599999999999998E-3</v>
      </c>
      <c r="AJ184" s="149">
        <v>7.6000000000000004E-4</v>
      </c>
      <c r="AK184" s="196"/>
    </row>
    <row r="185" spans="1:37" x14ac:dyDescent="0.2">
      <c r="A185" s="144" t="s">
        <v>1205</v>
      </c>
      <c r="B185" s="145" t="s">
        <v>1205</v>
      </c>
      <c r="C185" s="145" t="s">
        <v>1380</v>
      </c>
      <c r="D185" s="145" t="s">
        <v>1381</v>
      </c>
      <c r="E185" s="145" t="s">
        <v>309</v>
      </c>
      <c r="F185" s="145" t="s">
        <v>1426</v>
      </c>
      <c r="G185" s="145" t="s">
        <v>1427</v>
      </c>
      <c r="H185" s="145" t="s">
        <v>321</v>
      </c>
      <c r="I185" s="145" t="s">
        <v>754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465</v>
      </c>
      <c r="O185" s="145" t="s">
        <v>339</v>
      </c>
      <c r="P185" s="145" t="s">
        <v>1375</v>
      </c>
      <c r="Q185" s="145" t="s">
        <v>415</v>
      </c>
      <c r="R185" s="145" t="s">
        <v>407</v>
      </c>
      <c r="S185" s="145" t="s">
        <v>1210</v>
      </c>
      <c r="T185" s="146">
        <v>5.16</v>
      </c>
      <c r="U185" s="145" t="s">
        <v>1428</v>
      </c>
      <c r="V185" s="148">
        <v>1.7899999999999999E-2</v>
      </c>
      <c r="W185" s="148">
        <v>4.9320000000000003E-2</v>
      </c>
      <c r="X185" s="145" t="s">
        <v>412</v>
      </c>
      <c r="Y185" s="159"/>
      <c r="Z185" s="146">
        <v>815984.41</v>
      </c>
      <c r="AA185" s="146">
        <v>1</v>
      </c>
      <c r="AB185" s="146">
        <v>98.15</v>
      </c>
      <c r="AC185" s="151"/>
      <c r="AD185" s="146">
        <v>800.88900000000001</v>
      </c>
      <c r="AE185" s="151"/>
      <c r="AF185" s="151"/>
      <c r="AG185" s="151"/>
      <c r="AH185" s="148">
        <v>8.3000000000000001E-4</v>
      </c>
      <c r="AI185" s="148">
        <v>5.5399999999999998E-3</v>
      </c>
      <c r="AJ185" s="149">
        <v>7.6000000000000004E-4</v>
      </c>
      <c r="AK185" s="196"/>
    </row>
    <row r="186" spans="1:37" x14ac:dyDescent="0.2">
      <c r="A186" s="144" t="s">
        <v>1205</v>
      </c>
      <c r="B186" s="145" t="s">
        <v>1205</v>
      </c>
      <c r="C186" s="145" t="s">
        <v>1563</v>
      </c>
      <c r="D186" s="145" t="s">
        <v>1564</v>
      </c>
      <c r="E186" s="145" t="s">
        <v>309</v>
      </c>
      <c r="F186" s="145" t="s">
        <v>1565</v>
      </c>
      <c r="G186" s="145" t="s">
        <v>1566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447</v>
      </c>
      <c r="O186" s="145" t="s">
        <v>339</v>
      </c>
      <c r="P186" s="145" t="s">
        <v>1375</v>
      </c>
      <c r="Q186" s="145" t="s">
        <v>415</v>
      </c>
      <c r="R186" s="145" t="s">
        <v>407</v>
      </c>
      <c r="S186" s="145" t="s">
        <v>1210</v>
      </c>
      <c r="T186" s="146">
        <v>2.0299999999999998</v>
      </c>
      <c r="U186" s="145" t="s">
        <v>1494</v>
      </c>
      <c r="V186" s="148">
        <v>4.53E-2</v>
      </c>
      <c r="W186" s="148">
        <v>5.8549999999999998E-2</v>
      </c>
      <c r="X186" s="145" t="s">
        <v>412</v>
      </c>
      <c r="Y186" s="159"/>
      <c r="Z186" s="146">
        <v>797286.6</v>
      </c>
      <c r="AA186" s="146">
        <v>1</v>
      </c>
      <c r="AB186" s="146">
        <v>98.67</v>
      </c>
      <c r="AC186" s="151"/>
      <c r="AD186" s="146">
        <v>786.68299999999999</v>
      </c>
      <c r="AE186" s="151"/>
      <c r="AF186" s="151"/>
      <c r="AG186" s="151"/>
      <c r="AH186" s="148">
        <v>1.2700000000000001E-3</v>
      </c>
      <c r="AI186" s="148">
        <v>5.4400000000000004E-3</v>
      </c>
      <c r="AJ186" s="149">
        <v>7.5000000000000002E-4</v>
      </c>
      <c r="AK186" s="196"/>
    </row>
    <row r="187" spans="1:37" x14ac:dyDescent="0.2">
      <c r="A187" s="144" t="s">
        <v>1205</v>
      </c>
      <c r="B187" s="145" t="s">
        <v>1205</v>
      </c>
      <c r="C187" s="145" t="s">
        <v>1444</v>
      </c>
      <c r="D187" s="145" t="s">
        <v>1445</v>
      </c>
      <c r="E187" s="145" t="s">
        <v>309</v>
      </c>
      <c r="F187" s="145" t="s">
        <v>1446</v>
      </c>
      <c r="G187" s="145" t="s">
        <v>1447</v>
      </c>
      <c r="H187" s="145" t="s">
        <v>321</v>
      </c>
      <c r="I187" s="145" t="s">
        <v>754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464</v>
      </c>
      <c r="O187" s="145" t="s">
        <v>339</v>
      </c>
      <c r="P187" s="145" t="s">
        <v>1392</v>
      </c>
      <c r="Q187" s="145" t="s">
        <v>413</v>
      </c>
      <c r="R187" s="145" t="s">
        <v>407</v>
      </c>
      <c r="S187" s="145" t="s">
        <v>1210</v>
      </c>
      <c r="T187" s="146">
        <v>2.27</v>
      </c>
      <c r="U187" s="145" t="s">
        <v>1281</v>
      </c>
      <c r="V187" s="148">
        <v>2.3400000000000001E-2</v>
      </c>
      <c r="W187" s="148">
        <v>2.7980000000000001E-2</v>
      </c>
      <c r="X187" s="145" t="s">
        <v>412</v>
      </c>
      <c r="Y187" s="159"/>
      <c r="Z187" s="146">
        <v>658891.99</v>
      </c>
      <c r="AA187" s="146">
        <v>1</v>
      </c>
      <c r="AB187" s="146">
        <v>114.39</v>
      </c>
      <c r="AC187" s="151"/>
      <c r="AD187" s="146">
        <v>753.70699999999999</v>
      </c>
      <c r="AE187" s="151"/>
      <c r="AF187" s="151"/>
      <c r="AG187" s="151"/>
      <c r="AH187" s="148">
        <v>4.0000000000000002E-4</v>
      </c>
      <c r="AI187" s="148">
        <v>5.2100000000000002E-3</v>
      </c>
      <c r="AJ187" s="149">
        <v>7.2000000000000005E-4</v>
      </c>
      <c r="AK187" s="196"/>
    </row>
    <row r="188" spans="1:37" x14ac:dyDescent="0.2">
      <c r="A188" s="144" t="s">
        <v>1205</v>
      </c>
      <c r="B188" s="145" t="s">
        <v>1205</v>
      </c>
      <c r="C188" s="145" t="s">
        <v>1346</v>
      </c>
      <c r="D188" s="145" t="s">
        <v>1347</v>
      </c>
      <c r="E188" s="145" t="s">
        <v>309</v>
      </c>
      <c r="F188" s="145" t="s">
        <v>1407</v>
      </c>
      <c r="G188" s="145" t="s">
        <v>1408</v>
      </c>
      <c r="H188" s="145" t="s">
        <v>321</v>
      </c>
      <c r="I188" s="145" t="s">
        <v>951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445</v>
      </c>
      <c r="O188" s="145" t="s">
        <v>339</v>
      </c>
      <c r="P188" s="145" t="s">
        <v>1350</v>
      </c>
      <c r="Q188" s="145" t="s">
        <v>413</v>
      </c>
      <c r="R188" s="145" t="s">
        <v>407</v>
      </c>
      <c r="S188" s="145" t="s">
        <v>1210</v>
      </c>
      <c r="T188" s="146">
        <v>7.41</v>
      </c>
      <c r="U188" s="145" t="s">
        <v>1409</v>
      </c>
      <c r="V188" s="148">
        <v>5.3100000000000001E-2</v>
      </c>
      <c r="W188" s="148">
        <v>5.4260000000000003E-2</v>
      </c>
      <c r="X188" s="145" t="s">
        <v>412</v>
      </c>
      <c r="Y188" s="159"/>
      <c r="Z188" s="146">
        <v>741030.16</v>
      </c>
      <c r="AA188" s="146">
        <v>1</v>
      </c>
      <c r="AB188" s="146">
        <v>100.54</v>
      </c>
      <c r="AC188" s="151"/>
      <c r="AD188" s="146">
        <v>745.03200000000004</v>
      </c>
      <c r="AE188" s="151"/>
      <c r="AF188" s="151"/>
      <c r="AG188" s="151"/>
      <c r="AH188" s="148">
        <v>5.8E-4</v>
      </c>
      <c r="AI188" s="148">
        <v>5.1500000000000001E-3</v>
      </c>
      <c r="AJ188" s="149">
        <v>7.1000000000000002E-4</v>
      </c>
      <c r="AK188" s="196"/>
    </row>
    <row r="189" spans="1:37" x14ac:dyDescent="0.2">
      <c r="A189" s="144" t="s">
        <v>1205</v>
      </c>
      <c r="B189" s="145" t="s">
        <v>1205</v>
      </c>
      <c r="C189" s="145" t="s">
        <v>1469</v>
      </c>
      <c r="D189" s="145" t="s">
        <v>1470</v>
      </c>
      <c r="E189" s="145" t="s">
        <v>309</v>
      </c>
      <c r="F189" s="145" t="s">
        <v>1751</v>
      </c>
      <c r="G189" s="145" t="s">
        <v>1752</v>
      </c>
      <c r="H189" s="145" t="s">
        <v>321</v>
      </c>
      <c r="I189" s="145" t="s">
        <v>951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451</v>
      </c>
      <c r="O189" s="145" t="s">
        <v>339</v>
      </c>
      <c r="P189" s="145" t="s">
        <v>1473</v>
      </c>
      <c r="Q189" s="145" t="s">
        <v>413</v>
      </c>
      <c r="R189" s="145" t="s">
        <v>407</v>
      </c>
      <c r="S189" s="145" t="s">
        <v>1210</v>
      </c>
      <c r="T189" s="146">
        <v>4.93</v>
      </c>
      <c r="U189" s="145" t="s">
        <v>1753</v>
      </c>
      <c r="V189" s="148">
        <v>2.07E-2</v>
      </c>
      <c r="W189" s="148">
        <v>5.3789999999999998E-2</v>
      </c>
      <c r="X189" s="145" t="s">
        <v>412</v>
      </c>
      <c r="Y189" s="159"/>
      <c r="Z189" s="146">
        <v>870189.74</v>
      </c>
      <c r="AA189" s="146">
        <v>1</v>
      </c>
      <c r="AB189" s="146">
        <v>85.61</v>
      </c>
      <c r="AC189" s="151"/>
      <c r="AD189" s="146">
        <v>744.96900000000005</v>
      </c>
      <c r="AE189" s="151"/>
      <c r="AF189" s="151"/>
      <c r="AG189" s="151"/>
      <c r="AH189" s="148">
        <v>1.1999999999999999E-3</v>
      </c>
      <c r="AI189" s="148">
        <v>5.1500000000000001E-3</v>
      </c>
      <c r="AJ189" s="149">
        <v>7.1000000000000002E-4</v>
      </c>
      <c r="AK189" s="196"/>
    </row>
    <row r="190" spans="1:37" x14ac:dyDescent="0.2">
      <c r="A190" s="144" t="s">
        <v>1205</v>
      </c>
      <c r="B190" s="145" t="s">
        <v>1205</v>
      </c>
      <c r="C190" s="145" t="s">
        <v>1628</v>
      </c>
      <c r="D190" s="145" t="s">
        <v>1629</v>
      </c>
      <c r="E190" s="145" t="s">
        <v>309</v>
      </c>
      <c r="F190" s="145" t="s">
        <v>1754</v>
      </c>
      <c r="G190" s="145" t="s">
        <v>1755</v>
      </c>
      <c r="H190" s="145" t="s">
        <v>321</v>
      </c>
      <c r="I190" s="145" t="s">
        <v>754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448</v>
      </c>
      <c r="O190" s="145" t="s">
        <v>339</v>
      </c>
      <c r="P190" s="145" t="s">
        <v>1330</v>
      </c>
      <c r="Q190" s="145" t="s">
        <v>413</v>
      </c>
      <c r="R190" s="145" t="s">
        <v>407</v>
      </c>
      <c r="S190" s="145" t="s">
        <v>1210</v>
      </c>
      <c r="T190" s="146">
        <v>3.75</v>
      </c>
      <c r="U190" s="145" t="s">
        <v>1756</v>
      </c>
      <c r="V190" s="148">
        <v>2E-3</v>
      </c>
      <c r="W190" s="148">
        <v>2.5999999999999999E-2</v>
      </c>
      <c r="X190" s="145" t="s">
        <v>412</v>
      </c>
      <c r="Y190" s="159"/>
      <c r="Z190" s="146">
        <v>702631.59</v>
      </c>
      <c r="AA190" s="146">
        <v>1</v>
      </c>
      <c r="AB190" s="146">
        <v>103.06</v>
      </c>
      <c r="AC190" s="151"/>
      <c r="AD190" s="146">
        <v>724.13199999999995</v>
      </c>
      <c r="AE190" s="151"/>
      <c r="AF190" s="151"/>
      <c r="AG190" s="151"/>
      <c r="AH190" s="148">
        <v>2.1000000000000001E-4</v>
      </c>
      <c r="AI190" s="148">
        <v>5.0099999999999997E-3</v>
      </c>
      <c r="AJ190" s="149">
        <v>6.8999999999999997E-4</v>
      </c>
      <c r="AK190" s="196"/>
    </row>
    <row r="191" spans="1:37" x14ac:dyDescent="0.2">
      <c r="A191" s="144" t="s">
        <v>1205</v>
      </c>
      <c r="B191" s="145" t="s">
        <v>1205</v>
      </c>
      <c r="C191" s="145" t="s">
        <v>1757</v>
      </c>
      <c r="D191" s="145" t="s">
        <v>1758</v>
      </c>
      <c r="E191" s="145" t="s">
        <v>309</v>
      </c>
      <c r="F191" s="145" t="s">
        <v>1759</v>
      </c>
      <c r="G191" s="145" t="s">
        <v>1760</v>
      </c>
      <c r="H191" s="145" t="s">
        <v>321</v>
      </c>
      <c r="I191" s="145" t="s">
        <v>951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454</v>
      </c>
      <c r="O191" s="145" t="s">
        <v>339</v>
      </c>
      <c r="P191" s="145" t="s">
        <v>1439</v>
      </c>
      <c r="Q191" s="145" t="s">
        <v>413</v>
      </c>
      <c r="R191" s="145" t="s">
        <v>407</v>
      </c>
      <c r="S191" s="145" t="s">
        <v>1210</v>
      </c>
      <c r="T191" s="146">
        <v>3.37</v>
      </c>
      <c r="U191" s="145" t="s">
        <v>1761</v>
      </c>
      <c r="V191" s="148">
        <v>6.7000000000000004E-2</v>
      </c>
      <c r="W191" s="148">
        <v>5.6860000000000001E-2</v>
      </c>
      <c r="X191" s="145" t="s">
        <v>412</v>
      </c>
      <c r="Y191" s="159"/>
      <c r="Z191" s="146">
        <v>693000</v>
      </c>
      <c r="AA191" s="146">
        <v>1</v>
      </c>
      <c r="AB191" s="146">
        <v>103.63</v>
      </c>
      <c r="AC191" s="151"/>
      <c r="AD191" s="146">
        <v>718.15599999999995</v>
      </c>
      <c r="AE191" s="151"/>
      <c r="AF191" s="151"/>
      <c r="AG191" s="151"/>
      <c r="AH191" s="148">
        <v>7.6000000000000004E-4</v>
      </c>
      <c r="AI191" s="148">
        <v>4.9699999999999996E-3</v>
      </c>
      <c r="AJ191" s="149">
        <v>6.8000000000000005E-4</v>
      </c>
      <c r="AK191" s="196"/>
    </row>
    <row r="192" spans="1:37" x14ac:dyDescent="0.2">
      <c r="A192" s="144" t="s">
        <v>1205</v>
      </c>
      <c r="B192" s="145" t="s">
        <v>1205</v>
      </c>
      <c r="C192" s="145" t="s">
        <v>1318</v>
      </c>
      <c r="D192" s="145" t="s">
        <v>1319</v>
      </c>
      <c r="E192" s="145" t="s">
        <v>313</v>
      </c>
      <c r="F192" s="145" t="s">
        <v>1762</v>
      </c>
      <c r="G192" s="145" t="s">
        <v>1763</v>
      </c>
      <c r="H192" s="145" t="s">
        <v>321</v>
      </c>
      <c r="I192" s="145" t="s">
        <v>754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440</v>
      </c>
      <c r="O192" s="145" t="s">
        <v>339</v>
      </c>
      <c r="P192" s="145" t="s">
        <v>1209</v>
      </c>
      <c r="Q192" s="145" t="s">
        <v>415</v>
      </c>
      <c r="R192" s="145" t="s">
        <v>407</v>
      </c>
      <c r="S192" s="145" t="s">
        <v>1210</v>
      </c>
      <c r="T192" s="146">
        <v>2.2799999999999998</v>
      </c>
      <c r="U192" s="145" t="s">
        <v>1764</v>
      </c>
      <c r="V192" s="148">
        <v>0.01</v>
      </c>
      <c r="W192" s="148">
        <v>2.2540000000000001E-2</v>
      </c>
      <c r="X192" s="145" t="s">
        <v>412</v>
      </c>
      <c r="Y192" s="159"/>
      <c r="Z192" s="146">
        <v>634221</v>
      </c>
      <c r="AA192" s="146">
        <v>1</v>
      </c>
      <c r="AB192" s="146">
        <v>111.46</v>
      </c>
      <c r="AC192" s="151"/>
      <c r="AD192" s="146">
        <v>706.90300000000002</v>
      </c>
      <c r="AE192" s="151"/>
      <c r="AF192" s="151"/>
      <c r="AG192" s="151"/>
      <c r="AH192" s="148">
        <v>5.2999999999999998E-4</v>
      </c>
      <c r="AI192" s="148">
        <v>4.8900000000000002E-3</v>
      </c>
      <c r="AJ192" s="149">
        <v>6.7000000000000002E-4</v>
      </c>
      <c r="AK192" s="196"/>
    </row>
    <row r="193" spans="1:37" x14ac:dyDescent="0.2">
      <c r="A193" s="144" t="s">
        <v>1205</v>
      </c>
      <c r="B193" s="145" t="s">
        <v>1205</v>
      </c>
      <c r="C193" s="145" t="s">
        <v>1435</v>
      </c>
      <c r="D193" s="145" t="s">
        <v>1436</v>
      </c>
      <c r="E193" s="145" t="s">
        <v>309</v>
      </c>
      <c r="F193" s="145" t="s">
        <v>1437</v>
      </c>
      <c r="G193" s="145" t="s">
        <v>1438</v>
      </c>
      <c r="H193" s="145" t="s">
        <v>321</v>
      </c>
      <c r="I193" s="145" t="s">
        <v>951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440</v>
      </c>
      <c r="O193" s="145" t="s">
        <v>339</v>
      </c>
      <c r="P193" s="145" t="s">
        <v>1439</v>
      </c>
      <c r="Q193" s="145" t="s">
        <v>413</v>
      </c>
      <c r="R193" s="145" t="s">
        <v>407</v>
      </c>
      <c r="S193" s="145" t="s">
        <v>1210</v>
      </c>
      <c r="T193" s="146">
        <v>3.03</v>
      </c>
      <c r="U193" s="145" t="s">
        <v>1440</v>
      </c>
      <c r="V193" s="148">
        <v>2.5000000000000001E-2</v>
      </c>
      <c r="W193" s="148">
        <v>5.5570000000000001E-2</v>
      </c>
      <c r="X193" s="145" t="s">
        <v>412</v>
      </c>
      <c r="Y193" s="159"/>
      <c r="Z193" s="146">
        <v>755160.12</v>
      </c>
      <c r="AA193" s="146">
        <v>1</v>
      </c>
      <c r="AB193" s="146">
        <v>91.59</v>
      </c>
      <c r="AC193" s="151"/>
      <c r="AD193" s="146">
        <v>691.65099999999995</v>
      </c>
      <c r="AE193" s="151"/>
      <c r="AF193" s="151"/>
      <c r="AG193" s="151"/>
      <c r="AH193" s="148">
        <v>1.06E-3</v>
      </c>
      <c r="AI193" s="148">
        <v>4.7800000000000004E-3</v>
      </c>
      <c r="AJ193" s="149">
        <v>6.6E-4</v>
      </c>
      <c r="AK193" s="196"/>
    </row>
    <row r="194" spans="1:37" x14ac:dyDescent="0.2">
      <c r="A194" s="144" t="s">
        <v>1205</v>
      </c>
      <c r="B194" s="145" t="s">
        <v>1205</v>
      </c>
      <c r="C194" s="145" t="s">
        <v>1543</v>
      </c>
      <c r="D194" s="145" t="s">
        <v>1544</v>
      </c>
      <c r="E194" s="145" t="s">
        <v>309</v>
      </c>
      <c r="F194" s="145" t="s">
        <v>1765</v>
      </c>
      <c r="G194" s="145" t="s">
        <v>1766</v>
      </c>
      <c r="H194" s="145" t="s">
        <v>321</v>
      </c>
      <c r="I194" s="145" t="s">
        <v>754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464</v>
      </c>
      <c r="O194" s="145" t="s">
        <v>339</v>
      </c>
      <c r="P194" s="145" t="s">
        <v>1594</v>
      </c>
      <c r="Q194" s="145" t="s">
        <v>415</v>
      </c>
      <c r="R194" s="145" t="s">
        <v>407</v>
      </c>
      <c r="S194" s="145" t="s">
        <v>1210</v>
      </c>
      <c r="T194" s="146">
        <v>2.66</v>
      </c>
      <c r="U194" s="145" t="s">
        <v>1767</v>
      </c>
      <c r="V194" s="148">
        <v>1.34E-2</v>
      </c>
      <c r="W194" s="148">
        <v>2.8080000000000001E-2</v>
      </c>
      <c r="X194" s="145" t="s">
        <v>412</v>
      </c>
      <c r="Y194" s="159"/>
      <c r="Z194" s="146">
        <v>603481.82999999996</v>
      </c>
      <c r="AA194" s="146">
        <v>1</v>
      </c>
      <c r="AB194" s="146">
        <v>113.01</v>
      </c>
      <c r="AC194" s="151"/>
      <c r="AD194" s="146">
        <v>681.995</v>
      </c>
      <c r="AE194" s="151"/>
      <c r="AF194" s="151"/>
      <c r="AG194" s="151"/>
      <c r="AH194" s="148">
        <v>2.5000000000000001E-4</v>
      </c>
      <c r="AI194" s="148">
        <v>4.7200000000000002E-3</v>
      </c>
      <c r="AJ194" s="149">
        <v>6.4999999999999997E-4</v>
      </c>
      <c r="AK194" s="196"/>
    </row>
    <row r="195" spans="1:37" x14ac:dyDescent="0.2">
      <c r="A195" s="144" t="s">
        <v>1205</v>
      </c>
      <c r="B195" s="145" t="s">
        <v>1205</v>
      </c>
      <c r="C195" s="145" t="s">
        <v>1576</v>
      </c>
      <c r="D195" s="145" t="s">
        <v>1577</v>
      </c>
      <c r="E195" s="145" t="s">
        <v>309</v>
      </c>
      <c r="F195" s="145" t="s">
        <v>1768</v>
      </c>
      <c r="G195" s="145" t="s">
        <v>1769</v>
      </c>
      <c r="H195" s="145" t="s">
        <v>321</v>
      </c>
      <c r="I195" s="145" t="s">
        <v>951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464</v>
      </c>
      <c r="O195" s="145" t="s">
        <v>339</v>
      </c>
      <c r="P195" s="145" t="s">
        <v>1358</v>
      </c>
      <c r="Q195" s="145" t="s">
        <v>415</v>
      </c>
      <c r="R195" s="145" t="s">
        <v>407</v>
      </c>
      <c r="S195" s="145" t="s">
        <v>1210</v>
      </c>
      <c r="T195" s="146">
        <v>3.95</v>
      </c>
      <c r="U195" s="145" t="s">
        <v>1770</v>
      </c>
      <c r="V195" s="148">
        <v>2.41E-2</v>
      </c>
      <c r="W195" s="148">
        <v>5.2909999999999999E-2</v>
      </c>
      <c r="X195" s="145" t="s">
        <v>412</v>
      </c>
      <c r="Y195" s="159"/>
      <c r="Z195" s="146">
        <v>755555.56</v>
      </c>
      <c r="AA195" s="146">
        <v>1</v>
      </c>
      <c r="AB195" s="146">
        <v>89.75</v>
      </c>
      <c r="AC195" s="151"/>
      <c r="AD195" s="146">
        <v>678.11099999999999</v>
      </c>
      <c r="AE195" s="151"/>
      <c r="AF195" s="151"/>
      <c r="AG195" s="151"/>
      <c r="AH195" s="148">
        <v>3.6999999999999999E-4</v>
      </c>
      <c r="AI195" s="148">
        <v>4.6899999999999997E-3</v>
      </c>
      <c r="AJ195" s="149">
        <v>6.4999999999999997E-4</v>
      </c>
      <c r="AK195" s="196"/>
    </row>
    <row r="196" spans="1:37" x14ac:dyDescent="0.2">
      <c r="A196" s="144" t="s">
        <v>1205</v>
      </c>
      <c r="B196" s="145" t="s">
        <v>1205</v>
      </c>
      <c r="C196" s="145" t="s">
        <v>1647</v>
      </c>
      <c r="D196" s="145" t="s">
        <v>1648</v>
      </c>
      <c r="E196" s="145" t="s">
        <v>309</v>
      </c>
      <c r="F196" s="145" t="s">
        <v>1771</v>
      </c>
      <c r="G196" s="145" t="s">
        <v>1772</v>
      </c>
      <c r="H196" s="145" t="s">
        <v>321</v>
      </c>
      <c r="I196" s="145" t="s">
        <v>951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464</v>
      </c>
      <c r="O196" s="145" t="s">
        <v>339</v>
      </c>
      <c r="P196" s="145" t="s">
        <v>1562</v>
      </c>
      <c r="Q196" s="145" t="s">
        <v>413</v>
      </c>
      <c r="R196" s="145" t="s">
        <v>407</v>
      </c>
      <c r="S196" s="145" t="s">
        <v>1210</v>
      </c>
      <c r="T196" s="146">
        <v>2.33</v>
      </c>
      <c r="U196" s="145" t="s">
        <v>1773</v>
      </c>
      <c r="V196" s="148">
        <v>5.2999999999999999E-2</v>
      </c>
      <c r="W196" s="148">
        <v>5.5710000000000003E-2</v>
      </c>
      <c r="X196" s="145" t="s">
        <v>412</v>
      </c>
      <c r="Y196" s="159"/>
      <c r="Z196" s="146">
        <v>642857.15</v>
      </c>
      <c r="AA196" s="146">
        <v>1</v>
      </c>
      <c r="AB196" s="146">
        <v>99.54</v>
      </c>
      <c r="AC196" s="146">
        <v>17.036000000000001</v>
      </c>
      <c r="AD196" s="146">
        <v>656.93600000000004</v>
      </c>
      <c r="AE196" s="151"/>
      <c r="AF196" s="151"/>
      <c r="AG196" s="151"/>
      <c r="AH196" s="148">
        <v>1.6999999999999999E-3</v>
      </c>
      <c r="AI196" s="148">
        <v>4.6600000000000001E-3</v>
      </c>
      <c r="AJ196" s="149">
        <v>6.4000000000000005E-4</v>
      </c>
      <c r="AK196" s="196"/>
    </row>
    <row r="197" spans="1:37" x14ac:dyDescent="0.2">
      <c r="A197" s="144" t="s">
        <v>1205</v>
      </c>
      <c r="B197" s="145" t="s">
        <v>1205</v>
      </c>
      <c r="C197" s="145" t="s">
        <v>1774</v>
      </c>
      <c r="D197" s="145" t="s">
        <v>1775</v>
      </c>
      <c r="E197" s="145" t="s">
        <v>309</v>
      </c>
      <c r="F197" s="145" t="s">
        <v>1776</v>
      </c>
      <c r="G197" s="145" t="s">
        <v>1777</v>
      </c>
      <c r="H197" s="145" t="s">
        <v>321</v>
      </c>
      <c r="I197" s="145" t="s">
        <v>754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464</v>
      </c>
      <c r="O197" s="145" t="s">
        <v>339</v>
      </c>
      <c r="P197" s="145" t="s">
        <v>1392</v>
      </c>
      <c r="Q197" s="145" t="s">
        <v>413</v>
      </c>
      <c r="R197" s="145" t="s">
        <v>407</v>
      </c>
      <c r="S197" s="145" t="s">
        <v>1210</v>
      </c>
      <c r="T197" s="146">
        <v>6.24</v>
      </c>
      <c r="U197" s="145" t="s">
        <v>1778</v>
      </c>
      <c r="V197" s="148">
        <v>2.5000000000000001E-2</v>
      </c>
      <c r="W197" s="148">
        <v>3.1879999999999999E-2</v>
      </c>
      <c r="X197" s="145" t="s">
        <v>412</v>
      </c>
      <c r="Y197" s="159"/>
      <c r="Z197" s="146">
        <v>577000</v>
      </c>
      <c r="AA197" s="146">
        <v>1</v>
      </c>
      <c r="AB197" s="146">
        <v>111</v>
      </c>
      <c r="AC197" s="151"/>
      <c r="AD197" s="146">
        <v>640.47</v>
      </c>
      <c r="AE197" s="151"/>
      <c r="AF197" s="151"/>
      <c r="AG197" s="151"/>
      <c r="AH197" s="148">
        <v>4.2999999999999999E-4</v>
      </c>
      <c r="AI197" s="148">
        <v>4.4299999999999999E-3</v>
      </c>
      <c r="AJ197" s="149">
        <v>6.0999999999999997E-4</v>
      </c>
      <c r="AK197" s="196"/>
    </row>
    <row r="198" spans="1:37" x14ac:dyDescent="0.2">
      <c r="A198" s="144" t="s">
        <v>1205</v>
      </c>
      <c r="B198" s="145" t="s">
        <v>1205</v>
      </c>
      <c r="C198" s="145" t="s">
        <v>1469</v>
      </c>
      <c r="D198" s="145" t="s">
        <v>1470</v>
      </c>
      <c r="E198" s="145" t="s">
        <v>309</v>
      </c>
      <c r="F198" s="145" t="s">
        <v>1779</v>
      </c>
      <c r="G198" s="145" t="s">
        <v>1780</v>
      </c>
      <c r="H198" s="145" t="s">
        <v>321</v>
      </c>
      <c r="I198" s="145" t="s">
        <v>951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451</v>
      </c>
      <c r="O198" s="145" t="s">
        <v>339</v>
      </c>
      <c r="P198" s="145" t="s">
        <v>1473</v>
      </c>
      <c r="Q198" s="145" t="s">
        <v>413</v>
      </c>
      <c r="R198" s="145" t="s">
        <v>407</v>
      </c>
      <c r="S198" s="145" t="s">
        <v>1210</v>
      </c>
      <c r="T198" s="146">
        <v>3</v>
      </c>
      <c r="U198" s="145" t="s">
        <v>1781</v>
      </c>
      <c r="V198" s="148">
        <v>0.04</v>
      </c>
      <c r="W198" s="148">
        <v>5.2409999999999998E-2</v>
      </c>
      <c r="X198" s="145" t="s">
        <v>412</v>
      </c>
      <c r="Y198" s="159"/>
      <c r="Z198" s="146">
        <v>637500.25</v>
      </c>
      <c r="AA198" s="146">
        <v>1</v>
      </c>
      <c r="AB198" s="146">
        <v>97.45</v>
      </c>
      <c r="AC198" s="151"/>
      <c r="AD198" s="146">
        <v>621.24400000000003</v>
      </c>
      <c r="AE198" s="151"/>
      <c r="AF198" s="151"/>
      <c r="AG198" s="151"/>
      <c r="AH198" s="148">
        <v>1.1000000000000001E-3</v>
      </c>
      <c r="AI198" s="148">
        <v>4.3E-3</v>
      </c>
      <c r="AJ198" s="149">
        <v>5.9000000000000003E-4</v>
      </c>
      <c r="AK198" s="196"/>
    </row>
    <row r="199" spans="1:37" x14ac:dyDescent="0.2">
      <c r="A199" s="144" t="s">
        <v>1205</v>
      </c>
      <c r="B199" s="145" t="s">
        <v>1205</v>
      </c>
      <c r="C199" s="145" t="s">
        <v>1588</v>
      </c>
      <c r="D199" s="145" t="s">
        <v>1589</v>
      </c>
      <c r="E199" s="145" t="s">
        <v>309</v>
      </c>
      <c r="F199" s="145" t="s">
        <v>1590</v>
      </c>
      <c r="G199" s="145" t="s">
        <v>1591</v>
      </c>
      <c r="H199" s="145" t="s">
        <v>321</v>
      </c>
      <c r="I199" s="145" t="s">
        <v>951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451</v>
      </c>
      <c r="O199" s="145" t="s">
        <v>339</v>
      </c>
      <c r="P199" s="145" t="s">
        <v>1473</v>
      </c>
      <c r="Q199" s="145" t="s">
        <v>413</v>
      </c>
      <c r="R199" s="145" t="s">
        <v>407</v>
      </c>
      <c r="S199" s="145" t="s">
        <v>1210</v>
      </c>
      <c r="T199" s="146">
        <v>1.86</v>
      </c>
      <c r="U199" s="145" t="s">
        <v>1401</v>
      </c>
      <c r="V199" s="148">
        <v>2.1999999999999999E-2</v>
      </c>
      <c r="W199" s="148">
        <v>5.1889999999999999E-2</v>
      </c>
      <c r="X199" s="145" t="s">
        <v>412</v>
      </c>
      <c r="Y199" s="159"/>
      <c r="Z199" s="146">
        <v>648749.26</v>
      </c>
      <c r="AA199" s="146">
        <v>1</v>
      </c>
      <c r="AB199" s="146">
        <v>95.28</v>
      </c>
      <c r="AC199" s="151"/>
      <c r="AD199" s="146">
        <v>618.12800000000004</v>
      </c>
      <c r="AE199" s="151"/>
      <c r="AF199" s="151"/>
      <c r="AG199" s="151"/>
      <c r="AH199" s="148">
        <v>5.9999999999999995E-4</v>
      </c>
      <c r="AI199" s="148">
        <v>4.28E-3</v>
      </c>
      <c r="AJ199" s="149">
        <v>5.9000000000000003E-4</v>
      </c>
      <c r="AK199" s="196"/>
    </row>
    <row r="200" spans="1:37" x14ac:dyDescent="0.2">
      <c r="A200" s="144" t="s">
        <v>1205</v>
      </c>
      <c r="B200" s="145" t="s">
        <v>1205</v>
      </c>
      <c r="C200" s="145" t="s">
        <v>1394</v>
      </c>
      <c r="D200" s="145" t="s">
        <v>1395</v>
      </c>
      <c r="E200" s="145" t="s">
        <v>309</v>
      </c>
      <c r="F200" s="145" t="s">
        <v>1492</v>
      </c>
      <c r="G200" s="145" t="s">
        <v>1493</v>
      </c>
      <c r="H200" s="145" t="s">
        <v>321</v>
      </c>
      <c r="I200" s="145" t="s">
        <v>951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445</v>
      </c>
      <c r="O200" s="145" t="s">
        <v>339</v>
      </c>
      <c r="P200" s="145" t="s">
        <v>1358</v>
      </c>
      <c r="Q200" s="145" t="s">
        <v>415</v>
      </c>
      <c r="R200" s="145" t="s">
        <v>407</v>
      </c>
      <c r="S200" s="145" t="s">
        <v>1210</v>
      </c>
      <c r="T200" s="146">
        <v>2.59</v>
      </c>
      <c r="U200" s="145" t="s">
        <v>1494</v>
      </c>
      <c r="V200" s="148">
        <v>4.36E-2</v>
      </c>
      <c r="W200" s="148">
        <v>4.6519999999999999E-2</v>
      </c>
      <c r="X200" s="145" t="s">
        <v>412</v>
      </c>
      <c r="Y200" s="159"/>
      <c r="Z200" s="146">
        <v>591000</v>
      </c>
      <c r="AA200" s="146">
        <v>1</v>
      </c>
      <c r="AB200" s="146">
        <v>100.47</v>
      </c>
      <c r="AC200" s="151"/>
      <c r="AD200" s="146">
        <v>593.77800000000002</v>
      </c>
      <c r="AE200" s="151"/>
      <c r="AF200" s="151"/>
      <c r="AG200" s="151"/>
      <c r="AH200" s="148">
        <v>1.97E-3</v>
      </c>
      <c r="AI200" s="148">
        <v>4.1099999999999999E-3</v>
      </c>
      <c r="AJ200" s="149">
        <v>5.5999999999999995E-4</v>
      </c>
      <c r="AK200" s="196"/>
    </row>
    <row r="201" spans="1:37" x14ac:dyDescent="0.2">
      <c r="A201" s="144" t="s">
        <v>1205</v>
      </c>
      <c r="B201" s="145" t="s">
        <v>1205</v>
      </c>
      <c r="C201" s="145" t="s">
        <v>1543</v>
      </c>
      <c r="D201" s="145" t="s">
        <v>1544</v>
      </c>
      <c r="E201" s="145" t="s">
        <v>309</v>
      </c>
      <c r="F201" s="145" t="s">
        <v>1592</v>
      </c>
      <c r="G201" s="145" t="s">
        <v>1593</v>
      </c>
      <c r="H201" s="145" t="s">
        <v>321</v>
      </c>
      <c r="I201" s="145" t="s">
        <v>754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464</v>
      </c>
      <c r="O201" s="145" t="s">
        <v>339</v>
      </c>
      <c r="P201" s="145" t="s">
        <v>1594</v>
      </c>
      <c r="Q201" s="145" t="s">
        <v>415</v>
      </c>
      <c r="R201" s="145" t="s">
        <v>407</v>
      </c>
      <c r="S201" s="145" t="s">
        <v>1210</v>
      </c>
      <c r="T201" s="146">
        <v>2.0699999999999998</v>
      </c>
      <c r="U201" s="145" t="s">
        <v>1401</v>
      </c>
      <c r="V201" s="148">
        <v>1.77E-2</v>
      </c>
      <c r="W201" s="148">
        <v>2.751E-2</v>
      </c>
      <c r="X201" s="145" t="s">
        <v>412</v>
      </c>
      <c r="Y201" s="159"/>
      <c r="Z201" s="146">
        <v>521600.01</v>
      </c>
      <c r="AA201" s="146">
        <v>1</v>
      </c>
      <c r="AB201" s="146">
        <v>113.81</v>
      </c>
      <c r="AC201" s="151"/>
      <c r="AD201" s="146">
        <v>593.63300000000004</v>
      </c>
      <c r="AE201" s="151"/>
      <c r="AF201" s="151"/>
      <c r="AG201" s="151"/>
      <c r="AH201" s="148">
        <v>2.0000000000000001E-4</v>
      </c>
      <c r="AI201" s="148">
        <v>4.1099999999999999E-3</v>
      </c>
      <c r="AJ201" s="149">
        <v>5.5999999999999995E-4</v>
      </c>
      <c r="AK201" s="196"/>
    </row>
    <row r="202" spans="1:37" x14ac:dyDescent="0.2">
      <c r="A202" s="144" t="s">
        <v>1205</v>
      </c>
      <c r="B202" s="145" t="s">
        <v>1205</v>
      </c>
      <c r="C202" s="145" t="s">
        <v>1782</v>
      </c>
      <c r="D202" s="145" t="s">
        <v>1783</v>
      </c>
      <c r="E202" s="145" t="s">
        <v>309</v>
      </c>
      <c r="F202" s="145" t="s">
        <v>1784</v>
      </c>
      <c r="G202" s="145" t="s">
        <v>1785</v>
      </c>
      <c r="H202" s="145" t="s">
        <v>321</v>
      </c>
      <c r="I202" s="145" t="s">
        <v>951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454</v>
      </c>
      <c r="O202" s="145" t="s">
        <v>339</v>
      </c>
      <c r="P202" s="145" t="s">
        <v>1392</v>
      </c>
      <c r="Q202" s="145" t="s">
        <v>413</v>
      </c>
      <c r="R202" s="145" t="s">
        <v>407</v>
      </c>
      <c r="S202" s="145" t="s">
        <v>1210</v>
      </c>
      <c r="T202" s="146">
        <v>2.97</v>
      </c>
      <c r="U202" s="145" t="s">
        <v>1786</v>
      </c>
      <c r="V202" s="148">
        <v>2.24E-2</v>
      </c>
      <c r="W202" s="148">
        <v>4.9869999999999998E-2</v>
      </c>
      <c r="X202" s="145" t="s">
        <v>412</v>
      </c>
      <c r="Y202" s="159"/>
      <c r="Z202" s="146">
        <v>631854.59</v>
      </c>
      <c r="AA202" s="146">
        <v>1</v>
      </c>
      <c r="AB202" s="146">
        <v>93.35</v>
      </c>
      <c r="AC202" s="151"/>
      <c r="AD202" s="146">
        <v>589.83600000000001</v>
      </c>
      <c r="AE202" s="151"/>
      <c r="AF202" s="151"/>
      <c r="AG202" s="151"/>
      <c r="AH202" s="148">
        <v>1.1299999999999999E-3</v>
      </c>
      <c r="AI202" s="148">
        <v>4.0800000000000003E-3</v>
      </c>
      <c r="AJ202" s="149">
        <v>5.5999999999999995E-4</v>
      </c>
      <c r="AK202" s="196"/>
    </row>
    <row r="203" spans="1:37" x14ac:dyDescent="0.2">
      <c r="A203" s="144" t="s">
        <v>1205</v>
      </c>
      <c r="B203" s="145" t="s">
        <v>1205</v>
      </c>
      <c r="C203" s="145" t="s">
        <v>1500</v>
      </c>
      <c r="D203" s="145" t="s">
        <v>1501</v>
      </c>
      <c r="E203" s="145" t="s">
        <v>309</v>
      </c>
      <c r="F203" s="145" t="s">
        <v>1502</v>
      </c>
      <c r="G203" s="145" t="s">
        <v>1503</v>
      </c>
      <c r="H203" s="145" t="s">
        <v>321</v>
      </c>
      <c r="I203" s="145" t="s">
        <v>754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445</v>
      </c>
      <c r="O203" s="145" t="s">
        <v>339</v>
      </c>
      <c r="P203" s="145" t="s">
        <v>1392</v>
      </c>
      <c r="Q203" s="145" t="s">
        <v>413</v>
      </c>
      <c r="R203" s="145" t="s">
        <v>407</v>
      </c>
      <c r="S203" s="145" t="s">
        <v>1210</v>
      </c>
      <c r="T203" s="146">
        <v>4.05</v>
      </c>
      <c r="U203" s="145" t="s">
        <v>1504</v>
      </c>
      <c r="V203" s="148">
        <v>4.4000000000000003E-3</v>
      </c>
      <c r="W203" s="148">
        <v>2.7269999999999999E-2</v>
      </c>
      <c r="X203" s="145" t="s">
        <v>412</v>
      </c>
      <c r="Y203" s="159"/>
      <c r="Z203" s="146">
        <v>555985.76</v>
      </c>
      <c r="AA203" s="146">
        <v>1</v>
      </c>
      <c r="AB203" s="146">
        <v>105.45</v>
      </c>
      <c r="AC203" s="151"/>
      <c r="AD203" s="146">
        <v>586.28700000000003</v>
      </c>
      <c r="AE203" s="151"/>
      <c r="AF203" s="151"/>
      <c r="AG203" s="151"/>
      <c r="AH203" s="148">
        <v>5.4000000000000001E-4</v>
      </c>
      <c r="AI203" s="148">
        <v>4.0600000000000002E-3</v>
      </c>
      <c r="AJ203" s="149">
        <v>5.5999999999999995E-4</v>
      </c>
      <c r="AK203" s="196"/>
    </row>
    <row r="204" spans="1:37" x14ac:dyDescent="0.2">
      <c r="A204" s="144" t="s">
        <v>1205</v>
      </c>
      <c r="B204" s="145" t="s">
        <v>1205</v>
      </c>
      <c r="C204" s="145" t="s">
        <v>1429</v>
      </c>
      <c r="D204" s="145" t="s">
        <v>1430</v>
      </c>
      <c r="E204" s="145" t="s">
        <v>309</v>
      </c>
      <c r="F204" s="145" t="s">
        <v>1431</v>
      </c>
      <c r="G204" s="145" t="s">
        <v>1432</v>
      </c>
      <c r="H204" s="145" t="s">
        <v>321</v>
      </c>
      <c r="I204" s="145" t="s">
        <v>754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465</v>
      </c>
      <c r="O204" s="145" t="s">
        <v>339</v>
      </c>
      <c r="P204" s="145" t="s">
        <v>1433</v>
      </c>
      <c r="Q204" s="145" t="s">
        <v>415</v>
      </c>
      <c r="R204" s="145" t="s">
        <v>407</v>
      </c>
      <c r="S204" s="145" t="s">
        <v>1210</v>
      </c>
      <c r="T204" s="146">
        <v>1.29</v>
      </c>
      <c r="U204" s="145" t="s">
        <v>1434</v>
      </c>
      <c r="V204" s="148">
        <v>2.5700000000000001E-2</v>
      </c>
      <c r="W204" s="148">
        <v>3.1440000000000003E-2</v>
      </c>
      <c r="X204" s="145" t="s">
        <v>412</v>
      </c>
      <c r="Y204" s="159"/>
      <c r="Z204" s="146">
        <v>499203.82</v>
      </c>
      <c r="AA204" s="146">
        <v>1</v>
      </c>
      <c r="AB204" s="146">
        <v>117.15</v>
      </c>
      <c r="AC204" s="151"/>
      <c r="AD204" s="146">
        <v>584.81700000000001</v>
      </c>
      <c r="AE204" s="151"/>
      <c r="AF204" s="151"/>
      <c r="AG204" s="151"/>
      <c r="AH204" s="148">
        <v>4.6999999999999999E-4</v>
      </c>
      <c r="AI204" s="148">
        <v>4.0400000000000002E-3</v>
      </c>
      <c r="AJ204" s="149">
        <v>5.5999999999999995E-4</v>
      </c>
      <c r="AK204" s="196"/>
    </row>
    <row r="205" spans="1:37" x14ac:dyDescent="0.2">
      <c r="A205" s="144" t="s">
        <v>1205</v>
      </c>
      <c r="B205" s="145" t="s">
        <v>1205</v>
      </c>
      <c r="C205" s="145" t="s">
        <v>1647</v>
      </c>
      <c r="D205" s="145" t="s">
        <v>1648</v>
      </c>
      <c r="E205" s="145" t="s">
        <v>309</v>
      </c>
      <c r="F205" s="145" t="s">
        <v>1787</v>
      </c>
      <c r="G205" s="145" t="s">
        <v>1788</v>
      </c>
      <c r="H205" s="145" t="s">
        <v>321</v>
      </c>
      <c r="I205" s="145" t="s">
        <v>754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464</v>
      </c>
      <c r="O205" s="145" t="s">
        <v>339</v>
      </c>
      <c r="P205" s="145" t="s">
        <v>1562</v>
      </c>
      <c r="Q205" s="145" t="s">
        <v>413</v>
      </c>
      <c r="R205" s="145" t="s">
        <v>407</v>
      </c>
      <c r="S205" s="145" t="s">
        <v>1210</v>
      </c>
      <c r="T205" s="146">
        <v>1.46</v>
      </c>
      <c r="U205" s="145" t="s">
        <v>1789</v>
      </c>
      <c r="V205" s="148">
        <v>3.4599999999999999E-2</v>
      </c>
      <c r="W205" s="148">
        <v>3.0300000000000001E-2</v>
      </c>
      <c r="X205" s="145" t="s">
        <v>412</v>
      </c>
      <c r="Y205" s="159"/>
      <c r="Z205" s="146">
        <v>490909.14</v>
      </c>
      <c r="AA205" s="146">
        <v>1</v>
      </c>
      <c r="AB205" s="146">
        <v>118.35</v>
      </c>
      <c r="AC205" s="151"/>
      <c r="AD205" s="146">
        <v>580.99099999999999</v>
      </c>
      <c r="AE205" s="151"/>
      <c r="AF205" s="151"/>
      <c r="AG205" s="151"/>
      <c r="AH205" s="148">
        <v>1.99E-3</v>
      </c>
      <c r="AI205" s="148">
        <v>4.0200000000000001E-3</v>
      </c>
      <c r="AJ205" s="149">
        <v>5.5000000000000003E-4</v>
      </c>
      <c r="AK205" s="196"/>
    </row>
    <row r="206" spans="1:37" x14ac:dyDescent="0.2">
      <c r="A206" s="144" t="s">
        <v>1205</v>
      </c>
      <c r="B206" s="145" t="s">
        <v>1205</v>
      </c>
      <c r="C206" s="145" t="s">
        <v>1380</v>
      </c>
      <c r="D206" s="145" t="s">
        <v>1381</v>
      </c>
      <c r="E206" s="145" t="s">
        <v>309</v>
      </c>
      <c r="F206" s="145" t="s">
        <v>1399</v>
      </c>
      <c r="G206" s="145" t="s">
        <v>1400</v>
      </c>
      <c r="H206" s="145" t="s">
        <v>321</v>
      </c>
      <c r="I206" s="145" t="s">
        <v>754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465</v>
      </c>
      <c r="O206" s="145" t="s">
        <v>339</v>
      </c>
      <c r="P206" s="145" t="s">
        <v>1375</v>
      </c>
      <c r="Q206" s="145" t="s">
        <v>415</v>
      </c>
      <c r="R206" s="145" t="s">
        <v>407</v>
      </c>
      <c r="S206" s="145" t="s">
        <v>1210</v>
      </c>
      <c r="T206" s="146">
        <v>1.76</v>
      </c>
      <c r="U206" s="145" t="s">
        <v>1401</v>
      </c>
      <c r="V206" s="148">
        <v>3.2800000000000003E-2</v>
      </c>
      <c r="W206" s="148">
        <v>4.9459999999999997E-2</v>
      </c>
      <c r="X206" s="145" t="s">
        <v>412</v>
      </c>
      <c r="Y206" s="159"/>
      <c r="Z206" s="146">
        <v>505928.04</v>
      </c>
      <c r="AA206" s="146">
        <v>1</v>
      </c>
      <c r="AB206" s="146">
        <v>114.78</v>
      </c>
      <c r="AC206" s="151"/>
      <c r="AD206" s="146">
        <v>580.70399999999995</v>
      </c>
      <c r="AE206" s="151"/>
      <c r="AF206" s="151"/>
      <c r="AG206" s="151"/>
      <c r="AH206" s="148">
        <v>2.9E-4</v>
      </c>
      <c r="AI206" s="148">
        <v>4.0200000000000001E-3</v>
      </c>
      <c r="AJ206" s="149">
        <v>5.5000000000000003E-4</v>
      </c>
      <c r="AK206" s="196"/>
    </row>
    <row r="207" spans="1:37" x14ac:dyDescent="0.2">
      <c r="A207" s="144" t="s">
        <v>1205</v>
      </c>
      <c r="B207" s="145" t="s">
        <v>1205</v>
      </c>
      <c r="C207" s="145" t="s">
        <v>1790</v>
      </c>
      <c r="D207" s="145" t="s">
        <v>1791</v>
      </c>
      <c r="E207" s="145" t="s">
        <v>309</v>
      </c>
      <c r="F207" s="145" t="s">
        <v>1792</v>
      </c>
      <c r="G207" s="145" t="s">
        <v>1793</v>
      </c>
      <c r="H207" s="145" t="s">
        <v>321</v>
      </c>
      <c r="I207" s="145" t="s">
        <v>951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443</v>
      </c>
      <c r="O207" s="145" t="s">
        <v>339</v>
      </c>
      <c r="P207" s="145" t="s">
        <v>1375</v>
      </c>
      <c r="Q207" s="145" t="s">
        <v>415</v>
      </c>
      <c r="R207" s="145" t="s">
        <v>407</v>
      </c>
      <c r="S207" s="145" t="s">
        <v>1210</v>
      </c>
      <c r="T207" s="146">
        <v>0.98</v>
      </c>
      <c r="U207" s="145" t="s">
        <v>1509</v>
      </c>
      <c r="V207" s="148">
        <v>6.9000000000000006E-2</v>
      </c>
      <c r="W207" s="148">
        <v>5.738E-2</v>
      </c>
      <c r="X207" s="145" t="s">
        <v>412</v>
      </c>
      <c r="Y207" s="159"/>
      <c r="Z207" s="146">
        <v>569500</v>
      </c>
      <c r="AA207" s="146">
        <v>1</v>
      </c>
      <c r="AB207" s="146">
        <v>101.2</v>
      </c>
      <c r="AC207" s="151"/>
      <c r="AD207" s="146">
        <v>576.33399999999995</v>
      </c>
      <c r="AE207" s="151"/>
      <c r="AF207" s="151"/>
      <c r="AG207" s="151"/>
      <c r="AH207" s="148">
        <v>2.3600000000000001E-3</v>
      </c>
      <c r="AI207" s="148">
        <v>3.9899999999999996E-3</v>
      </c>
      <c r="AJ207" s="149">
        <v>5.5000000000000003E-4</v>
      </c>
      <c r="AK207" s="196"/>
    </row>
    <row r="208" spans="1:37" x14ac:dyDescent="0.2">
      <c r="A208" s="144" t="s">
        <v>1205</v>
      </c>
      <c r="B208" s="145" t="s">
        <v>1205</v>
      </c>
      <c r="C208" s="145" t="s">
        <v>1380</v>
      </c>
      <c r="D208" s="145" t="s">
        <v>1381</v>
      </c>
      <c r="E208" s="145" t="s">
        <v>309</v>
      </c>
      <c r="F208" s="145" t="s">
        <v>1382</v>
      </c>
      <c r="G208" s="145" t="s">
        <v>1383</v>
      </c>
      <c r="H208" s="145" t="s">
        <v>321</v>
      </c>
      <c r="I208" s="145" t="s">
        <v>754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465</v>
      </c>
      <c r="O208" s="145" t="s">
        <v>339</v>
      </c>
      <c r="P208" s="145" t="s">
        <v>1375</v>
      </c>
      <c r="Q208" s="145" t="s">
        <v>415</v>
      </c>
      <c r="R208" s="145" t="s">
        <v>407</v>
      </c>
      <c r="S208" s="145" t="s">
        <v>1210</v>
      </c>
      <c r="T208" s="146">
        <v>1.39</v>
      </c>
      <c r="U208" s="145" t="s">
        <v>1384</v>
      </c>
      <c r="V208" s="148">
        <v>0.04</v>
      </c>
      <c r="W208" s="148">
        <v>4.675E-2</v>
      </c>
      <c r="X208" s="145" t="s">
        <v>412</v>
      </c>
      <c r="Y208" s="159"/>
      <c r="Z208" s="146">
        <v>461901.04</v>
      </c>
      <c r="AA208" s="146">
        <v>1</v>
      </c>
      <c r="AB208" s="146">
        <v>115.5</v>
      </c>
      <c r="AC208" s="151"/>
      <c r="AD208" s="146">
        <v>533.49599999999998</v>
      </c>
      <c r="AE208" s="151"/>
      <c r="AF208" s="151"/>
      <c r="AG208" s="151"/>
      <c r="AH208" s="148">
        <v>2.5000000000000001E-4</v>
      </c>
      <c r="AI208" s="148">
        <v>3.6900000000000001E-3</v>
      </c>
      <c r="AJ208" s="149">
        <v>5.1000000000000004E-4</v>
      </c>
      <c r="AK208" s="196"/>
    </row>
    <row r="209" spans="1:37" x14ac:dyDescent="0.2">
      <c r="A209" s="144" t="s">
        <v>1205</v>
      </c>
      <c r="B209" s="145" t="s">
        <v>1205</v>
      </c>
      <c r="C209" s="145" t="s">
        <v>1388</v>
      </c>
      <c r="D209" s="145" t="s">
        <v>1389</v>
      </c>
      <c r="E209" s="145" t="s">
        <v>309</v>
      </c>
      <c r="F209" s="145" t="s">
        <v>1794</v>
      </c>
      <c r="G209" s="145" t="s">
        <v>1795</v>
      </c>
      <c r="H209" s="145" t="s">
        <v>321</v>
      </c>
      <c r="I209" s="145" t="s">
        <v>754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464</v>
      </c>
      <c r="O209" s="145" t="s">
        <v>339</v>
      </c>
      <c r="P209" s="145" t="s">
        <v>1392</v>
      </c>
      <c r="Q209" s="145" t="s">
        <v>413</v>
      </c>
      <c r="R209" s="145" t="s">
        <v>407</v>
      </c>
      <c r="S209" s="145" t="s">
        <v>1210</v>
      </c>
      <c r="T209" s="146">
        <v>3.49</v>
      </c>
      <c r="U209" s="145" t="s">
        <v>1796</v>
      </c>
      <c r="V209" s="148">
        <v>5.0000000000000001E-3</v>
      </c>
      <c r="W209" s="148">
        <v>3.0589999999999999E-2</v>
      </c>
      <c r="X209" s="145" t="s">
        <v>412</v>
      </c>
      <c r="Y209" s="159"/>
      <c r="Z209" s="146">
        <v>487600.03</v>
      </c>
      <c r="AA209" s="146">
        <v>1</v>
      </c>
      <c r="AB209" s="146">
        <v>105.54</v>
      </c>
      <c r="AC209" s="151"/>
      <c r="AD209" s="146">
        <v>514.61300000000006</v>
      </c>
      <c r="AE209" s="151"/>
      <c r="AF209" s="151"/>
      <c r="AG209" s="151"/>
      <c r="AH209" s="148">
        <v>2.9999999999999997E-4</v>
      </c>
      <c r="AI209" s="148">
        <v>3.5599999999999998E-3</v>
      </c>
      <c r="AJ209" s="149">
        <v>4.8999999999999998E-4</v>
      </c>
      <c r="AK209" s="196"/>
    </row>
    <row r="210" spans="1:37" x14ac:dyDescent="0.2">
      <c r="A210" s="144" t="s">
        <v>1205</v>
      </c>
      <c r="B210" s="145" t="s">
        <v>1205</v>
      </c>
      <c r="C210" s="145" t="s">
        <v>1742</v>
      </c>
      <c r="D210" s="145" t="s">
        <v>1743</v>
      </c>
      <c r="E210" s="145" t="s">
        <v>309</v>
      </c>
      <c r="F210" s="145" t="s">
        <v>1797</v>
      </c>
      <c r="G210" s="145" t="s">
        <v>1798</v>
      </c>
      <c r="H210" s="145" t="s">
        <v>321</v>
      </c>
      <c r="I210" s="145" t="s">
        <v>951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441</v>
      </c>
      <c r="O210" s="145" t="s">
        <v>339</v>
      </c>
      <c r="P210" s="145" t="s">
        <v>1375</v>
      </c>
      <c r="Q210" s="145" t="s">
        <v>415</v>
      </c>
      <c r="R210" s="145" t="s">
        <v>407</v>
      </c>
      <c r="S210" s="145" t="s">
        <v>1210</v>
      </c>
      <c r="T210" s="146">
        <v>3.24</v>
      </c>
      <c r="U210" s="145" t="s">
        <v>1450</v>
      </c>
      <c r="V210" s="148">
        <v>6.9500000000000006E-2</v>
      </c>
      <c r="W210" s="148">
        <v>5.7430000000000002E-2</v>
      </c>
      <c r="X210" s="145" t="s">
        <v>412</v>
      </c>
      <c r="Y210" s="159"/>
      <c r="Z210" s="146">
        <v>480000</v>
      </c>
      <c r="AA210" s="146">
        <v>1</v>
      </c>
      <c r="AB210" s="146">
        <v>105.91</v>
      </c>
      <c r="AC210" s="151"/>
      <c r="AD210" s="146">
        <v>508.36799999999999</v>
      </c>
      <c r="AE210" s="151"/>
      <c r="AF210" s="151"/>
      <c r="AG210" s="151"/>
      <c r="AH210" s="148">
        <v>5.6999999999999998E-4</v>
      </c>
      <c r="AI210" s="148">
        <v>3.5200000000000001E-3</v>
      </c>
      <c r="AJ210" s="149">
        <v>4.8000000000000001E-4</v>
      </c>
      <c r="AK210" s="196"/>
    </row>
    <row r="211" spans="1:37" x14ac:dyDescent="0.2">
      <c r="A211" s="144" t="s">
        <v>1205</v>
      </c>
      <c r="B211" s="145" t="s">
        <v>1205</v>
      </c>
      <c r="C211" s="145" t="s">
        <v>1799</v>
      </c>
      <c r="D211" s="145" t="s">
        <v>1800</v>
      </c>
      <c r="E211" s="145" t="s">
        <v>309</v>
      </c>
      <c r="F211" s="145" t="s">
        <v>1801</v>
      </c>
      <c r="G211" s="145" t="s">
        <v>1802</v>
      </c>
      <c r="H211" s="145" t="s">
        <v>321</v>
      </c>
      <c r="I211" s="145" t="s">
        <v>754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451</v>
      </c>
      <c r="O211" s="145" t="s">
        <v>339</v>
      </c>
      <c r="P211" s="151"/>
      <c r="Q211" s="145" t="s">
        <v>410</v>
      </c>
      <c r="R211" s="151"/>
      <c r="S211" s="145" t="s">
        <v>1210</v>
      </c>
      <c r="T211" s="146">
        <v>2.33</v>
      </c>
      <c r="U211" s="145" t="s">
        <v>1401</v>
      </c>
      <c r="V211" s="148">
        <v>3.6999999999999998E-2</v>
      </c>
      <c r="W211" s="148">
        <v>4.1149999999999999E-2</v>
      </c>
      <c r="X211" s="145" t="s">
        <v>412</v>
      </c>
      <c r="Y211" s="159"/>
      <c r="Z211" s="146">
        <v>428723.49</v>
      </c>
      <c r="AA211" s="146">
        <v>1</v>
      </c>
      <c r="AB211" s="146">
        <v>115.64</v>
      </c>
      <c r="AC211" s="151"/>
      <c r="AD211" s="146">
        <v>495.77600000000001</v>
      </c>
      <c r="AE211" s="151"/>
      <c r="AF211" s="151"/>
      <c r="AG211" s="151"/>
      <c r="AH211" s="148">
        <v>8.4999999999999995E-4</v>
      </c>
      <c r="AI211" s="148">
        <v>3.4299999999999999E-3</v>
      </c>
      <c r="AJ211" s="149">
        <v>4.6999999999999999E-4</v>
      </c>
      <c r="AK211" s="196"/>
    </row>
    <row r="212" spans="1:37" x14ac:dyDescent="0.2">
      <c r="A212" s="144" t="s">
        <v>1205</v>
      </c>
      <c r="B212" s="145" t="s">
        <v>1205</v>
      </c>
      <c r="C212" s="145" t="s">
        <v>1402</v>
      </c>
      <c r="D212" s="145" t="s">
        <v>1403</v>
      </c>
      <c r="E212" s="145" t="s">
        <v>309</v>
      </c>
      <c r="F212" s="145" t="s">
        <v>1485</v>
      </c>
      <c r="G212" s="145" t="s">
        <v>1486</v>
      </c>
      <c r="H212" s="145" t="s">
        <v>321</v>
      </c>
      <c r="I212" s="145" t="s">
        <v>951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445</v>
      </c>
      <c r="O212" s="145" t="s">
        <v>339</v>
      </c>
      <c r="P212" s="145" t="s">
        <v>1406</v>
      </c>
      <c r="Q212" s="145" t="s">
        <v>415</v>
      </c>
      <c r="R212" s="145" t="s">
        <v>407</v>
      </c>
      <c r="S212" s="145" t="s">
        <v>1210</v>
      </c>
      <c r="T212" s="146">
        <v>3.84</v>
      </c>
      <c r="U212" s="145" t="s">
        <v>1487</v>
      </c>
      <c r="V212" s="148">
        <v>2.6200000000000001E-2</v>
      </c>
      <c r="W212" s="148">
        <v>4.8739999999999999E-2</v>
      </c>
      <c r="X212" s="145" t="s">
        <v>412</v>
      </c>
      <c r="Y212" s="159"/>
      <c r="Z212" s="146">
        <v>498454</v>
      </c>
      <c r="AA212" s="146">
        <v>1</v>
      </c>
      <c r="AB212" s="146">
        <v>93.04</v>
      </c>
      <c r="AC212" s="151"/>
      <c r="AD212" s="146">
        <v>463.762</v>
      </c>
      <c r="AE212" s="151"/>
      <c r="AF212" s="151"/>
      <c r="AG212" s="151"/>
      <c r="AH212" s="148">
        <v>3.8999999999999999E-4</v>
      </c>
      <c r="AI212" s="148">
        <v>3.2100000000000002E-3</v>
      </c>
      <c r="AJ212" s="149">
        <v>4.4000000000000002E-4</v>
      </c>
      <c r="AK212" s="196"/>
    </row>
    <row r="213" spans="1:37" x14ac:dyDescent="0.2">
      <c r="A213" s="144" t="s">
        <v>1205</v>
      </c>
      <c r="B213" s="145" t="s">
        <v>1205</v>
      </c>
      <c r="C213" s="145" t="s">
        <v>1354</v>
      </c>
      <c r="D213" s="145" t="s">
        <v>1355</v>
      </c>
      <c r="E213" s="145" t="s">
        <v>309</v>
      </c>
      <c r="F213" s="145" t="s">
        <v>1586</v>
      </c>
      <c r="G213" s="145" t="s">
        <v>1587</v>
      </c>
      <c r="H213" s="145" t="s">
        <v>321</v>
      </c>
      <c r="I213" s="145" t="s">
        <v>951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445</v>
      </c>
      <c r="O213" s="145" t="s">
        <v>339</v>
      </c>
      <c r="P213" s="145" t="s">
        <v>1358</v>
      </c>
      <c r="Q213" s="145" t="s">
        <v>415</v>
      </c>
      <c r="R213" s="145" t="s">
        <v>407</v>
      </c>
      <c r="S213" s="145" t="s">
        <v>1210</v>
      </c>
      <c r="T213" s="146">
        <v>1.48</v>
      </c>
      <c r="U213" s="145" t="s">
        <v>1509</v>
      </c>
      <c r="V213" s="148">
        <v>1.84E-2</v>
      </c>
      <c r="W213" s="148">
        <v>4.999E-2</v>
      </c>
      <c r="X213" s="145" t="s">
        <v>412</v>
      </c>
      <c r="Y213" s="159"/>
      <c r="Z213" s="146">
        <v>454790</v>
      </c>
      <c r="AA213" s="146">
        <v>1</v>
      </c>
      <c r="AB213" s="146">
        <v>95.58</v>
      </c>
      <c r="AC213" s="151"/>
      <c r="AD213" s="146">
        <v>434.68799999999999</v>
      </c>
      <c r="AE213" s="151"/>
      <c r="AF213" s="151"/>
      <c r="AG213" s="151"/>
      <c r="AH213" s="148">
        <v>1.5200000000000001E-3</v>
      </c>
      <c r="AI213" s="148">
        <v>3.0100000000000001E-3</v>
      </c>
      <c r="AJ213" s="149">
        <v>4.0999999999999999E-4</v>
      </c>
      <c r="AK213" s="196"/>
    </row>
    <row r="214" spans="1:37" x14ac:dyDescent="0.2">
      <c r="A214" s="144" t="s">
        <v>1205</v>
      </c>
      <c r="B214" s="145" t="s">
        <v>1205</v>
      </c>
      <c r="C214" s="145" t="s">
        <v>1581</v>
      </c>
      <c r="D214" s="145" t="s">
        <v>1582</v>
      </c>
      <c r="E214" s="145" t="s">
        <v>309</v>
      </c>
      <c r="F214" s="145" t="s">
        <v>1610</v>
      </c>
      <c r="G214" s="145" t="s">
        <v>1611</v>
      </c>
      <c r="H214" s="145" t="s">
        <v>321</v>
      </c>
      <c r="I214" s="145" t="s">
        <v>754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464</v>
      </c>
      <c r="O214" s="145" t="s">
        <v>339</v>
      </c>
      <c r="P214" s="145" t="s">
        <v>1358</v>
      </c>
      <c r="Q214" s="145" t="s">
        <v>415</v>
      </c>
      <c r="R214" s="145" t="s">
        <v>407</v>
      </c>
      <c r="S214" s="145" t="s">
        <v>1210</v>
      </c>
      <c r="T214" s="146">
        <v>4.01</v>
      </c>
      <c r="U214" s="145" t="s">
        <v>1554</v>
      </c>
      <c r="V214" s="148">
        <v>1.3299999999999999E-2</v>
      </c>
      <c r="W214" s="148">
        <v>3.049E-2</v>
      </c>
      <c r="X214" s="145" t="s">
        <v>412</v>
      </c>
      <c r="Y214" s="159"/>
      <c r="Z214" s="146">
        <v>395999.99</v>
      </c>
      <c r="AA214" s="146">
        <v>1</v>
      </c>
      <c r="AB214" s="146">
        <v>107.88</v>
      </c>
      <c r="AC214" s="151"/>
      <c r="AD214" s="146">
        <v>427.20499999999998</v>
      </c>
      <c r="AE214" s="151"/>
      <c r="AF214" s="151"/>
      <c r="AG214" s="151"/>
      <c r="AH214" s="148">
        <v>3.5E-4</v>
      </c>
      <c r="AI214" s="148">
        <v>2.9499999999999999E-3</v>
      </c>
      <c r="AJ214" s="149">
        <v>4.0999999999999999E-4</v>
      </c>
      <c r="AK214" s="196"/>
    </row>
    <row r="215" spans="1:37" x14ac:dyDescent="0.2">
      <c r="A215" s="144" t="s">
        <v>1205</v>
      </c>
      <c r="B215" s="145" t="s">
        <v>1205</v>
      </c>
      <c r="C215" s="145" t="s">
        <v>1605</v>
      </c>
      <c r="D215" s="145" t="s">
        <v>1606</v>
      </c>
      <c r="E215" s="145" t="s">
        <v>309</v>
      </c>
      <c r="F215" s="145" t="s">
        <v>1607</v>
      </c>
      <c r="G215" s="145" t="s">
        <v>1608</v>
      </c>
      <c r="H215" s="145" t="s">
        <v>321</v>
      </c>
      <c r="I215" s="145" t="s">
        <v>754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443</v>
      </c>
      <c r="O215" s="145" t="s">
        <v>339</v>
      </c>
      <c r="P215" s="145" t="s">
        <v>1433</v>
      </c>
      <c r="Q215" s="145" t="s">
        <v>415</v>
      </c>
      <c r="R215" s="145" t="s">
        <v>407</v>
      </c>
      <c r="S215" s="145" t="s">
        <v>1210</v>
      </c>
      <c r="T215" s="146">
        <v>0.53</v>
      </c>
      <c r="U215" s="145" t="s">
        <v>1609</v>
      </c>
      <c r="V215" s="148">
        <v>1.8499999999999999E-2</v>
      </c>
      <c r="W215" s="148">
        <v>2.962E-2</v>
      </c>
      <c r="X215" s="145" t="s">
        <v>412</v>
      </c>
      <c r="Y215" s="159"/>
      <c r="Z215" s="146">
        <v>363698.21</v>
      </c>
      <c r="AA215" s="146">
        <v>1</v>
      </c>
      <c r="AB215" s="146">
        <v>115.43</v>
      </c>
      <c r="AC215" s="151"/>
      <c r="AD215" s="146">
        <v>419.81700000000001</v>
      </c>
      <c r="AE215" s="151"/>
      <c r="AF215" s="151"/>
      <c r="AG215" s="151"/>
      <c r="AH215" s="148">
        <v>1.41E-3</v>
      </c>
      <c r="AI215" s="148">
        <v>2.8999999999999998E-3</v>
      </c>
      <c r="AJ215" s="149">
        <v>4.0000000000000002E-4</v>
      </c>
      <c r="AK215" s="196"/>
    </row>
    <row r="216" spans="1:37" x14ac:dyDescent="0.2">
      <c r="A216" s="144" t="s">
        <v>1205</v>
      </c>
      <c r="B216" s="145" t="s">
        <v>1205</v>
      </c>
      <c r="C216" s="145" t="s">
        <v>1480</v>
      </c>
      <c r="D216" s="145" t="s">
        <v>1481</v>
      </c>
      <c r="E216" s="145" t="s">
        <v>309</v>
      </c>
      <c r="F216" s="145" t="s">
        <v>1482</v>
      </c>
      <c r="G216" s="145" t="s">
        <v>1483</v>
      </c>
      <c r="H216" s="145" t="s">
        <v>321</v>
      </c>
      <c r="I216" s="145" t="s">
        <v>951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475</v>
      </c>
      <c r="O216" s="145" t="s">
        <v>339</v>
      </c>
      <c r="P216" s="145" t="s">
        <v>1392</v>
      </c>
      <c r="Q216" s="145" t="s">
        <v>413</v>
      </c>
      <c r="R216" s="145" t="s">
        <v>407</v>
      </c>
      <c r="S216" s="145" t="s">
        <v>1210</v>
      </c>
      <c r="T216" s="146">
        <v>2.34</v>
      </c>
      <c r="U216" s="145" t="s">
        <v>1484</v>
      </c>
      <c r="V216" s="148">
        <v>5.0900000000000001E-2</v>
      </c>
      <c r="W216" s="148">
        <v>4.7509999999999997E-2</v>
      </c>
      <c r="X216" s="145" t="s">
        <v>412</v>
      </c>
      <c r="Y216" s="159"/>
      <c r="Z216" s="146">
        <v>395855.65</v>
      </c>
      <c r="AA216" s="146">
        <v>1</v>
      </c>
      <c r="AB216" s="146">
        <v>103.18</v>
      </c>
      <c r="AC216" s="151"/>
      <c r="AD216" s="146">
        <v>408.44400000000002</v>
      </c>
      <c r="AE216" s="151"/>
      <c r="AF216" s="151"/>
      <c r="AG216" s="151"/>
      <c r="AH216" s="148">
        <v>7.6999999999999996E-4</v>
      </c>
      <c r="AI216" s="148">
        <v>2.8300000000000001E-3</v>
      </c>
      <c r="AJ216" s="149">
        <v>3.8999999999999999E-4</v>
      </c>
      <c r="AK216" s="196"/>
    </row>
    <row r="217" spans="1:37" x14ac:dyDescent="0.2">
      <c r="A217" s="144" t="s">
        <v>1205</v>
      </c>
      <c r="B217" s="145" t="s">
        <v>1205</v>
      </c>
      <c r="C217" s="145" t="s">
        <v>1600</v>
      </c>
      <c r="D217" s="145" t="s">
        <v>1601</v>
      </c>
      <c r="E217" s="145" t="s">
        <v>309</v>
      </c>
      <c r="F217" s="145" t="s">
        <v>1602</v>
      </c>
      <c r="G217" s="145" t="s">
        <v>1603</v>
      </c>
      <c r="H217" s="145" t="s">
        <v>321</v>
      </c>
      <c r="I217" s="145" t="s">
        <v>951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1520</v>
      </c>
      <c r="Q217" s="145" t="s">
        <v>415</v>
      </c>
      <c r="R217" s="145" t="s">
        <v>407</v>
      </c>
      <c r="S217" s="145" t="s">
        <v>1210</v>
      </c>
      <c r="T217" s="146">
        <v>2.67</v>
      </c>
      <c r="U217" s="145" t="s">
        <v>1604</v>
      </c>
      <c r="V217" s="148">
        <v>1.0919999999999999E-2</v>
      </c>
      <c r="W217" s="148">
        <v>5.0459999999999998E-2</v>
      </c>
      <c r="X217" s="145" t="s">
        <v>412</v>
      </c>
      <c r="Y217" s="159"/>
      <c r="Z217" s="146">
        <v>402422.45</v>
      </c>
      <c r="AA217" s="146">
        <v>1</v>
      </c>
      <c r="AB217" s="146">
        <v>95.73</v>
      </c>
      <c r="AC217" s="151"/>
      <c r="AD217" s="146">
        <v>385.23899999999998</v>
      </c>
      <c r="AE217" s="151"/>
      <c r="AF217" s="151"/>
      <c r="AG217" s="151"/>
      <c r="AH217" s="148">
        <v>1.1800000000000001E-3</v>
      </c>
      <c r="AI217" s="148">
        <v>2.66E-3</v>
      </c>
      <c r="AJ217" s="149">
        <v>3.6999999999999999E-4</v>
      </c>
      <c r="AK217" s="196"/>
    </row>
    <row r="218" spans="1:37" x14ac:dyDescent="0.2">
      <c r="A218" s="144" t="s">
        <v>1205</v>
      </c>
      <c r="B218" s="145" t="s">
        <v>1205</v>
      </c>
      <c r="C218" s="145" t="s">
        <v>1415</v>
      </c>
      <c r="D218" s="145" t="s">
        <v>1416</v>
      </c>
      <c r="E218" s="145" t="s">
        <v>309</v>
      </c>
      <c r="F218" s="145" t="s">
        <v>1423</v>
      </c>
      <c r="G218" s="145" t="s">
        <v>1424</v>
      </c>
      <c r="H218" s="145" t="s">
        <v>321</v>
      </c>
      <c r="I218" s="145" t="s">
        <v>754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448</v>
      </c>
      <c r="O218" s="145" t="s">
        <v>339</v>
      </c>
      <c r="P218" s="145" t="s">
        <v>1350</v>
      </c>
      <c r="Q218" s="145" t="s">
        <v>413</v>
      </c>
      <c r="R218" s="145" t="s">
        <v>407</v>
      </c>
      <c r="S218" s="145" t="s">
        <v>1210</v>
      </c>
      <c r="T218" s="146">
        <v>1.24</v>
      </c>
      <c r="U218" s="145" t="s">
        <v>1425</v>
      </c>
      <c r="V218" s="148">
        <v>2E-3</v>
      </c>
      <c r="W218" s="148">
        <v>2.5510000000000001E-2</v>
      </c>
      <c r="X218" s="145" t="s">
        <v>412</v>
      </c>
      <c r="Y218" s="159"/>
      <c r="Z218" s="146">
        <v>345000.02</v>
      </c>
      <c r="AA218" s="146">
        <v>1</v>
      </c>
      <c r="AB218" s="146">
        <v>111.21</v>
      </c>
      <c r="AC218" s="151"/>
      <c r="AD218" s="146">
        <v>383.67500000000001</v>
      </c>
      <c r="AE218" s="151"/>
      <c r="AF218" s="151"/>
      <c r="AG218" s="151"/>
      <c r="AH218" s="148">
        <v>1.24E-3</v>
      </c>
      <c r="AI218" s="148">
        <v>2.65E-3</v>
      </c>
      <c r="AJ218" s="149">
        <v>3.6000000000000002E-4</v>
      </c>
      <c r="AK218" s="196"/>
    </row>
    <row r="219" spans="1:37" x14ac:dyDescent="0.2">
      <c r="A219" s="144" t="s">
        <v>1205</v>
      </c>
      <c r="B219" s="145" t="s">
        <v>1205</v>
      </c>
      <c r="C219" s="145" t="s">
        <v>1803</v>
      </c>
      <c r="D219" s="145" t="s">
        <v>1804</v>
      </c>
      <c r="E219" s="145" t="s">
        <v>309</v>
      </c>
      <c r="F219" s="145" t="s">
        <v>1805</v>
      </c>
      <c r="G219" s="145" t="s">
        <v>1806</v>
      </c>
      <c r="H219" s="145" t="s">
        <v>321</v>
      </c>
      <c r="I219" s="145" t="s">
        <v>951</v>
      </c>
      <c r="J219" s="145" t="s">
        <v>204</v>
      </c>
      <c r="K219" s="145" t="s">
        <v>224</v>
      </c>
      <c r="L219" s="145" t="s">
        <v>325</v>
      </c>
      <c r="M219" s="145" t="s">
        <v>340</v>
      </c>
      <c r="N219" s="145" t="s">
        <v>465</v>
      </c>
      <c r="O219" s="145" t="s">
        <v>339</v>
      </c>
      <c r="P219" s="145" t="s">
        <v>1473</v>
      </c>
      <c r="Q219" s="145" t="s">
        <v>413</v>
      </c>
      <c r="R219" s="145" t="s">
        <v>407</v>
      </c>
      <c r="S219" s="145" t="s">
        <v>1210</v>
      </c>
      <c r="T219" s="146">
        <v>1.72</v>
      </c>
      <c r="U219" s="145" t="s">
        <v>1807</v>
      </c>
      <c r="V219" s="148">
        <v>4.3499999999999997E-2</v>
      </c>
      <c r="W219" s="148">
        <v>6.1170000000000002E-2</v>
      </c>
      <c r="X219" s="145" t="s">
        <v>412</v>
      </c>
      <c r="Y219" s="159"/>
      <c r="Z219" s="146">
        <v>360000</v>
      </c>
      <c r="AA219" s="146">
        <v>1</v>
      </c>
      <c r="AB219" s="146">
        <v>97.91</v>
      </c>
      <c r="AC219" s="151"/>
      <c r="AD219" s="146">
        <v>352.476</v>
      </c>
      <c r="AE219" s="151"/>
      <c r="AF219" s="151"/>
      <c r="AG219" s="151"/>
      <c r="AH219" s="148">
        <v>9.3000000000000005E-4</v>
      </c>
      <c r="AI219" s="148">
        <v>2.4399999999999999E-3</v>
      </c>
      <c r="AJ219" s="149">
        <v>3.4000000000000002E-4</v>
      </c>
      <c r="AK219" s="196"/>
    </row>
    <row r="220" spans="1:37" x14ac:dyDescent="0.2">
      <c r="A220" s="144" t="s">
        <v>1205</v>
      </c>
      <c r="B220" s="145" t="s">
        <v>1205</v>
      </c>
      <c r="C220" s="145" t="s">
        <v>1595</v>
      </c>
      <c r="D220" s="145" t="s">
        <v>1596</v>
      </c>
      <c r="E220" s="145" t="s">
        <v>309</v>
      </c>
      <c r="F220" s="145" t="s">
        <v>1597</v>
      </c>
      <c r="G220" s="145" t="s">
        <v>1598</v>
      </c>
      <c r="H220" s="145" t="s">
        <v>321</v>
      </c>
      <c r="I220" s="145" t="s">
        <v>951</v>
      </c>
      <c r="J220" s="145" t="s">
        <v>204</v>
      </c>
      <c r="K220" s="145" t="s">
        <v>224</v>
      </c>
      <c r="L220" s="145" t="s">
        <v>325</v>
      </c>
      <c r="M220" s="145" t="s">
        <v>340</v>
      </c>
      <c r="N220" s="145" t="s">
        <v>465</v>
      </c>
      <c r="O220" s="145" t="s">
        <v>339</v>
      </c>
      <c r="P220" s="145" t="s">
        <v>1473</v>
      </c>
      <c r="Q220" s="145" t="s">
        <v>413</v>
      </c>
      <c r="R220" s="145" t="s">
        <v>407</v>
      </c>
      <c r="S220" s="145" t="s">
        <v>1210</v>
      </c>
      <c r="T220" s="146">
        <v>0.66</v>
      </c>
      <c r="U220" s="145" t="s">
        <v>1599</v>
      </c>
      <c r="V220" s="148">
        <v>3.95E-2</v>
      </c>
      <c r="W220" s="148">
        <v>5.8720000000000001E-2</v>
      </c>
      <c r="X220" s="145" t="s">
        <v>412</v>
      </c>
      <c r="Y220" s="159"/>
      <c r="Z220" s="146">
        <v>346000</v>
      </c>
      <c r="AA220" s="146">
        <v>1</v>
      </c>
      <c r="AB220" s="146">
        <v>100.13</v>
      </c>
      <c r="AC220" s="151"/>
      <c r="AD220" s="146">
        <v>346.45</v>
      </c>
      <c r="AE220" s="151"/>
      <c r="AF220" s="151"/>
      <c r="AG220" s="151"/>
      <c r="AH220" s="148">
        <v>1.1000000000000001E-3</v>
      </c>
      <c r="AI220" s="148">
        <v>2.3999999999999998E-3</v>
      </c>
      <c r="AJ220" s="149">
        <v>3.3E-4</v>
      </c>
      <c r="AK220" s="196"/>
    </row>
    <row r="221" spans="1:37" x14ac:dyDescent="0.2">
      <c r="A221" s="144" t="s">
        <v>1205</v>
      </c>
      <c r="B221" s="145" t="s">
        <v>1205</v>
      </c>
      <c r="C221" s="145" t="s">
        <v>1475</v>
      </c>
      <c r="D221" s="145" t="s">
        <v>1476</v>
      </c>
      <c r="E221" s="145" t="s">
        <v>309</v>
      </c>
      <c r="F221" s="145" t="s">
        <v>1477</v>
      </c>
      <c r="G221" s="145" t="s">
        <v>1478</v>
      </c>
      <c r="H221" s="145" t="s">
        <v>321</v>
      </c>
      <c r="I221" s="145" t="s">
        <v>951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484</v>
      </c>
      <c r="O221" s="145" t="s">
        <v>339</v>
      </c>
      <c r="P221" s="145" t="s">
        <v>1406</v>
      </c>
      <c r="Q221" s="145" t="s">
        <v>415</v>
      </c>
      <c r="R221" s="145" t="s">
        <v>407</v>
      </c>
      <c r="S221" s="145" t="s">
        <v>1210</v>
      </c>
      <c r="T221" s="146">
        <v>0.66</v>
      </c>
      <c r="U221" s="145" t="s">
        <v>1479</v>
      </c>
      <c r="V221" s="148">
        <v>3.6499999999999998E-2</v>
      </c>
      <c r="W221" s="148">
        <v>4.4749999999999998E-2</v>
      </c>
      <c r="X221" s="145" t="s">
        <v>412</v>
      </c>
      <c r="Y221" s="159"/>
      <c r="Z221" s="146">
        <v>304772.08</v>
      </c>
      <c r="AA221" s="146">
        <v>1</v>
      </c>
      <c r="AB221" s="146">
        <v>100.7</v>
      </c>
      <c r="AC221" s="151"/>
      <c r="AD221" s="146">
        <v>306.90499999999997</v>
      </c>
      <c r="AE221" s="151"/>
      <c r="AF221" s="151"/>
      <c r="AG221" s="151"/>
      <c r="AH221" s="148">
        <v>5.6999999999999998E-4</v>
      </c>
      <c r="AI221" s="148">
        <v>2.1199999999999999E-3</v>
      </c>
      <c r="AJ221" s="149">
        <v>2.9E-4</v>
      </c>
      <c r="AK221" s="196"/>
    </row>
    <row r="222" spans="1:37" x14ac:dyDescent="0.2">
      <c r="A222" s="144" t="s">
        <v>1205</v>
      </c>
      <c r="B222" s="145" t="s">
        <v>1205</v>
      </c>
      <c r="C222" s="145" t="s">
        <v>1724</v>
      </c>
      <c r="D222" s="145" t="s">
        <v>1725</v>
      </c>
      <c r="E222" s="145" t="s">
        <v>309</v>
      </c>
      <c r="F222" s="145" t="s">
        <v>1808</v>
      </c>
      <c r="G222" s="145" t="s">
        <v>1809</v>
      </c>
      <c r="H222" s="145" t="s">
        <v>321</v>
      </c>
      <c r="I222" s="145" t="s">
        <v>951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464</v>
      </c>
      <c r="O222" s="145" t="s">
        <v>339</v>
      </c>
      <c r="P222" s="145" t="s">
        <v>1406</v>
      </c>
      <c r="Q222" s="145" t="s">
        <v>415</v>
      </c>
      <c r="R222" s="145" t="s">
        <v>407</v>
      </c>
      <c r="S222" s="145" t="s">
        <v>1210</v>
      </c>
      <c r="T222" s="146">
        <v>1.64</v>
      </c>
      <c r="U222" s="145" t="s">
        <v>1401</v>
      </c>
      <c r="V222" s="148">
        <v>5.6500000000000002E-2</v>
      </c>
      <c r="W222" s="148">
        <v>4.9410000000000003E-2</v>
      </c>
      <c r="X222" s="145" t="s">
        <v>412</v>
      </c>
      <c r="Y222" s="159"/>
      <c r="Z222" s="146">
        <v>282352.98</v>
      </c>
      <c r="AA222" s="146">
        <v>1</v>
      </c>
      <c r="AB222" s="146">
        <v>102.67</v>
      </c>
      <c r="AC222" s="151"/>
      <c r="AD222" s="146">
        <v>289.892</v>
      </c>
      <c r="AE222" s="151"/>
      <c r="AF222" s="151"/>
      <c r="AG222" s="151"/>
      <c r="AH222" s="148">
        <v>1.81E-3</v>
      </c>
      <c r="AI222" s="148">
        <v>2.0100000000000001E-3</v>
      </c>
      <c r="AJ222" s="149">
        <v>2.7999999999999998E-4</v>
      </c>
      <c r="AK222" s="196"/>
    </row>
    <row r="223" spans="1:37" x14ac:dyDescent="0.2">
      <c r="A223" s="144" t="s">
        <v>1205</v>
      </c>
      <c r="B223" s="145" t="s">
        <v>1205</v>
      </c>
      <c r="C223" s="145" t="s">
        <v>1459</v>
      </c>
      <c r="D223" s="145" t="s">
        <v>1460</v>
      </c>
      <c r="E223" s="145" t="s">
        <v>309</v>
      </c>
      <c r="F223" s="145" t="s">
        <v>1513</v>
      </c>
      <c r="G223" s="145" t="s">
        <v>1514</v>
      </c>
      <c r="H223" s="145" t="s">
        <v>321</v>
      </c>
      <c r="I223" s="145" t="s">
        <v>754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440</v>
      </c>
      <c r="O223" s="145" t="s">
        <v>339</v>
      </c>
      <c r="P223" s="145" t="s">
        <v>1350</v>
      </c>
      <c r="Q223" s="145" t="s">
        <v>413</v>
      </c>
      <c r="R223" s="145" t="s">
        <v>407</v>
      </c>
      <c r="S223" s="145" t="s">
        <v>1210</v>
      </c>
      <c r="T223" s="146">
        <v>3.08</v>
      </c>
      <c r="U223" s="145" t="s">
        <v>1515</v>
      </c>
      <c r="V223" s="148">
        <v>1.23E-2</v>
      </c>
      <c r="W223" s="148">
        <v>2.758E-2</v>
      </c>
      <c r="X223" s="145" t="s">
        <v>412</v>
      </c>
      <c r="Y223" s="159"/>
      <c r="Z223" s="146">
        <v>238369.17</v>
      </c>
      <c r="AA223" s="146">
        <v>1</v>
      </c>
      <c r="AB223" s="146">
        <v>111.43</v>
      </c>
      <c r="AC223" s="151"/>
      <c r="AD223" s="146">
        <v>265.61500000000001</v>
      </c>
      <c r="AE223" s="151"/>
      <c r="AF223" s="151"/>
      <c r="AG223" s="151"/>
      <c r="AH223" s="148">
        <v>2.5000000000000001E-4</v>
      </c>
      <c r="AI223" s="148">
        <v>1.8400000000000001E-3</v>
      </c>
      <c r="AJ223" s="149">
        <v>2.5000000000000001E-4</v>
      </c>
      <c r="AK223" s="196"/>
    </row>
    <row r="224" spans="1:37" x14ac:dyDescent="0.2">
      <c r="A224" s="144" t="s">
        <v>1205</v>
      </c>
      <c r="B224" s="145" t="s">
        <v>1205</v>
      </c>
      <c r="C224" s="145" t="s">
        <v>1558</v>
      </c>
      <c r="D224" s="145" t="s">
        <v>1559</v>
      </c>
      <c r="E224" s="145" t="s">
        <v>309</v>
      </c>
      <c r="F224" s="145" t="s">
        <v>1810</v>
      </c>
      <c r="G224" s="145" t="s">
        <v>1811</v>
      </c>
      <c r="H224" s="145" t="s">
        <v>321</v>
      </c>
      <c r="I224" s="145" t="s">
        <v>754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464</v>
      </c>
      <c r="O224" s="145" t="s">
        <v>339</v>
      </c>
      <c r="P224" s="145" t="s">
        <v>1439</v>
      </c>
      <c r="Q224" s="145" t="s">
        <v>413</v>
      </c>
      <c r="R224" s="145" t="s">
        <v>407</v>
      </c>
      <c r="S224" s="145" t="s">
        <v>1210</v>
      </c>
      <c r="T224" s="146">
        <v>1.22</v>
      </c>
      <c r="U224" s="145" t="s">
        <v>1384</v>
      </c>
      <c r="V224" s="148">
        <v>2.2499999999999999E-2</v>
      </c>
      <c r="W224" s="148">
        <v>3.2199999999999999E-2</v>
      </c>
      <c r="X224" s="145" t="s">
        <v>412</v>
      </c>
      <c r="Y224" s="159"/>
      <c r="Z224" s="146">
        <v>228027.12</v>
      </c>
      <c r="AA224" s="146">
        <v>1</v>
      </c>
      <c r="AB224" s="146">
        <v>114.95</v>
      </c>
      <c r="AC224" s="151"/>
      <c r="AD224" s="146">
        <v>262.11700000000002</v>
      </c>
      <c r="AE224" s="151"/>
      <c r="AF224" s="151"/>
      <c r="AG224" s="151"/>
      <c r="AH224" s="148">
        <v>6.0999999999999997E-4</v>
      </c>
      <c r="AI224" s="148">
        <v>1.81E-3</v>
      </c>
      <c r="AJ224" s="149">
        <v>2.5000000000000001E-4</v>
      </c>
      <c r="AK224" s="196"/>
    </row>
    <row r="225" spans="1:37" x14ac:dyDescent="0.2">
      <c r="A225" s="144" t="s">
        <v>1205</v>
      </c>
      <c r="B225" s="145" t="s">
        <v>1205</v>
      </c>
      <c r="C225" s="145" t="s">
        <v>1812</v>
      </c>
      <c r="D225" s="145" t="s">
        <v>1813</v>
      </c>
      <c r="E225" s="145" t="s">
        <v>309</v>
      </c>
      <c r="F225" s="145" t="s">
        <v>1814</v>
      </c>
      <c r="G225" s="145" t="s">
        <v>1815</v>
      </c>
      <c r="H225" s="145" t="s">
        <v>321</v>
      </c>
      <c r="I225" s="145" t="s">
        <v>951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451</v>
      </c>
      <c r="O225" s="145" t="s">
        <v>339</v>
      </c>
      <c r="P225" s="145" t="s">
        <v>1392</v>
      </c>
      <c r="Q225" s="145" t="s">
        <v>413</v>
      </c>
      <c r="R225" s="145" t="s">
        <v>407</v>
      </c>
      <c r="S225" s="145" t="s">
        <v>1210</v>
      </c>
      <c r="T225" s="146">
        <v>6.03</v>
      </c>
      <c r="U225" s="145" t="s">
        <v>1816</v>
      </c>
      <c r="V225" s="148">
        <v>5.3100000000000001E-2</v>
      </c>
      <c r="W225" s="148">
        <v>5.2409999999999998E-2</v>
      </c>
      <c r="X225" s="145" t="s">
        <v>412</v>
      </c>
      <c r="Y225" s="159"/>
      <c r="Z225" s="146">
        <v>249000</v>
      </c>
      <c r="AA225" s="146">
        <v>1</v>
      </c>
      <c r="AB225" s="146">
        <v>101.76</v>
      </c>
      <c r="AC225" s="151"/>
      <c r="AD225" s="146">
        <v>253.38200000000001</v>
      </c>
      <c r="AE225" s="151"/>
      <c r="AF225" s="151"/>
      <c r="AG225" s="151"/>
      <c r="AH225" s="148">
        <v>7.7999999999999999E-4</v>
      </c>
      <c r="AI225" s="148">
        <v>1.75E-3</v>
      </c>
      <c r="AJ225" s="149">
        <v>2.4000000000000001E-4</v>
      </c>
      <c r="AK225" s="196"/>
    </row>
    <row r="226" spans="1:37" x14ac:dyDescent="0.2">
      <c r="A226" s="144" t="s">
        <v>1205</v>
      </c>
      <c r="B226" s="145" t="s">
        <v>1205</v>
      </c>
      <c r="C226" s="145" t="s">
        <v>1505</v>
      </c>
      <c r="D226" s="145" t="s">
        <v>1506</v>
      </c>
      <c r="E226" s="145" t="s">
        <v>309</v>
      </c>
      <c r="F226" s="145" t="s">
        <v>1507</v>
      </c>
      <c r="G226" s="145" t="s">
        <v>1508</v>
      </c>
      <c r="H226" s="145" t="s">
        <v>321</v>
      </c>
      <c r="I226" s="145" t="s">
        <v>951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445</v>
      </c>
      <c r="O226" s="145" t="s">
        <v>339</v>
      </c>
      <c r="P226" s="145" t="s">
        <v>1406</v>
      </c>
      <c r="Q226" s="145" t="s">
        <v>415</v>
      </c>
      <c r="R226" s="145" t="s">
        <v>407</v>
      </c>
      <c r="S226" s="145" t="s">
        <v>1210</v>
      </c>
      <c r="T226" s="146">
        <v>0.98</v>
      </c>
      <c r="U226" s="145" t="s">
        <v>1509</v>
      </c>
      <c r="V226" s="148">
        <v>2.9399999999999999E-2</v>
      </c>
      <c r="W226" s="148">
        <v>4.9570000000000003E-2</v>
      </c>
      <c r="X226" s="145" t="s">
        <v>412</v>
      </c>
      <c r="Y226" s="159"/>
      <c r="Z226" s="146">
        <v>248995.44</v>
      </c>
      <c r="AA226" s="146">
        <v>1</v>
      </c>
      <c r="AB226" s="146">
        <v>99.54</v>
      </c>
      <c r="AC226" s="151"/>
      <c r="AD226" s="146">
        <v>247.85</v>
      </c>
      <c r="AE226" s="151"/>
      <c r="AF226" s="151"/>
      <c r="AG226" s="151"/>
      <c r="AH226" s="148">
        <v>2.32E-3</v>
      </c>
      <c r="AI226" s="148">
        <v>1.7099999999999999E-3</v>
      </c>
      <c r="AJ226" s="149">
        <v>2.4000000000000001E-4</v>
      </c>
      <c r="AK226" s="196"/>
    </row>
    <row r="227" spans="1:37" x14ac:dyDescent="0.2">
      <c r="A227" s="144" t="s">
        <v>1205</v>
      </c>
      <c r="B227" s="145" t="s">
        <v>1205</v>
      </c>
      <c r="C227" s="145" t="s">
        <v>1612</v>
      </c>
      <c r="D227" s="145" t="s">
        <v>1613</v>
      </c>
      <c r="E227" s="145" t="s">
        <v>309</v>
      </c>
      <c r="F227" s="145" t="s">
        <v>1614</v>
      </c>
      <c r="G227" s="145" t="s">
        <v>1615</v>
      </c>
      <c r="H227" s="145" t="s">
        <v>321</v>
      </c>
      <c r="I227" s="145" t="s">
        <v>951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454</v>
      </c>
      <c r="O227" s="145" t="s">
        <v>339</v>
      </c>
      <c r="P227" s="145" t="s">
        <v>1439</v>
      </c>
      <c r="Q227" s="145" t="s">
        <v>413</v>
      </c>
      <c r="R227" s="145" t="s">
        <v>407</v>
      </c>
      <c r="S227" s="145" t="s">
        <v>1210</v>
      </c>
      <c r="T227" s="146">
        <v>2.58</v>
      </c>
      <c r="U227" s="145" t="s">
        <v>1616</v>
      </c>
      <c r="V227" s="148">
        <v>6.7500000000000004E-2</v>
      </c>
      <c r="W227" s="148">
        <v>5.6410000000000002E-2</v>
      </c>
      <c r="X227" s="145" t="s">
        <v>412</v>
      </c>
      <c r="Y227" s="159"/>
      <c r="Z227" s="146">
        <v>222989.25</v>
      </c>
      <c r="AA227" s="146">
        <v>1</v>
      </c>
      <c r="AB227" s="146">
        <v>104.13</v>
      </c>
      <c r="AC227" s="151"/>
      <c r="AD227" s="146">
        <v>232.19900000000001</v>
      </c>
      <c r="AE227" s="151"/>
      <c r="AF227" s="151"/>
      <c r="AG227" s="151"/>
      <c r="AH227" s="148">
        <v>1.3999999999999999E-4</v>
      </c>
      <c r="AI227" s="148">
        <v>1.6100000000000001E-3</v>
      </c>
      <c r="AJ227" s="149">
        <v>2.2000000000000001E-4</v>
      </c>
      <c r="AK227" s="196"/>
    </row>
    <row r="228" spans="1:37" x14ac:dyDescent="0.2">
      <c r="A228" s="144" t="s">
        <v>1205</v>
      </c>
      <c r="B228" s="145" t="s">
        <v>1205</v>
      </c>
      <c r="C228" s="145" t="s">
        <v>1488</v>
      </c>
      <c r="D228" s="145" t="s">
        <v>1489</v>
      </c>
      <c r="E228" s="145" t="s">
        <v>309</v>
      </c>
      <c r="F228" s="145" t="s">
        <v>1510</v>
      </c>
      <c r="G228" s="145" t="s">
        <v>1511</v>
      </c>
      <c r="H228" s="145" t="s">
        <v>321</v>
      </c>
      <c r="I228" s="145" t="s">
        <v>754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445</v>
      </c>
      <c r="O228" s="145" t="s">
        <v>339</v>
      </c>
      <c r="P228" s="145" t="s">
        <v>1433</v>
      </c>
      <c r="Q228" s="145" t="s">
        <v>415</v>
      </c>
      <c r="R228" s="145" t="s">
        <v>407</v>
      </c>
      <c r="S228" s="145" t="s">
        <v>1210</v>
      </c>
      <c r="T228" s="146">
        <v>4.96</v>
      </c>
      <c r="U228" s="145" t="s">
        <v>1512</v>
      </c>
      <c r="V228" s="148">
        <v>5.3999999999999999E-2</v>
      </c>
      <c r="W228" s="148">
        <v>5.2179999999999997E-2</v>
      </c>
      <c r="X228" s="145" t="s">
        <v>412</v>
      </c>
      <c r="Y228" s="159"/>
      <c r="Z228" s="146">
        <v>182818</v>
      </c>
      <c r="AA228" s="146">
        <v>1</v>
      </c>
      <c r="AB228" s="146">
        <v>102.55</v>
      </c>
      <c r="AC228" s="151"/>
      <c r="AD228" s="146">
        <v>187.48</v>
      </c>
      <c r="AE228" s="151"/>
      <c r="AF228" s="151"/>
      <c r="AG228" s="151"/>
      <c r="AH228" s="148">
        <v>3.2000000000000003E-4</v>
      </c>
      <c r="AI228" s="148">
        <v>1.2999999999999999E-3</v>
      </c>
      <c r="AJ228" s="149">
        <v>1.8000000000000001E-4</v>
      </c>
      <c r="AK228" s="196"/>
    </row>
    <row r="229" spans="1:37" x14ac:dyDescent="0.2">
      <c r="A229" s="144" t="s">
        <v>1205</v>
      </c>
      <c r="B229" s="145" t="s">
        <v>1205</v>
      </c>
      <c r="C229" s="145" t="s">
        <v>1617</v>
      </c>
      <c r="D229" s="145" t="s">
        <v>1618</v>
      </c>
      <c r="E229" s="145" t="s">
        <v>309</v>
      </c>
      <c r="F229" s="145" t="s">
        <v>1619</v>
      </c>
      <c r="G229" s="145" t="s">
        <v>1620</v>
      </c>
      <c r="H229" s="145" t="s">
        <v>321</v>
      </c>
      <c r="I229" s="145" t="s">
        <v>951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451</v>
      </c>
      <c r="O229" s="145" t="s">
        <v>339</v>
      </c>
      <c r="P229" s="145" t="s">
        <v>1621</v>
      </c>
      <c r="Q229" s="145" t="s">
        <v>413</v>
      </c>
      <c r="R229" s="145" t="s">
        <v>407</v>
      </c>
      <c r="S229" s="145" t="s">
        <v>1210</v>
      </c>
      <c r="T229" s="146">
        <v>1.2</v>
      </c>
      <c r="U229" s="145" t="s">
        <v>1622</v>
      </c>
      <c r="V229" s="148">
        <v>4.9239999999999999E-2</v>
      </c>
      <c r="W229" s="148">
        <v>6.6960000000000006E-2</v>
      </c>
      <c r="X229" s="145" t="s">
        <v>412</v>
      </c>
      <c r="Y229" s="159"/>
      <c r="Z229" s="146">
        <v>185815.2</v>
      </c>
      <c r="AA229" s="146">
        <v>1</v>
      </c>
      <c r="AB229" s="146">
        <v>99.46</v>
      </c>
      <c r="AC229" s="151"/>
      <c r="AD229" s="146">
        <v>184.81200000000001</v>
      </c>
      <c r="AE229" s="151"/>
      <c r="AF229" s="151"/>
      <c r="AG229" s="151"/>
      <c r="AH229" s="148">
        <v>3.3E-4</v>
      </c>
      <c r="AI229" s="148">
        <v>1.2800000000000001E-3</v>
      </c>
      <c r="AJ229" s="149">
        <v>1.8000000000000001E-4</v>
      </c>
      <c r="AK229" s="196"/>
    </row>
    <row r="230" spans="1:37" x14ac:dyDescent="0.2">
      <c r="A230" s="144" t="s">
        <v>1205</v>
      </c>
      <c r="B230" s="145" t="s">
        <v>1205</v>
      </c>
      <c r="C230" s="145" t="s">
        <v>1817</v>
      </c>
      <c r="D230" s="145" t="s">
        <v>1818</v>
      </c>
      <c r="E230" s="145" t="s">
        <v>309</v>
      </c>
      <c r="F230" s="145" t="s">
        <v>1819</v>
      </c>
      <c r="G230" s="145" t="s">
        <v>1820</v>
      </c>
      <c r="H230" s="145" t="s">
        <v>321</v>
      </c>
      <c r="I230" s="145" t="s">
        <v>754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464</v>
      </c>
      <c r="O230" s="145" t="s">
        <v>339</v>
      </c>
      <c r="P230" s="145" t="s">
        <v>1392</v>
      </c>
      <c r="Q230" s="145" t="s">
        <v>413</v>
      </c>
      <c r="R230" s="145" t="s">
        <v>407</v>
      </c>
      <c r="S230" s="145" t="s">
        <v>1210</v>
      </c>
      <c r="T230" s="146">
        <v>1.1599999999999999</v>
      </c>
      <c r="U230" s="145" t="s">
        <v>1821</v>
      </c>
      <c r="V230" s="148">
        <v>1.6E-2</v>
      </c>
      <c r="W230" s="148">
        <v>2.937E-2</v>
      </c>
      <c r="X230" s="145" t="s">
        <v>412</v>
      </c>
      <c r="Y230" s="159"/>
      <c r="Z230" s="146">
        <v>156951.32</v>
      </c>
      <c r="AA230" s="146">
        <v>1</v>
      </c>
      <c r="AB230" s="146">
        <v>116.04</v>
      </c>
      <c r="AC230" s="151"/>
      <c r="AD230" s="146">
        <v>182.126</v>
      </c>
      <c r="AE230" s="151"/>
      <c r="AF230" s="151"/>
      <c r="AG230" s="151"/>
      <c r="AH230" s="148">
        <v>5.5000000000000003E-4</v>
      </c>
      <c r="AI230" s="148">
        <v>1.2600000000000001E-3</v>
      </c>
      <c r="AJ230" s="149">
        <v>1.7000000000000001E-4</v>
      </c>
      <c r="AK230" s="196"/>
    </row>
    <row r="231" spans="1:37" x14ac:dyDescent="0.2">
      <c r="A231" s="144" t="s">
        <v>1205</v>
      </c>
      <c r="B231" s="145" t="s">
        <v>1205</v>
      </c>
      <c r="C231" s="145" t="s">
        <v>1822</v>
      </c>
      <c r="D231" s="145" t="s">
        <v>1823</v>
      </c>
      <c r="E231" s="145" t="s">
        <v>309</v>
      </c>
      <c r="F231" s="145" t="s">
        <v>1824</v>
      </c>
      <c r="G231" s="145" t="s">
        <v>1825</v>
      </c>
      <c r="H231" s="145" t="s">
        <v>321</v>
      </c>
      <c r="I231" s="145" t="s">
        <v>951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463</v>
      </c>
      <c r="O231" s="145" t="s">
        <v>339</v>
      </c>
      <c r="P231" s="145" t="s">
        <v>1473</v>
      </c>
      <c r="Q231" s="145" t="s">
        <v>413</v>
      </c>
      <c r="R231" s="145" t="s">
        <v>407</v>
      </c>
      <c r="S231" s="145" t="s">
        <v>1210</v>
      </c>
      <c r="T231" s="146">
        <v>2.58</v>
      </c>
      <c r="U231" s="145" t="s">
        <v>1767</v>
      </c>
      <c r="V231" s="148">
        <v>2.6200000000000001E-2</v>
      </c>
      <c r="W231" s="148">
        <v>5.2260000000000001E-2</v>
      </c>
      <c r="X231" s="145" t="s">
        <v>412</v>
      </c>
      <c r="Y231" s="159"/>
      <c r="Z231" s="146">
        <v>144823.39000000001</v>
      </c>
      <c r="AA231" s="146">
        <v>1</v>
      </c>
      <c r="AB231" s="146">
        <v>94.28</v>
      </c>
      <c r="AC231" s="151"/>
      <c r="AD231" s="146">
        <v>136.53899999999999</v>
      </c>
      <c r="AE231" s="151"/>
      <c r="AF231" s="151"/>
      <c r="AG231" s="151"/>
      <c r="AH231" s="148">
        <v>3.4000000000000002E-4</v>
      </c>
      <c r="AI231" s="148">
        <v>9.3999999999999997E-4</v>
      </c>
      <c r="AJ231" s="149">
        <v>1.2999999999999999E-4</v>
      </c>
      <c r="AK231" s="196"/>
    </row>
    <row r="232" spans="1:37" x14ac:dyDescent="0.2">
      <c r="A232" s="144" t="s">
        <v>1205</v>
      </c>
      <c r="B232" s="145" t="s">
        <v>1205</v>
      </c>
      <c r="C232" s="145" t="s">
        <v>1826</v>
      </c>
      <c r="D232" s="145" t="s">
        <v>1827</v>
      </c>
      <c r="E232" s="145" t="s">
        <v>309</v>
      </c>
      <c r="F232" s="145" t="s">
        <v>1828</v>
      </c>
      <c r="G232" s="145" t="s">
        <v>1829</v>
      </c>
      <c r="H232" s="145" t="s">
        <v>321</v>
      </c>
      <c r="I232" s="145" t="s">
        <v>951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465</v>
      </c>
      <c r="O232" s="145" t="s">
        <v>339</v>
      </c>
      <c r="P232" s="145" t="s">
        <v>1375</v>
      </c>
      <c r="Q232" s="145" t="s">
        <v>415</v>
      </c>
      <c r="R232" s="145" t="s">
        <v>407</v>
      </c>
      <c r="S232" s="145" t="s">
        <v>1210</v>
      </c>
      <c r="T232" s="146">
        <v>2.46</v>
      </c>
      <c r="U232" s="145" t="s">
        <v>1830</v>
      </c>
      <c r="V232" s="148">
        <v>2.8500000000000001E-2</v>
      </c>
      <c r="W232" s="148">
        <v>5.8400000000000001E-2</v>
      </c>
      <c r="X232" s="145" t="s">
        <v>412</v>
      </c>
      <c r="Y232" s="159"/>
      <c r="Z232" s="146">
        <v>138470.64000000001</v>
      </c>
      <c r="AA232" s="146">
        <v>1</v>
      </c>
      <c r="AB232" s="146">
        <v>94.04</v>
      </c>
      <c r="AC232" s="151"/>
      <c r="AD232" s="146">
        <v>130.21799999999999</v>
      </c>
      <c r="AE232" s="151"/>
      <c r="AF232" s="151"/>
      <c r="AG232" s="151"/>
      <c r="AH232" s="148">
        <v>3.2000000000000003E-4</v>
      </c>
      <c r="AI232" s="148">
        <v>8.9999999999999998E-4</v>
      </c>
      <c r="AJ232" s="149">
        <v>1.2E-4</v>
      </c>
      <c r="AK232" s="196"/>
    </row>
    <row r="233" spans="1:37" x14ac:dyDescent="0.2">
      <c r="A233" s="144" t="s">
        <v>1205</v>
      </c>
      <c r="B233" s="145" t="s">
        <v>1205</v>
      </c>
      <c r="C233" s="145" t="s">
        <v>1454</v>
      </c>
      <c r="D233" s="145" t="s">
        <v>1455</v>
      </c>
      <c r="E233" s="145" t="s">
        <v>309</v>
      </c>
      <c r="F233" s="145" t="s">
        <v>1831</v>
      </c>
      <c r="G233" s="145" t="s">
        <v>1832</v>
      </c>
      <c r="H233" s="145" t="s">
        <v>321</v>
      </c>
      <c r="I233" s="145" t="s">
        <v>754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464</v>
      </c>
      <c r="O233" s="145" t="s">
        <v>339</v>
      </c>
      <c r="P233" s="145" t="s">
        <v>1392</v>
      </c>
      <c r="Q233" s="145" t="s">
        <v>413</v>
      </c>
      <c r="R233" s="145" t="s">
        <v>407</v>
      </c>
      <c r="S233" s="145" t="s">
        <v>1210</v>
      </c>
      <c r="T233" s="146">
        <v>0.27</v>
      </c>
      <c r="U233" s="145" t="s">
        <v>1458</v>
      </c>
      <c r="V233" s="148">
        <v>2.3E-2</v>
      </c>
      <c r="W233" s="148">
        <v>2.1239999999999998E-2</v>
      </c>
      <c r="X233" s="145" t="s">
        <v>412</v>
      </c>
      <c r="Y233" s="159"/>
      <c r="Z233" s="146">
        <v>101072.4</v>
      </c>
      <c r="AA233" s="146">
        <v>1</v>
      </c>
      <c r="AB233" s="146">
        <v>118.09</v>
      </c>
      <c r="AC233" s="151"/>
      <c r="AD233" s="146">
        <v>119.35599999999999</v>
      </c>
      <c r="AE233" s="151"/>
      <c r="AF233" s="151"/>
      <c r="AG233" s="151"/>
      <c r="AH233" s="148">
        <v>1.2999999999999999E-4</v>
      </c>
      <c r="AI233" s="148">
        <v>8.3000000000000001E-4</v>
      </c>
      <c r="AJ233" s="149">
        <v>1.1E-4</v>
      </c>
      <c r="AK233" s="196"/>
    </row>
    <row r="234" spans="1:37" x14ac:dyDescent="0.2">
      <c r="A234" s="144" t="s">
        <v>1205</v>
      </c>
      <c r="B234" s="145" t="s">
        <v>1205</v>
      </c>
      <c r="C234" s="145" t="s">
        <v>1388</v>
      </c>
      <c r="D234" s="145" t="s">
        <v>1389</v>
      </c>
      <c r="E234" s="145" t="s">
        <v>309</v>
      </c>
      <c r="F234" s="145" t="s">
        <v>1833</v>
      </c>
      <c r="G234" s="145" t="s">
        <v>1834</v>
      </c>
      <c r="H234" s="145" t="s">
        <v>321</v>
      </c>
      <c r="I234" s="145" t="s">
        <v>754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464</v>
      </c>
      <c r="O234" s="145" t="s">
        <v>339</v>
      </c>
      <c r="P234" s="145" t="s">
        <v>1392</v>
      </c>
      <c r="Q234" s="145" t="s">
        <v>413</v>
      </c>
      <c r="R234" s="145" t="s">
        <v>407</v>
      </c>
      <c r="S234" s="145" t="s">
        <v>1210</v>
      </c>
      <c r="T234" s="146">
        <v>0.99</v>
      </c>
      <c r="U234" s="145" t="s">
        <v>1835</v>
      </c>
      <c r="V234" s="148">
        <v>4.7500000000000001E-2</v>
      </c>
      <c r="W234" s="148">
        <v>2.46E-2</v>
      </c>
      <c r="X234" s="145" t="s">
        <v>412</v>
      </c>
      <c r="Y234" s="159"/>
      <c r="Z234" s="146">
        <v>79277.89</v>
      </c>
      <c r="AA234" s="146">
        <v>1</v>
      </c>
      <c r="AB234" s="146">
        <v>143.4</v>
      </c>
      <c r="AC234" s="151"/>
      <c r="AD234" s="146">
        <v>113.684</v>
      </c>
      <c r="AE234" s="151"/>
      <c r="AF234" s="151"/>
      <c r="AG234" s="151"/>
      <c r="AH234" s="148">
        <v>1.7000000000000001E-4</v>
      </c>
      <c r="AI234" s="148">
        <v>7.9000000000000001E-4</v>
      </c>
      <c r="AJ234" s="149">
        <v>1.1E-4</v>
      </c>
      <c r="AK234" s="196"/>
    </row>
    <row r="235" spans="1:37" x14ac:dyDescent="0.2">
      <c r="A235" s="144" t="s">
        <v>1205</v>
      </c>
      <c r="B235" s="145" t="s">
        <v>1205</v>
      </c>
      <c r="C235" s="145" t="s">
        <v>1469</v>
      </c>
      <c r="D235" s="145" t="s">
        <v>1470</v>
      </c>
      <c r="E235" s="145" t="s">
        <v>309</v>
      </c>
      <c r="F235" s="145" t="s">
        <v>1471</v>
      </c>
      <c r="G235" s="145" t="s">
        <v>1472</v>
      </c>
      <c r="H235" s="145" t="s">
        <v>321</v>
      </c>
      <c r="I235" s="145" t="s">
        <v>951</v>
      </c>
      <c r="J235" s="145" t="s">
        <v>204</v>
      </c>
      <c r="K235" s="145" t="s">
        <v>204</v>
      </c>
      <c r="L235" s="145" t="s">
        <v>325</v>
      </c>
      <c r="M235" s="145" t="s">
        <v>340</v>
      </c>
      <c r="N235" s="145" t="s">
        <v>451</v>
      </c>
      <c r="O235" s="145" t="s">
        <v>339</v>
      </c>
      <c r="P235" s="145" t="s">
        <v>1473</v>
      </c>
      <c r="Q235" s="145" t="s">
        <v>413</v>
      </c>
      <c r="R235" s="145" t="s">
        <v>407</v>
      </c>
      <c r="S235" s="145" t="s">
        <v>1210</v>
      </c>
      <c r="T235" s="146">
        <v>0.73</v>
      </c>
      <c r="U235" s="145" t="s">
        <v>1474</v>
      </c>
      <c r="V235" s="148">
        <v>0.04</v>
      </c>
      <c r="W235" s="148">
        <v>5.407E-2</v>
      </c>
      <c r="X235" s="145" t="s">
        <v>412</v>
      </c>
      <c r="Y235" s="159"/>
      <c r="Z235" s="146">
        <v>99849.45</v>
      </c>
      <c r="AA235" s="146">
        <v>1</v>
      </c>
      <c r="AB235" s="146">
        <v>100.05</v>
      </c>
      <c r="AC235" s="151"/>
      <c r="AD235" s="146">
        <v>99.899000000000001</v>
      </c>
      <c r="AE235" s="151"/>
      <c r="AF235" s="151"/>
      <c r="AG235" s="151"/>
      <c r="AH235" s="148">
        <v>7.6000000000000004E-4</v>
      </c>
      <c r="AI235" s="148">
        <v>6.8999999999999997E-4</v>
      </c>
      <c r="AJ235" s="149">
        <v>1E-4</v>
      </c>
      <c r="AK235" s="196"/>
    </row>
    <row r="236" spans="1:37" x14ac:dyDescent="0.2">
      <c r="A236" s="144" t="s">
        <v>1205</v>
      </c>
      <c r="B236" s="145" t="s">
        <v>1205</v>
      </c>
      <c r="C236" s="145" t="s">
        <v>1394</v>
      </c>
      <c r="D236" s="145" t="s">
        <v>1395</v>
      </c>
      <c r="E236" s="145" t="s">
        <v>309</v>
      </c>
      <c r="F236" s="145" t="s">
        <v>1527</v>
      </c>
      <c r="G236" s="145" t="s">
        <v>1528</v>
      </c>
      <c r="H236" s="145" t="s">
        <v>321</v>
      </c>
      <c r="I236" s="145" t="s">
        <v>951</v>
      </c>
      <c r="J236" s="145" t="s">
        <v>204</v>
      </c>
      <c r="K236" s="145" t="s">
        <v>204</v>
      </c>
      <c r="L236" s="145" t="s">
        <v>325</v>
      </c>
      <c r="M236" s="145" t="s">
        <v>340</v>
      </c>
      <c r="N236" s="145" t="s">
        <v>445</v>
      </c>
      <c r="O236" s="145" t="s">
        <v>339</v>
      </c>
      <c r="P236" s="145" t="s">
        <v>1358</v>
      </c>
      <c r="Q236" s="145" t="s">
        <v>415</v>
      </c>
      <c r="R236" s="145" t="s">
        <v>407</v>
      </c>
      <c r="S236" s="145" t="s">
        <v>1210</v>
      </c>
      <c r="T236" s="146">
        <v>4.33</v>
      </c>
      <c r="U236" s="145" t="s">
        <v>1529</v>
      </c>
      <c r="V236" s="148">
        <v>3.95E-2</v>
      </c>
      <c r="W236" s="148">
        <v>4.8520000000000001E-2</v>
      </c>
      <c r="X236" s="145" t="s">
        <v>412</v>
      </c>
      <c r="Y236" s="159"/>
      <c r="Z236" s="146">
        <v>96323</v>
      </c>
      <c r="AA236" s="146">
        <v>1</v>
      </c>
      <c r="AB236" s="146">
        <v>97.42</v>
      </c>
      <c r="AC236" s="151"/>
      <c r="AD236" s="146">
        <v>93.837999999999994</v>
      </c>
      <c r="AE236" s="151"/>
      <c r="AF236" s="151"/>
      <c r="AG236" s="151"/>
      <c r="AH236" s="148">
        <v>4.0000000000000002E-4</v>
      </c>
      <c r="AI236" s="148">
        <v>6.4999999999999997E-4</v>
      </c>
      <c r="AJ236" s="149">
        <v>9.0000000000000006E-5</v>
      </c>
      <c r="AK236" s="196"/>
    </row>
    <row r="237" spans="1:37" x14ac:dyDescent="0.2">
      <c r="A237" s="144" t="s">
        <v>1205</v>
      </c>
      <c r="B237" s="145" t="s">
        <v>1205</v>
      </c>
      <c r="C237" s="145" t="s">
        <v>1522</v>
      </c>
      <c r="D237" s="145" t="s">
        <v>1523</v>
      </c>
      <c r="E237" s="145" t="s">
        <v>309</v>
      </c>
      <c r="F237" s="145" t="s">
        <v>1524</v>
      </c>
      <c r="G237" s="145" t="s">
        <v>1525</v>
      </c>
      <c r="H237" s="145" t="s">
        <v>321</v>
      </c>
      <c r="I237" s="145" t="s">
        <v>754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464</v>
      </c>
      <c r="O237" s="145" t="s">
        <v>339</v>
      </c>
      <c r="P237" s="145" t="s">
        <v>1358</v>
      </c>
      <c r="Q237" s="145" t="s">
        <v>415</v>
      </c>
      <c r="R237" s="145" t="s">
        <v>407</v>
      </c>
      <c r="S237" s="145" t="s">
        <v>1210</v>
      </c>
      <c r="T237" s="146">
        <v>2.44</v>
      </c>
      <c r="U237" s="145" t="s">
        <v>1526</v>
      </c>
      <c r="V237" s="148">
        <v>1.9599999999999999E-2</v>
      </c>
      <c r="W237" s="148">
        <v>2.877E-2</v>
      </c>
      <c r="X237" s="145" t="s">
        <v>412</v>
      </c>
      <c r="Y237" s="159"/>
      <c r="Z237" s="146">
        <v>75596</v>
      </c>
      <c r="AA237" s="146">
        <v>1</v>
      </c>
      <c r="AB237" s="146">
        <v>114.79</v>
      </c>
      <c r="AC237" s="151"/>
      <c r="AD237" s="146">
        <v>86.777000000000001</v>
      </c>
      <c r="AE237" s="151"/>
      <c r="AF237" s="151"/>
      <c r="AG237" s="151"/>
      <c r="AH237" s="148">
        <v>6.9999999999999994E-5</v>
      </c>
      <c r="AI237" s="148">
        <v>5.9999999999999995E-4</v>
      </c>
      <c r="AJ237" s="149">
        <v>8.0000000000000007E-5</v>
      </c>
      <c r="AK237" s="196"/>
    </row>
    <row r="238" spans="1:37" x14ac:dyDescent="0.2">
      <c r="A238" s="144" t="s">
        <v>1205</v>
      </c>
      <c r="B238" s="145" t="s">
        <v>1205</v>
      </c>
      <c r="C238" s="145" t="s">
        <v>1394</v>
      </c>
      <c r="D238" s="145" t="s">
        <v>1395</v>
      </c>
      <c r="E238" s="145" t="s">
        <v>309</v>
      </c>
      <c r="F238" s="145" t="s">
        <v>1396</v>
      </c>
      <c r="G238" s="145" t="s">
        <v>1397</v>
      </c>
      <c r="H238" s="145" t="s">
        <v>321</v>
      </c>
      <c r="I238" s="145" t="s">
        <v>951</v>
      </c>
      <c r="J238" s="145" t="s">
        <v>204</v>
      </c>
      <c r="K238" s="145" t="s">
        <v>204</v>
      </c>
      <c r="L238" s="145" t="s">
        <v>325</v>
      </c>
      <c r="M238" s="145" t="s">
        <v>340</v>
      </c>
      <c r="N238" s="145" t="s">
        <v>445</v>
      </c>
      <c r="O238" s="145" t="s">
        <v>339</v>
      </c>
      <c r="P238" s="145" t="s">
        <v>1358</v>
      </c>
      <c r="Q238" s="145" t="s">
        <v>415</v>
      </c>
      <c r="R238" s="145" t="s">
        <v>407</v>
      </c>
      <c r="S238" s="145" t="s">
        <v>1210</v>
      </c>
      <c r="T238" s="146">
        <v>3.49</v>
      </c>
      <c r="U238" s="145" t="s">
        <v>1398</v>
      </c>
      <c r="V238" s="148">
        <v>3.95E-2</v>
      </c>
      <c r="W238" s="148">
        <v>4.6510000000000003E-2</v>
      </c>
      <c r="X238" s="145" t="s">
        <v>412</v>
      </c>
      <c r="Y238" s="159"/>
      <c r="Z238" s="146">
        <v>76523</v>
      </c>
      <c r="AA238" s="146">
        <v>1</v>
      </c>
      <c r="AB238" s="146">
        <v>98.76</v>
      </c>
      <c r="AC238" s="151"/>
      <c r="AD238" s="146">
        <v>75.573999999999998</v>
      </c>
      <c r="AE238" s="151"/>
      <c r="AF238" s="151"/>
      <c r="AG238" s="151"/>
      <c r="AH238" s="148">
        <v>3.2000000000000003E-4</v>
      </c>
      <c r="AI238" s="148">
        <v>5.1999999999999995E-4</v>
      </c>
      <c r="AJ238" s="149">
        <v>6.9999999999999994E-5</v>
      </c>
      <c r="AK238" s="196"/>
    </row>
    <row r="239" spans="1:37" x14ac:dyDescent="0.2">
      <c r="A239" s="144" t="s">
        <v>1205</v>
      </c>
      <c r="B239" s="145" t="s">
        <v>1205</v>
      </c>
      <c r="C239" s="145" t="s">
        <v>1836</v>
      </c>
      <c r="D239" s="145" t="s">
        <v>1837</v>
      </c>
      <c r="E239" s="145" t="s">
        <v>309</v>
      </c>
      <c r="F239" s="145" t="s">
        <v>1838</v>
      </c>
      <c r="G239" s="145" t="s">
        <v>1839</v>
      </c>
      <c r="H239" s="145" t="s">
        <v>321</v>
      </c>
      <c r="I239" s="145" t="s">
        <v>951</v>
      </c>
      <c r="J239" s="145" t="s">
        <v>204</v>
      </c>
      <c r="K239" s="145" t="s">
        <v>204</v>
      </c>
      <c r="L239" s="145" t="s">
        <v>325</v>
      </c>
      <c r="M239" s="145" t="s">
        <v>340</v>
      </c>
      <c r="N239" s="145" t="s">
        <v>484</v>
      </c>
      <c r="O239" s="145" t="s">
        <v>339</v>
      </c>
      <c r="P239" s="145" t="s">
        <v>1350</v>
      </c>
      <c r="Q239" s="145" t="s">
        <v>413</v>
      </c>
      <c r="R239" s="145" t="s">
        <v>407</v>
      </c>
      <c r="S239" s="145" t="s">
        <v>1210</v>
      </c>
      <c r="T239" s="146">
        <v>1.58</v>
      </c>
      <c r="U239" s="145" t="s">
        <v>1840</v>
      </c>
      <c r="V239" s="148">
        <v>0.04</v>
      </c>
      <c r="W239" s="148">
        <v>4.931E-2</v>
      </c>
      <c r="X239" s="145" t="s">
        <v>412</v>
      </c>
      <c r="Y239" s="159"/>
      <c r="Z239" s="146">
        <v>69344.800000000003</v>
      </c>
      <c r="AA239" s="146">
        <v>1</v>
      </c>
      <c r="AB239" s="146">
        <v>101.61</v>
      </c>
      <c r="AC239" s="151"/>
      <c r="AD239" s="146">
        <v>70.460999999999999</v>
      </c>
      <c r="AE239" s="151"/>
      <c r="AF239" s="151"/>
      <c r="AG239" s="151"/>
      <c r="AH239" s="148">
        <v>1.2E-4</v>
      </c>
      <c r="AI239" s="148">
        <v>4.8999999999999998E-4</v>
      </c>
      <c r="AJ239" s="149">
        <v>6.9999999999999994E-5</v>
      </c>
      <c r="AK239" s="196"/>
    </row>
    <row r="240" spans="1:37" x14ac:dyDescent="0.2">
      <c r="A240" s="144" t="s">
        <v>1205</v>
      </c>
      <c r="B240" s="145" t="s">
        <v>1205</v>
      </c>
      <c r="C240" s="145" t="s">
        <v>1724</v>
      </c>
      <c r="D240" s="145" t="s">
        <v>1725</v>
      </c>
      <c r="E240" s="145" t="s">
        <v>309</v>
      </c>
      <c r="F240" s="145" t="s">
        <v>1841</v>
      </c>
      <c r="G240" s="145" t="s">
        <v>1842</v>
      </c>
      <c r="H240" s="145" t="s">
        <v>321</v>
      </c>
      <c r="I240" s="145" t="s">
        <v>754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464</v>
      </c>
      <c r="O240" s="145" t="s">
        <v>339</v>
      </c>
      <c r="P240" s="145" t="s">
        <v>1392</v>
      </c>
      <c r="Q240" s="145" t="s">
        <v>413</v>
      </c>
      <c r="R240" s="145" t="s">
        <v>407</v>
      </c>
      <c r="S240" s="145" t="s">
        <v>1210</v>
      </c>
      <c r="T240" s="146">
        <v>1.41</v>
      </c>
      <c r="U240" s="145" t="s">
        <v>1509</v>
      </c>
      <c r="V240" s="148">
        <v>2.4E-2</v>
      </c>
      <c r="W240" s="148">
        <v>2.5989999999999999E-2</v>
      </c>
      <c r="X240" s="145" t="s">
        <v>412</v>
      </c>
      <c r="Y240" s="159"/>
      <c r="Z240" s="146">
        <v>58059.57</v>
      </c>
      <c r="AA240" s="146">
        <v>1</v>
      </c>
      <c r="AB240" s="146">
        <v>115.95</v>
      </c>
      <c r="AC240" s="151"/>
      <c r="AD240" s="146">
        <v>67.319999999999993</v>
      </c>
      <c r="AE240" s="151"/>
      <c r="AF240" s="151"/>
      <c r="AG240" s="151"/>
      <c r="AH240" s="148">
        <v>1.1E-4</v>
      </c>
      <c r="AI240" s="148">
        <v>4.6999999999999999E-4</v>
      </c>
      <c r="AJ240" s="149">
        <v>6.0000000000000002E-5</v>
      </c>
      <c r="AK240" s="196"/>
    </row>
    <row r="241" spans="1:37" x14ac:dyDescent="0.2">
      <c r="A241" s="144" t="s">
        <v>1205</v>
      </c>
      <c r="B241" s="145" t="s">
        <v>1205</v>
      </c>
      <c r="C241" s="145" t="s">
        <v>1516</v>
      </c>
      <c r="D241" s="145" t="s">
        <v>1517</v>
      </c>
      <c r="E241" s="145" t="s">
        <v>309</v>
      </c>
      <c r="F241" s="145" t="s">
        <v>1518</v>
      </c>
      <c r="G241" s="145" t="s">
        <v>1519</v>
      </c>
      <c r="H241" s="145" t="s">
        <v>321</v>
      </c>
      <c r="I241" s="145" t="s">
        <v>951</v>
      </c>
      <c r="J241" s="145" t="s">
        <v>204</v>
      </c>
      <c r="K241" s="145" t="s">
        <v>204</v>
      </c>
      <c r="L241" s="145" t="s">
        <v>325</v>
      </c>
      <c r="M241" s="145" t="s">
        <v>340</v>
      </c>
      <c r="N241" s="145" t="s">
        <v>465</v>
      </c>
      <c r="O241" s="145" t="s">
        <v>339</v>
      </c>
      <c r="P241" s="145" t="s">
        <v>1520</v>
      </c>
      <c r="Q241" s="145" t="s">
        <v>415</v>
      </c>
      <c r="R241" s="145" t="s">
        <v>407</v>
      </c>
      <c r="S241" s="145" t="s">
        <v>1210</v>
      </c>
      <c r="T241" s="146">
        <v>0.37</v>
      </c>
      <c r="U241" s="145" t="s">
        <v>1521</v>
      </c>
      <c r="V241" s="148">
        <v>3.5000000000000003E-2</v>
      </c>
      <c r="W241" s="148">
        <v>5.756E-2</v>
      </c>
      <c r="X241" s="145" t="s">
        <v>412</v>
      </c>
      <c r="Y241" s="159"/>
      <c r="Z241" s="146">
        <v>66385.34</v>
      </c>
      <c r="AA241" s="146">
        <v>1</v>
      </c>
      <c r="AB241" s="146">
        <v>99.65</v>
      </c>
      <c r="AC241" s="151"/>
      <c r="AD241" s="146">
        <v>66.153000000000006</v>
      </c>
      <c r="AE241" s="151"/>
      <c r="AF241" s="151"/>
      <c r="AG241" s="151"/>
      <c r="AH241" s="148">
        <v>1.39E-3</v>
      </c>
      <c r="AI241" s="148">
        <v>4.6000000000000001E-4</v>
      </c>
      <c r="AJ241" s="149">
        <v>6.0000000000000002E-5</v>
      </c>
      <c r="AK241" s="196"/>
    </row>
    <row r="242" spans="1:37" x14ac:dyDescent="0.2">
      <c r="A242" s="144" t="s">
        <v>1205</v>
      </c>
      <c r="B242" s="145" t="s">
        <v>1205</v>
      </c>
      <c r="C242" s="145" t="s">
        <v>1843</v>
      </c>
      <c r="D242" s="145" t="s">
        <v>1844</v>
      </c>
      <c r="E242" s="145" t="s">
        <v>309</v>
      </c>
      <c r="F242" s="145" t="s">
        <v>1845</v>
      </c>
      <c r="G242" s="145" t="s">
        <v>1846</v>
      </c>
      <c r="H242" s="145" t="s">
        <v>321</v>
      </c>
      <c r="I242" s="145" t="s">
        <v>951</v>
      </c>
      <c r="J242" s="145" t="s">
        <v>204</v>
      </c>
      <c r="K242" s="145" t="s">
        <v>204</v>
      </c>
      <c r="L242" s="145" t="s">
        <v>325</v>
      </c>
      <c r="M242" s="145" t="s">
        <v>340</v>
      </c>
      <c r="N242" s="145" t="s">
        <v>445</v>
      </c>
      <c r="O242" s="145" t="s">
        <v>339</v>
      </c>
      <c r="P242" s="145" t="s">
        <v>1520</v>
      </c>
      <c r="Q242" s="145" t="s">
        <v>415</v>
      </c>
      <c r="R242" s="145" t="s">
        <v>407</v>
      </c>
      <c r="S242" s="145" t="s">
        <v>1210</v>
      </c>
      <c r="T242" s="146">
        <v>0.62</v>
      </c>
      <c r="U242" s="145" t="s">
        <v>1847</v>
      </c>
      <c r="V242" s="148">
        <v>3.27E-2</v>
      </c>
      <c r="W242" s="148">
        <v>5.4519999999999999E-2</v>
      </c>
      <c r="X242" s="145" t="s">
        <v>412</v>
      </c>
      <c r="Y242" s="159"/>
      <c r="Z242" s="146">
        <v>37287</v>
      </c>
      <c r="AA242" s="146">
        <v>1</v>
      </c>
      <c r="AB242" s="146">
        <v>99.93</v>
      </c>
      <c r="AC242" s="151"/>
      <c r="AD242" s="146">
        <v>37.261000000000003</v>
      </c>
      <c r="AE242" s="151"/>
      <c r="AF242" s="151"/>
      <c r="AG242" s="151"/>
      <c r="AH242" s="148">
        <v>1.2E-4</v>
      </c>
      <c r="AI242" s="148">
        <v>2.5999999999999998E-4</v>
      </c>
      <c r="AJ242" s="149">
        <v>4.0000000000000003E-5</v>
      </c>
      <c r="AK242" s="196"/>
    </row>
    <row r="243" spans="1:37" x14ac:dyDescent="0.2">
      <c r="A243" s="144" t="s">
        <v>1205</v>
      </c>
      <c r="B243" s="145" t="s">
        <v>1205</v>
      </c>
      <c r="C243" s="145" t="s">
        <v>1581</v>
      </c>
      <c r="D243" s="145" t="s">
        <v>1582</v>
      </c>
      <c r="E243" s="145" t="s">
        <v>309</v>
      </c>
      <c r="F243" s="145" t="s">
        <v>1848</v>
      </c>
      <c r="G243" s="145" t="s">
        <v>1849</v>
      </c>
      <c r="H243" s="145" t="s">
        <v>321</v>
      </c>
      <c r="I243" s="145" t="s">
        <v>754</v>
      </c>
      <c r="J243" s="145" t="s">
        <v>204</v>
      </c>
      <c r="K243" s="145" t="s">
        <v>204</v>
      </c>
      <c r="L243" s="145" t="s">
        <v>325</v>
      </c>
      <c r="M243" s="145" t="s">
        <v>340</v>
      </c>
      <c r="N243" s="145" t="s">
        <v>464</v>
      </c>
      <c r="O243" s="145" t="s">
        <v>339</v>
      </c>
      <c r="P243" s="145" t="s">
        <v>1350</v>
      </c>
      <c r="Q243" s="145" t="s">
        <v>413</v>
      </c>
      <c r="R243" s="145" t="s">
        <v>407</v>
      </c>
      <c r="S243" s="145" t="s">
        <v>1210</v>
      </c>
      <c r="T243" s="146">
        <v>0.11</v>
      </c>
      <c r="U243" s="145" t="s">
        <v>1850</v>
      </c>
      <c r="V243" s="148">
        <v>2.5000000000000001E-2</v>
      </c>
      <c r="W243" s="148">
        <v>3.7620000000000001E-2</v>
      </c>
      <c r="X243" s="145" t="s">
        <v>412</v>
      </c>
      <c r="Y243" s="159"/>
      <c r="Z243" s="146">
        <v>18637.05</v>
      </c>
      <c r="AA243" s="146">
        <v>1</v>
      </c>
      <c r="AB243" s="146">
        <v>116.75</v>
      </c>
      <c r="AC243" s="151"/>
      <c r="AD243" s="146">
        <v>21.759</v>
      </c>
      <c r="AE243" s="151"/>
      <c r="AF243" s="151"/>
      <c r="AG243" s="151"/>
      <c r="AH243" s="148">
        <v>8.0000000000000007E-5</v>
      </c>
      <c r="AI243" s="148">
        <v>1.4999999999999999E-4</v>
      </c>
      <c r="AJ243" s="149">
        <v>2.0000000000000002E-5</v>
      </c>
      <c r="AK243" s="196"/>
    </row>
    <row r="244" spans="1:37" x14ac:dyDescent="0.2">
      <c r="A244" s="144" t="s">
        <v>1205</v>
      </c>
      <c r="B244" s="145" t="s">
        <v>1205</v>
      </c>
      <c r="C244" s="145" t="s">
        <v>1851</v>
      </c>
      <c r="D244" s="145" t="s">
        <v>1852</v>
      </c>
      <c r="E244" s="145" t="s">
        <v>309</v>
      </c>
      <c r="F244" s="145" t="s">
        <v>1853</v>
      </c>
      <c r="G244" s="145" t="s">
        <v>1854</v>
      </c>
      <c r="H244" s="145" t="s">
        <v>321</v>
      </c>
      <c r="I244" s="145" t="s">
        <v>951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464</v>
      </c>
      <c r="O244" s="145" t="s">
        <v>339</v>
      </c>
      <c r="P244" s="145" t="s">
        <v>1392</v>
      </c>
      <c r="Q244" s="145" t="s">
        <v>413</v>
      </c>
      <c r="R244" s="145" t="s">
        <v>407</v>
      </c>
      <c r="S244" s="145" t="s">
        <v>1210</v>
      </c>
      <c r="T244" s="146">
        <v>0.24</v>
      </c>
      <c r="U244" s="145" t="s">
        <v>1855</v>
      </c>
      <c r="V244" s="148">
        <v>2.5499999999999998E-2</v>
      </c>
      <c r="W244" s="148">
        <v>3.0169999999999999E-2</v>
      </c>
      <c r="X244" s="145" t="s">
        <v>412</v>
      </c>
      <c r="Y244" s="159"/>
      <c r="Z244" s="146">
        <v>0.02</v>
      </c>
      <c r="AA244" s="146">
        <v>1</v>
      </c>
      <c r="AB244" s="146">
        <v>100.56</v>
      </c>
      <c r="AC244" s="151"/>
      <c r="AD244" s="146">
        <v>0</v>
      </c>
      <c r="AE244" s="151"/>
      <c r="AF244" s="151"/>
      <c r="AG244" s="151"/>
      <c r="AH244" s="148">
        <v>0</v>
      </c>
      <c r="AI244" s="148">
        <v>0</v>
      </c>
      <c r="AJ244" s="149">
        <v>0</v>
      </c>
      <c r="AK244" s="196"/>
    </row>
    <row r="245" spans="1:37" x14ac:dyDescent="0.2">
      <c r="A245" s="144" t="s">
        <v>1205</v>
      </c>
      <c r="B245" s="145" t="s">
        <v>1205</v>
      </c>
      <c r="C245" s="145" t="s">
        <v>1856</v>
      </c>
      <c r="D245" s="145" t="s">
        <v>1857</v>
      </c>
      <c r="E245" s="145" t="s">
        <v>313</v>
      </c>
      <c r="F245" s="145" t="s">
        <v>1858</v>
      </c>
      <c r="G245" s="145" t="s">
        <v>1859</v>
      </c>
      <c r="H245" s="145" t="s">
        <v>321</v>
      </c>
      <c r="I245" s="145" t="s">
        <v>755</v>
      </c>
      <c r="J245" s="145" t="s">
        <v>205</v>
      </c>
      <c r="K245" s="145" t="s">
        <v>268</v>
      </c>
      <c r="L245" s="145" t="s">
        <v>325</v>
      </c>
      <c r="M245" s="145" t="s">
        <v>364</v>
      </c>
      <c r="N245" s="145" t="s">
        <v>539</v>
      </c>
      <c r="O245" s="145" t="s">
        <v>339</v>
      </c>
      <c r="P245" s="145" t="s">
        <v>1860</v>
      </c>
      <c r="Q245" s="145" t="s">
        <v>433</v>
      </c>
      <c r="R245" s="145" t="s">
        <v>407</v>
      </c>
      <c r="S245" s="145" t="s">
        <v>1211</v>
      </c>
      <c r="T245" s="146">
        <v>2.0979999999999999</v>
      </c>
      <c r="U245" s="145" t="s">
        <v>1861</v>
      </c>
      <c r="V245" s="148">
        <v>5.6250000000000001E-2</v>
      </c>
      <c r="W245" s="148">
        <v>8.8080000000000006E-2</v>
      </c>
      <c r="X245" s="145" t="s">
        <v>412</v>
      </c>
      <c r="Y245" s="159"/>
      <c r="Z245" s="146">
        <v>270000</v>
      </c>
      <c r="AA245" s="146">
        <v>3.718</v>
      </c>
      <c r="AB245" s="146">
        <v>103.75</v>
      </c>
      <c r="AC245" s="151"/>
      <c r="AD245" s="146">
        <v>1041.5050000000001</v>
      </c>
      <c r="AE245" s="151"/>
      <c r="AF245" s="151"/>
      <c r="AG245" s="151"/>
      <c r="AH245" s="148">
        <v>3.4000000000000002E-4</v>
      </c>
      <c r="AI245" s="148">
        <v>7.1999999999999998E-3</v>
      </c>
      <c r="AJ245" s="149">
        <v>9.8999999999999999E-4</v>
      </c>
      <c r="AK245" s="196"/>
    </row>
    <row r="246" spans="1:37" x14ac:dyDescent="0.2">
      <c r="A246" s="144" t="s">
        <v>1217</v>
      </c>
      <c r="B246" s="145" t="s">
        <v>1218</v>
      </c>
      <c r="C246" s="145" t="s">
        <v>1318</v>
      </c>
      <c r="D246" s="145" t="s">
        <v>1319</v>
      </c>
      <c r="E246" s="145" t="s">
        <v>313</v>
      </c>
      <c r="F246" s="145" t="s">
        <v>1320</v>
      </c>
      <c r="G246" s="145" t="s">
        <v>1321</v>
      </c>
      <c r="H246" s="145" t="s">
        <v>321</v>
      </c>
      <c r="I246" s="145" t="s">
        <v>754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440</v>
      </c>
      <c r="O246" s="145" t="s">
        <v>339</v>
      </c>
      <c r="P246" s="145" t="s">
        <v>1209</v>
      </c>
      <c r="Q246" s="145" t="s">
        <v>415</v>
      </c>
      <c r="R246" s="145" t="s">
        <v>407</v>
      </c>
      <c r="S246" s="145" t="s">
        <v>1210</v>
      </c>
      <c r="T246" s="146">
        <v>10.119999999999999</v>
      </c>
      <c r="U246" s="145" t="s">
        <v>1322</v>
      </c>
      <c r="V246" s="148">
        <v>3.2000000000000001E-2</v>
      </c>
      <c r="W246" s="148">
        <v>3.1019999999999999E-2</v>
      </c>
      <c r="X246" s="145" t="s">
        <v>412</v>
      </c>
      <c r="Y246" s="159"/>
      <c r="Z246" s="146">
        <v>4055189</v>
      </c>
      <c r="AA246" s="146">
        <v>1</v>
      </c>
      <c r="AB246" s="146">
        <v>107.1</v>
      </c>
      <c r="AC246" s="151"/>
      <c r="AD246" s="146">
        <v>4343.107</v>
      </c>
      <c r="AE246" s="151"/>
      <c r="AF246" s="151"/>
      <c r="AG246" s="151"/>
      <c r="AH246" s="148">
        <v>8.1999999999999998E-4</v>
      </c>
      <c r="AI246" s="148">
        <v>7.4429999999999996E-2</v>
      </c>
      <c r="AJ246" s="149">
        <v>3.4299999999999999E-3</v>
      </c>
      <c r="AK246" s="196"/>
    </row>
    <row r="247" spans="1:37" x14ac:dyDescent="0.2">
      <c r="A247" s="144" t="s">
        <v>1217</v>
      </c>
      <c r="B247" s="145" t="s">
        <v>1218</v>
      </c>
      <c r="C247" s="145" t="s">
        <v>1326</v>
      </c>
      <c r="D247" s="145" t="s">
        <v>1327</v>
      </c>
      <c r="E247" s="145" t="s">
        <v>309</v>
      </c>
      <c r="F247" s="145" t="s">
        <v>1332</v>
      </c>
      <c r="G247" s="145" t="s">
        <v>1333</v>
      </c>
      <c r="H247" s="145" t="s">
        <v>321</v>
      </c>
      <c r="I247" s="145" t="s">
        <v>754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448</v>
      </c>
      <c r="O247" s="145" t="s">
        <v>339</v>
      </c>
      <c r="P247" s="145" t="s">
        <v>1330</v>
      </c>
      <c r="Q247" s="145" t="s">
        <v>413</v>
      </c>
      <c r="R247" s="145" t="s">
        <v>407</v>
      </c>
      <c r="S247" s="145" t="s">
        <v>1210</v>
      </c>
      <c r="T247" s="146">
        <v>5.22</v>
      </c>
      <c r="U247" s="145" t="s">
        <v>1334</v>
      </c>
      <c r="V247" s="148">
        <v>2E-3</v>
      </c>
      <c r="W247" s="148">
        <v>2.606E-2</v>
      </c>
      <c r="X247" s="145" t="s">
        <v>412</v>
      </c>
      <c r="Y247" s="159"/>
      <c r="Z247" s="146">
        <v>4165938</v>
      </c>
      <c r="AA247" s="146">
        <v>1</v>
      </c>
      <c r="AB247" s="146">
        <v>102.35</v>
      </c>
      <c r="AC247" s="151"/>
      <c r="AD247" s="146">
        <v>4263.8379999999997</v>
      </c>
      <c r="AE247" s="151"/>
      <c r="AF247" s="151"/>
      <c r="AG247" s="151"/>
      <c r="AH247" s="148">
        <v>1.1999999999999999E-3</v>
      </c>
      <c r="AI247" s="148">
        <v>7.3069999999999996E-2</v>
      </c>
      <c r="AJ247" s="149">
        <v>3.3600000000000001E-3</v>
      </c>
      <c r="AK247" s="196"/>
    </row>
    <row r="248" spans="1:37" x14ac:dyDescent="0.2">
      <c r="A248" s="144" t="s">
        <v>1217</v>
      </c>
      <c r="B248" s="145" t="s">
        <v>1218</v>
      </c>
      <c r="C248" s="145" t="s">
        <v>1318</v>
      </c>
      <c r="D248" s="145" t="s">
        <v>1319</v>
      </c>
      <c r="E248" s="145" t="s">
        <v>313</v>
      </c>
      <c r="F248" s="145" t="s">
        <v>1323</v>
      </c>
      <c r="G248" s="145" t="s">
        <v>1324</v>
      </c>
      <c r="H248" s="145" t="s">
        <v>321</v>
      </c>
      <c r="I248" s="145" t="s">
        <v>754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440</v>
      </c>
      <c r="O248" s="145" t="s">
        <v>339</v>
      </c>
      <c r="P248" s="145" t="s">
        <v>1209</v>
      </c>
      <c r="Q248" s="145" t="s">
        <v>415</v>
      </c>
      <c r="R248" s="145" t="s">
        <v>407</v>
      </c>
      <c r="S248" s="145" t="s">
        <v>1210</v>
      </c>
      <c r="T248" s="146">
        <v>7.27</v>
      </c>
      <c r="U248" s="145" t="s">
        <v>1325</v>
      </c>
      <c r="V248" s="148">
        <v>0.03</v>
      </c>
      <c r="W248" s="148">
        <v>2.9510000000000002E-2</v>
      </c>
      <c r="X248" s="145" t="s">
        <v>412</v>
      </c>
      <c r="Y248" s="159"/>
      <c r="Z248" s="146">
        <v>3940000</v>
      </c>
      <c r="AA248" s="146">
        <v>1</v>
      </c>
      <c r="AB248" s="146">
        <v>106.29</v>
      </c>
      <c r="AC248" s="151"/>
      <c r="AD248" s="146">
        <v>4187.826</v>
      </c>
      <c r="AE248" s="151"/>
      <c r="AF248" s="151"/>
      <c r="AG248" s="151"/>
      <c r="AH248" s="148">
        <v>9.7000000000000005E-4</v>
      </c>
      <c r="AI248" s="148">
        <v>7.1760000000000004E-2</v>
      </c>
      <c r="AJ248" s="149">
        <v>3.3E-3</v>
      </c>
      <c r="AK248" s="196"/>
    </row>
    <row r="249" spans="1:37" x14ac:dyDescent="0.2">
      <c r="A249" s="144" t="s">
        <v>1217</v>
      </c>
      <c r="B249" s="145" t="s">
        <v>1218</v>
      </c>
      <c r="C249" s="145" t="s">
        <v>1326</v>
      </c>
      <c r="D249" s="145" t="s">
        <v>1327</v>
      </c>
      <c r="E249" s="145" t="s">
        <v>309</v>
      </c>
      <c r="F249" s="145" t="s">
        <v>1328</v>
      </c>
      <c r="G249" s="145" t="s">
        <v>1329</v>
      </c>
      <c r="H249" s="145" t="s">
        <v>321</v>
      </c>
      <c r="I249" s="145" t="s">
        <v>754</v>
      </c>
      <c r="J249" s="145" t="s">
        <v>204</v>
      </c>
      <c r="K249" s="145" t="s">
        <v>204</v>
      </c>
      <c r="L249" s="145" t="s">
        <v>325</v>
      </c>
      <c r="M249" s="145" t="s">
        <v>340</v>
      </c>
      <c r="N249" s="145" t="s">
        <v>448</v>
      </c>
      <c r="O249" s="145" t="s">
        <v>339</v>
      </c>
      <c r="P249" s="145" t="s">
        <v>1330</v>
      </c>
      <c r="Q249" s="145" t="s">
        <v>413</v>
      </c>
      <c r="R249" s="145" t="s">
        <v>407</v>
      </c>
      <c r="S249" s="145" t="s">
        <v>1210</v>
      </c>
      <c r="T249" s="146">
        <v>1.22</v>
      </c>
      <c r="U249" s="145" t="s">
        <v>1331</v>
      </c>
      <c r="V249" s="148">
        <v>3.8E-3</v>
      </c>
      <c r="W249" s="148">
        <v>2.3910000000000001E-2</v>
      </c>
      <c r="X249" s="145" t="s">
        <v>412</v>
      </c>
      <c r="Y249" s="159"/>
      <c r="Z249" s="146">
        <v>2666708</v>
      </c>
      <c r="AA249" s="146">
        <v>1</v>
      </c>
      <c r="AB249" s="146">
        <v>111.45</v>
      </c>
      <c r="AC249" s="151"/>
      <c r="AD249" s="146">
        <v>2972.0459999999998</v>
      </c>
      <c r="AE249" s="151"/>
      <c r="AF249" s="151"/>
      <c r="AG249" s="151"/>
      <c r="AH249" s="148">
        <v>8.8999999999999995E-4</v>
      </c>
      <c r="AI249" s="148">
        <v>5.0930000000000003E-2</v>
      </c>
      <c r="AJ249" s="149">
        <v>2.3400000000000001E-3</v>
      </c>
      <c r="AK249" s="196"/>
    </row>
    <row r="250" spans="1:37" x14ac:dyDescent="0.2">
      <c r="A250" s="144" t="s">
        <v>1217</v>
      </c>
      <c r="B250" s="145" t="s">
        <v>1218</v>
      </c>
      <c r="C250" s="145" t="s">
        <v>1335</v>
      </c>
      <c r="D250" s="145" t="s">
        <v>1336</v>
      </c>
      <c r="E250" s="145" t="s">
        <v>309</v>
      </c>
      <c r="F250" s="145" t="s">
        <v>1337</v>
      </c>
      <c r="G250" s="145" t="s">
        <v>1338</v>
      </c>
      <c r="H250" s="145" t="s">
        <v>321</v>
      </c>
      <c r="I250" s="145" t="s">
        <v>754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448</v>
      </c>
      <c r="O250" s="145" t="s">
        <v>339</v>
      </c>
      <c r="P250" s="145" t="s">
        <v>1330</v>
      </c>
      <c r="Q250" s="145" t="s">
        <v>413</v>
      </c>
      <c r="R250" s="145" t="s">
        <v>407</v>
      </c>
      <c r="S250" s="145" t="s">
        <v>1210</v>
      </c>
      <c r="T250" s="146">
        <v>4.6399999999999997</v>
      </c>
      <c r="U250" s="145" t="s">
        <v>1339</v>
      </c>
      <c r="V250" s="148">
        <v>1E-3</v>
      </c>
      <c r="W250" s="148">
        <v>2.571E-2</v>
      </c>
      <c r="X250" s="145" t="s">
        <v>412</v>
      </c>
      <c r="Y250" s="159"/>
      <c r="Z250" s="146">
        <v>2863200</v>
      </c>
      <c r="AA250" s="146">
        <v>1</v>
      </c>
      <c r="AB250" s="146">
        <v>100.7</v>
      </c>
      <c r="AC250" s="151"/>
      <c r="AD250" s="146">
        <v>2883.2420000000002</v>
      </c>
      <c r="AE250" s="151"/>
      <c r="AF250" s="151"/>
      <c r="AG250" s="151"/>
      <c r="AH250" s="148">
        <v>1.15E-3</v>
      </c>
      <c r="AI250" s="148">
        <v>4.9410000000000003E-2</v>
      </c>
      <c r="AJ250" s="149">
        <v>2.2699999999999999E-3</v>
      </c>
      <c r="AK250" s="196"/>
    </row>
    <row r="251" spans="1:37" x14ac:dyDescent="0.2">
      <c r="A251" s="144" t="s">
        <v>1217</v>
      </c>
      <c r="B251" s="145" t="s">
        <v>1218</v>
      </c>
      <c r="C251" s="145" t="s">
        <v>1354</v>
      </c>
      <c r="D251" s="145" t="s">
        <v>1355</v>
      </c>
      <c r="E251" s="145" t="s">
        <v>309</v>
      </c>
      <c r="F251" s="145" t="s">
        <v>1356</v>
      </c>
      <c r="G251" s="145" t="s">
        <v>1357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445</v>
      </c>
      <c r="O251" s="145" t="s">
        <v>339</v>
      </c>
      <c r="P251" s="145" t="s">
        <v>1358</v>
      </c>
      <c r="Q251" s="145" t="s">
        <v>415</v>
      </c>
      <c r="R251" s="145" t="s">
        <v>407</v>
      </c>
      <c r="S251" s="145" t="s">
        <v>1210</v>
      </c>
      <c r="T251" s="146">
        <v>6.33</v>
      </c>
      <c r="U251" s="145" t="s">
        <v>1359</v>
      </c>
      <c r="V251" s="148">
        <v>5.0200000000000002E-2</v>
      </c>
      <c r="W251" s="148">
        <v>5.2510000000000001E-2</v>
      </c>
      <c r="X251" s="145" t="s">
        <v>412</v>
      </c>
      <c r="Y251" s="159"/>
      <c r="Z251" s="146">
        <v>2600000</v>
      </c>
      <c r="AA251" s="146">
        <v>1</v>
      </c>
      <c r="AB251" s="146">
        <v>99.08</v>
      </c>
      <c r="AC251" s="151"/>
      <c r="AD251" s="146">
        <v>2576.08</v>
      </c>
      <c r="AE251" s="151"/>
      <c r="AF251" s="151"/>
      <c r="AG251" s="151"/>
      <c r="AH251" s="148">
        <v>6.4999999999999997E-3</v>
      </c>
      <c r="AI251" s="148">
        <v>4.4150000000000002E-2</v>
      </c>
      <c r="AJ251" s="149">
        <v>2.0300000000000001E-3</v>
      </c>
      <c r="AK251" s="196"/>
    </row>
    <row r="252" spans="1:37" x14ac:dyDescent="0.2">
      <c r="A252" s="144" t="s">
        <v>1217</v>
      </c>
      <c r="B252" s="145" t="s">
        <v>1218</v>
      </c>
      <c r="C252" s="145" t="s">
        <v>1326</v>
      </c>
      <c r="D252" s="145" t="s">
        <v>1327</v>
      </c>
      <c r="E252" s="145" t="s">
        <v>309</v>
      </c>
      <c r="F252" s="145" t="s">
        <v>1343</v>
      </c>
      <c r="G252" s="145" t="s">
        <v>1344</v>
      </c>
      <c r="H252" s="145" t="s">
        <v>321</v>
      </c>
      <c r="I252" s="145" t="s">
        <v>754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448</v>
      </c>
      <c r="O252" s="145" t="s">
        <v>339</v>
      </c>
      <c r="P252" s="145" t="s">
        <v>1209</v>
      </c>
      <c r="Q252" s="145" t="s">
        <v>415</v>
      </c>
      <c r="R252" s="145" t="s">
        <v>407</v>
      </c>
      <c r="S252" s="145" t="s">
        <v>1210</v>
      </c>
      <c r="T252" s="146">
        <v>1.67</v>
      </c>
      <c r="U252" s="145" t="s">
        <v>1345</v>
      </c>
      <c r="V252" s="148">
        <v>5.0000000000000001E-3</v>
      </c>
      <c r="W252" s="148">
        <v>2.4320000000000001E-2</v>
      </c>
      <c r="X252" s="145" t="s">
        <v>412</v>
      </c>
      <c r="Y252" s="159"/>
      <c r="Z252" s="146">
        <v>1783400</v>
      </c>
      <c r="AA252" s="146">
        <v>1</v>
      </c>
      <c r="AB252" s="146">
        <v>111.01</v>
      </c>
      <c r="AC252" s="151"/>
      <c r="AD252" s="146">
        <v>1979.752</v>
      </c>
      <c r="AE252" s="151"/>
      <c r="AF252" s="151"/>
      <c r="AG252" s="151"/>
      <c r="AH252" s="148">
        <v>2.3400000000000001E-3</v>
      </c>
      <c r="AI252" s="148">
        <v>3.3930000000000002E-2</v>
      </c>
      <c r="AJ252" s="149">
        <v>1.56E-3</v>
      </c>
      <c r="AK252" s="196"/>
    </row>
    <row r="253" spans="1:37" x14ac:dyDescent="0.2">
      <c r="A253" s="144" t="s">
        <v>1217</v>
      </c>
      <c r="B253" s="145" t="s">
        <v>1218</v>
      </c>
      <c r="C253" s="145" t="s">
        <v>1363</v>
      </c>
      <c r="D253" s="145" t="s">
        <v>1364</v>
      </c>
      <c r="E253" s="145" t="s">
        <v>309</v>
      </c>
      <c r="F253" s="145" t="s">
        <v>1365</v>
      </c>
      <c r="G253" s="145" t="s">
        <v>1366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448</v>
      </c>
      <c r="O253" s="145" t="s">
        <v>339</v>
      </c>
      <c r="P253" s="145" t="s">
        <v>1330</v>
      </c>
      <c r="Q253" s="145" t="s">
        <v>413</v>
      </c>
      <c r="R253" s="145" t="s">
        <v>407</v>
      </c>
      <c r="S253" s="145" t="s">
        <v>1210</v>
      </c>
      <c r="T253" s="146">
        <v>3.05</v>
      </c>
      <c r="U253" s="145" t="s">
        <v>1367</v>
      </c>
      <c r="V253" s="148">
        <v>1.7500000000000002E-2</v>
      </c>
      <c r="W253" s="148">
        <v>2.546E-2</v>
      </c>
      <c r="X253" s="145" t="s">
        <v>412</v>
      </c>
      <c r="Y253" s="159"/>
      <c r="Z253" s="146">
        <v>1748337.74</v>
      </c>
      <c r="AA253" s="146">
        <v>1</v>
      </c>
      <c r="AB253" s="146">
        <v>112.78</v>
      </c>
      <c r="AC253" s="151"/>
      <c r="AD253" s="146">
        <v>1971.7750000000001</v>
      </c>
      <c r="AE253" s="151"/>
      <c r="AF253" s="151"/>
      <c r="AG253" s="151"/>
      <c r="AH253" s="148">
        <v>7.7999999999999999E-4</v>
      </c>
      <c r="AI253" s="148">
        <v>3.3790000000000001E-2</v>
      </c>
      <c r="AJ253" s="149">
        <v>1.56E-3</v>
      </c>
      <c r="AK253" s="196"/>
    </row>
    <row r="254" spans="1:37" x14ac:dyDescent="0.2">
      <c r="A254" s="144" t="s">
        <v>1217</v>
      </c>
      <c r="B254" s="145" t="s">
        <v>1218</v>
      </c>
      <c r="C254" s="145" t="s">
        <v>1335</v>
      </c>
      <c r="D254" s="145" t="s">
        <v>1336</v>
      </c>
      <c r="E254" s="145" t="s">
        <v>309</v>
      </c>
      <c r="F254" s="145" t="s">
        <v>1368</v>
      </c>
      <c r="G254" s="145" t="s">
        <v>1369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448</v>
      </c>
      <c r="O254" s="145" t="s">
        <v>339</v>
      </c>
      <c r="P254" s="145" t="s">
        <v>1330</v>
      </c>
      <c r="Q254" s="145" t="s">
        <v>413</v>
      </c>
      <c r="R254" s="145" t="s">
        <v>407</v>
      </c>
      <c r="S254" s="145" t="s">
        <v>1210</v>
      </c>
      <c r="T254" s="146">
        <v>4.5999999999999996</v>
      </c>
      <c r="U254" s="145" t="s">
        <v>1370</v>
      </c>
      <c r="V254" s="148">
        <v>2.0199999999999999E-2</v>
      </c>
      <c r="W254" s="148">
        <v>2.5819999999999999E-2</v>
      </c>
      <c r="X254" s="145" t="s">
        <v>412</v>
      </c>
      <c r="Y254" s="159"/>
      <c r="Z254" s="146">
        <v>1920000</v>
      </c>
      <c r="AA254" s="146">
        <v>1</v>
      </c>
      <c r="AB254" s="146">
        <v>101.85</v>
      </c>
      <c r="AC254" s="151"/>
      <c r="AD254" s="146">
        <v>1955.52</v>
      </c>
      <c r="AE254" s="151"/>
      <c r="AF254" s="151"/>
      <c r="AG254" s="151"/>
      <c r="AH254" s="148">
        <v>5.4000000000000001E-4</v>
      </c>
      <c r="AI254" s="148">
        <v>3.3509999999999998E-2</v>
      </c>
      <c r="AJ254" s="149">
        <v>1.5399999999999999E-3</v>
      </c>
      <c r="AK254" s="196"/>
    </row>
    <row r="255" spans="1:37" x14ac:dyDescent="0.2">
      <c r="A255" s="144" t="s">
        <v>1217</v>
      </c>
      <c r="B255" s="145" t="s">
        <v>1218</v>
      </c>
      <c r="C255" s="145" t="s">
        <v>1346</v>
      </c>
      <c r="D255" s="145" t="s">
        <v>1347</v>
      </c>
      <c r="E255" s="145" t="s">
        <v>309</v>
      </c>
      <c r="F255" s="145" t="s">
        <v>1348</v>
      </c>
      <c r="G255" s="145" t="s">
        <v>1349</v>
      </c>
      <c r="H255" s="145" t="s">
        <v>321</v>
      </c>
      <c r="I255" s="145" t="s">
        <v>951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445</v>
      </c>
      <c r="O255" s="145" t="s">
        <v>339</v>
      </c>
      <c r="P255" s="145" t="s">
        <v>1350</v>
      </c>
      <c r="Q255" s="145" t="s">
        <v>413</v>
      </c>
      <c r="R255" s="145" t="s">
        <v>407</v>
      </c>
      <c r="S255" s="145" t="s">
        <v>1210</v>
      </c>
      <c r="T255" s="146">
        <v>4.7</v>
      </c>
      <c r="U255" s="145" t="s">
        <v>1263</v>
      </c>
      <c r="V255" s="148">
        <v>2.64E-2</v>
      </c>
      <c r="W255" s="148">
        <v>5.0160000000000003E-2</v>
      </c>
      <c r="X255" s="145" t="s">
        <v>412</v>
      </c>
      <c r="Y255" s="159"/>
      <c r="Z255" s="146">
        <v>2070506.33</v>
      </c>
      <c r="AA255" s="146">
        <v>1</v>
      </c>
      <c r="AB255" s="146">
        <v>89.86</v>
      </c>
      <c r="AC255" s="151"/>
      <c r="AD255" s="146">
        <v>1860.557</v>
      </c>
      <c r="AE255" s="151"/>
      <c r="AF255" s="151"/>
      <c r="AG255" s="151"/>
      <c r="AH255" s="148">
        <v>1.2700000000000001E-3</v>
      </c>
      <c r="AI255" s="148">
        <v>3.1879999999999999E-2</v>
      </c>
      <c r="AJ255" s="149">
        <v>1.47E-3</v>
      </c>
      <c r="AK255" s="196"/>
    </row>
    <row r="256" spans="1:37" x14ac:dyDescent="0.2">
      <c r="A256" s="144" t="s">
        <v>1217</v>
      </c>
      <c r="B256" s="145" t="s">
        <v>1218</v>
      </c>
      <c r="C256" s="145" t="s">
        <v>1326</v>
      </c>
      <c r="D256" s="145" t="s">
        <v>1327</v>
      </c>
      <c r="E256" s="145" t="s">
        <v>309</v>
      </c>
      <c r="F256" s="145" t="s">
        <v>1340</v>
      </c>
      <c r="G256" s="145" t="s">
        <v>1341</v>
      </c>
      <c r="H256" s="145" t="s">
        <v>321</v>
      </c>
      <c r="I256" s="145" t="s">
        <v>754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448</v>
      </c>
      <c r="O256" s="145" t="s">
        <v>339</v>
      </c>
      <c r="P256" s="145" t="s">
        <v>1330</v>
      </c>
      <c r="Q256" s="145" t="s">
        <v>413</v>
      </c>
      <c r="R256" s="145" t="s">
        <v>407</v>
      </c>
      <c r="S256" s="145" t="s">
        <v>1210</v>
      </c>
      <c r="T256" s="146">
        <v>2.46</v>
      </c>
      <c r="U256" s="145" t="s">
        <v>1342</v>
      </c>
      <c r="V256" s="148">
        <v>1.2200000000000001E-2</v>
      </c>
      <c r="W256" s="148">
        <v>2.4389999999999998E-2</v>
      </c>
      <c r="X256" s="145" t="s">
        <v>412</v>
      </c>
      <c r="Y256" s="159"/>
      <c r="Z256" s="146">
        <v>1579248</v>
      </c>
      <c r="AA256" s="146">
        <v>1</v>
      </c>
      <c r="AB256" s="146">
        <v>114.03</v>
      </c>
      <c r="AC256" s="151"/>
      <c r="AD256" s="146">
        <v>1800.816</v>
      </c>
      <c r="AE256" s="151"/>
      <c r="AF256" s="151"/>
      <c r="AG256" s="151"/>
      <c r="AH256" s="148">
        <v>5.1999999999999995E-4</v>
      </c>
      <c r="AI256" s="148">
        <v>3.0859999999999999E-2</v>
      </c>
      <c r="AJ256" s="149">
        <v>1.42E-3</v>
      </c>
      <c r="AK256" s="196"/>
    </row>
    <row r="257" spans="1:37" x14ac:dyDescent="0.2">
      <c r="A257" s="144" t="s">
        <v>1217</v>
      </c>
      <c r="B257" s="145" t="s">
        <v>1218</v>
      </c>
      <c r="C257" s="145" t="s">
        <v>1326</v>
      </c>
      <c r="D257" s="145" t="s">
        <v>1327</v>
      </c>
      <c r="E257" s="145" t="s">
        <v>309</v>
      </c>
      <c r="F257" s="145" t="s">
        <v>1351</v>
      </c>
      <c r="G257" s="145" t="s">
        <v>1352</v>
      </c>
      <c r="H257" s="145" t="s">
        <v>321</v>
      </c>
      <c r="I257" s="145" t="s">
        <v>951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448</v>
      </c>
      <c r="O257" s="145" t="s">
        <v>339</v>
      </c>
      <c r="P257" s="145" t="s">
        <v>1330</v>
      </c>
      <c r="Q257" s="145" t="s">
        <v>413</v>
      </c>
      <c r="R257" s="145" t="s">
        <v>407</v>
      </c>
      <c r="S257" s="145" t="s">
        <v>1210</v>
      </c>
      <c r="T257" s="146">
        <v>0.19</v>
      </c>
      <c r="U257" s="145" t="s">
        <v>1353</v>
      </c>
      <c r="V257" s="148">
        <v>2.98E-2</v>
      </c>
      <c r="W257" s="148">
        <v>4.4909999999999999E-2</v>
      </c>
      <c r="X257" s="145" t="s">
        <v>412</v>
      </c>
      <c r="Y257" s="159"/>
      <c r="Z257" s="146">
        <v>1727295</v>
      </c>
      <c r="AA257" s="146">
        <v>1</v>
      </c>
      <c r="AB257" s="146">
        <v>102.14</v>
      </c>
      <c r="AC257" s="151"/>
      <c r="AD257" s="146">
        <v>1764.259</v>
      </c>
      <c r="AE257" s="151"/>
      <c r="AF257" s="151"/>
      <c r="AG257" s="151"/>
      <c r="AH257" s="148">
        <v>6.8000000000000005E-4</v>
      </c>
      <c r="AI257" s="148">
        <v>3.023E-2</v>
      </c>
      <c r="AJ257" s="149">
        <v>1.39E-3</v>
      </c>
      <c r="AK257" s="196"/>
    </row>
    <row r="258" spans="1:37" x14ac:dyDescent="0.2">
      <c r="A258" s="144" t="s">
        <v>1217</v>
      </c>
      <c r="B258" s="145" t="s">
        <v>1218</v>
      </c>
      <c r="C258" s="145" t="s">
        <v>1318</v>
      </c>
      <c r="D258" s="145" t="s">
        <v>1319</v>
      </c>
      <c r="E258" s="145" t="s">
        <v>313</v>
      </c>
      <c r="F258" s="145" t="s">
        <v>1377</v>
      </c>
      <c r="G258" s="145" t="s">
        <v>1378</v>
      </c>
      <c r="H258" s="145" t="s">
        <v>321</v>
      </c>
      <c r="I258" s="145" t="s">
        <v>754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440</v>
      </c>
      <c r="O258" s="145" t="s">
        <v>339</v>
      </c>
      <c r="P258" s="145" t="s">
        <v>1209</v>
      </c>
      <c r="Q258" s="145" t="s">
        <v>415</v>
      </c>
      <c r="R258" s="145" t="s">
        <v>407</v>
      </c>
      <c r="S258" s="145" t="s">
        <v>1210</v>
      </c>
      <c r="T258" s="146">
        <v>5.37</v>
      </c>
      <c r="U258" s="145" t="s">
        <v>1379</v>
      </c>
      <c r="V258" s="148">
        <v>2.3900000000000001E-2</v>
      </c>
      <c r="W258" s="148">
        <v>2.7189999999999999E-2</v>
      </c>
      <c r="X258" s="145" t="s">
        <v>412</v>
      </c>
      <c r="Y258" s="159"/>
      <c r="Z258" s="146">
        <v>1500000</v>
      </c>
      <c r="AA258" s="146">
        <v>1</v>
      </c>
      <c r="AB258" s="146">
        <v>113.4</v>
      </c>
      <c r="AC258" s="151"/>
      <c r="AD258" s="146">
        <v>1701</v>
      </c>
      <c r="AE258" s="151"/>
      <c r="AF258" s="151"/>
      <c r="AG258" s="151"/>
      <c r="AH258" s="148">
        <v>3.8999999999999999E-4</v>
      </c>
      <c r="AI258" s="148">
        <v>2.9149999999999999E-2</v>
      </c>
      <c r="AJ258" s="149">
        <v>1.34E-3</v>
      </c>
      <c r="AK258" s="196"/>
    </row>
    <row r="259" spans="1:37" x14ac:dyDescent="0.2">
      <c r="A259" s="144" t="s">
        <v>1217</v>
      </c>
      <c r="B259" s="145" t="s">
        <v>1218</v>
      </c>
      <c r="C259" s="145" t="s">
        <v>1346</v>
      </c>
      <c r="D259" s="145" t="s">
        <v>1347</v>
      </c>
      <c r="E259" s="145" t="s">
        <v>309</v>
      </c>
      <c r="F259" s="145" t="s">
        <v>1360</v>
      </c>
      <c r="G259" s="145" t="s">
        <v>1361</v>
      </c>
      <c r="H259" s="145" t="s">
        <v>321</v>
      </c>
      <c r="I259" s="145" t="s">
        <v>754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445</v>
      </c>
      <c r="O259" s="145" t="s">
        <v>339</v>
      </c>
      <c r="P259" s="145" t="s">
        <v>1350</v>
      </c>
      <c r="Q259" s="145" t="s">
        <v>413</v>
      </c>
      <c r="R259" s="145" t="s">
        <v>407</v>
      </c>
      <c r="S259" s="145" t="s">
        <v>1210</v>
      </c>
      <c r="T259" s="146">
        <v>6.41</v>
      </c>
      <c r="U259" s="145" t="s">
        <v>1362</v>
      </c>
      <c r="V259" s="148">
        <v>2.5000000000000001E-2</v>
      </c>
      <c r="W259" s="148">
        <v>5.2859999999999997E-2</v>
      </c>
      <c r="X259" s="145" t="s">
        <v>412</v>
      </c>
      <c r="Y259" s="159"/>
      <c r="Z259" s="146">
        <v>1900000</v>
      </c>
      <c r="AA259" s="146">
        <v>1</v>
      </c>
      <c r="AB259" s="146">
        <v>84.22</v>
      </c>
      <c r="AC259" s="151"/>
      <c r="AD259" s="146">
        <v>1600.18</v>
      </c>
      <c r="AE259" s="151"/>
      <c r="AF259" s="151"/>
      <c r="AG259" s="151"/>
      <c r="AH259" s="148">
        <v>1.42E-3</v>
      </c>
      <c r="AI259" s="148">
        <v>2.742E-2</v>
      </c>
      <c r="AJ259" s="149">
        <v>1.2600000000000001E-3</v>
      </c>
      <c r="AK259" s="196"/>
    </row>
    <row r="260" spans="1:37" x14ac:dyDescent="0.2">
      <c r="A260" s="144" t="s">
        <v>1217</v>
      </c>
      <c r="B260" s="145" t="s">
        <v>1218</v>
      </c>
      <c r="C260" s="145" t="s">
        <v>1388</v>
      </c>
      <c r="D260" s="145" t="s">
        <v>1389</v>
      </c>
      <c r="E260" s="145" t="s">
        <v>309</v>
      </c>
      <c r="F260" s="145" t="s">
        <v>1390</v>
      </c>
      <c r="G260" s="145" t="s">
        <v>1391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464</v>
      </c>
      <c r="O260" s="145" t="s">
        <v>339</v>
      </c>
      <c r="P260" s="145" t="s">
        <v>1392</v>
      </c>
      <c r="Q260" s="145" t="s">
        <v>413</v>
      </c>
      <c r="R260" s="145" t="s">
        <v>407</v>
      </c>
      <c r="S260" s="145" t="s">
        <v>1210</v>
      </c>
      <c r="T260" s="146">
        <v>4.67</v>
      </c>
      <c r="U260" s="145" t="s">
        <v>1393</v>
      </c>
      <c r="V260" s="148">
        <v>5.8999999999999999E-3</v>
      </c>
      <c r="W260" s="148">
        <v>3.0779999999999998E-2</v>
      </c>
      <c r="X260" s="145" t="s">
        <v>412</v>
      </c>
      <c r="Y260" s="159"/>
      <c r="Z260" s="146">
        <v>1500000</v>
      </c>
      <c r="AA260" s="146">
        <v>1</v>
      </c>
      <c r="AB260" s="146">
        <v>100.11</v>
      </c>
      <c r="AC260" s="151"/>
      <c r="AD260" s="146">
        <v>1501.65</v>
      </c>
      <c r="AE260" s="151"/>
      <c r="AF260" s="151"/>
      <c r="AG260" s="151"/>
      <c r="AH260" s="148">
        <v>1.07E-3</v>
      </c>
      <c r="AI260" s="148">
        <v>2.5729999999999999E-2</v>
      </c>
      <c r="AJ260" s="149">
        <v>1.1800000000000001E-3</v>
      </c>
      <c r="AK260" s="196"/>
    </row>
    <row r="261" spans="1:37" x14ac:dyDescent="0.2">
      <c r="A261" s="144" t="s">
        <v>1217</v>
      </c>
      <c r="B261" s="145" t="s">
        <v>1218</v>
      </c>
      <c r="C261" s="145" t="s">
        <v>1410</v>
      </c>
      <c r="D261" s="145" t="s">
        <v>1411</v>
      </c>
      <c r="E261" s="145" t="s">
        <v>309</v>
      </c>
      <c r="F261" s="145" t="s">
        <v>1412</v>
      </c>
      <c r="G261" s="145" t="s">
        <v>1413</v>
      </c>
      <c r="H261" s="145" t="s">
        <v>321</v>
      </c>
      <c r="I261" s="145" t="s">
        <v>951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445</v>
      </c>
      <c r="O261" s="145" t="s">
        <v>339</v>
      </c>
      <c r="P261" s="145" t="s">
        <v>1350</v>
      </c>
      <c r="Q261" s="145" t="s">
        <v>413</v>
      </c>
      <c r="R261" s="145" t="s">
        <v>407</v>
      </c>
      <c r="S261" s="145" t="s">
        <v>1210</v>
      </c>
      <c r="T261" s="146">
        <v>4.8099999999999996</v>
      </c>
      <c r="U261" s="145" t="s">
        <v>1414</v>
      </c>
      <c r="V261" s="148">
        <v>5.2499999999999998E-2</v>
      </c>
      <c r="W261" s="148">
        <v>5.0959999999999998E-2</v>
      </c>
      <c r="X261" s="145" t="s">
        <v>412</v>
      </c>
      <c r="Y261" s="159"/>
      <c r="Z261" s="146">
        <v>1298000</v>
      </c>
      <c r="AA261" s="146">
        <v>1</v>
      </c>
      <c r="AB261" s="146">
        <v>103.2</v>
      </c>
      <c r="AC261" s="151"/>
      <c r="AD261" s="146">
        <v>1339.5360000000001</v>
      </c>
      <c r="AE261" s="151"/>
      <c r="AF261" s="151"/>
      <c r="AG261" s="151"/>
      <c r="AH261" s="148">
        <v>2.5999999999999999E-3</v>
      </c>
      <c r="AI261" s="148">
        <v>2.2950000000000002E-2</v>
      </c>
      <c r="AJ261" s="149">
        <v>1.06E-3</v>
      </c>
      <c r="AK261" s="196"/>
    </row>
    <row r="262" spans="1:37" x14ac:dyDescent="0.2">
      <c r="A262" s="144" t="s">
        <v>1217</v>
      </c>
      <c r="B262" s="145" t="s">
        <v>1218</v>
      </c>
      <c r="C262" s="145" t="s">
        <v>1415</v>
      </c>
      <c r="D262" s="145" t="s">
        <v>1416</v>
      </c>
      <c r="E262" s="145" t="s">
        <v>309</v>
      </c>
      <c r="F262" s="145" t="s">
        <v>1417</v>
      </c>
      <c r="G262" s="145" t="s">
        <v>1418</v>
      </c>
      <c r="H262" s="145" t="s">
        <v>321</v>
      </c>
      <c r="I262" s="145" t="s">
        <v>754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448</v>
      </c>
      <c r="O262" s="145" t="s">
        <v>339</v>
      </c>
      <c r="P262" s="145" t="s">
        <v>1350</v>
      </c>
      <c r="Q262" s="145" t="s">
        <v>413</v>
      </c>
      <c r="R262" s="145" t="s">
        <v>407</v>
      </c>
      <c r="S262" s="145" t="s">
        <v>1210</v>
      </c>
      <c r="T262" s="146">
        <v>4.13</v>
      </c>
      <c r="U262" s="145" t="s">
        <v>1419</v>
      </c>
      <c r="V262" s="148">
        <v>2.5899999999999999E-2</v>
      </c>
      <c r="W262" s="148">
        <v>2.7740000000000001E-2</v>
      </c>
      <c r="X262" s="145" t="s">
        <v>412</v>
      </c>
      <c r="Y262" s="159"/>
      <c r="Z262" s="146">
        <v>1299000</v>
      </c>
      <c r="AA262" s="146">
        <v>1</v>
      </c>
      <c r="AB262" s="146">
        <v>103.09</v>
      </c>
      <c r="AC262" s="151"/>
      <c r="AD262" s="146">
        <v>1339.1389999999999</v>
      </c>
      <c r="AE262" s="151"/>
      <c r="AF262" s="151"/>
      <c r="AG262" s="151"/>
      <c r="AH262" s="148">
        <v>1.9E-3</v>
      </c>
      <c r="AI262" s="148">
        <v>2.2950000000000002E-2</v>
      </c>
      <c r="AJ262" s="149">
        <v>1.06E-3</v>
      </c>
      <c r="AK262" s="196"/>
    </row>
    <row r="263" spans="1:37" x14ac:dyDescent="0.2">
      <c r="A263" s="144" t="s">
        <v>1217</v>
      </c>
      <c r="B263" s="145" t="s">
        <v>1218</v>
      </c>
      <c r="C263" s="145" t="s">
        <v>1363</v>
      </c>
      <c r="D263" s="145" t="s">
        <v>1364</v>
      </c>
      <c r="E263" s="145" t="s">
        <v>309</v>
      </c>
      <c r="F263" s="145" t="s">
        <v>1420</v>
      </c>
      <c r="G263" s="145" t="s">
        <v>1421</v>
      </c>
      <c r="H263" s="145" t="s">
        <v>321</v>
      </c>
      <c r="I263" s="145" t="s">
        <v>754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448</v>
      </c>
      <c r="O263" s="145" t="s">
        <v>339</v>
      </c>
      <c r="P263" s="145" t="s">
        <v>1330</v>
      </c>
      <c r="Q263" s="145" t="s">
        <v>413</v>
      </c>
      <c r="R263" s="145" t="s">
        <v>407</v>
      </c>
      <c r="S263" s="145" t="s">
        <v>1210</v>
      </c>
      <c r="T263" s="146">
        <v>3.97</v>
      </c>
      <c r="U263" s="145" t="s">
        <v>1422</v>
      </c>
      <c r="V263" s="148">
        <v>1.3899999999999999E-2</v>
      </c>
      <c r="W263" s="148">
        <v>2.5270000000000001E-2</v>
      </c>
      <c r="X263" s="145" t="s">
        <v>412</v>
      </c>
      <c r="Y263" s="159"/>
      <c r="Z263" s="146">
        <v>1198400.01</v>
      </c>
      <c r="AA263" s="146">
        <v>1</v>
      </c>
      <c r="AB263" s="146">
        <v>103.09</v>
      </c>
      <c r="AC263" s="151"/>
      <c r="AD263" s="146">
        <v>1235.431</v>
      </c>
      <c r="AE263" s="151"/>
      <c r="AF263" s="151"/>
      <c r="AG263" s="151"/>
      <c r="AH263" s="148">
        <v>7.5000000000000002E-4</v>
      </c>
      <c r="AI263" s="148">
        <v>2.1170000000000001E-2</v>
      </c>
      <c r="AJ263" s="149">
        <v>9.7000000000000005E-4</v>
      </c>
      <c r="AK263" s="196"/>
    </row>
    <row r="264" spans="1:37" x14ac:dyDescent="0.2">
      <c r="A264" s="144" t="s">
        <v>1217</v>
      </c>
      <c r="B264" s="145" t="s">
        <v>1218</v>
      </c>
      <c r="C264" s="145" t="s">
        <v>1380</v>
      </c>
      <c r="D264" s="145" t="s">
        <v>1381</v>
      </c>
      <c r="E264" s="145" t="s">
        <v>309</v>
      </c>
      <c r="F264" s="145" t="s">
        <v>1399</v>
      </c>
      <c r="G264" s="145" t="s">
        <v>1400</v>
      </c>
      <c r="H264" s="145" t="s">
        <v>321</v>
      </c>
      <c r="I264" s="145" t="s">
        <v>754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465</v>
      </c>
      <c r="O264" s="145" t="s">
        <v>339</v>
      </c>
      <c r="P264" s="145" t="s">
        <v>1375</v>
      </c>
      <c r="Q264" s="145" t="s">
        <v>415</v>
      </c>
      <c r="R264" s="145" t="s">
        <v>407</v>
      </c>
      <c r="S264" s="145" t="s">
        <v>1210</v>
      </c>
      <c r="T264" s="146">
        <v>1.76</v>
      </c>
      <c r="U264" s="145" t="s">
        <v>1401</v>
      </c>
      <c r="V264" s="148">
        <v>3.2800000000000003E-2</v>
      </c>
      <c r="W264" s="148">
        <v>4.9459999999999997E-2</v>
      </c>
      <c r="X264" s="145" t="s">
        <v>412</v>
      </c>
      <c r="Y264" s="159"/>
      <c r="Z264" s="146">
        <v>1056754.5</v>
      </c>
      <c r="AA264" s="146">
        <v>1</v>
      </c>
      <c r="AB264" s="146">
        <v>114.78</v>
      </c>
      <c r="AC264" s="151"/>
      <c r="AD264" s="146">
        <v>1212.943</v>
      </c>
      <c r="AE264" s="151"/>
      <c r="AF264" s="151"/>
      <c r="AG264" s="151"/>
      <c r="AH264" s="148">
        <v>6.2E-4</v>
      </c>
      <c r="AI264" s="148">
        <v>2.0789999999999999E-2</v>
      </c>
      <c r="AJ264" s="149">
        <v>9.6000000000000002E-4</v>
      </c>
      <c r="AK264" s="196"/>
    </row>
    <row r="265" spans="1:37" x14ac:dyDescent="0.2">
      <c r="A265" s="144" t="s">
        <v>1217</v>
      </c>
      <c r="B265" s="145" t="s">
        <v>1218</v>
      </c>
      <c r="C265" s="145" t="s">
        <v>1380</v>
      </c>
      <c r="D265" s="145" t="s">
        <v>1381</v>
      </c>
      <c r="E265" s="145" t="s">
        <v>309</v>
      </c>
      <c r="F265" s="145" t="s">
        <v>1426</v>
      </c>
      <c r="G265" s="145" t="s">
        <v>1427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465</v>
      </c>
      <c r="O265" s="145" t="s">
        <v>339</v>
      </c>
      <c r="P265" s="145" t="s">
        <v>1375</v>
      </c>
      <c r="Q265" s="145" t="s">
        <v>415</v>
      </c>
      <c r="R265" s="145" t="s">
        <v>407</v>
      </c>
      <c r="S265" s="145" t="s">
        <v>1210</v>
      </c>
      <c r="T265" s="146">
        <v>5.16</v>
      </c>
      <c r="U265" s="145" t="s">
        <v>1428</v>
      </c>
      <c r="V265" s="148">
        <v>1.7899999999999999E-2</v>
      </c>
      <c r="W265" s="148">
        <v>4.9320000000000003E-2</v>
      </c>
      <c r="X265" s="145" t="s">
        <v>412</v>
      </c>
      <c r="Y265" s="159"/>
      <c r="Z265" s="146">
        <v>1157293.21</v>
      </c>
      <c r="AA265" s="146">
        <v>1</v>
      </c>
      <c r="AB265" s="146">
        <v>98.15</v>
      </c>
      <c r="AC265" s="151"/>
      <c r="AD265" s="146">
        <v>1135.883</v>
      </c>
      <c r="AE265" s="151"/>
      <c r="AF265" s="151"/>
      <c r="AG265" s="151"/>
      <c r="AH265" s="148">
        <v>1.1800000000000001E-3</v>
      </c>
      <c r="AI265" s="148">
        <v>1.9470000000000001E-2</v>
      </c>
      <c r="AJ265" s="149">
        <v>8.9999999999999998E-4</v>
      </c>
      <c r="AK265" s="196"/>
    </row>
    <row r="266" spans="1:37" x14ac:dyDescent="0.2">
      <c r="A266" s="144" t="s">
        <v>1217</v>
      </c>
      <c r="B266" s="145" t="s">
        <v>1218</v>
      </c>
      <c r="C266" s="145" t="s">
        <v>1402</v>
      </c>
      <c r="D266" s="145" t="s">
        <v>1403</v>
      </c>
      <c r="E266" s="145" t="s">
        <v>309</v>
      </c>
      <c r="F266" s="145" t="s">
        <v>1404</v>
      </c>
      <c r="G266" s="145" t="s">
        <v>1405</v>
      </c>
      <c r="H266" s="145" t="s">
        <v>321</v>
      </c>
      <c r="I266" s="145" t="s">
        <v>951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445</v>
      </c>
      <c r="O266" s="145" t="s">
        <v>339</v>
      </c>
      <c r="P266" s="145" t="s">
        <v>1406</v>
      </c>
      <c r="Q266" s="145" t="s">
        <v>415</v>
      </c>
      <c r="R266" s="145" t="s">
        <v>407</v>
      </c>
      <c r="S266" s="145" t="s">
        <v>1210</v>
      </c>
      <c r="T266" s="146">
        <v>0.33</v>
      </c>
      <c r="U266" s="145" t="s">
        <v>1387</v>
      </c>
      <c r="V266" s="148">
        <v>3.61E-2</v>
      </c>
      <c r="W266" s="148">
        <v>5.0680000000000003E-2</v>
      </c>
      <c r="X266" s="145" t="s">
        <v>412</v>
      </c>
      <c r="Y266" s="159"/>
      <c r="Z266" s="146">
        <v>1092950</v>
      </c>
      <c r="AA266" s="146">
        <v>1</v>
      </c>
      <c r="AB266" s="146">
        <v>100.15</v>
      </c>
      <c r="AC266" s="151"/>
      <c r="AD266" s="146">
        <v>1094.5889999999999</v>
      </c>
      <c r="AE266" s="151"/>
      <c r="AF266" s="151"/>
      <c r="AG266" s="151"/>
      <c r="AH266" s="148">
        <v>1.42E-3</v>
      </c>
      <c r="AI266" s="148">
        <v>1.8759999999999999E-2</v>
      </c>
      <c r="AJ266" s="149">
        <v>8.5999999999999998E-4</v>
      </c>
      <c r="AK266" s="196"/>
    </row>
    <row r="267" spans="1:37" x14ac:dyDescent="0.2">
      <c r="A267" s="144" t="s">
        <v>1217</v>
      </c>
      <c r="B267" s="145" t="s">
        <v>1218</v>
      </c>
      <c r="C267" s="145" t="s">
        <v>1380</v>
      </c>
      <c r="D267" s="145" t="s">
        <v>1381</v>
      </c>
      <c r="E267" s="145" t="s">
        <v>309</v>
      </c>
      <c r="F267" s="145" t="s">
        <v>1382</v>
      </c>
      <c r="G267" s="145" t="s">
        <v>1383</v>
      </c>
      <c r="H267" s="145" t="s">
        <v>321</v>
      </c>
      <c r="I267" s="145" t="s">
        <v>754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465</v>
      </c>
      <c r="O267" s="145" t="s">
        <v>339</v>
      </c>
      <c r="P267" s="145" t="s">
        <v>1375</v>
      </c>
      <c r="Q267" s="145" t="s">
        <v>415</v>
      </c>
      <c r="R267" s="145" t="s">
        <v>407</v>
      </c>
      <c r="S267" s="145" t="s">
        <v>1210</v>
      </c>
      <c r="T267" s="146">
        <v>1.39</v>
      </c>
      <c r="U267" s="145" t="s">
        <v>1384</v>
      </c>
      <c r="V267" s="148">
        <v>0.04</v>
      </c>
      <c r="W267" s="148">
        <v>4.675E-2</v>
      </c>
      <c r="X267" s="145" t="s">
        <v>412</v>
      </c>
      <c r="Y267" s="159"/>
      <c r="Z267" s="146">
        <v>916278.07</v>
      </c>
      <c r="AA267" s="146">
        <v>1</v>
      </c>
      <c r="AB267" s="146">
        <v>115.5</v>
      </c>
      <c r="AC267" s="151"/>
      <c r="AD267" s="146">
        <v>1058.3009999999999</v>
      </c>
      <c r="AE267" s="151"/>
      <c r="AF267" s="151"/>
      <c r="AG267" s="151"/>
      <c r="AH267" s="148">
        <v>5.0000000000000001E-4</v>
      </c>
      <c r="AI267" s="148">
        <v>1.814E-2</v>
      </c>
      <c r="AJ267" s="149">
        <v>8.3000000000000001E-4</v>
      </c>
      <c r="AK267" s="196"/>
    </row>
    <row r="268" spans="1:37" x14ac:dyDescent="0.2">
      <c r="A268" s="144" t="s">
        <v>1217</v>
      </c>
      <c r="B268" s="145" t="s">
        <v>1218</v>
      </c>
      <c r="C268" s="145" t="s">
        <v>1363</v>
      </c>
      <c r="D268" s="145" t="s">
        <v>1364</v>
      </c>
      <c r="E268" s="145" t="s">
        <v>309</v>
      </c>
      <c r="F268" s="145" t="s">
        <v>1441</v>
      </c>
      <c r="G268" s="145" t="s">
        <v>1442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448</v>
      </c>
      <c r="O268" s="145" t="s">
        <v>339</v>
      </c>
      <c r="P268" s="145" t="s">
        <v>1330</v>
      </c>
      <c r="Q268" s="145" t="s">
        <v>413</v>
      </c>
      <c r="R268" s="145" t="s">
        <v>407</v>
      </c>
      <c r="S268" s="145" t="s">
        <v>1210</v>
      </c>
      <c r="T268" s="146">
        <v>3.59</v>
      </c>
      <c r="U268" s="145" t="s">
        <v>1443</v>
      </c>
      <c r="V268" s="148">
        <v>1E-3</v>
      </c>
      <c r="W268" s="148">
        <v>2.5610000000000001E-2</v>
      </c>
      <c r="X268" s="145" t="s">
        <v>412</v>
      </c>
      <c r="Y268" s="159"/>
      <c r="Z268" s="146">
        <v>1015000.01</v>
      </c>
      <c r="AA268" s="146">
        <v>1</v>
      </c>
      <c r="AB268" s="146">
        <v>103.24</v>
      </c>
      <c r="AC268" s="151"/>
      <c r="AD268" s="146">
        <v>1047.886</v>
      </c>
      <c r="AE268" s="151"/>
      <c r="AF268" s="151"/>
      <c r="AG268" s="151"/>
      <c r="AH268" s="148">
        <v>1.0300000000000001E-3</v>
      </c>
      <c r="AI268" s="148">
        <v>1.796E-2</v>
      </c>
      <c r="AJ268" s="149">
        <v>8.3000000000000001E-4</v>
      </c>
      <c r="AK268" s="196"/>
    </row>
    <row r="269" spans="1:37" x14ac:dyDescent="0.2">
      <c r="A269" s="144" t="s">
        <v>1217</v>
      </c>
      <c r="B269" s="145" t="s">
        <v>1218</v>
      </c>
      <c r="C269" s="145" t="s">
        <v>1346</v>
      </c>
      <c r="D269" s="145" t="s">
        <v>1347</v>
      </c>
      <c r="E269" s="145" t="s">
        <v>309</v>
      </c>
      <c r="F269" s="145" t="s">
        <v>1407</v>
      </c>
      <c r="G269" s="145" t="s">
        <v>1408</v>
      </c>
      <c r="H269" s="145" t="s">
        <v>321</v>
      </c>
      <c r="I269" s="145" t="s">
        <v>951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445</v>
      </c>
      <c r="O269" s="145" t="s">
        <v>339</v>
      </c>
      <c r="P269" s="145" t="s">
        <v>1350</v>
      </c>
      <c r="Q269" s="145" t="s">
        <v>413</v>
      </c>
      <c r="R269" s="145" t="s">
        <v>407</v>
      </c>
      <c r="S269" s="145" t="s">
        <v>1210</v>
      </c>
      <c r="T269" s="146">
        <v>7.41</v>
      </c>
      <c r="U269" s="145" t="s">
        <v>1409</v>
      </c>
      <c r="V269" s="148">
        <v>5.3100000000000001E-2</v>
      </c>
      <c r="W269" s="148">
        <v>5.4260000000000003E-2</v>
      </c>
      <c r="X269" s="145" t="s">
        <v>412</v>
      </c>
      <c r="Y269" s="159"/>
      <c r="Z269" s="146">
        <v>967963.79</v>
      </c>
      <c r="AA269" s="146">
        <v>1</v>
      </c>
      <c r="AB269" s="146">
        <v>100.54</v>
      </c>
      <c r="AC269" s="151"/>
      <c r="AD269" s="146">
        <v>973.19100000000003</v>
      </c>
      <c r="AE269" s="151"/>
      <c r="AF269" s="151"/>
      <c r="AG269" s="151"/>
      <c r="AH269" s="148">
        <v>7.6000000000000004E-4</v>
      </c>
      <c r="AI269" s="148">
        <v>1.668E-2</v>
      </c>
      <c r="AJ269" s="149">
        <v>7.6999999999999996E-4</v>
      </c>
      <c r="AK269" s="196"/>
    </row>
    <row r="270" spans="1:37" x14ac:dyDescent="0.2">
      <c r="A270" s="144" t="s">
        <v>1217</v>
      </c>
      <c r="B270" s="145" t="s">
        <v>1218</v>
      </c>
      <c r="C270" s="145" t="s">
        <v>1415</v>
      </c>
      <c r="D270" s="145" t="s">
        <v>1416</v>
      </c>
      <c r="E270" s="145" t="s">
        <v>309</v>
      </c>
      <c r="F270" s="145" t="s">
        <v>1423</v>
      </c>
      <c r="G270" s="145" t="s">
        <v>1424</v>
      </c>
      <c r="H270" s="145" t="s">
        <v>321</v>
      </c>
      <c r="I270" s="145" t="s">
        <v>754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448</v>
      </c>
      <c r="O270" s="145" t="s">
        <v>339</v>
      </c>
      <c r="P270" s="145" t="s">
        <v>1350</v>
      </c>
      <c r="Q270" s="145" t="s">
        <v>413</v>
      </c>
      <c r="R270" s="145" t="s">
        <v>407</v>
      </c>
      <c r="S270" s="145" t="s">
        <v>1210</v>
      </c>
      <c r="T270" s="146">
        <v>1.24</v>
      </c>
      <c r="U270" s="145" t="s">
        <v>1425</v>
      </c>
      <c r="V270" s="148">
        <v>2E-3</v>
      </c>
      <c r="W270" s="148">
        <v>2.5510000000000001E-2</v>
      </c>
      <c r="X270" s="145" t="s">
        <v>412</v>
      </c>
      <c r="Y270" s="159"/>
      <c r="Z270" s="146">
        <v>871753.04</v>
      </c>
      <c r="AA270" s="146">
        <v>1</v>
      </c>
      <c r="AB270" s="146">
        <v>111.21</v>
      </c>
      <c r="AC270" s="151"/>
      <c r="AD270" s="146">
        <v>969.47699999999998</v>
      </c>
      <c r="AE270" s="151"/>
      <c r="AF270" s="151"/>
      <c r="AG270" s="151"/>
      <c r="AH270" s="148">
        <v>3.13E-3</v>
      </c>
      <c r="AI270" s="148">
        <v>1.661E-2</v>
      </c>
      <c r="AJ270" s="149">
        <v>7.6000000000000004E-4</v>
      </c>
      <c r="AK270" s="196"/>
    </row>
    <row r="271" spans="1:37" x14ac:dyDescent="0.2">
      <c r="A271" s="144" t="s">
        <v>1217</v>
      </c>
      <c r="B271" s="145" t="s">
        <v>1218</v>
      </c>
      <c r="C271" s="145" t="s">
        <v>1429</v>
      </c>
      <c r="D271" s="145" t="s">
        <v>1430</v>
      </c>
      <c r="E271" s="145" t="s">
        <v>309</v>
      </c>
      <c r="F271" s="145" t="s">
        <v>1431</v>
      </c>
      <c r="G271" s="145" t="s">
        <v>1432</v>
      </c>
      <c r="H271" s="145" t="s">
        <v>321</v>
      </c>
      <c r="I271" s="145" t="s">
        <v>754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465</v>
      </c>
      <c r="O271" s="145" t="s">
        <v>339</v>
      </c>
      <c r="P271" s="145" t="s">
        <v>1433</v>
      </c>
      <c r="Q271" s="145" t="s">
        <v>415</v>
      </c>
      <c r="R271" s="145" t="s">
        <v>407</v>
      </c>
      <c r="S271" s="145" t="s">
        <v>1210</v>
      </c>
      <c r="T271" s="146">
        <v>1.29</v>
      </c>
      <c r="U271" s="145" t="s">
        <v>1434</v>
      </c>
      <c r="V271" s="148">
        <v>2.5700000000000001E-2</v>
      </c>
      <c r="W271" s="148">
        <v>3.1440000000000003E-2</v>
      </c>
      <c r="X271" s="145" t="s">
        <v>412</v>
      </c>
      <c r="Y271" s="159"/>
      <c r="Z271" s="146">
        <v>821244.21</v>
      </c>
      <c r="AA271" s="146">
        <v>1</v>
      </c>
      <c r="AB271" s="146">
        <v>117.15</v>
      </c>
      <c r="AC271" s="151"/>
      <c r="AD271" s="146">
        <v>962.08799999999997</v>
      </c>
      <c r="AE271" s="151"/>
      <c r="AF271" s="151"/>
      <c r="AG271" s="151"/>
      <c r="AH271" s="148">
        <v>7.7999999999999999E-4</v>
      </c>
      <c r="AI271" s="148">
        <v>1.6490000000000001E-2</v>
      </c>
      <c r="AJ271" s="149">
        <v>7.6000000000000004E-4</v>
      </c>
      <c r="AK271" s="196"/>
    </row>
    <row r="272" spans="1:37" x14ac:dyDescent="0.2">
      <c r="A272" s="144" t="s">
        <v>1217</v>
      </c>
      <c r="B272" s="145" t="s">
        <v>1218</v>
      </c>
      <c r="C272" s="145" t="s">
        <v>1402</v>
      </c>
      <c r="D272" s="145" t="s">
        <v>1403</v>
      </c>
      <c r="E272" s="145" t="s">
        <v>309</v>
      </c>
      <c r="F272" s="145" t="s">
        <v>1448</v>
      </c>
      <c r="G272" s="145" t="s">
        <v>1449</v>
      </c>
      <c r="H272" s="145" t="s">
        <v>321</v>
      </c>
      <c r="I272" s="145" t="s">
        <v>754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445</v>
      </c>
      <c r="O272" s="145" t="s">
        <v>339</v>
      </c>
      <c r="P272" s="145" t="s">
        <v>1406</v>
      </c>
      <c r="Q272" s="145" t="s">
        <v>415</v>
      </c>
      <c r="R272" s="145" t="s">
        <v>407</v>
      </c>
      <c r="S272" s="145" t="s">
        <v>1210</v>
      </c>
      <c r="T272" s="146">
        <v>4.68</v>
      </c>
      <c r="U272" s="145" t="s">
        <v>1450</v>
      </c>
      <c r="V272" s="148">
        <v>4.6899999999999997E-2</v>
      </c>
      <c r="W272" s="148">
        <v>5.033E-2</v>
      </c>
      <c r="X272" s="145" t="s">
        <v>412</v>
      </c>
      <c r="Y272" s="159"/>
      <c r="Z272" s="146">
        <v>960000</v>
      </c>
      <c r="AA272" s="146">
        <v>1</v>
      </c>
      <c r="AB272" s="146">
        <v>98.85</v>
      </c>
      <c r="AC272" s="151"/>
      <c r="AD272" s="146">
        <v>948.96</v>
      </c>
      <c r="AE272" s="151"/>
      <c r="AF272" s="151"/>
      <c r="AG272" s="151"/>
      <c r="AH272" s="148">
        <v>1.92E-3</v>
      </c>
      <c r="AI272" s="148">
        <v>1.626E-2</v>
      </c>
      <c r="AJ272" s="149">
        <v>7.5000000000000002E-4</v>
      </c>
      <c r="AK272" s="196"/>
    </row>
    <row r="273" spans="1:37" x14ac:dyDescent="0.2">
      <c r="A273" s="144" t="s">
        <v>1217</v>
      </c>
      <c r="B273" s="145" t="s">
        <v>1218</v>
      </c>
      <c r="C273" s="145" t="s">
        <v>1371</v>
      </c>
      <c r="D273" s="145" t="s">
        <v>1372</v>
      </c>
      <c r="E273" s="145" t="s">
        <v>309</v>
      </c>
      <c r="F273" s="145" t="s">
        <v>1373</v>
      </c>
      <c r="G273" s="145" t="s">
        <v>1374</v>
      </c>
      <c r="H273" s="145" t="s">
        <v>321</v>
      </c>
      <c r="I273" s="145" t="s">
        <v>951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484</v>
      </c>
      <c r="O273" s="145" t="s">
        <v>339</v>
      </c>
      <c r="P273" s="145" t="s">
        <v>1375</v>
      </c>
      <c r="Q273" s="145" t="s">
        <v>415</v>
      </c>
      <c r="R273" s="145" t="s">
        <v>407</v>
      </c>
      <c r="S273" s="145" t="s">
        <v>1210</v>
      </c>
      <c r="T273" s="146">
        <v>4.07</v>
      </c>
      <c r="U273" s="145" t="s">
        <v>1376</v>
      </c>
      <c r="V273" s="148">
        <v>5.5E-2</v>
      </c>
      <c r="W273" s="148">
        <v>5.1830000000000001E-2</v>
      </c>
      <c r="X273" s="145" t="s">
        <v>412</v>
      </c>
      <c r="Y273" s="159"/>
      <c r="Z273" s="146">
        <v>895721.81</v>
      </c>
      <c r="AA273" s="146">
        <v>1</v>
      </c>
      <c r="AB273" s="146">
        <v>104.5</v>
      </c>
      <c r="AC273" s="151"/>
      <c r="AD273" s="146">
        <v>936.029</v>
      </c>
      <c r="AE273" s="151"/>
      <c r="AF273" s="151"/>
      <c r="AG273" s="151"/>
      <c r="AH273" s="148">
        <v>8.8999999999999995E-4</v>
      </c>
      <c r="AI273" s="148">
        <v>1.6039999999999999E-2</v>
      </c>
      <c r="AJ273" s="149">
        <v>7.3999999999999999E-4</v>
      </c>
      <c r="AK273" s="196"/>
    </row>
    <row r="274" spans="1:37" x14ac:dyDescent="0.2">
      <c r="A274" s="144" t="s">
        <v>1217</v>
      </c>
      <c r="B274" s="145" t="s">
        <v>1218</v>
      </c>
      <c r="C274" s="145" t="s">
        <v>1326</v>
      </c>
      <c r="D274" s="145" t="s">
        <v>1327</v>
      </c>
      <c r="E274" s="145" t="s">
        <v>309</v>
      </c>
      <c r="F274" s="145" t="s">
        <v>1451</v>
      </c>
      <c r="G274" s="145" t="s">
        <v>1452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448</v>
      </c>
      <c r="O274" s="145" t="s">
        <v>339</v>
      </c>
      <c r="P274" s="145" t="s">
        <v>1330</v>
      </c>
      <c r="Q274" s="145" t="s">
        <v>413</v>
      </c>
      <c r="R274" s="145" t="s">
        <v>407</v>
      </c>
      <c r="S274" s="145" t="s">
        <v>1210</v>
      </c>
      <c r="T274" s="146">
        <v>4.45</v>
      </c>
      <c r="U274" s="145" t="s">
        <v>1453</v>
      </c>
      <c r="V274" s="148">
        <v>1.9900000000000001E-2</v>
      </c>
      <c r="W274" s="148">
        <v>2.5350000000000001E-2</v>
      </c>
      <c r="X274" s="145" t="s">
        <v>412</v>
      </c>
      <c r="Y274" s="159"/>
      <c r="Z274" s="146">
        <v>864000</v>
      </c>
      <c r="AA274" s="146">
        <v>1</v>
      </c>
      <c r="AB274" s="146">
        <v>101.81</v>
      </c>
      <c r="AC274" s="151"/>
      <c r="AD274" s="146">
        <v>879.63800000000003</v>
      </c>
      <c r="AE274" s="151"/>
      <c r="AF274" s="151"/>
      <c r="AG274" s="151"/>
      <c r="AH274" s="148">
        <v>3.6000000000000002E-4</v>
      </c>
      <c r="AI274" s="148">
        <v>1.507E-2</v>
      </c>
      <c r="AJ274" s="149">
        <v>6.8999999999999997E-4</v>
      </c>
      <c r="AK274" s="196"/>
    </row>
    <row r="275" spans="1:37" x14ac:dyDescent="0.2">
      <c r="A275" s="144" t="s">
        <v>1217</v>
      </c>
      <c r="B275" s="145" t="s">
        <v>1218</v>
      </c>
      <c r="C275" s="145" t="s">
        <v>1444</v>
      </c>
      <c r="D275" s="145" t="s">
        <v>1445</v>
      </c>
      <c r="E275" s="145" t="s">
        <v>309</v>
      </c>
      <c r="F275" s="145" t="s">
        <v>1446</v>
      </c>
      <c r="G275" s="145" t="s">
        <v>1447</v>
      </c>
      <c r="H275" s="145" t="s">
        <v>321</v>
      </c>
      <c r="I275" s="145" t="s">
        <v>754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464</v>
      </c>
      <c r="O275" s="145" t="s">
        <v>339</v>
      </c>
      <c r="P275" s="145" t="s">
        <v>1392</v>
      </c>
      <c r="Q275" s="145" t="s">
        <v>413</v>
      </c>
      <c r="R275" s="145" t="s">
        <v>407</v>
      </c>
      <c r="S275" s="145" t="s">
        <v>1210</v>
      </c>
      <c r="T275" s="146">
        <v>2.27</v>
      </c>
      <c r="U275" s="145" t="s">
        <v>1281</v>
      </c>
      <c r="V275" s="148">
        <v>2.3400000000000001E-2</v>
      </c>
      <c r="W275" s="148">
        <v>2.7980000000000001E-2</v>
      </c>
      <c r="X275" s="145" t="s">
        <v>412</v>
      </c>
      <c r="Y275" s="159"/>
      <c r="Z275" s="146">
        <v>728813.34</v>
      </c>
      <c r="AA275" s="146">
        <v>1</v>
      </c>
      <c r="AB275" s="146">
        <v>114.39</v>
      </c>
      <c r="AC275" s="151"/>
      <c r="AD275" s="146">
        <v>833.69</v>
      </c>
      <c r="AE275" s="151"/>
      <c r="AF275" s="151"/>
      <c r="AG275" s="151"/>
      <c r="AH275" s="148">
        <v>4.4999999999999999E-4</v>
      </c>
      <c r="AI275" s="148">
        <v>1.4290000000000001E-2</v>
      </c>
      <c r="AJ275" s="149">
        <v>6.6E-4</v>
      </c>
      <c r="AK275" s="196"/>
    </row>
    <row r="276" spans="1:37" x14ac:dyDescent="0.2">
      <c r="A276" s="144" t="s">
        <v>1217</v>
      </c>
      <c r="B276" s="145" t="s">
        <v>1218</v>
      </c>
      <c r="C276" s="145" t="s">
        <v>1435</v>
      </c>
      <c r="D276" s="145" t="s">
        <v>1436</v>
      </c>
      <c r="E276" s="145" t="s">
        <v>309</v>
      </c>
      <c r="F276" s="145" t="s">
        <v>1437</v>
      </c>
      <c r="G276" s="145" t="s">
        <v>1438</v>
      </c>
      <c r="H276" s="145" t="s">
        <v>321</v>
      </c>
      <c r="I276" s="145" t="s">
        <v>951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440</v>
      </c>
      <c r="O276" s="145" t="s">
        <v>339</v>
      </c>
      <c r="P276" s="145" t="s">
        <v>1439</v>
      </c>
      <c r="Q276" s="145" t="s">
        <v>413</v>
      </c>
      <c r="R276" s="145" t="s">
        <v>407</v>
      </c>
      <c r="S276" s="145" t="s">
        <v>1210</v>
      </c>
      <c r="T276" s="146">
        <v>3.03</v>
      </c>
      <c r="U276" s="145" t="s">
        <v>1440</v>
      </c>
      <c r="V276" s="148">
        <v>2.5000000000000001E-2</v>
      </c>
      <c r="W276" s="148">
        <v>5.5570000000000001E-2</v>
      </c>
      <c r="X276" s="145" t="s">
        <v>412</v>
      </c>
      <c r="Y276" s="159"/>
      <c r="Z276" s="146">
        <v>839160.13</v>
      </c>
      <c r="AA276" s="146">
        <v>1</v>
      </c>
      <c r="AB276" s="146">
        <v>91.59</v>
      </c>
      <c r="AC276" s="151"/>
      <c r="AD276" s="146">
        <v>768.58699999999999</v>
      </c>
      <c r="AE276" s="151"/>
      <c r="AF276" s="151"/>
      <c r="AG276" s="151"/>
      <c r="AH276" s="148">
        <v>1.17E-3</v>
      </c>
      <c r="AI276" s="148">
        <v>1.3169999999999999E-2</v>
      </c>
      <c r="AJ276" s="149">
        <v>6.0999999999999997E-4</v>
      </c>
      <c r="AK276" s="196"/>
    </row>
    <row r="277" spans="1:37" x14ac:dyDescent="0.2">
      <c r="A277" s="144" t="s">
        <v>1217</v>
      </c>
      <c r="B277" s="145" t="s">
        <v>1218</v>
      </c>
      <c r="C277" s="145" t="s">
        <v>1318</v>
      </c>
      <c r="D277" s="145" t="s">
        <v>1319</v>
      </c>
      <c r="E277" s="145" t="s">
        <v>313</v>
      </c>
      <c r="F277" s="145" t="s">
        <v>1464</v>
      </c>
      <c r="G277" s="145" t="s">
        <v>1465</v>
      </c>
      <c r="H277" s="145" t="s">
        <v>321</v>
      </c>
      <c r="I277" s="145" t="s">
        <v>754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440</v>
      </c>
      <c r="O277" s="145" t="s">
        <v>339</v>
      </c>
      <c r="P277" s="145" t="s">
        <v>1209</v>
      </c>
      <c r="Q277" s="145" t="s">
        <v>415</v>
      </c>
      <c r="R277" s="145" t="s">
        <v>407</v>
      </c>
      <c r="S277" s="145" t="s">
        <v>1210</v>
      </c>
      <c r="T277" s="146">
        <v>0.9</v>
      </c>
      <c r="U277" s="145" t="s">
        <v>1466</v>
      </c>
      <c r="V277" s="148">
        <v>4.4999999999999998E-2</v>
      </c>
      <c r="W277" s="148">
        <v>2.3970000000000002E-2</v>
      </c>
      <c r="X277" s="145" t="s">
        <v>412</v>
      </c>
      <c r="Y277" s="159"/>
      <c r="Z277" s="146">
        <v>434463.5</v>
      </c>
      <c r="AA277" s="146">
        <v>1</v>
      </c>
      <c r="AB277" s="146">
        <v>119.86</v>
      </c>
      <c r="AC277" s="151"/>
      <c r="AD277" s="146">
        <v>520.74800000000005</v>
      </c>
      <c r="AE277" s="151"/>
      <c r="AF277" s="151"/>
      <c r="AG277" s="151"/>
      <c r="AH277" s="148">
        <v>2.9E-4</v>
      </c>
      <c r="AI277" s="148">
        <v>8.9200000000000008E-3</v>
      </c>
      <c r="AJ277" s="149">
        <v>4.0999999999999999E-4</v>
      </c>
      <c r="AK277" s="196"/>
    </row>
    <row r="278" spans="1:37" x14ac:dyDescent="0.2">
      <c r="A278" s="144" t="s">
        <v>1217</v>
      </c>
      <c r="B278" s="145" t="s">
        <v>1218</v>
      </c>
      <c r="C278" s="145" t="s">
        <v>1495</v>
      </c>
      <c r="D278" s="145" t="s">
        <v>1496</v>
      </c>
      <c r="E278" s="145" t="s">
        <v>309</v>
      </c>
      <c r="F278" s="145" t="s">
        <v>1497</v>
      </c>
      <c r="G278" s="145" t="s">
        <v>1498</v>
      </c>
      <c r="H278" s="145" t="s">
        <v>321</v>
      </c>
      <c r="I278" s="145" t="s">
        <v>754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448</v>
      </c>
      <c r="O278" s="145" t="s">
        <v>339</v>
      </c>
      <c r="P278" s="145" t="s">
        <v>1330</v>
      </c>
      <c r="Q278" s="145" t="s">
        <v>413</v>
      </c>
      <c r="R278" s="145" t="s">
        <v>407</v>
      </c>
      <c r="S278" s="145" t="s">
        <v>1210</v>
      </c>
      <c r="T278" s="146">
        <v>2.76</v>
      </c>
      <c r="U278" s="145" t="s">
        <v>1499</v>
      </c>
      <c r="V278" s="148">
        <v>1.4999999999999999E-2</v>
      </c>
      <c r="W278" s="148">
        <v>2.5190000000000001E-2</v>
      </c>
      <c r="X278" s="145" t="s">
        <v>412</v>
      </c>
      <c r="Y278" s="159"/>
      <c r="Z278" s="146">
        <v>438799.72</v>
      </c>
      <c r="AA278" s="146">
        <v>1</v>
      </c>
      <c r="AB278" s="146">
        <v>112.67</v>
      </c>
      <c r="AC278" s="151"/>
      <c r="AD278" s="146">
        <v>494.39600000000002</v>
      </c>
      <c r="AE278" s="151"/>
      <c r="AF278" s="151"/>
      <c r="AG278" s="151"/>
      <c r="AH278" s="148">
        <v>1.89E-3</v>
      </c>
      <c r="AI278" s="148">
        <v>8.4700000000000001E-3</v>
      </c>
      <c r="AJ278" s="149">
        <v>3.8999999999999999E-4</v>
      </c>
      <c r="AK278" s="196"/>
    </row>
    <row r="279" spans="1:37" x14ac:dyDescent="0.2">
      <c r="A279" s="144" t="s">
        <v>1217</v>
      </c>
      <c r="B279" s="145" t="s">
        <v>1218</v>
      </c>
      <c r="C279" s="145" t="s">
        <v>1480</v>
      </c>
      <c r="D279" s="145" t="s">
        <v>1481</v>
      </c>
      <c r="E279" s="145" t="s">
        <v>309</v>
      </c>
      <c r="F279" s="145" t="s">
        <v>1482</v>
      </c>
      <c r="G279" s="145" t="s">
        <v>1483</v>
      </c>
      <c r="H279" s="145" t="s">
        <v>321</v>
      </c>
      <c r="I279" s="145" t="s">
        <v>951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475</v>
      </c>
      <c r="O279" s="145" t="s">
        <v>339</v>
      </c>
      <c r="P279" s="145" t="s">
        <v>1392</v>
      </c>
      <c r="Q279" s="145" t="s">
        <v>413</v>
      </c>
      <c r="R279" s="145" t="s">
        <v>407</v>
      </c>
      <c r="S279" s="145" t="s">
        <v>1210</v>
      </c>
      <c r="T279" s="146">
        <v>2.34</v>
      </c>
      <c r="U279" s="145" t="s">
        <v>1484</v>
      </c>
      <c r="V279" s="148">
        <v>5.0900000000000001E-2</v>
      </c>
      <c r="W279" s="148">
        <v>4.7509999999999997E-2</v>
      </c>
      <c r="X279" s="145" t="s">
        <v>412</v>
      </c>
      <c r="Y279" s="159"/>
      <c r="Z279" s="146">
        <v>396423.67999999999</v>
      </c>
      <c r="AA279" s="146">
        <v>1</v>
      </c>
      <c r="AB279" s="146">
        <v>103.18</v>
      </c>
      <c r="AC279" s="151"/>
      <c r="AD279" s="146">
        <v>409.03</v>
      </c>
      <c r="AE279" s="151"/>
      <c r="AF279" s="151"/>
      <c r="AG279" s="151"/>
      <c r="AH279" s="148">
        <v>7.6999999999999996E-4</v>
      </c>
      <c r="AI279" s="148">
        <v>7.0099999999999997E-3</v>
      </c>
      <c r="AJ279" s="149">
        <v>3.2000000000000003E-4</v>
      </c>
      <c r="AK279" s="196"/>
    </row>
    <row r="280" spans="1:37" x14ac:dyDescent="0.2">
      <c r="A280" s="144" t="s">
        <v>1217</v>
      </c>
      <c r="B280" s="145" t="s">
        <v>1218</v>
      </c>
      <c r="C280" s="145" t="s">
        <v>1394</v>
      </c>
      <c r="D280" s="145" t="s">
        <v>1395</v>
      </c>
      <c r="E280" s="145" t="s">
        <v>309</v>
      </c>
      <c r="F280" s="145" t="s">
        <v>1467</v>
      </c>
      <c r="G280" s="145" t="s">
        <v>1468</v>
      </c>
      <c r="H280" s="145" t="s">
        <v>321</v>
      </c>
      <c r="I280" s="145" t="s">
        <v>754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445</v>
      </c>
      <c r="O280" s="145" t="s">
        <v>339</v>
      </c>
      <c r="P280" s="145" t="s">
        <v>1358</v>
      </c>
      <c r="Q280" s="145" t="s">
        <v>415</v>
      </c>
      <c r="R280" s="145" t="s">
        <v>407</v>
      </c>
      <c r="S280" s="145" t="s">
        <v>1210</v>
      </c>
      <c r="T280" s="146">
        <v>1.72</v>
      </c>
      <c r="U280" s="145" t="s">
        <v>1425</v>
      </c>
      <c r="V280" s="148">
        <v>2.4E-2</v>
      </c>
      <c r="W280" s="148">
        <v>2.5260000000000001E-2</v>
      </c>
      <c r="X280" s="145" t="s">
        <v>412</v>
      </c>
      <c r="Y280" s="159"/>
      <c r="Z280" s="146">
        <v>350757.32</v>
      </c>
      <c r="AA280" s="146">
        <v>1</v>
      </c>
      <c r="AB280" s="146">
        <v>116.02</v>
      </c>
      <c r="AC280" s="151"/>
      <c r="AD280" s="146">
        <v>406.94900000000001</v>
      </c>
      <c r="AE280" s="151"/>
      <c r="AF280" s="151"/>
      <c r="AG280" s="151"/>
      <c r="AH280" s="148">
        <v>1.1900000000000001E-3</v>
      </c>
      <c r="AI280" s="148">
        <v>6.9699999999999996E-3</v>
      </c>
      <c r="AJ280" s="149">
        <v>3.2000000000000003E-4</v>
      </c>
      <c r="AK280" s="196"/>
    </row>
    <row r="281" spans="1:37" x14ac:dyDescent="0.2">
      <c r="A281" s="144" t="s">
        <v>1217</v>
      </c>
      <c r="B281" s="145" t="s">
        <v>1218</v>
      </c>
      <c r="C281" s="145" t="s">
        <v>1475</v>
      </c>
      <c r="D281" s="145" t="s">
        <v>1476</v>
      </c>
      <c r="E281" s="145" t="s">
        <v>309</v>
      </c>
      <c r="F281" s="145" t="s">
        <v>1477</v>
      </c>
      <c r="G281" s="145" t="s">
        <v>1478</v>
      </c>
      <c r="H281" s="145" t="s">
        <v>321</v>
      </c>
      <c r="I281" s="145" t="s">
        <v>951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484</v>
      </c>
      <c r="O281" s="145" t="s">
        <v>339</v>
      </c>
      <c r="P281" s="145" t="s">
        <v>1406</v>
      </c>
      <c r="Q281" s="145" t="s">
        <v>415</v>
      </c>
      <c r="R281" s="145" t="s">
        <v>407</v>
      </c>
      <c r="S281" s="145" t="s">
        <v>1210</v>
      </c>
      <c r="T281" s="146">
        <v>0.66</v>
      </c>
      <c r="U281" s="145" t="s">
        <v>1479</v>
      </c>
      <c r="V281" s="148">
        <v>3.6499999999999998E-2</v>
      </c>
      <c r="W281" s="148">
        <v>4.4749999999999998E-2</v>
      </c>
      <c r="X281" s="145" t="s">
        <v>412</v>
      </c>
      <c r="Y281" s="159"/>
      <c r="Z281" s="146">
        <v>380589.18</v>
      </c>
      <c r="AA281" s="146">
        <v>1</v>
      </c>
      <c r="AB281" s="146">
        <v>100.7</v>
      </c>
      <c r="AC281" s="151"/>
      <c r="AD281" s="146">
        <v>383.25299999999999</v>
      </c>
      <c r="AE281" s="151"/>
      <c r="AF281" s="151"/>
      <c r="AG281" s="151"/>
      <c r="AH281" s="148">
        <v>7.1000000000000002E-4</v>
      </c>
      <c r="AI281" s="148">
        <v>6.5700000000000003E-3</v>
      </c>
      <c r="AJ281" s="149">
        <v>2.9999999999999997E-4</v>
      </c>
      <c r="AK281" s="196"/>
    </row>
    <row r="282" spans="1:37" x14ac:dyDescent="0.2">
      <c r="A282" s="144" t="s">
        <v>1217</v>
      </c>
      <c r="B282" s="145" t="s">
        <v>1218</v>
      </c>
      <c r="C282" s="145" t="s">
        <v>1488</v>
      </c>
      <c r="D282" s="145" t="s">
        <v>1489</v>
      </c>
      <c r="E282" s="145" t="s">
        <v>309</v>
      </c>
      <c r="F282" s="145" t="s">
        <v>1490</v>
      </c>
      <c r="G282" s="145" t="s">
        <v>1491</v>
      </c>
      <c r="H282" s="145" t="s">
        <v>321</v>
      </c>
      <c r="I282" s="145" t="s">
        <v>754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445</v>
      </c>
      <c r="O282" s="145" t="s">
        <v>339</v>
      </c>
      <c r="P282" s="145" t="s">
        <v>1433</v>
      </c>
      <c r="Q282" s="145" t="s">
        <v>415</v>
      </c>
      <c r="R282" s="145" t="s">
        <v>407</v>
      </c>
      <c r="S282" s="145" t="s">
        <v>1210</v>
      </c>
      <c r="T282" s="146">
        <v>4.1399999999999997</v>
      </c>
      <c r="U282" s="145" t="s">
        <v>1376</v>
      </c>
      <c r="V282" s="148">
        <v>5.1700000000000003E-2</v>
      </c>
      <c r="W282" s="148">
        <v>5.1369999999999999E-2</v>
      </c>
      <c r="X282" s="145" t="s">
        <v>412</v>
      </c>
      <c r="Y282" s="159"/>
      <c r="Z282" s="146">
        <v>314953</v>
      </c>
      <c r="AA282" s="146">
        <v>1</v>
      </c>
      <c r="AB282" s="146">
        <v>102.11</v>
      </c>
      <c r="AC282" s="151"/>
      <c r="AD282" s="146">
        <v>321.59899999999999</v>
      </c>
      <c r="AE282" s="151"/>
      <c r="AF282" s="151"/>
      <c r="AG282" s="151"/>
      <c r="AH282" s="148">
        <v>5.1999999999999995E-4</v>
      </c>
      <c r="AI282" s="148">
        <v>5.5100000000000001E-3</v>
      </c>
      <c r="AJ282" s="149">
        <v>2.5000000000000001E-4</v>
      </c>
      <c r="AK282" s="196"/>
    </row>
    <row r="283" spans="1:37" x14ac:dyDescent="0.2">
      <c r="A283" s="144" t="s">
        <v>1217</v>
      </c>
      <c r="B283" s="145" t="s">
        <v>1218</v>
      </c>
      <c r="C283" s="145" t="s">
        <v>1402</v>
      </c>
      <c r="D283" s="145" t="s">
        <v>1403</v>
      </c>
      <c r="E283" s="145" t="s">
        <v>309</v>
      </c>
      <c r="F283" s="145" t="s">
        <v>1485</v>
      </c>
      <c r="G283" s="145" t="s">
        <v>1486</v>
      </c>
      <c r="H283" s="145" t="s">
        <v>321</v>
      </c>
      <c r="I283" s="145" t="s">
        <v>951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445</v>
      </c>
      <c r="O283" s="145" t="s">
        <v>339</v>
      </c>
      <c r="P283" s="145" t="s">
        <v>1406</v>
      </c>
      <c r="Q283" s="145" t="s">
        <v>415</v>
      </c>
      <c r="R283" s="145" t="s">
        <v>407</v>
      </c>
      <c r="S283" s="145" t="s">
        <v>1210</v>
      </c>
      <c r="T283" s="146">
        <v>3.84</v>
      </c>
      <c r="U283" s="145" t="s">
        <v>1487</v>
      </c>
      <c r="V283" s="148">
        <v>2.6200000000000001E-2</v>
      </c>
      <c r="W283" s="148">
        <v>4.8739999999999999E-2</v>
      </c>
      <c r="X283" s="145" t="s">
        <v>412</v>
      </c>
      <c r="Y283" s="159"/>
      <c r="Z283" s="146">
        <v>318012</v>
      </c>
      <c r="AA283" s="146">
        <v>1</v>
      </c>
      <c r="AB283" s="146">
        <v>93.04</v>
      </c>
      <c r="AC283" s="151"/>
      <c r="AD283" s="146">
        <v>295.87799999999999</v>
      </c>
      <c r="AE283" s="151"/>
      <c r="AF283" s="151"/>
      <c r="AG283" s="151"/>
      <c r="AH283" s="148">
        <v>2.5000000000000001E-4</v>
      </c>
      <c r="AI283" s="148">
        <v>5.0699999999999999E-3</v>
      </c>
      <c r="AJ283" s="149">
        <v>2.3000000000000001E-4</v>
      </c>
      <c r="AK283" s="196"/>
    </row>
    <row r="284" spans="1:37" x14ac:dyDescent="0.2">
      <c r="A284" s="144" t="s">
        <v>1217</v>
      </c>
      <c r="B284" s="145" t="s">
        <v>1218</v>
      </c>
      <c r="C284" s="145" t="s">
        <v>1394</v>
      </c>
      <c r="D284" s="145" t="s">
        <v>1395</v>
      </c>
      <c r="E284" s="145" t="s">
        <v>309</v>
      </c>
      <c r="F284" s="145" t="s">
        <v>1492</v>
      </c>
      <c r="G284" s="145" t="s">
        <v>1493</v>
      </c>
      <c r="H284" s="145" t="s">
        <v>321</v>
      </c>
      <c r="I284" s="145" t="s">
        <v>951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445</v>
      </c>
      <c r="O284" s="145" t="s">
        <v>339</v>
      </c>
      <c r="P284" s="145" t="s">
        <v>1358</v>
      </c>
      <c r="Q284" s="145" t="s">
        <v>415</v>
      </c>
      <c r="R284" s="145" t="s">
        <v>407</v>
      </c>
      <c r="S284" s="145" t="s">
        <v>1210</v>
      </c>
      <c r="T284" s="146">
        <v>2.59</v>
      </c>
      <c r="U284" s="145" t="s">
        <v>1494</v>
      </c>
      <c r="V284" s="148">
        <v>4.36E-2</v>
      </c>
      <c r="W284" s="148">
        <v>4.6519999999999999E-2</v>
      </c>
      <c r="X284" s="145" t="s">
        <v>412</v>
      </c>
      <c r="Y284" s="159"/>
      <c r="Z284" s="146">
        <v>278180</v>
      </c>
      <c r="AA284" s="146">
        <v>1</v>
      </c>
      <c r="AB284" s="146">
        <v>100.47</v>
      </c>
      <c r="AC284" s="151"/>
      <c r="AD284" s="146">
        <v>279.48700000000002</v>
      </c>
      <c r="AE284" s="151"/>
      <c r="AF284" s="151"/>
      <c r="AG284" s="151"/>
      <c r="AH284" s="148">
        <v>9.3000000000000005E-4</v>
      </c>
      <c r="AI284" s="148">
        <v>4.79E-3</v>
      </c>
      <c r="AJ284" s="149">
        <v>2.2000000000000001E-4</v>
      </c>
      <c r="AK284" s="196"/>
    </row>
    <row r="285" spans="1:37" x14ac:dyDescent="0.2">
      <c r="A285" s="144" t="s">
        <v>1217</v>
      </c>
      <c r="B285" s="145" t="s">
        <v>1218</v>
      </c>
      <c r="C285" s="145" t="s">
        <v>1459</v>
      </c>
      <c r="D285" s="145" t="s">
        <v>1460</v>
      </c>
      <c r="E285" s="145" t="s">
        <v>309</v>
      </c>
      <c r="F285" s="145" t="s">
        <v>1461</v>
      </c>
      <c r="G285" s="145" t="s">
        <v>1462</v>
      </c>
      <c r="H285" s="145" t="s">
        <v>321</v>
      </c>
      <c r="I285" s="145" t="s">
        <v>754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440</v>
      </c>
      <c r="O285" s="145" t="s">
        <v>339</v>
      </c>
      <c r="P285" s="145" t="s">
        <v>1350</v>
      </c>
      <c r="Q285" s="145" t="s">
        <v>413</v>
      </c>
      <c r="R285" s="145" t="s">
        <v>407</v>
      </c>
      <c r="S285" s="145" t="s">
        <v>1210</v>
      </c>
      <c r="T285" s="146">
        <v>2.1</v>
      </c>
      <c r="U285" s="145" t="s">
        <v>1463</v>
      </c>
      <c r="V285" s="148">
        <v>1.9400000000000001E-2</v>
      </c>
      <c r="W285" s="148">
        <v>2.5569999999999999E-2</v>
      </c>
      <c r="X285" s="145" t="s">
        <v>412</v>
      </c>
      <c r="Y285" s="159"/>
      <c r="Z285" s="146">
        <v>171693.83</v>
      </c>
      <c r="AA285" s="146">
        <v>1</v>
      </c>
      <c r="AB285" s="146">
        <v>115.77</v>
      </c>
      <c r="AC285" s="151"/>
      <c r="AD285" s="146">
        <v>198.77</v>
      </c>
      <c r="AE285" s="151"/>
      <c r="AF285" s="151"/>
      <c r="AG285" s="151"/>
      <c r="AH285" s="148">
        <v>7.1000000000000002E-4</v>
      </c>
      <c r="AI285" s="148">
        <v>3.4099999999999998E-3</v>
      </c>
      <c r="AJ285" s="149">
        <v>1.6000000000000001E-4</v>
      </c>
      <c r="AK285" s="196"/>
    </row>
    <row r="286" spans="1:37" x14ac:dyDescent="0.2">
      <c r="A286" s="144" t="s">
        <v>1217</v>
      </c>
      <c r="B286" s="145" t="s">
        <v>1218</v>
      </c>
      <c r="C286" s="145" t="s">
        <v>1454</v>
      </c>
      <c r="D286" s="145" t="s">
        <v>1455</v>
      </c>
      <c r="E286" s="145" t="s">
        <v>309</v>
      </c>
      <c r="F286" s="145" t="s">
        <v>1456</v>
      </c>
      <c r="G286" s="145" t="s">
        <v>1457</v>
      </c>
      <c r="H286" s="145" t="s">
        <v>321</v>
      </c>
      <c r="I286" s="145" t="s">
        <v>754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464</v>
      </c>
      <c r="O286" s="145" t="s">
        <v>339</v>
      </c>
      <c r="P286" s="145" t="s">
        <v>1392</v>
      </c>
      <c r="Q286" s="145" t="s">
        <v>413</v>
      </c>
      <c r="R286" s="145" t="s">
        <v>407</v>
      </c>
      <c r="S286" s="145" t="s">
        <v>1210</v>
      </c>
      <c r="T286" s="146">
        <v>0.27</v>
      </c>
      <c r="U286" s="145" t="s">
        <v>1458</v>
      </c>
      <c r="V286" s="148">
        <v>1.7600000000000001E-2</v>
      </c>
      <c r="W286" s="148">
        <v>2.298E-2</v>
      </c>
      <c r="X286" s="145" t="s">
        <v>412</v>
      </c>
      <c r="Y286" s="159"/>
      <c r="Z286" s="146">
        <v>148947.49</v>
      </c>
      <c r="AA286" s="146">
        <v>1</v>
      </c>
      <c r="AB286" s="146">
        <v>117.72</v>
      </c>
      <c r="AC286" s="151"/>
      <c r="AD286" s="146">
        <v>175.34100000000001</v>
      </c>
      <c r="AE286" s="151"/>
      <c r="AF286" s="151"/>
      <c r="AG286" s="151"/>
      <c r="AH286" s="148">
        <v>5.5000000000000003E-4</v>
      </c>
      <c r="AI286" s="148">
        <v>3.0000000000000001E-3</v>
      </c>
      <c r="AJ286" s="149">
        <v>1.3999999999999999E-4</v>
      </c>
      <c r="AK286" s="196"/>
    </row>
    <row r="287" spans="1:37" x14ac:dyDescent="0.2">
      <c r="A287" s="144" t="s">
        <v>1217</v>
      </c>
      <c r="B287" s="145" t="s">
        <v>1218</v>
      </c>
      <c r="C287" s="145" t="s">
        <v>1488</v>
      </c>
      <c r="D287" s="145" t="s">
        <v>1489</v>
      </c>
      <c r="E287" s="145" t="s">
        <v>309</v>
      </c>
      <c r="F287" s="145" t="s">
        <v>1510</v>
      </c>
      <c r="G287" s="145" t="s">
        <v>1511</v>
      </c>
      <c r="H287" s="145" t="s">
        <v>321</v>
      </c>
      <c r="I287" s="145" t="s">
        <v>754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445</v>
      </c>
      <c r="O287" s="145" t="s">
        <v>339</v>
      </c>
      <c r="P287" s="145" t="s">
        <v>1433</v>
      </c>
      <c r="Q287" s="145" t="s">
        <v>415</v>
      </c>
      <c r="R287" s="145" t="s">
        <v>407</v>
      </c>
      <c r="S287" s="145" t="s">
        <v>1210</v>
      </c>
      <c r="T287" s="146">
        <v>4.96</v>
      </c>
      <c r="U287" s="145" t="s">
        <v>1512</v>
      </c>
      <c r="V287" s="148">
        <v>5.3999999999999999E-2</v>
      </c>
      <c r="W287" s="148">
        <v>5.2179999999999997E-2</v>
      </c>
      <c r="X287" s="145" t="s">
        <v>412</v>
      </c>
      <c r="Y287" s="159"/>
      <c r="Z287" s="146">
        <v>170706</v>
      </c>
      <c r="AA287" s="146">
        <v>1</v>
      </c>
      <c r="AB287" s="146">
        <v>102.55</v>
      </c>
      <c r="AC287" s="151"/>
      <c r="AD287" s="146">
        <v>175.059</v>
      </c>
      <c r="AE287" s="151"/>
      <c r="AF287" s="151"/>
      <c r="AG287" s="151"/>
      <c r="AH287" s="148">
        <v>2.9999999999999997E-4</v>
      </c>
      <c r="AI287" s="148">
        <v>3.0000000000000001E-3</v>
      </c>
      <c r="AJ287" s="149">
        <v>1.3999999999999999E-4</v>
      </c>
      <c r="AK287" s="196"/>
    </row>
    <row r="288" spans="1:37" x14ac:dyDescent="0.2">
      <c r="A288" s="144" t="s">
        <v>1217</v>
      </c>
      <c r="B288" s="145" t="s">
        <v>1218</v>
      </c>
      <c r="C288" s="145" t="s">
        <v>1500</v>
      </c>
      <c r="D288" s="145" t="s">
        <v>1501</v>
      </c>
      <c r="E288" s="145" t="s">
        <v>309</v>
      </c>
      <c r="F288" s="145" t="s">
        <v>1502</v>
      </c>
      <c r="G288" s="145" t="s">
        <v>1503</v>
      </c>
      <c r="H288" s="145" t="s">
        <v>321</v>
      </c>
      <c r="I288" s="145" t="s">
        <v>754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445</v>
      </c>
      <c r="O288" s="145" t="s">
        <v>339</v>
      </c>
      <c r="P288" s="145" t="s">
        <v>1392</v>
      </c>
      <c r="Q288" s="145" t="s">
        <v>413</v>
      </c>
      <c r="R288" s="145" t="s">
        <v>407</v>
      </c>
      <c r="S288" s="145" t="s">
        <v>1210</v>
      </c>
      <c r="T288" s="146">
        <v>4.05</v>
      </c>
      <c r="U288" s="145" t="s">
        <v>1504</v>
      </c>
      <c r="V288" s="148">
        <v>4.4000000000000003E-3</v>
      </c>
      <c r="W288" s="148">
        <v>2.7269999999999999E-2</v>
      </c>
      <c r="X288" s="145" t="s">
        <v>412</v>
      </c>
      <c r="Y288" s="159"/>
      <c r="Z288" s="146">
        <v>139359.44</v>
      </c>
      <c r="AA288" s="146">
        <v>1</v>
      </c>
      <c r="AB288" s="146">
        <v>105.45</v>
      </c>
      <c r="AC288" s="151"/>
      <c r="AD288" s="146">
        <v>146.95500000000001</v>
      </c>
      <c r="AE288" s="151"/>
      <c r="AF288" s="151"/>
      <c r="AG288" s="151"/>
      <c r="AH288" s="148">
        <v>1.3999999999999999E-4</v>
      </c>
      <c r="AI288" s="148">
        <v>2.5200000000000001E-3</v>
      </c>
      <c r="AJ288" s="149">
        <v>1.2E-4</v>
      </c>
      <c r="AK288" s="196"/>
    </row>
    <row r="289" spans="1:37" x14ac:dyDescent="0.2">
      <c r="A289" s="144" t="s">
        <v>1217</v>
      </c>
      <c r="B289" s="145" t="s">
        <v>1218</v>
      </c>
      <c r="C289" s="145" t="s">
        <v>1505</v>
      </c>
      <c r="D289" s="145" t="s">
        <v>1506</v>
      </c>
      <c r="E289" s="145" t="s">
        <v>309</v>
      </c>
      <c r="F289" s="145" t="s">
        <v>1507</v>
      </c>
      <c r="G289" s="145" t="s">
        <v>1508</v>
      </c>
      <c r="H289" s="145" t="s">
        <v>321</v>
      </c>
      <c r="I289" s="145" t="s">
        <v>951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445</v>
      </c>
      <c r="O289" s="145" t="s">
        <v>339</v>
      </c>
      <c r="P289" s="145" t="s">
        <v>1406</v>
      </c>
      <c r="Q289" s="145" t="s">
        <v>415</v>
      </c>
      <c r="R289" s="145" t="s">
        <v>407</v>
      </c>
      <c r="S289" s="145" t="s">
        <v>1210</v>
      </c>
      <c r="T289" s="146">
        <v>0.98</v>
      </c>
      <c r="U289" s="145" t="s">
        <v>1509</v>
      </c>
      <c r="V289" s="148">
        <v>2.9399999999999999E-2</v>
      </c>
      <c r="W289" s="148">
        <v>4.9570000000000003E-2</v>
      </c>
      <c r="X289" s="145" t="s">
        <v>412</v>
      </c>
      <c r="Y289" s="159"/>
      <c r="Z289" s="146">
        <v>128930.84</v>
      </c>
      <c r="AA289" s="146">
        <v>1</v>
      </c>
      <c r="AB289" s="146">
        <v>99.54</v>
      </c>
      <c r="AC289" s="151"/>
      <c r="AD289" s="146">
        <v>128.33799999999999</v>
      </c>
      <c r="AE289" s="151"/>
      <c r="AF289" s="151"/>
      <c r="AG289" s="151"/>
      <c r="AH289" s="148">
        <v>1.1999999999999999E-3</v>
      </c>
      <c r="AI289" s="148">
        <v>2.2000000000000001E-3</v>
      </c>
      <c r="AJ289" s="149">
        <v>1E-4</v>
      </c>
      <c r="AK289" s="196"/>
    </row>
    <row r="290" spans="1:37" x14ac:dyDescent="0.2">
      <c r="A290" s="144" t="s">
        <v>1217</v>
      </c>
      <c r="B290" s="145" t="s">
        <v>1218</v>
      </c>
      <c r="C290" s="145" t="s">
        <v>1459</v>
      </c>
      <c r="D290" s="145" t="s">
        <v>1460</v>
      </c>
      <c r="E290" s="145" t="s">
        <v>309</v>
      </c>
      <c r="F290" s="145" t="s">
        <v>1513</v>
      </c>
      <c r="G290" s="145" t="s">
        <v>1514</v>
      </c>
      <c r="H290" s="145" t="s">
        <v>321</v>
      </c>
      <c r="I290" s="145" t="s">
        <v>754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440</v>
      </c>
      <c r="O290" s="145" t="s">
        <v>339</v>
      </c>
      <c r="P290" s="145" t="s">
        <v>1350</v>
      </c>
      <c r="Q290" s="145" t="s">
        <v>413</v>
      </c>
      <c r="R290" s="145" t="s">
        <v>407</v>
      </c>
      <c r="S290" s="145" t="s">
        <v>1210</v>
      </c>
      <c r="T290" s="146">
        <v>3.08</v>
      </c>
      <c r="U290" s="145" t="s">
        <v>1515</v>
      </c>
      <c r="V290" s="148">
        <v>1.23E-2</v>
      </c>
      <c r="W290" s="148">
        <v>2.758E-2</v>
      </c>
      <c r="X290" s="145" t="s">
        <v>412</v>
      </c>
      <c r="Y290" s="159"/>
      <c r="Z290" s="146">
        <v>69864.02</v>
      </c>
      <c r="AA290" s="146">
        <v>1</v>
      </c>
      <c r="AB290" s="146">
        <v>111.43</v>
      </c>
      <c r="AC290" s="151"/>
      <c r="AD290" s="146">
        <v>77.849000000000004</v>
      </c>
      <c r="AE290" s="151"/>
      <c r="AF290" s="151"/>
      <c r="AG290" s="151"/>
      <c r="AH290" s="148">
        <v>6.9999999999999994E-5</v>
      </c>
      <c r="AI290" s="148">
        <v>1.33E-3</v>
      </c>
      <c r="AJ290" s="149">
        <v>6.0000000000000002E-5</v>
      </c>
      <c r="AK290" s="196"/>
    </row>
    <row r="291" spans="1:37" x14ac:dyDescent="0.2">
      <c r="A291" s="144" t="s">
        <v>1217</v>
      </c>
      <c r="B291" s="145" t="s">
        <v>1218</v>
      </c>
      <c r="C291" s="145" t="s">
        <v>1522</v>
      </c>
      <c r="D291" s="145" t="s">
        <v>1523</v>
      </c>
      <c r="E291" s="145" t="s">
        <v>309</v>
      </c>
      <c r="F291" s="145" t="s">
        <v>1524</v>
      </c>
      <c r="G291" s="145" t="s">
        <v>1525</v>
      </c>
      <c r="H291" s="145" t="s">
        <v>321</v>
      </c>
      <c r="I291" s="145" t="s">
        <v>754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464</v>
      </c>
      <c r="O291" s="145" t="s">
        <v>339</v>
      </c>
      <c r="P291" s="145" t="s">
        <v>1358</v>
      </c>
      <c r="Q291" s="145" t="s">
        <v>415</v>
      </c>
      <c r="R291" s="145" t="s">
        <v>407</v>
      </c>
      <c r="S291" s="145" t="s">
        <v>1210</v>
      </c>
      <c r="T291" s="146">
        <v>2.44</v>
      </c>
      <c r="U291" s="145" t="s">
        <v>1526</v>
      </c>
      <c r="V291" s="148">
        <v>1.9599999999999999E-2</v>
      </c>
      <c r="W291" s="148">
        <v>2.877E-2</v>
      </c>
      <c r="X291" s="145" t="s">
        <v>412</v>
      </c>
      <c r="Y291" s="159"/>
      <c r="Z291" s="146">
        <v>53633</v>
      </c>
      <c r="AA291" s="146">
        <v>1</v>
      </c>
      <c r="AB291" s="146">
        <v>114.79</v>
      </c>
      <c r="AC291" s="151"/>
      <c r="AD291" s="146">
        <v>61.564999999999998</v>
      </c>
      <c r="AE291" s="151"/>
      <c r="AF291" s="151"/>
      <c r="AG291" s="151"/>
      <c r="AH291" s="148">
        <v>5.0000000000000002E-5</v>
      </c>
      <c r="AI291" s="148">
        <v>1.06E-3</v>
      </c>
      <c r="AJ291" s="149">
        <v>5.0000000000000002E-5</v>
      </c>
      <c r="AK291" s="196"/>
    </row>
    <row r="292" spans="1:37" x14ac:dyDescent="0.2">
      <c r="A292" s="144" t="s">
        <v>1217</v>
      </c>
      <c r="B292" s="145" t="s">
        <v>1218</v>
      </c>
      <c r="C292" s="145" t="s">
        <v>1394</v>
      </c>
      <c r="D292" s="145" t="s">
        <v>1395</v>
      </c>
      <c r="E292" s="145" t="s">
        <v>309</v>
      </c>
      <c r="F292" s="145" t="s">
        <v>1527</v>
      </c>
      <c r="G292" s="145" t="s">
        <v>1528</v>
      </c>
      <c r="H292" s="145" t="s">
        <v>321</v>
      </c>
      <c r="I292" s="145" t="s">
        <v>951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445</v>
      </c>
      <c r="O292" s="145" t="s">
        <v>339</v>
      </c>
      <c r="P292" s="145" t="s">
        <v>1358</v>
      </c>
      <c r="Q292" s="145" t="s">
        <v>415</v>
      </c>
      <c r="R292" s="145" t="s">
        <v>407</v>
      </c>
      <c r="S292" s="145" t="s">
        <v>1210</v>
      </c>
      <c r="T292" s="146">
        <v>4.33</v>
      </c>
      <c r="U292" s="145" t="s">
        <v>1529</v>
      </c>
      <c r="V292" s="148">
        <v>3.95E-2</v>
      </c>
      <c r="W292" s="148">
        <v>4.8520000000000001E-2</v>
      </c>
      <c r="X292" s="145" t="s">
        <v>412</v>
      </c>
      <c r="Y292" s="159"/>
      <c r="Z292" s="146">
        <v>50991</v>
      </c>
      <c r="AA292" s="146">
        <v>1</v>
      </c>
      <c r="AB292" s="146">
        <v>97.42</v>
      </c>
      <c r="AC292" s="151"/>
      <c r="AD292" s="146">
        <v>49.674999999999997</v>
      </c>
      <c r="AE292" s="151"/>
      <c r="AF292" s="151"/>
      <c r="AG292" s="151"/>
      <c r="AH292" s="148">
        <v>2.1000000000000001E-4</v>
      </c>
      <c r="AI292" s="148">
        <v>8.4999999999999995E-4</v>
      </c>
      <c r="AJ292" s="149">
        <v>4.0000000000000003E-5</v>
      </c>
      <c r="AK292" s="196"/>
    </row>
    <row r="293" spans="1:37" x14ac:dyDescent="0.2">
      <c r="A293" s="144" t="s">
        <v>1217</v>
      </c>
      <c r="B293" s="145" t="s">
        <v>1218</v>
      </c>
      <c r="C293" s="145" t="s">
        <v>1469</v>
      </c>
      <c r="D293" s="145" t="s">
        <v>1470</v>
      </c>
      <c r="E293" s="145" t="s">
        <v>309</v>
      </c>
      <c r="F293" s="145" t="s">
        <v>1471</v>
      </c>
      <c r="G293" s="145" t="s">
        <v>1472</v>
      </c>
      <c r="H293" s="145" t="s">
        <v>321</v>
      </c>
      <c r="I293" s="145" t="s">
        <v>951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451</v>
      </c>
      <c r="O293" s="145" t="s">
        <v>339</v>
      </c>
      <c r="P293" s="145" t="s">
        <v>1473</v>
      </c>
      <c r="Q293" s="145" t="s">
        <v>413</v>
      </c>
      <c r="R293" s="145" t="s">
        <v>407</v>
      </c>
      <c r="S293" s="145" t="s">
        <v>1210</v>
      </c>
      <c r="T293" s="146">
        <v>0.73</v>
      </c>
      <c r="U293" s="145" t="s">
        <v>1474</v>
      </c>
      <c r="V293" s="148">
        <v>0.04</v>
      </c>
      <c r="W293" s="148">
        <v>5.407E-2</v>
      </c>
      <c r="X293" s="145" t="s">
        <v>412</v>
      </c>
      <c r="Y293" s="159"/>
      <c r="Z293" s="146">
        <v>47830.29</v>
      </c>
      <c r="AA293" s="146">
        <v>1</v>
      </c>
      <c r="AB293" s="146">
        <v>100.05</v>
      </c>
      <c r="AC293" s="151"/>
      <c r="AD293" s="146">
        <v>47.853999999999999</v>
      </c>
      <c r="AE293" s="151"/>
      <c r="AF293" s="151"/>
      <c r="AG293" s="151"/>
      <c r="AH293" s="148">
        <v>3.6000000000000002E-4</v>
      </c>
      <c r="AI293" s="148">
        <v>8.1999999999999998E-4</v>
      </c>
      <c r="AJ293" s="149">
        <v>4.0000000000000003E-5</v>
      </c>
      <c r="AK293" s="196"/>
    </row>
    <row r="294" spans="1:37" x14ac:dyDescent="0.2">
      <c r="A294" s="144" t="s">
        <v>1217</v>
      </c>
      <c r="B294" s="145" t="s">
        <v>1218</v>
      </c>
      <c r="C294" s="145" t="s">
        <v>1516</v>
      </c>
      <c r="D294" s="145" t="s">
        <v>1517</v>
      </c>
      <c r="E294" s="145" t="s">
        <v>309</v>
      </c>
      <c r="F294" s="145" t="s">
        <v>1518</v>
      </c>
      <c r="G294" s="145" t="s">
        <v>1519</v>
      </c>
      <c r="H294" s="145" t="s">
        <v>321</v>
      </c>
      <c r="I294" s="145" t="s">
        <v>951</v>
      </c>
      <c r="J294" s="145" t="s">
        <v>204</v>
      </c>
      <c r="K294" s="145" t="s">
        <v>204</v>
      </c>
      <c r="L294" s="145" t="s">
        <v>325</v>
      </c>
      <c r="M294" s="145" t="s">
        <v>340</v>
      </c>
      <c r="N294" s="145" t="s">
        <v>465</v>
      </c>
      <c r="O294" s="145" t="s">
        <v>339</v>
      </c>
      <c r="P294" s="145" t="s">
        <v>1520</v>
      </c>
      <c r="Q294" s="145" t="s">
        <v>415</v>
      </c>
      <c r="R294" s="145" t="s">
        <v>407</v>
      </c>
      <c r="S294" s="145" t="s">
        <v>1210</v>
      </c>
      <c r="T294" s="146">
        <v>0.37</v>
      </c>
      <c r="U294" s="145" t="s">
        <v>1521</v>
      </c>
      <c r="V294" s="148">
        <v>3.5000000000000003E-2</v>
      </c>
      <c r="W294" s="148">
        <v>5.756E-2</v>
      </c>
      <c r="X294" s="145" t="s">
        <v>412</v>
      </c>
      <c r="Y294" s="159"/>
      <c r="Z294" s="146">
        <v>35602</v>
      </c>
      <c r="AA294" s="146">
        <v>1</v>
      </c>
      <c r="AB294" s="146">
        <v>99.65</v>
      </c>
      <c r="AC294" s="151"/>
      <c r="AD294" s="146">
        <v>35.476999999999997</v>
      </c>
      <c r="AE294" s="151"/>
      <c r="AF294" s="151"/>
      <c r="AG294" s="151"/>
      <c r="AH294" s="148">
        <v>7.3999999999999999E-4</v>
      </c>
      <c r="AI294" s="148">
        <v>6.0999999999999997E-4</v>
      </c>
      <c r="AJ294" s="149">
        <v>3.0000000000000001E-5</v>
      </c>
      <c r="AK294" s="196"/>
    </row>
    <row r="295" spans="1:37" x14ac:dyDescent="0.2">
      <c r="A295" s="144" t="s">
        <v>1217</v>
      </c>
      <c r="B295" s="145" t="s">
        <v>1218</v>
      </c>
      <c r="C295" s="145" t="s">
        <v>1394</v>
      </c>
      <c r="D295" s="145" t="s">
        <v>1395</v>
      </c>
      <c r="E295" s="145" t="s">
        <v>309</v>
      </c>
      <c r="F295" s="145" t="s">
        <v>1396</v>
      </c>
      <c r="G295" s="145" t="s">
        <v>1397</v>
      </c>
      <c r="H295" s="145" t="s">
        <v>321</v>
      </c>
      <c r="I295" s="145" t="s">
        <v>951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445</v>
      </c>
      <c r="O295" s="145" t="s">
        <v>339</v>
      </c>
      <c r="P295" s="145" t="s">
        <v>1358</v>
      </c>
      <c r="Q295" s="145" t="s">
        <v>415</v>
      </c>
      <c r="R295" s="145" t="s">
        <v>407</v>
      </c>
      <c r="S295" s="145" t="s">
        <v>1210</v>
      </c>
      <c r="T295" s="146">
        <v>3.49</v>
      </c>
      <c r="U295" s="145" t="s">
        <v>1398</v>
      </c>
      <c r="V295" s="148">
        <v>3.95E-2</v>
      </c>
      <c r="W295" s="148">
        <v>4.6510000000000003E-2</v>
      </c>
      <c r="X295" s="145" t="s">
        <v>412</v>
      </c>
      <c r="Y295" s="159"/>
      <c r="Z295" s="146">
        <v>29016</v>
      </c>
      <c r="AA295" s="146">
        <v>1</v>
      </c>
      <c r="AB295" s="146">
        <v>98.76</v>
      </c>
      <c r="AC295" s="151"/>
      <c r="AD295" s="146">
        <v>28.655999999999999</v>
      </c>
      <c r="AE295" s="151"/>
      <c r="AF295" s="151"/>
      <c r="AG295" s="151"/>
      <c r="AH295" s="148">
        <v>1.2E-4</v>
      </c>
      <c r="AI295" s="148">
        <v>4.8999999999999998E-4</v>
      </c>
      <c r="AJ295" s="149">
        <v>2.0000000000000002E-5</v>
      </c>
      <c r="AK295" s="196"/>
    </row>
    <row r="296" spans="1:37" x14ac:dyDescent="0.2">
      <c r="A296" s="144" t="s">
        <v>1217</v>
      </c>
      <c r="B296" s="145" t="s">
        <v>1218</v>
      </c>
      <c r="C296" s="145" t="s">
        <v>1388</v>
      </c>
      <c r="D296" s="145" t="s">
        <v>1389</v>
      </c>
      <c r="E296" s="145" t="s">
        <v>309</v>
      </c>
      <c r="F296" s="145" t="s">
        <v>1530</v>
      </c>
      <c r="G296" s="145" t="s">
        <v>1531</v>
      </c>
      <c r="H296" s="145" t="s">
        <v>321</v>
      </c>
      <c r="I296" s="145" t="s">
        <v>951</v>
      </c>
      <c r="J296" s="145" t="s">
        <v>204</v>
      </c>
      <c r="K296" s="145" t="s">
        <v>204</v>
      </c>
      <c r="L296" s="145" t="s">
        <v>325</v>
      </c>
      <c r="M296" s="145" t="s">
        <v>340</v>
      </c>
      <c r="N296" s="145" t="s">
        <v>464</v>
      </c>
      <c r="O296" s="145" t="s">
        <v>339</v>
      </c>
      <c r="P296" s="145" t="s">
        <v>1392</v>
      </c>
      <c r="Q296" s="145" t="s">
        <v>413</v>
      </c>
      <c r="R296" s="145" t="s">
        <v>407</v>
      </c>
      <c r="S296" s="145" t="s">
        <v>1210</v>
      </c>
      <c r="T296" s="146">
        <v>4.76</v>
      </c>
      <c r="U296" s="145" t="s">
        <v>1532</v>
      </c>
      <c r="V296" s="148">
        <v>2.5499999999999998E-2</v>
      </c>
      <c r="W296" s="148">
        <v>5.2699999999999997E-2</v>
      </c>
      <c r="X296" s="145" t="s">
        <v>412</v>
      </c>
      <c r="Y296" s="159"/>
      <c r="Z296" s="146">
        <v>23705.5</v>
      </c>
      <c r="AA296" s="146">
        <v>1</v>
      </c>
      <c r="AB296" s="146">
        <v>88.7</v>
      </c>
      <c r="AC296" s="151"/>
      <c r="AD296" s="146">
        <v>21.027000000000001</v>
      </c>
      <c r="AE296" s="151"/>
      <c r="AF296" s="151"/>
      <c r="AG296" s="151"/>
      <c r="AH296" s="148">
        <v>1.0000000000000001E-5</v>
      </c>
      <c r="AI296" s="148">
        <v>3.6000000000000002E-4</v>
      </c>
      <c r="AJ296" s="149">
        <v>2.0000000000000002E-5</v>
      </c>
      <c r="AK296" s="196"/>
    </row>
    <row r="297" spans="1:37" x14ac:dyDescent="0.2">
      <c r="A297" s="144" t="s">
        <v>1217</v>
      </c>
      <c r="B297" s="145" t="s">
        <v>1219</v>
      </c>
      <c r="C297" s="145" t="s">
        <v>1326</v>
      </c>
      <c r="D297" s="145" t="s">
        <v>1327</v>
      </c>
      <c r="E297" s="145" t="s">
        <v>309</v>
      </c>
      <c r="F297" s="145" t="s">
        <v>1340</v>
      </c>
      <c r="G297" s="145" t="s">
        <v>1341</v>
      </c>
      <c r="H297" s="145" t="s">
        <v>321</v>
      </c>
      <c r="I297" s="145" t="s">
        <v>754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448</v>
      </c>
      <c r="O297" s="145" t="s">
        <v>339</v>
      </c>
      <c r="P297" s="145" t="s">
        <v>1330</v>
      </c>
      <c r="Q297" s="145" t="s">
        <v>413</v>
      </c>
      <c r="R297" s="145" t="s">
        <v>407</v>
      </c>
      <c r="S297" s="145" t="s">
        <v>1210</v>
      </c>
      <c r="T297" s="146">
        <v>2.46</v>
      </c>
      <c r="U297" s="145" t="s">
        <v>1342</v>
      </c>
      <c r="V297" s="148">
        <v>1.2200000000000001E-2</v>
      </c>
      <c r="W297" s="148">
        <v>2.4389999999999998E-2</v>
      </c>
      <c r="X297" s="145" t="s">
        <v>412</v>
      </c>
      <c r="Y297" s="159"/>
      <c r="Z297" s="146">
        <v>69707</v>
      </c>
      <c r="AA297" s="146">
        <v>1</v>
      </c>
      <c r="AB297" s="146">
        <v>114.03</v>
      </c>
      <c r="AC297" s="151"/>
      <c r="AD297" s="146">
        <v>79.486999999999995</v>
      </c>
      <c r="AE297" s="151"/>
      <c r="AF297" s="151"/>
      <c r="AG297" s="151"/>
      <c r="AH297" s="148">
        <v>2.0000000000000002E-5</v>
      </c>
      <c r="AI297" s="148">
        <v>6.3159999999999994E-2</v>
      </c>
      <c r="AJ297" s="149">
        <v>7.6099999999999996E-3</v>
      </c>
      <c r="AK297" s="196"/>
    </row>
    <row r="298" spans="1:37" x14ac:dyDescent="0.2">
      <c r="A298" s="144" t="s">
        <v>1217</v>
      </c>
      <c r="B298" s="145" t="s">
        <v>1219</v>
      </c>
      <c r="C298" s="145" t="s">
        <v>1429</v>
      </c>
      <c r="D298" s="145" t="s">
        <v>1430</v>
      </c>
      <c r="E298" s="145" t="s">
        <v>309</v>
      </c>
      <c r="F298" s="145" t="s">
        <v>1552</v>
      </c>
      <c r="G298" s="145" t="s">
        <v>1553</v>
      </c>
      <c r="H298" s="145" t="s">
        <v>321</v>
      </c>
      <c r="I298" s="145" t="s">
        <v>754</v>
      </c>
      <c r="J298" s="145" t="s">
        <v>204</v>
      </c>
      <c r="K298" s="145" t="s">
        <v>293</v>
      </c>
      <c r="L298" s="145" t="s">
        <v>325</v>
      </c>
      <c r="M298" s="145" t="s">
        <v>340</v>
      </c>
      <c r="N298" s="145" t="s">
        <v>465</v>
      </c>
      <c r="O298" s="145" t="s">
        <v>339</v>
      </c>
      <c r="P298" s="145" t="s">
        <v>1433</v>
      </c>
      <c r="Q298" s="145" t="s">
        <v>415</v>
      </c>
      <c r="R298" s="145" t="s">
        <v>407</v>
      </c>
      <c r="S298" s="145" t="s">
        <v>1210</v>
      </c>
      <c r="T298" s="146">
        <v>4.7</v>
      </c>
      <c r="U298" s="145" t="s">
        <v>1554</v>
      </c>
      <c r="V298" s="148">
        <v>1.54E-2</v>
      </c>
      <c r="W298" s="148">
        <v>3.2770000000000001E-2</v>
      </c>
      <c r="X298" s="145" t="s">
        <v>412</v>
      </c>
      <c r="Y298" s="159"/>
      <c r="Z298" s="146">
        <v>64000</v>
      </c>
      <c r="AA298" s="146">
        <v>1</v>
      </c>
      <c r="AB298" s="146">
        <v>103.7</v>
      </c>
      <c r="AC298" s="151"/>
      <c r="AD298" s="146">
        <v>66.367999999999995</v>
      </c>
      <c r="AE298" s="151"/>
      <c r="AF298" s="151"/>
      <c r="AG298" s="151"/>
      <c r="AH298" s="148">
        <v>1.1E-4</v>
      </c>
      <c r="AI298" s="148">
        <v>5.2740000000000002E-2</v>
      </c>
      <c r="AJ298" s="149">
        <v>6.3499999999999997E-3</v>
      </c>
      <c r="AK298" s="196"/>
    </row>
    <row r="299" spans="1:37" x14ac:dyDescent="0.2">
      <c r="A299" s="144" t="s">
        <v>1217</v>
      </c>
      <c r="B299" s="145" t="s">
        <v>1219</v>
      </c>
      <c r="C299" s="145" t="s">
        <v>1346</v>
      </c>
      <c r="D299" s="145" t="s">
        <v>1347</v>
      </c>
      <c r="E299" s="145" t="s">
        <v>309</v>
      </c>
      <c r="F299" s="145" t="s">
        <v>1348</v>
      </c>
      <c r="G299" s="145" t="s">
        <v>1349</v>
      </c>
      <c r="H299" s="145" t="s">
        <v>321</v>
      </c>
      <c r="I299" s="145" t="s">
        <v>951</v>
      </c>
      <c r="J299" s="145" t="s">
        <v>204</v>
      </c>
      <c r="K299" s="145" t="s">
        <v>204</v>
      </c>
      <c r="L299" s="145" t="s">
        <v>325</v>
      </c>
      <c r="M299" s="145" t="s">
        <v>340</v>
      </c>
      <c r="N299" s="145" t="s">
        <v>445</v>
      </c>
      <c r="O299" s="145" t="s">
        <v>339</v>
      </c>
      <c r="P299" s="145" t="s">
        <v>1350</v>
      </c>
      <c r="Q299" s="145" t="s">
        <v>413</v>
      </c>
      <c r="R299" s="145" t="s">
        <v>407</v>
      </c>
      <c r="S299" s="145" t="s">
        <v>1210</v>
      </c>
      <c r="T299" s="146">
        <v>4.7</v>
      </c>
      <c r="U299" s="145" t="s">
        <v>1263</v>
      </c>
      <c r="V299" s="148">
        <v>2.64E-2</v>
      </c>
      <c r="W299" s="148">
        <v>5.0160000000000003E-2</v>
      </c>
      <c r="X299" s="145" t="s">
        <v>412</v>
      </c>
      <c r="Y299" s="159"/>
      <c r="Z299" s="146">
        <v>65103.15</v>
      </c>
      <c r="AA299" s="146">
        <v>1</v>
      </c>
      <c r="AB299" s="146">
        <v>89.86</v>
      </c>
      <c r="AC299" s="151"/>
      <c r="AD299" s="146">
        <v>58.502000000000002</v>
      </c>
      <c r="AE299" s="151"/>
      <c r="AF299" s="151"/>
      <c r="AG299" s="151"/>
      <c r="AH299" s="148">
        <v>4.0000000000000003E-5</v>
      </c>
      <c r="AI299" s="148">
        <v>4.6489999999999997E-2</v>
      </c>
      <c r="AJ299" s="149">
        <v>5.5999999999999999E-3</v>
      </c>
      <c r="AK299" s="196"/>
    </row>
    <row r="300" spans="1:37" x14ac:dyDescent="0.2">
      <c r="A300" s="144" t="s">
        <v>1217</v>
      </c>
      <c r="B300" s="145" t="s">
        <v>1219</v>
      </c>
      <c r="C300" s="145" t="s">
        <v>1318</v>
      </c>
      <c r="D300" s="145" t="s">
        <v>1319</v>
      </c>
      <c r="E300" s="145" t="s">
        <v>313</v>
      </c>
      <c r="F300" s="145" t="s">
        <v>1320</v>
      </c>
      <c r="G300" s="145" t="s">
        <v>1321</v>
      </c>
      <c r="H300" s="145" t="s">
        <v>321</v>
      </c>
      <c r="I300" s="145" t="s">
        <v>754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440</v>
      </c>
      <c r="O300" s="145" t="s">
        <v>339</v>
      </c>
      <c r="P300" s="145" t="s">
        <v>1209</v>
      </c>
      <c r="Q300" s="145" t="s">
        <v>415</v>
      </c>
      <c r="R300" s="145" t="s">
        <v>407</v>
      </c>
      <c r="S300" s="145" t="s">
        <v>1210</v>
      </c>
      <c r="T300" s="146">
        <v>10.119999999999999</v>
      </c>
      <c r="U300" s="145" t="s">
        <v>1322</v>
      </c>
      <c r="V300" s="148">
        <v>3.2000000000000001E-2</v>
      </c>
      <c r="W300" s="148">
        <v>3.1019999999999999E-2</v>
      </c>
      <c r="X300" s="145" t="s">
        <v>412</v>
      </c>
      <c r="Y300" s="159"/>
      <c r="Z300" s="146">
        <v>50560</v>
      </c>
      <c r="AA300" s="146">
        <v>1</v>
      </c>
      <c r="AB300" s="146">
        <v>107.1</v>
      </c>
      <c r="AC300" s="151"/>
      <c r="AD300" s="146">
        <v>54.15</v>
      </c>
      <c r="AE300" s="151"/>
      <c r="AF300" s="151"/>
      <c r="AG300" s="151"/>
      <c r="AH300" s="148">
        <v>1.0000000000000001E-5</v>
      </c>
      <c r="AI300" s="148">
        <v>4.3029999999999999E-2</v>
      </c>
      <c r="AJ300" s="149">
        <v>5.1799999999999997E-3</v>
      </c>
      <c r="AK300" s="196"/>
    </row>
    <row r="301" spans="1:37" x14ac:dyDescent="0.2">
      <c r="A301" s="144" t="s">
        <v>1217</v>
      </c>
      <c r="B301" s="145" t="s">
        <v>1219</v>
      </c>
      <c r="C301" s="145" t="s">
        <v>1402</v>
      </c>
      <c r="D301" s="145" t="s">
        <v>1403</v>
      </c>
      <c r="E301" s="145" t="s">
        <v>309</v>
      </c>
      <c r="F301" s="145" t="s">
        <v>1404</v>
      </c>
      <c r="G301" s="145" t="s">
        <v>1405</v>
      </c>
      <c r="H301" s="145" t="s">
        <v>321</v>
      </c>
      <c r="I301" s="145" t="s">
        <v>951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445</v>
      </c>
      <c r="O301" s="145" t="s">
        <v>339</v>
      </c>
      <c r="P301" s="145" t="s">
        <v>1406</v>
      </c>
      <c r="Q301" s="145" t="s">
        <v>415</v>
      </c>
      <c r="R301" s="145" t="s">
        <v>407</v>
      </c>
      <c r="S301" s="145" t="s">
        <v>1210</v>
      </c>
      <c r="T301" s="146">
        <v>0.33</v>
      </c>
      <c r="U301" s="145" t="s">
        <v>1387</v>
      </c>
      <c r="V301" s="148">
        <v>3.61E-2</v>
      </c>
      <c r="W301" s="148">
        <v>5.0680000000000003E-2</v>
      </c>
      <c r="X301" s="145" t="s">
        <v>412</v>
      </c>
      <c r="Y301" s="159"/>
      <c r="Z301" s="146">
        <v>43086</v>
      </c>
      <c r="AA301" s="146">
        <v>1</v>
      </c>
      <c r="AB301" s="146">
        <v>100.15</v>
      </c>
      <c r="AC301" s="151"/>
      <c r="AD301" s="146">
        <v>43.151000000000003</v>
      </c>
      <c r="AE301" s="151"/>
      <c r="AF301" s="151"/>
      <c r="AG301" s="151"/>
      <c r="AH301" s="148">
        <v>6.0000000000000002E-5</v>
      </c>
      <c r="AI301" s="148">
        <v>3.4290000000000001E-2</v>
      </c>
      <c r="AJ301" s="149">
        <v>4.13E-3</v>
      </c>
      <c r="AK301" s="196"/>
    </row>
    <row r="302" spans="1:37" x14ac:dyDescent="0.2">
      <c r="A302" s="144" t="s">
        <v>1217</v>
      </c>
      <c r="B302" s="145" t="s">
        <v>1219</v>
      </c>
      <c r="C302" s="145" t="s">
        <v>1410</v>
      </c>
      <c r="D302" s="145" t="s">
        <v>1411</v>
      </c>
      <c r="E302" s="145" t="s">
        <v>309</v>
      </c>
      <c r="F302" s="145" t="s">
        <v>1412</v>
      </c>
      <c r="G302" s="145" t="s">
        <v>1413</v>
      </c>
      <c r="H302" s="145" t="s">
        <v>321</v>
      </c>
      <c r="I302" s="145" t="s">
        <v>951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445</v>
      </c>
      <c r="O302" s="145" t="s">
        <v>339</v>
      </c>
      <c r="P302" s="145" t="s">
        <v>1350</v>
      </c>
      <c r="Q302" s="145" t="s">
        <v>413</v>
      </c>
      <c r="R302" s="145" t="s">
        <v>407</v>
      </c>
      <c r="S302" s="145" t="s">
        <v>1210</v>
      </c>
      <c r="T302" s="146">
        <v>4.8099999999999996</v>
      </c>
      <c r="U302" s="145" t="s">
        <v>1414</v>
      </c>
      <c r="V302" s="148">
        <v>5.2499999999999998E-2</v>
      </c>
      <c r="W302" s="148">
        <v>5.0959999999999998E-2</v>
      </c>
      <c r="X302" s="145" t="s">
        <v>412</v>
      </c>
      <c r="Y302" s="159"/>
      <c r="Z302" s="146">
        <v>41000</v>
      </c>
      <c r="AA302" s="146">
        <v>1</v>
      </c>
      <c r="AB302" s="146">
        <v>103.2</v>
      </c>
      <c r="AC302" s="151"/>
      <c r="AD302" s="146">
        <v>42.311999999999998</v>
      </c>
      <c r="AE302" s="151"/>
      <c r="AF302" s="151"/>
      <c r="AG302" s="151"/>
      <c r="AH302" s="148">
        <v>8.0000000000000007E-5</v>
      </c>
      <c r="AI302" s="148">
        <v>3.3619999999999997E-2</v>
      </c>
      <c r="AJ302" s="149">
        <v>4.0499999999999998E-3</v>
      </c>
      <c r="AK302" s="196"/>
    </row>
    <row r="303" spans="1:37" x14ac:dyDescent="0.2">
      <c r="A303" s="144" t="s">
        <v>1217</v>
      </c>
      <c r="B303" s="145" t="s">
        <v>1219</v>
      </c>
      <c r="C303" s="145" t="s">
        <v>1415</v>
      </c>
      <c r="D303" s="145" t="s">
        <v>1416</v>
      </c>
      <c r="E303" s="145" t="s">
        <v>309</v>
      </c>
      <c r="F303" s="145" t="s">
        <v>1417</v>
      </c>
      <c r="G303" s="145" t="s">
        <v>1418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448</v>
      </c>
      <c r="O303" s="145" t="s">
        <v>339</v>
      </c>
      <c r="P303" s="145" t="s">
        <v>1350</v>
      </c>
      <c r="Q303" s="145" t="s">
        <v>413</v>
      </c>
      <c r="R303" s="145" t="s">
        <v>407</v>
      </c>
      <c r="S303" s="145" t="s">
        <v>1210</v>
      </c>
      <c r="T303" s="146">
        <v>4.13</v>
      </c>
      <c r="U303" s="145" t="s">
        <v>1419</v>
      </c>
      <c r="V303" s="148">
        <v>2.5899999999999999E-2</v>
      </c>
      <c r="W303" s="148">
        <v>2.7740000000000001E-2</v>
      </c>
      <c r="X303" s="145" t="s">
        <v>412</v>
      </c>
      <c r="Y303" s="159"/>
      <c r="Z303" s="146">
        <v>41000</v>
      </c>
      <c r="AA303" s="146">
        <v>1</v>
      </c>
      <c r="AB303" s="146">
        <v>103.09</v>
      </c>
      <c r="AC303" s="151"/>
      <c r="AD303" s="146">
        <v>42.267000000000003</v>
      </c>
      <c r="AE303" s="151"/>
      <c r="AF303" s="151"/>
      <c r="AG303" s="151"/>
      <c r="AH303" s="148">
        <v>6.0000000000000002E-5</v>
      </c>
      <c r="AI303" s="148">
        <v>3.3590000000000002E-2</v>
      </c>
      <c r="AJ303" s="149">
        <v>4.0400000000000002E-3</v>
      </c>
      <c r="AK303" s="196"/>
    </row>
    <row r="304" spans="1:37" x14ac:dyDescent="0.2">
      <c r="A304" s="144" t="s">
        <v>1217</v>
      </c>
      <c r="B304" s="145" t="s">
        <v>1219</v>
      </c>
      <c r="C304" s="145" t="s">
        <v>1435</v>
      </c>
      <c r="D304" s="145" t="s">
        <v>1436</v>
      </c>
      <c r="E304" s="145" t="s">
        <v>309</v>
      </c>
      <c r="F304" s="145" t="s">
        <v>1437</v>
      </c>
      <c r="G304" s="145" t="s">
        <v>1438</v>
      </c>
      <c r="H304" s="145" t="s">
        <v>321</v>
      </c>
      <c r="I304" s="145" t="s">
        <v>951</v>
      </c>
      <c r="J304" s="145" t="s">
        <v>204</v>
      </c>
      <c r="K304" s="145" t="s">
        <v>204</v>
      </c>
      <c r="L304" s="145" t="s">
        <v>325</v>
      </c>
      <c r="M304" s="145" t="s">
        <v>340</v>
      </c>
      <c r="N304" s="145" t="s">
        <v>440</v>
      </c>
      <c r="O304" s="145" t="s">
        <v>339</v>
      </c>
      <c r="P304" s="145" t="s">
        <v>1439</v>
      </c>
      <c r="Q304" s="145" t="s">
        <v>413</v>
      </c>
      <c r="R304" s="145" t="s">
        <v>407</v>
      </c>
      <c r="S304" s="145" t="s">
        <v>1210</v>
      </c>
      <c r="T304" s="146">
        <v>3.03</v>
      </c>
      <c r="U304" s="145" t="s">
        <v>1440</v>
      </c>
      <c r="V304" s="148">
        <v>2.5000000000000001E-2</v>
      </c>
      <c r="W304" s="148">
        <v>5.5570000000000001E-2</v>
      </c>
      <c r="X304" s="145" t="s">
        <v>412</v>
      </c>
      <c r="Y304" s="159"/>
      <c r="Z304" s="146">
        <v>42000</v>
      </c>
      <c r="AA304" s="146">
        <v>1</v>
      </c>
      <c r="AB304" s="146">
        <v>91.59</v>
      </c>
      <c r="AC304" s="151"/>
      <c r="AD304" s="146">
        <v>38.468000000000004</v>
      </c>
      <c r="AE304" s="151"/>
      <c r="AF304" s="151"/>
      <c r="AG304" s="151"/>
      <c r="AH304" s="148">
        <v>6.0000000000000002E-5</v>
      </c>
      <c r="AI304" s="148">
        <v>3.057E-2</v>
      </c>
      <c r="AJ304" s="149">
        <v>3.6800000000000001E-3</v>
      </c>
      <c r="AK304" s="196"/>
    </row>
    <row r="305" spans="1:37" x14ac:dyDescent="0.2">
      <c r="A305" s="144" t="s">
        <v>1217</v>
      </c>
      <c r="B305" s="145" t="s">
        <v>1219</v>
      </c>
      <c r="C305" s="145" t="s">
        <v>1363</v>
      </c>
      <c r="D305" s="145" t="s">
        <v>1364</v>
      </c>
      <c r="E305" s="145" t="s">
        <v>309</v>
      </c>
      <c r="F305" s="145" t="s">
        <v>1365</v>
      </c>
      <c r="G305" s="145" t="s">
        <v>1366</v>
      </c>
      <c r="H305" s="145" t="s">
        <v>321</v>
      </c>
      <c r="I305" s="145" t="s">
        <v>754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448</v>
      </c>
      <c r="O305" s="145" t="s">
        <v>339</v>
      </c>
      <c r="P305" s="145" t="s">
        <v>1330</v>
      </c>
      <c r="Q305" s="145" t="s">
        <v>413</v>
      </c>
      <c r="R305" s="145" t="s">
        <v>407</v>
      </c>
      <c r="S305" s="145" t="s">
        <v>1210</v>
      </c>
      <c r="T305" s="146">
        <v>3.05</v>
      </c>
      <c r="U305" s="145" t="s">
        <v>1367</v>
      </c>
      <c r="V305" s="148">
        <v>1.7500000000000002E-2</v>
      </c>
      <c r="W305" s="148">
        <v>2.546E-2</v>
      </c>
      <c r="X305" s="145" t="s">
        <v>412</v>
      </c>
      <c r="Y305" s="159"/>
      <c r="Z305" s="146">
        <v>33951.4</v>
      </c>
      <c r="AA305" s="146">
        <v>1</v>
      </c>
      <c r="AB305" s="146">
        <v>112.78</v>
      </c>
      <c r="AC305" s="151"/>
      <c r="AD305" s="146">
        <v>38.29</v>
      </c>
      <c r="AE305" s="151"/>
      <c r="AF305" s="151"/>
      <c r="AG305" s="151"/>
      <c r="AH305" s="148">
        <v>2.0000000000000002E-5</v>
      </c>
      <c r="AI305" s="148">
        <v>3.0429999999999999E-2</v>
      </c>
      <c r="AJ305" s="149">
        <v>3.6600000000000001E-3</v>
      </c>
      <c r="AK305" s="196"/>
    </row>
    <row r="306" spans="1:37" x14ac:dyDescent="0.2">
      <c r="A306" s="144" t="s">
        <v>1217</v>
      </c>
      <c r="B306" s="145" t="s">
        <v>1219</v>
      </c>
      <c r="C306" s="145" t="s">
        <v>1543</v>
      </c>
      <c r="D306" s="145" t="s">
        <v>1544</v>
      </c>
      <c r="E306" s="145" t="s">
        <v>309</v>
      </c>
      <c r="F306" s="145" t="s">
        <v>1555</v>
      </c>
      <c r="G306" s="145" t="s">
        <v>1556</v>
      </c>
      <c r="H306" s="145" t="s">
        <v>321</v>
      </c>
      <c r="I306" s="145" t="s">
        <v>754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464</v>
      </c>
      <c r="O306" s="145" t="s">
        <v>339</v>
      </c>
      <c r="P306" s="145" t="s">
        <v>1547</v>
      </c>
      <c r="Q306" s="145" t="s">
        <v>413</v>
      </c>
      <c r="R306" s="145" t="s">
        <v>407</v>
      </c>
      <c r="S306" s="145" t="s">
        <v>1210</v>
      </c>
      <c r="T306" s="146">
        <v>9.99</v>
      </c>
      <c r="U306" s="145" t="s">
        <v>1557</v>
      </c>
      <c r="V306" s="148">
        <v>1.6899999999999998E-2</v>
      </c>
      <c r="W306" s="148">
        <v>3.2899999999999999E-2</v>
      </c>
      <c r="X306" s="145" t="s">
        <v>412</v>
      </c>
      <c r="Y306" s="159"/>
      <c r="Z306" s="146">
        <v>36854</v>
      </c>
      <c r="AA306" s="146">
        <v>1</v>
      </c>
      <c r="AB306" s="146">
        <v>97.7</v>
      </c>
      <c r="AC306" s="151"/>
      <c r="AD306" s="146">
        <v>36.006</v>
      </c>
      <c r="AE306" s="151"/>
      <c r="AF306" s="151"/>
      <c r="AG306" s="151"/>
      <c r="AH306" s="148">
        <v>1.0000000000000001E-5</v>
      </c>
      <c r="AI306" s="148">
        <v>2.861E-2</v>
      </c>
      <c r="AJ306" s="149">
        <v>3.4499999999999999E-3</v>
      </c>
      <c r="AK306" s="196"/>
    </row>
    <row r="307" spans="1:37" x14ac:dyDescent="0.2">
      <c r="A307" s="144" t="s">
        <v>1217</v>
      </c>
      <c r="B307" s="145" t="s">
        <v>1219</v>
      </c>
      <c r="C307" s="145" t="s">
        <v>1346</v>
      </c>
      <c r="D307" s="145" t="s">
        <v>1347</v>
      </c>
      <c r="E307" s="145" t="s">
        <v>309</v>
      </c>
      <c r="F307" s="145" t="s">
        <v>1407</v>
      </c>
      <c r="G307" s="145" t="s">
        <v>1408</v>
      </c>
      <c r="H307" s="145" t="s">
        <v>321</v>
      </c>
      <c r="I307" s="145" t="s">
        <v>951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445</v>
      </c>
      <c r="O307" s="145" t="s">
        <v>339</v>
      </c>
      <c r="P307" s="145" t="s">
        <v>1350</v>
      </c>
      <c r="Q307" s="145" t="s">
        <v>413</v>
      </c>
      <c r="R307" s="145" t="s">
        <v>407</v>
      </c>
      <c r="S307" s="145" t="s">
        <v>1210</v>
      </c>
      <c r="T307" s="146">
        <v>7.41</v>
      </c>
      <c r="U307" s="145" t="s">
        <v>1409</v>
      </c>
      <c r="V307" s="148">
        <v>5.3100000000000001E-2</v>
      </c>
      <c r="W307" s="148">
        <v>5.4260000000000003E-2</v>
      </c>
      <c r="X307" s="145" t="s">
        <v>412</v>
      </c>
      <c r="Y307" s="159"/>
      <c r="Z307" s="146">
        <v>33855.69</v>
      </c>
      <c r="AA307" s="146">
        <v>1</v>
      </c>
      <c r="AB307" s="146">
        <v>100.54</v>
      </c>
      <c r="AC307" s="151"/>
      <c r="AD307" s="146">
        <v>34.039000000000001</v>
      </c>
      <c r="AE307" s="151"/>
      <c r="AF307" s="151"/>
      <c r="AG307" s="151"/>
      <c r="AH307" s="148">
        <v>3.0000000000000001E-5</v>
      </c>
      <c r="AI307" s="148">
        <v>2.7050000000000001E-2</v>
      </c>
      <c r="AJ307" s="149">
        <v>3.2599999999999999E-3</v>
      </c>
      <c r="AK307" s="196"/>
    </row>
    <row r="308" spans="1:37" x14ac:dyDescent="0.2">
      <c r="A308" s="144" t="s">
        <v>1217</v>
      </c>
      <c r="B308" s="145" t="s">
        <v>1219</v>
      </c>
      <c r="C308" s="145" t="s">
        <v>1394</v>
      </c>
      <c r="D308" s="145" t="s">
        <v>1395</v>
      </c>
      <c r="E308" s="145" t="s">
        <v>309</v>
      </c>
      <c r="F308" s="145" t="s">
        <v>1467</v>
      </c>
      <c r="G308" s="145" t="s">
        <v>1468</v>
      </c>
      <c r="H308" s="145" t="s">
        <v>321</v>
      </c>
      <c r="I308" s="145" t="s">
        <v>754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445</v>
      </c>
      <c r="O308" s="145" t="s">
        <v>339</v>
      </c>
      <c r="P308" s="145" t="s">
        <v>1358</v>
      </c>
      <c r="Q308" s="145" t="s">
        <v>415</v>
      </c>
      <c r="R308" s="145" t="s">
        <v>407</v>
      </c>
      <c r="S308" s="145" t="s">
        <v>1210</v>
      </c>
      <c r="T308" s="146">
        <v>1.72</v>
      </c>
      <c r="U308" s="145" t="s">
        <v>1425</v>
      </c>
      <c r="V308" s="148">
        <v>2.4E-2</v>
      </c>
      <c r="W308" s="148">
        <v>2.5260000000000001E-2</v>
      </c>
      <c r="X308" s="145" t="s">
        <v>412</v>
      </c>
      <c r="Y308" s="159"/>
      <c r="Z308" s="146">
        <v>28040.12</v>
      </c>
      <c r="AA308" s="146">
        <v>1</v>
      </c>
      <c r="AB308" s="146">
        <v>116.02</v>
      </c>
      <c r="AC308" s="151"/>
      <c r="AD308" s="146">
        <v>32.531999999999996</v>
      </c>
      <c r="AE308" s="151"/>
      <c r="AF308" s="151"/>
      <c r="AG308" s="151"/>
      <c r="AH308" s="148">
        <v>9.0000000000000006E-5</v>
      </c>
      <c r="AI308" s="148">
        <v>2.5850000000000001E-2</v>
      </c>
      <c r="AJ308" s="149">
        <v>3.1099999999999999E-3</v>
      </c>
      <c r="AK308" s="196"/>
    </row>
    <row r="309" spans="1:37" x14ac:dyDescent="0.2">
      <c r="A309" s="144" t="s">
        <v>1217</v>
      </c>
      <c r="B309" s="145" t="s">
        <v>1219</v>
      </c>
      <c r="C309" s="145" t="s">
        <v>1495</v>
      </c>
      <c r="D309" s="145" t="s">
        <v>1496</v>
      </c>
      <c r="E309" s="145" t="s">
        <v>309</v>
      </c>
      <c r="F309" s="145" t="s">
        <v>1497</v>
      </c>
      <c r="G309" s="145" t="s">
        <v>1498</v>
      </c>
      <c r="H309" s="145" t="s">
        <v>321</v>
      </c>
      <c r="I309" s="145" t="s">
        <v>754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448</v>
      </c>
      <c r="O309" s="145" t="s">
        <v>339</v>
      </c>
      <c r="P309" s="145" t="s">
        <v>1330</v>
      </c>
      <c r="Q309" s="145" t="s">
        <v>413</v>
      </c>
      <c r="R309" s="145" t="s">
        <v>407</v>
      </c>
      <c r="S309" s="145" t="s">
        <v>1210</v>
      </c>
      <c r="T309" s="146">
        <v>2.76</v>
      </c>
      <c r="U309" s="145" t="s">
        <v>1499</v>
      </c>
      <c r="V309" s="148">
        <v>1.4999999999999999E-2</v>
      </c>
      <c r="W309" s="148">
        <v>2.5190000000000001E-2</v>
      </c>
      <c r="X309" s="145" t="s">
        <v>412</v>
      </c>
      <c r="Y309" s="159"/>
      <c r="Z309" s="146">
        <v>27849.85</v>
      </c>
      <c r="AA309" s="146">
        <v>1</v>
      </c>
      <c r="AB309" s="146">
        <v>112.67</v>
      </c>
      <c r="AC309" s="151"/>
      <c r="AD309" s="146">
        <v>31.378</v>
      </c>
      <c r="AE309" s="151"/>
      <c r="AF309" s="151"/>
      <c r="AG309" s="151"/>
      <c r="AH309" s="148">
        <v>1.2E-4</v>
      </c>
      <c r="AI309" s="148">
        <v>2.4930000000000001E-2</v>
      </c>
      <c r="AJ309" s="149">
        <v>3.0000000000000001E-3</v>
      </c>
      <c r="AK309" s="196"/>
    </row>
    <row r="310" spans="1:37" x14ac:dyDescent="0.2">
      <c r="A310" s="144" t="s">
        <v>1217</v>
      </c>
      <c r="B310" s="145" t="s">
        <v>1219</v>
      </c>
      <c r="C310" s="145" t="s">
        <v>1371</v>
      </c>
      <c r="D310" s="145" t="s">
        <v>1372</v>
      </c>
      <c r="E310" s="145" t="s">
        <v>309</v>
      </c>
      <c r="F310" s="145" t="s">
        <v>1373</v>
      </c>
      <c r="G310" s="145" t="s">
        <v>1374</v>
      </c>
      <c r="H310" s="145" t="s">
        <v>321</v>
      </c>
      <c r="I310" s="145" t="s">
        <v>951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484</v>
      </c>
      <c r="O310" s="145" t="s">
        <v>339</v>
      </c>
      <c r="P310" s="145" t="s">
        <v>1375</v>
      </c>
      <c r="Q310" s="145" t="s">
        <v>415</v>
      </c>
      <c r="R310" s="145" t="s">
        <v>407</v>
      </c>
      <c r="S310" s="145" t="s">
        <v>1210</v>
      </c>
      <c r="T310" s="146">
        <v>4.07</v>
      </c>
      <c r="U310" s="145" t="s">
        <v>1376</v>
      </c>
      <c r="V310" s="148">
        <v>5.5E-2</v>
      </c>
      <c r="W310" s="148">
        <v>5.1830000000000001E-2</v>
      </c>
      <c r="X310" s="145" t="s">
        <v>412</v>
      </c>
      <c r="Y310" s="159"/>
      <c r="Z310" s="146">
        <v>29335.279999999999</v>
      </c>
      <c r="AA310" s="146">
        <v>1</v>
      </c>
      <c r="AB310" s="146">
        <v>104.5</v>
      </c>
      <c r="AC310" s="151"/>
      <c r="AD310" s="146">
        <v>30.655000000000001</v>
      </c>
      <c r="AE310" s="151"/>
      <c r="AF310" s="151"/>
      <c r="AG310" s="151"/>
      <c r="AH310" s="148">
        <v>3.0000000000000001E-5</v>
      </c>
      <c r="AI310" s="148">
        <v>2.436E-2</v>
      </c>
      <c r="AJ310" s="149">
        <v>2.9299999999999999E-3</v>
      </c>
      <c r="AK310" s="196"/>
    </row>
    <row r="311" spans="1:37" x14ac:dyDescent="0.2">
      <c r="A311" s="144" t="s">
        <v>1217</v>
      </c>
      <c r="B311" s="145" t="s">
        <v>1219</v>
      </c>
      <c r="C311" s="145" t="s">
        <v>1335</v>
      </c>
      <c r="D311" s="145" t="s">
        <v>1336</v>
      </c>
      <c r="E311" s="145" t="s">
        <v>309</v>
      </c>
      <c r="F311" s="145" t="s">
        <v>1368</v>
      </c>
      <c r="G311" s="145" t="s">
        <v>1369</v>
      </c>
      <c r="H311" s="145" t="s">
        <v>321</v>
      </c>
      <c r="I311" s="145" t="s">
        <v>754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448</v>
      </c>
      <c r="O311" s="145" t="s">
        <v>339</v>
      </c>
      <c r="P311" s="145" t="s">
        <v>1330</v>
      </c>
      <c r="Q311" s="145" t="s">
        <v>413</v>
      </c>
      <c r="R311" s="145" t="s">
        <v>407</v>
      </c>
      <c r="S311" s="145" t="s">
        <v>1210</v>
      </c>
      <c r="T311" s="146">
        <v>4.5999999999999996</v>
      </c>
      <c r="U311" s="145" t="s">
        <v>1370</v>
      </c>
      <c r="V311" s="148">
        <v>2.0199999999999999E-2</v>
      </c>
      <c r="W311" s="148">
        <v>2.5819999999999999E-2</v>
      </c>
      <c r="X311" s="145" t="s">
        <v>412</v>
      </c>
      <c r="Y311" s="159"/>
      <c r="Z311" s="146">
        <v>29000</v>
      </c>
      <c r="AA311" s="146">
        <v>1</v>
      </c>
      <c r="AB311" s="146">
        <v>101.85</v>
      </c>
      <c r="AC311" s="151"/>
      <c r="AD311" s="146">
        <v>29.536999999999999</v>
      </c>
      <c r="AE311" s="151"/>
      <c r="AF311" s="151"/>
      <c r="AG311" s="151"/>
      <c r="AH311" s="148">
        <v>1.0000000000000001E-5</v>
      </c>
      <c r="AI311" s="148">
        <v>2.3470000000000001E-2</v>
      </c>
      <c r="AJ311" s="149">
        <v>2.8300000000000001E-3</v>
      </c>
      <c r="AK311" s="196"/>
    </row>
    <row r="312" spans="1:37" x14ac:dyDescent="0.2">
      <c r="A312" s="144" t="s">
        <v>1217</v>
      </c>
      <c r="B312" s="145" t="s">
        <v>1219</v>
      </c>
      <c r="C312" s="145" t="s">
        <v>1415</v>
      </c>
      <c r="D312" s="145" t="s">
        <v>1416</v>
      </c>
      <c r="E312" s="145" t="s">
        <v>309</v>
      </c>
      <c r="F312" s="145" t="s">
        <v>1657</v>
      </c>
      <c r="G312" s="145" t="s">
        <v>1658</v>
      </c>
      <c r="H312" s="145" t="s">
        <v>321</v>
      </c>
      <c r="I312" s="145" t="s">
        <v>754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448</v>
      </c>
      <c r="O312" s="145" t="s">
        <v>339</v>
      </c>
      <c r="P312" s="145" t="s">
        <v>1350</v>
      </c>
      <c r="Q312" s="145" t="s">
        <v>413</v>
      </c>
      <c r="R312" s="145" t="s">
        <v>407</v>
      </c>
      <c r="S312" s="145" t="s">
        <v>1210</v>
      </c>
      <c r="T312" s="146">
        <v>1.71</v>
      </c>
      <c r="U312" s="145" t="s">
        <v>1401</v>
      </c>
      <c r="V312" s="148">
        <v>2E-3</v>
      </c>
      <c r="W312" s="148">
        <v>2.6679999999999999E-2</v>
      </c>
      <c r="X312" s="145" t="s">
        <v>412</v>
      </c>
      <c r="Y312" s="159"/>
      <c r="Z312" s="146">
        <v>26000</v>
      </c>
      <c r="AA312" s="146">
        <v>1</v>
      </c>
      <c r="AB312" s="146">
        <v>111.08</v>
      </c>
      <c r="AC312" s="151"/>
      <c r="AD312" s="146">
        <v>28.881</v>
      </c>
      <c r="AE312" s="151"/>
      <c r="AF312" s="151"/>
      <c r="AG312" s="151"/>
      <c r="AH312" s="148">
        <v>3.0000000000000001E-5</v>
      </c>
      <c r="AI312" s="148">
        <v>2.2950000000000002E-2</v>
      </c>
      <c r="AJ312" s="149">
        <v>2.7599999999999999E-3</v>
      </c>
      <c r="AK312" s="196"/>
    </row>
    <row r="313" spans="1:37" x14ac:dyDescent="0.2">
      <c r="A313" s="144" t="s">
        <v>1217</v>
      </c>
      <c r="B313" s="145" t="s">
        <v>1219</v>
      </c>
      <c r="C313" s="145" t="s">
        <v>1402</v>
      </c>
      <c r="D313" s="145" t="s">
        <v>1403</v>
      </c>
      <c r="E313" s="145" t="s">
        <v>309</v>
      </c>
      <c r="F313" s="145" t="s">
        <v>1448</v>
      </c>
      <c r="G313" s="145" t="s">
        <v>1449</v>
      </c>
      <c r="H313" s="145" t="s">
        <v>321</v>
      </c>
      <c r="I313" s="145" t="s">
        <v>754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445</v>
      </c>
      <c r="O313" s="145" t="s">
        <v>339</v>
      </c>
      <c r="P313" s="145" t="s">
        <v>1406</v>
      </c>
      <c r="Q313" s="145" t="s">
        <v>415</v>
      </c>
      <c r="R313" s="145" t="s">
        <v>407</v>
      </c>
      <c r="S313" s="145" t="s">
        <v>1210</v>
      </c>
      <c r="T313" s="146">
        <v>4.68</v>
      </c>
      <c r="U313" s="145" t="s">
        <v>1450</v>
      </c>
      <c r="V313" s="148">
        <v>4.6899999999999997E-2</v>
      </c>
      <c r="W313" s="148">
        <v>5.033E-2</v>
      </c>
      <c r="X313" s="145" t="s">
        <v>412</v>
      </c>
      <c r="Y313" s="159"/>
      <c r="Z313" s="146">
        <v>29000</v>
      </c>
      <c r="AA313" s="146">
        <v>1</v>
      </c>
      <c r="AB313" s="146">
        <v>98.85</v>
      </c>
      <c r="AC313" s="151"/>
      <c r="AD313" s="146">
        <v>28.667000000000002</v>
      </c>
      <c r="AE313" s="151"/>
      <c r="AF313" s="151"/>
      <c r="AG313" s="151"/>
      <c r="AH313" s="148">
        <v>6.0000000000000002E-5</v>
      </c>
      <c r="AI313" s="148">
        <v>2.2780000000000002E-2</v>
      </c>
      <c r="AJ313" s="149">
        <v>2.7399999999999998E-3</v>
      </c>
      <c r="AK313" s="196"/>
    </row>
    <row r="314" spans="1:37" x14ac:dyDescent="0.2">
      <c r="A314" s="144" t="s">
        <v>1217</v>
      </c>
      <c r="B314" s="145" t="s">
        <v>1219</v>
      </c>
      <c r="C314" s="145" t="s">
        <v>1581</v>
      </c>
      <c r="D314" s="145" t="s">
        <v>1582</v>
      </c>
      <c r="E314" s="145" t="s">
        <v>309</v>
      </c>
      <c r="F314" s="145" t="s">
        <v>1583</v>
      </c>
      <c r="G314" s="145" t="s">
        <v>1584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464</v>
      </c>
      <c r="O314" s="145" t="s">
        <v>339</v>
      </c>
      <c r="P314" s="145" t="s">
        <v>1358</v>
      </c>
      <c r="Q314" s="145" t="s">
        <v>415</v>
      </c>
      <c r="R314" s="145" t="s">
        <v>407</v>
      </c>
      <c r="S314" s="145" t="s">
        <v>1210</v>
      </c>
      <c r="T314" s="146">
        <v>4</v>
      </c>
      <c r="U314" s="145" t="s">
        <v>1585</v>
      </c>
      <c r="V314" s="148">
        <v>1.17E-2</v>
      </c>
      <c r="W314" s="148">
        <v>2.9520000000000001E-2</v>
      </c>
      <c r="X314" s="145" t="s">
        <v>412</v>
      </c>
      <c r="Y314" s="159"/>
      <c r="Z314" s="146">
        <v>26204.639999999999</v>
      </c>
      <c r="AA314" s="146">
        <v>1</v>
      </c>
      <c r="AB314" s="146">
        <v>107.32</v>
      </c>
      <c r="AC314" s="151"/>
      <c r="AD314" s="146">
        <v>28.123000000000001</v>
      </c>
      <c r="AE314" s="151"/>
      <c r="AF314" s="151"/>
      <c r="AG314" s="151"/>
      <c r="AH314" s="148">
        <v>4.0000000000000003E-5</v>
      </c>
      <c r="AI314" s="148">
        <v>2.2349999999999998E-2</v>
      </c>
      <c r="AJ314" s="149">
        <v>2.6900000000000001E-3</v>
      </c>
      <c r="AK314" s="196"/>
    </row>
    <row r="315" spans="1:37" x14ac:dyDescent="0.2">
      <c r="A315" s="144" t="s">
        <v>1217</v>
      </c>
      <c r="B315" s="145" t="s">
        <v>1219</v>
      </c>
      <c r="C315" s="145" t="s">
        <v>1326</v>
      </c>
      <c r="D315" s="145" t="s">
        <v>1327</v>
      </c>
      <c r="E315" s="145" t="s">
        <v>309</v>
      </c>
      <c r="F315" s="145" t="s">
        <v>1343</v>
      </c>
      <c r="G315" s="145" t="s">
        <v>1344</v>
      </c>
      <c r="H315" s="145" t="s">
        <v>321</v>
      </c>
      <c r="I315" s="145" t="s">
        <v>754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448</v>
      </c>
      <c r="O315" s="145" t="s">
        <v>339</v>
      </c>
      <c r="P315" s="145" t="s">
        <v>1209</v>
      </c>
      <c r="Q315" s="145" t="s">
        <v>415</v>
      </c>
      <c r="R315" s="145" t="s">
        <v>407</v>
      </c>
      <c r="S315" s="145" t="s">
        <v>1210</v>
      </c>
      <c r="T315" s="146">
        <v>1.67</v>
      </c>
      <c r="U315" s="145" t="s">
        <v>1345</v>
      </c>
      <c r="V315" s="148">
        <v>5.0000000000000001E-3</v>
      </c>
      <c r="W315" s="148">
        <v>2.4320000000000001E-2</v>
      </c>
      <c r="X315" s="145" t="s">
        <v>412</v>
      </c>
      <c r="Y315" s="159"/>
      <c r="Z315" s="146">
        <v>24148</v>
      </c>
      <c r="AA315" s="146">
        <v>1</v>
      </c>
      <c r="AB315" s="146">
        <v>111.01</v>
      </c>
      <c r="AC315" s="151"/>
      <c r="AD315" s="146">
        <v>26.806999999999999</v>
      </c>
      <c r="AE315" s="151"/>
      <c r="AF315" s="151"/>
      <c r="AG315" s="151"/>
      <c r="AH315" s="148">
        <v>3.0000000000000001E-5</v>
      </c>
      <c r="AI315" s="148">
        <v>2.1299999999999999E-2</v>
      </c>
      <c r="AJ315" s="149">
        <v>2.5699999999999998E-3</v>
      </c>
      <c r="AK315" s="196"/>
    </row>
    <row r="316" spans="1:37" x14ac:dyDescent="0.2">
      <c r="A316" s="144" t="s">
        <v>1217</v>
      </c>
      <c r="B316" s="145" t="s">
        <v>1219</v>
      </c>
      <c r="C316" s="145" t="s">
        <v>1326</v>
      </c>
      <c r="D316" s="145" t="s">
        <v>1327</v>
      </c>
      <c r="E316" s="145" t="s">
        <v>309</v>
      </c>
      <c r="F316" s="145" t="s">
        <v>1451</v>
      </c>
      <c r="G316" s="145" t="s">
        <v>1452</v>
      </c>
      <c r="H316" s="145" t="s">
        <v>321</v>
      </c>
      <c r="I316" s="145" t="s">
        <v>754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448</v>
      </c>
      <c r="O316" s="145" t="s">
        <v>339</v>
      </c>
      <c r="P316" s="145" t="s">
        <v>1330</v>
      </c>
      <c r="Q316" s="145" t="s">
        <v>413</v>
      </c>
      <c r="R316" s="145" t="s">
        <v>407</v>
      </c>
      <c r="S316" s="145" t="s">
        <v>1210</v>
      </c>
      <c r="T316" s="146">
        <v>4.45</v>
      </c>
      <c r="U316" s="145" t="s">
        <v>1453</v>
      </c>
      <c r="V316" s="148">
        <v>1.9900000000000001E-2</v>
      </c>
      <c r="W316" s="148">
        <v>2.5350000000000001E-2</v>
      </c>
      <c r="X316" s="145" t="s">
        <v>412</v>
      </c>
      <c r="Y316" s="159"/>
      <c r="Z316" s="146">
        <v>26100</v>
      </c>
      <c r="AA316" s="146">
        <v>1</v>
      </c>
      <c r="AB316" s="146">
        <v>101.81</v>
      </c>
      <c r="AC316" s="151"/>
      <c r="AD316" s="146">
        <v>26.571999999999999</v>
      </c>
      <c r="AE316" s="151"/>
      <c r="AF316" s="151"/>
      <c r="AG316" s="151"/>
      <c r="AH316" s="148">
        <v>1.0000000000000001E-5</v>
      </c>
      <c r="AI316" s="148">
        <v>2.111E-2</v>
      </c>
      <c r="AJ316" s="149">
        <v>2.5400000000000002E-3</v>
      </c>
      <c r="AK316" s="196"/>
    </row>
    <row r="317" spans="1:37" x14ac:dyDescent="0.2">
      <c r="A317" s="144" t="s">
        <v>1217</v>
      </c>
      <c r="B317" s="145" t="s">
        <v>1219</v>
      </c>
      <c r="C317" s="145" t="s">
        <v>1318</v>
      </c>
      <c r="D317" s="145" t="s">
        <v>1319</v>
      </c>
      <c r="E317" s="145" t="s">
        <v>313</v>
      </c>
      <c r="F317" s="145" t="s">
        <v>1464</v>
      </c>
      <c r="G317" s="145" t="s">
        <v>1465</v>
      </c>
      <c r="H317" s="145" t="s">
        <v>321</v>
      </c>
      <c r="I317" s="145" t="s">
        <v>754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440</v>
      </c>
      <c r="O317" s="145" t="s">
        <v>339</v>
      </c>
      <c r="P317" s="145" t="s">
        <v>1209</v>
      </c>
      <c r="Q317" s="145" t="s">
        <v>415</v>
      </c>
      <c r="R317" s="145" t="s">
        <v>407</v>
      </c>
      <c r="S317" s="145" t="s">
        <v>1210</v>
      </c>
      <c r="T317" s="146">
        <v>0.9</v>
      </c>
      <c r="U317" s="145" t="s">
        <v>1466</v>
      </c>
      <c r="V317" s="148">
        <v>4.4999999999999998E-2</v>
      </c>
      <c r="W317" s="148">
        <v>2.3970000000000002E-2</v>
      </c>
      <c r="X317" s="145" t="s">
        <v>412</v>
      </c>
      <c r="Y317" s="159"/>
      <c r="Z317" s="146">
        <v>21323.5</v>
      </c>
      <c r="AA317" s="146">
        <v>1</v>
      </c>
      <c r="AB317" s="146">
        <v>119.86</v>
      </c>
      <c r="AC317" s="151"/>
      <c r="AD317" s="146">
        <v>25.558</v>
      </c>
      <c r="AE317" s="151"/>
      <c r="AF317" s="151"/>
      <c r="AG317" s="151"/>
      <c r="AH317" s="148">
        <v>1.0000000000000001E-5</v>
      </c>
      <c r="AI317" s="148">
        <v>2.0310000000000002E-2</v>
      </c>
      <c r="AJ317" s="149">
        <v>2.4499999999999999E-3</v>
      </c>
      <c r="AK317" s="196"/>
    </row>
    <row r="318" spans="1:37" x14ac:dyDescent="0.2">
      <c r="A318" s="144" t="s">
        <v>1217</v>
      </c>
      <c r="B318" s="145" t="s">
        <v>1219</v>
      </c>
      <c r="C318" s="145" t="s">
        <v>1318</v>
      </c>
      <c r="D318" s="145" t="s">
        <v>1319</v>
      </c>
      <c r="E318" s="145" t="s">
        <v>313</v>
      </c>
      <c r="F318" s="145" t="s">
        <v>1323</v>
      </c>
      <c r="G318" s="145" t="s">
        <v>1324</v>
      </c>
      <c r="H318" s="145" t="s">
        <v>321</v>
      </c>
      <c r="I318" s="145" t="s">
        <v>754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440</v>
      </c>
      <c r="O318" s="145" t="s">
        <v>339</v>
      </c>
      <c r="P318" s="145" t="s">
        <v>1209</v>
      </c>
      <c r="Q318" s="145" t="s">
        <v>415</v>
      </c>
      <c r="R318" s="145" t="s">
        <v>407</v>
      </c>
      <c r="S318" s="145" t="s">
        <v>1210</v>
      </c>
      <c r="T318" s="146">
        <v>7.27</v>
      </c>
      <c r="U318" s="145" t="s">
        <v>1325</v>
      </c>
      <c r="V318" s="148">
        <v>0.03</v>
      </c>
      <c r="W318" s="148">
        <v>2.9510000000000002E-2</v>
      </c>
      <c r="X318" s="145" t="s">
        <v>412</v>
      </c>
      <c r="Y318" s="159"/>
      <c r="Z318" s="146">
        <v>22000</v>
      </c>
      <c r="AA318" s="146">
        <v>1</v>
      </c>
      <c r="AB318" s="146">
        <v>106.29</v>
      </c>
      <c r="AC318" s="151"/>
      <c r="AD318" s="146">
        <v>23.384</v>
      </c>
      <c r="AE318" s="151"/>
      <c r="AF318" s="151"/>
      <c r="AG318" s="151"/>
      <c r="AH318" s="148">
        <v>1.0000000000000001E-5</v>
      </c>
      <c r="AI318" s="148">
        <v>1.8579999999999999E-2</v>
      </c>
      <c r="AJ318" s="149">
        <v>2.2399999999999998E-3</v>
      </c>
      <c r="AK318" s="196"/>
    </row>
    <row r="319" spans="1:37" x14ac:dyDescent="0.2">
      <c r="A319" s="144" t="s">
        <v>1217</v>
      </c>
      <c r="B319" s="145" t="s">
        <v>1219</v>
      </c>
      <c r="C319" s="145" t="s">
        <v>1429</v>
      </c>
      <c r="D319" s="145" t="s">
        <v>1430</v>
      </c>
      <c r="E319" s="145" t="s">
        <v>309</v>
      </c>
      <c r="F319" s="145" t="s">
        <v>1431</v>
      </c>
      <c r="G319" s="145" t="s">
        <v>1432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465</v>
      </c>
      <c r="O319" s="145" t="s">
        <v>339</v>
      </c>
      <c r="P319" s="145" t="s">
        <v>1433</v>
      </c>
      <c r="Q319" s="145" t="s">
        <v>415</v>
      </c>
      <c r="R319" s="145" t="s">
        <v>407</v>
      </c>
      <c r="S319" s="145" t="s">
        <v>1210</v>
      </c>
      <c r="T319" s="146">
        <v>1.29</v>
      </c>
      <c r="U319" s="145" t="s">
        <v>1434</v>
      </c>
      <c r="V319" s="148">
        <v>2.5700000000000001E-2</v>
      </c>
      <c r="W319" s="148">
        <v>3.1440000000000003E-2</v>
      </c>
      <c r="X319" s="145" t="s">
        <v>412</v>
      </c>
      <c r="Y319" s="159"/>
      <c r="Z319" s="146">
        <v>19845.41</v>
      </c>
      <c r="AA319" s="146">
        <v>1</v>
      </c>
      <c r="AB319" s="146">
        <v>117.15</v>
      </c>
      <c r="AC319" s="151"/>
      <c r="AD319" s="146">
        <v>23.248999999999999</v>
      </c>
      <c r="AE319" s="151"/>
      <c r="AF319" s="151"/>
      <c r="AG319" s="151"/>
      <c r="AH319" s="148">
        <v>2.0000000000000002E-5</v>
      </c>
      <c r="AI319" s="148">
        <v>1.847E-2</v>
      </c>
      <c r="AJ319" s="149">
        <v>2.2200000000000002E-3</v>
      </c>
      <c r="AK319" s="196"/>
    </row>
    <row r="320" spans="1:37" x14ac:dyDescent="0.2">
      <c r="A320" s="144" t="s">
        <v>1217</v>
      </c>
      <c r="B320" s="145" t="s">
        <v>1219</v>
      </c>
      <c r="C320" s="145" t="s">
        <v>1563</v>
      </c>
      <c r="D320" s="145" t="s">
        <v>1564</v>
      </c>
      <c r="E320" s="145" t="s">
        <v>309</v>
      </c>
      <c r="F320" s="145" t="s">
        <v>1565</v>
      </c>
      <c r="G320" s="145" t="s">
        <v>1566</v>
      </c>
      <c r="H320" s="145" t="s">
        <v>321</v>
      </c>
      <c r="I320" s="145" t="s">
        <v>951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447</v>
      </c>
      <c r="O320" s="145" t="s">
        <v>339</v>
      </c>
      <c r="P320" s="145" t="s">
        <v>1375</v>
      </c>
      <c r="Q320" s="145" t="s">
        <v>415</v>
      </c>
      <c r="R320" s="145" t="s">
        <v>407</v>
      </c>
      <c r="S320" s="145" t="s">
        <v>1210</v>
      </c>
      <c r="T320" s="146">
        <v>2.0299999999999998</v>
      </c>
      <c r="U320" s="145" t="s">
        <v>1494</v>
      </c>
      <c r="V320" s="148">
        <v>4.53E-2</v>
      </c>
      <c r="W320" s="148">
        <v>5.8549999999999998E-2</v>
      </c>
      <c r="X320" s="145" t="s">
        <v>412</v>
      </c>
      <c r="Y320" s="159"/>
      <c r="Z320" s="146">
        <v>23290.2</v>
      </c>
      <c r="AA320" s="146">
        <v>1</v>
      </c>
      <c r="AB320" s="146">
        <v>98.67</v>
      </c>
      <c r="AC320" s="151"/>
      <c r="AD320" s="146">
        <v>22.98</v>
      </c>
      <c r="AE320" s="151"/>
      <c r="AF320" s="151"/>
      <c r="AG320" s="151"/>
      <c r="AH320" s="148">
        <v>4.0000000000000003E-5</v>
      </c>
      <c r="AI320" s="148">
        <v>1.8259999999999998E-2</v>
      </c>
      <c r="AJ320" s="149">
        <v>2.2000000000000001E-3</v>
      </c>
      <c r="AK320" s="196"/>
    </row>
    <row r="321" spans="1:37" x14ac:dyDescent="0.2">
      <c r="A321" s="144" t="s">
        <v>1217</v>
      </c>
      <c r="B321" s="145" t="s">
        <v>1219</v>
      </c>
      <c r="C321" s="145" t="s">
        <v>1394</v>
      </c>
      <c r="D321" s="145" t="s">
        <v>1395</v>
      </c>
      <c r="E321" s="145" t="s">
        <v>309</v>
      </c>
      <c r="F321" s="145" t="s">
        <v>1492</v>
      </c>
      <c r="G321" s="145" t="s">
        <v>1493</v>
      </c>
      <c r="H321" s="145" t="s">
        <v>321</v>
      </c>
      <c r="I321" s="145" t="s">
        <v>951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445</v>
      </c>
      <c r="O321" s="145" t="s">
        <v>339</v>
      </c>
      <c r="P321" s="145" t="s">
        <v>1358</v>
      </c>
      <c r="Q321" s="145" t="s">
        <v>415</v>
      </c>
      <c r="R321" s="145" t="s">
        <v>407</v>
      </c>
      <c r="S321" s="145" t="s">
        <v>1210</v>
      </c>
      <c r="T321" s="146">
        <v>2.59</v>
      </c>
      <c r="U321" s="145" t="s">
        <v>1494</v>
      </c>
      <c r="V321" s="148">
        <v>4.36E-2</v>
      </c>
      <c r="W321" s="148">
        <v>4.6519999999999999E-2</v>
      </c>
      <c r="X321" s="145" t="s">
        <v>412</v>
      </c>
      <c r="Y321" s="159"/>
      <c r="Z321" s="146">
        <v>20991</v>
      </c>
      <c r="AA321" s="146">
        <v>1</v>
      </c>
      <c r="AB321" s="146">
        <v>100.47</v>
      </c>
      <c r="AC321" s="151"/>
      <c r="AD321" s="146">
        <v>21.09</v>
      </c>
      <c r="AE321" s="151"/>
      <c r="AF321" s="151"/>
      <c r="AG321" s="151"/>
      <c r="AH321" s="148">
        <v>6.9999999999999994E-5</v>
      </c>
      <c r="AI321" s="148">
        <v>1.6760000000000001E-2</v>
      </c>
      <c r="AJ321" s="149">
        <v>2.0200000000000001E-3</v>
      </c>
      <c r="AK321" s="196"/>
    </row>
    <row r="322" spans="1:37" x14ac:dyDescent="0.2">
      <c r="A322" s="144" t="s">
        <v>1217</v>
      </c>
      <c r="B322" s="145" t="s">
        <v>1219</v>
      </c>
      <c r="C322" s="145" t="s">
        <v>1567</v>
      </c>
      <c r="D322" s="145" t="s">
        <v>1568</v>
      </c>
      <c r="E322" s="145" t="s">
        <v>309</v>
      </c>
      <c r="F322" s="145" t="s">
        <v>1569</v>
      </c>
      <c r="G322" s="145" t="s">
        <v>1570</v>
      </c>
      <c r="H322" s="145" t="s">
        <v>321</v>
      </c>
      <c r="I322" s="145" t="s">
        <v>754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440</v>
      </c>
      <c r="O322" s="145" t="s">
        <v>339</v>
      </c>
      <c r="P322" s="145" t="s">
        <v>1375</v>
      </c>
      <c r="Q322" s="145" t="s">
        <v>415</v>
      </c>
      <c r="R322" s="145" t="s">
        <v>407</v>
      </c>
      <c r="S322" s="145" t="s">
        <v>1210</v>
      </c>
      <c r="T322" s="146">
        <v>3.45</v>
      </c>
      <c r="U322" s="145" t="s">
        <v>1428</v>
      </c>
      <c r="V322" s="148">
        <v>1.7999999999999999E-2</v>
      </c>
      <c r="W322" s="148">
        <v>3.4950000000000002E-2</v>
      </c>
      <c r="X322" s="145" t="s">
        <v>412</v>
      </c>
      <c r="Y322" s="159"/>
      <c r="Z322" s="146">
        <v>18900</v>
      </c>
      <c r="AA322" s="146">
        <v>1</v>
      </c>
      <c r="AB322" s="146">
        <v>109.14</v>
      </c>
      <c r="AC322" s="151"/>
      <c r="AD322" s="146">
        <v>20.626999999999999</v>
      </c>
      <c r="AE322" s="151"/>
      <c r="AF322" s="151"/>
      <c r="AG322" s="151"/>
      <c r="AH322" s="148">
        <v>2.0000000000000002E-5</v>
      </c>
      <c r="AI322" s="148">
        <v>1.6389999999999998E-2</v>
      </c>
      <c r="AJ322" s="149">
        <v>1.97E-3</v>
      </c>
      <c r="AK322" s="196"/>
    </row>
    <row r="323" spans="1:37" x14ac:dyDescent="0.2">
      <c r="A323" s="144" t="s">
        <v>1217</v>
      </c>
      <c r="B323" s="145" t="s">
        <v>1219</v>
      </c>
      <c r="C323" s="145" t="s">
        <v>1335</v>
      </c>
      <c r="D323" s="145" t="s">
        <v>1336</v>
      </c>
      <c r="E323" s="145" t="s">
        <v>309</v>
      </c>
      <c r="F323" s="145" t="s">
        <v>1337</v>
      </c>
      <c r="G323" s="145" t="s">
        <v>1338</v>
      </c>
      <c r="H323" s="145" t="s">
        <v>321</v>
      </c>
      <c r="I323" s="145" t="s">
        <v>754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448</v>
      </c>
      <c r="O323" s="145" t="s">
        <v>339</v>
      </c>
      <c r="P323" s="145" t="s">
        <v>1330</v>
      </c>
      <c r="Q323" s="145" t="s">
        <v>413</v>
      </c>
      <c r="R323" s="145" t="s">
        <v>407</v>
      </c>
      <c r="S323" s="145" t="s">
        <v>1210</v>
      </c>
      <c r="T323" s="146">
        <v>4.6399999999999997</v>
      </c>
      <c r="U323" s="145" t="s">
        <v>1339</v>
      </c>
      <c r="V323" s="148">
        <v>1E-3</v>
      </c>
      <c r="W323" s="148">
        <v>2.571E-2</v>
      </c>
      <c r="X323" s="145" t="s">
        <v>412</v>
      </c>
      <c r="Y323" s="159"/>
      <c r="Z323" s="146">
        <v>19560</v>
      </c>
      <c r="AA323" s="146">
        <v>1</v>
      </c>
      <c r="AB323" s="146">
        <v>100.7</v>
      </c>
      <c r="AC323" s="151"/>
      <c r="AD323" s="146">
        <v>19.696999999999999</v>
      </c>
      <c r="AE323" s="151"/>
      <c r="AF323" s="151"/>
      <c r="AG323" s="151"/>
      <c r="AH323" s="148">
        <v>1.0000000000000001E-5</v>
      </c>
      <c r="AI323" s="148">
        <v>1.5650000000000001E-2</v>
      </c>
      <c r="AJ323" s="149">
        <v>1.89E-3</v>
      </c>
      <c r="AK323" s="196"/>
    </row>
    <row r="324" spans="1:37" x14ac:dyDescent="0.2">
      <c r="A324" s="144" t="s">
        <v>1217</v>
      </c>
      <c r="B324" s="145" t="s">
        <v>1219</v>
      </c>
      <c r="C324" s="145" t="s">
        <v>1558</v>
      </c>
      <c r="D324" s="145" t="s">
        <v>1559</v>
      </c>
      <c r="E324" s="145" t="s">
        <v>309</v>
      </c>
      <c r="F324" s="145" t="s">
        <v>1560</v>
      </c>
      <c r="G324" s="145" t="s">
        <v>1561</v>
      </c>
      <c r="H324" s="145" t="s">
        <v>321</v>
      </c>
      <c r="I324" s="145" t="s">
        <v>754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464</v>
      </c>
      <c r="O324" s="145" t="s">
        <v>339</v>
      </c>
      <c r="P324" s="145" t="s">
        <v>1562</v>
      </c>
      <c r="Q324" s="145" t="s">
        <v>413</v>
      </c>
      <c r="R324" s="145" t="s">
        <v>407</v>
      </c>
      <c r="S324" s="145" t="s">
        <v>1210</v>
      </c>
      <c r="T324" s="146">
        <v>2.4900000000000002</v>
      </c>
      <c r="U324" s="145" t="s">
        <v>1494</v>
      </c>
      <c r="V324" s="148">
        <v>1.7999999999999999E-2</v>
      </c>
      <c r="W324" s="148">
        <v>2.9749999999999999E-2</v>
      </c>
      <c r="X324" s="145" t="s">
        <v>412</v>
      </c>
      <c r="Y324" s="159"/>
      <c r="Z324" s="146">
        <v>15827.25</v>
      </c>
      <c r="AA324" s="146">
        <v>1</v>
      </c>
      <c r="AB324" s="146">
        <v>113.34</v>
      </c>
      <c r="AC324" s="151"/>
      <c r="AD324" s="146">
        <v>17.939</v>
      </c>
      <c r="AE324" s="151"/>
      <c r="AF324" s="151"/>
      <c r="AG324" s="151"/>
      <c r="AH324" s="148">
        <v>2.0000000000000002E-5</v>
      </c>
      <c r="AI324" s="148">
        <v>1.4250000000000001E-2</v>
      </c>
      <c r="AJ324" s="149">
        <v>1.72E-3</v>
      </c>
      <c r="AK324" s="196"/>
    </row>
    <row r="325" spans="1:37" x14ac:dyDescent="0.2">
      <c r="A325" s="144" t="s">
        <v>1217</v>
      </c>
      <c r="B325" s="145" t="s">
        <v>1219</v>
      </c>
      <c r="C325" s="145" t="s">
        <v>1571</v>
      </c>
      <c r="D325" s="145" t="s">
        <v>1572</v>
      </c>
      <c r="E325" s="145" t="s">
        <v>309</v>
      </c>
      <c r="F325" s="145" t="s">
        <v>1573</v>
      </c>
      <c r="G325" s="145" t="s">
        <v>1574</v>
      </c>
      <c r="H325" s="145" t="s">
        <v>321</v>
      </c>
      <c r="I325" s="145" t="s">
        <v>951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443</v>
      </c>
      <c r="O325" s="145" t="s">
        <v>339</v>
      </c>
      <c r="P325" s="145" t="s">
        <v>1433</v>
      </c>
      <c r="Q325" s="145" t="s">
        <v>415</v>
      </c>
      <c r="R325" s="145" t="s">
        <v>407</v>
      </c>
      <c r="S325" s="145" t="s">
        <v>1210</v>
      </c>
      <c r="T325" s="146">
        <v>0.47</v>
      </c>
      <c r="U325" s="145" t="s">
        <v>1575</v>
      </c>
      <c r="V325" s="148">
        <v>4.7500000000000001E-2</v>
      </c>
      <c r="W325" s="148">
        <v>5.9470000000000002E-2</v>
      </c>
      <c r="X325" s="145" t="s">
        <v>412</v>
      </c>
      <c r="Y325" s="159"/>
      <c r="Z325" s="146">
        <v>17325.2</v>
      </c>
      <c r="AA325" s="146">
        <v>1</v>
      </c>
      <c r="AB325" s="146">
        <v>99.61</v>
      </c>
      <c r="AC325" s="151"/>
      <c r="AD325" s="146">
        <v>17.257999999999999</v>
      </c>
      <c r="AE325" s="151"/>
      <c r="AF325" s="151"/>
      <c r="AG325" s="151"/>
      <c r="AH325" s="148">
        <v>3.0000000000000001E-5</v>
      </c>
      <c r="AI325" s="148">
        <v>1.371E-2</v>
      </c>
      <c r="AJ325" s="149">
        <v>1.65E-3</v>
      </c>
      <c r="AK325" s="196"/>
    </row>
    <row r="326" spans="1:37" x14ac:dyDescent="0.2">
      <c r="A326" s="144" t="s">
        <v>1217</v>
      </c>
      <c r="B326" s="145" t="s">
        <v>1219</v>
      </c>
      <c r="C326" s="145" t="s">
        <v>1380</v>
      </c>
      <c r="D326" s="145" t="s">
        <v>1381</v>
      </c>
      <c r="E326" s="145" t="s">
        <v>309</v>
      </c>
      <c r="F326" s="145" t="s">
        <v>1426</v>
      </c>
      <c r="G326" s="145" t="s">
        <v>1427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465</v>
      </c>
      <c r="O326" s="145" t="s">
        <v>339</v>
      </c>
      <c r="P326" s="145" t="s">
        <v>1375</v>
      </c>
      <c r="Q326" s="145" t="s">
        <v>415</v>
      </c>
      <c r="R326" s="145" t="s">
        <v>407</v>
      </c>
      <c r="S326" s="145" t="s">
        <v>1210</v>
      </c>
      <c r="T326" s="146">
        <v>5.16</v>
      </c>
      <c r="U326" s="145" t="s">
        <v>1428</v>
      </c>
      <c r="V326" s="148">
        <v>1.7899999999999999E-2</v>
      </c>
      <c r="W326" s="148">
        <v>4.9320000000000003E-2</v>
      </c>
      <c r="X326" s="145" t="s">
        <v>412</v>
      </c>
      <c r="Y326" s="159"/>
      <c r="Z326" s="146">
        <v>16784.25</v>
      </c>
      <c r="AA326" s="146">
        <v>1</v>
      </c>
      <c r="AB326" s="146">
        <v>98.15</v>
      </c>
      <c r="AC326" s="151"/>
      <c r="AD326" s="146">
        <v>16.474</v>
      </c>
      <c r="AE326" s="151"/>
      <c r="AF326" s="151"/>
      <c r="AG326" s="151"/>
      <c r="AH326" s="148">
        <v>2.0000000000000002E-5</v>
      </c>
      <c r="AI326" s="148">
        <v>1.3089999999999999E-2</v>
      </c>
      <c r="AJ326" s="149">
        <v>1.58E-3</v>
      </c>
      <c r="AK326" s="196"/>
    </row>
    <row r="327" spans="1:37" x14ac:dyDescent="0.2">
      <c r="A327" s="144" t="s">
        <v>1217</v>
      </c>
      <c r="B327" s="145" t="s">
        <v>1219</v>
      </c>
      <c r="C327" s="145" t="s">
        <v>1576</v>
      </c>
      <c r="D327" s="145" t="s">
        <v>1577</v>
      </c>
      <c r="E327" s="145" t="s">
        <v>309</v>
      </c>
      <c r="F327" s="145" t="s">
        <v>1578</v>
      </c>
      <c r="G327" s="145" t="s">
        <v>1579</v>
      </c>
      <c r="H327" s="145" t="s">
        <v>321</v>
      </c>
      <c r="I327" s="145" t="s">
        <v>951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464</v>
      </c>
      <c r="O327" s="145" t="s">
        <v>339</v>
      </c>
      <c r="P327" s="145" t="s">
        <v>1350</v>
      </c>
      <c r="Q327" s="145" t="s">
        <v>413</v>
      </c>
      <c r="R327" s="145" t="s">
        <v>407</v>
      </c>
      <c r="S327" s="145" t="s">
        <v>1210</v>
      </c>
      <c r="T327" s="146">
        <v>6.16</v>
      </c>
      <c r="U327" s="145" t="s">
        <v>1580</v>
      </c>
      <c r="V327" s="148">
        <v>4.9399999999999999E-2</v>
      </c>
      <c r="W327" s="148">
        <v>5.5919999999999997E-2</v>
      </c>
      <c r="X327" s="145" t="s">
        <v>412</v>
      </c>
      <c r="Y327" s="159"/>
      <c r="Z327" s="146">
        <v>15435.34</v>
      </c>
      <c r="AA327" s="146">
        <v>1</v>
      </c>
      <c r="AB327" s="146">
        <v>96.63</v>
      </c>
      <c r="AC327" s="151"/>
      <c r="AD327" s="146">
        <v>14.914999999999999</v>
      </c>
      <c r="AE327" s="151"/>
      <c r="AF327" s="151"/>
      <c r="AG327" s="151"/>
      <c r="AH327" s="148">
        <v>1.0000000000000001E-5</v>
      </c>
      <c r="AI327" s="148">
        <v>1.1849999999999999E-2</v>
      </c>
      <c r="AJ327" s="149">
        <v>1.4300000000000001E-3</v>
      </c>
      <c r="AK327" s="196"/>
    </row>
    <row r="328" spans="1:37" x14ac:dyDescent="0.2">
      <c r="A328" s="144" t="s">
        <v>1217</v>
      </c>
      <c r="B328" s="145" t="s">
        <v>1219</v>
      </c>
      <c r="C328" s="145" t="s">
        <v>1588</v>
      </c>
      <c r="D328" s="145" t="s">
        <v>1589</v>
      </c>
      <c r="E328" s="145" t="s">
        <v>309</v>
      </c>
      <c r="F328" s="145" t="s">
        <v>1590</v>
      </c>
      <c r="G328" s="145" t="s">
        <v>1591</v>
      </c>
      <c r="H328" s="145" t="s">
        <v>321</v>
      </c>
      <c r="I328" s="145" t="s">
        <v>951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451</v>
      </c>
      <c r="O328" s="145" t="s">
        <v>339</v>
      </c>
      <c r="P328" s="145" t="s">
        <v>1473</v>
      </c>
      <c r="Q328" s="145" t="s">
        <v>413</v>
      </c>
      <c r="R328" s="145" t="s">
        <v>407</v>
      </c>
      <c r="S328" s="145" t="s">
        <v>1210</v>
      </c>
      <c r="T328" s="146">
        <v>1.86</v>
      </c>
      <c r="U328" s="145" t="s">
        <v>1401</v>
      </c>
      <c r="V328" s="148">
        <v>2.1999999999999999E-2</v>
      </c>
      <c r="W328" s="148">
        <v>5.1889999999999999E-2</v>
      </c>
      <c r="X328" s="145" t="s">
        <v>412</v>
      </c>
      <c r="Y328" s="159"/>
      <c r="Z328" s="146">
        <v>14715.75</v>
      </c>
      <c r="AA328" s="146">
        <v>1</v>
      </c>
      <c r="AB328" s="146">
        <v>95.28</v>
      </c>
      <c r="AC328" s="151"/>
      <c r="AD328" s="146">
        <v>14.021000000000001</v>
      </c>
      <c r="AE328" s="151"/>
      <c r="AF328" s="151"/>
      <c r="AG328" s="151"/>
      <c r="AH328" s="148">
        <v>1.0000000000000001E-5</v>
      </c>
      <c r="AI328" s="148">
        <v>1.1140000000000001E-2</v>
      </c>
      <c r="AJ328" s="149">
        <v>1.34E-3</v>
      </c>
      <c r="AK328" s="196"/>
    </row>
    <row r="329" spans="1:37" x14ac:dyDescent="0.2">
      <c r="A329" s="144" t="s">
        <v>1217</v>
      </c>
      <c r="B329" s="145" t="s">
        <v>1219</v>
      </c>
      <c r="C329" s="145" t="s">
        <v>1475</v>
      </c>
      <c r="D329" s="145" t="s">
        <v>1476</v>
      </c>
      <c r="E329" s="145" t="s">
        <v>309</v>
      </c>
      <c r="F329" s="145" t="s">
        <v>1477</v>
      </c>
      <c r="G329" s="145" t="s">
        <v>1478</v>
      </c>
      <c r="H329" s="145" t="s">
        <v>321</v>
      </c>
      <c r="I329" s="145" t="s">
        <v>951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484</v>
      </c>
      <c r="O329" s="145" t="s">
        <v>339</v>
      </c>
      <c r="P329" s="145" t="s">
        <v>1406</v>
      </c>
      <c r="Q329" s="145" t="s">
        <v>415</v>
      </c>
      <c r="R329" s="145" t="s">
        <v>407</v>
      </c>
      <c r="S329" s="145" t="s">
        <v>1210</v>
      </c>
      <c r="T329" s="146">
        <v>0.66</v>
      </c>
      <c r="U329" s="145" t="s">
        <v>1479</v>
      </c>
      <c r="V329" s="148">
        <v>3.6499999999999998E-2</v>
      </c>
      <c r="W329" s="148">
        <v>4.4749999999999998E-2</v>
      </c>
      <c r="X329" s="145" t="s">
        <v>412</v>
      </c>
      <c r="Y329" s="159"/>
      <c r="Z329" s="146">
        <v>12865.11</v>
      </c>
      <c r="AA329" s="146">
        <v>1</v>
      </c>
      <c r="AB329" s="146">
        <v>100.7</v>
      </c>
      <c r="AC329" s="151"/>
      <c r="AD329" s="146">
        <v>12.955</v>
      </c>
      <c r="AE329" s="151"/>
      <c r="AF329" s="151"/>
      <c r="AG329" s="151"/>
      <c r="AH329" s="148">
        <v>2.0000000000000002E-5</v>
      </c>
      <c r="AI329" s="148">
        <v>1.0290000000000001E-2</v>
      </c>
      <c r="AJ329" s="149">
        <v>1.24E-3</v>
      </c>
      <c r="AK329" s="196"/>
    </row>
    <row r="330" spans="1:37" x14ac:dyDescent="0.2">
      <c r="A330" s="144" t="s">
        <v>1217</v>
      </c>
      <c r="B330" s="145" t="s">
        <v>1219</v>
      </c>
      <c r="C330" s="145" t="s">
        <v>1543</v>
      </c>
      <c r="D330" s="145" t="s">
        <v>1544</v>
      </c>
      <c r="E330" s="145" t="s">
        <v>309</v>
      </c>
      <c r="F330" s="145" t="s">
        <v>1592</v>
      </c>
      <c r="G330" s="145" t="s">
        <v>1593</v>
      </c>
      <c r="H330" s="145" t="s">
        <v>321</v>
      </c>
      <c r="I330" s="145" t="s">
        <v>754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464</v>
      </c>
      <c r="O330" s="145" t="s">
        <v>339</v>
      </c>
      <c r="P330" s="145" t="s">
        <v>1594</v>
      </c>
      <c r="Q330" s="145" t="s">
        <v>415</v>
      </c>
      <c r="R330" s="145" t="s">
        <v>407</v>
      </c>
      <c r="S330" s="145" t="s">
        <v>1210</v>
      </c>
      <c r="T330" s="146">
        <v>2.0699999999999998</v>
      </c>
      <c r="U330" s="145" t="s">
        <v>1401</v>
      </c>
      <c r="V330" s="148">
        <v>1.77E-2</v>
      </c>
      <c r="W330" s="148">
        <v>2.751E-2</v>
      </c>
      <c r="X330" s="145" t="s">
        <v>412</v>
      </c>
      <c r="Y330" s="159"/>
      <c r="Z330" s="146">
        <v>11200</v>
      </c>
      <c r="AA330" s="146">
        <v>1</v>
      </c>
      <c r="AB330" s="146">
        <v>113.81</v>
      </c>
      <c r="AC330" s="151"/>
      <c r="AD330" s="146">
        <v>12.747</v>
      </c>
      <c r="AE330" s="151"/>
      <c r="AF330" s="151"/>
      <c r="AG330" s="151"/>
      <c r="AH330" s="148">
        <v>0</v>
      </c>
      <c r="AI330" s="148">
        <v>1.013E-2</v>
      </c>
      <c r="AJ330" s="149">
        <v>1.2199999999999999E-3</v>
      </c>
      <c r="AK330" s="196"/>
    </row>
    <row r="331" spans="1:37" x14ac:dyDescent="0.2">
      <c r="A331" s="144" t="s">
        <v>1217</v>
      </c>
      <c r="B331" s="145" t="s">
        <v>1219</v>
      </c>
      <c r="C331" s="145" t="s">
        <v>1469</v>
      </c>
      <c r="D331" s="145" t="s">
        <v>1470</v>
      </c>
      <c r="E331" s="145" t="s">
        <v>309</v>
      </c>
      <c r="F331" s="145" t="s">
        <v>1471</v>
      </c>
      <c r="G331" s="145" t="s">
        <v>1472</v>
      </c>
      <c r="H331" s="145" t="s">
        <v>321</v>
      </c>
      <c r="I331" s="145" t="s">
        <v>951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451</v>
      </c>
      <c r="O331" s="145" t="s">
        <v>339</v>
      </c>
      <c r="P331" s="145" t="s">
        <v>1473</v>
      </c>
      <c r="Q331" s="145" t="s">
        <v>413</v>
      </c>
      <c r="R331" s="145" t="s">
        <v>407</v>
      </c>
      <c r="S331" s="145" t="s">
        <v>1210</v>
      </c>
      <c r="T331" s="146">
        <v>0.73</v>
      </c>
      <c r="U331" s="145" t="s">
        <v>1474</v>
      </c>
      <c r="V331" s="148">
        <v>0.04</v>
      </c>
      <c r="W331" s="148">
        <v>5.407E-2</v>
      </c>
      <c r="X331" s="145" t="s">
        <v>412</v>
      </c>
      <c r="Y331" s="159"/>
      <c r="Z331" s="146">
        <v>12526.88</v>
      </c>
      <c r="AA331" s="146">
        <v>1</v>
      </c>
      <c r="AB331" s="146">
        <v>100.05</v>
      </c>
      <c r="AC331" s="151"/>
      <c r="AD331" s="146">
        <v>12.532999999999999</v>
      </c>
      <c r="AE331" s="151"/>
      <c r="AF331" s="151"/>
      <c r="AG331" s="151"/>
      <c r="AH331" s="148">
        <v>1E-4</v>
      </c>
      <c r="AI331" s="148">
        <v>9.9600000000000001E-3</v>
      </c>
      <c r="AJ331" s="149">
        <v>1.1999999999999999E-3</v>
      </c>
      <c r="AK331" s="196"/>
    </row>
    <row r="332" spans="1:37" x14ac:dyDescent="0.2">
      <c r="A332" s="144" t="s">
        <v>1217</v>
      </c>
      <c r="B332" s="145" t="s">
        <v>1219</v>
      </c>
      <c r="C332" s="145" t="s">
        <v>1488</v>
      </c>
      <c r="D332" s="145" t="s">
        <v>1489</v>
      </c>
      <c r="E332" s="145" t="s">
        <v>309</v>
      </c>
      <c r="F332" s="145" t="s">
        <v>1490</v>
      </c>
      <c r="G332" s="145" t="s">
        <v>1491</v>
      </c>
      <c r="H332" s="145" t="s">
        <v>321</v>
      </c>
      <c r="I332" s="145" t="s">
        <v>754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445</v>
      </c>
      <c r="O332" s="145" t="s">
        <v>339</v>
      </c>
      <c r="P332" s="145" t="s">
        <v>1433</v>
      </c>
      <c r="Q332" s="145" t="s">
        <v>415</v>
      </c>
      <c r="R332" s="145" t="s">
        <v>407</v>
      </c>
      <c r="S332" s="145" t="s">
        <v>1210</v>
      </c>
      <c r="T332" s="146">
        <v>4.1399999999999997</v>
      </c>
      <c r="U332" s="145" t="s">
        <v>1376</v>
      </c>
      <c r="V332" s="148">
        <v>5.1700000000000003E-2</v>
      </c>
      <c r="W332" s="148">
        <v>5.1369999999999999E-2</v>
      </c>
      <c r="X332" s="145" t="s">
        <v>412</v>
      </c>
      <c r="Y332" s="159"/>
      <c r="Z332" s="146">
        <v>10661</v>
      </c>
      <c r="AA332" s="146">
        <v>1</v>
      </c>
      <c r="AB332" s="146">
        <v>102.11</v>
      </c>
      <c r="AC332" s="151"/>
      <c r="AD332" s="146">
        <v>10.885999999999999</v>
      </c>
      <c r="AE332" s="151"/>
      <c r="AF332" s="151"/>
      <c r="AG332" s="151"/>
      <c r="AH332" s="148">
        <v>2.0000000000000002E-5</v>
      </c>
      <c r="AI332" s="148">
        <v>8.6499999999999997E-3</v>
      </c>
      <c r="AJ332" s="149">
        <v>1.0399999999999999E-3</v>
      </c>
      <c r="AK332" s="196"/>
    </row>
    <row r="333" spans="1:37" x14ac:dyDescent="0.2">
      <c r="A333" s="144" t="s">
        <v>1217</v>
      </c>
      <c r="B333" s="145" t="s">
        <v>1219</v>
      </c>
      <c r="C333" s="145" t="s">
        <v>1354</v>
      </c>
      <c r="D333" s="145" t="s">
        <v>1355</v>
      </c>
      <c r="E333" s="145" t="s">
        <v>309</v>
      </c>
      <c r="F333" s="145" t="s">
        <v>1586</v>
      </c>
      <c r="G333" s="145" t="s">
        <v>1587</v>
      </c>
      <c r="H333" s="145" t="s">
        <v>321</v>
      </c>
      <c r="I333" s="145" t="s">
        <v>951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445</v>
      </c>
      <c r="O333" s="145" t="s">
        <v>339</v>
      </c>
      <c r="P333" s="145" t="s">
        <v>1358</v>
      </c>
      <c r="Q333" s="145" t="s">
        <v>415</v>
      </c>
      <c r="R333" s="145" t="s">
        <v>407</v>
      </c>
      <c r="S333" s="145" t="s">
        <v>1210</v>
      </c>
      <c r="T333" s="146">
        <v>1.48</v>
      </c>
      <c r="U333" s="145" t="s">
        <v>1509</v>
      </c>
      <c r="V333" s="148">
        <v>1.84E-2</v>
      </c>
      <c r="W333" s="148">
        <v>4.999E-2</v>
      </c>
      <c r="X333" s="145" t="s">
        <v>412</v>
      </c>
      <c r="Y333" s="159"/>
      <c r="Z333" s="146">
        <v>11191</v>
      </c>
      <c r="AA333" s="146">
        <v>1</v>
      </c>
      <c r="AB333" s="146">
        <v>95.58</v>
      </c>
      <c r="AC333" s="151"/>
      <c r="AD333" s="146">
        <v>10.696</v>
      </c>
      <c r="AE333" s="151"/>
      <c r="AF333" s="151"/>
      <c r="AG333" s="151"/>
      <c r="AH333" s="148">
        <v>4.0000000000000003E-5</v>
      </c>
      <c r="AI333" s="148">
        <v>8.5000000000000006E-3</v>
      </c>
      <c r="AJ333" s="149">
        <v>1.0200000000000001E-3</v>
      </c>
      <c r="AK333" s="196"/>
    </row>
    <row r="334" spans="1:37" x14ac:dyDescent="0.2">
      <c r="A334" s="144" t="s">
        <v>1217</v>
      </c>
      <c r="B334" s="145" t="s">
        <v>1219</v>
      </c>
      <c r="C334" s="145" t="s">
        <v>1799</v>
      </c>
      <c r="D334" s="145" t="s">
        <v>1800</v>
      </c>
      <c r="E334" s="145" t="s">
        <v>309</v>
      </c>
      <c r="F334" s="145" t="s">
        <v>1801</v>
      </c>
      <c r="G334" s="145" t="s">
        <v>1802</v>
      </c>
      <c r="H334" s="145" t="s">
        <v>321</v>
      </c>
      <c r="I334" s="145" t="s">
        <v>754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451</v>
      </c>
      <c r="O334" s="145" t="s">
        <v>339</v>
      </c>
      <c r="P334" s="151"/>
      <c r="Q334" s="145" t="s">
        <v>410</v>
      </c>
      <c r="R334" s="151"/>
      <c r="S334" s="145" t="s">
        <v>1210</v>
      </c>
      <c r="T334" s="146">
        <v>2.33</v>
      </c>
      <c r="U334" s="145" t="s">
        <v>1401</v>
      </c>
      <c r="V334" s="148">
        <v>3.6999999999999998E-2</v>
      </c>
      <c r="W334" s="148">
        <v>4.1149999999999999E-2</v>
      </c>
      <c r="X334" s="145" t="s">
        <v>412</v>
      </c>
      <c r="Y334" s="159"/>
      <c r="Z334" s="146">
        <v>9234.0400000000009</v>
      </c>
      <c r="AA334" s="146">
        <v>1</v>
      </c>
      <c r="AB334" s="146">
        <v>115.64</v>
      </c>
      <c r="AC334" s="151"/>
      <c r="AD334" s="146">
        <v>10.678000000000001</v>
      </c>
      <c r="AE334" s="151"/>
      <c r="AF334" s="151"/>
      <c r="AG334" s="151"/>
      <c r="AH334" s="148">
        <v>2.0000000000000002E-5</v>
      </c>
      <c r="AI334" s="148">
        <v>8.4899999999999993E-3</v>
      </c>
      <c r="AJ334" s="149">
        <v>1.0200000000000001E-3</v>
      </c>
      <c r="AK334" s="196"/>
    </row>
    <row r="335" spans="1:37" x14ac:dyDescent="0.2">
      <c r="A335" s="144" t="s">
        <v>1217</v>
      </c>
      <c r="B335" s="145" t="s">
        <v>1219</v>
      </c>
      <c r="C335" s="145" t="s">
        <v>1500</v>
      </c>
      <c r="D335" s="145" t="s">
        <v>1501</v>
      </c>
      <c r="E335" s="145" t="s">
        <v>309</v>
      </c>
      <c r="F335" s="145" t="s">
        <v>1502</v>
      </c>
      <c r="G335" s="145" t="s">
        <v>1503</v>
      </c>
      <c r="H335" s="145" t="s">
        <v>321</v>
      </c>
      <c r="I335" s="145" t="s">
        <v>754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445</v>
      </c>
      <c r="O335" s="145" t="s">
        <v>339</v>
      </c>
      <c r="P335" s="145" t="s">
        <v>1392</v>
      </c>
      <c r="Q335" s="145" t="s">
        <v>413</v>
      </c>
      <c r="R335" s="145" t="s">
        <v>407</v>
      </c>
      <c r="S335" s="145" t="s">
        <v>1210</v>
      </c>
      <c r="T335" s="146">
        <v>4.05</v>
      </c>
      <c r="U335" s="145" t="s">
        <v>1504</v>
      </c>
      <c r="V335" s="148">
        <v>4.4000000000000003E-3</v>
      </c>
      <c r="W335" s="148">
        <v>2.7269999999999999E-2</v>
      </c>
      <c r="X335" s="145" t="s">
        <v>412</v>
      </c>
      <c r="Y335" s="159"/>
      <c r="Z335" s="146">
        <v>9548</v>
      </c>
      <c r="AA335" s="146">
        <v>1</v>
      </c>
      <c r="AB335" s="146">
        <v>105.45</v>
      </c>
      <c r="AC335" s="151"/>
      <c r="AD335" s="146">
        <v>10.068</v>
      </c>
      <c r="AE335" s="151"/>
      <c r="AF335" s="151"/>
      <c r="AG335" s="151"/>
      <c r="AH335" s="148">
        <v>1.0000000000000001E-5</v>
      </c>
      <c r="AI335" s="148">
        <v>8.0000000000000002E-3</v>
      </c>
      <c r="AJ335" s="149">
        <v>9.6000000000000002E-4</v>
      </c>
      <c r="AK335" s="196"/>
    </row>
    <row r="336" spans="1:37" x14ac:dyDescent="0.2">
      <c r="A336" s="144" t="s">
        <v>1217</v>
      </c>
      <c r="B336" s="145" t="s">
        <v>1219</v>
      </c>
      <c r="C336" s="145" t="s">
        <v>1380</v>
      </c>
      <c r="D336" s="145" t="s">
        <v>1381</v>
      </c>
      <c r="E336" s="145" t="s">
        <v>309</v>
      </c>
      <c r="F336" s="145" t="s">
        <v>1382</v>
      </c>
      <c r="G336" s="145" t="s">
        <v>1383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465</v>
      </c>
      <c r="O336" s="145" t="s">
        <v>339</v>
      </c>
      <c r="P336" s="145" t="s">
        <v>1375</v>
      </c>
      <c r="Q336" s="145" t="s">
        <v>415</v>
      </c>
      <c r="R336" s="145" t="s">
        <v>407</v>
      </c>
      <c r="S336" s="145" t="s">
        <v>1210</v>
      </c>
      <c r="T336" s="146">
        <v>1.39</v>
      </c>
      <c r="U336" s="145" t="s">
        <v>1384</v>
      </c>
      <c r="V336" s="148">
        <v>0.04</v>
      </c>
      <c r="W336" s="148">
        <v>4.675E-2</v>
      </c>
      <c r="X336" s="145" t="s">
        <v>412</v>
      </c>
      <c r="Y336" s="159"/>
      <c r="Z336" s="146">
        <v>7802.25</v>
      </c>
      <c r="AA336" s="146">
        <v>1</v>
      </c>
      <c r="AB336" s="146">
        <v>115.5</v>
      </c>
      <c r="AC336" s="151"/>
      <c r="AD336" s="146">
        <v>9.0120000000000005</v>
      </c>
      <c r="AE336" s="151"/>
      <c r="AF336" s="151"/>
      <c r="AG336" s="151"/>
      <c r="AH336" s="148">
        <v>0</v>
      </c>
      <c r="AI336" s="148">
        <v>7.1599999999999997E-3</v>
      </c>
      <c r="AJ336" s="149">
        <v>8.5999999999999998E-4</v>
      </c>
      <c r="AK336" s="196"/>
    </row>
    <row r="337" spans="1:37" x14ac:dyDescent="0.2">
      <c r="A337" s="144" t="s">
        <v>1217</v>
      </c>
      <c r="B337" s="145" t="s">
        <v>1219</v>
      </c>
      <c r="C337" s="145" t="s">
        <v>1459</v>
      </c>
      <c r="D337" s="145" t="s">
        <v>1460</v>
      </c>
      <c r="E337" s="145" t="s">
        <v>309</v>
      </c>
      <c r="F337" s="145" t="s">
        <v>1461</v>
      </c>
      <c r="G337" s="145" t="s">
        <v>1462</v>
      </c>
      <c r="H337" s="145" t="s">
        <v>321</v>
      </c>
      <c r="I337" s="145" t="s">
        <v>754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440</v>
      </c>
      <c r="O337" s="145" t="s">
        <v>339</v>
      </c>
      <c r="P337" s="145" t="s">
        <v>1350</v>
      </c>
      <c r="Q337" s="145" t="s">
        <v>413</v>
      </c>
      <c r="R337" s="145" t="s">
        <v>407</v>
      </c>
      <c r="S337" s="145" t="s">
        <v>1210</v>
      </c>
      <c r="T337" s="146">
        <v>2.1</v>
      </c>
      <c r="U337" s="145" t="s">
        <v>1463</v>
      </c>
      <c r="V337" s="148">
        <v>1.9400000000000001E-2</v>
      </c>
      <c r="W337" s="148">
        <v>2.5569999999999999E-2</v>
      </c>
      <c r="X337" s="145" t="s">
        <v>412</v>
      </c>
      <c r="Y337" s="159"/>
      <c r="Z337" s="146">
        <v>7662.27</v>
      </c>
      <c r="AA337" s="146">
        <v>1</v>
      </c>
      <c r="AB337" s="146">
        <v>115.77</v>
      </c>
      <c r="AC337" s="151"/>
      <c r="AD337" s="146">
        <v>8.8710000000000004</v>
      </c>
      <c r="AE337" s="151"/>
      <c r="AF337" s="151"/>
      <c r="AG337" s="151"/>
      <c r="AH337" s="148">
        <v>3.0000000000000001E-5</v>
      </c>
      <c r="AI337" s="148">
        <v>7.0499999999999998E-3</v>
      </c>
      <c r="AJ337" s="149">
        <v>8.4999999999999995E-4</v>
      </c>
      <c r="AK337" s="196"/>
    </row>
    <row r="338" spans="1:37" x14ac:dyDescent="0.2">
      <c r="A338" s="144" t="s">
        <v>1217</v>
      </c>
      <c r="B338" s="145" t="s">
        <v>1219</v>
      </c>
      <c r="C338" s="145" t="s">
        <v>1505</v>
      </c>
      <c r="D338" s="145" t="s">
        <v>1506</v>
      </c>
      <c r="E338" s="145" t="s">
        <v>309</v>
      </c>
      <c r="F338" s="145" t="s">
        <v>1507</v>
      </c>
      <c r="G338" s="145" t="s">
        <v>1508</v>
      </c>
      <c r="H338" s="145" t="s">
        <v>321</v>
      </c>
      <c r="I338" s="145" t="s">
        <v>951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445</v>
      </c>
      <c r="O338" s="145" t="s">
        <v>339</v>
      </c>
      <c r="P338" s="145" t="s">
        <v>1406</v>
      </c>
      <c r="Q338" s="145" t="s">
        <v>415</v>
      </c>
      <c r="R338" s="145" t="s">
        <v>407</v>
      </c>
      <c r="S338" s="145" t="s">
        <v>1210</v>
      </c>
      <c r="T338" s="146">
        <v>0.98</v>
      </c>
      <c r="U338" s="145" t="s">
        <v>1509</v>
      </c>
      <c r="V338" s="148">
        <v>2.9399999999999999E-2</v>
      </c>
      <c r="W338" s="148">
        <v>4.9570000000000003E-2</v>
      </c>
      <c r="X338" s="145" t="s">
        <v>412</v>
      </c>
      <c r="Y338" s="159"/>
      <c r="Z338" s="146">
        <v>8723.99</v>
      </c>
      <c r="AA338" s="146">
        <v>1</v>
      </c>
      <c r="AB338" s="146">
        <v>99.54</v>
      </c>
      <c r="AC338" s="151"/>
      <c r="AD338" s="146">
        <v>8.6839999999999993</v>
      </c>
      <c r="AE338" s="151"/>
      <c r="AF338" s="151"/>
      <c r="AG338" s="151"/>
      <c r="AH338" s="148">
        <v>8.0000000000000007E-5</v>
      </c>
      <c r="AI338" s="148">
        <v>6.8999999999999999E-3</v>
      </c>
      <c r="AJ338" s="149">
        <v>8.3000000000000001E-4</v>
      </c>
      <c r="AK338" s="196"/>
    </row>
    <row r="339" spans="1:37" x14ac:dyDescent="0.2">
      <c r="A339" s="144" t="s">
        <v>1217</v>
      </c>
      <c r="B339" s="145" t="s">
        <v>1219</v>
      </c>
      <c r="C339" s="145" t="s">
        <v>1444</v>
      </c>
      <c r="D339" s="145" t="s">
        <v>1445</v>
      </c>
      <c r="E339" s="145" t="s">
        <v>309</v>
      </c>
      <c r="F339" s="145" t="s">
        <v>1446</v>
      </c>
      <c r="G339" s="145" t="s">
        <v>1447</v>
      </c>
      <c r="H339" s="145" t="s">
        <v>321</v>
      </c>
      <c r="I339" s="145" t="s">
        <v>754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464</v>
      </c>
      <c r="O339" s="145" t="s">
        <v>339</v>
      </c>
      <c r="P339" s="145" t="s">
        <v>1392</v>
      </c>
      <c r="Q339" s="145" t="s">
        <v>413</v>
      </c>
      <c r="R339" s="145" t="s">
        <v>407</v>
      </c>
      <c r="S339" s="145" t="s">
        <v>1210</v>
      </c>
      <c r="T339" s="146">
        <v>2.27</v>
      </c>
      <c r="U339" s="145" t="s">
        <v>1281</v>
      </c>
      <c r="V339" s="148">
        <v>2.3400000000000001E-2</v>
      </c>
      <c r="W339" s="148">
        <v>2.7980000000000001E-2</v>
      </c>
      <c r="X339" s="145" t="s">
        <v>412</v>
      </c>
      <c r="Y339" s="159"/>
      <c r="Z339" s="146">
        <v>7407.97</v>
      </c>
      <c r="AA339" s="146">
        <v>1</v>
      </c>
      <c r="AB339" s="146">
        <v>114.39</v>
      </c>
      <c r="AC339" s="151"/>
      <c r="AD339" s="146">
        <v>8.4740000000000002</v>
      </c>
      <c r="AE339" s="151"/>
      <c r="AF339" s="151"/>
      <c r="AG339" s="151"/>
      <c r="AH339" s="148">
        <v>0</v>
      </c>
      <c r="AI339" s="148">
        <v>6.7299999999999999E-3</v>
      </c>
      <c r="AJ339" s="149">
        <v>8.0999999999999996E-4</v>
      </c>
      <c r="AK339" s="196"/>
    </row>
    <row r="340" spans="1:37" x14ac:dyDescent="0.2">
      <c r="A340" s="144" t="s">
        <v>1217</v>
      </c>
      <c r="B340" s="145" t="s">
        <v>1219</v>
      </c>
      <c r="C340" s="145" t="s">
        <v>1402</v>
      </c>
      <c r="D340" s="145" t="s">
        <v>1403</v>
      </c>
      <c r="E340" s="145" t="s">
        <v>309</v>
      </c>
      <c r="F340" s="145" t="s">
        <v>1485</v>
      </c>
      <c r="G340" s="145" t="s">
        <v>1486</v>
      </c>
      <c r="H340" s="145" t="s">
        <v>321</v>
      </c>
      <c r="I340" s="145" t="s">
        <v>951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445</v>
      </c>
      <c r="O340" s="145" t="s">
        <v>339</v>
      </c>
      <c r="P340" s="145" t="s">
        <v>1406</v>
      </c>
      <c r="Q340" s="145" t="s">
        <v>415</v>
      </c>
      <c r="R340" s="145" t="s">
        <v>407</v>
      </c>
      <c r="S340" s="145" t="s">
        <v>1210</v>
      </c>
      <c r="T340" s="146">
        <v>3.84</v>
      </c>
      <c r="U340" s="145" t="s">
        <v>1487</v>
      </c>
      <c r="V340" s="148">
        <v>2.6200000000000001E-2</v>
      </c>
      <c r="W340" s="148">
        <v>4.8739999999999999E-2</v>
      </c>
      <c r="X340" s="145" t="s">
        <v>412</v>
      </c>
      <c r="Y340" s="159"/>
      <c r="Z340" s="146">
        <v>8998</v>
      </c>
      <c r="AA340" s="146">
        <v>1</v>
      </c>
      <c r="AB340" s="146">
        <v>93.04</v>
      </c>
      <c r="AC340" s="151"/>
      <c r="AD340" s="146">
        <v>8.3719999999999999</v>
      </c>
      <c r="AE340" s="151"/>
      <c r="AF340" s="151"/>
      <c r="AG340" s="151"/>
      <c r="AH340" s="148">
        <v>1.0000000000000001E-5</v>
      </c>
      <c r="AI340" s="148">
        <v>6.6499999999999997E-3</v>
      </c>
      <c r="AJ340" s="149">
        <v>8.0000000000000004E-4</v>
      </c>
      <c r="AK340" s="196"/>
    </row>
    <row r="341" spans="1:37" x14ac:dyDescent="0.2">
      <c r="A341" s="144" t="s">
        <v>1217</v>
      </c>
      <c r="B341" s="145" t="s">
        <v>1219</v>
      </c>
      <c r="C341" s="145" t="s">
        <v>1415</v>
      </c>
      <c r="D341" s="145" t="s">
        <v>1416</v>
      </c>
      <c r="E341" s="145" t="s">
        <v>309</v>
      </c>
      <c r="F341" s="145" t="s">
        <v>1423</v>
      </c>
      <c r="G341" s="145" t="s">
        <v>1424</v>
      </c>
      <c r="H341" s="145" t="s">
        <v>321</v>
      </c>
      <c r="I341" s="145" t="s">
        <v>754</v>
      </c>
      <c r="J341" s="145" t="s">
        <v>204</v>
      </c>
      <c r="K341" s="145" t="s">
        <v>204</v>
      </c>
      <c r="L341" s="145" t="s">
        <v>325</v>
      </c>
      <c r="M341" s="145" t="s">
        <v>340</v>
      </c>
      <c r="N341" s="145" t="s">
        <v>448</v>
      </c>
      <c r="O341" s="145" t="s">
        <v>339</v>
      </c>
      <c r="P341" s="145" t="s">
        <v>1350</v>
      </c>
      <c r="Q341" s="145" t="s">
        <v>413</v>
      </c>
      <c r="R341" s="145" t="s">
        <v>407</v>
      </c>
      <c r="S341" s="145" t="s">
        <v>1210</v>
      </c>
      <c r="T341" s="146">
        <v>1.24</v>
      </c>
      <c r="U341" s="145" t="s">
        <v>1425</v>
      </c>
      <c r="V341" s="148">
        <v>2E-3</v>
      </c>
      <c r="W341" s="148">
        <v>2.5510000000000001E-2</v>
      </c>
      <c r="X341" s="145" t="s">
        <v>412</v>
      </c>
      <c r="Y341" s="159"/>
      <c r="Z341" s="146">
        <v>7000</v>
      </c>
      <c r="AA341" s="146">
        <v>1</v>
      </c>
      <c r="AB341" s="146">
        <v>111.21</v>
      </c>
      <c r="AC341" s="151"/>
      <c r="AD341" s="146">
        <v>7.7850000000000001</v>
      </c>
      <c r="AE341" s="151"/>
      <c r="AF341" s="151"/>
      <c r="AG341" s="151"/>
      <c r="AH341" s="148">
        <v>3.0000000000000001E-5</v>
      </c>
      <c r="AI341" s="148">
        <v>6.1900000000000002E-3</v>
      </c>
      <c r="AJ341" s="149">
        <v>7.5000000000000002E-4</v>
      </c>
      <c r="AK341" s="196"/>
    </row>
    <row r="342" spans="1:37" x14ac:dyDescent="0.2">
      <c r="A342" s="144" t="s">
        <v>1217</v>
      </c>
      <c r="B342" s="145" t="s">
        <v>1219</v>
      </c>
      <c r="C342" s="145" t="s">
        <v>1600</v>
      </c>
      <c r="D342" s="145" t="s">
        <v>1601</v>
      </c>
      <c r="E342" s="145" t="s">
        <v>309</v>
      </c>
      <c r="F342" s="145" t="s">
        <v>1602</v>
      </c>
      <c r="G342" s="145" t="s">
        <v>1603</v>
      </c>
      <c r="H342" s="145" t="s">
        <v>321</v>
      </c>
      <c r="I342" s="145" t="s">
        <v>951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464</v>
      </c>
      <c r="O342" s="145" t="s">
        <v>339</v>
      </c>
      <c r="P342" s="145" t="s">
        <v>1520</v>
      </c>
      <c r="Q342" s="145" t="s">
        <v>415</v>
      </c>
      <c r="R342" s="145" t="s">
        <v>407</v>
      </c>
      <c r="S342" s="145" t="s">
        <v>1210</v>
      </c>
      <c r="T342" s="146">
        <v>2.67</v>
      </c>
      <c r="U342" s="145" t="s">
        <v>1604</v>
      </c>
      <c r="V342" s="148">
        <v>1.0919999999999999E-2</v>
      </c>
      <c r="W342" s="148">
        <v>5.0459999999999998E-2</v>
      </c>
      <c r="X342" s="145" t="s">
        <v>412</v>
      </c>
      <c r="Y342" s="159"/>
      <c r="Z342" s="146">
        <v>7852.15</v>
      </c>
      <c r="AA342" s="146">
        <v>1</v>
      </c>
      <c r="AB342" s="146">
        <v>95.73</v>
      </c>
      <c r="AC342" s="151"/>
      <c r="AD342" s="146">
        <v>7.5170000000000003</v>
      </c>
      <c r="AE342" s="151"/>
      <c r="AF342" s="151"/>
      <c r="AG342" s="151"/>
      <c r="AH342" s="148">
        <v>2.0000000000000002E-5</v>
      </c>
      <c r="AI342" s="148">
        <v>5.9699999999999996E-3</v>
      </c>
      <c r="AJ342" s="149">
        <v>7.2000000000000005E-4</v>
      </c>
      <c r="AK342" s="196"/>
    </row>
    <row r="343" spans="1:37" x14ac:dyDescent="0.2">
      <c r="A343" s="144" t="s">
        <v>1217</v>
      </c>
      <c r="B343" s="145" t="s">
        <v>1219</v>
      </c>
      <c r="C343" s="145" t="s">
        <v>1595</v>
      </c>
      <c r="D343" s="145" t="s">
        <v>1596</v>
      </c>
      <c r="E343" s="145" t="s">
        <v>309</v>
      </c>
      <c r="F343" s="145" t="s">
        <v>1597</v>
      </c>
      <c r="G343" s="145" t="s">
        <v>1598</v>
      </c>
      <c r="H343" s="145" t="s">
        <v>321</v>
      </c>
      <c r="I343" s="145" t="s">
        <v>951</v>
      </c>
      <c r="J343" s="145" t="s">
        <v>204</v>
      </c>
      <c r="K343" s="145" t="s">
        <v>224</v>
      </c>
      <c r="L343" s="145" t="s">
        <v>325</v>
      </c>
      <c r="M343" s="145" t="s">
        <v>340</v>
      </c>
      <c r="N343" s="145" t="s">
        <v>465</v>
      </c>
      <c r="O343" s="145" t="s">
        <v>339</v>
      </c>
      <c r="P343" s="145" t="s">
        <v>1473</v>
      </c>
      <c r="Q343" s="145" t="s">
        <v>413</v>
      </c>
      <c r="R343" s="145" t="s">
        <v>407</v>
      </c>
      <c r="S343" s="145" t="s">
        <v>1210</v>
      </c>
      <c r="T343" s="146">
        <v>0.66</v>
      </c>
      <c r="U343" s="145" t="s">
        <v>1599</v>
      </c>
      <c r="V343" s="148">
        <v>3.95E-2</v>
      </c>
      <c r="W343" s="148">
        <v>5.8720000000000001E-2</v>
      </c>
      <c r="X343" s="145" t="s">
        <v>412</v>
      </c>
      <c r="Y343" s="159"/>
      <c r="Z343" s="146">
        <v>7500</v>
      </c>
      <c r="AA343" s="146">
        <v>1</v>
      </c>
      <c r="AB343" s="146">
        <v>100.13</v>
      </c>
      <c r="AC343" s="151"/>
      <c r="AD343" s="146">
        <v>7.51</v>
      </c>
      <c r="AE343" s="151"/>
      <c r="AF343" s="151"/>
      <c r="AG343" s="151"/>
      <c r="AH343" s="148">
        <v>2.0000000000000002E-5</v>
      </c>
      <c r="AI343" s="148">
        <v>5.9699999999999996E-3</v>
      </c>
      <c r="AJ343" s="149">
        <v>7.2000000000000005E-4</v>
      </c>
      <c r="AK343" s="196"/>
    </row>
    <row r="344" spans="1:37" x14ac:dyDescent="0.2">
      <c r="A344" s="144" t="s">
        <v>1217</v>
      </c>
      <c r="B344" s="145" t="s">
        <v>1219</v>
      </c>
      <c r="C344" s="145" t="s">
        <v>1605</v>
      </c>
      <c r="D344" s="145" t="s">
        <v>1606</v>
      </c>
      <c r="E344" s="145" t="s">
        <v>309</v>
      </c>
      <c r="F344" s="145" t="s">
        <v>1607</v>
      </c>
      <c r="G344" s="145" t="s">
        <v>1608</v>
      </c>
      <c r="H344" s="145" t="s">
        <v>321</v>
      </c>
      <c r="I344" s="145" t="s">
        <v>754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443</v>
      </c>
      <c r="O344" s="145" t="s">
        <v>339</v>
      </c>
      <c r="P344" s="145" t="s">
        <v>1433</v>
      </c>
      <c r="Q344" s="145" t="s">
        <v>415</v>
      </c>
      <c r="R344" s="145" t="s">
        <v>407</v>
      </c>
      <c r="S344" s="145" t="s">
        <v>1210</v>
      </c>
      <c r="T344" s="146">
        <v>0.53</v>
      </c>
      <c r="U344" s="145" t="s">
        <v>1609</v>
      </c>
      <c r="V344" s="148">
        <v>1.8499999999999999E-2</v>
      </c>
      <c r="W344" s="148">
        <v>2.962E-2</v>
      </c>
      <c r="X344" s="145" t="s">
        <v>412</v>
      </c>
      <c r="Y344" s="159"/>
      <c r="Z344" s="146">
        <v>6026.72</v>
      </c>
      <c r="AA344" s="146">
        <v>1</v>
      </c>
      <c r="AB344" s="146">
        <v>115.43</v>
      </c>
      <c r="AC344" s="151"/>
      <c r="AD344" s="146">
        <v>6.9569999999999999</v>
      </c>
      <c r="AE344" s="151"/>
      <c r="AF344" s="151"/>
      <c r="AG344" s="151"/>
      <c r="AH344" s="148">
        <v>2.0000000000000002E-5</v>
      </c>
      <c r="AI344" s="148">
        <v>5.5300000000000002E-3</v>
      </c>
      <c r="AJ344" s="149">
        <v>6.7000000000000002E-4</v>
      </c>
      <c r="AK344" s="196"/>
    </row>
    <row r="345" spans="1:37" x14ac:dyDescent="0.2">
      <c r="A345" s="144" t="s">
        <v>1217</v>
      </c>
      <c r="B345" s="145" t="s">
        <v>1219</v>
      </c>
      <c r="C345" s="145" t="s">
        <v>1380</v>
      </c>
      <c r="D345" s="145" t="s">
        <v>1381</v>
      </c>
      <c r="E345" s="145" t="s">
        <v>309</v>
      </c>
      <c r="F345" s="145" t="s">
        <v>1399</v>
      </c>
      <c r="G345" s="145" t="s">
        <v>1400</v>
      </c>
      <c r="H345" s="145" t="s">
        <v>321</v>
      </c>
      <c r="I345" s="145" t="s">
        <v>754</v>
      </c>
      <c r="J345" s="145" t="s">
        <v>204</v>
      </c>
      <c r="K345" s="145" t="s">
        <v>204</v>
      </c>
      <c r="L345" s="145" t="s">
        <v>325</v>
      </c>
      <c r="M345" s="145" t="s">
        <v>340</v>
      </c>
      <c r="N345" s="145" t="s">
        <v>465</v>
      </c>
      <c r="O345" s="145" t="s">
        <v>339</v>
      </c>
      <c r="P345" s="145" t="s">
        <v>1375</v>
      </c>
      <c r="Q345" s="145" t="s">
        <v>415</v>
      </c>
      <c r="R345" s="145" t="s">
        <v>407</v>
      </c>
      <c r="S345" s="145" t="s">
        <v>1210</v>
      </c>
      <c r="T345" s="146">
        <v>1.76</v>
      </c>
      <c r="U345" s="145" t="s">
        <v>1401</v>
      </c>
      <c r="V345" s="148">
        <v>3.2800000000000003E-2</v>
      </c>
      <c r="W345" s="148">
        <v>4.9459999999999997E-2</v>
      </c>
      <c r="X345" s="145" t="s">
        <v>412</v>
      </c>
      <c r="Y345" s="159"/>
      <c r="Z345" s="146">
        <v>5948.8</v>
      </c>
      <c r="AA345" s="146">
        <v>1</v>
      </c>
      <c r="AB345" s="146">
        <v>114.78</v>
      </c>
      <c r="AC345" s="151"/>
      <c r="AD345" s="146">
        <v>6.8280000000000003</v>
      </c>
      <c r="AE345" s="151"/>
      <c r="AF345" s="151"/>
      <c r="AG345" s="151"/>
      <c r="AH345" s="148">
        <v>0</v>
      </c>
      <c r="AI345" s="148">
        <v>5.4299999999999999E-3</v>
      </c>
      <c r="AJ345" s="149">
        <v>6.4999999999999997E-4</v>
      </c>
      <c r="AK345" s="196"/>
    </row>
    <row r="346" spans="1:37" x14ac:dyDescent="0.2">
      <c r="A346" s="144" t="s">
        <v>1217</v>
      </c>
      <c r="B346" s="145" t="s">
        <v>1219</v>
      </c>
      <c r="C346" s="145" t="s">
        <v>1581</v>
      </c>
      <c r="D346" s="145" t="s">
        <v>1582</v>
      </c>
      <c r="E346" s="145" t="s">
        <v>309</v>
      </c>
      <c r="F346" s="145" t="s">
        <v>1610</v>
      </c>
      <c r="G346" s="145" t="s">
        <v>1611</v>
      </c>
      <c r="H346" s="145" t="s">
        <v>321</v>
      </c>
      <c r="I346" s="145" t="s">
        <v>754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464</v>
      </c>
      <c r="O346" s="145" t="s">
        <v>339</v>
      </c>
      <c r="P346" s="145" t="s">
        <v>1358</v>
      </c>
      <c r="Q346" s="145" t="s">
        <v>415</v>
      </c>
      <c r="R346" s="145" t="s">
        <v>407</v>
      </c>
      <c r="S346" s="145" t="s">
        <v>1210</v>
      </c>
      <c r="T346" s="146">
        <v>4.01</v>
      </c>
      <c r="U346" s="145" t="s">
        <v>1554</v>
      </c>
      <c r="V346" s="148">
        <v>1.3299999999999999E-2</v>
      </c>
      <c r="W346" s="148">
        <v>3.049E-2</v>
      </c>
      <c r="X346" s="145" t="s">
        <v>412</v>
      </c>
      <c r="Y346" s="159"/>
      <c r="Z346" s="146">
        <v>6120</v>
      </c>
      <c r="AA346" s="146">
        <v>1</v>
      </c>
      <c r="AB346" s="146">
        <v>107.88</v>
      </c>
      <c r="AC346" s="151"/>
      <c r="AD346" s="146">
        <v>6.6020000000000003</v>
      </c>
      <c r="AE346" s="151"/>
      <c r="AF346" s="151"/>
      <c r="AG346" s="151"/>
      <c r="AH346" s="148">
        <v>1.0000000000000001E-5</v>
      </c>
      <c r="AI346" s="148">
        <v>5.2500000000000003E-3</v>
      </c>
      <c r="AJ346" s="149">
        <v>6.3000000000000003E-4</v>
      </c>
      <c r="AK346" s="196"/>
    </row>
    <row r="347" spans="1:37" x14ac:dyDescent="0.2">
      <c r="A347" s="144" t="s">
        <v>1217</v>
      </c>
      <c r="B347" s="145" t="s">
        <v>1219</v>
      </c>
      <c r="C347" s="145" t="s">
        <v>1488</v>
      </c>
      <c r="D347" s="145" t="s">
        <v>1489</v>
      </c>
      <c r="E347" s="145" t="s">
        <v>309</v>
      </c>
      <c r="F347" s="145" t="s">
        <v>1510</v>
      </c>
      <c r="G347" s="145" t="s">
        <v>1511</v>
      </c>
      <c r="H347" s="145" t="s">
        <v>321</v>
      </c>
      <c r="I347" s="145" t="s">
        <v>754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445</v>
      </c>
      <c r="O347" s="145" t="s">
        <v>339</v>
      </c>
      <c r="P347" s="145" t="s">
        <v>1433</v>
      </c>
      <c r="Q347" s="145" t="s">
        <v>415</v>
      </c>
      <c r="R347" s="145" t="s">
        <v>407</v>
      </c>
      <c r="S347" s="145" t="s">
        <v>1210</v>
      </c>
      <c r="T347" s="146">
        <v>4.96</v>
      </c>
      <c r="U347" s="145" t="s">
        <v>1512</v>
      </c>
      <c r="V347" s="148">
        <v>5.3999999999999999E-2</v>
      </c>
      <c r="W347" s="148">
        <v>5.2179999999999997E-2</v>
      </c>
      <c r="X347" s="145" t="s">
        <v>412</v>
      </c>
      <c r="Y347" s="159"/>
      <c r="Z347" s="146">
        <v>5778</v>
      </c>
      <c r="AA347" s="146">
        <v>1</v>
      </c>
      <c r="AB347" s="146">
        <v>102.55</v>
      </c>
      <c r="AC347" s="151"/>
      <c r="AD347" s="146">
        <v>5.9249999999999998</v>
      </c>
      <c r="AE347" s="151"/>
      <c r="AF347" s="151"/>
      <c r="AG347" s="151"/>
      <c r="AH347" s="148">
        <v>1.0000000000000001E-5</v>
      </c>
      <c r="AI347" s="148">
        <v>4.7099999999999998E-3</v>
      </c>
      <c r="AJ347" s="149">
        <v>5.6999999999999998E-4</v>
      </c>
      <c r="AK347" s="196"/>
    </row>
    <row r="348" spans="1:37" x14ac:dyDescent="0.2">
      <c r="A348" s="144" t="s">
        <v>1217</v>
      </c>
      <c r="B348" s="145" t="s">
        <v>1219</v>
      </c>
      <c r="C348" s="145" t="s">
        <v>1724</v>
      </c>
      <c r="D348" s="145" t="s">
        <v>1725</v>
      </c>
      <c r="E348" s="145" t="s">
        <v>309</v>
      </c>
      <c r="F348" s="145" t="s">
        <v>1808</v>
      </c>
      <c r="G348" s="145" t="s">
        <v>1809</v>
      </c>
      <c r="H348" s="145" t="s">
        <v>321</v>
      </c>
      <c r="I348" s="145" t="s">
        <v>951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464</v>
      </c>
      <c r="O348" s="145" t="s">
        <v>339</v>
      </c>
      <c r="P348" s="145" t="s">
        <v>1406</v>
      </c>
      <c r="Q348" s="145" t="s">
        <v>415</v>
      </c>
      <c r="R348" s="145" t="s">
        <v>407</v>
      </c>
      <c r="S348" s="145" t="s">
        <v>1210</v>
      </c>
      <c r="T348" s="146">
        <v>1.64</v>
      </c>
      <c r="U348" s="145" t="s">
        <v>1401</v>
      </c>
      <c r="V348" s="148">
        <v>5.6500000000000002E-2</v>
      </c>
      <c r="W348" s="148">
        <v>4.9410000000000003E-2</v>
      </c>
      <c r="X348" s="145" t="s">
        <v>412</v>
      </c>
      <c r="Y348" s="159"/>
      <c r="Z348" s="146">
        <v>5647.06</v>
      </c>
      <c r="AA348" s="146">
        <v>1</v>
      </c>
      <c r="AB348" s="146">
        <v>102.67</v>
      </c>
      <c r="AC348" s="151"/>
      <c r="AD348" s="146">
        <v>5.798</v>
      </c>
      <c r="AE348" s="151"/>
      <c r="AF348" s="151"/>
      <c r="AG348" s="151"/>
      <c r="AH348" s="148">
        <v>4.0000000000000003E-5</v>
      </c>
      <c r="AI348" s="148">
        <v>4.6100000000000004E-3</v>
      </c>
      <c r="AJ348" s="149">
        <v>5.5000000000000003E-4</v>
      </c>
      <c r="AK348" s="196"/>
    </row>
    <row r="349" spans="1:37" x14ac:dyDescent="0.2">
      <c r="A349" s="144" t="s">
        <v>1217</v>
      </c>
      <c r="B349" s="145" t="s">
        <v>1219</v>
      </c>
      <c r="C349" s="145" t="s">
        <v>1612</v>
      </c>
      <c r="D349" s="145" t="s">
        <v>1613</v>
      </c>
      <c r="E349" s="145" t="s">
        <v>309</v>
      </c>
      <c r="F349" s="145" t="s">
        <v>1614</v>
      </c>
      <c r="G349" s="145" t="s">
        <v>1615</v>
      </c>
      <c r="H349" s="145" t="s">
        <v>321</v>
      </c>
      <c r="I349" s="145" t="s">
        <v>951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454</v>
      </c>
      <c r="O349" s="145" t="s">
        <v>339</v>
      </c>
      <c r="P349" s="145" t="s">
        <v>1439</v>
      </c>
      <c r="Q349" s="145" t="s">
        <v>413</v>
      </c>
      <c r="R349" s="145" t="s">
        <v>407</v>
      </c>
      <c r="S349" s="145" t="s">
        <v>1210</v>
      </c>
      <c r="T349" s="146">
        <v>2.58</v>
      </c>
      <c r="U349" s="145" t="s">
        <v>1616</v>
      </c>
      <c r="V349" s="148">
        <v>6.7500000000000004E-2</v>
      </c>
      <c r="W349" s="148">
        <v>5.6410000000000002E-2</v>
      </c>
      <c r="X349" s="145" t="s">
        <v>412</v>
      </c>
      <c r="Y349" s="159"/>
      <c r="Z349" s="146">
        <v>5334.79</v>
      </c>
      <c r="AA349" s="146">
        <v>1</v>
      </c>
      <c r="AB349" s="146">
        <v>104.13</v>
      </c>
      <c r="AC349" s="151"/>
      <c r="AD349" s="146">
        <v>5.5549999999999997</v>
      </c>
      <c r="AE349" s="151"/>
      <c r="AF349" s="151"/>
      <c r="AG349" s="151"/>
      <c r="AH349" s="148">
        <v>0</v>
      </c>
      <c r="AI349" s="148">
        <v>4.4099999999999999E-3</v>
      </c>
      <c r="AJ349" s="149">
        <v>5.2999999999999998E-4</v>
      </c>
      <c r="AK349" s="196"/>
    </row>
    <row r="350" spans="1:37" x14ac:dyDescent="0.2">
      <c r="A350" s="144" t="s">
        <v>1217</v>
      </c>
      <c r="B350" s="145" t="s">
        <v>1219</v>
      </c>
      <c r="C350" s="145" t="s">
        <v>1558</v>
      </c>
      <c r="D350" s="145" t="s">
        <v>1559</v>
      </c>
      <c r="E350" s="145" t="s">
        <v>309</v>
      </c>
      <c r="F350" s="145" t="s">
        <v>1810</v>
      </c>
      <c r="G350" s="145" t="s">
        <v>1811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464</v>
      </c>
      <c r="O350" s="145" t="s">
        <v>339</v>
      </c>
      <c r="P350" s="145" t="s">
        <v>1439</v>
      </c>
      <c r="Q350" s="145" t="s">
        <v>413</v>
      </c>
      <c r="R350" s="145" t="s">
        <v>407</v>
      </c>
      <c r="S350" s="145" t="s">
        <v>1210</v>
      </c>
      <c r="T350" s="146">
        <v>1.22</v>
      </c>
      <c r="U350" s="145" t="s">
        <v>1384</v>
      </c>
      <c r="V350" s="148">
        <v>2.2499999999999999E-2</v>
      </c>
      <c r="W350" s="148">
        <v>3.2199999999999999E-2</v>
      </c>
      <c r="X350" s="145" t="s">
        <v>412</v>
      </c>
      <c r="Y350" s="159"/>
      <c r="Z350" s="146">
        <v>4121.1499999999996</v>
      </c>
      <c r="AA350" s="146">
        <v>1</v>
      </c>
      <c r="AB350" s="146">
        <v>114.95</v>
      </c>
      <c r="AC350" s="151"/>
      <c r="AD350" s="146">
        <v>4.7370000000000001</v>
      </c>
      <c r="AE350" s="151"/>
      <c r="AF350" s="151"/>
      <c r="AG350" s="151"/>
      <c r="AH350" s="148">
        <v>1.0000000000000001E-5</v>
      </c>
      <c r="AI350" s="148">
        <v>3.7599999999999999E-3</v>
      </c>
      <c r="AJ350" s="149">
        <v>4.4999999999999999E-4</v>
      </c>
      <c r="AK350" s="196"/>
    </row>
    <row r="351" spans="1:37" x14ac:dyDescent="0.2">
      <c r="A351" s="144" t="s">
        <v>1217</v>
      </c>
      <c r="B351" s="145" t="s">
        <v>1219</v>
      </c>
      <c r="C351" s="145" t="s">
        <v>1822</v>
      </c>
      <c r="D351" s="145" t="s">
        <v>1823</v>
      </c>
      <c r="E351" s="145" t="s">
        <v>309</v>
      </c>
      <c r="F351" s="145" t="s">
        <v>1824</v>
      </c>
      <c r="G351" s="145" t="s">
        <v>1825</v>
      </c>
      <c r="H351" s="145" t="s">
        <v>321</v>
      </c>
      <c r="I351" s="145" t="s">
        <v>951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463</v>
      </c>
      <c r="O351" s="145" t="s">
        <v>339</v>
      </c>
      <c r="P351" s="145" t="s">
        <v>1473</v>
      </c>
      <c r="Q351" s="145" t="s">
        <v>413</v>
      </c>
      <c r="R351" s="145" t="s">
        <v>407</v>
      </c>
      <c r="S351" s="145" t="s">
        <v>1210</v>
      </c>
      <c r="T351" s="146">
        <v>2.58</v>
      </c>
      <c r="U351" s="145" t="s">
        <v>1767</v>
      </c>
      <c r="V351" s="148">
        <v>2.6200000000000001E-2</v>
      </c>
      <c r="W351" s="148">
        <v>5.2260000000000001E-2</v>
      </c>
      <c r="X351" s="145" t="s">
        <v>412</v>
      </c>
      <c r="Y351" s="159"/>
      <c r="Z351" s="146">
        <v>4749.9799999999996</v>
      </c>
      <c r="AA351" s="146">
        <v>1</v>
      </c>
      <c r="AB351" s="146">
        <v>94.28</v>
      </c>
      <c r="AC351" s="151"/>
      <c r="AD351" s="146">
        <v>4.4779999999999998</v>
      </c>
      <c r="AE351" s="151"/>
      <c r="AF351" s="151"/>
      <c r="AG351" s="151"/>
      <c r="AH351" s="148">
        <v>1.0000000000000001E-5</v>
      </c>
      <c r="AI351" s="148">
        <v>3.5599999999999998E-3</v>
      </c>
      <c r="AJ351" s="149">
        <v>4.2999999999999999E-4</v>
      </c>
      <c r="AK351" s="196"/>
    </row>
    <row r="352" spans="1:37" x14ac:dyDescent="0.2">
      <c r="A352" s="144" t="s">
        <v>1217</v>
      </c>
      <c r="B352" s="145" t="s">
        <v>1219</v>
      </c>
      <c r="C352" s="145" t="s">
        <v>1817</v>
      </c>
      <c r="D352" s="145" t="s">
        <v>1818</v>
      </c>
      <c r="E352" s="145" t="s">
        <v>309</v>
      </c>
      <c r="F352" s="145" t="s">
        <v>1819</v>
      </c>
      <c r="G352" s="145" t="s">
        <v>1820</v>
      </c>
      <c r="H352" s="145" t="s">
        <v>321</v>
      </c>
      <c r="I352" s="145" t="s">
        <v>754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464</v>
      </c>
      <c r="O352" s="145" t="s">
        <v>339</v>
      </c>
      <c r="P352" s="145" t="s">
        <v>1392</v>
      </c>
      <c r="Q352" s="145" t="s">
        <v>413</v>
      </c>
      <c r="R352" s="145" t="s">
        <v>407</v>
      </c>
      <c r="S352" s="145" t="s">
        <v>1210</v>
      </c>
      <c r="T352" s="146">
        <v>1.1599999999999999</v>
      </c>
      <c r="U352" s="145" t="s">
        <v>1821</v>
      </c>
      <c r="V352" s="148">
        <v>1.6E-2</v>
      </c>
      <c r="W352" s="148">
        <v>2.937E-2</v>
      </c>
      <c r="X352" s="145" t="s">
        <v>412</v>
      </c>
      <c r="Y352" s="159"/>
      <c r="Z352" s="146">
        <v>3836.38</v>
      </c>
      <c r="AA352" s="146">
        <v>1</v>
      </c>
      <c r="AB352" s="146">
        <v>116.04</v>
      </c>
      <c r="AC352" s="151"/>
      <c r="AD352" s="146">
        <v>4.452</v>
      </c>
      <c r="AE352" s="151"/>
      <c r="AF352" s="151"/>
      <c r="AG352" s="151"/>
      <c r="AH352" s="148">
        <v>1.0000000000000001E-5</v>
      </c>
      <c r="AI352" s="148">
        <v>3.5400000000000002E-3</v>
      </c>
      <c r="AJ352" s="149">
        <v>4.2999999999999999E-4</v>
      </c>
      <c r="AK352" s="196"/>
    </row>
    <row r="353" spans="1:37" x14ac:dyDescent="0.2">
      <c r="A353" s="144" t="s">
        <v>1217</v>
      </c>
      <c r="B353" s="145" t="s">
        <v>1219</v>
      </c>
      <c r="C353" s="145" t="s">
        <v>1454</v>
      </c>
      <c r="D353" s="145" t="s">
        <v>1455</v>
      </c>
      <c r="E353" s="145" t="s">
        <v>309</v>
      </c>
      <c r="F353" s="145" t="s">
        <v>1456</v>
      </c>
      <c r="G353" s="145" t="s">
        <v>1457</v>
      </c>
      <c r="H353" s="145" t="s">
        <v>321</v>
      </c>
      <c r="I353" s="145" t="s">
        <v>754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464</v>
      </c>
      <c r="O353" s="145" t="s">
        <v>339</v>
      </c>
      <c r="P353" s="145" t="s">
        <v>1392</v>
      </c>
      <c r="Q353" s="145" t="s">
        <v>413</v>
      </c>
      <c r="R353" s="145" t="s">
        <v>407</v>
      </c>
      <c r="S353" s="145" t="s">
        <v>1210</v>
      </c>
      <c r="T353" s="146">
        <v>0.27</v>
      </c>
      <c r="U353" s="145" t="s">
        <v>1458</v>
      </c>
      <c r="V353" s="148">
        <v>1.7600000000000001E-2</v>
      </c>
      <c r="W353" s="148">
        <v>2.298E-2</v>
      </c>
      <c r="X353" s="145" t="s">
        <v>412</v>
      </c>
      <c r="Y353" s="159"/>
      <c r="Z353" s="146">
        <v>3540.89</v>
      </c>
      <c r="AA353" s="146">
        <v>1</v>
      </c>
      <c r="AB353" s="146">
        <v>117.72</v>
      </c>
      <c r="AC353" s="151"/>
      <c r="AD353" s="146">
        <v>4.1680000000000001</v>
      </c>
      <c r="AE353" s="151"/>
      <c r="AF353" s="151"/>
      <c r="AG353" s="151"/>
      <c r="AH353" s="148">
        <v>1.0000000000000001E-5</v>
      </c>
      <c r="AI353" s="148">
        <v>3.31E-3</v>
      </c>
      <c r="AJ353" s="149">
        <v>4.0000000000000002E-4</v>
      </c>
      <c r="AK353" s="196"/>
    </row>
    <row r="354" spans="1:37" x14ac:dyDescent="0.2">
      <c r="A354" s="144" t="s">
        <v>1217</v>
      </c>
      <c r="B354" s="145" t="s">
        <v>1219</v>
      </c>
      <c r="C354" s="145" t="s">
        <v>1394</v>
      </c>
      <c r="D354" s="145" t="s">
        <v>1395</v>
      </c>
      <c r="E354" s="145" t="s">
        <v>309</v>
      </c>
      <c r="F354" s="145" t="s">
        <v>1396</v>
      </c>
      <c r="G354" s="145" t="s">
        <v>1397</v>
      </c>
      <c r="H354" s="145" t="s">
        <v>321</v>
      </c>
      <c r="I354" s="145" t="s">
        <v>951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445</v>
      </c>
      <c r="O354" s="145" t="s">
        <v>339</v>
      </c>
      <c r="P354" s="145" t="s">
        <v>1358</v>
      </c>
      <c r="Q354" s="145" t="s">
        <v>415</v>
      </c>
      <c r="R354" s="145" t="s">
        <v>407</v>
      </c>
      <c r="S354" s="145" t="s">
        <v>1210</v>
      </c>
      <c r="T354" s="146">
        <v>3.49</v>
      </c>
      <c r="U354" s="145" t="s">
        <v>1398</v>
      </c>
      <c r="V354" s="148">
        <v>3.95E-2</v>
      </c>
      <c r="W354" s="148">
        <v>4.6510000000000003E-2</v>
      </c>
      <c r="X354" s="145" t="s">
        <v>412</v>
      </c>
      <c r="Y354" s="159"/>
      <c r="Z354" s="146">
        <v>3473</v>
      </c>
      <c r="AA354" s="146">
        <v>1</v>
      </c>
      <c r="AB354" s="146">
        <v>98.76</v>
      </c>
      <c r="AC354" s="151"/>
      <c r="AD354" s="146">
        <v>3.43</v>
      </c>
      <c r="AE354" s="151"/>
      <c r="AF354" s="151"/>
      <c r="AG354" s="151"/>
      <c r="AH354" s="148">
        <v>1.0000000000000001E-5</v>
      </c>
      <c r="AI354" s="148">
        <v>2.7299999999999998E-3</v>
      </c>
      <c r="AJ354" s="149">
        <v>3.3E-4</v>
      </c>
      <c r="AK354" s="196"/>
    </row>
    <row r="355" spans="1:37" x14ac:dyDescent="0.2">
      <c r="A355" s="144" t="s">
        <v>1217</v>
      </c>
      <c r="B355" s="145" t="s">
        <v>1219</v>
      </c>
      <c r="C355" s="145" t="s">
        <v>1394</v>
      </c>
      <c r="D355" s="145" t="s">
        <v>1395</v>
      </c>
      <c r="E355" s="145" t="s">
        <v>309</v>
      </c>
      <c r="F355" s="145" t="s">
        <v>1527</v>
      </c>
      <c r="G355" s="145" t="s">
        <v>1528</v>
      </c>
      <c r="H355" s="145" t="s">
        <v>321</v>
      </c>
      <c r="I355" s="145" t="s">
        <v>951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445</v>
      </c>
      <c r="O355" s="145" t="s">
        <v>339</v>
      </c>
      <c r="P355" s="145" t="s">
        <v>1358</v>
      </c>
      <c r="Q355" s="145" t="s">
        <v>415</v>
      </c>
      <c r="R355" s="145" t="s">
        <v>407</v>
      </c>
      <c r="S355" s="145" t="s">
        <v>1210</v>
      </c>
      <c r="T355" s="146">
        <v>4.33</v>
      </c>
      <c r="U355" s="145" t="s">
        <v>1529</v>
      </c>
      <c r="V355" s="148">
        <v>3.95E-2</v>
      </c>
      <c r="W355" s="148">
        <v>4.8520000000000001E-2</v>
      </c>
      <c r="X355" s="145" t="s">
        <v>412</v>
      </c>
      <c r="Y355" s="159"/>
      <c r="Z355" s="146">
        <v>3227</v>
      </c>
      <c r="AA355" s="146">
        <v>1</v>
      </c>
      <c r="AB355" s="146">
        <v>97.42</v>
      </c>
      <c r="AC355" s="151"/>
      <c r="AD355" s="146">
        <v>3.1440000000000001</v>
      </c>
      <c r="AE355" s="151"/>
      <c r="AF355" s="151"/>
      <c r="AG355" s="151"/>
      <c r="AH355" s="148">
        <v>1.0000000000000001E-5</v>
      </c>
      <c r="AI355" s="148">
        <v>2.5000000000000001E-3</v>
      </c>
      <c r="AJ355" s="149">
        <v>2.9999999999999997E-4</v>
      </c>
      <c r="AK355" s="196"/>
    </row>
    <row r="356" spans="1:37" x14ac:dyDescent="0.2">
      <c r="A356" s="144" t="s">
        <v>1217</v>
      </c>
      <c r="B356" s="145" t="s">
        <v>1219</v>
      </c>
      <c r="C356" s="145" t="s">
        <v>1826</v>
      </c>
      <c r="D356" s="145" t="s">
        <v>1827</v>
      </c>
      <c r="E356" s="145" t="s">
        <v>309</v>
      </c>
      <c r="F356" s="145" t="s">
        <v>1828</v>
      </c>
      <c r="G356" s="145" t="s">
        <v>1829</v>
      </c>
      <c r="H356" s="145" t="s">
        <v>321</v>
      </c>
      <c r="I356" s="145" t="s">
        <v>951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465</v>
      </c>
      <c r="O356" s="145" t="s">
        <v>339</v>
      </c>
      <c r="P356" s="145" t="s">
        <v>1375</v>
      </c>
      <c r="Q356" s="145" t="s">
        <v>415</v>
      </c>
      <c r="R356" s="145" t="s">
        <v>407</v>
      </c>
      <c r="S356" s="145" t="s">
        <v>1210</v>
      </c>
      <c r="T356" s="146">
        <v>2.46</v>
      </c>
      <c r="U356" s="145" t="s">
        <v>1830</v>
      </c>
      <c r="V356" s="148">
        <v>2.8500000000000001E-2</v>
      </c>
      <c r="W356" s="148">
        <v>5.8400000000000001E-2</v>
      </c>
      <c r="X356" s="145" t="s">
        <v>412</v>
      </c>
      <c r="Y356" s="159"/>
      <c r="Z356" s="146">
        <v>2588.25</v>
      </c>
      <c r="AA356" s="146">
        <v>1</v>
      </c>
      <c r="AB356" s="146">
        <v>94.04</v>
      </c>
      <c r="AC356" s="151"/>
      <c r="AD356" s="146">
        <v>2.4340000000000002</v>
      </c>
      <c r="AE356" s="151"/>
      <c r="AF356" s="151"/>
      <c r="AG356" s="151"/>
      <c r="AH356" s="148">
        <v>1.0000000000000001E-5</v>
      </c>
      <c r="AI356" s="148">
        <v>1.9300000000000001E-3</v>
      </c>
      <c r="AJ356" s="149">
        <v>2.3000000000000001E-4</v>
      </c>
      <c r="AK356" s="196"/>
    </row>
    <row r="357" spans="1:37" x14ac:dyDescent="0.2">
      <c r="A357" s="144" t="s">
        <v>1217</v>
      </c>
      <c r="B357" s="145" t="s">
        <v>1219</v>
      </c>
      <c r="C357" s="145" t="s">
        <v>1454</v>
      </c>
      <c r="D357" s="145" t="s">
        <v>1455</v>
      </c>
      <c r="E357" s="145" t="s">
        <v>309</v>
      </c>
      <c r="F357" s="145" t="s">
        <v>1831</v>
      </c>
      <c r="G357" s="145" t="s">
        <v>1832</v>
      </c>
      <c r="H357" s="145" t="s">
        <v>321</v>
      </c>
      <c r="I357" s="145" t="s">
        <v>754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464</v>
      </c>
      <c r="O357" s="145" t="s">
        <v>339</v>
      </c>
      <c r="P357" s="145" t="s">
        <v>1392</v>
      </c>
      <c r="Q357" s="145" t="s">
        <v>413</v>
      </c>
      <c r="R357" s="145" t="s">
        <v>407</v>
      </c>
      <c r="S357" s="145" t="s">
        <v>1210</v>
      </c>
      <c r="T357" s="146">
        <v>0.27</v>
      </c>
      <c r="U357" s="145" t="s">
        <v>1458</v>
      </c>
      <c r="V357" s="148">
        <v>2.3E-2</v>
      </c>
      <c r="W357" s="148">
        <v>2.1239999999999998E-2</v>
      </c>
      <c r="X357" s="145" t="s">
        <v>412</v>
      </c>
      <c r="Y357" s="159"/>
      <c r="Z357" s="146">
        <v>1875.08</v>
      </c>
      <c r="AA357" s="146">
        <v>1</v>
      </c>
      <c r="AB357" s="146">
        <v>118.09</v>
      </c>
      <c r="AC357" s="151"/>
      <c r="AD357" s="146">
        <v>2.214</v>
      </c>
      <c r="AE357" s="151"/>
      <c r="AF357" s="151"/>
      <c r="AG357" s="151"/>
      <c r="AH357" s="148">
        <v>0</v>
      </c>
      <c r="AI357" s="148">
        <v>1.7600000000000001E-3</v>
      </c>
      <c r="AJ357" s="149">
        <v>2.1000000000000001E-4</v>
      </c>
      <c r="AK357" s="196"/>
    </row>
    <row r="358" spans="1:37" x14ac:dyDescent="0.2">
      <c r="A358" s="144" t="s">
        <v>1217</v>
      </c>
      <c r="B358" s="145" t="s">
        <v>1219</v>
      </c>
      <c r="C358" s="145" t="s">
        <v>1459</v>
      </c>
      <c r="D358" s="145" t="s">
        <v>1460</v>
      </c>
      <c r="E358" s="145" t="s">
        <v>309</v>
      </c>
      <c r="F358" s="145" t="s">
        <v>1513</v>
      </c>
      <c r="G358" s="145" t="s">
        <v>1514</v>
      </c>
      <c r="H358" s="145" t="s">
        <v>321</v>
      </c>
      <c r="I358" s="145" t="s">
        <v>754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440</v>
      </c>
      <c r="O358" s="145" t="s">
        <v>339</v>
      </c>
      <c r="P358" s="145" t="s">
        <v>1350</v>
      </c>
      <c r="Q358" s="145" t="s">
        <v>413</v>
      </c>
      <c r="R358" s="145" t="s">
        <v>407</v>
      </c>
      <c r="S358" s="145" t="s">
        <v>1210</v>
      </c>
      <c r="T358" s="146">
        <v>3.08</v>
      </c>
      <c r="U358" s="145" t="s">
        <v>1515</v>
      </c>
      <c r="V358" s="148">
        <v>1.23E-2</v>
      </c>
      <c r="W358" s="148">
        <v>2.758E-2</v>
      </c>
      <c r="X358" s="145" t="s">
        <v>412</v>
      </c>
      <c r="Y358" s="159"/>
      <c r="Z358" s="146">
        <v>1852.86</v>
      </c>
      <c r="AA358" s="146">
        <v>1</v>
      </c>
      <c r="AB358" s="146">
        <v>111.43</v>
      </c>
      <c r="AC358" s="151"/>
      <c r="AD358" s="146">
        <v>2.0649999999999999</v>
      </c>
      <c r="AE358" s="151"/>
      <c r="AF358" s="151"/>
      <c r="AG358" s="151"/>
      <c r="AH358" s="148">
        <v>0</v>
      </c>
      <c r="AI358" s="148">
        <v>1.64E-3</v>
      </c>
      <c r="AJ358" s="149">
        <v>2.0000000000000001E-4</v>
      </c>
      <c r="AK358" s="196"/>
    </row>
    <row r="359" spans="1:37" x14ac:dyDescent="0.2">
      <c r="A359" s="144" t="s">
        <v>1217</v>
      </c>
      <c r="B359" s="145" t="s">
        <v>1219</v>
      </c>
      <c r="C359" s="145" t="s">
        <v>1522</v>
      </c>
      <c r="D359" s="145" t="s">
        <v>1523</v>
      </c>
      <c r="E359" s="145" t="s">
        <v>309</v>
      </c>
      <c r="F359" s="145" t="s">
        <v>1524</v>
      </c>
      <c r="G359" s="145" t="s">
        <v>1525</v>
      </c>
      <c r="H359" s="145" t="s">
        <v>321</v>
      </c>
      <c r="I359" s="145" t="s">
        <v>754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464</v>
      </c>
      <c r="O359" s="145" t="s">
        <v>339</v>
      </c>
      <c r="P359" s="145" t="s">
        <v>1358</v>
      </c>
      <c r="Q359" s="145" t="s">
        <v>415</v>
      </c>
      <c r="R359" s="145" t="s">
        <v>407</v>
      </c>
      <c r="S359" s="145" t="s">
        <v>1210</v>
      </c>
      <c r="T359" s="146">
        <v>2.44</v>
      </c>
      <c r="U359" s="145" t="s">
        <v>1526</v>
      </c>
      <c r="V359" s="148">
        <v>1.9599999999999999E-2</v>
      </c>
      <c r="W359" s="148">
        <v>2.877E-2</v>
      </c>
      <c r="X359" s="145" t="s">
        <v>412</v>
      </c>
      <c r="Y359" s="159"/>
      <c r="Z359" s="146">
        <v>1704</v>
      </c>
      <c r="AA359" s="146">
        <v>1</v>
      </c>
      <c r="AB359" s="146">
        <v>114.79</v>
      </c>
      <c r="AC359" s="151"/>
      <c r="AD359" s="146">
        <v>1.956</v>
      </c>
      <c r="AE359" s="151"/>
      <c r="AF359" s="151"/>
      <c r="AG359" s="151"/>
      <c r="AH359" s="148">
        <v>0</v>
      </c>
      <c r="AI359" s="148">
        <v>1.5499999999999999E-3</v>
      </c>
      <c r="AJ359" s="149">
        <v>1.9000000000000001E-4</v>
      </c>
      <c r="AK359" s="196"/>
    </row>
    <row r="360" spans="1:37" x14ac:dyDescent="0.2">
      <c r="A360" s="144" t="s">
        <v>1217</v>
      </c>
      <c r="B360" s="145" t="s">
        <v>1219</v>
      </c>
      <c r="C360" s="145" t="s">
        <v>1346</v>
      </c>
      <c r="D360" s="145" t="s">
        <v>1347</v>
      </c>
      <c r="E360" s="145" t="s">
        <v>309</v>
      </c>
      <c r="F360" s="145" t="s">
        <v>1385</v>
      </c>
      <c r="G360" s="145" t="s">
        <v>1386</v>
      </c>
      <c r="H360" s="145" t="s">
        <v>321</v>
      </c>
      <c r="I360" s="145" t="s">
        <v>754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445</v>
      </c>
      <c r="O360" s="145" t="s">
        <v>339</v>
      </c>
      <c r="P360" s="145" t="s">
        <v>1350</v>
      </c>
      <c r="Q360" s="145" t="s">
        <v>413</v>
      </c>
      <c r="R360" s="145" t="s">
        <v>407</v>
      </c>
      <c r="S360" s="145" t="s">
        <v>1210</v>
      </c>
      <c r="T360" s="146">
        <v>0.33</v>
      </c>
      <c r="U360" s="145" t="s">
        <v>1387</v>
      </c>
      <c r="V360" s="148">
        <v>2.4799999999999999E-2</v>
      </c>
      <c r="W360" s="148">
        <v>2.597E-2</v>
      </c>
      <c r="X360" s="145" t="s">
        <v>412</v>
      </c>
      <c r="Y360" s="159"/>
      <c r="Z360" s="146">
        <v>1365.61</v>
      </c>
      <c r="AA360" s="146">
        <v>1</v>
      </c>
      <c r="AB360" s="146">
        <v>116.22</v>
      </c>
      <c r="AC360" s="151"/>
      <c r="AD360" s="146">
        <v>1.587</v>
      </c>
      <c r="AE360" s="151"/>
      <c r="AF360" s="151"/>
      <c r="AG360" s="151"/>
      <c r="AH360" s="148">
        <v>0</v>
      </c>
      <c r="AI360" s="148">
        <v>1.2600000000000001E-3</v>
      </c>
      <c r="AJ360" s="149">
        <v>1.4999999999999999E-4</v>
      </c>
      <c r="AK360" s="196"/>
    </row>
    <row r="361" spans="1:37" x14ac:dyDescent="0.2">
      <c r="A361" s="144" t="s">
        <v>1217</v>
      </c>
      <c r="B361" s="145" t="s">
        <v>1219</v>
      </c>
      <c r="C361" s="145" t="s">
        <v>1543</v>
      </c>
      <c r="D361" s="145" t="s">
        <v>1544</v>
      </c>
      <c r="E361" s="145" t="s">
        <v>309</v>
      </c>
      <c r="F361" s="145" t="s">
        <v>1765</v>
      </c>
      <c r="G361" s="145" t="s">
        <v>1766</v>
      </c>
      <c r="H361" s="145" t="s">
        <v>321</v>
      </c>
      <c r="I361" s="145" t="s">
        <v>754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464</v>
      </c>
      <c r="O361" s="145" t="s">
        <v>339</v>
      </c>
      <c r="P361" s="145" t="s">
        <v>1594</v>
      </c>
      <c r="Q361" s="145" t="s">
        <v>415</v>
      </c>
      <c r="R361" s="145" t="s">
        <v>407</v>
      </c>
      <c r="S361" s="145" t="s">
        <v>1210</v>
      </c>
      <c r="T361" s="146">
        <v>2.66</v>
      </c>
      <c r="U361" s="145" t="s">
        <v>1767</v>
      </c>
      <c r="V361" s="148">
        <v>1.34E-2</v>
      </c>
      <c r="W361" s="148">
        <v>2.8080000000000001E-2</v>
      </c>
      <c r="X361" s="145" t="s">
        <v>412</v>
      </c>
      <c r="Y361" s="159"/>
      <c r="Z361" s="146">
        <v>1108.2</v>
      </c>
      <c r="AA361" s="146">
        <v>1</v>
      </c>
      <c r="AB361" s="146">
        <v>113.01</v>
      </c>
      <c r="AC361" s="151"/>
      <c r="AD361" s="146">
        <v>1.252</v>
      </c>
      <c r="AE361" s="151"/>
      <c r="AF361" s="151"/>
      <c r="AG361" s="151"/>
      <c r="AH361" s="148">
        <v>0</v>
      </c>
      <c r="AI361" s="148">
        <v>1E-3</v>
      </c>
      <c r="AJ361" s="149">
        <v>1.2E-4</v>
      </c>
      <c r="AK361" s="196"/>
    </row>
    <row r="362" spans="1:37" x14ac:dyDescent="0.2">
      <c r="A362" s="144" t="s">
        <v>1217</v>
      </c>
      <c r="B362" s="145" t="s">
        <v>1219</v>
      </c>
      <c r="C362" s="145" t="s">
        <v>1836</v>
      </c>
      <c r="D362" s="145" t="s">
        <v>1837</v>
      </c>
      <c r="E362" s="145" t="s">
        <v>309</v>
      </c>
      <c r="F362" s="145" t="s">
        <v>1838</v>
      </c>
      <c r="G362" s="145" t="s">
        <v>1839</v>
      </c>
      <c r="H362" s="145" t="s">
        <v>321</v>
      </c>
      <c r="I362" s="145" t="s">
        <v>951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484</v>
      </c>
      <c r="O362" s="145" t="s">
        <v>339</v>
      </c>
      <c r="P362" s="145" t="s">
        <v>1350</v>
      </c>
      <c r="Q362" s="145" t="s">
        <v>413</v>
      </c>
      <c r="R362" s="145" t="s">
        <v>407</v>
      </c>
      <c r="S362" s="145" t="s">
        <v>1210</v>
      </c>
      <c r="T362" s="146">
        <v>1.58</v>
      </c>
      <c r="U362" s="145" t="s">
        <v>1840</v>
      </c>
      <c r="V362" s="148">
        <v>0.04</v>
      </c>
      <c r="W362" s="148">
        <v>4.931E-2</v>
      </c>
      <c r="X362" s="145" t="s">
        <v>412</v>
      </c>
      <c r="Y362" s="159"/>
      <c r="Z362" s="146">
        <v>1194.9000000000001</v>
      </c>
      <c r="AA362" s="146">
        <v>1</v>
      </c>
      <c r="AB362" s="146">
        <v>101.61</v>
      </c>
      <c r="AC362" s="151"/>
      <c r="AD362" s="146">
        <v>1.214</v>
      </c>
      <c r="AE362" s="151"/>
      <c r="AF362" s="151"/>
      <c r="AG362" s="151"/>
      <c r="AH362" s="148">
        <v>0</v>
      </c>
      <c r="AI362" s="148">
        <v>9.6000000000000002E-4</v>
      </c>
      <c r="AJ362" s="149">
        <v>1.2E-4</v>
      </c>
      <c r="AK362" s="196"/>
    </row>
    <row r="363" spans="1:37" x14ac:dyDescent="0.2">
      <c r="A363" s="144" t="s">
        <v>1217</v>
      </c>
      <c r="B363" s="145" t="s">
        <v>1219</v>
      </c>
      <c r="C363" s="145" t="s">
        <v>1724</v>
      </c>
      <c r="D363" s="145" t="s">
        <v>1725</v>
      </c>
      <c r="E363" s="145" t="s">
        <v>309</v>
      </c>
      <c r="F363" s="145" t="s">
        <v>1841</v>
      </c>
      <c r="G363" s="145" t="s">
        <v>1842</v>
      </c>
      <c r="H363" s="145" t="s">
        <v>321</v>
      </c>
      <c r="I363" s="145" t="s">
        <v>754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464</v>
      </c>
      <c r="O363" s="145" t="s">
        <v>339</v>
      </c>
      <c r="P363" s="145" t="s">
        <v>1392</v>
      </c>
      <c r="Q363" s="145" t="s">
        <v>413</v>
      </c>
      <c r="R363" s="145" t="s">
        <v>407</v>
      </c>
      <c r="S363" s="145" t="s">
        <v>1210</v>
      </c>
      <c r="T363" s="146">
        <v>1.41</v>
      </c>
      <c r="U363" s="145" t="s">
        <v>1509</v>
      </c>
      <c r="V363" s="148">
        <v>2.4E-2</v>
      </c>
      <c r="W363" s="148">
        <v>2.5989999999999999E-2</v>
      </c>
      <c r="X363" s="145" t="s">
        <v>412</v>
      </c>
      <c r="Y363" s="159"/>
      <c r="Z363" s="146">
        <v>1008.3</v>
      </c>
      <c r="AA363" s="146">
        <v>1</v>
      </c>
      <c r="AB363" s="146">
        <v>115.95</v>
      </c>
      <c r="AC363" s="151"/>
      <c r="AD363" s="146">
        <v>1.169</v>
      </c>
      <c r="AE363" s="151"/>
      <c r="AF363" s="151"/>
      <c r="AG363" s="151"/>
      <c r="AH363" s="148">
        <v>0</v>
      </c>
      <c r="AI363" s="148">
        <v>9.3000000000000005E-4</v>
      </c>
      <c r="AJ363" s="149">
        <v>1.1E-4</v>
      </c>
      <c r="AK363" s="196"/>
    </row>
    <row r="364" spans="1:37" x14ac:dyDescent="0.2">
      <c r="A364" s="144" t="s">
        <v>1217</v>
      </c>
      <c r="B364" s="145" t="s">
        <v>1219</v>
      </c>
      <c r="C364" s="145" t="s">
        <v>1843</v>
      </c>
      <c r="D364" s="145" t="s">
        <v>1844</v>
      </c>
      <c r="E364" s="145" t="s">
        <v>309</v>
      </c>
      <c r="F364" s="145" t="s">
        <v>1845</v>
      </c>
      <c r="G364" s="145" t="s">
        <v>1846</v>
      </c>
      <c r="H364" s="145" t="s">
        <v>321</v>
      </c>
      <c r="I364" s="145" t="s">
        <v>951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445</v>
      </c>
      <c r="O364" s="145" t="s">
        <v>339</v>
      </c>
      <c r="P364" s="145" t="s">
        <v>1520</v>
      </c>
      <c r="Q364" s="145" t="s">
        <v>415</v>
      </c>
      <c r="R364" s="145" t="s">
        <v>407</v>
      </c>
      <c r="S364" s="145" t="s">
        <v>1210</v>
      </c>
      <c r="T364" s="146">
        <v>0.62</v>
      </c>
      <c r="U364" s="145" t="s">
        <v>1847</v>
      </c>
      <c r="V364" s="148">
        <v>3.27E-2</v>
      </c>
      <c r="W364" s="148">
        <v>5.4519999999999999E-2</v>
      </c>
      <c r="X364" s="145" t="s">
        <v>412</v>
      </c>
      <c r="Y364" s="159"/>
      <c r="Z364" s="146">
        <v>921</v>
      </c>
      <c r="AA364" s="146">
        <v>1</v>
      </c>
      <c r="AB364" s="146">
        <v>99.93</v>
      </c>
      <c r="AC364" s="151"/>
      <c r="AD364" s="146">
        <v>0.92</v>
      </c>
      <c r="AE364" s="151"/>
      <c r="AF364" s="151"/>
      <c r="AG364" s="151"/>
      <c r="AH364" s="148">
        <v>0</v>
      </c>
      <c r="AI364" s="148">
        <v>7.2999999999999996E-4</v>
      </c>
      <c r="AJ364" s="149">
        <v>9.0000000000000006E-5</v>
      </c>
      <c r="AK364" s="196"/>
    </row>
    <row r="365" spans="1:37" x14ac:dyDescent="0.2">
      <c r="A365" s="144" t="s">
        <v>1217</v>
      </c>
      <c r="B365" s="145" t="s">
        <v>1219</v>
      </c>
      <c r="C365" s="145" t="s">
        <v>1454</v>
      </c>
      <c r="D365" s="145" t="s">
        <v>1455</v>
      </c>
      <c r="E365" s="145" t="s">
        <v>309</v>
      </c>
      <c r="F365" s="145" t="s">
        <v>1672</v>
      </c>
      <c r="G365" s="145" t="s">
        <v>1673</v>
      </c>
      <c r="H365" s="145" t="s">
        <v>321</v>
      </c>
      <c r="I365" s="145" t="s">
        <v>754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464</v>
      </c>
      <c r="O365" s="145" t="s">
        <v>339</v>
      </c>
      <c r="P365" s="145" t="s">
        <v>1392</v>
      </c>
      <c r="Q365" s="145" t="s">
        <v>413</v>
      </c>
      <c r="R365" s="145" t="s">
        <v>407</v>
      </c>
      <c r="S365" s="145" t="s">
        <v>1210</v>
      </c>
      <c r="T365" s="146">
        <v>3.49</v>
      </c>
      <c r="U365" s="145" t="s">
        <v>1674</v>
      </c>
      <c r="V365" s="148">
        <v>2.2499999999999999E-2</v>
      </c>
      <c r="W365" s="148">
        <v>2.9409999999999999E-2</v>
      </c>
      <c r="X365" s="145" t="s">
        <v>412</v>
      </c>
      <c r="Y365" s="159"/>
      <c r="Z365" s="146">
        <v>658.61</v>
      </c>
      <c r="AA365" s="146">
        <v>1</v>
      </c>
      <c r="AB365" s="146">
        <v>115.02</v>
      </c>
      <c r="AC365" s="151"/>
      <c r="AD365" s="146">
        <v>0.75800000000000001</v>
      </c>
      <c r="AE365" s="151"/>
      <c r="AF365" s="151"/>
      <c r="AG365" s="151"/>
      <c r="AH365" s="148">
        <v>0</v>
      </c>
      <c r="AI365" s="148">
        <v>5.9999999999999995E-4</v>
      </c>
      <c r="AJ365" s="149">
        <v>6.9999999999999994E-5</v>
      </c>
      <c r="AK365" s="196"/>
    </row>
    <row r="366" spans="1:37" x14ac:dyDescent="0.2">
      <c r="A366" s="144" t="s">
        <v>1217</v>
      </c>
      <c r="B366" s="145" t="s">
        <v>1219</v>
      </c>
      <c r="C366" s="145" t="s">
        <v>1388</v>
      </c>
      <c r="D366" s="145" t="s">
        <v>1389</v>
      </c>
      <c r="E366" s="145" t="s">
        <v>309</v>
      </c>
      <c r="F366" s="145" t="s">
        <v>1530</v>
      </c>
      <c r="G366" s="145" t="s">
        <v>1531</v>
      </c>
      <c r="H366" s="145" t="s">
        <v>321</v>
      </c>
      <c r="I366" s="145" t="s">
        <v>951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464</v>
      </c>
      <c r="O366" s="145" t="s">
        <v>339</v>
      </c>
      <c r="P366" s="145" t="s">
        <v>1392</v>
      </c>
      <c r="Q366" s="145" t="s">
        <v>413</v>
      </c>
      <c r="R366" s="145" t="s">
        <v>407</v>
      </c>
      <c r="S366" s="145" t="s">
        <v>1210</v>
      </c>
      <c r="T366" s="146">
        <v>4.76</v>
      </c>
      <c r="U366" s="145" t="s">
        <v>1532</v>
      </c>
      <c r="V366" s="148">
        <v>2.5499999999999998E-2</v>
      </c>
      <c r="W366" s="148">
        <v>5.2699999999999997E-2</v>
      </c>
      <c r="X366" s="145" t="s">
        <v>412</v>
      </c>
      <c r="Y366" s="159"/>
      <c r="Z366" s="146">
        <v>753.35</v>
      </c>
      <c r="AA366" s="146">
        <v>1</v>
      </c>
      <c r="AB366" s="146">
        <v>88.7</v>
      </c>
      <c r="AC366" s="151"/>
      <c r="AD366" s="146">
        <v>0.66800000000000004</v>
      </c>
      <c r="AE366" s="151"/>
      <c r="AF366" s="151"/>
      <c r="AG366" s="151"/>
      <c r="AH366" s="148">
        <v>0</v>
      </c>
      <c r="AI366" s="148">
        <v>5.2999999999999998E-4</v>
      </c>
      <c r="AJ366" s="149">
        <v>6.0000000000000002E-5</v>
      </c>
      <c r="AK366" s="196"/>
    </row>
    <row r="367" spans="1:37" x14ac:dyDescent="0.2">
      <c r="A367" s="144" t="s">
        <v>1217</v>
      </c>
      <c r="B367" s="145" t="s">
        <v>1219</v>
      </c>
      <c r="C367" s="145" t="s">
        <v>1581</v>
      </c>
      <c r="D367" s="145" t="s">
        <v>1582</v>
      </c>
      <c r="E367" s="145" t="s">
        <v>309</v>
      </c>
      <c r="F367" s="145" t="s">
        <v>1848</v>
      </c>
      <c r="G367" s="145" t="s">
        <v>1849</v>
      </c>
      <c r="H367" s="145" t="s">
        <v>321</v>
      </c>
      <c r="I367" s="145" t="s">
        <v>754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464</v>
      </c>
      <c r="O367" s="145" t="s">
        <v>339</v>
      </c>
      <c r="P367" s="145" t="s">
        <v>1350</v>
      </c>
      <c r="Q367" s="145" t="s">
        <v>413</v>
      </c>
      <c r="R367" s="145" t="s">
        <v>407</v>
      </c>
      <c r="S367" s="145" t="s">
        <v>1210</v>
      </c>
      <c r="T367" s="146">
        <v>0.11</v>
      </c>
      <c r="U367" s="145" t="s">
        <v>1850</v>
      </c>
      <c r="V367" s="148">
        <v>2.5000000000000001E-2</v>
      </c>
      <c r="W367" s="148">
        <v>3.7620000000000001E-2</v>
      </c>
      <c r="X367" s="145" t="s">
        <v>412</v>
      </c>
      <c r="Y367" s="159"/>
      <c r="Z367" s="146">
        <v>0.65</v>
      </c>
      <c r="AA367" s="146">
        <v>1</v>
      </c>
      <c r="AB367" s="146">
        <v>116.75</v>
      </c>
      <c r="AC367" s="151"/>
      <c r="AD367" s="146">
        <v>1E-3</v>
      </c>
      <c r="AE367" s="151"/>
      <c r="AF367" s="151"/>
      <c r="AG367" s="151"/>
      <c r="AH367" s="148">
        <v>0</v>
      </c>
      <c r="AI367" s="148">
        <v>0</v>
      </c>
      <c r="AJ367" s="149">
        <v>0</v>
      </c>
      <c r="AK367" s="196"/>
    </row>
    <row r="368" spans="1:37" x14ac:dyDescent="0.2">
      <c r="A368" s="144" t="s">
        <v>1217</v>
      </c>
      <c r="B368" s="145" t="s">
        <v>1217</v>
      </c>
      <c r="C368" s="145" t="s">
        <v>1335</v>
      </c>
      <c r="D368" s="145" t="s">
        <v>1336</v>
      </c>
      <c r="E368" s="145" t="s">
        <v>309</v>
      </c>
      <c r="F368" s="145" t="s">
        <v>1368</v>
      </c>
      <c r="G368" s="145" t="s">
        <v>1369</v>
      </c>
      <c r="H368" s="145" t="s">
        <v>321</v>
      </c>
      <c r="I368" s="145" t="s">
        <v>754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448</v>
      </c>
      <c r="O368" s="145" t="s">
        <v>339</v>
      </c>
      <c r="P368" s="145" t="s">
        <v>1330</v>
      </c>
      <c r="Q368" s="145" t="s">
        <v>413</v>
      </c>
      <c r="R368" s="145" t="s">
        <v>407</v>
      </c>
      <c r="S368" s="145" t="s">
        <v>1210</v>
      </c>
      <c r="T368" s="146">
        <v>4.5999999999999996</v>
      </c>
      <c r="U368" s="145" t="s">
        <v>1370</v>
      </c>
      <c r="V368" s="148">
        <v>2.0199999999999999E-2</v>
      </c>
      <c r="W368" s="148">
        <v>2.5819999999999999E-2</v>
      </c>
      <c r="X368" s="145" t="s">
        <v>412</v>
      </c>
      <c r="Y368" s="159"/>
      <c r="Z368" s="146">
        <v>112000000</v>
      </c>
      <c r="AA368" s="146">
        <v>1</v>
      </c>
      <c r="AB368" s="146">
        <v>101.85</v>
      </c>
      <c r="AC368" s="151"/>
      <c r="AD368" s="146">
        <v>114072</v>
      </c>
      <c r="AE368" s="151"/>
      <c r="AF368" s="151"/>
      <c r="AG368" s="151"/>
      <c r="AH368" s="148">
        <v>3.1390000000000001E-2</v>
      </c>
      <c r="AI368" s="148">
        <v>3.56E-2</v>
      </c>
      <c r="AJ368" s="149">
        <v>4.6899999999999997E-3</v>
      </c>
      <c r="AK368" s="196"/>
    </row>
    <row r="369" spans="1:37" x14ac:dyDescent="0.2">
      <c r="A369" s="144" t="s">
        <v>1217</v>
      </c>
      <c r="B369" s="145" t="s">
        <v>1217</v>
      </c>
      <c r="C369" s="145" t="s">
        <v>1628</v>
      </c>
      <c r="D369" s="145" t="s">
        <v>1629</v>
      </c>
      <c r="E369" s="145" t="s">
        <v>309</v>
      </c>
      <c r="F369" s="145" t="s">
        <v>1630</v>
      </c>
      <c r="G369" s="145" t="s">
        <v>1631</v>
      </c>
      <c r="H369" s="145" t="s">
        <v>321</v>
      </c>
      <c r="I369" s="145" t="s">
        <v>754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448</v>
      </c>
      <c r="O369" s="145" t="s">
        <v>339</v>
      </c>
      <c r="P369" s="145" t="s">
        <v>1330</v>
      </c>
      <c r="Q369" s="145" t="s">
        <v>413</v>
      </c>
      <c r="R369" s="145" t="s">
        <v>407</v>
      </c>
      <c r="S369" s="145" t="s">
        <v>1210</v>
      </c>
      <c r="T369" s="146">
        <v>5.15</v>
      </c>
      <c r="U369" s="145" t="s">
        <v>1632</v>
      </c>
      <c r="V369" s="148">
        <v>2.1090000000000001E-2</v>
      </c>
      <c r="W369" s="148">
        <v>2.6089999999999999E-2</v>
      </c>
      <c r="X369" s="145" t="s">
        <v>412</v>
      </c>
      <c r="Y369" s="159"/>
      <c r="Z369" s="146">
        <v>102466000</v>
      </c>
      <c r="AA369" s="146">
        <v>1</v>
      </c>
      <c r="AB369" s="146">
        <v>101.3</v>
      </c>
      <c r="AC369" s="151"/>
      <c r="AD369" s="146">
        <v>103798.058</v>
      </c>
      <c r="AE369" s="151"/>
      <c r="AF369" s="151"/>
      <c r="AG369" s="151"/>
      <c r="AH369" s="148">
        <v>3.9390000000000001E-2</v>
      </c>
      <c r="AI369" s="148">
        <v>3.2399999999999998E-2</v>
      </c>
      <c r="AJ369" s="149">
        <v>4.2700000000000004E-3</v>
      </c>
      <c r="AK369" s="196"/>
    </row>
    <row r="370" spans="1:37" x14ac:dyDescent="0.2">
      <c r="A370" s="144" t="s">
        <v>1217</v>
      </c>
      <c r="B370" s="145" t="s">
        <v>1217</v>
      </c>
      <c r="C370" s="145" t="s">
        <v>1318</v>
      </c>
      <c r="D370" s="145" t="s">
        <v>1319</v>
      </c>
      <c r="E370" s="145" t="s">
        <v>313</v>
      </c>
      <c r="F370" s="145" t="s">
        <v>1320</v>
      </c>
      <c r="G370" s="145" t="s">
        <v>1321</v>
      </c>
      <c r="H370" s="145" t="s">
        <v>321</v>
      </c>
      <c r="I370" s="145" t="s">
        <v>754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440</v>
      </c>
      <c r="O370" s="145" t="s">
        <v>339</v>
      </c>
      <c r="P370" s="145" t="s">
        <v>1209</v>
      </c>
      <c r="Q370" s="145" t="s">
        <v>415</v>
      </c>
      <c r="R370" s="145" t="s">
        <v>407</v>
      </c>
      <c r="S370" s="145" t="s">
        <v>1210</v>
      </c>
      <c r="T370" s="146">
        <v>10.119999999999999</v>
      </c>
      <c r="U370" s="145" t="s">
        <v>1322</v>
      </c>
      <c r="V370" s="148">
        <v>3.2000000000000001E-2</v>
      </c>
      <c r="W370" s="148">
        <v>3.1019999999999999E-2</v>
      </c>
      <c r="X370" s="145" t="s">
        <v>412</v>
      </c>
      <c r="Y370" s="159"/>
      <c r="Z370" s="146">
        <v>86895761</v>
      </c>
      <c r="AA370" s="146">
        <v>1</v>
      </c>
      <c r="AB370" s="146">
        <v>107.1</v>
      </c>
      <c r="AC370" s="151"/>
      <c r="AD370" s="146">
        <v>93065.36</v>
      </c>
      <c r="AE370" s="151"/>
      <c r="AF370" s="151"/>
      <c r="AG370" s="151"/>
      <c r="AH370" s="148">
        <v>1.7649999999999999E-2</v>
      </c>
      <c r="AI370" s="148">
        <v>2.9049999999999999E-2</v>
      </c>
      <c r="AJ370" s="149">
        <v>3.8300000000000001E-3</v>
      </c>
      <c r="AK370" s="196"/>
    </row>
    <row r="371" spans="1:37" x14ac:dyDescent="0.2">
      <c r="A371" s="144" t="s">
        <v>1217</v>
      </c>
      <c r="B371" s="145" t="s">
        <v>1217</v>
      </c>
      <c r="C371" s="145" t="s">
        <v>1318</v>
      </c>
      <c r="D371" s="145" t="s">
        <v>1319</v>
      </c>
      <c r="E371" s="145" t="s">
        <v>313</v>
      </c>
      <c r="F371" s="145" t="s">
        <v>1323</v>
      </c>
      <c r="G371" s="145" t="s">
        <v>1324</v>
      </c>
      <c r="H371" s="145" t="s">
        <v>321</v>
      </c>
      <c r="I371" s="145" t="s">
        <v>754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440</v>
      </c>
      <c r="O371" s="145" t="s">
        <v>339</v>
      </c>
      <c r="P371" s="145" t="s">
        <v>1209</v>
      </c>
      <c r="Q371" s="145" t="s">
        <v>415</v>
      </c>
      <c r="R371" s="145" t="s">
        <v>407</v>
      </c>
      <c r="S371" s="145" t="s">
        <v>1210</v>
      </c>
      <c r="T371" s="146">
        <v>7.27</v>
      </c>
      <c r="U371" s="145" t="s">
        <v>1325</v>
      </c>
      <c r="V371" s="148">
        <v>0.03</v>
      </c>
      <c r="W371" s="148">
        <v>2.9510000000000002E-2</v>
      </c>
      <c r="X371" s="145" t="s">
        <v>412</v>
      </c>
      <c r="Y371" s="159"/>
      <c r="Z371" s="146">
        <v>85820000</v>
      </c>
      <c r="AA371" s="146">
        <v>1</v>
      </c>
      <c r="AB371" s="146">
        <v>106.29</v>
      </c>
      <c r="AC371" s="151"/>
      <c r="AD371" s="146">
        <v>91218.077999999994</v>
      </c>
      <c r="AE371" s="151"/>
      <c r="AF371" s="151"/>
      <c r="AG371" s="151"/>
      <c r="AH371" s="148">
        <v>2.104E-2</v>
      </c>
      <c r="AI371" s="148">
        <v>2.8469999999999999E-2</v>
      </c>
      <c r="AJ371" s="149">
        <v>3.7499999999999999E-3</v>
      </c>
      <c r="AK371" s="196"/>
    </row>
    <row r="372" spans="1:37" x14ac:dyDescent="0.2">
      <c r="A372" s="144" t="s">
        <v>1217</v>
      </c>
      <c r="B372" s="145" t="s">
        <v>1217</v>
      </c>
      <c r="C372" s="145" t="s">
        <v>1326</v>
      </c>
      <c r="D372" s="145" t="s">
        <v>1327</v>
      </c>
      <c r="E372" s="145" t="s">
        <v>309</v>
      </c>
      <c r="F372" s="145" t="s">
        <v>1332</v>
      </c>
      <c r="G372" s="145" t="s">
        <v>1333</v>
      </c>
      <c r="H372" s="145" t="s">
        <v>321</v>
      </c>
      <c r="I372" s="145" t="s">
        <v>754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448</v>
      </c>
      <c r="O372" s="145" t="s">
        <v>339</v>
      </c>
      <c r="P372" s="145" t="s">
        <v>1330</v>
      </c>
      <c r="Q372" s="145" t="s">
        <v>413</v>
      </c>
      <c r="R372" s="145" t="s">
        <v>407</v>
      </c>
      <c r="S372" s="145" t="s">
        <v>1210</v>
      </c>
      <c r="T372" s="146">
        <v>5.22</v>
      </c>
      <c r="U372" s="145" t="s">
        <v>1334</v>
      </c>
      <c r="V372" s="148">
        <v>2E-3</v>
      </c>
      <c r="W372" s="148">
        <v>2.606E-2</v>
      </c>
      <c r="X372" s="145" t="s">
        <v>412</v>
      </c>
      <c r="Y372" s="159"/>
      <c r="Z372" s="146">
        <v>81253066</v>
      </c>
      <c r="AA372" s="146">
        <v>1</v>
      </c>
      <c r="AB372" s="146">
        <v>102.35</v>
      </c>
      <c r="AC372" s="151"/>
      <c r="AD372" s="146">
        <v>83162.513000000006</v>
      </c>
      <c r="AE372" s="151"/>
      <c r="AF372" s="151"/>
      <c r="AG372" s="151"/>
      <c r="AH372" s="148">
        <v>2.349E-2</v>
      </c>
      <c r="AI372" s="148">
        <v>2.596E-2</v>
      </c>
      <c r="AJ372" s="149">
        <v>3.4199999999999999E-3</v>
      </c>
      <c r="AK372" s="196"/>
    </row>
    <row r="373" spans="1:37" x14ac:dyDescent="0.2">
      <c r="A373" s="144" t="s">
        <v>1217</v>
      </c>
      <c r="B373" s="145" t="s">
        <v>1217</v>
      </c>
      <c r="C373" s="145" t="s">
        <v>1335</v>
      </c>
      <c r="D373" s="145" t="s">
        <v>1336</v>
      </c>
      <c r="E373" s="145" t="s">
        <v>309</v>
      </c>
      <c r="F373" s="145" t="s">
        <v>1337</v>
      </c>
      <c r="G373" s="145" t="s">
        <v>1338</v>
      </c>
      <c r="H373" s="145" t="s">
        <v>321</v>
      </c>
      <c r="I373" s="145" t="s">
        <v>754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448</v>
      </c>
      <c r="O373" s="145" t="s">
        <v>339</v>
      </c>
      <c r="P373" s="145" t="s">
        <v>1330</v>
      </c>
      <c r="Q373" s="145" t="s">
        <v>413</v>
      </c>
      <c r="R373" s="145" t="s">
        <v>407</v>
      </c>
      <c r="S373" s="145" t="s">
        <v>1210</v>
      </c>
      <c r="T373" s="146">
        <v>4.6399999999999997</v>
      </c>
      <c r="U373" s="145" t="s">
        <v>1339</v>
      </c>
      <c r="V373" s="148">
        <v>1E-3</v>
      </c>
      <c r="W373" s="148">
        <v>2.571E-2</v>
      </c>
      <c r="X373" s="145" t="s">
        <v>412</v>
      </c>
      <c r="Y373" s="159"/>
      <c r="Z373" s="146">
        <v>72960232</v>
      </c>
      <c r="AA373" s="146">
        <v>1</v>
      </c>
      <c r="AB373" s="146">
        <v>100.7</v>
      </c>
      <c r="AC373" s="151"/>
      <c r="AD373" s="146">
        <v>73470.953999999998</v>
      </c>
      <c r="AE373" s="151"/>
      <c r="AF373" s="151"/>
      <c r="AG373" s="151"/>
      <c r="AH373" s="148">
        <v>2.9340000000000001E-2</v>
      </c>
      <c r="AI373" s="148">
        <v>2.2929999999999999E-2</v>
      </c>
      <c r="AJ373" s="149">
        <v>3.0200000000000001E-3</v>
      </c>
      <c r="AK373" s="196"/>
    </row>
    <row r="374" spans="1:37" x14ac:dyDescent="0.2">
      <c r="A374" s="144" t="s">
        <v>1217</v>
      </c>
      <c r="B374" s="145" t="s">
        <v>1217</v>
      </c>
      <c r="C374" s="145" t="s">
        <v>1326</v>
      </c>
      <c r="D374" s="145" t="s">
        <v>1327</v>
      </c>
      <c r="E374" s="145" t="s">
        <v>309</v>
      </c>
      <c r="F374" s="145" t="s">
        <v>1340</v>
      </c>
      <c r="G374" s="145" t="s">
        <v>1341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448</v>
      </c>
      <c r="O374" s="145" t="s">
        <v>339</v>
      </c>
      <c r="P374" s="145" t="s">
        <v>1330</v>
      </c>
      <c r="Q374" s="145" t="s">
        <v>413</v>
      </c>
      <c r="R374" s="145" t="s">
        <v>407</v>
      </c>
      <c r="S374" s="145" t="s">
        <v>1210</v>
      </c>
      <c r="T374" s="146">
        <v>2.46</v>
      </c>
      <c r="U374" s="145" t="s">
        <v>1342</v>
      </c>
      <c r="V374" s="148">
        <v>1.2200000000000001E-2</v>
      </c>
      <c r="W374" s="148">
        <v>2.4389999999999998E-2</v>
      </c>
      <c r="X374" s="145" t="s">
        <v>412</v>
      </c>
      <c r="Y374" s="159"/>
      <c r="Z374" s="146">
        <v>61718764</v>
      </c>
      <c r="AA374" s="146">
        <v>1</v>
      </c>
      <c r="AB374" s="146">
        <v>114.03</v>
      </c>
      <c r="AC374" s="151"/>
      <c r="AD374" s="146">
        <v>70377.907000000007</v>
      </c>
      <c r="AE374" s="151"/>
      <c r="AF374" s="151"/>
      <c r="AG374" s="151"/>
      <c r="AH374" s="148">
        <v>2.0469999999999999E-2</v>
      </c>
      <c r="AI374" s="148">
        <v>2.197E-2</v>
      </c>
      <c r="AJ374" s="149">
        <v>2.8999999999999998E-3</v>
      </c>
      <c r="AK374" s="196"/>
    </row>
    <row r="375" spans="1:37" x14ac:dyDescent="0.2">
      <c r="A375" s="144" t="s">
        <v>1217</v>
      </c>
      <c r="B375" s="145" t="s">
        <v>1217</v>
      </c>
      <c r="C375" s="145" t="s">
        <v>1346</v>
      </c>
      <c r="D375" s="145" t="s">
        <v>1347</v>
      </c>
      <c r="E375" s="145" t="s">
        <v>309</v>
      </c>
      <c r="F375" s="145" t="s">
        <v>1348</v>
      </c>
      <c r="G375" s="145" t="s">
        <v>1349</v>
      </c>
      <c r="H375" s="145" t="s">
        <v>321</v>
      </c>
      <c r="I375" s="145" t="s">
        <v>951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445</v>
      </c>
      <c r="O375" s="145" t="s">
        <v>339</v>
      </c>
      <c r="P375" s="145" t="s">
        <v>1350</v>
      </c>
      <c r="Q375" s="145" t="s">
        <v>413</v>
      </c>
      <c r="R375" s="145" t="s">
        <v>407</v>
      </c>
      <c r="S375" s="145" t="s">
        <v>1210</v>
      </c>
      <c r="T375" s="146">
        <v>4.7</v>
      </c>
      <c r="U375" s="145" t="s">
        <v>1263</v>
      </c>
      <c r="V375" s="148">
        <v>2.64E-2</v>
      </c>
      <c r="W375" s="148">
        <v>5.0160000000000003E-2</v>
      </c>
      <c r="X375" s="145" t="s">
        <v>412</v>
      </c>
      <c r="Y375" s="159"/>
      <c r="Z375" s="146">
        <v>68017219.430000007</v>
      </c>
      <c r="AA375" s="146">
        <v>1</v>
      </c>
      <c r="AB375" s="146">
        <v>89.86</v>
      </c>
      <c r="AC375" s="151"/>
      <c r="AD375" s="146">
        <v>61120.273000000001</v>
      </c>
      <c r="AE375" s="151"/>
      <c r="AF375" s="151"/>
      <c r="AG375" s="151"/>
      <c r="AH375" s="148">
        <v>4.1570000000000003E-2</v>
      </c>
      <c r="AI375" s="148">
        <v>1.908E-2</v>
      </c>
      <c r="AJ375" s="149">
        <v>2.5100000000000001E-3</v>
      </c>
      <c r="AK375" s="196"/>
    </row>
    <row r="376" spans="1:37" x14ac:dyDescent="0.2">
      <c r="A376" s="144" t="s">
        <v>1217</v>
      </c>
      <c r="B376" s="145" t="s">
        <v>1217</v>
      </c>
      <c r="C376" s="145" t="s">
        <v>1346</v>
      </c>
      <c r="D376" s="145" t="s">
        <v>1347</v>
      </c>
      <c r="E376" s="145" t="s">
        <v>309</v>
      </c>
      <c r="F376" s="145" t="s">
        <v>1360</v>
      </c>
      <c r="G376" s="145" t="s">
        <v>1361</v>
      </c>
      <c r="H376" s="145" t="s">
        <v>321</v>
      </c>
      <c r="I376" s="145" t="s">
        <v>754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445</v>
      </c>
      <c r="O376" s="145" t="s">
        <v>339</v>
      </c>
      <c r="P376" s="145" t="s">
        <v>1350</v>
      </c>
      <c r="Q376" s="145" t="s">
        <v>413</v>
      </c>
      <c r="R376" s="145" t="s">
        <v>407</v>
      </c>
      <c r="S376" s="145" t="s">
        <v>1210</v>
      </c>
      <c r="T376" s="146">
        <v>6.41</v>
      </c>
      <c r="U376" s="145" t="s">
        <v>1362</v>
      </c>
      <c r="V376" s="148">
        <v>2.5000000000000001E-2</v>
      </c>
      <c r="W376" s="148">
        <v>5.2859999999999997E-2</v>
      </c>
      <c r="X376" s="145" t="s">
        <v>412</v>
      </c>
      <c r="Y376" s="159"/>
      <c r="Z376" s="146">
        <v>70186560</v>
      </c>
      <c r="AA376" s="146">
        <v>1</v>
      </c>
      <c r="AB376" s="146">
        <v>84.22</v>
      </c>
      <c r="AC376" s="151"/>
      <c r="AD376" s="146">
        <v>59111.120999999999</v>
      </c>
      <c r="AE376" s="151"/>
      <c r="AF376" s="151"/>
      <c r="AG376" s="151"/>
      <c r="AH376" s="148">
        <v>5.2630000000000003E-2</v>
      </c>
      <c r="AI376" s="148">
        <v>1.8450000000000001E-2</v>
      </c>
      <c r="AJ376" s="149">
        <v>2.4299999999999999E-3</v>
      </c>
      <c r="AK376" s="196"/>
    </row>
    <row r="377" spans="1:37" x14ac:dyDescent="0.2">
      <c r="A377" s="144" t="s">
        <v>1217</v>
      </c>
      <c r="B377" s="145" t="s">
        <v>1217</v>
      </c>
      <c r="C377" s="145" t="s">
        <v>1475</v>
      </c>
      <c r="D377" s="145" t="s">
        <v>1476</v>
      </c>
      <c r="E377" s="145" t="s">
        <v>309</v>
      </c>
      <c r="F377" s="145" t="s">
        <v>1633</v>
      </c>
      <c r="G377" s="145" t="s">
        <v>1634</v>
      </c>
      <c r="H377" s="145" t="s">
        <v>321</v>
      </c>
      <c r="I377" s="145" t="s">
        <v>951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484</v>
      </c>
      <c r="O377" s="145" t="s">
        <v>339</v>
      </c>
      <c r="P377" s="145" t="s">
        <v>1406</v>
      </c>
      <c r="Q377" s="145" t="s">
        <v>415</v>
      </c>
      <c r="R377" s="145" t="s">
        <v>407</v>
      </c>
      <c r="S377" s="145" t="s">
        <v>1210</v>
      </c>
      <c r="T377" s="146">
        <v>7.52</v>
      </c>
      <c r="U377" s="145" t="s">
        <v>1635</v>
      </c>
      <c r="V377" s="148">
        <v>2.7900000000000001E-2</v>
      </c>
      <c r="W377" s="148">
        <v>5.1869999999999999E-2</v>
      </c>
      <c r="X377" s="145" t="s">
        <v>412</v>
      </c>
      <c r="Y377" s="159"/>
      <c r="Z377" s="146">
        <v>69600000</v>
      </c>
      <c r="AA377" s="146">
        <v>1</v>
      </c>
      <c r="AB377" s="146">
        <v>84.82</v>
      </c>
      <c r="AC377" s="151"/>
      <c r="AD377" s="146">
        <v>59034.720000000001</v>
      </c>
      <c r="AE377" s="151"/>
      <c r="AF377" s="151"/>
      <c r="AG377" s="151"/>
      <c r="AH377" s="148">
        <v>4.9610000000000001E-2</v>
      </c>
      <c r="AI377" s="148">
        <v>1.8429999999999998E-2</v>
      </c>
      <c r="AJ377" s="149">
        <v>2.4299999999999999E-3</v>
      </c>
      <c r="AK377" s="196"/>
    </row>
    <row r="378" spans="1:37" x14ac:dyDescent="0.2">
      <c r="A378" s="144" t="s">
        <v>1217</v>
      </c>
      <c r="B378" s="145" t="s">
        <v>1217</v>
      </c>
      <c r="C378" s="145" t="s">
        <v>1581</v>
      </c>
      <c r="D378" s="145" t="s">
        <v>1582</v>
      </c>
      <c r="E378" s="145" t="s">
        <v>309</v>
      </c>
      <c r="F378" s="145" t="s">
        <v>1636</v>
      </c>
      <c r="G378" s="145" t="s">
        <v>1637</v>
      </c>
      <c r="H378" s="145" t="s">
        <v>321</v>
      </c>
      <c r="I378" s="145" t="s">
        <v>754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464</v>
      </c>
      <c r="O378" s="145" t="s">
        <v>339</v>
      </c>
      <c r="P378" s="145" t="s">
        <v>1358</v>
      </c>
      <c r="Q378" s="145" t="s">
        <v>415</v>
      </c>
      <c r="R378" s="145" t="s">
        <v>407</v>
      </c>
      <c r="S378" s="145" t="s">
        <v>1210</v>
      </c>
      <c r="T378" s="146">
        <v>4.88</v>
      </c>
      <c r="U378" s="145" t="s">
        <v>1638</v>
      </c>
      <c r="V378" s="148">
        <v>1.8700000000000001E-2</v>
      </c>
      <c r="W378" s="148">
        <v>3.1629999999999998E-2</v>
      </c>
      <c r="X378" s="145" t="s">
        <v>412</v>
      </c>
      <c r="Y378" s="159"/>
      <c r="Z378" s="146">
        <v>50601999.770000003</v>
      </c>
      <c r="AA378" s="146">
        <v>1</v>
      </c>
      <c r="AB378" s="146">
        <v>105.08</v>
      </c>
      <c r="AC378" s="151"/>
      <c r="AD378" s="146">
        <v>53172.580999999998</v>
      </c>
      <c r="AE378" s="151"/>
      <c r="AF378" s="151"/>
      <c r="AG378" s="151"/>
      <c r="AH378" s="148">
        <v>4.9439999999999998E-2</v>
      </c>
      <c r="AI378" s="148">
        <v>1.66E-2</v>
      </c>
      <c r="AJ378" s="149">
        <v>2.1900000000000001E-3</v>
      </c>
      <c r="AK378" s="196"/>
    </row>
    <row r="379" spans="1:37" x14ac:dyDescent="0.2">
      <c r="A379" s="144" t="s">
        <v>1217</v>
      </c>
      <c r="B379" s="145" t="s">
        <v>1217</v>
      </c>
      <c r="C379" s="145" t="s">
        <v>1326</v>
      </c>
      <c r="D379" s="145" t="s">
        <v>1327</v>
      </c>
      <c r="E379" s="145" t="s">
        <v>309</v>
      </c>
      <c r="F379" s="145" t="s">
        <v>1351</v>
      </c>
      <c r="G379" s="145" t="s">
        <v>1352</v>
      </c>
      <c r="H379" s="145" t="s">
        <v>321</v>
      </c>
      <c r="I379" s="145" t="s">
        <v>951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448</v>
      </c>
      <c r="O379" s="145" t="s">
        <v>339</v>
      </c>
      <c r="P379" s="145" t="s">
        <v>1330</v>
      </c>
      <c r="Q379" s="145" t="s">
        <v>413</v>
      </c>
      <c r="R379" s="145" t="s">
        <v>407</v>
      </c>
      <c r="S379" s="145" t="s">
        <v>1210</v>
      </c>
      <c r="T379" s="146">
        <v>0.19</v>
      </c>
      <c r="U379" s="145" t="s">
        <v>1353</v>
      </c>
      <c r="V379" s="148">
        <v>2.98E-2</v>
      </c>
      <c r="W379" s="148">
        <v>4.4909999999999999E-2</v>
      </c>
      <c r="X379" s="145" t="s">
        <v>412</v>
      </c>
      <c r="Y379" s="159"/>
      <c r="Z379" s="146">
        <v>51265986</v>
      </c>
      <c r="AA379" s="146">
        <v>1</v>
      </c>
      <c r="AB379" s="146">
        <v>102.14</v>
      </c>
      <c r="AC379" s="151"/>
      <c r="AD379" s="146">
        <v>52363.078000000001</v>
      </c>
      <c r="AE379" s="151"/>
      <c r="AF379" s="151"/>
      <c r="AG379" s="151"/>
      <c r="AH379" s="148">
        <v>2.017E-2</v>
      </c>
      <c r="AI379" s="148">
        <v>1.634E-2</v>
      </c>
      <c r="AJ379" s="149">
        <v>2.15E-3</v>
      </c>
      <c r="AK379" s="196"/>
    </row>
    <row r="380" spans="1:37" x14ac:dyDescent="0.2">
      <c r="A380" s="144" t="s">
        <v>1217</v>
      </c>
      <c r="B380" s="145" t="s">
        <v>1217</v>
      </c>
      <c r="C380" s="145" t="s">
        <v>1543</v>
      </c>
      <c r="D380" s="145" t="s">
        <v>1544</v>
      </c>
      <c r="E380" s="145" t="s">
        <v>309</v>
      </c>
      <c r="F380" s="145" t="s">
        <v>1639</v>
      </c>
      <c r="G380" s="145" t="s">
        <v>1640</v>
      </c>
      <c r="H380" s="145" t="s">
        <v>321</v>
      </c>
      <c r="I380" s="145" t="s">
        <v>754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464</v>
      </c>
      <c r="O380" s="145" t="s">
        <v>339</v>
      </c>
      <c r="P380" s="145" t="s">
        <v>1594</v>
      </c>
      <c r="Q380" s="145" t="s">
        <v>415</v>
      </c>
      <c r="R380" s="145" t="s">
        <v>407</v>
      </c>
      <c r="S380" s="145" t="s">
        <v>1210</v>
      </c>
      <c r="T380" s="146">
        <v>11.9</v>
      </c>
      <c r="U380" s="145" t="s">
        <v>1641</v>
      </c>
      <c r="V380" s="148">
        <v>3.6700000000000003E-2</v>
      </c>
      <c r="W380" s="148">
        <v>3.4259999999999999E-2</v>
      </c>
      <c r="X380" s="145" t="s">
        <v>412</v>
      </c>
      <c r="Y380" s="159"/>
      <c r="Z380" s="146">
        <v>48999000</v>
      </c>
      <c r="AA380" s="146">
        <v>1</v>
      </c>
      <c r="AB380" s="146">
        <v>105.88</v>
      </c>
      <c r="AC380" s="151"/>
      <c r="AD380" s="146">
        <v>51880.141000000003</v>
      </c>
      <c r="AE380" s="151"/>
      <c r="AF380" s="151"/>
      <c r="AG380" s="151"/>
      <c r="AH380" s="148">
        <v>1.4930000000000001E-2</v>
      </c>
      <c r="AI380" s="148">
        <v>1.619E-2</v>
      </c>
      <c r="AJ380" s="149">
        <v>2.1299999999999999E-3</v>
      </c>
      <c r="AK380" s="196"/>
    </row>
    <row r="381" spans="1:37" x14ac:dyDescent="0.2">
      <c r="A381" s="144" t="s">
        <v>1217</v>
      </c>
      <c r="B381" s="145" t="s">
        <v>1217</v>
      </c>
      <c r="C381" s="145" t="s">
        <v>1371</v>
      </c>
      <c r="D381" s="145" t="s">
        <v>1372</v>
      </c>
      <c r="E381" s="145" t="s">
        <v>309</v>
      </c>
      <c r="F381" s="145" t="s">
        <v>1373</v>
      </c>
      <c r="G381" s="145" t="s">
        <v>1374</v>
      </c>
      <c r="H381" s="145" t="s">
        <v>321</v>
      </c>
      <c r="I381" s="145" t="s">
        <v>951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484</v>
      </c>
      <c r="O381" s="145" t="s">
        <v>339</v>
      </c>
      <c r="P381" s="145" t="s">
        <v>1375</v>
      </c>
      <c r="Q381" s="145" t="s">
        <v>415</v>
      </c>
      <c r="R381" s="145" t="s">
        <v>407</v>
      </c>
      <c r="S381" s="145" t="s">
        <v>1210</v>
      </c>
      <c r="T381" s="146">
        <v>4.07</v>
      </c>
      <c r="U381" s="145" t="s">
        <v>1376</v>
      </c>
      <c r="V381" s="148">
        <v>5.5E-2</v>
      </c>
      <c r="W381" s="148">
        <v>5.1830000000000001E-2</v>
      </c>
      <c r="X381" s="145" t="s">
        <v>412</v>
      </c>
      <c r="Y381" s="159"/>
      <c r="Z381" s="146">
        <v>48985045.799999997</v>
      </c>
      <c r="AA381" s="146">
        <v>1</v>
      </c>
      <c r="AB381" s="146">
        <v>104.5</v>
      </c>
      <c r="AC381" s="151"/>
      <c r="AD381" s="146">
        <v>51189.373</v>
      </c>
      <c r="AE381" s="151"/>
      <c r="AF381" s="151"/>
      <c r="AG381" s="151"/>
      <c r="AH381" s="148">
        <v>4.854E-2</v>
      </c>
      <c r="AI381" s="148">
        <v>1.5980000000000001E-2</v>
      </c>
      <c r="AJ381" s="149">
        <v>2.1099999999999999E-3</v>
      </c>
      <c r="AK381" s="196"/>
    </row>
    <row r="382" spans="1:37" x14ac:dyDescent="0.2">
      <c r="A382" s="144" t="s">
        <v>1217</v>
      </c>
      <c r="B382" s="145" t="s">
        <v>1217</v>
      </c>
      <c r="C382" s="145" t="s">
        <v>1454</v>
      </c>
      <c r="D382" s="145" t="s">
        <v>1455</v>
      </c>
      <c r="E382" s="145" t="s">
        <v>309</v>
      </c>
      <c r="F382" s="145" t="s">
        <v>1642</v>
      </c>
      <c r="G382" s="145" t="s">
        <v>1643</v>
      </c>
      <c r="H382" s="145" t="s">
        <v>321</v>
      </c>
      <c r="I382" s="145" t="s">
        <v>754</v>
      </c>
      <c r="J382" s="145" t="s">
        <v>204</v>
      </c>
      <c r="K382" s="145" t="s">
        <v>204</v>
      </c>
      <c r="L382" s="145" t="s">
        <v>325</v>
      </c>
      <c r="M382" s="145" t="s">
        <v>340</v>
      </c>
      <c r="N382" s="145" t="s">
        <v>464</v>
      </c>
      <c r="O382" s="145" t="s">
        <v>339</v>
      </c>
      <c r="P382" s="145" t="s">
        <v>1392</v>
      </c>
      <c r="Q382" s="145" t="s">
        <v>413</v>
      </c>
      <c r="R382" s="145" t="s">
        <v>407</v>
      </c>
      <c r="S382" s="145" t="s">
        <v>1210</v>
      </c>
      <c r="T382" s="146">
        <v>5.73</v>
      </c>
      <c r="U382" s="145" t="s">
        <v>1644</v>
      </c>
      <c r="V382" s="148">
        <v>3.61E-2</v>
      </c>
      <c r="W382" s="148">
        <v>3.0759999999999999E-2</v>
      </c>
      <c r="X382" s="145" t="s">
        <v>412</v>
      </c>
      <c r="Y382" s="159"/>
      <c r="Z382" s="146">
        <v>45666036.5</v>
      </c>
      <c r="AA382" s="146">
        <v>1</v>
      </c>
      <c r="AB382" s="146">
        <v>110.37</v>
      </c>
      <c r="AC382" s="151"/>
      <c r="AD382" s="146">
        <v>50401.603999999999</v>
      </c>
      <c r="AE382" s="151"/>
      <c r="AF382" s="151"/>
      <c r="AG382" s="151"/>
      <c r="AH382" s="148">
        <v>2.9059999999999999E-2</v>
      </c>
      <c r="AI382" s="148">
        <v>1.5730000000000001E-2</v>
      </c>
      <c r="AJ382" s="149">
        <v>2.0699999999999998E-3</v>
      </c>
      <c r="AK382" s="196"/>
    </row>
    <row r="383" spans="1:37" x14ac:dyDescent="0.2">
      <c r="A383" s="144" t="s">
        <v>1217</v>
      </c>
      <c r="B383" s="145" t="s">
        <v>1217</v>
      </c>
      <c r="C383" s="145" t="s">
        <v>1402</v>
      </c>
      <c r="D383" s="145" t="s">
        <v>1403</v>
      </c>
      <c r="E383" s="145" t="s">
        <v>309</v>
      </c>
      <c r="F383" s="145" t="s">
        <v>1404</v>
      </c>
      <c r="G383" s="145" t="s">
        <v>1405</v>
      </c>
      <c r="H383" s="145" t="s">
        <v>321</v>
      </c>
      <c r="I383" s="145" t="s">
        <v>951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445</v>
      </c>
      <c r="O383" s="145" t="s">
        <v>339</v>
      </c>
      <c r="P383" s="145" t="s">
        <v>1406</v>
      </c>
      <c r="Q383" s="145" t="s">
        <v>415</v>
      </c>
      <c r="R383" s="145" t="s">
        <v>407</v>
      </c>
      <c r="S383" s="145" t="s">
        <v>1210</v>
      </c>
      <c r="T383" s="146">
        <v>0.33</v>
      </c>
      <c r="U383" s="145" t="s">
        <v>1387</v>
      </c>
      <c r="V383" s="148">
        <v>3.61E-2</v>
      </c>
      <c r="W383" s="148">
        <v>5.0680000000000003E-2</v>
      </c>
      <c r="X383" s="145" t="s">
        <v>412</v>
      </c>
      <c r="Y383" s="159"/>
      <c r="Z383" s="146">
        <v>49454927</v>
      </c>
      <c r="AA383" s="146">
        <v>1</v>
      </c>
      <c r="AB383" s="146">
        <v>100.15</v>
      </c>
      <c r="AC383" s="151"/>
      <c r="AD383" s="146">
        <v>49529.108999999997</v>
      </c>
      <c r="AE383" s="151"/>
      <c r="AF383" s="151"/>
      <c r="AG383" s="151"/>
      <c r="AH383" s="148">
        <v>6.4439999999999997E-2</v>
      </c>
      <c r="AI383" s="148">
        <v>1.546E-2</v>
      </c>
      <c r="AJ383" s="149">
        <v>2.0400000000000001E-3</v>
      </c>
      <c r="AK383" s="196"/>
    </row>
    <row r="384" spans="1:37" x14ac:dyDescent="0.2">
      <c r="A384" s="144" t="s">
        <v>1217</v>
      </c>
      <c r="B384" s="145" t="s">
        <v>1217</v>
      </c>
      <c r="C384" s="145" t="s">
        <v>1628</v>
      </c>
      <c r="D384" s="145" t="s">
        <v>1629</v>
      </c>
      <c r="E384" s="145" t="s">
        <v>309</v>
      </c>
      <c r="F384" s="145" t="s">
        <v>1645</v>
      </c>
      <c r="G384" s="145" t="s">
        <v>1646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448</v>
      </c>
      <c r="O384" s="145" t="s">
        <v>339</v>
      </c>
      <c r="P384" s="145" t="s">
        <v>1330</v>
      </c>
      <c r="Q384" s="145" t="s">
        <v>413</v>
      </c>
      <c r="R384" s="145" t="s">
        <v>407</v>
      </c>
      <c r="S384" s="145" t="s">
        <v>1210</v>
      </c>
      <c r="T384" s="146">
        <v>5.07</v>
      </c>
      <c r="U384" s="145" t="s">
        <v>1632</v>
      </c>
      <c r="V384" s="148">
        <v>2.4E-2</v>
      </c>
      <c r="W384" s="148">
        <v>2.6120000000000001E-2</v>
      </c>
      <c r="X384" s="145" t="s">
        <v>412</v>
      </c>
      <c r="Y384" s="159"/>
      <c r="Z384" s="146">
        <v>49200000</v>
      </c>
      <c r="AA384" s="146">
        <v>1</v>
      </c>
      <c r="AB384" s="146">
        <v>99.73</v>
      </c>
      <c r="AC384" s="151"/>
      <c r="AD384" s="146">
        <v>49067.16</v>
      </c>
      <c r="AE384" s="151"/>
      <c r="AF384" s="151"/>
      <c r="AG384" s="151"/>
      <c r="AH384" s="148">
        <v>4.0660000000000002E-2</v>
      </c>
      <c r="AI384" s="148">
        <v>1.532E-2</v>
      </c>
      <c r="AJ384" s="149">
        <v>2.0200000000000001E-3</v>
      </c>
      <c r="AK384" s="196"/>
    </row>
    <row r="385" spans="1:37" x14ac:dyDescent="0.2">
      <c r="A385" s="144" t="s">
        <v>1217</v>
      </c>
      <c r="B385" s="145" t="s">
        <v>1217</v>
      </c>
      <c r="C385" s="145" t="s">
        <v>1318</v>
      </c>
      <c r="D385" s="145" t="s">
        <v>1319</v>
      </c>
      <c r="E385" s="145" t="s">
        <v>313</v>
      </c>
      <c r="F385" s="145" t="s">
        <v>1377</v>
      </c>
      <c r="G385" s="145" t="s">
        <v>1378</v>
      </c>
      <c r="H385" s="145" t="s">
        <v>321</v>
      </c>
      <c r="I385" s="145" t="s">
        <v>754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440</v>
      </c>
      <c r="O385" s="145" t="s">
        <v>339</v>
      </c>
      <c r="P385" s="145" t="s">
        <v>1209</v>
      </c>
      <c r="Q385" s="145" t="s">
        <v>415</v>
      </c>
      <c r="R385" s="145" t="s">
        <v>407</v>
      </c>
      <c r="S385" s="145" t="s">
        <v>1210</v>
      </c>
      <c r="T385" s="146">
        <v>5.37</v>
      </c>
      <c r="U385" s="145" t="s">
        <v>1379</v>
      </c>
      <c r="V385" s="148">
        <v>2.3900000000000001E-2</v>
      </c>
      <c r="W385" s="148">
        <v>2.7189999999999999E-2</v>
      </c>
      <c r="X385" s="145" t="s">
        <v>412</v>
      </c>
      <c r="Y385" s="159"/>
      <c r="Z385" s="146">
        <v>38000000</v>
      </c>
      <c r="AA385" s="146">
        <v>1</v>
      </c>
      <c r="AB385" s="146">
        <v>113.4</v>
      </c>
      <c r="AC385" s="151"/>
      <c r="AD385" s="146">
        <v>43092</v>
      </c>
      <c r="AE385" s="151"/>
      <c r="AF385" s="151"/>
      <c r="AG385" s="151"/>
      <c r="AH385" s="148">
        <v>9.7699999999999992E-3</v>
      </c>
      <c r="AI385" s="148">
        <v>1.345E-2</v>
      </c>
      <c r="AJ385" s="149">
        <v>1.7700000000000001E-3</v>
      </c>
      <c r="AK385" s="196"/>
    </row>
    <row r="386" spans="1:37" x14ac:dyDescent="0.2">
      <c r="A386" s="144" t="s">
        <v>1217</v>
      </c>
      <c r="B386" s="145" t="s">
        <v>1217</v>
      </c>
      <c r="C386" s="145" t="s">
        <v>1647</v>
      </c>
      <c r="D386" s="145" t="s">
        <v>1648</v>
      </c>
      <c r="E386" s="145" t="s">
        <v>309</v>
      </c>
      <c r="F386" s="145" t="s">
        <v>1649</v>
      </c>
      <c r="G386" s="145" t="s">
        <v>1650</v>
      </c>
      <c r="H386" s="145" t="s">
        <v>321</v>
      </c>
      <c r="I386" s="145" t="s">
        <v>754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464</v>
      </c>
      <c r="O386" s="145" t="s">
        <v>339</v>
      </c>
      <c r="P386" s="145" t="s">
        <v>1562</v>
      </c>
      <c r="Q386" s="145" t="s">
        <v>413</v>
      </c>
      <c r="R386" s="145" t="s">
        <v>407</v>
      </c>
      <c r="S386" s="145" t="s">
        <v>1210</v>
      </c>
      <c r="T386" s="146">
        <v>5.71</v>
      </c>
      <c r="U386" s="145" t="s">
        <v>1651</v>
      </c>
      <c r="V386" s="148">
        <v>3.6799999999999999E-2</v>
      </c>
      <c r="W386" s="148">
        <v>3.5349999999999999E-2</v>
      </c>
      <c r="X386" s="145" t="s">
        <v>412</v>
      </c>
      <c r="Y386" s="159"/>
      <c r="Z386" s="146">
        <v>39696886</v>
      </c>
      <c r="AA386" s="146">
        <v>1</v>
      </c>
      <c r="AB386" s="146">
        <v>105.69</v>
      </c>
      <c r="AC386" s="151"/>
      <c r="AD386" s="146">
        <v>41955.639000000003</v>
      </c>
      <c r="AE386" s="151"/>
      <c r="AF386" s="151"/>
      <c r="AG386" s="151"/>
      <c r="AH386" s="148">
        <v>8.9469999999999994E-2</v>
      </c>
      <c r="AI386" s="148">
        <v>1.3100000000000001E-2</v>
      </c>
      <c r="AJ386" s="149">
        <v>1.73E-3</v>
      </c>
      <c r="AK386" s="196"/>
    </row>
    <row r="387" spans="1:37" x14ac:dyDescent="0.2">
      <c r="A387" s="144" t="s">
        <v>1217</v>
      </c>
      <c r="B387" s="145" t="s">
        <v>1217</v>
      </c>
      <c r="C387" s="145" t="s">
        <v>1652</v>
      </c>
      <c r="D387" s="145" t="s">
        <v>1653</v>
      </c>
      <c r="E387" s="145" t="s">
        <v>309</v>
      </c>
      <c r="F387" s="145" t="s">
        <v>1654</v>
      </c>
      <c r="G387" s="145" t="s">
        <v>1655</v>
      </c>
      <c r="H387" s="145" t="s">
        <v>321</v>
      </c>
      <c r="I387" s="145" t="s">
        <v>951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440</v>
      </c>
      <c r="O387" s="145" t="s">
        <v>339</v>
      </c>
      <c r="P387" s="145" t="s">
        <v>1473</v>
      </c>
      <c r="Q387" s="145" t="s">
        <v>413</v>
      </c>
      <c r="R387" s="145" t="s">
        <v>407</v>
      </c>
      <c r="S387" s="145" t="s">
        <v>1210</v>
      </c>
      <c r="T387" s="146">
        <v>4.26</v>
      </c>
      <c r="U387" s="145" t="s">
        <v>1656</v>
      </c>
      <c r="V387" s="148">
        <v>5.7500000000000002E-2</v>
      </c>
      <c r="W387" s="148">
        <v>5.4940000000000003E-2</v>
      </c>
      <c r="X387" s="145" t="s">
        <v>412</v>
      </c>
      <c r="Y387" s="159"/>
      <c r="Z387" s="146">
        <v>40203000</v>
      </c>
      <c r="AA387" s="146">
        <v>1</v>
      </c>
      <c r="AB387" s="146">
        <v>101.46</v>
      </c>
      <c r="AC387" s="151"/>
      <c r="AD387" s="146">
        <v>40789.964</v>
      </c>
      <c r="AE387" s="151"/>
      <c r="AF387" s="151"/>
      <c r="AG387" s="151"/>
      <c r="AH387" s="148">
        <v>7.6579999999999995E-2</v>
      </c>
      <c r="AI387" s="148">
        <v>1.273E-2</v>
      </c>
      <c r="AJ387" s="149">
        <v>1.6800000000000001E-3</v>
      </c>
      <c r="AK387" s="196"/>
    </row>
    <row r="388" spans="1:37" x14ac:dyDescent="0.2">
      <c r="A388" s="144" t="s">
        <v>1217</v>
      </c>
      <c r="B388" s="145" t="s">
        <v>1217</v>
      </c>
      <c r="C388" s="145" t="s">
        <v>1543</v>
      </c>
      <c r="D388" s="145" t="s">
        <v>1544</v>
      </c>
      <c r="E388" s="145" t="s">
        <v>309</v>
      </c>
      <c r="F388" s="145" t="s">
        <v>1555</v>
      </c>
      <c r="G388" s="145" t="s">
        <v>1556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464</v>
      </c>
      <c r="O388" s="145" t="s">
        <v>339</v>
      </c>
      <c r="P388" s="145" t="s">
        <v>1547</v>
      </c>
      <c r="Q388" s="145" t="s">
        <v>413</v>
      </c>
      <c r="R388" s="145" t="s">
        <v>407</v>
      </c>
      <c r="S388" s="145" t="s">
        <v>1210</v>
      </c>
      <c r="T388" s="146">
        <v>9.99</v>
      </c>
      <c r="U388" s="145" t="s">
        <v>1557</v>
      </c>
      <c r="V388" s="148">
        <v>1.6899999999999998E-2</v>
      </c>
      <c r="W388" s="148">
        <v>3.2899999999999999E-2</v>
      </c>
      <c r="X388" s="145" t="s">
        <v>412</v>
      </c>
      <c r="Y388" s="159"/>
      <c r="Z388" s="146">
        <v>41521814</v>
      </c>
      <c r="AA388" s="146">
        <v>1</v>
      </c>
      <c r="AB388" s="146">
        <v>97.7</v>
      </c>
      <c r="AC388" s="151"/>
      <c r="AD388" s="146">
        <v>40566.811999999998</v>
      </c>
      <c r="AE388" s="151"/>
      <c r="AF388" s="151"/>
      <c r="AG388" s="151"/>
      <c r="AH388" s="148">
        <v>9.5200000000000007E-3</v>
      </c>
      <c r="AI388" s="148">
        <v>1.2659999999999999E-2</v>
      </c>
      <c r="AJ388" s="149">
        <v>1.67E-3</v>
      </c>
      <c r="AK388" s="196"/>
    </row>
    <row r="389" spans="1:37" x14ac:dyDescent="0.2">
      <c r="A389" s="144" t="s">
        <v>1217</v>
      </c>
      <c r="B389" s="145" t="s">
        <v>1217</v>
      </c>
      <c r="C389" s="145" t="s">
        <v>1363</v>
      </c>
      <c r="D389" s="145" t="s">
        <v>1364</v>
      </c>
      <c r="E389" s="145" t="s">
        <v>309</v>
      </c>
      <c r="F389" s="145" t="s">
        <v>1365</v>
      </c>
      <c r="G389" s="145" t="s">
        <v>1366</v>
      </c>
      <c r="H389" s="145" t="s">
        <v>321</v>
      </c>
      <c r="I389" s="145" t="s">
        <v>754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448</v>
      </c>
      <c r="O389" s="145" t="s">
        <v>339</v>
      </c>
      <c r="P389" s="145" t="s">
        <v>1330</v>
      </c>
      <c r="Q389" s="145" t="s">
        <v>413</v>
      </c>
      <c r="R389" s="145" t="s">
        <v>407</v>
      </c>
      <c r="S389" s="145" t="s">
        <v>1210</v>
      </c>
      <c r="T389" s="146">
        <v>3.05</v>
      </c>
      <c r="U389" s="145" t="s">
        <v>1367</v>
      </c>
      <c r="V389" s="148">
        <v>1.7500000000000002E-2</v>
      </c>
      <c r="W389" s="148">
        <v>2.546E-2</v>
      </c>
      <c r="X389" s="145" t="s">
        <v>412</v>
      </c>
      <c r="Y389" s="159"/>
      <c r="Z389" s="146">
        <v>34622641.140000001</v>
      </c>
      <c r="AA389" s="146">
        <v>1</v>
      </c>
      <c r="AB389" s="146">
        <v>112.78</v>
      </c>
      <c r="AC389" s="151"/>
      <c r="AD389" s="146">
        <v>39047.415000000001</v>
      </c>
      <c r="AE389" s="151"/>
      <c r="AF389" s="151"/>
      <c r="AG389" s="151"/>
      <c r="AH389" s="148">
        <v>1.553E-2</v>
      </c>
      <c r="AI389" s="148">
        <v>1.2189999999999999E-2</v>
      </c>
      <c r="AJ389" s="149">
        <v>1.6100000000000001E-3</v>
      </c>
      <c r="AK389" s="196"/>
    </row>
    <row r="390" spans="1:37" x14ac:dyDescent="0.2">
      <c r="A390" s="144" t="s">
        <v>1217</v>
      </c>
      <c r="B390" s="145" t="s">
        <v>1217</v>
      </c>
      <c r="C390" s="145" t="s">
        <v>1326</v>
      </c>
      <c r="D390" s="145" t="s">
        <v>1327</v>
      </c>
      <c r="E390" s="145" t="s">
        <v>309</v>
      </c>
      <c r="F390" s="145" t="s">
        <v>1328</v>
      </c>
      <c r="G390" s="145" t="s">
        <v>1329</v>
      </c>
      <c r="H390" s="145" t="s">
        <v>321</v>
      </c>
      <c r="I390" s="145" t="s">
        <v>754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448</v>
      </c>
      <c r="O390" s="145" t="s">
        <v>339</v>
      </c>
      <c r="P390" s="145" t="s">
        <v>1330</v>
      </c>
      <c r="Q390" s="145" t="s">
        <v>413</v>
      </c>
      <c r="R390" s="145" t="s">
        <v>407</v>
      </c>
      <c r="S390" s="145" t="s">
        <v>1210</v>
      </c>
      <c r="T390" s="146">
        <v>1.22</v>
      </c>
      <c r="U390" s="145" t="s">
        <v>1331</v>
      </c>
      <c r="V390" s="148">
        <v>3.8E-3</v>
      </c>
      <c r="W390" s="148">
        <v>2.3910000000000001E-2</v>
      </c>
      <c r="X390" s="145" t="s">
        <v>412</v>
      </c>
      <c r="Y390" s="159"/>
      <c r="Z390" s="146">
        <v>34930759</v>
      </c>
      <c r="AA390" s="146">
        <v>1</v>
      </c>
      <c r="AB390" s="146">
        <v>111.45</v>
      </c>
      <c r="AC390" s="151"/>
      <c r="AD390" s="146">
        <v>38930.330999999998</v>
      </c>
      <c r="AE390" s="151"/>
      <c r="AF390" s="151"/>
      <c r="AG390" s="151"/>
      <c r="AH390" s="148">
        <v>1.1639999999999999E-2</v>
      </c>
      <c r="AI390" s="148">
        <v>1.2149999999999999E-2</v>
      </c>
      <c r="AJ390" s="149">
        <v>1.6000000000000001E-3</v>
      </c>
      <c r="AK390" s="196"/>
    </row>
    <row r="391" spans="1:37" x14ac:dyDescent="0.2">
      <c r="A391" s="144" t="s">
        <v>1217</v>
      </c>
      <c r="B391" s="145" t="s">
        <v>1217</v>
      </c>
      <c r="C391" s="145" t="s">
        <v>1415</v>
      </c>
      <c r="D391" s="145" t="s">
        <v>1416</v>
      </c>
      <c r="E391" s="145" t="s">
        <v>309</v>
      </c>
      <c r="F391" s="145" t="s">
        <v>1657</v>
      </c>
      <c r="G391" s="145" t="s">
        <v>1658</v>
      </c>
      <c r="H391" s="145" t="s">
        <v>321</v>
      </c>
      <c r="I391" s="145" t="s">
        <v>754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448</v>
      </c>
      <c r="O391" s="145" t="s">
        <v>339</v>
      </c>
      <c r="P391" s="145" t="s">
        <v>1350</v>
      </c>
      <c r="Q391" s="145" t="s">
        <v>413</v>
      </c>
      <c r="R391" s="145" t="s">
        <v>407</v>
      </c>
      <c r="S391" s="145" t="s">
        <v>1210</v>
      </c>
      <c r="T391" s="146">
        <v>1.71</v>
      </c>
      <c r="U391" s="145" t="s">
        <v>1401</v>
      </c>
      <c r="V391" s="148">
        <v>2E-3</v>
      </c>
      <c r="W391" s="148">
        <v>2.6679999999999999E-2</v>
      </c>
      <c r="X391" s="145" t="s">
        <v>412</v>
      </c>
      <c r="Y391" s="159"/>
      <c r="Z391" s="146">
        <v>34630000</v>
      </c>
      <c r="AA391" s="146">
        <v>1</v>
      </c>
      <c r="AB391" s="146">
        <v>111.08</v>
      </c>
      <c r="AC391" s="151"/>
      <c r="AD391" s="146">
        <v>38467.004000000001</v>
      </c>
      <c r="AE391" s="151"/>
      <c r="AF391" s="151"/>
      <c r="AG391" s="151"/>
      <c r="AH391" s="148">
        <v>4.1099999999999998E-2</v>
      </c>
      <c r="AI391" s="148">
        <v>1.201E-2</v>
      </c>
      <c r="AJ391" s="149">
        <v>1.58E-3</v>
      </c>
      <c r="AK391" s="196"/>
    </row>
    <row r="392" spans="1:37" x14ac:dyDescent="0.2">
      <c r="A392" s="144" t="s">
        <v>1217</v>
      </c>
      <c r="B392" s="145" t="s">
        <v>1217</v>
      </c>
      <c r="C392" s="145" t="s">
        <v>1576</v>
      </c>
      <c r="D392" s="145" t="s">
        <v>1577</v>
      </c>
      <c r="E392" s="145" t="s">
        <v>309</v>
      </c>
      <c r="F392" s="145" t="s">
        <v>1578</v>
      </c>
      <c r="G392" s="145" t="s">
        <v>1579</v>
      </c>
      <c r="H392" s="145" t="s">
        <v>321</v>
      </c>
      <c r="I392" s="145" t="s">
        <v>951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464</v>
      </c>
      <c r="O392" s="145" t="s">
        <v>339</v>
      </c>
      <c r="P392" s="145" t="s">
        <v>1350</v>
      </c>
      <c r="Q392" s="145" t="s">
        <v>413</v>
      </c>
      <c r="R392" s="145" t="s">
        <v>407</v>
      </c>
      <c r="S392" s="145" t="s">
        <v>1210</v>
      </c>
      <c r="T392" s="146">
        <v>6.16</v>
      </c>
      <c r="U392" s="145" t="s">
        <v>1580</v>
      </c>
      <c r="V392" s="148">
        <v>4.9399999999999999E-2</v>
      </c>
      <c r="W392" s="148">
        <v>5.5919999999999997E-2</v>
      </c>
      <c r="X392" s="145" t="s">
        <v>412</v>
      </c>
      <c r="Y392" s="159"/>
      <c r="Z392" s="146">
        <v>39467393.490000002</v>
      </c>
      <c r="AA392" s="146">
        <v>1</v>
      </c>
      <c r="AB392" s="146">
        <v>96.63</v>
      </c>
      <c r="AC392" s="151"/>
      <c r="AD392" s="146">
        <v>38137.341999999997</v>
      </c>
      <c r="AE392" s="151"/>
      <c r="AF392" s="151"/>
      <c r="AG392" s="151"/>
      <c r="AH392" s="148">
        <v>2.8979999999999999E-2</v>
      </c>
      <c r="AI392" s="148">
        <v>1.1900000000000001E-2</v>
      </c>
      <c r="AJ392" s="149">
        <v>1.57E-3</v>
      </c>
      <c r="AK392" s="196"/>
    </row>
    <row r="393" spans="1:37" x14ac:dyDescent="0.2">
      <c r="A393" s="144" t="s">
        <v>1217</v>
      </c>
      <c r="B393" s="145" t="s">
        <v>1217</v>
      </c>
      <c r="C393" s="145" t="s">
        <v>1388</v>
      </c>
      <c r="D393" s="145" t="s">
        <v>1389</v>
      </c>
      <c r="E393" s="145" t="s">
        <v>309</v>
      </c>
      <c r="F393" s="145" t="s">
        <v>1390</v>
      </c>
      <c r="G393" s="145" t="s">
        <v>1391</v>
      </c>
      <c r="H393" s="145" t="s">
        <v>321</v>
      </c>
      <c r="I393" s="145" t="s">
        <v>754</v>
      </c>
      <c r="J393" s="145" t="s">
        <v>204</v>
      </c>
      <c r="K393" s="145" t="s">
        <v>204</v>
      </c>
      <c r="L393" s="145" t="s">
        <v>325</v>
      </c>
      <c r="M393" s="145" t="s">
        <v>340</v>
      </c>
      <c r="N393" s="145" t="s">
        <v>464</v>
      </c>
      <c r="O393" s="145" t="s">
        <v>339</v>
      </c>
      <c r="P393" s="145" t="s">
        <v>1392</v>
      </c>
      <c r="Q393" s="145" t="s">
        <v>413</v>
      </c>
      <c r="R393" s="145" t="s">
        <v>407</v>
      </c>
      <c r="S393" s="145" t="s">
        <v>1210</v>
      </c>
      <c r="T393" s="146">
        <v>4.67</v>
      </c>
      <c r="U393" s="145" t="s">
        <v>1393</v>
      </c>
      <c r="V393" s="148">
        <v>5.8999999999999999E-3</v>
      </c>
      <c r="W393" s="148">
        <v>3.0779999999999998E-2</v>
      </c>
      <c r="X393" s="145" t="s">
        <v>412</v>
      </c>
      <c r="Y393" s="159"/>
      <c r="Z393" s="146">
        <v>38000000</v>
      </c>
      <c r="AA393" s="146">
        <v>1</v>
      </c>
      <c r="AB393" s="146">
        <v>100.11</v>
      </c>
      <c r="AC393" s="151"/>
      <c r="AD393" s="146">
        <v>38041.800000000003</v>
      </c>
      <c r="AE393" s="151"/>
      <c r="AF393" s="151"/>
      <c r="AG393" s="151"/>
      <c r="AH393" s="148">
        <v>2.7130000000000001E-2</v>
      </c>
      <c r="AI393" s="148">
        <v>1.187E-2</v>
      </c>
      <c r="AJ393" s="149">
        <v>1.56E-3</v>
      </c>
      <c r="AK393" s="196"/>
    </row>
    <row r="394" spans="1:37" x14ac:dyDescent="0.2">
      <c r="A394" s="144" t="s">
        <v>1217</v>
      </c>
      <c r="B394" s="145" t="s">
        <v>1217</v>
      </c>
      <c r="C394" s="145" t="s">
        <v>1576</v>
      </c>
      <c r="D394" s="145" t="s">
        <v>1577</v>
      </c>
      <c r="E394" s="145" t="s">
        <v>309</v>
      </c>
      <c r="F394" s="145" t="s">
        <v>1659</v>
      </c>
      <c r="G394" s="145" t="s">
        <v>1660</v>
      </c>
      <c r="H394" s="145" t="s">
        <v>321</v>
      </c>
      <c r="I394" s="145" t="s">
        <v>754</v>
      </c>
      <c r="J394" s="145" t="s">
        <v>204</v>
      </c>
      <c r="K394" s="145" t="s">
        <v>204</v>
      </c>
      <c r="L394" s="145" t="s">
        <v>325</v>
      </c>
      <c r="M394" s="145" t="s">
        <v>340</v>
      </c>
      <c r="N394" s="145" t="s">
        <v>464</v>
      </c>
      <c r="O394" s="145" t="s">
        <v>339</v>
      </c>
      <c r="P394" s="145" t="s">
        <v>1350</v>
      </c>
      <c r="Q394" s="145" t="s">
        <v>413</v>
      </c>
      <c r="R394" s="145" t="s">
        <v>407</v>
      </c>
      <c r="S394" s="145" t="s">
        <v>1210</v>
      </c>
      <c r="T394" s="146">
        <v>6.66</v>
      </c>
      <c r="U394" s="145" t="s">
        <v>1580</v>
      </c>
      <c r="V394" s="148">
        <v>2.5600000000000001E-2</v>
      </c>
      <c r="W394" s="148">
        <v>3.5029999999999999E-2</v>
      </c>
      <c r="X394" s="145" t="s">
        <v>412</v>
      </c>
      <c r="Y394" s="159"/>
      <c r="Z394" s="146">
        <v>35512459</v>
      </c>
      <c r="AA394" s="146">
        <v>1</v>
      </c>
      <c r="AB394" s="146">
        <v>101.59</v>
      </c>
      <c r="AC394" s="151"/>
      <c r="AD394" s="146">
        <v>36077.107000000004</v>
      </c>
      <c r="AE394" s="151"/>
      <c r="AF394" s="151"/>
      <c r="AG394" s="151"/>
      <c r="AH394" s="148">
        <v>3.381E-2</v>
      </c>
      <c r="AI394" s="148">
        <v>1.1259999999999999E-2</v>
      </c>
      <c r="AJ394" s="149">
        <v>1.48E-3</v>
      </c>
      <c r="AK394" s="196"/>
    </row>
    <row r="395" spans="1:37" x14ac:dyDescent="0.2">
      <c r="A395" s="144" t="s">
        <v>1217</v>
      </c>
      <c r="B395" s="145" t="s">
        <v>1217</v>
      </c>
      <c r="C395" s="145" t="s">
        <v>1326</v>
      </c>
      <c r="D395" s="145" t="s">
        <v>1327</v>
      </c>
      <c r="E395" s="145" t="s">
        <v>309</v>
      </c>
      <c r="F395" s="145" t="s">
        <v>1343</v>
      </c>
      <c r="G395" s="145" t="s">
        <v>1344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448</v>
      </c>
      <c r="O395" s="145" t="s">
        <v>339</v>
      </c>
      <c r="P395" s="145" t="s">
        <v>1209</v>
      </c>
      <c r="Q395" s="145" t="s">
        <v>415</v>
      </c>
      <c r="R395" s="145" t="s">
        <v>407</v>
      </c>
      <c r="S395" s="145" t="s">
        <v>1210</v>
      </c>
      <c r="T395" s="146">
        <v>1.67</v>
      </c>
      <c r="U395" s="145" t="s">
        <v>1345</v>
      </c>
      <c r="V395" s="148">
        <v>5.0000000000000001E-3</v>
      </c>
      <c r="W395" s="148">
        <v>2.4320000000000001E-2</v>
      </c>
      <c r="X395" s="145" t="s">
        <v>412</v>
      </c>
      <c r="Y395" s="159"/>
      <c r="Z395" s="146">
        <v>30122322</v>
      </c>
      <c r="AA395" s="146">
        <v>1</v>
      </c>
      <c r="AB395" s="146">
        <v>111.01</v>
      </c>
      <c r="AC395" s="151"/>
      <c r="AD395" s="146">
        <v>33438.79</v>
      </c>
      <c r="AE395" s="151"/>
      <c r="AF395" s="151"/>
      <c r="AG395" s="151"/>
      <c r="AH395" s="148">
        <v>3.9469999999999998E-2</v>
      </c>
      <c r="AI395" s="148">
        <v>1.044E-2</v>
      </c>
      <c r="AJ395" s="149">
        <v>1.3799999999999999E-3</v>
      </c>
      <c r="AK395" s="196"/>
    </row>
    <row r="396" spans="1:37" x14ac:dyDescent="0.2">
      <c r="A396" s="144" t="s">
        <v>1217</v>
      </c>
      <c r="B396" s="145" t="s">
        <v>1217</v>
      </c>
      <c r="C396" s="145" t="s">
        <v>1581</v>
      </c>
      <c r="D396" s="145" t="s">
        <v>1582</v>
      </c>
      <c r="E396" s="145" t="s">
        <v>309</v>
      </c>
      <c r="F396" s="145" t="s">
        <v>1583</v>
      </c>
      <c r="G396" s="145" t="s">
        <v>1584</v>
      </c>
      <c r="H396" s="145" t="s">
        <v>321</v>
      </c>
      <c r="I396" s="145" t="s">
        <v>754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464</v>
      </c>
      <c r="O396" s="145" t="s">
        <v>339</v>
      </c>
      <c r="P396" s="145" t="s">
        <v>1358</v>
      </c>
      <c r="Q396" s="145" t="s">
        <v>415</v>
      </c>
      <c r="R396" s="145" t="s">
        <v>407</v>
      </c>
      <c r="S396" s="145" t="s">
        <v>1210</v>
      </c>
      <c r="T396" s="146">
        <v>4</v>
      </c>
      <c r="U396" s="145" t="s">
        <v>1585</v>
      </c>
      <c r="V396" s="148">
        <v>1.17E-2</v>
      </c>
      <c r="W396" s="148">
        <v>2.9520000000000001E-2</v>
      </c>
      <c r="X396" s="145" t="s">
        <v>412</v>
      </c>
      <c r="Y396" s="159"/>
      <c r="Z396" s="146">
        <v>30312888.27</v>
      </c>
      <c r="AA396" s="146">
        <v>1</v>
      </c>
      <c r="AB396" s="146">
        <v>107.32</v>
      </c>
      <c r="AC396" s="151"/>
      <c r="AD396" s="146">
        <v>32531.792000000001</v>
      </c>
      <c r="AE396" s="151"/>
      <c r="AF396" s="151"/>
      <c r="AG396" s="151"/>
      <c r="AH396" s="148">
        <v>4.4019999999999997E-2</v>
      </c>
      <c r="AI396" s="148">
        <v>1.0149999999999999E-2</v>
      </c>
      <c r="AJ396" s="149">
        <v>1.34E-3</v>
      </c>
      <c r="AK396" s="196"/>
    </row>
    <row r="397" spans="1:37" x14ac:dyDescent="0.2">
      <c r="A397" s="144" t="s">
        <v>1217</v>
      </c>
      <c r="B397" s="145" t="s">
        <v>1217</v>
      </c>
      <c r="C397" s="145" t="s">
        <v>1363</v>
      </c>
      <c r="D397" s="145" t="s">
        <v>1364</v>
      </c>
      <c r="E397" s="145" t="s">
        <v>309</v>
      </c>
      <c r="F397" s="145" t="s">
        <v>1666</v>
      </c>
      <c r="G397" s="145" t="s">
        <v>1667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448</v>
      </c>
      <c r="O397" s="145" t="s">
        <v>339</v>
      </c>
      <c r="P397" s="145" t="s">
        <v>1330</v>
      </c>
      <c r="Q397" s="145" t="s">
        <v>413</v>
      </c>
      <c r="R397" s="145" t="s">
        <v>407</v>
      </c>
      <c r="S397" s="145" t="s">
        <v>1210</v>
      </c>
      <c r="T397" s="146">
        <v>1.54</v>
      </c>
      <c r="U397" s="145" t="s">
        <v>1668</v>
      </c>
      <c r="V397" s="148">
        <v>6.0000000000000001E-3</v>
      </c>
      <c r="W397" s="148">
        <v>2.4459999999999999E-2</v>
      </c>
      <c r="X397" s="145" t="s">
        <v>412</v>
      </c>
      <c r="Y397" s="159"/>
      <c r="Z397" s="146">
        <v>28120400.629999999</v>
      </c>
      <c r="AA397" s="146">
        <v>1</v>
      </c>
      <c r="AB397" s="146">
        <v>113.98</v>
      </c>
      <c r="AC397" s="151"/>
      <c r="AD397" s="146">
        <v>32051.633000000002</v>
      </c>
      <c r="AE397" s="151"/>
      <c r="AF397" s="151"/>
      <c r="AG397" s="151"/>
      <c r="AH397" s="148">
        <v>3.1609999999999999E-2</v>
      </c>
      <c r="AI397" s="148">
        <v>0.01</v>
      </c>
      <c r="AJ397" s="149">
        <v>1.32E-3</v>
      </c>
      <c r="AK397" s="196"/>
    </row>
    <row r="398" spans="1:37" x14ac:dyDescent="0.2">
      <c r="A398" s="144" t="s">
        <v>1217</v>
      </c>
      <c r="B398" s="145" t="s">
        <v>1217</v>
      </c>
      <c r="C398" s="145" t="s">
        <v>1363</v>
      </c>
      <c r="D398" s="145" t="s">
        <v>1364</v>
      </c>
      <c r="E398" s="145" t="s">
        <v>309</v>
      </c>
      <c r="F398" s="145" t="s">
        <v>1420</v>
      </c>
      <c r="G398" s="145" t="s">
        <v>1421</v>
      </c>
      <c r="H398" s="145" t="s">
        <v>321</v>
      </c>
      <c r="I398" s="145" t="s">
        <v>754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448</v>
      </c>
      <c r="O398" s="145" t="s">
        <v>339</v>
      </c>
      <c r="P398" s="145" t="s">
        <v>1330</v>
      </c>
      <c r="Q398" s="145" t="s">
        <v>413</v>
      </c>
      <c r="R398" s="145" t="s">
        <v>407</v>
      </c>
      <c r="S398" s="145" t="s">
        <v>1210</v>
      </c>
      <c r="T398" s="146">
        <v>3.97</v>
      </c>
      <c r="U398" s="145" t="s">
        <v>1422</v>
      </c>
      <c r="V398" s="148">
        <v>1.3899999999999999E-2</v>
      </c>
      <c r="W398" s="148">
        <v>2.5270000000000001E-2</v>
      </c>
      <c r="X398" s="145" t="s">
        <v>412</v>
      </c>
      <c r="Y398" s="159"/>
      <c r="Z398" s="146">
        <v>30365600.379999999</v>
      </c>
      <c r="AA398" s="146">
        <v>1</v>
      </c>
      <c r="AB398" s="146">
        <v>103.09</v>
      </c>
      <c r="AC398" s="151"/>
      <c r="AD398" s="146">
        <v>31303.897000000001</v>
      </c>
      <c r="AE398" s="151"/>
      <c r="AF398" s="151"/>
      <c r="AG398" s="151"/>
      <c r="AH398" s="148">
        <v>1.898E-2</v>
      </c>
      <c r="AI398" s="148">
        <v>9.7699999999999992E-3</v>
      </c>
      <c r="AJ398" s="149">
        <v>1.2899999999999999E-3</v>
      </c>
      <c r="AK398" s="196"/>
    </row>
    <row r="399" spans="1:37" x14ac:dyDescent="0.2">
      <c r="A399" s="144" t="s">
        <v>1217</v>
      </c>
      <c r="B399" s="145" t="s">
        <v>1217</v>
      </c>
      <c r="C399" s="145" t="s">
        <v>1410</v>
      </c>
      <c r="D399" s="145" t="s">
        <v>1411</v>
      </c>
      <c r="E399" s="145" t="s">
        <v>309</v>
      </c>
      <c r="F399" s="145" t="s">
        <v>1412</v>
      </c>
      <c r="G399" s="145" t="s">
        <v>1413</v>
      </c>
      <c r="H399" s="145" t="s">
        <v>321</v>
      </c>
      <c r="I399" s="145" t="s">
        <v>951</v>
      </c>
      <c r="J399" s="145" t="s">
        <v>204</v>
      </c>
      <c r="K399" s="145" t="s">
        <v>204</v>
      </c>
      <c r="L399" s="145" t="s">
        <v>325</v>
      </c>
      <c r="M399" s="145" t="s">
        <v>340</v>
      </c>
      <c r="N399" s="145" t="s">
        <v>445</v>
      </c>
      <c r="O399" s="145" t="s">
        <v>339</v>
      </c>
      <c r="P399" s="145" t="s">
        <v>1350</v>
      </c>
      <c r="Q399" s="145" t="s">
        <v>413</v>
      </c>
      <c r="R399" s="145" t="s">
        <v>407</v>
      </c>
      <c r="S399" s="145" t="s">
        <v>1210</v>
      </c>
      <c r="T399" s="146">
        <v>4.8099999999999996</v>
      </c>
      <c r="U399" s="145" t="s">
        <v>1414</v>
      </c>
      <c r="V399" s="148">
        <v>5.2499999999999998E-2</v>
      </c>
      <c r="W399" s="148">
        <v>5.0959999999999998E-2</v>
      </c>
      <c r="X399" s="145" t="s">
        <v>412</v>
      </c>
      <c r="Y399" s="159"/>
      <c r="Z399" s="146">
        <v>28865000</v>
      </c>
      <c r="AA399" s="146">
        <v>1</v>
      </c>
      <c r="AB399" s="146">
        <v>103.2</v>
      </c>
      <c r="AC399" s="151"/>
      <c r="AD399" s="146">
        <v>29788.68</v>
      </c>
      <c r="AE399" s="151"/>
      <c r="AF399" s="151"/>
      <c r="AG399" s="151"/>
      <c r="AH399" s="148">
        <v>5.7729999999999997E-2</v>
      </c>
      <c r="AI399" s="148">
        <v>9.2999999999999992E-3</v>
      </c>
      <c r="AJ399" s="149">
        <v>1.23E-3</v>
      </c>
      <c r="AK399" s="196"/>
    </row>
    <row r="400" spans="1:37" x14ac:dyDescent="0.2">
      <c r="A400" s="144" t="s">
        <v>1217</v>
      </c>
      <c r="B400" s="145" t="s">
        <v>1217</v>
      </c>
      <c r="C400" s="145" t="s">
        <v>1415</v>
      </c>
      <c r="D400" s="145" t="s">
        <v>1416</v>
      </c>
      <c r="E400" s="145" t="s">
        <v>309</v>
      </c>
      <c r="F400" s="145" t="s">
        <v>1417</v>
      </c>
      <c r="G400" s="145" t="s">
        <v>1418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448</v>
      </c>
      <c r="O400" s="145" t="s">
        <v>339</v>
      </c>
      <c r="P400" s="145" t="s">
        <v>1350</v>
      </c>
      <c r="Q400" s="145" t="s">
        <v>413</v>
      </c>
      <c r="R400" s="145" t="s">
        <v>407</v>
      </c>
      <c r="S400" s="145" t="s">
        <v>1210</v>
      </c>
      <c r="T400" s="146">
        <v>4.13</v>
      </c>
      <c r="U400" s="145" t="s">
        <v>1419</v>
      </c>
      <c r="V400" s="148">
        <v>2.5899999999999999E-2</v>
      </c>
      <c r="W400" s="148">
        <v>2.7740000000000001E-2</v>
      </c>
      <c r="X400" s="145" t="s">
        <v>412</v>
      </c>
      <c r="Y400" s="159"/>
      <c r="Z400" s="146">
        <v>28878000</v>
      </c>
      <c r="AA400" s="146">
        <v>1</v>
      </c>
      <c r="AB400" s="146">
        <v>103.09</v>
      </c>
      <c r="AC400" s="151"/>
      <c r="AD400" s="146">
        <v>29770.33</v>
      </c>
      <c r="AE400" s="151"/>
      <c r="AF400" s="151"/>
      <c r="AG400" s="151"/>
      <c r="AH400" s="148">
        <v>4.2290000000000001E-2</v>
      </c>
      <c r="AI400" s="148">
        <v>9.2899999999999996E-3</v>
      </c>
      <c r="AJ400" s="149">
        <v>1.2199999999999999E-3</v>
      </c>
      <c r="AK400" s="196"/>
    </row>
    <row r="401" spans="1:37" x14ac:dyDescent="0.2">
      <c r="A401" s="144" t="s">
        <v>1217</v>
      </c>
      <c r="B401" s="145" t="s">
        <v>1217</v>
      </c>
      <c r="C401" s="145" t="s">
        <v>1661</v>
      </c>
      <c r="D401" s="145" t="s">
        <v>1662</v>
      </c>
      <c r="E401" s="145" t="s">
        <v>309</v>
      </c>
      <c r="F401" s="145" t="s">
        <v>1663</v>
      </c>
      <c r="G401" s="145" t="s">
        <v>1664</v>
      </c>
      <c r="H401" s="145" t="s">
        <v>321</v>
      </c>
      <c r="I401" s="145" t="s">
        <v>754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464</v>
      </c>
      <c r="O401" s="145" t="s">
        <v>339</v>
      </c>
      <c r="P401" s="145" t="s">
        <v>1392</v>
      </c>
      <c r="Q401" s="145" t="s">
        <v>413</v>
      </c>
      <c r="R401" s="145" t="s">
        <v>407</v>
      </c>
      <c r="S401" s="145" t="s">
        <v>1210</v>
      </c>
      <c r="T401" s="146">
        <v>5.12</v>
      </c>
      <c r="U401" s="145" t="s">
        <v>1665</v>
      </c>
      <c r="V401" s="148">
        <v>9.1999999999999998E-3</v>
      </c>
      <c r="W401" s="148">
        <v>2.98E-2</v>
      </c>
      <c r="X401" s="145" t="s">
        <v>412</v>
      </c>
      <c r="Y401" s="159"/>
      <c r="Z401" s="146">
        <v>28000000</v>
      </c>
      <c r="AA401" s="146">
        <v>1</v>
      </c>
      <c r="AB401" s="146">
        <v>104.6</v>
      </c>
      <c r="AC401" s="151"/>
      <c r="AD401" s="146">
        <v>29288</v>
      </c>
      <c r="AE401" s="151"/>
      <c r="AF401" s="151"/>
      <c r="AG401" s="151"/>
      <c r="AH401" s="148">
        <v>1.082E-2</v>
      </c>
      <c r="AI401" s="148">
        <v>9.1400000000000006E-3</v>
      </c>
      <c r="AJ401" s="149">
        <v>1.1999999999999999E-3</v>
      </c>
      <c r="AK401" s="196"/>
    </row>
    <row r="402" spans="1:37" x14ac:dyDescent="0.2">
      <c r="A402" s="144" t="s">
        <v>1217</v>
      </c>
      <c r="B402" s="145" t="s">
        <v>1217</v>
      </c>
      <c r="C402" s="145" t="s">
        <v>1363</v>
      </c>
      <c r="D402" s="145" t="s">
        <v>1364</v>
      </c>
      <c r="E402" s="145" t="s">
        <v>309</v>
      </c>
      <c r="F402" s="145" t="s">
        <v>1441</v>
      </c>
      <c r="G402" s="145" t="s">
        <v>1442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448</v>
      </c>
      <c r="O402" s="145" t="s">
        <v>339</v>
      </c>
      <c r="P402" s="145" t="s">
        <v>1330</v>
      </c>
      <c r="Q402" s="145" t="s">
        <v>413</v>
      </c>
      <c r="R402" s="145" t="s">
        <v>407</v>
      </c>
      <c r="S402" s="145" t="s">
        <v>1210</v>
      </c>
      <c r="T402" s="146">
        <v>3.59</v>
      </c>
      <c r="U402" s="145" t="s">
        <v>1443</v>
      </c>
      <c r="V402" s="148">
        <v>1E-3</v>
      </c>
      <c r="W402" s="148">
        <v>2.5610000000000001E-2</v>
      </c>
      <c r="X402" s="145" t="s">
        <v>412</v>
      </c>
      <c r="Y402" s="159"/>
      <c r="Z402" s="146">
        <v>27300000.34</v>
      </c>
      <c r="AA402" s="146">
        <v>1</v>
      </c>
      <c r="AB402" s="146">
        <v>103.24</v>
      </c>
      <c r="AC402" s="151"/>
      <c r="AD402" s="146">
        <v>28184.52</v>
      </c>
      <c r="AE402" s="151"/>
      <c r="AF402" s="151"/>
      <c r="AG402" s="151"/>
      <c r="AH402" s="148">
        <v>2.7740000000000001E-2</v>
      </c>
      <c r="AI402" s="148">
        <v>8.8000000000000005E-3</v>
      </c>
      <c r="AJ402" s="149">
        <v>1.16E-3</v>
      </c>
      <c r="AK402" s="196"/>
    </row>
    <row r="403" spans="1:37" x14ac:dyDescent="0.2">
      <c r="A403" s="144" t="s">
        <v>1217</v>
      </c>
      <c r="B403" s="145" t="s">
        <v>1217</v>
      </c>
      <c r="C403" s="145" t="s">
        <v>1488</v>
      </c>
      <c r="D403" s="145" t="s">
        <v>1489</v>
      </c>
      <c r="E403" s="145" t="s">
        <v>309</v>
      </c>
      <c r="F403" s="145" t="s">
        <v>1490</v>
      </c>
      <c r="G403" s="145" t="s">
        <v>1491</v>
      </c>
      <c r="H403" s="145" t="s">
        <v>321</v>
      </c>
      <c r="I403" s="145" t="s">
        <v>754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445</v>
      </c>
      <c r="O403" s="145" t="s">
        <v>339</v>
      </c>
      <c r="P403" s="145" t="s">
        <v>1433</v>
      </c>
      <c r="Q403" s="145" t="s">
        <v>415</v>
      </c>
      <c r="R403" s="145" t="s">
        <v>407</v>
      </c>
      <c r="S403" s="145" t="s">
        <v>1210</v>
      </c>
      <c r="T403" s="146">
        <v>4.1399999999999997</v>
      </c>
      <c r="U403" s="145" t="s">
        <v>1376</v>
      </c>
      <c r="V403" s="148">
        <v>5.1700000000000003E-2</v>
      </c>
      <c r="W403" s="148">
        <v>5.1369999999999999E-2</v>
      </c>
      <c r="X403" s="145" t="s">
        <v>412</v>
      </c>
      <c r="Y403" s="159"/>
      <c r="Z403" s="146">
        <v>27223087</v>
      </c>
      <c r="AA403" s="146">
        <v>1</v>
      </c>
      <c r="AB403" s="146">
        <v>102.11</v>
      </c>
      <c r="AC403" s="151"/>
      <c r="AD403" s="146">
        <v>27797.493999999999</v>
      </c>
      <c r="AE403" s="151"/>
      <c r="AF403" s="151"/>
      <c r="AG403" s="151"/>
      <c r="AH403" s="148">
        <v>4.4609999999999997E-2</v>
      </c>
      <c r="AI403" s="148">
        <v>8.6800000000000002E-3</v>
      </c>
      <c r="AJ403" s="149">
        <v>1.14E-3</v>
      </c>
      <c r="AK403" s="196"/>
    </row>
    <row r="404" spans="1:37" x14ac:dyDescent="0.2">
      <c r="A404" s="144" t="s">
        <v>1217</v>
      </c>
      <c r="B404" s="145" t="s">
        <v>1217</v>
      </c>
      <c r="C404" s="145" t="s">
        <v>1567</v>
      </c>
      <c r="D404" s="145" t="s">
        <v>1568</v>
      </c>
      <c r="E404" s="145" t="s">
        <v>309</v>
      </c>
      <c r="F404" s="145" t="s">
        <v>1669</v>
      </c>
      <c r="G404" s="145" t="s">
        <v>1670</v>
      </c>
      <c r="H404" s="145" t="s">
        <v>321</v>
      </c>
      <c r="I404" s="145" t="s">
        <v>754</v>
      </c>
      <c r="J404" s="145" t="s">
        <v>204</v>
      </c>
      <c r="K404" s="145" t="s">
        <v>204</v>
      </c>
      <c r="L404" s="145" t="s">
        <v>325</v>
      </c>
      <c r="M404" s="145" t="s">
        <v>340</v>
      </c>
      <c r="N404" s="145" t="s">
        <v>440</v>
      </c>
      <c r="O404" s="145" t="s">
        <v>339</v>
      </c>
      <c r="P404" s="145" t="s">
        <v>1375</v>
      </c>
      <c r="Q404" s="145" t="s">
        <v>415</v>
      </c>
      <c r="R404" s="145" t="s">
        <v>407</v>
      </c>
      <c r="S404" s="145" t="s">
        <v>1210</v>
      </c>
      <c r="T404" s="146">
        <v>5.78</v>
      </c>
      <c r="U404" s="145" t="s">
        <v>1671</v>
      </c>
      <c r="V404" s="148">
        <v>3.3000000000000002E-2</v>
      </c>
      <c r="W404" s="148">
        <v>3.7769999999999998E-2</v>
      </c>
      <c r="X404" s="145" t="s">
        <v>412</v>
      </c>
      <c r="Y404" s="159"/>
      <c r="Z404" s="146">
        <v>26568901.16</v>
      </c>
      <c r="AA404" s="146">
        <v>1</v>
      </c>
      <c r="AB404" s="146">
        <v>104.23</v>
      </c>
      <c r="AC404" s="151"/>
      <c r="AD404" s="146">
        <v>27692.766</v>
      </c>
      <c r="AE404" s="151"/>
      <c r="AF404" s="151"/>
      <c r="AG404" s="151"/>
      <c r="AH404" s="148">
        <v>2.24E-2</v>
      </c>
      <c r="AI404" s="148">
        <v>8.6400000000000001E-3</v>
      </c>
      <c r="AJ404" s="149">
        <v>1.14E-3</v>
      </c>
      <c r="AK404" s="196"/>
    </row>
    <row r="405" spans="1:37" x14ac:dyDescent="0.2">
      <c r="A405" s="144" t="s">
        <v>1217</v>
      </c>
      <c r="B405" s="145" t="s">
        <v>1217</v>
      </c>
      <c r="C405" s="145" t="s">
        <v>1454</v>
      </c>
      <c r="D405" s="145" t="s">
        <v>1455</v>
      </c>
      <c r="E405" s="145" t="s">
        <v>309</v>
      </c>
      <c r="F405" s="145" t="s">
        <v>1672</v>
      </c>
      <c r="G405" s="145" t="s">
        <v>1673</v>
      </c>
      <c r="H405" s="145" t="s">
        <v>321</v>
      </c>
      <c r="I405" s="145" t="s">
        <v>754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464</v>
      </c>
      <c r="O405" s="145" t="s">
        <v>339</v>
      </c>
      <c r="P405" s="145" t="s">
        <v>1392</v>
      </c>
      <c r="Q405" s="145" t="s">
        <v>413</v>
      </c>
      <c r="R405" s="145" t="s">
        <v>407</v>
      </c>
      <c r="S405" s="145" t="s">
        <v>1210</v>
      </c>
      <c r="T405" s="146">
        <v>3.49</v>
      </c>
      <c r="U405" s="145" t="s">
        <v>1674</v>
      </c>
      <c r="V405" s="148">
        <v>2.2499999999999999E-2</v>
      </c>
      <c r="W405" s="148">
        <v>2.9409999999999999E-2</v>
      </c>
      <c r="X405" s="145" t="s">
        <v>412</v>
      </c>
      <c r="Y405" s="159"/>
      <c r="Z405" s="146">
        <v>23444777.859999999</v>
      </c>
      <c r="AA405" s="146">
        <v>1</v>
      </c>
      <c r="AB405" s="146">
        <v>115.02</v>
      </c>
      <c r="AC405" s="151"/>
      <c r="AD405" s="146">
        <v>26966.183000000001</v>
      </c>
      <c r="AE405" s="151"/>
      <c r="AF405" s="151"/>
      <c r="AG405" s="151"/>
      <c r="AH405" s="148">
        <v>1.329E-2</v>
      </c>
      <c r="AI405" s="148">
        <v>8.4200000000000004E-3</v>
      </c>
      <c r="AJ405" s="149">
        <v>1.1100000000000001E-3</v>
      </c>
      <c r="AK405" s="196"/>
    </row>
    <row r="406" spans="1:37" x14ac:dyDescent="0.2">
      <c r="A406" s="144" t="s">
        <v>1217</v>
      </c>
      <c r="B406" s="145" t="s">
        <v>1217</v>
      </c>
      <c r="C406" s="145" t="s">
        <v>1567</v>
      </c>
      <c r="D406" s="145" t="s">
        <v>1568</v>
      </c>
      <c r="E406" s="145" t="s">
        <v>309</v>
      </c>
      <c r="F406" s="145" t="s">
        <v>1569</v>
      </c>
      <c r="G406" s="145" t="s">
        <v>1570</v>
      </c>
      <c r="H406" s="145" t="s">
        <v>321</v>
      </c>
      <c r="I406" s="145" t="s">
        <v>754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440</v>
      </c>
      <c r="O406" s="145" t="s">
        <v>339</v>
      </c>
      <c r="P406" s="145" t="s">
        <v>1375</v>
      </c>
      <c r="Q406" s="145" t="s">
        <v>415</v>
      </c>
      <c r="R406" s="145" t="s">
        <v>407</v>
      </c>
      <c r="S406" s="145" t="s">
        <v>1210</v>
      </c>
      <c r="T406" s="146">
        <v>3.45</v>
      </c>
      <c r="U406" s="145" t="s">
        <v>1428</v>
      </c>
      <c r="V406" s="148">
        <v>1.7999999999999999E-2</v>
      </c>
      <c r="W406" s="148">
        <v>3.4950000000000002E-2</v>
      </c>
      <c r="X406" s="145" t="s">
        <v>412</v>
      </c>
      <c r="Y406" s="159"/>
      <c r="Z406" s="146">
        <v>24360698.920000002</v>
      </c>
      <c r="AA406" s="146">
        <v>1</v>
      </c>
      <c r="AB406" s="146">
        <v>109.14</v>
      </c>
      <c r="AC406" s="151"/>
      <c r="AD406" s="146">
        <v>26587.267</v>
      </c>
      <c r="AE406" s="151"/>
      <c r="AF406" s="151"/>
      <c r="AG406" s="151"/>
      <c r="AH406" s="148">
        <v>2.7629999999999998E-2</v>
      </c>
      <c r="AI406" s="148">
        <v>8.3000000000000001E-3</v>
      </c>
      <c r="AJ406" s="149">
        <v>1.09E-3</v>
      </c>
      <c r="AK406" s="196"/>
    </row>
    <row r="407" spans="1:37" x14ac:dyDescent="0.2">
      <c r="A407" s="144" t="s">
        <v>1217</v>
      </c>
      <c r="B407" s="145" t="s">
        <v>1217</v>
      </c>
      <c r="C407" s="145" t="s">
        <v>1680</v>
      </c>
      <c r="D407" s="145" t="s">
        <v>1681</v>
      </c>
      <c r="E407" s="145" t="s">
        <v>309</v>
      </c>
      <c r="F407" s="145" t="s">
        <v>1682</v>
      </c>
      <c r="G407" s="145" t="s">
        <v>1683</v>
      </c>
      <c r="H407" s="145" t="s">
        <v>321</v>
      </c>
      <c r="I407" s="145" t="s">
        <v>951</v>
      </c>
      <c r="J407" s="145" t="s">
        <v>204</v>
      </c>
      <c r="K407" s="145" t="s">
        <v>224</v>
      </c>
      <c r="L407" s="145" t="s">
        <v>325</v>
      </c>
      <c r="M407" s="145" t="s">
        <v>340</v>
      </c>
      <c r="N407" s="145" t="s">
        <v>465</v>
      </c>
      <c r="O407" s="145" t="s">
        <v>339</v>
      </c>
      <c r="P407" s="145" t="s">
        <v>1350</v>
      </c>
      <c r="Q407" s="145" t="s">
        <v>413</v>
      </c>
      <c r="R407" s="145" t="s">
        <v>407</v>
      </c>
      <c r="S407" s="145" t="s">
        <v>1210</v>
      </c>
      <c r="T407" s="146">
        <v>5.59</v>
      </c>
      <c r="U407" s="145" t="s">
        <v>1684</v>
      </c>
      <c r="V407" s="148">
        <v>6.5000000000000002E-2</v>
      </c>
      <c r="W407" s="148">
        <v>6.1809999999999997E-2</v>
      </c>
      <c r="X407" s="145" t="s">
        <v>412</v>
      </c>
      <c r="Y407" s="159"/>
      <c r="Z407" s="146">
        <v>25000000</v>
      </c>
      <c r="AA407" s="146">
        <v>1</v>
      </c>
      <c r="AB407" s="146">
        <v>104.91</v>
      </c>
      <c r="AC407" s="151"/>
      <c r="AD407" s="146">
        <v>26227.5</v>
      </c>
      <c r="AE407" s="151"/>
      <c r="AF407" s="151"/>
      <c r="AG407" s="151"/>
      <c r="AH407" s="148">
        <v>4.0289999999999999E-2</v>
      </c>
      <c r="AI407" s="148">
        <v>8.1899999999999994E-3</v>
      </c>
      <c r="AJ407" s="149">
        <v>1.08E-3</v>
      </c>
      <c r="AK407" s="196"/>
    </row>
    <row r="408" spans="1:37" x14ac:dyDescent="0.2">
      <c r="A408" s="144" t="s">
        <v>1217</v>
      </c>
      <c r="B408" s="145" t="s">
        <v>1217</v>
      </c>
      <c r="C408" s="145" t="s">
        <v>1444</v>
      </c>
      <c r="D408" s="145" t="s">
        <v>1445</v>
      </c>
      <c r="E408" s="145" t="s">
        <v>309</v>
      </c>
      <c r="F408" s="145" t="s">
        <v>1685</v>
      </c>
      <c r="G408" s="145" t="s">
        <v>1686</v>
      </c>
      <c r="H408" s="145" t="s">
        <v>321</v>
      </c>
      <c r="I408" s="145" t="s">
        <v>754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464</v>
      </c>
      <c r="O408" s="145" t="s">
        <v>339</v>
      </c>
      <c r="P408" s="145" t="s">
        <v>1392</v>
      </c>
      <c r="Q408" s="145" t="s">
        <v>413</v>
      </c>
      <c r="R408" s="145" t="s">
        <v>407</v>
      </c>
      <c r="S408" s="145" t="s">
        <v>1210</v>
      </c>
      <c r="T408" s="146">
        <v>7.29</v>
      </c>
      <c r="U408" s="145" t="s">
        <v>1687</v>
      </c>
      <c r="V408" s="148">
        <v>3.5999999999999997E-2</v>
      </c>
      <c r="W408" s="148">
        <v>3.2489999999999998E-2</v>
      </c>
      <c r="X408" s="145" t="s">
        <v>412</v>
      </c>
      <c r="Y408" s="159"/>
      <c r="Z408" s="146">
        <v>24600000</v>
      </c>
      <c r="AA408" s="146">
        <v>1</v>
      </c>
      <c r="AB408" s="146">
        <v>104.88</v>
      </c>
      <c r="AC408" s="151"/>
      <c r="AD408" s="146">
        <v>25800.48</v>
      </c>
      <c r="AE408" s="151"/>
      <c r="AF408" s="151"/>
      <c r="AG408" s="151"/>
      <c r="AH408" s="148">
        <v>3.3669999999999999E-2</v>
      </c>
      <c r="AI408" s="148">
        <v>8.0499999999999999E-3</v>
      </c>
      <c r="AJ408" s="149">
        <v>1.06E-3</v>
      </c>
      <c r="AK408" s="196"/>
    </row>
    <row r="409" spans="1:37" x14ac:dyDescent="0.2">
      <c r="A409" s="144" t="s">
        <v>1217</v>
      </c>
      <c r="B409" s="145" t="s">
        <v>1217</v>
      </c>
      <c r="C409" s="145" t="s">
        <v>1581</v>
      </c>
      <c r="D409" s="145" t="s">
        <v>1582</v>
      </c>
      <c r="E409" s="145" t="s">
        <v>309</v>
      </c>
      <c r="F409" s="145" t="s">
        <v>1677</v>
      </c>
      <c r="G409" s="145" t="s">
        <v>1678</v>
      </c>
      <c r="H409" s="145" t="s">
        <v>321</v>
      </c>
      <c r="I409" s="145" t="s">
        <v>754</v>
      </c>
      <c r="J409" s="145" t="s">
        <v>204</v>
      </c>
      <c r="K409" s="145" t="s">
        <v>204</v>
      </c>
      <c r="L409" s="145" t="s">
        <v>325</v>
      </c>
      <c r="M409" s="145" t="s">
        <v>340</v>
      </c>
      <c r="N409" s="145" t="s">
        <v>464</v>
      </c>
      <c r="O409" s="145" t="s">
        <v>339</v>
      </c>
      <c r="P409" s="145" t="s">
        <v>1392</v>
      </c>
      <c r="Q409" s="145" t="s">
        <v>413</v>
      </c>
      <c r="R409" s="145" t="s">
        <v>407</v>
      </c>
      <c r="S409" s="145" t="s">
        <v>1210</v>
      </c>
      <c r="T409" s="146">
        <v>3.19</v>
      </c>
      <c r="U409" s="145" t="s">
        <v>1679</v>
      </c>
      <c r="V409" s="148">
        <v>7.7999999999999996E-3</v>
      </c>
      <c r="W409" s="148">
        <v>2.794E-2</v>
      </c>
      <c r="X409" s="145" t="s">
        <v>412</v>
      </c>
      <c r="Y409" s="159"/>
      <c r="Z409" s="146">
        <v>23900000</v>
      </c>
      <c r="AA409" s="146">
        <v>1</v>
      </c>
      <c r="AB409" s="146">
        <v>107.52</v>
      </c>
      <c r="AC409" s="151"/>
      <c r="AD409" s="146">
        <v>25697.279999999999</v>
      </c>
      <c r="AE409" s="151"/>
      <c r="AF409" s="151"/>
      <c r="AG409" s="151"/>
      <c r="AH409" s="148">
        <v>4.1209999999999997E-2</v>
      </c>
      <c r="AI409" s="148">
        <v>8.0199999999999994E-3</v>
      </c>
      <c r="AJ409" s="149">
        <v>1.06E-3</v>
      </c>
      <c r="AK409" s="196"/>
    </row>
    <row r="410" spans="1:37" x14ac:dyDescent="0.2">
      <c r="A410" s="144" t="s">
        <v>1217</v>
      </c>
      <c r="B410" s="145" t="s">
        <v>1217</v>
      </c>
      <c r="C410" s="145" t="s">
        <v>1688</v>
      </c>
      <c r="D410" s="145" t="s">
        <v>1689</v>
      </c>
      <c r="E410" s="145" t="s">
        <v>309</v>
      </c>
      <c r="F410" s="145" t="s">
        <v>1690</v>
      </c>
      <c r="G410" s="145" t="s">
        <v>1691</v>
      </c>
      <c r="H410" s="145" t="s">
        <v>321</v>
      </c>
      <c r="I410" s="145" t="s">
        <v>951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445</v>
      </c>
      <c r="O410" s="145" t="s">
        <v>339</v>
      </c>
      <c r="P410" s="145" t="s">
        <v>1406</v>
      </c>
      <c r="Q410" s="145" t="s">
        <v>415</v>
      </c>
      <c r="R410" s="145" t="s">
        <v>407</v>
      </c>
      <c r="S410" s="145" t="s">
        <v>1210</v>
      </c>
      <c r="T410" s="146">
        <v>4.84</v>
      </c>
      <c r="U410" s="145" t="s">
        <v>1692</v>
      </c>
      <c r="V410" s="148">
        <v>1.95E-2</v>
      </c>
      <c r="W410" s="148">
        <v>5.0020000000000002E-2</v>
      </c>
      <c r="X410" s="145" t="s">
        <v>412</v>
      </c>
      <c r="Y410" s="159"/>
      <c r="Z410" s="146">
        <v>28901806.859999999</v>
      </c>
      <c r="AA410" s="146">
        <v>1</v>
      </c>
      <c r="AB410" s="146">
        <v>86.78</v>
      </c>
      <c r="AC410" s="151"/>
      <c r="AD410" s="146">
        <v>25080.988000000001</v>
      </c>
      <c r="AE410" s="151"/>
      <c r="AF410" s="151"/>
      <c r="AG410" s="151"/>
      <c r="AH410" s="148">
        <v>2.8809999999999999E-2</v>
      </c>
      <c r="AI410" s="148">
        <v>7.8300000000000002E-3</v>
      </c>
      <c r="AJ410" s="149">
        <v>1.0300000000000001E-3</v>
      </c>
      <c r="AK410" s="196"/>
    </row>
    <row r="411" spans="1:37" x14ac:dyDescent="0.2">
      <c r="A411" s="144" t="s">
        <v>1217</v>
      </c>
      <c r="B411" s="145" t="s">
        <v>1217</v>
      </c>
      <c r="C411" s="145" t="s">
        <v>1661</v>
      </c>
      <c r="D411" s="145" t="s">
        <v>1662</v>
      </c>
      <c r="E411" s="145" t="s">
        <v>309</v>
      </c>
      <c r="F411" s="145" t="s">
        <v>1675</v>
      </c>
      <c r="G411" s="145" t="s">
        <v>1676</v>
      </c>
      <c r="H411" s="145" t="s">
        <v>321</v>
      </c>
      <c r="I411" s="145" t="s">
        <v>951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464</v>
      </c>
      <c r="O411" s="145" t="s">
        <v>339</v>
      </c>
      <c r="P411" s="145" t="s">
        <v>1392</v>
      </c>
      <c r="Q411" s="145" t="s">
        <v>413</v>
      </c>
      <c r="R411" s="145" t="s">
        <v>407</v>
      </c>
      <c r="S411" s="145" t="s">
        <v>1210</v>
      </c>
      <c r="T411" s="146">
        <v>4.91</v>
      </c>
      <c r="U411" s="145" t="s">
        <v>1665</v>
      </c>
      <c r="V411" s="148">
        <v>2.4400000000000002E-2</v>
      </c>
      <c r="W411" s="148">
        <v>5.1529999999999999E-2</v>
      </c>
      <c r="X411" s="145" t="s">
        <v>412</v>
      </c>
      <c r="Y411" s="159"/>
      <c r="Z411" s="146">
        <v>28000000</v>
      </c>
      <c r="AA411" s="146">
        <v>1</v>
      </c>
      <c r="AB411" s="146">
        <v>88.38</v>
      </c>
      <c r="AC411" s="151"/>
      <c r="AD411" s="146">
        <v>24746.400000000001</v>
      </c>
      <c r="AE411" s="151"/>
      <c r="AF411" s="151"/>
      <c r="AG411" s="151"/>
      <c r="AH411" s="148">
        <v>2.3040000000000001E-2</v>
      </c>
      <c r="AI411" s="148">
        <v>7.7200000000000003E-3</v>
      </c>
      <c r="AJ411" s="149">
        <v>1.0200000000000001E-3</v>
      </c>
      <c r="AK411" s="196"/>
    </row>
    <row r="412" spans="1:37" x14ac:dyDescent="0.2">
      <c r="A412" s="144" t="s">
        <v>1217</v>
      </c>
      <c r="B412" s="145" t="s">
        <v>1217</v>
      </c>
      <c r="C412" s="145" t="s">
        <v>1354</v>
      </c>
      <c r="D412" s="145" t="s">
        <v>1355</v>
      </c>
      <c r="E412" s="145" t="s">
        <v>309</v>
      </c>
      <c r="F412" s="145" t="s">
        <v>1356</v>
      </c>
      <c r="G412" s="145" t="s">
        <v>1357</v>
      </c>
      <c r="H412" s="145" t="s">
        <v>321</v>
      </c>
      <c r="I412" s="145" t="s">
        <v>754</v>
      </c>
      <c r="J412" s="145" t="s">
        <v>204</v>
      </c>
      <c r="K412" s="145" t="s">
        <v>204</v>
      </c>
      <c r="L412" s="145" t="s">
        <v>325</v>
      </c>
      <c r="M412" s="145" t="s">
        <v>340</v>
      </c>
      <c r="N412" s="145" t="s">
        <v>445</v>
      </c>
      <c r="O412" s="145" t="s">
        <v>339</v>
      </c>
      <c r="P412" s="145" t="s">
        <v>1358</v>
      </c>
      <c r="Q412" s="145" t="s">
        <v>415</v>
      </c>
      <c r="R412" s="145" t="s">
        <v>407</v>
      </c>
      <c r="S412" s="145" t="s">
        <v>1210</v>
      </c>
      <c r="T412" s="146">
        <v>6.33</v>
      </c>
      <c r="U412" s="145" t="s">
        <v>1359</v>
      </c>
      <c r="V412" s="148">
        <v>5.0200000000000002E-2</v>
      </c>
      <c r="W412" s="148">
        <v>5.2510000000000001E-2</v>
      </c>
      <c r="X412" s="145" t="s">
        <v>412</v>
      </c>
      <c r="Y412" s="159"/>
      <c r="Z412" s="146">
        <v>24500000</v>
      </c>
      <c r="AA412" s="146">
        <v>1</v>
      </c>
      <c r="AB412" s="146">
        <v>99.08</v>
      </c>
      <c r="AC412" s="151"/>
      <c r="AD412" s="146">
        <v>24274.6</v>
      </c>
      <c r="AE412" s="151"/>
      <c r="AF412" s="151"/>
      <c r="AG412" s="151"/>
      <c r="AH412" s="148">
        <v>6.1249999999999999E-2</v>
      </c>
      <c r="AI412" s="148">
        <v>7.5799999999999999E-3</v>
      </c>
      <c r="AJ412" s="149">
        <v>1E-3</v>
      </c>
      <c r="AK412" s="196"/>
    </row>
    <row r="413" spans="1:37" x14ac:dyDescent="0.2">
      <c r="A413" s="144" t="s">
        <v>1217</v>
      </c>
      <c r="B413" s="145" t="s">
        <v>1217</v>
      </c>
      <c r="C413" s="145" t="s">
        <v>1429</v>
      </c>
      <c r="D413" s="145" t="s">
        <v>1430</v>
      </c>
      <c r="E413" s="145" t="s">
        <v>309</v>
      </c>
      <c r="F413" s="145" t="s">
        <v>1693</v>
      </c>
      <c r="G413" s="145" t="s">
        <v>1694</v>
      </c>
      <c r="H413" s="145" t="s">
        <v>321</v>
      </c>
      <c r="I413" s="145" t="s">
        <v>754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465</v>
      </c>
      <c r="O413" s="145" t="s">
        <v>339</v>
      </c>
      <c r="P413" s="145" t="s">
        <v>1473</v>
      </c>
      <c r="Q413" s="145" t="s">
        <v>413</v>
      </c>
      <c r="R413" s="145" t="s">
        <v>407</v>
      </c>
      <c r="S413" s="145" t="s">
        <v>1210</v>
      </c>
      <c r="T413" s="146">
        <v>6.83</v>
      </c>
      <c r="U413" s="145" t="s">
        <v>1671</v>
      </c>
      <c r="V413" s="148">
        <v>4.011E-2</v>
      </c>
      <c r="W413" s="148">
        <v>3.5560000000000001E-2</v>
      </c>
      <c r="X413" s="145" t="s">
        <v>412</v>
      </c>
      <c r="Y413" s="159"/>
      <c r="Z413" s="146">
        <v>23195000</v>
      </c>
      <c r="AA413" s="146">
        <v>1</v>
      </c>
      <c r="AB413" s="146">
        <v>104.52</v>
      </c>
      <c r="AC413" s="151"/>
      <c r="AD413" s="146">
        <v>24243.414000000001</v>
      </c>
      <c r="AE413" s="151"/>
      <c r="AF413" s="151"/>
      <c r="AG413" s="151"/>
      <c r="AH413" s="148">
        <v>2.8750000000000001E-2</v>
      </c>
      <c r="AI413" s="148">
        <v>7.5700000000000003E-3</v>
      </c>
      <c r="AJ413" s="149">
        <v>1E-3</v>
      </c>
      <c r="AK413" s="196"/>
    </row>
    <row r="414" spans="1:37" x14ac:dyDescent="0.2">
      <c r="A414" s="144" t="s">
        <v>1217</v>
      </c>
      <c r="B414" s="145" t="s">
        <v>1217</v>
      </c>
      <c r="C414" s="145" t="s">
        <v>1410</v>
      </c>
      <c r="D414" s="145" t="s">
        <v>1411</v>
      </c>
      <c r="E414" s="145" t="s">
        <v>309</v>
      </c>
      <c r="F414" s="145" t="s">
        <v>1697</v>
      </c>
      <c r="G414" s="145" t="s">
        <v>1698</v>
      </c>
      <c r="H414" s="145" t="s">
        <v>321</v>
      </c>
      <c r="I414" s="145" t="s">
        <v>951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445</v>
      </c>
      <c r="O414" s="145" t="s">
        <v>339</v>
      </c>
      <c r="P414" s="145" t="s">
        <v>1350</v>
      </c>
      <c r="Q414" s="145" t="s">
        <v>413</v>
      </c>
      <c r="R414" s="145" t="s">
        <v>407</v>
      </c>
      <c r="S414" s="145" t="s">
        <v>1210</v>
      </c>
      <c r="T414" s="146">
        <v>2.78</v>
      </c>
      <c r="U414" s="145" t="s">
        <v>1699</v>
      </c>
      <c r="V414" s="148">
        <v>4.7E-2</v>
      </c>
      <c r="W414" s="148">
        <v>4.9200000000000001E-2</v>
      </c>
      <c r="X414" s="145" t="s">
        <v>412</v>
      </c>
      <c r="Y414" s="159"/>
      <c r="Z414" s="146">
        <v>24115000</v>
      </c>
      <c r="AA414" s="146">
        <v>1</v>
      </c>
      <c r="AB414" s="146">
        <v>99.82</v>
      </c>
      <c r="AC414" s="151"/>
      <c r="AD414" s="146">
        <v>24071.593000000001</v>
      </c>
      <c r="AE414" s="151"/>
      <c r="AF414" s="151"/>
      <c r="AG414" s="151"/>
      <c r="AH414" s="148">
        <v>2.682E-2</v>
      </c>
      <c r="AI414" s="148">
        <v>7.5100000000000002E-3</v>
      </c>
      <c r="AJ414" s="149">
        <v>9.8999999999999999E-4</v>
      </c>
      <c r="AK414" s="196"/>
    </row>
    <row r="415" spans="1:37" x14ac:dyDescent="0.2">
      <c r="A415" s="144" t="s">
        <v>1217</v>
      </c>
      <c r="B415" s="145" t="s">
        <v>1217</v>
      </c>
      <c r="C415" s="145" t="s">
        <v>1394</v>
      </c>
      <c r="D415" s="145" t="s">
        <v>1395</v>
      </c>
      <c r="E415" s="145" t="s">
        <v>309</v>
      </c>
      <c r="F415" s="145" t="s">
        <v>1695</v>
      </c>
      <c r="G415" s="145" t="s">
        <v>1696</v>
      </c>
      <c r="H415" s="145" t="s">
        <v>321</v>
      </c>
      <c r="I415" s="145" t="s">
        <v>951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445</v>
      </c>
      <c r="O415" s="145" t="s">
        <v>339</v>
      </c>
      <c r="P415" s="145" t="s">
        <v>1350</v>
      </c>
      <c r="Q415" s="145" t="s">
        <v>413</v>
      </c>
      <c r="R415" s="145" t="s">
        <v>407</v>
      </c>
      <c r="S415" s="145" t="s">
        <v>1210</v>
      </c>
      <c r="T415" s="146">
        <v>6.89</v>
      </c>
      <c r="U415" s="145" t="s">
        <v>1651</v>
      </c>
      <c r="V415" s="148">
        <v>6.0199999999999997E-2</v>
      </c>
      <c r="W415" s="148">
        <v>5.2900000000000003E-2</v>
      </c>
      <c r="X415" s="145" t="s">
        <v>412</v>
      </c>
      <c r="Y415" s="159"/>
      <c r="Z415" s="146">
        <v>22492000</v>
      </c>
      <c r="AA415" s="146">
        <v>1</v>
      </c>
      <c r="AB415" s="146">
        <v>107.02</v>
      </c>
      <c r="AC415" s="151"/>
      <c r="AD415" s="146">
        <v>24070.937999999998</v>
      </c>
      <c r="AE415" s="151"/>
      <c r="AF415" s="151"/>
      <c r="AG415" s="151"/>
      <c r="AH415" s="148">
        <v>4.4979999999999999E-2</v>
      </c>
      <c r="AI415" s="148">
        <v>7.5100000000000002E-3</v>
      </c>
      <c r="AJ415" s="149">
        <v>9.8999999999999999E-4</v>
      </c>
      <c r="AK415" s="196"/>
    </row>
    <row r="416" spans="1:37" x14ac:dyDescent="0.2">
      <c r="A416" s="144" t="s">
        <v>1217</v>
      </c>
      <c r="B416" s="145" t="s">
        <v>1217</v>
      </c>
      <c r="C416" s="145" t="s">
        <v>1623</v>
      </c>
      <c r="D416" s="145" t="s">
        <v>1624</v>
      </c>
      <c r="E416" s="145" t="s">
        <v>309</v>
      </c>
      <c r="F416" s="145" t="s">
        <v>1703</v>
      </c>
      <c r="G416" s="145" t="s">
        <v>1704</v>
      </c>
      <c r="H416" s="145" t="s">
        <v>321</v>
      </c>
      <c r="I416" s="145" t="s">
        <v>754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464</v>
      </c>
      <c r="O416" s="145" t="s">
        <v>339</v>
      </c>
      <c r="P416" s="145" t="s">
        <v>1473</v>
      </c>
      <c r="Q416" s="145" t="s">
        <v>413</v>
      </c>
      <c r="R416" s="145" t="s">
        <v>407</v>
      </c>
      <c r="S416" s="145" t="s">
        <v>1210</v>
      </c>
      <c r="T416" s="146">
        <v>5.36</v>
      </c>
      <c r="U416" s="145" t="s">
        <v>1362</v>
      </c>
      <c r="V416" s="148">
        <v>9.7000000000000003E-3</v>
      </c>
      <c r="W416" s="148">
        <v>3.3239999999999999E-2</v>
      </c>
      <c r="X416" s="145" t="s">
        <v>412</v>
      </c>
      <c r="Y416" s="159"/>
      <c r="Z416" s="146">
        <v>23876469.719999999</v>
      </c>
      <c r="AA416" s="146">
        <v>1</v>
      </c>
      <c r="AB416" s="146">
        <v>100.61</v>
      </c>
      <c r="AC416" s="151"/>
      <c r="AD416" s="146">
        <v>24022.116000000002</v>
      </c>
      <c r="AE416" s="151"/>
      <c r="AF416" s="151"/>
      <c r="AG416" s="151"/>
      <c r="AH416" s="148">
        <v>3.9669999999999997E-2</v>
      </c>
      <c r="AI416" s="148">
        <v>7.4999999999999997E-3</v>
      </c>
      <c r="AJ416" s="149">
        <v>9.8999999999999999E-4</v>
      </c>
      <c r="AK416" s="196"/>
    </row>
    <row r="417" spans="1:37" x14ac:dyDescent="0.2">
      <c r="A417" s="144" t="s">
        <v>1217</v>
      </c>
      <c r="B417" s="145" t="s">
        <v>1217</v>
      </c>
      <c r="C417" s="145" t="s">
        <v>1543</v>
      </c>
      <c r="D417" s="145" t="s">
        <v>1544</v>
      </c>
      <c r="E417" s="145" t="s">
        <v>309</v>
      </c>
      <c r="F417" s="145" t="s">
        <v>1545</v>
      </c>
      <c r="G417" s="145" t="s">
        <v>1546</v>
      </c>
      <c r="H417" s="145" t="s">
        <v>321</v>
      </c>
      <c r="I417" s="145" t="s">
        <v>754</v>
      </c>
      <c r="J417" s="145" t="s">
        <v>204</v>
      </c>
      <c r="K417" s="145" t="s">
        <v>204</v>
      </c>
      <c r="L417" s="145" t="s">
        <v>325</v>
      </c>
      <c r="M417" s="145" t="s">
        <v>340</v>
      </c>
      <c r="N417" s="145" t="s">
        <v>464</v>
      </c>
      <c r="O417" s="145" t="s">
        <v>339</v>
      </c>
      <c r="P417" s="145" t="s">
        <v>1547</v>
      </c>
      <c r="Q417" s="145" t="s">
        <v>413</v>
      </c>
      <c r="R417" s="145" t="s">
        <v>407</v>
      </c>
      <c r="S417" s="145" t="s">
        <v>1210</v>
      </c>
      <c r="T417" s="146">
        <v>6.47</v>
      </c>
      <c r="U417" s="145" t="s">
        <v>1548</v>
      </c>
      <c r="V417" s="148">
        <v>8.9999999999999993E-3</v>
      </c>
      <c r="W417" s="148">
        <v>3.0720000000000001E-2</v>
      </c>
      <c r="X417" s="145" t="s">
        <v>412</v>
      </c>
      <c r="Y417" s="159"/>
      <c r="Z417" s="146">
        <v>22997000</v>
      </c>
      <c r="AA417" s="146">
        <v>1</v>
      </c>
      <c r="AB417" s="146">
        <v>99.26</v>
      </c>
      <c r="AC417" s="151"/>
      <c r="AD417" s="146">
        <v>22826.822</v>
      </c>
      <c r="AE417" s="151"/>
      <c r="AF417" s="151"/>
      <c r="AG417" s="151"/>
      <c r="AH417" s="148">
        <v>8.3599999999999994E-3</v>
      </c>
      <c r="AI417" s="148">
        <v>7.1199999999999996E-3</v>
      </c>
      <c r="AJ417" s="149">
        <v>9.3999999999999997E-4</v>
      </c>
      <c r="AK417" s="196"/>
    </row>
    <row r="418" spans="1:37" x14ac:dyDescent="0.2">
      <c r="A418" s="144" t="s">
        <v>1217</v>
      </c>
      <c r="B418" s="145" t="s">
        <v>1217</v>
      </c>
      <c r="C418" s="145" t="s">
        <v>1326</v>
      </c>
      <c r="D418" s="145" t="s">
        <v>1327</v>
      </c>
      <c r="E418" s="145" t="s">
        <v>309</v>
      </c>
      <c r="F418" s="145" t="s">
        <v>1700</v>
      </c>
      <c r="G418" s="145" t="s">
        <v>1701</v>
      </c>
      <c r="H418" s="145" t="s">
        <v>321</v>
      </c>
      <c r="I418" s="145" t="s">
        <v>754</v>
      </c>
      <c r="J418" s="145" t="s">
        <v>204</v>
      </c>
      <c r="K418" s="145" t="s">
        <v>204</v>
      </c>
      <c r="L418" s="145" t="s">
        <v>325</v>
      </c>
      <c r="M418" s="145" t="s">
        <v>340</v>
      </c>
      <c r="N418" s="145" t="s">
        <v>448</v>
      </c>
      <c r="O418" s="145" t="s">
        <v>339</v>
      </c>
      <c r="P418" s="145" t="s">
        <v>1330</v>
      </c>
      <c r="Q418" s="145" t="s">
        <v>413</v>
      </c>
      <c r="R418" s="145" t="s">
        <v>407</v>
      </c>
      <c r="S418" s="145" t="s">
        <v>1210</v>
      </c>
      <c r="T418" s="146">
        <v>3.53</v>
      </c>
      <c r="U418" s="145" t="s">
        <v>1702</v>
      </c>
      <c r="V418" s="148">
        <v>1.6400000000000001E-2</v>
      </c>
      <c r="W418" s="148">
        <v>2.5860000000000001E-2</v>
      </c>
      <c r="X418" s="145" t="s">
        <v>412</v>
      </c>
      <c r="Y418" s="159"/>
      <c r="Z418" s="146">
        <v>21778400.940000001</v>
      </c>
      <c r="AA418" s="146">
        <v>1</v>
      </c>
      <c r="AB418" s="146">
        <v>104.35</v>
      </c>
      <c r="AC418" s="151"/>
      <c r="AD418" s="146">
        <v>22725.760999999999</v>
      </c>
      <c r="AE418" s="151"/>
      <c r="AF418" s="151"/>
      <c r="AG418" s="151"/>
      <c r="AH418" s="148">
        <v>2.3140000000000001E-2</v>
      </c>
      <c r="AI418" s="148">
        <v>7.0899999999999999E-3</v>
      </c>
      <c r="AJ418" s="149">
        <v>9.3000000000000005E-4</v>
      </c>
      <c r="AK418" s="196"/>
    </row>
    <row r="419" spans="1:37" x14ac:dyDescent="0.2">
      <c r="A419" s="144" t="s">
        <v>1217</v>
      </c>
      <c r="B419" s="145" t="s">
        <v>1217</v>
      </c>
      <c r="C419" s="145" t="s">
        <v>1558</v>
      </c>
      <c r="D419" s="145" t="s">
        <v>1559</v>
      </c>
      <c r="E419" s="145" t="s">
        <v>309</v>
      </c>
      <c r="F419" s="145" t="s">
        <v>1705</v>
      </c>
      <c r="G419" s="145" t="s">
        <v>1706</v>
      </c>
      <c r="H419" s="145" t="s">
        <v>321</v>
      </c>
      <c r="I419" s="145" t="s">
        <v>754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464</v>
      </c>
      <c r="O419" s="145" t="s">
        <v>339</v>
      </c>
      <c r="P419" s="145" t="s">
        <v>1562</v>
      </c>
      <c r="Q419" s="145" t="s">
        <v>413</v>
      </c>
      <c r="R419" s="145" t="s">
        <v>407</v>
      </c>
      <c r="S419" s="145" t="s">
        <v>1210</v>
      </c>
      <c r="T419" s="146">
        <v>3.08</v>
      </c>
      <c r="U419" s="145" t="s">
        <v>1529</v>
      </c>
      <c r="V419" s="148">
        <v>2.7E-2</v>
      </c>
      <c r="W419" s="148">
        <v>3.3099999999999997E-2</v>
      </c>
      <c r="X419" s="145" t="s">
        <v>412</v>
      </c>
      <c r="Y419" s="159"/>
      <c r="Z419" s="146">
        <v>21178800</v>
      </c>
      <c r="AA419" s="146">
        <v>1</v>
      </c>
      <c r="AB419" s="146">
        <v>106.11</v>
      </c>
      <c r="AC419" s="151"/>
      <c r="AD419" s="146">
        <v>22472.825000000001</v>
      </c>
      <c r="AE419" s="151"/>
      <c r="AF419" s="151"/>
      <c r="AG419" s="151"/>
      <c r="AH419" s="148">
        <v>5.3769999999999998E-2</v>
      </c>
      <c r="AI419" s="148">
        <v>7.0099999999999997E-3</v>
      </c>
      <c r="AJ419" s="149">
        <v>9.2000000000000003E-4</v>
      </c>
      <c r="AK419" s="196"/>
    </row>
    <row r="420" spans="1:37" x14ac:dyDescent="0.2">
      <c r="A420" s="144" t="s">
        <v>1217</v>
      </c>
      <c r="B420" s="145" t="s">
        <v>1217</v>
      </c>
      <c r="C420" s="145" t="s">
        <v>1558</v>
      </c>
      <c r="D420" s="145" t="s">
        <v>1559</v>
      </c>
      <c r="E420" s="145" t="s">
        <v>309</v>
      </c>
      <c r="F420" s="145" t="s">
        <v>1560</v>
      </c>
      <c r="G420" s="145" t="s">
        <v>1561</v>
      </c>
      <c r="H420" s="145" t="s">
        <v>321</v>
      </c>
      <c r="I420" s="145" t="s">
        <v>754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464</v>
      </c>
      <c r="O420" s="145" t="s">
        <v>339</v>
      </c>
      <c r="P420" s="145" t="s">
        <v>1562</v>
      </c>
      <c r="Q420" s="145" t="s">
        <v>413</v>
      </c>
      <c r="R420" s="145" t="s">
        <v>407</v>
      </c>
      <c r="S420" s="145" t="s">
        <v>1210</v>
      </c>
      <c r="T420" s="146">
        <v>2.4900000000000002</v>
      </c>
      <c r="U420" s="145" t="s">
        <v>1494</v>
      </c>
      <c r="V420" s="148">
        <v>1.7999999999999999E-2</v>
      </c>
      <c r="W420" s="148">
        <v>2.9749999999999999E-2</v>
      </c>
      <c r="X420" s="145" t="s">
        <v>412</v>
      </c>
      <c r="Y420" s="159"/>
      <c r="Z420" s="146">
        <v>19350938.059999999</v>
      </c>
      <c r="AA420" s="146">
        <v>1</v>
      </c>
      <c r="AB420" s="146">
        <v>113.34</v>
      </c>
      <c r="AC420" s="151"/>
      <c r="AD420" s="146">
        <v>21932.352999999999</v>
      </c>
      <c r="AE420" s="151"/>
      <c r="AF420" s="151"/>
      <c r="AG420" s="151"/>
      <c r="AH420" s="148">
        <v>2.6169999999999999E-2</v>
      </c>
      <c r="AI420" s="148">
        <v>6.8500000000000002E-3</v>
      </c>
      <c r="AJ420" s="149">
        <v>8.9999999999999998E-4</v>
      </c>
      <c r="AK420" s="196"/>
    </row>
    <row r="421" spans="1:37" x14ac:dyDescent="0.2">
      <c r="A421" s="144" t="s">
        <v>1217</v>
      </c>
      <c r="B421" s="145" t="s">
        <v>1217</v>
      </c>
      <c r="C421" s="145" t="s">
        <v>1318</v>
      </c>
      <c r="D421" s="145" t="s">
        <v>1319</v>
      </c>
      <c r="E421" s="145" t="s">
        <v>313</v>
      </c>
      <c r="F421" s="145" t="s">
        <v>1464</v>
      </c>
      <c r="G421" s="145" t="s">
        <v>1465</v>
      </c>
      <c r="H421" s="145" t="s">
        <v>321</v>
      </c>
      <c r="I421" s="145" t="s">
        <v>754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440</v>
      </c>
      <c r="O421" s="145" t="s">
        <v>339</v>
      </c>
      <c r="P421" s="145" t="s">
        <v>1209</v>
      </c>
      <c r="Q421" s="145" t="s">
        <v>415</v>
      </c>
      <c r="R421" s="145" t="s">
        <v>407</v>
      </c>
      <c r="S421" s="145" t="s">
        <v>1210</v>
      </c>
      <c r="T421" s="146">
        <v>0.9</v>
      </c>
      <c r="U421" s="145" t="s">
        <v>1466</v>
      </c>
      <c r="V421" s="148">
        <v>4.4999999999999998E-2</v>
      </c>
      <c r="W421" s="148">
        <v>2.3970000000000002E-2</v>
      </c>
      <c r="X421" s="145" t="s">
        <v>412</v>
      </c>
      <c r="Y421" s="159"/>
      <c r="Z421" s="146">
        <v>18156986</v>
      </c>
      <c r="AA421" s="146">
        <v>1</v>
      </c>
      <c r="AB421" s="146">
        <v>119.86</v>
      </c>
      <c r="AC421" s="151"/>
      <c r="AD421" s="146">
        <v>21762.963</v>
      </c>
      <c r="AE421" s="151"/>
      <c r="AF421" s="151"/>
      <c r="AG421" s="151"/>
      <c r="AH421" s="148">
        <v>1.2290000000000001E-2</v>
      </c>
      <c r="AI421" s="148">
        <v>6.79E-3</v>
      </c>
      <c r="AJ421" s="149">
        <v>8.9999999999999998E-4</v>
      </c>
      <c r="AK421" s="196"/>
    </row>
    <row r="422" spans="1:37" x14ac:dyDescent="0.2">
      <c r="A422" s="144" t="s">
        <v>1217</v>
      </c>
      <c r="B422" s="145" t="s">
        <v>1217</v>
      </c>
      <c r="C422" s="145" t="s">
        <v>1581</v>
      </c>
      <c r="D422" s="145" t="s">
        <v>1582</v>
      </c>
      <c r="E422" s="145" t="s">
        <v>309</v>
      </c>
      <c r="F422" s="145" t="s">
        <v>1710</v>
      </c>
      <c r="G422" s="145" t="s">
        <v>1711</v>
      </c>
      <c r="H422" s="145" t="s">
        <v>321</v>
      </c>
      <c r="I422" s="145" t="s">
        <v>754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464</v>
      </c>
      <c r="O422" s="145" t="s">
        <v>339</v>
      </c>
      <c r="P422" s="145" t="s">
        <v>1392</v>
      </c>
      <c r="Q422" s="145" t="s">
        <v>413</v>
      </c>
      <c r="R422" s="145" t="s">
        <v>407</v>
      </c>
      <c r="S422" s="145" t="s">
        <v>1210</v>
      </c>
      <c r="T422" s="146">
        <v>4.92</v>
      </c>
      <c r="U422" s="145" t="s">
        <v>1712</v>
      </c>
      <c r="V422" s="148">
        <v>2.5999999999999999E-2</v>
      </c>
      <c r="W422" s="148">
        <v>2.827E-2</v>
      </c>
      <c r="X422" s="145" t="s">
        <v>412</v>
      </c>
      <c r="Y422" s="159"/>
      <c r="Z422" s="146">
        <v>20974000</v>
      </c>
      <c r="AA422" s="146">
        <v>1</v>
      </c>
      <c r="AB422" s="146">
        <v>103.33</v>
      </c>
      <c r="AC422" s="151"/>
      <c r="AD422" s="146">
        <v>21672.434000000001</v>
      </c>
      <c r="AE422" s="151"/>
      <c r="AF422" s="151"/>
      <c r="AG422" s="151"/>
      <c r="AH422" s="148">
        <v>3.9129999999999998E-2</v>
      </c>
      <c r="AI422" s="148">
        <v>6.7600000000000004E-3</v>
      </c>
      <c r="AJ422" s="149">
        <v>8.8999999999999995E-4</v>
      </c>
      <c r="AK422" s="196"/>
    </row>
    <row r="423" spans="1:37" x14ac:dyDescent="0.2">
      <c r="A423" s="144" t="s">
        <v>1217</v>
      </c>
      <c r="B423" s="145" t="s">
        <v>1217</v>
      </c>
      <c r="C423" s="145" t="s">
        <v>1716</v>
      </c>
      <c r="D423" s="145" t="s">
        <v>1717</v>
      </c>
      <c r="E423" s="145" t="s">
        <v>309</v>
      </c>
      <c r="F423" s="145" t="s">
        <v>1718</v>
      </c>
      <c r="G423" s="145" t="s">
        <v>1719</v>
      </c>
      <c r="H423" s="145" t="s">
        <v>321</v>
      </c>
      <c r="I423" s="145" t="s">
        <v>754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477</v>
      </c>
      <c r="O423" s="145" t="s">
        <v>339</v>
      </c>
      <c r="P423" s="145" t="s">
        <v>1330</v>
      </c>
      <c r="Q423" s="145" t="s">
        <v>413</v>
      </c>
      <c r="R423" s="145" t="s">
        <v>407</v>
      </c>
      <c r="S423" s="145" t="s">
        <v>1210</v>
      </c>
      <c r="T423" s="146">
        <v>11.71</v>
      </c>
      <c r="U423" s="145" t="s">
        <v>1720</v>
      </c>
      <c r="V423" s="148">
        <v>2.07E-2</v>
      </c>
      <c r="W423" s="148">
        <v>2.9860000000000001E-2</v>
      </c>
      <c r="X423" s="145" t="s">
        <v>412</v>
      </c>
      <c r="Y423" s="159"/>
      <c r="Z423" s="146">
        <v>20692572.129999999</v>
      </c>
      <c r="AA423" s="146">
        <v>1</v>
      </c>
      <c r="AB423" s="146">
        <v>102.91</v>
      </c>
      <c r="AC423" s="151"/>
      <c r="AD423" s="146">
        <v>21294.725999999999</v>
      </c>
      <c r="AE423" s="151"/>
      <c r="AF423" s="151"/>
      <c r="AG423" s="151"/>
      <c r="AH423" s="148">
        <v>3.7799999999999999E-3</v>
      </c>
      <c r="AI423" s="148">
        <v>6.6499999999999997E-3</v>
      </c>
      <c r="AJ423" s="149">
        <v>8.8000000000000003E-4</v>
      </c>
      <c r="AK423" s="196"/>
    </row>
    <row r="424" spans="1:37" x14ac:dyDescent="0.2">
      <c r="A424" s="144" t="s">
        <v>1217</v>
      </c>
      <c r="B424" s="145" t="s">
        <v>1217</v>
      </c>
      <c r="C424" s="145" t="s">
        <v>1326</v>
      </c>
      <c r="D424" s="145" t="s">
        <v>1327</v>
      </c>
      <c r="E424" s="145" t="s">
        <v>309</v>
      </c>
      <c r="F424" s="145" t="s">
        <v>1707</v>
      </c>
      <c r="G424" s="145" t="s">
        <v>1708</v>
      </c>
      <c r="H424" s="145" t="s">
        <v>321</v>
      </c>
      <c r="I424" s="145" t="s">
        <v>951</v>
      </c>
      <c r="J424" s="145" t="s">
        <v>204</v>
      </c>
      <c r="K424" s="145" t="s">
        <v>204</v>
      </c>
      <c r="L424" s="145" t="s">
        <v>325</v>
      </c>
      <c r="M424" s="145" t="s">
        <v>340</v>
      </c>
      <c r="N424" s="145" t="s">
        <v>448</v>
      </c>
      <c r="O424" s="145" t="s">
        <v>339</v>
      </c>
      <c r="P424" s="145" t="s">
        <v>1330</v>
      </c>
      <c r="Q424" s="145" t="s">
        <v>413</v>
      </c>
      <c r="R424" s="145" t="s">
        <v>407</v>
      </c>
      <c r="S424" s="145" t="s">
        <v>1210</v>
      </c>
      <c r="T424" s="146">
        <v>2.75</v>
      </c>
      <c r="U424" s="145" t="s">
        <v>1709</v>
      </c>
      <c r="V424" s="148">
        <v>2.7400000000000001E-2</v>
      </c>
      <c r="W424" s="148">
        <v>4.666E-2</v>
      </c>
      <c r="X424" s="145" t="s">
        <v>412</v>
      </c>
      <c r="Y424" s="159"/>
      <c r="Z424" s="146">
        <v>21778400.940000001</v>
      </c>
      <c r="AA424" s="146">
        <v>1</v>
      </c>
      <c r="AB424" s="146">
        <v>97.47</v>
      </c>
      <c r="AC424" s="151"/>
      <c r="AD424" s="146">
        <v>21227.406999999999</v>
      </c>
      <c r="AE424" s="151"/>
      <c r="AF424" s="151"/>
      <c r="AG424" s="151"/>
      <c r="AH424" s="148">
        <v>1.4540000000000001E-2</v>
      </c>
      <c r="AI424" s="148">
        <v>6.6299999999999996E-3</v>
      </c>
      <c r="AJ424" s="149">
        <v>8.7000000000000001E-4</v>
      </c>
      <c r="AK424" s="196"/>
    </row>
    <row r="425" spans="1:37" x14ac:dyDescent="0.2">
      <c r="A425" s="144" t="s">
        <v>1217</v>
      </c>
      <c r="B425" s="145" t="s">
        <v>1217</v>
      </c>
      <c r="C425" s="145" t="s">
        <v>1558</v>
      </c>
      <c r="D425" s="145" t="s">
        <v>1559</v>
      </c>
      <c r="E425" s="145" t="s">
        <v>309</v>
      </c>
      <c r="F425" s="145" t="s">
        <v>1713</v>
      </c>
      <c r="G425" s="145" t="s">
        <v>1714</v>
      </c>
      <c r="H425" s="145" t="s">
        <v>321</v>
      </c>
      <c r="I425" s="145" t="s">
        <v>754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464</v>
      </c>
      <c r="O425" s="145" t="s">
        <v>339</v>
      </c>
      <c r="P425" s="145" t="s">
        <v>1439</v>
      </c>
      <c r="Q425" s="145" t="s">
        <v>413</v>
      </c>
      <c r="R425" s="145" t="s">
        <v>407</v>
      </c>
      <c r="S425" s="145" t="s">
        <v>1210</v>
      </c>
      <c r="T425" s="146">
        <v>4.38</v>
      </c>
      <c r="U425" s="145" t="s">
        <v>1715</v>
      </c>
      <c r="V425" s="148">
        <v>4.4499999999999998E-2</v>
      </c>
      <c r="W425" s="148">
        <v>3.8440000000000002E-2</v>
      </c>
      <c r="X425" s="145" t="s">
        <v>412</v>
      </c>
      <c r="Y425" s="159"/>
      <c r="Z425" s="146">
        <v>19611000</v>
      </c>
      <c r="AA425" s="146">
        <v>1</v>
      </c>
      <c r="AB425" s="146">
        <v>107.49</v>
      </c>
      <c r="AC425" s="151"/>
      <c r="AD425" s="146">
        <v>21079.864000000001</v>
      </c>
      <c r="AE425" s="151"/>
      <c r="AF425" s="151"/>
      <c r="AG425" s="151"/>
      <c r="AH425" s="148">
        <v>4.3580000000000001E-2</v>
      </c>
      <c r="AI425" s="148">
        <v>6.5799999999999999E-3</v>
      </c>
      <c r="AJ425" s="149">
        <v>8.7000000000000001E-4</v>
      </c>
      <c r="AK425" s="196"/>
    </row>
    <row r="426" spans="1:37" x14ac:dyDescent="0.2">
      <c r="A426" s="144" t="s">
        <v>1217</v>
      </c>
      <c r="B426" s="145" t="s">
        <v>1217</v>
      </c>
      <c r="C426" s="145" t="s">
        <v>1516</v>
      </c>
      <c r="D426" s="145" t="s">
        <v>1517</v>
      </c>
      <c r="E426" s="145" t="s">
        <v>309</v>
      </c>
      <c r="F426" s="145" t="s">
        <v>1729</v>
      </c>
      <c r="G426" s="145" t="s">
        <v>1730</v>
      </c>
      <c r="H426" s="145" t="s">
        <v>321</v>
      </c>
      <c r="I426" s="145" t="s">
        <v>951</v>
      </c>
      <c r="J426" s="145" t="s">
        <v>204</v>
      </c>
      <c r="K426" s="145" t="s">
        <v>293</v>
      </c>
      <c r="L426" s="145" t="s">
        <v>325</v>
      </c>
      <c r="M426" s="145" t="s">
        <v>340</v>
      </c>
      <c r="N426" s="145" t="s">
        <v>465</v>
      </c>
      <c r="O426" s="145" t="s">
        <v>339</v>
      </c>
      <c r="P426" s="145" t="s">
        <v>1520</v>
      </c>
      <c r="Q426" s="145" t="s">
        <v>415</v>
      </c>
      <c r="R426" s="145" t="s">
        <v>407</v>
      </c>
      <c r="S426" s="145" t="s">
        <v>1210</v>
      </c>
      <c r="T426" s="146">
        <v>5.87</v>
      </c>
      <c r="U426" s="145" t="s">
        <v>1671</v>
      </c>
      <c r="V426" s="148">
        <v>5.5899999999999998E-2</v>
      </c>
      <c r="W426" s="148">
        <v>5.8270000000000002E-2</v>
      </c>
      <c r="X426" s="145" t="s">
        <v>412</v>
      </c>
      <c r="Y426" s="159"/>
      <c r="Z426" s="146">
        <v>21207000</v>
      </c>
      <c r="AA426" s="146">
        <v>1</v>
      </c>
      <c r="AB426" s="146">
        <v>99.28</v>
      </c>
      <c r="AC426" s="151"/>
      <c r="AD426" s="146">
        <v>21054.31</v>
      </c>
      <c r="AE426" s="151"/>
      <c r="AF426" s="151"/>
      <c r="AG426" s="151"/>
      <c r="AH426" s="148">
        <v>9.4810000000000005E-2</v>
      </c>
      <c r="AI426" s="148">
        <v>6.5700000000000003E-3</v>
      </c>
      <c r="AJ426" s="149">
        <v>8.7000000000000001E-4</v>
      </c>
      <c r="AK426" s="196"/>
    </row>
    <row r="427" spans="1:37" x14ac:dyDescent="0.2">
      <c r="A427" s="144" t="s">
        <v>1217</v>
      </c>
      <c r="B427" s="145" t="s">
        <v>1217</v>
      </c>
      <c r="C427" s="145" t="s">
        <v>1600</v>
      </c>
      <c r="D427" s="145" t="s">
        <v>1601</v>
      </c>
      <c r="E427" s="145" t="s">
        <v>309</v>
      </c>
      <c r="F427" s="145" t="s">
        <v>1721</v>
      </c>
      <c r="G427" s="145" t="s">
        <v>1722</v>
      </c>
      <c r="H427" s="145" t="s">
        <v>321</v>
      </c>
      <c r="I427" s="145" t="s">
        <v>951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464</v>
      </c>
      <c r="O427" s="145" t="s">
        <v>339</v>
      </c>
      <c r="P427" s="145" t="s">
        <v>1520</v>
      </c>
      <c r="Q427" s="145" t="s">
        <v>415</v>
      </c>
      <c r="R427" s="145" t="s">
        <v>407</v>
      </c>
      <c r="S427" s="145" t="s">
        <v>1210</v>
      </c>
      <c r="T427" s="146">
        <v>4.99</v>
      </c>
      <c r="U427" s="145" t="s">
        <v>1723</v>
      </c>
      <c r="V427" s="148">
        <v>5.4800000000000001E-2</v>
      </c>
      <c r="W427" s="148">
        <v>5.3800000000000001E-2</v>
      </c>
      <c r="X427" s="145" t="s">
        <v>412</v>
      </c>
      <c r="Y427" s="159"/>
      <c r="Z427" s="146">
        <v>20498000</v>
      </c>
      <c r="AA427" s="146">
        <v>1</v>
      </c>
      <c r="AB427" s="146">
        <v>102.2</v>
      </c>
      <c r="AC427" s="151"/>
      <c r="AD427" s="146">
        <v>20948.955999999998</v>
      </c>
      <c r="AE427" s="151"/>
      <c r="AF427" s="151"/>
      <c r="AG427" s="151"/>
      <c r="AH427" s="148">
        <v>6.8330000000000002E-2</v>
      </c>
      <c r="AI427" s="148">
        <v>6.5399999999999998E-3</v>
      </c>
      <c r="AJ427" s="149">
        <v>8.5999999999999998E-4</v>
      </c>
      <c r="AK427" s="196"/>
    </row>
    <row r="428" spans="1:37" x14ac:dyDescent="0.2">
      <c r="A428" s="144" t="s">
        <v>1217</v>
      </c>
      <c r="B428" s="145" t="s">
        <v>1217</v>
      </c>
      <c r="C428" s="145" t="s">
        <v>1724</v>
      </c>
      <c r="D428" s="145" t="s">
        <v>1725</v>
      </c>
      <c r="E428" s="145" t="s">
        <v>309</v>
      </c>
      <c r="F428" s="145" t="s">
        <v>1726</v>
      </c>
      <c r="G428" s="145" t="s">
        <v>1727</v>
      </c>
      <c r="H428" s="145" t="s">
        <v>321</v>
      </c>
      <c r="I428" s="145" t="s">
        <v>754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464</v>
      </c>
      <c r="O428" s="145" t="s">
        <v>339</v>
      </c>
      <c r="P428" s="145" t="s">
        <v>1392</v>
      </c>
      <c r="Q428" s="145" t="s">
        <v>413</v>
      </c>
      <c r="R428" s="145" t="s">
        <v>407</v>
      </c>
      <c r="S428" s="145" t="s">
        <v>1210</v>
      </c>
      <c r="T428" s="146">
        <v>5.36</v>
      </c>
      <c r="U428" s="145" t="s">
        <v>1728</v>
      </c>
      <c r="V428" s="148">
        <v>3.5000000000000001E-3</v>
      </c>
      <c r="W428" s="148">
        <v>3.125E-2</v>
      </c>
      <c r="X428" s="145" t="s">
        <v>412</v>
      </c>
      <c r="Y428" s="159"/>
      <c r="Z428" s="146">
        <v>21400000</v>
      </c>
      <c r="AA428" s="146">
        <v>1</v>
      </c>
      <c r="AB428" s="146">
        <v>97.32</v>
      </c>
      <c r="AC428" s="151"/>
      <c r="AD428" s="146">
        <v>20826.48</v>
      </c>
      <c r="AE428" s="151"/>
      <c r="AF428" s="151"/>
      <c r="AG428" s="151"/>
      <c r="AH428" s="148">
        <v>6.1399999999999996E-3</v>
      </c>
      <c r="AI428" s="148">
        <v>6.4999999999999997E-3</v>
      </c>
      <c r="AJ428" s="149">
        <v>8.5999999999999998E-4</v>
      </c>
      <c r="AK428" s="196"/>
    </row>
    <row r="429" spans="1:37" x14ac:dyDescent="0.2">
      <c r="A429" s="144" t="s">
        <v>1217</v>
      </c>
      <c r="B429" s="145" t="s">
        <v>1217</v>
      </c>
      <c r="C429" s="145" t="s">
        <v>1402</v>
      </c>
      <c r="D429" s="145" t="s">
        <v>1403</v>
      </c>
      <c r="E429" s="145" t="s">
        <v>309</v>
      </c>
      <c r="F429" s="145" t="s">
        <v>1448</v>
      </c>
      <c r="G429" s="145" t="s">
        <v>1449</v>
      </c>
      <c r="H429" s="145" t="s">
        <v>321</v>
      </c>
      <c r="I429" s="145" t="s">
        <v>754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445</v>
      </c>
      <c r="O429" s="145" t="s">
        <v>339</v>
      </c>
      <c r="P429" s="145" t="s">
        <v>1406</v>
      </c>
      <c r="Q429" s="145" t="s">
        <v>415</v>
      </c>
      <c r="R429" s="145" t="s">
        <v>407</v>
      </c>
      <c r="S429" s="145" t="s">
        <v>1210</v>
      </c>
      <c r="T429" s="146">
        <v>4.68</v>
      </c>
      <c r="U429" s="145" t="s">
        <v>1450</v>
      </c>
      <c r="V429" s="148">
        <v>4.6899999999999997E-2</v>
      </c>
      <c r="W429" s="148">
        <v>5.033E-2</v>
      </c>
      <c r="X429" s="145" t="s">
        <v>412</v>
      </c>
      <c r="Y429" s="159"/>
      <c r="Z429" s="146">
        <v>20993000</v>
      </c>
      <c r="AA429" s="146">
        <v>1</v>
      </c>
      <c r="AB429" s="146">
        <v>98.85</v>
      </c>
      <c r="AC429" s="151"/>
      <c r="AD429" s="146">
        <v>20751.580999999998</v>
      </c>
      <c r="AE429" s="151"/>
      <c r="AF429" s="151"/>
      <c r="AG429" s="151"/>
      <c r="AH429" s="148">
        <v>4.199E-2</v>
      </c>
      <c r="AI429" s="148">
        <v>6.4799999999999996E-3</v>
      </c>
      <c r="AJ429" s="149">
        <v>8.4999999999999995E-4</v>
      </c>
      <c r="AK429" s="196"/>
    </row>
    <row r="430" spans="1:37" x14ac:dyDescent="0.2">
      <c r="A430" s="144" t="s">
        <v>1217</v>
      </c>
      <c r="B430" s="145" t="s">
        <v>1217</v>
      </c>
      <c r="C430" s="145" t="s">
        <v>1733</v>
      </c>
      <c r="D430" s="145" t="s">
        <v>1734</v>
      </c>
      <c r="E430" s="145" t="s">
        <v>309</v>
      </c>
      <c r="F430" s="145" t="s">
        <v>1735</v>
      </c>
      <c r="G430" s="145" t="s">
        <v>1736</v>
      </c>
      <c r="H430" s="145" t="s">
        <v>321</v>
      </c>
      <c r="I430" s="145" t="s">
        <v>754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448</v>
      </c>
      <c r="O430" s="145" t="s">
        <v>339</v>
      </c>
      <c r="P430" s="145" t="s">
        <v>1330</v>
      </c>
      <c r="Q430" s="145" t="s">
        <v>413</v>
      </c>
      <c r="R430" s="145" t="s">
        <v>407</v>
      </c>
      <c r="S430" s="145" t="s">
        <v>1210</v>
      </c>
      <c r="T430" s="146">
        <v>1.67</v>
      </c>
      <c r="U430" s="145" t="s">
        <v>1737</v>
      </c>
      <c r="V430" s="148">
        <v>1E-3</v>
      </c>
      <c r="W430" s="148">
        <v>2.4340000000000001E-2</v>
      </c>
      <c r="X430" s="145" t="s">
        <v>412</v>
      </c>
      <c r="Y430" s="159"/>
      <c r="Z430" s="146">
        <v>18933000</v>
      </c>
      <c r="AA430" s="146">
        <v>1</v>
      </c>
      <c r="AB430" s="146">
        <v>108.5</v>
      </c>
      <c r="AC430" s="151"/>
      <c r="AD430" s="146">
        <v>20542.305</v>
      </c>
      <c r="AE430" s="151"/>
      <c r="AF430" s="151"/>
      <c r="AG430" s="151"/>
      <c r="AH430" s="148">
        <v>4.0550000000000003E-2</v>
      </c>
      <c r="AI430" s="148">
        <v>6.4099999999999999E-3</v>
      </c>
      <c r="AJ430" s="149">
        <v>8.4999999999999995E-4</v>
      </c>
      <c r="AK430" s="196"/>
    </row>
    <row r="431" spans="1:37" x14ac:dyDescent="0.2">
      <c r="A431" s="144" t="s">
        <v>1217</v>
      </c>
      <c r="B431" s="145" t="s">
        <v>1217</v>
      </c>
      <c r="C431" s="145" t="s">
        <v>1600</v>
      </c>
      <c r="D431" s="145" t="s">
        <v>1601</v>
      </c>
      <c r="E431" s="145" t="s">
        <v>309</v>
      </c>
      <c r="F431" s="145" t="s">
        <v>1731</v>
      </c>
      <c r="G431" s="145" t="s">
        <v>1732</v>
      </c>
      <c r="H431" s="145" t="s">
        <v>321</v>
      </c>
      <c r="I431" s="145" t="s">
        <v>951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464</v>
      </c>
      <c r="O431" s="145" t="s">
        <v>339</v>
      </c>
      <c r="P431" s="145" t="s">
        <v>1520</v>
      </c>
      <c r="Q431" s="145" t="s">
        <v>415</v>
      </c>
      <c r="R431" s="145" t="s">
        <v>407</v>
      </c>
      <c r="S431" s="145" t="s">
        <v>1210</v>
      </c>
      <c r="T431" s="146">
        <v>6.66</v>
      </c>
      <c r="U431" s="145" t="s">
        <v>1393</v>
      </c>
      <c r="V431" s="148">
        <v>5.2900000000000003E-2</v>
      </c>
      <c r="W431" s="148">
        <v>5.527E-2</v>
      </c>
      <c r="X431" s="145" t="s">
        <v>412</v>
      </c>
      <c r="Y431" s="159"/>
      <c r="Z431" s="146">
        <v>19749098</v>
      </c>
      <c r="AA431" s="146">
        <v>1</v>
      </c>
      <c r="AB431" s="146">
        <v>99.53</v>
      </c>
      <c r="AC431" s="151"/>
      <c r="AD431" s="146">
        <v>19656.276999999998</v>
      </c>
      <c r="AE431" s="151"/>
      <c r="AF431" s="151"/>
      <c r="AG431" s="151"/>
      <c r="AH431" s="148">
        <v>9.8750000000000004E-2</v>
      </c>
      <c r="AI431" s="148">
        <v>6.1399999999999996E-3</v>
      </c>
      <c r="AJ431" s="149">
        <v>8.0999999999999996E-4</v>
      </c>
      <c r="AK431" s="196"/>
    </row>
    <row r="432" spans="1:37" x14ac:dyDescent="0.2">
      <c r="A432" s="144" t="s">
        <v>1217</v>
      </c>
      <c r="B432" s="145" t="s">
        <v>1217</v>
      </c>
      <c r="C432" s="145" t="s">
        <v>1429</v>
      </c>
      <c r="D432" s="145" t="s">
        <v>1430</v>
      </c>
      <c r="E432" s="145" t="s">
        <v>309</v>
      </c>
      <c r="F432" s="145" t="s">
        <v>1552</v>
      </c>
      <c r="G432" s="145" t="s">
        <v>1553</v>
      </c>
      <c r="H432" s="145" t="s">
        <v>321</v>
      </c>
      <c r="I432" s="145" t="s">
        <v>754</v>
      </c>
      <c r="J432" s="145" t="s">
        <v>204</v>
      </c>
      <c r="K432" s="145" t="s">
        <v>293</v>
      </c>
      <c r="L432" s="145" t="s">
        <v>325</v>
      </c>
      <c r="M432" s="145" t="s">
        <v>340</v>
      </c>
      <c r="N432" s="145" t="s">
        <v>465</v>
      </c>
      <c r="O432" s="145" t="s">
        <v>339</v>
      </c>
      <c r="P432" s="145" t="s">
        <v>1433</v>
      </c>
      <c r="Q432" s="145" t="s">
        <v>415</v>
      </c>
      <c r="R432" s="145" t="s">
        <v>407</v>
      </c>
      <c r="S432" s="145" t="s">
        <v>1210</v>
      </c>
      <c r="T432" s="146">
        <v>4.7</v>
      </c>
      <c r="U432" s="145" t="s">
        <v>1554</v>
      </c>
      <c r="V432" s="148">
        <v>1.54E-2</v>
      </c>
      <c r="W432" s="148">
        <v>3.2770000000000001E-2</v>
      </c>
      <c r="X432" s="145" t="s">
        <v>412</v>
      </c>
      <c r="Y432" s="159"/>
      <c r="Z432" s="146">
        <v>18847000</v>
      </c>
      <c r="AA432" s="146">
        <v>1</v>
      </c>
      <c r="AB432" s="146">
        <v>103.7</v>
      </c>
      <c r="AC432" s="151"/>
      <c r="AD432" s="146">
        <v>19544.339</v>
      </c>
      <c r="AE432" s="151"/>
      <c r="AF432" s="151"/>
      <c r="AG432" s="151"/>
      <c r="AH432" s="148">
        <v>3.1600000000000003E-2</v>
      </c>
      <c r="AI432" s="148">
        <v>6.1000000000000004E-3</v>
      </c>
      <c r="AJ432" s="149">
        <v>8.0000000000000004E-4</v>
      </c>
      <c r="AK432" s="196"/>
    </row>
    <row r="433" spans="1:37" x14ac:dyDescent="0.2">
      <c r="A433" s="144" t="s">
        <v>1217</v>
      </c>
      <c r="B433" s="145" t="s">
        <v>1217</v>
      </c>
      <c r="C433" s="145" t="s">
        <v>1326</v>
      </c>
      <c r="D433" s="145" t="s">
        <v>1327</v>
      </c>
      <c r="E433" s="145" t="s">
        <v>309</v>
      </c>
      <c r="F433" s="145" t="s">
        <v>1451</v>
      </c>
      <c r="G433" s="145" t="s">
        <v>1452</v>
      </c>
      <c r="H433" s="145" t="s">
        <v>321</v>
      </c>
      <c r="I433" s="145" t="s">
        <v>754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448</v>
      </c>
      <c r="O433" s="145" t="s">
        <v>339</v>
      </c>
      <c r="P433" s="145" t="s">
        <v>1330</v>
      </c>
      <c r="Q433" s="145" t="s">
        <v>413</v>
      </c>
      <c r="R433" s="145" t="s">
        <v>407</v>
      </c>
      <c r="S433" s="145" t="s">
        <v>1210</v>
      </c>
      <c r="T433" s="146">
        <v>4.45</v>
      </c>
      <c r="U433" s="145" t="s">
        <v>1453</v>
      </c>
      <c r="V433" s="148">
        <v>1.9900000000000001E-2</v>
      </c>
      <c r="W433" s="148">
        <v>2.5350000000000001E-2</v>
      </c>
      <c r="X433" s="145" t="s">
        <v>412</v>
      </c>
      <c r="Y433" s="159"/>
      <c r="Z433" s="146">
        <v>18900000</v>
      </c>
      <c r="AA433" s="146">
        <v>1</v>
      </c>
      <c r="AB433" s="146">
        <v>101.81</v>
      </c>
      <c r="AC433" s="151"/>
      <c r="AD433" s="146">
        <v>19242.09</v>
      </c>
      <c r="AE433" s="151"/>
      <c r="AF433" s="151"/>
      <c r="AG433" s="151"/>
      <c r="AH433" s="148">
        <v>7.7799999999999996E-3</v>
      </c>
      <c r="AI433" s="148">
        <v>6.0099999999999997E-3</v>
      </c>
      <c r="AJ433" s="149">
        <v>7.9000000000000001E-4</v>
      </c>
      <c r="AK433" s="196"/>
    </row>
    <row r="434" spans="1:37" x14ac:dyDescent="0.2">
      <c r="A434" s="144" t="s">
        <v>1217</v>
      </c>
      <c r="B434" s="145" t="s">
        <v>1217</v>
      </c>
      <c r="C434" s="145" t="s">
        <v>1738</v>
      </c>
      <c r="D434" s="145" t="s">
        <v>1739</v>
      </c>
      <c r="E434" s="145" t="s">
        <v>309</v>
      </c>
      <c r="F434" s="145" t="s">
        <v>1740</v>
      </c>
      <c r="G434" s="145" t="s">
        <v>1741</v>
      </c>
      <c r="H434" s="145" t="s">
        <v>321</v>
      </c>
      <c r="I434" s="145" t="s">
        <v>951</v>
      </c>
      <c r="J434" s="145" t="s">
        <v>204</v>
      </c>
      <c r="K434" s="145" t="s">
        <v>204</v>
      </c>
      <c r="L434" s="145" t="s">
        <v>325</v>
      </c>
      <c r="M434" s="145" t="s">
        <v>340</v>
      </c>
      <c r="N434" s="145" t="s">
        <v>465</v>
      </c>
      <c r="O434" s="145" t="s">
        <v>339</v>
      </c>
      <c r="P434" s="145" t="s">
        <v>1392</v>
      </c>
      <c r="Q434" s="145" t="s">
        <v>413</v>
      </c>
      <c r="R434" s="145" t="s">
        <v>407</v>
      </c>
      <c r="S434" s="145" t="s">
        <v>1210</v>
      </c>
      <c r="T434" s="146">
        <v>4.0199999999999996</v>
      </c>
      <c r="U434" s="145" t="s">
        <v>1512</v>
      </c>
      <c r="V434" s="148">
        <v>6.7400000000000002E-2</v>
      </c>
      <c r="W434" s="148">
        <v>6.0229999999999999E-2</v>
      </c>
      <c r="X434" s="145" t="s">
        <v>412</v>
      </c>
      <c r="Y434" s="159"/>
      <c r="Z434" s="146">
        <v>17660435</v>
      </c>
      <c r="AA434" s="146">
        <v>1</v>
      </c>
      <c r="AB434" s="146">
        <v>106.73</v>
      </c>
      <c r="AC434" s="151"/>
      <c r="AD434" s="146">
        <v>18848.982</v>
      </c>
      <c r="AE434" s="151"/>
      <c r="AF434" s="151"/>
      <c r="AG434" s="151"/>
      <c r="AH434" s="148">
        <v>6.1969999999999997E-2</v>
      </c>
      <c r="AI434" s="148">
        <v>5.8799999999999998E-3</v>
      </c>
      <c r="AJ434" s="149">
        <v>7.7999999999999999E-4</v>
      </c>
      <c r="AK434" s="196"/>
    </row>
    <row r="435" spans="1:37" x14ac:dyDescent="0.2">
      <c r="A435" s="144" t="s">
        <v>1217</v>
      </c>
      <c r="B435" s="145" t="s">
        <v>1217</v>
      </c>
      <c r="C435" s="145" t="s">
        <v>1388</v>
      </c>
      <c r="D435" s="145" t="s">
        <v>1389</v>
      </c>
      <c r="E435" s="145" t="s">
        <v>309</v>
      </c>
      <c r="F435" s="145" t="s">
        <v>1530</v>
      </c>
      <c r="G435" s="145" t="s">
        <v>1531</v>
      </c>
      <c r="H435" s="145" t="s">
        <v>321</v>
      </c>
      <c r="I435" s="145" t="s">
        <v>951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464</v>
      </c>
      <c r="O435" s="145" t="s">
        <v>339</v>
      </c>
      <c r="P435" s="145" t="s">
        <v>1392</v>
      </c>
      <c r="Q435" s="145" t="s">
        <v>413</v>
      </c>
      <c r="R435" s="145" t="s">
        <v>407</v>
      </c>
      <c r="S435" s="145" t="s">
        <v>1210</v>
      </c>
      <c r="T435" s="146">
        <v>4.76</v>
      </c>
      <c r="U435" s="145" t="s">
        <v>1532</v>
      </c>
      <c r="V435" s="148">
        <v>2.5499999999999998E-2</v>
      </c>
      <c r="W435" s="148">
        <v>5.2699999999999997E-2</v>
      </c>
      <c r="X435" s="145" t="s">
        <v>412</v>
      </c>
      <c r="Y435" s="159"/>
      <c r="Z435" s="146">
        <v>21063859.510000002</v>
      </c>
      <c r="AA435" s="146">
        <v>1</v>
      </c>
      <c r="AB435" s="146">
        <v>88.7</v>
      </c>
      <c r="AC435" s="151"/>
      <c r="AD435" s="146">
        <v>18683.643</v>
      </c>
      <c r="AE435" s="151"/>
      <c r="AF435" s="151"/>
      <c r="AG435" s="151"/>
      <c r="AH435" s="148">
        <v>8.9599999999999992E-3</v>
      </c>
      <c r="AI435" s="148">
        <v>5.8300000000000001E-3</v>
      </c>
      <c r="AJ435" s="149">
        <v>7.6999999999999996E-4</v>
      </c>
      <c r="AK435" s="196"/>
    </row>
    <row r="436" spans="1:37" x14ac:dyDescent="0.2">
      <c r="A436" s="144" t="s">
        <v>1217</v>
      </c>
      <c r="B436" s="145" t="s">
        <v>1217</v>
      </c>
      <c r="C436" s="145" t="s">
        <v>1746</v>
      </c>
      <c r="D436" s="145" t="s">
        <v>1747</v>
      </c>
      <c r="E436" s="145" t="s">
        <v>309</v>
      </c>
      <c r="F436" s="145" t="s">
        <v>1748</v>
      </c>
      <c r="G436" s="145" t="s">
        <v>1749</v>
      </c>
      <c r="H436" s="145" t="s">
        <v>321</v>
      </c>
      <c r="I436" s="145" t="s">
        <v>951</v>
      </c>
      <c r="J436" s="145" t="s">
        <v>204</v>
      </c>
      <c r="K436" s="145" t="s">
        <v>204</v>
      </c>
      <c r="L436" s="145" t="s">
        <v>325</v>
      </c>
      <c r="M436" s="145" t="s">
        <v>340</v>
      </c>
      <c r="N436" s="145" t="s">
        <v>484</v>
      </c>
      <c r="O436" s="145" t="s">
        <v>339</v>
      </c>
      <c r="P436" s="145" t="s">
        <v>1473</v>
      </c>
      <c r="Q436" s="145" t="s">
        <v>413</v>
      </c>
      <c r="R436" s="145" t="s">
        <v>407</v>
      </c>
      <c r="S436" s="145" t="s">
        <v>1210</v>
      </c>
      <c r="T436" s="146">
        <v>2.99</v>
      </c>
      <c r="U436" s="145" t="s">
        <v>1750</v>
      </c>
      <c r="V436" s="148">
        <v>4.7300000000000002E-2</v>
      </c>
      <c r="W436" s="148">
        <v>5.0959999999999998E-2</v>
      </c>
      <c r="X436" s="145" t="s">
        <v>412</v>
      </c>
      <c r="Y436" s="159"/>
      <c r="Z436" s="146">
        <v>18525000</v>
      </c>
      <c r="AA436" s="146">
        <v>1</v>
      </c>
      <c r="AB436" s="146">
        <v>100.21</v>
      </c>
      <c r="AC436" s="151"/>
      <c r="AD436" s="146">
        <v>18563.902999999998</v>
      </c>
      <c r="AE436" s="151"/>
      <c r="AF436" s="151"/>
      <c r="AG436" s="151"/>
      <c r="AH436" s="148">
        <v>3.9399999999999998E-2</v>
      </c>
      <c r="AI436" s="148">
        <v>5.79E-3</v>
      </c>
      <c r="AJ436" s="149">
        <v>7.6000000000000004E-4</v>
      </c>
      <c r="AK436" s="196"/>
    </row>
    <row r="437" spans="1:37" x14ac:dyDescent="0.2">
      <c r="A437" s="144" t="s">
        <v>1217</v>
      </c>
      <c r="B437" s="145" t="s">
        <v>1217</v>
      </c>
      <c r="C437" s="145" t="s">
        <v>1346</v>
      </c>
      <c r="D437" s="145" t="s">
        <v>1347</v>
      </c>
      <c r="E437" s="145" t="s">
        <v>309</v>
      </c>
      <c r="F437" s="145" t="s">
        <v>1407</v>
      </c>
      <c r="G437" s="145" t="s">
        <v>1408</v>
      </c>
      <c r="H437" s="145" t="s">
        <v>321</v>
      </c>
      <c r="I437" s="145" t="s">
        <v>951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445</v>
      </c>
      <c r="O437" s="145" t="s">
        <v>339</v>
      </c>
      <c r="P437" s="145" t="s">
        <v>1350</v>
      </c>
      <c r="Q437" s="145" t="s">
        <v>413</v>
      </c>
      <c r="R437" s="145" t="s">
        <v>407</v>
      </c>
      <c r="S437" s="145" t="s">
        <v>1210</v>
      </c>
      <c r="T437" s="146">
        <v>7.41</v>
      </c>
      <c r="U437" s="145" t="s">
        <v>1409</v>
      </c>
      <c r="V437" s="148">
        <v>5.3100000000000001E-2</v>
      </c>
      <c r="W437" s="148">
        <v>5.4260000000000003E-2</v>
      </c>
      <c r="X437" s="145" t="s">
        <v>412</v>
      </c>
      <c r="Y437" s="159"/>
      <c r="Z437" s="146">
        <v>18116149.399999999</v>
      </c>
      <c r="AA437" s="146">
        <v>1</v>
      </c>
      <c r="AB437" s="146">
        <v>100.54</v>
      </c>
      <c r="AC437" s="151"/>
      <c r="AD437" s="146">
        <v>18213.976999999999</v>
      </c>
      <c r="AE437" s="151"/>
      <c r="AF437" s="151"/>
      <c r="AG437" s="151"/>
      <c r="AH437" s="148">
        <v>1.423E-2</v>
      </c>
      <c r="AI437" s="148">
        <v>5.6899999999999997E-3</v>
      </c>
      <c r="AJ437" s="149">
        <v>7.5000000000000002E-4</v>
      </c>
      <c r="AK437" s="196"/>
    </row>
    <row r="438" spans="1:37" x14ac:dyDescent="0.2">
      <c r="A438" s="144" t="s">
        <v>1217</v>
      </c>
      <c r="B438" s="145" t="s">
        <v>1217</v>
      </c>
      <c r="C438" s="145" t="s">
        <v>1742</v>
      </c>
      <c r="D438" s="145" t="s">
        <v>1743</v>
      </c>
      <c r="E438" s="145" t="s">
        <v>309</v>
      </c>
      <c r="F438" s="145" t="s">
        <v>1744</v>
      </c>
      <c r="G438" s="145" t="s">
        <v>1745</v>
      </c>
      <c r="H438" s="145" t="s">
        <v>321</v>
      </c>
      <c r="I438" s="145" t="s">
        <v>952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441</v>
      </c>
      <c r="O438" s="145" t="s">
        <v>339</v>
      </c>
      <c r="P438" s="145" t="s">
        <v>1375</v>
      </c>
      <c r="Q438" s="145" t="s">
        <v>415</v>
      </c>
      <c r="R438" s="145" t="s">
        <v>407</v>
      </c>
      <c r="S438" s="145" t="s">
        <v>1210</v>
      </c>
      <c r="T438" s="146">
        <v>3.43</v>
      </c>
      <c r="U438" s="145" t="s">
        <v>1604</v>
      </c>
      <c r="V438" s="148">
        <v>0.05</v>
      </c>
      <c r="W438" s="148">
        <v>4.446E-2</v>
      </c>
      <c r="X438" s="145" t="s">
        <v>412</v>
      </c>
      <c r="Y438" s="159"/>
      <c r="Z438" s="146">
        <v>17567000</v>
      </c>
      <c r="AA438" s="146">
        <v>1</v>
      </c>
      <c r="AB438" s="146">
        <v>103.3</v>
      </c>
      <c r="AC438" s="151"/>
      <c r="AD438" s="146">
        <v>18146.710999999999</v>
      </c>
      <c r="AE438" s="151"/>
      <c r="AF438" s="151"/>
      <c r="AG438" s="151"/>
      <c r="AH438" s="148">
        <v>3.5130000000000002E-2</v>
      </c>
      <c r="AI438" s="148">
        <v>5.6600000000000001E-3</v>
      </c>
      <c r="AJ438" s="149">
        <v>7.5000000000000002E-4</v>
      </c>
      <c r="AK438" s="196"/>
    </row>
    <row r="439" spans="1:37" x14ac:dyDescent="0.2">
      <c r="A439" s="144" t="s">
        <v>1217</v>
      </c>
      <c r="B439" s="145" t="s">
        <v>1217</v>
      </c>
      <c r="C439" s="145" t="s">
        <v>1571</v>
      </c>
      <c r="D439" s="145" t="s">
        <v>1572</v>
      </c>
      <c r="E439" s="145" t="s">
        <v>309</v>
      </c>
      <c r="F439" s="145" t="s">
        <v>1573</v>
      </c>
      <c r="G439" s="145" t="s">
        <v>1574</v>
      </c>
      <c r="H439" s="145" t="s">
        <v>321</v>
      </c>
      <c r="I439" s="145" t="s">
        <v>951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443</v>
      </c>
      <c r="O439" s="145" t="s">
        <v>339</v>
      </c>
      <c r="P439" s="145" t="s">
        <v>1433</v>
      </c>
      <c r="Q439" s="145" t="s">
        <v>415</v>
      </c>
      <c r="R439" s="145" t="s">
        <v>407</v>
      </c>
      <c r="S439" s="145" t="s">
        <v>1210</v>
      </c>
      <c r="T439" s="146">
        <v>0.47</v>
      </c>
      <c r="U439" s="145" t="s">
        <v>1575</v>
      </c>
      <c r="V439" s="148">
        <v>4.7500000000000001E-2</v>
      </c>
      <c r="W439" s="148">
        <v>5.9470000000000002E-2</v>
      </c>
      <c r="X439" s="145" t="s">
        <v>412</v>
      </c>
      <c r="Y439" s="159"/>
      <c r="Z439" s="146">
        <v>18176281.899999999</v>
      </c>
      <c r="AA439" s="146">
        <v>1</v>
      </c>
      <c r="AB439" s="146">
        <v>99.61</v>
      </c>
      <c r="AC439" s="151"/>
      <c r="AD439" s="146">
        <v>18105.394</v>
      </c>
      <c r="AE439" s="151"/>
      <c r="AF439" s="151"/>
      <c r="AG439" s="151"/>
      <c r="AH439" s="148">
        <v>2.8799999999999999E-2</v>
      </c>
      <c r="AI439" s="148">
        <v>5.6499999999999996E-3</v>
      </c>
      <c r="AJ439" s="149">
        <v>7.3999999999999999E-4</v>
      </c>
      <c r="AK439" s="196"/>
    </row>
    <row r="440" spans="1:37" x14ac:dyDescent="0.2">
      <c r="A440" s="144" t="s">
        <v>1217</v>
      </c>
      <c r="B440" s="145" t="s">
        <v>1217</v>
      </c>
      <c r="C440" s="145" t="s">
        <v>1563</v>
      </c>
      <c r="D440" s="145" t="s">
        <v>1564</v>
      </c>
      <c r="E440" s="145" t="s">
        <v>309</v>
      </c>
      <c r="F440" s="145" t="s">
        <v>1565</v>
      </c>
      <c r="G440" s="145" t="s">
        <v>1566</v>
      </c>
      <c r="H440" s="145" t="s">
        <v>321</v>
      </c>
      <c r="I440" s="145" t="s">
        <v>951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447</v>
      </c>
      <c r="O440" s="145" t="s">
        <v>339</v>
      </c>
      <c r="P440" s="145" t="s">
        <v>1375</v>
      </c>
      <c r="Q440" s="145" t="s">
        <v>415</v>
      </c>
      <c r="R440" s="145" t="s">
        <v>407</v>
      </c>
      <c r="S440" s="145" t="s">
        <v>1210</v>
      </c>
      <c r="T440" s="146">
        <v>2.0299999999999998</v>
      </c>
      <c r="U440" s="145" t="s">
        <v>1494</v>
      </c>
      <c r="V440" s="148">
        <v>4.53E-2</v>
      </c>
      <c r="W440" s="148">
        <v>5.8549999999999998E-2</v>
      </c>
      <c r="X440" s="145" t="s">
        <v>412</v>
      </c>
      <c r="Y440" s="159"/>
      <c r="Z440" s="146">
        <v>18319138.199999999</v>
      </c>
      <c r="AA440" s="146">
        <v>1</v>
      </c>
      <c r="AB440" s="146">
        <v>98.67</v>
      </c>
      <c r="AC440" s="151"/>
      <c r="AD440" s="146">
        <v>18075.493999999999</v>
      </c>
      <c r="AE440" s="151"/>
      <c r="AF440" s="151"/>
      <c r="AG440" s="151"/>
      <c r="AH440" s="148">
        <v>2.9080000000000002E-2</v>
      </c>
      <c r="AI440" s="148">
        <v>5.64E-3</v>
      </c>
      <c r="AJ440" s="149">
        <v>7.3999999999999999E-4</v>
      </c>
      <c r="AK440" s="196"/>
    </row>
    <row r="441" spans="1:37" x14ac:dyDescent="0.2">
      <c r="A441" s="144" t="s">
        <v>1217</v>
      </c>
      <c r="B441" s="145" t="s">
        <v>1217</v>
      </c>
      <c r="C441" s="145" t="s">
        <v>1543</v>
      </c>
      <c r="D441" s="145" t="s">
        <v>1544</v>
      </c>
      <c r="E441" s="145" t="s">
        <v>309</v>
      </c>
      <c r="F441" s="145" t="s">
        <v>1765</v>
      </c>
      <c r="G441" s="145" t="s">
        <v>1766</v>
      </c>
      <c r="H441" s="145" t="s">
        <v>321</v>
      </c>
      <c r="I441" s="145" t="s">
        <v>754</v>
      </c>
      <c r="J441" s="145" t="s">
        <v>204</v>
      </c>
      <c r="K441" s="145" t="s">
        <v>204</v>
      </c>
      <c r="L441" s="145" t="s">
        <v>325</v>
      </c>
      <c r="M441" s="145" t="s">
        <v>340</v>
      </c>
      <c r="N441" s="145" t="s">
        <v>464</v>
      </c>
      <c r="O441" s="145" t="s">
        <v>339</v>
      </c>
      <c r="P441" s="145" t="s">
        <v>1594</v>
      </c>
      <c r="Q441" s="145" t="s">
        <v>415</v>
      </c>
      <c r="R441" s="145" t="s">
        <v>407</v>
      </c>
      <c r="S441" s="145" t="s">
        <v>1210</v>
      </c>
      <c r="T441" s="146">
        <v>2.66</v>
      </c>
      <c r="U441" s="145" t="s">
        <v>1767</v>
      </c>
      <c r="V441" s="148">
        <v>1.34E-2</v>
      </c>
      <c r="W441" s="148">
        <v>2.8080000000000001E-2</v>
      </c>
      <c r="X441" s="145" t="s">
        <v>412</v>
      </c>
      <c r="Y441" s="159"/>
      <c r="Z441" s="146">
        <v>15167576.130000001</v>
      </c>
      <c r="AA441" s="146">
        <v>1</v>
      </c>
      <c r="AB441" s="146">
        <v>113.01</v>
      </c>
      <c r="AC441" s="151"/>
      <c r="AD441" s="146">
        <v>17140.878000000001</v>
      </c>
      <c r="AE441" s="151"/>
      <c r="AF441" s="151"/>
      <c r="AG441" s="151"/>
      <c r="AH441" s="148">
        <v>6.2399999999999999E-3</v>
      </c>
      <c r="AI441" s="148">
        <v>5.3499999999999997E-3</v>
      </c>
      <c r="AJ441" s="149">
        <v>7.1000000000000002E-4</v>
      </c>
      <c r="AK441" s="196"/>
    </row>
    <row r="442" spans="1:37" x14ac:dyDescent="0.2">
      <c r="A442" s="144" t="s">
        <v>1217</v>
      </c>
      <c r="B442" s="145" t="s">
        <v>1217</v>
      </c>
      <c r="C442" s="145" t="s">
        <v>1469</v>
      </c>
      <c r="D442" s="145" t="s">
        <v>1470</v>
      </c>
      <c r="E442" s="145" t="s">
        <v>309</v>
      </c>
      <c r="F442" s="145" t="s">
        <v>1751</v>
      </c>
      <c r="G442" s="145" t="s">
        <v>1752</v>
      </c>
      <c r="H442" s="145" t="s">
        <v>321</v>
      </c>
      <c r="I442" s="145" t="s">
        <v>951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451</v>
      </c>
      <c r="O442" s="145" t="s">
        <v>339</v>
      </c>
      <c r="P442" s="145" t="s">
        <v>1473</v>
      </c>
      <c r="Q442" s="145" t="s">
        <v>413</v>
      </c>
      <c r="R442" s="145" t="s">
        <v>407</v>
      </c>
      <c r="S442" s="145" t="s">
        <v>1210</v>
      </c>
      <c r="T442" s="146">
        <v>4.93</v>
      </c>
      <c r="U442" s="145" t="s">
        <v>1753</v>
      </c>
      <c r="V442" s="148">
        <v>2.07E-2</v>
      </c>
      <c r="W442" s="148">
        <v>5.3789999999999998E-2</v>
      </c>
      <c r="X442" s="145" t="s">
        <v>412</v>
      </c>
      <c r="Y442" s="159"/>
      <c r="Z442" s="146">
        <v>19686439.890000001</v>
      </c>
      <c r="AA442" s="146">
        <v>1</v>
      </c>
      <c r="AB442" s="146">
        <v>85.61</v>
      </c>
      <c r="AC442" s="151"/>
      <c r="AD442" s="146">
        <v>16853.561000000002</v>
      </c>
      <c r="AE442" s="151"/>
      <c r="AF442" s="151"/>
      <c r="AG442" s="151"/>
      <c r="AH442" s="148">
        <v>2.7109999999999999E-2</v>
      </c>
      <c r="AI442" s="148">
        <v>5.2599999999999999E-3</v>
      </c>
      <c r="AJ442" s="149">
        <v>6.8999999999999997E-4</v>
      </c>
      <c r="AK442" s="196"/>
    </row>
    <row r="443" spans="1:37" x14ac:dyDescent="0.2">
      <c r="A443" s="144" t="s">
        <v>1217</v>
      </c>
      <c r="B443" s="145" t="s">
        <v>1217</v>
      </c>
      <c r="C443" s="145" t="s">
        <v>1628</v>
      </c>
      <c r="D443" s="145" t="s">
        <v>1629</v>
      </c>
      <c r="E443" s="145" t="s">
        <v>309</v>
      </c>
      <c r="F443" s="145" t="s">
        <v>1754</v>
      </c>
      <c r="G443" s="145" t="s">
        <v>1755</v>
      </c>
      <c r="H443" s="145" t="s">
        <v>321</v>
      </c>
      <c r="I443" s="145" t="s">
        <v>754</v>
      </c>
      <c r="J443" s="145" t="s">
        <v>204</v>
      </c>
      <c r="K443" s="145" t="s">
        <v>204</v>
      </c>
      <c r="L443" s="145" t="s">
        <v>325</v>
      </c>
      <c r="M443" s="145" t="s">
        <v>340</v>
      </c>
      <c r="N443" s="145" t="s">
        <v>448</v>
      </c>
      <c r="O443" s="145" t="s">
        <v>339</v>
      </c>
      <c r="P443" s="145" t="s">
        <v>1330</v>
      </c>
      <c r="Q443" s="145" t="s">
        <v>413</v>
      </c>
      <c r="R443" s="145" t="s">
        <v>407</v>
      </c>
      <c r="S443" s="145" t="s">
        <v>1210</v>
      </c>
      <c r="T443" s="146">
        <v>3.75</v>
      </c>
      <c r="U443" s="145" t="s">
        <v>1756</v>
      </c>
      <c r="V443" s="148">
        <v>2E-3</v>
      </c>
      <c r="W443" s="148">
        <v>2.5999999999999999E-2</v>
      </c>
      <c r="X443" s="145" t="s">
        <v>412</v>
      </c>
      <c r="Y443" s="159"/>
      <c r="Z443" s="146">
        <v>15789473.92</v>
      </c>
      <c r="AA443" s="146">
        <v>1</v>
      </c>
      <c r="AB443" s="146">
        <v>103.06</v>
      </c>
      <c r="AC443" s="151"/>
      <c r="AD443" s="146">
        <v>16272.632</v>
      </c>
      <c r="AE443" s="151"/>
      <c r="AF443" s="151"/>
      <c r="AG443" s="151"/>
      <c r="AH443" s="148">
        <v>4.6299999999999996E-3</v>
      </c>
      <c r="AI443" s="148">
        <v>5.0800000000000003E-3</v>
      </c>
      <c r="AJ443" s="149">
        <v>6.7000000000000002E-4</v>
      </c>
      <c r="AK443" s="196"/>
    </row>
    <row r="444" spans="1:37" x14ac:dyDescent="0.2">
      <c r="A444" s="144" t="s">
        <v>1217</v>
      </c>
      <c r="B444" s="145" t="s">
        <v>1217</v>
      </c>
      <c r="C444" s="145" t="s">
        <v>1757</v>
      </c>
      <c r="D444" s="145" t="s">
        <v>1758</v>
      </c>
      <c r="E444" s="145" t="s">
        <v>309</v>
      </c>
      <c r="F444" s="145" t="s">
        <v>1759</v>
      </c>
      <c r="G444" s="145" t="s">
        <v>1760</v>
      </c>
      <c r="H444" s="145" t="s">
        <v>321</v>
      </c>
      <c r="I444" s="145" t="s">
        <v>951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454</v>
      </c>
      <c r="O444" s="145" t="s">
        <v>339</v>
      </c>
      <c r="P444" s="145" t="s">
        <v>1439</v>
      </c>
      <c r="Q444" s="145" t="s">
        <v>413</v>
      </c>
      <c r="R444" s="145" t="s">
        <v>407</v>
      </c>
      <c r="S444" s="145" t="s">
        <v>1210</v>
      </c>
      <c r="T444" s="146">
        <v>3.37</v>
      </c>
      <c r="U444" s="145" t="s">
        <v>1761</v>
      </c>
      <c r="V444" s="148">
        <v>6.7000000000000004E-2</v>
      </c>
      <c r="W444" s="148">
        <v>5.6860000000000001E-2</v>
      </c>
      <c r="X444" s="145" t="s">
        <v>412</v>
      </c>
      <c r="Y444" s="159"/>
      <c r="Z444" s="146">
        <v>15612000</v>
      </c>
      <c r="AA444" s="146">
        <v>1</v>
      </c>
      <c r="AB444" s="146">
        <v>103.63</v>
      </c>
      <c r="AC444" s="151"/>
      <c r="AD444" s="146">
        <v>16178.716</v>
      </c>
      <c r="AE444" s="151"/>
      <c r="AF444" s="151"/>
      <c r="AG444" s="151"/>
      <c r="AH444" s="148">
        <v>1.7160000000000002E-2</v>
      </c>
      <c r="AI444" s="148">
        <v>5.0499999999999998E-3</v>
      </c>
      <c r="AJ444" s="149">
        <v>6.7000000000000002E-4</v>
      </c>
      <c r="AK444" s="196"/>
    </row>
    <row r="445" spans="1:37" x14ac:dyDescent="0.2">
      <c r="A445" s="144" t="s">
        <v>1217</v>
      </c>
      <c r="B445" s="145" t="s">
        <v>1217</v>
      </c>
      <c r="C445" s="145" t="s">
        <v>1380</v>
      </c>
      <c r="D445" s="145" t="s">
        <v>1381</v>
      </c>
      <c r="E445" s="145" t="s">
        <v>309</v>
      </c>
      <c r="F445" s="145" t="s">
        <v>1426</v>
      </c>
      <c r="G445" s="145" t="s">
        <v>1427</v>
      </c>
      <c r="H445" s="145" t="s">
        <v>321</v>
      </c>
      <c r="I445" s="145" t="s">
        <v>754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465</v>
      </c>
      <c r="O445" s="145" t="s">
        <v>339</v>
      </c>
      <c r="P445" s="145" t="s">
        <v>1375</v>
      </c>
      <c r="Q445" s="145" t="s">
        <v>415</v>
      </c>
      <c r="R445" s="145" t="s">
        <v>407</v>
      </c>
      <c r="S445" s="145" t="s">
        <v>1210</v>
      </c>
      <c r="T445" s="146">
        <v>5.16</v>
      </c>
      <c r="U445" s="145" t="s">
        <v>1428</v>
      </c>
      <c r="V445" s="148">
        <v>1.7899999999999999E-2</v>
      </c>
      <c r="W445" s="148">
        <v>4.9320000000000003E-2</v>
      </c>
      <c r="X445" s="145" t="s">
        <v>412</v>
      </c>
      <c r="Y445" s="159"/>
      <c r="Z445" s="146">
        <v>16009133.800000001</v>
      </c>
      <c r="AA445" s="146">
        <v>1</v>
      </c>
      <c r="AB445" s="146">
        <v>98.15</v>
      </c>
      <c r="AC445" s="151"/>
      <c r="AD445" s="146">
        <v>15712.965</v>
      </c>
      <c r="AE445" s="151"/>
      <c r="AF445" s="151"/>
      <c r="AG445" s="151"/>
      <c r="AH445" s="148">
        <v>1.6330000000000001E-2</v>
      </c>
      <c r="AI445" s="148">
        <v>4.8999999999999998E-3</v>
      </c>
      <c r="AJ445" s="149">
        <v>6.4999999999999997E-4</v>
      </c>
      <c r="AK445" s="196"/>
    </row>
    <row r="446" spans="1:37" x14ac:dyDescent="0.2">
      <c r="A446" s="144" t="s">
        <v>1217</v>
      </c>
      <c r="B446" s="145" t="s">
        <v>1217</v>
      </c>
      <c r="C446" s="145" t="s">
        <v>1318</v>
      </c>
      <c r="D446" s="145" t="s">
        <v>1319</v>
      </c>
      <c r="E446" s="145" t="s">
        <v>313</v>
      </c>
      <c r="F446" s="145" t="s">
        <v>1762</v>
      </c>
      <c r="G446" s="145" t="s">
        <v>1763</v>
      </c>
      <c r="H446" s="145" t="s">
        <v>321</v>
      </c>
      <c r="I446" s="145" t="s">
        <v>754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440</v>
      </c>
      <c r="O446" s="145" t="s">
        <v>339</v>
      </c>
      <c r="P446" s="145" t="s">
        <v>1209</v>
      </c>
      <c r="Q446" s="145" t="s">
        <v>415</v>
      </c>
      <c r="R446" s="145" t="s">
        <v>407</v>
      </c>
      <c r="S446" s="145" t="s">
        <v>1210</v>
      </c>
      <c r="T446" s="146">
        <v>2.2799999999999998</v>
      </c>
      <c r="U446" s="145" t="s">
        <v>1764</v>
      </c>
      <c r="V446" s="148">
        <v>0.01</v>
      </c>
      <c r="W446" s="148">
        <v>2.2540000000000001E-2</v>
      </c>
      <c r="X446" s="145" t="s">
        <v>412</v>
      </c>
      <c r="Y446" s="159"/>
      <c r="Z446" s="146">
        <v>14058784</v>
      </c>
      <c r="AA446" s="146">
        <v>1</v>
      </c>
      <c r="AB446" s="146">
        <v>111.46</v>
      </c>
      <c r="AC446" s="151"/>
      <c r="AD446" s="146">
        <v>15669.921</v>
      </c>
      <c r="AE446" s="151"/>
      <c r="AF446" s="151"/>
      <c r="AG446" s="151"/>
      <c r="AH446" s="148">
        <v>1.17E-2</v>
      </c>
      <c r="AI446" s="148">
        <v>4.8900000000000002E-3</v>
      </c>
      <c r="AJ446" s="149">
        <v>6.4000000000000005E-4</v>
      </c>
      <c r="AK446" s="196"/>
    </row>
    <row r="447" spans="1:37" x14ac:dyDescent="0.2">
      <c r="A447" s="144" t="s">
        <v>1217</v>
      </c>
      <c r="B447" s="145" t="s">
        <v>1217</v>
      </c>
      <c r="C447" s="145" t="s">
        <v>1429</v>
      </c>
      <c r="D447" s="145" t="s">
        <v>1430</v>
      </c>
      <c r="E447" s="145" t="s">
        <v>309</v>
      </c>
      <c r="F447" s="145" t="s">
        <v>1431</v>
      </c>
      <c r="G447" s="145" t="s">
        <v>1432</v>
      </c>
      <c r="H447" s="145" t="s">
        <v>321</v>
      </c>
      <c r="I447" s="145" t="s">
        <v>754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465</v>
      </c>
      <c r="O447" s="145" t="s">
        <v>339</v>
      </c>
      <c r="P447" s="145" t="s">
        <v>1433</v>
      </c>
      <c r="Q447" s="145" t="s">
        <v>415</v>
      </c>
      <c r="R447" s="145" t="s">
        <v>407</v>
      </c>
      <c r="S447" s="145" t="s">
        <v>1210</v>
      </c>
      <c r="T447" s="146">
        <v>1.29</v>
      </c>
      <c r="U447" s="145" t="s">
        <v>1434</v>
      </c>
      <c r="V447" s="148">
        <v>2.5700000000000001E-2</v>
      </c>
      <c r="W447" s="148">
        <v>3.1440000000000003E-2</v>
      </c>
      <c r="X447" s="145" t="s">
        <v>412</v>
      </c>
      <c r="Y447" s="159"/>
      <c r="Z447" s="146">
        <v>13287723.42</v>
      </c>
      <c r="AA447" s="146">
        <v>1</v>
      </c>
      <c r="AB447" s="146">
        <v>117.15</v>
      </c>
      <c r="AC447" s="151"/>
      <c r="AD447" s="146">
        <v>15566.567999999999</v>
      </c>
      <c r="AE447" s="151"/>
      <c r="AF447" s="151"/>
      <c r="AG447" s="151"/>
      <c r="AH447" s="148">
        <v>1.2579999999999999E-2</v>
      </c>
      <c r="AI447" s="148">
        <v>4.8599999999999997E-3</v>
      </c>
      <c r="AJ447" s="149">
        <v>6.4000000000000005E-4</v>
      </c>
      <c r="AK447" s="196"/>
    </row>
    <row r="448" spans="1:37" x14ac:dyDescent="0.2">
      <c r="A448" s="144" t="s">
        <v>1217</v>
      </c>
      <c r="B448" s="145" t="s">
        <v>1217</v>
      </c>
      <c r="C448" s="145" t="s">
        <v>1576</v>
      </c>
      <c r="D448" s="145" t="s">
        <v>1577</v>
      </c>
      <c r="E448" s="145" t="s">
        <v>309</v>
      </c>
      <c r="F448" s="145" t="s">
        <v>1768</v>
      </c>
      <c r="G448" s="145" t="s">
        <v>1769</v>
      </c>
      <c r="H448" s="145" t="s">
        <v>321</v>
      </c>
      <c r="I448" s="145" t="s">
        <v>951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464</v>
      </c>
      <c r="O448" s="145" t="s">
        <v>339</v>
      </c>
      <c r="P448" s="145" t="s">
        <v>1358</v>
      </c>
      <c r="Q448" s="145" t="s">
        <v>415</v>
      </c>
      <c r="R448" s="145" t="s">
        <v>407</v>
      </c>
      <c r="S448" s="145" t="s">
        <v>1210</v>
      </c>
      <c r="T448" s="146">
        <v>3.95</v>
      </c>
      <c r="U448" s="145" t="s">
        <v>1770</v>
      </c>
      <c r="V448" s="148">
        <v>2.41E-2</v>
      </c>
      <c r="W448" s="148">
        <v>5.2909999999999999E-2</v>
      </c>
      <c r="X448" s="145" t="s">
        <v>412</v>
      </c>
      <c r="Y448" s="159"/>
      <c r="Z448" s="146">
        <v>16888889.100000001</v>
      </c>
      <c r="AA448" s="146">
        <v>1</v>
      </c>
      <c r="AB448" s="146">
        <v>89.75</v>
      </c>
      <c r="AC448" s="151"/>
      <c r="AD448" s="146">
        <v>15157.778</v>
      </c>
      <c r="AE448" s="151"/>
      <c r="AF448" s="151"/>
      <c r="AG448" s="151"/>
      <c r="AH448" s="148">
        <v>8.2199999999999999E-3</v>
      </c>
      <c r="AI448" s="148">
        <v>4.7299999999999998E-3</v>
      </c>
      <c r="AJ448" s="149">
        <v>6.2E-4</v>
      </c>
      <c r="AK448" s="196"/>
    </row>
    <row r="449" spans="1:37" x14ac:dyDescent="0.2">
      <c r="A449" s="144" t="s">
        <v>1217</v>
      </c>
      <c r="B449" s="145" t="s">
        <v>1217</v>
      </c>
      <c r="C449" s="145" t="s">
        <v>1380</v>
      </c>
      <c r="D449" s="145" t="s">
        <v>1381</v>
      </c>
      <c r="E449" s="145" t="s">
        <v>309</v>
      </c>
      <c r="F449" s="145" t="s">
        <v>1399</v>
      </c>
      <c r="G449" s="145" t="s">
        <v>1400</v>
      </c>
      <c r="H449" s="145" t="s">
        <v>321</v>
      </c>
      <c r="I449" s="145" t="s">
        <v>754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465</v>
      </c>
      <c r="O449" s="145" t="s">
        <v>339</v>
      </c>
      <c r="P449" s="145" t="s">
        <v>1375</v>
      </c>
      <c r="Q449" s="145" t="s">
        <v>415</v>
      </c>
      <c r="R449" s="145" t="s">
        <v>407</v>
      </c>
      <c r="S449" s="145" t="s">
        <v>1210</v>
      </c>
      <c r="T449" s="146">
        <v>1.76</v>
      </c>
      <c r="U449" s="145" t="s">
        <v>1401</v>
      </c>
      <c r="V449" s="148">
        <v>3.2800000000000003E-2</v>
      </c>
      <c r="W449" s="148">
        <v>4.9459999999999997E-2</v>
      </c>
      <c r="X449" s="145" t="s">
        <v>412</v>
      </c>
      <c r="Y449" s="159"/>
      <c r="Z449" s="146">
        <v>12909657.24</v>
      </c>
      <c r="AA449" s="146">
        <v>1</v>
      </c>
      <c r="AB449" s="146">
        <v>114.78</v>
      </c>
      <c r="AC449" s="151"/>
      <c r="AD449" s="146">
        <v>14817.705</v>
      </c>
      <c r="AE449" s="151"/>
      <c r="AF449" s="151"/>
      <c r="AG449" s="151"/>
      <c r="AH449" s="148">
        <v>7.5199999999999998E-3</v>
      </c>
      <c r="AI449" s="148">
        <v>4.62E-3</v>
      </c>
      <c r="AJ449" s="149">
        <v>6.0999999999999997E-4</v>
      </c>
      <c r="AK449" s="196"/>
    </row>
    <row r="450" spans="1:37" x14ac:dyDescent="0.2">
      <c r="A450" s="144" t="s">
        <v>1217</v>
      </c>
      <c r="B450" s="145" t="s">
        <v>1217</v>
      </c>
      <c r="C450" s="145" t="s">
        <v>1435</v>
      </c>
      <c r="D450" s="145" t="s">
        <v>1436</v>
      </c>
      <c r="E450" s="145" t="s">
        <v>309</v>
      </c>
      <c r="F450" s="145" t="s">
        <v>1437</v>
      </c>
      <c r="G450" s="145" t="s">
        <v>1438</v>
      </c>
      <c r="H450" s="145" t="s">
        <v>321</v>
      </c>
      <c r="I450" s="145" t="s">
        <v>951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440</v>
      </c>
      <c r="O450" s="145" t="s">
        <v>339</v>
      </c>
      <c r="P450" s="145" t="s">
        <v>1439</v>
      </c>
      <c r="Q450" s="145" t="s">
        <v>413</v>
      </c>
      <c r="R450" s="145" t="s">
        <v>407</v>
      </c>
      <c r="S450" s="145" t="s">
        <v>1210</v>
      </c>
      <c r="T450" s="146">
        <v>3.03</v>
      </c>
      <c r="U450" s="145" t="s">
        <v>1440</v>
      </c>
      <c r="V450" s="148">
        <v>2.5000000000000001E-2</v>
      </c>
      <c r="W450" s="148">
        <v>5.5570000000000001E-2</v>
      </c>
      <c r="X450" s="145" t="s">
        <v>412</v>
      </c>
      <c r="Y450" s="159"/>
      <c r="Z450" s="146">
        <v>16115402.5</v>
      </c>
      <c r="AA450" s="146">
        <v>1</v>
      </c>
      <c r="AB450" s="146">
        <v>91.59</v>
      </c>
      <c r="AC450" s="151"/>
      <c r="AD450" s="146">
        <v>14760.097</v>
      </c>
      <c r="AE450" s="151"/>
      <c r="AF450" s="151"/>
      <c r="AG450" s="151"/>
      <c r="AH450" s="148">
        <v>2.2550000000000001E-2</v>
      </c>
      <c r="AI450" s="148">
        <v>4.6100000000000004E-3</v>
      </c>
      <c r="AJ450" s="149">
        <v>6.0999999999999997E-4</v>
      </c>
      <c r="AK450" s="196"/>
    </row>
    <row r="451" spans="1:37" x14ac:dyDescent="0.2">
      <c r="A451" s="144" t="s">
        <v>1217</v>
      </c>
      <c r="B451" s="145" t="s">
        <v>1217</v>
      </c>
      <c r="C451" s="145" t="s">
        <v>1394</v>
      </c>
      <c r="D451" s="145" t="s">
        <v>1395</v>
      </c>
      <c r="E451" s="145" t="s">
        <v>309</v>
      </c>
      <c r="F451" s="145" t="s">
        <v>1492</v>
      </c>
      <c r="G451" s="145" t="s">
        <v>1493</v>
      </c>
      <c r="H451" s="145" t="s">
        <v>321</v>
      </c>
      <c r="I451" s="145" t="s">
        <v>951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445</v>
      </c>
      <c r="O451" s="145" t="s">
        <v>339</v>
      </c>
      <c r="P451" s="145" t="s">
        <v>1358</v>
      </c>
      <c r="Q451" s="145" t="s">
        <v>415</v>
      </c>
      <c r="R451" s="145" t="s">
        <v>407</v>
      </c>
      <c r="S451" s="145" t="s">
        <v>1210</v>
      </c>
      <c r="T451" s="146">
        <v>2.59</v>
      </c>
      <c r="U451" s="145" t="s">
        <v>1494</v>
      </c>
      <c r="V451" s="148">
        <v>4.36E-2</v>
      </c>
      <c r="W451" s="148">
        <v>4.6519999999999999E-2</v>
      </c>
      <c r="X451" s="145" t="s">
        <v>412</v>
      </c>
      <c r="Y451" s="159"/>
      <c r="Z451" s="146">
        <v>14645000</v>
      </c>
      <c r="AA451" s="146">
        <v>1</v>
      </c>
      <c r="AB451" s="146">
        <v>100.47</v>
      </c>
      <c r="AC451" s="151"/>
      <c r="AD451" s="146">
        <v>14713.832</v>
      </c>
      <c r="AE451" s="151"/>
      <c r="AF451" s="151"/>
      <c r="AG451" s="151"/>
      <c r="AH451" s="148">
        <v>4.8820000000000002E-2</v>
      </c>
      <c r="AI451" s="148">
        <v>4.5900000000000003E-3</v>
      </c>
      <c r="AJ451" s="149">
        <v>6.0999999999999997E-4</v>
      </c>
      <c r="AK451" s="196"/>
    </row>
    <row r="452" spans="1:37" x14ac:dyDescent="0.2">
      <c r="A452" s="144" t="s">
        <v>1217</v>
      </c>
      <c r="B452" s="145" t="s">
        <v>1217</v>
      </c>
      <c r="C452" s="145" t="s">
        <v>1774</v>
      </c>
      <c r="D452" s="145" t="s">
        <v>1775</v>
      </c>
      <c r="E452" s="145" t="s">
        <v>309</v>
      </c>
      <c r="F452" s="145" t="s">
        <v>1776</v>
      </c>
      <c r="G452" s="145" t="s">
        <v>1777</v>
      </c>
      <c r="H452" s="145" t="s">
        <v>321</v>
      </c>
      <c r="I452" s="145" t="s">
        <v>754</v>
      </c>
      <c r="J452" s="145" t="s">
        <v>204</v>
      </c>
      <c r="K452" s="145" t="s">
        <v>204</v>
      </c>
      <c r="L452" s="145" t="s">
        <v>325</v>
      </c>
      <c r="M452" s="145" t="s">
        <v>340</v>
      </c>
      <c r="N452" s="145" t="s">
        <v>464</v>
      </c>
      <c r="O452" s="145" t="s">
        <v>339</v>
      </c>
      <c r="P452" s="145" t="s">
        <v>1392</v>
      </c>
      <c r="Q452" s="145" t="s">
        <v>413</v>
      </c>
      <c r="R452" s="145" t="s">
        <v>407</v>
      </c>
      <c r="S452" s="145" t="s">
        <v>1210</v>
      </c>
      <c r="T452" s="146">
        <v>6.24</v>
      </c>
      <c r="U452" s="145" t="s">
        <v>1778</v>
      </c>
      <c r="V452" s="148">
        <v>2.5000000000000001E-2</v>
      </c>
      <c r="W452" s="148">
        <v>3.1879999999999999E-2</v>
      </c>
      <c r="X452" s="145" t="s">
        <v>412</v>
      </c>
      <c r="Y452" s="159"/>
      <c r="Z452" s="146">
        <v>13174000</v>
      </c>
      <c r="AA452" s="146">
        <v>1</v>
      </c>
      <c r="AB452" s="146">
        <v>111</v>
      </c>
      <c r="AC452" s="151"/>
      <c r="AD452" s="146">
        <v>14623.14</v>
      </c>
      <c r="AE452" s="151"/>
      <c r="AF452" s="151"/>
      <c r="AG452" s="151"/>
      <c r="AH452" s="148">
        <v>9.7599999999999996E-3</v>
      </c>
      <c r="AI452" s="148">
        <v>4.5599999999999998E-3</v>
      </c>
      <c r="AJ452" s="149">
        <v>5.9999999999999995E-4</v>
      </c>
      <c r="AK452" s="196"/>
    </row>
    <row r="453" spans="1:37" x14ac:dyDescent="0.2">
      <c r="A453" s="144" t="s">
        <v>1217</v>
      </c>
      <c r="B453" s="145" t="s">
        <v>1217</v>
      </c>
      <c r="C453" s="145" t="s">
        <v>1647</v>
      </c>
      <c r="D453" s="145" t="s">
        <v>1648</v>
      </c>
      <c r="E453" s="145" t="s">
        <v>309</v>
      </c>
      <c r="F453" s="145" t="s">
        <v>1771</v>
      </c>
      <c r="G453" s="145" t="s">
        <v>1772</v>
      </c>
      <c r="H453" s="145" t="s">
        <v>321</v>
      </c>
      <c r="I453" s="145" t="s">
        <v>951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464</v>
      </c>
      <c r="O453" s="145" t="s">
        <v>339</v>
      </c>
      <c r="P453" s="145" t="s">
        <v>1562</v>
      </c>
      <c r="Q453" s="145" t="s">
        <v>413</v>
      </c>
      <c r="R453" s="145" t="s">
        <v>407</v>
      </c>
      <c r="S453" s="145" t="s">
        <v>1210</v>
      </c>
      <c r="T453" s="146">
        <v>2.33</v>
      </c>
      <c r="U453" s="145" t="s">
        <v>1773</v>
      </c>
      <c r="V453" s="148">
        <v>5.2999999999999999E-2</v>
      </c>
      <c r="W453" s="148">
        <v>5.5710000000000003E-2</v>
      </c>
      <c r="X453" s="145" t="s">
        <v>412</v>
      </c>
      <c r="Y453" s="159"/>
      <c r="Z453" s="146">
        <v>14282143</v>
      </c>
      <c r="AA453" s="146">
        <v>1</v>
      </c>
      <c r="AB453" s="146">
        <v>99.54</v>
      </c>
      <c r="AC453" s="146">
        <v>378.47699999999998</v>
      </c>
      <c r="AD453" s="146">
        <v>14594.922</v>
      </c>
      <c r="AE453" s="151"/>
      <c r="AF453" s="151"/>
      <c r="AG453" s="151"/>
      <c r="AH453" s="148">
        <v>3.7760000000000002E-2</v>
      </c>
      <c r="AI453" s="148">
        <v>4.6699999999999997E-3</v>
      </c>
      <c r="AJ453" s="149">
        <v>6.2E-4</v>
      </c>
      <c r="AK453" s="196"/>
    </row>
    <row r="454" spans="1:37" x14ac:dyDescent="0.2">
      <c r="A454" s="144" t="s">
        <v>1217</v>
      </c>
      <c r="B454" s="145" t="s">
        <v>1217</v>
      </c>
      <c r="C454" s="145" t="s">
        <v>1469</v>
      </c>
      <c r="D454" s="145" t="s">
        <v>1470</v>
      </c>
      <c r="E454" s="145" t="s">
        <v>309</v>
      </c>
      <c r="F454" s="145" t="s">
        <v>1779</v>
      </c>
      <c r="G454" s="145" t="s">
        <v>1780</v>
      </c>
      <c r="H454" s="145" t="s">
        <v>321</v>
      </c>
      <c r="I454" s="145" t="s">
        <v>951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451</v>
      </c>
      <c r="O454" s="145" t="s">
        <v>339</v>
      </c>
      <c r="P454" s="145" t="s">
        <v>1473</v>
      </c>
      <c r="Q454" s="145" t="s">
        <v>413</v>
      </c>
      <c r="R454" s="145" t="s">
        <v>407</v>
      </c>
      <c r="S454" s="145" t="s">
        <v>1210</v>
      </c>
      <c r="T454" s="146">
        <v>3</v>
      </c>
      <c r="U454" s="145" t="s">
        <v>1781</v>
      </c>
      <c r="V454" s="148">
        <v>0.04</v>
      </c>
      <c r="W454" s="148">
        <v>5.2409999999999998E-2</v>
      </c>
      <c r="X454" s="145" t="s">
        <v>412</v>
      </c>
      <c r="Y454" s="159"/>
      <c r="Z454" s="146">
        <v>14250005.67</v>
      </c>
      <c r="AA454" s="146">
        <v>1</v>
      </c>
      <c r="AB454" s="146">
        <v>97.45</v>
      </c>
      <c r="AC454" s="151"/>
      <c r="AD454" s="146">
        <v>13886.630999999999</v>
      </c>
      <c r="AE454" s="151"/>
      <c r="AF454" s="151"/>
      <c r="AG454" s="151"/>
      <c r="AH454" s="148">
        <v>2.4539999999999999E-2</v>
      </c>
      <c r="AI454" s="148">
        <v>4.3299999999999996E-3</v>
      </c>
      <c r="AJ454" s="149">
        <v>5.6999999999999998E-4</v>
      </c>
      <c r="AK454" s="196"/>
    </row>
    <row r="455" spans="1:37" x14ac:dyDescent="0.2">
      <c r="A455" s="144" t="s">
        <v>1217</v>
      </c>
      <c r="B455" s="145" t="s">
        <v>1217</v>
      </c>
      <c r="C455" s="145" t="s">
        <v>1588</v>
      </c>
      <c r="D455" s="145" t="s">
        <v>1589</v>
      </c>
      <c r="E455" s="145" t="s">
        <v>309</v>
      </c>
      <c r="F455" s="145" t="s">
        <v>1590</v>
      </c>
      <c r="G455" s="145" t="s">
        <v>1591</v>
      </c>
      <c r="H455" s="145" t="s">
        <v>321</v>
      </c>
      <c r="I455" s="145" t="s">
        <v>951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451</v>
      </c>
      <c r="O455" s="145" t="s">
        <v>339</v>
      </c>
      <c r="P455" s="145" t="s">
        <v>1473</v>
      </c>
      <c r="Q455" s="145" t="s">
        <v>413</v>
      </c>
      <c r="R455" s="145" t="s">
        <v>407</v>
      </c>
      <c r="S455" s="145" t="s">
        <v>1210</v>
      </c>
      <c r="T455" s="146">
        <v>1.86</v>
      </c>
      <c r="U455" s="145" t="s">
        <v>1401</v>
      </c>
      <c r="V455" s="148">
        <v>2.1999999999999999E-2</v>
      </c>
      <c r="W455" s="148">
        <v>5.1889999999999999E-2</v>
      </c>
      <c r="X455" s="145" t="s">
        <v>412</v>
      </c>
      <c r="Y455" s="159"/>
      <c r="Z455" s="146">
        <v>14439442.68</v>
      </c>
      <c r="AA455" s="146">
        <v>1</v>
      </c>
      <c r="AB455" s="146">
        <v>95.28</v>
      </c>
      <c r="AC455" s="151"/>
      <c r="AD455" s="146">
        <v>13757.901</v>
      </c>
      <c r="AE455" s="151"/>
      <c r="AF455" s="151"/>
      <c r="AG455" s="151"/>
      <c r="AH455" s="148">
        <v>1.332E-2</v>
      </c>
      <c r="AI455" s="148">
        <v>4.2900000000000004E-3</v>
      </c>
      <c r="AJ455" s="149">
        <v>5.6999999999999998E-4</v>
      </c>
      <c r="AK455" s="196"/>
    </row>
    <row r="456" spans="1:37" x14ac:dyDescent="0.2">
      <c r="A456" s="144" t="s">
        <v>1217</v>
      </c>
      <c r="B456" s="145" t="s">
        <v>1217</v>
      </c>
      <c r="C456" s="145" t="s">
        <v>1782</v>
      </c>
      <c r="D456" s="145" t="s">
        <v>1783</v>
      </c>
      <c r="E456" s="145" t="s">
        <v>309</v>
      </c>
      <c r="F456" s="145" t="s">
        <v>1784</v>
      </c>
      <c r="G456" s="145" t="s">
        <v>1785</v>
      </c>
      <c r="H456" s="145" t="s">
        <v>321</v>
      </c>
      <c r="I456" s="145" t="s">
        <v>951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454</v>
      </c>
      <c r="O456" s="145" t="s">
        <v>339</v>
      </c>
      <c r="P456" s="145" t="s">
        <v>1392</v>
      </c>
      <c r="Q456" s="145" t="s">
        <v>413</v>
      </c>
      <c r="R456" s="145" t="s">
        <v>407</v>
      </c>
      <c r="S456" s="145" t="s">
        <v>1210</v>
      </c>
      <c r="T456" s="146">
        <v>2.97</v>
      </c>
      <c r="U456" s="145" t="s">
        <v>1786</v>
      </c>
      <c r="V456" s="148">
        <v>2.24E-2</v>
      </c>
      <c r="W456" s="148">
        <v>4.9869999999999998E-2</v>
      </c>
      <c r="X456" s="145" t="s">
        <v>412</v>
      </c>
      <c r="Y456" s="159"/>
      <c r="Z456" s="146">
        <v>14254255.380000001</v>
      </c>
      <c r="AA456" s="146">
        <v>1</v>
      </c>
      <c r="AB456" s="146">
        <v>93.35</v>
      </c>
      <c r="AC456" s="151"/>
      <c r="AD456" s="146">
        <v>13306.347</v>
      </c>
      <c r="AE456" s="151"/>
      <c r="AF456" s="151"/>
      <c r="AG456" s="151"/>
      <c r="AH456" s="148">
        <v>2.5440000000000001E-2</v>
      </c>
      <c r="AI456" s="148">
        <v>4.15E-3</v>
      </c>
      <c r="AJ456" s="149">
        <v>5.5000000000000003E-4</v>
      </c>
      <c r="AK456" s="196"/>
    </row>
    <row r="457" spans="1:37" x14ac:dyDescent="0.2">
      <c r="A457" s="144" t="s">
        <v>1217</v>
      </c>
      <c r="B457" s="145" t="s">
        <v>1217</v>
      </c>
      <c r="C457" s="145" t="s">
        <v>1543</v>
      </c>
      <c r="D457" s="145" t="s">
        <v>1544</v>
      </c>
      <c r="E457" s="145" t="s">
        <v>309</v>
      </c>
      <c r="F457" s="145" t="s">
        <v>1592</v>
      </c>
      <c r="G457" s="145" t="s">
        <v>1593</v>
      </c>
      <c r="H457" s="145" t="s">
        <v>321</v>
      </c>
      <c r="I457" s="145" t="s">
        <v>754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464</v>
      </c>
      <c r="O457" s="145" t="s">
        <v>339</v>
      </c>
      <c r="P457" s="145" t="s">
        <v>1594</v>
      </c>
      <c r="Q457" s="145" t="s">
        <v>415</v>
      </c>
      <c r="R457" s="145" t="s">
        <v>407</v>
      </c>
      <c r="S457" s="145" t="s">
        <v>1210</v>
      </c>
      <c r="T457" s="146">
        <v>2.0699999999999998</v>
      </c>
      <c r="U457" s="145" t="s">
        <v>1401</v>
      </c>
      <c r="V457" s="148">
        <v>1.77E-2</v>
      </c>
      <c r="W457" s="148">
        <v>2.751E-2</v>
      </c>
      <c r="X457" s="145" t="s">
        <v>412</v>
      </c>
      <c r="Y457" s="159"/>
      <c r="Z457" s="146">
        <v>11532800.130000001</v>
      </c>
      <c r="AA457" s="146">
        <v>1</v>
      </c>
      <c r="AB457" s="146">
        <v>113.81</v>
      </c>
      <c r="AC457" s="151"/>
      <c r="AD457" s="146">
        <v>13125.48</v>
      </c>
      <c r="AE457" s="151"/>
      <c r="AF457" s="151"/>
      <c r="AG457" s="151"/>
      <c r="AH457" s="148">
        <v>4.4400000000000004E-3</v>
      </c>
      <c r="AI457" s="148">
        <v>4.1000000000000003E-3</v>
      </c>
      <c r="AJ457" s="149">
        <v>5.4000000000000001E-4</v>
      </c>
      <c r="AK457" s="196"/>
    </row>
    <row r="458" spans="1:37" x14ac:dyDescent="0.2">
      <c r="A458" s="144" t="s">
        <v>1217</v>
      </c>
      <c r="B458" s="145" t="s">
        <v>1217</v>
      </c>
      <c r="C458" s="145" t="s">
        <v>1647</v>
      </c>
      <c r="D458" s="145" t="s">
        <v>1648</v>
      </c>
      <c r="E458" s="145" t="s">
        <v>309</v>
      </c>
      <c r="F458" s="145" t="s">
        <v>1787</v>
      </c>
      <c r="G458" s="145" t="s">
        <v>1788</v>
      </c>
      <c r="H458" s="145" t="s">
        <v>321</v>
      </c>
      <c r="I458" s="145" t="s">
        <v>754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464</v>
      </c>
      <c r="O458" s="145" t="s">
        <v>339</v>
      </c>
      <c r="P458" s="145" t="s">
        <v>1562</v>
      </c>
      <c r="Q458" s="145" t="s">
        <v>413</v>
      </c>
      <c r="R458" s="145" t="s">
        <v>407</v>
      </c>
      <c r="S458" s="145" t="s">
        <v>1210</v>
      </c>
      <c r="T458" s="146">
        <v>1.46</v>
      </c>
      <c r="U458" s="145" t="s">
        <v>1789</v>
      </c>
      <c r="V458" s="148">
        <v>3.4599999999999999E-2</v>
      </c>
      <c r="W458" s="148">
        <v>3.0300000000000001E-2</v>
      </c>
      <c r="X458" s="145" t="s">
        <v>412</v>
      </c>
      <c r="Y458" s="159"/>
      <c r="Z458" s="146">
        <v>10909092.02</v>
      </c>
      <c r="AA458" s="146">
        <v>1</v>
      </c>
      <c r="AB458" s="146">
        <v>118.35</v>
      </c>
      <c r="AC458" s="151"/>
      <c r="AD458" s="146">
        <v>12910.91</v>
      </c>
      <c r="AE458" s="151"/>
      <c r="AF458" s="151"/>
      <c r="AG458" s="151"/>
      <c r="AH458" s="148">
        <v>4.4260000000000001E-2</v>
      </c>
      <c r="AI458" s="148">
        <v>4.0299999999999997E-3</v>
      </c>
      <c r="AJ458" s="149">
        <v>5.2999999999999998E-4</v>
      </c>
      <c r="AK458" s="196"/>
    </row>
    <row r="459" spans="1:37" x14ac:dyDescent="0.2">
      <c r="A459" s="144" t="s">
        <v>1217</v>
      </c>
      <c r="B459" s="145" t="s">
        <v>1217</v>
      </c>
      <c r="C459" s="145" t="s">
        <v>1500</v>
      </c>
      <c r="D459" s="145" t="s">
        <v>1501</v>
      </c>
      <c r="E459" s="145" t="s">
        <v>309</v>
      </c>
      <c r="F459" s="145" t="s">
        <v>1502</v>
      </c>
      <c r="G459" s="145" t="s">
        <v>1503</v>
      </c>
      <c r="H459" s="145" t="s">
        <v>321</v>
      </c>
      <c r="I459" s="145" t="s">
        <v>754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445</v>
      </c>
      <c r="O459" s="145" t="s">
        <v>339</v>
      </c>
      <c r="P459" s="145" t="s">
        <v>1392</v>
      </c>
      <c r="Q459" s="145" t="s">
        <v>413</v>
      </c>
      <c r="R459" s="145" t="s">
        <v>407</v>
      </c>
      <c r="S459" s="145" t="s">
        <v>1210</v>
      </c>
      <c r="T459" s="146">
        <v>4.05</v>
      </c>
      <c r="U459" s="145" t="s">
        <v>1504</v>
      </c>
      <c r="V459" s="148">
        <v>4.4000000000000003E-3</v>
      </c>
      <c r="W459" s="148">
        <v>2.7269999999999999E-2</v>
      </c>
      <c r="X459" s="145" t="s">
        <v>412</v>
      </c>
      <c r="Y459" s="159"/>
      <c r="Z459" s="146">
        <v>12241621.01</v>
      </c>
      <c r="AA459" s="146">
        <v>1</v>
      </c>
      <c r="AB459" s="146">
        <v>105.45</v>
      </c>
      <c r="AC459" s="151"/>
      <c r="AD459" s="146">
        <v>12908.789000000001</v>
      </c>
      <c r="AE459" s="151"/>
      <c r="AF459" s="151"/>
      <c r="AG459" s="151"/>
      <c r="AH459" s="148">
        <v>1.192E-2</v>
      </c>
      <c r="AI459" s="148">
        <v>4.0299999999999997E-3</v>
      </c>
      <c r="AJ459" s="149">
        <v>5.2999999999999998E-4</v>
      </c>
      <c r="AK459" s="196"/>
    </row>
    <row r="460" spans="1:37" x14ac:dyDescent="0.2">
      <c r="A460" s="144" t="s">
        <v>1217</v>
      </c>
      <c r="B460" s="145" t="s">
        <v>1217</v>
      </c>
      <c r="C460" s="145" t="s">
        <v>1742</v>
      </c>
      <c r="D460" s="145" t="s">
        <v>1743</v>
      </c>
      <c r="E460" s="145" t="s">
        <v>309</v>
      </c>
      <c r="F460" s="145" t="s">
        <v>1797</v>
      </c>
      <c r="G460" s="145" t="s">
        <v>1798</v>
      </c>
      <c r="H460" s="145" t="s">
        <v>321</v>
      </c>
      <c r="I460" s="145" t="s">
        <v>951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441</v>
      </c>
      <c r="O460" s="145" t="s">
        <v>339</v>
      </c>
      <c r="P460" s="145" t="s">
        <v>1375</v>
      </c>
      <c r="Q460" s="145" t="s">
        <v>415</v>
      </c>
      <c r="R460" s="145" t="s">
        <v>407</v>
      </c>
      <c r="S460" s="145" t="s">
        <v>1210</v>
      </c>
      <c r="T460" s="146">
        <v>3.24</v>
      </c>
      <c r="U460" s="145" t="s">
        <v>1450</v>
      </c>
      <c r="V460" s="148">
        <v>6.9500000000000006E-2</v>
      </c>
      <c r="W460" s="148">
        <v>5.7430000000000002E-2</v>
      </c>
      <c r="X460" s="145" t="s">
        <v>412</v>
      </c>
      <c r="Y460" s="159"/>
      <c r="Z460" s="146">
        <v>11000000</v>
      </c>
      <c r="AA460" s="146">
        <v>1</v>
      </c>
      <c r="AB460" s="146">
        <v>105.91</v>
      </c>
      <c r="AC460" s="151"/>
      <c r="AD460" s="146">
        <v>11650.1</v>
      </c>
      <c r="AE460" s="151"/>
      <c r="AF460" s="151"/>
      <c r="AG460" s="151"/>
      <c r="AH460" s="148">
        <v>1.3010000000000001E-2</v>
      </c>
      <c r="AI460" s="148">
        <v>3.64E-3</v>
      </c>
      <c r="AJ460" s="149">
        <v>4.8000000000000001E-4</v>
      </c>
      <c r="AK460" s="196"/>
    </row>
    <row r="461" spans="1:37" x14ac:dyDescent="0.2">
      <c r="A461" s="144" t="s">
        <v>1217</v>
      </c>
      <c r="B461" s="145" t="s">
        <v>1217</v>
      </c>
      <c r="C461" s="145" t="s">
        <v>1388</v>
      </c>
      <c r="D461" s="145" t="s">
        <v>1389</v>
      </c>
      <c r="E461" s="145" t="s">
        <v>309</v>
      </c>
      <c r="F461" s="145" t="s">
        <v>1794</v>
      </c>
      <c r="G461" s="145" t="s">
        <v>1795</v>
      </c>
      <c r="H461" s="145" t="s">
        <v>321</v>
      </c>
      <c r="I461" s="145" t="s">
        <v>754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464</v>
      </c>
      <c r="O461" s="145" t="s">
        <v>339</v>
      </c>
      <c r="P461" s="145" t="s">
        <v>1392</v>
      </c>
      <c r="Q461" s="145" t="s">
        <v>413</v>
      </c>
      <c r="R461" s="145" t="s">
        <v>407</v>
      </c>
      <c r="S461" s="145" t="s">
        <v>1210</v>
      </c>
      <c r="T461" s="146">
        <v>3.49</v>
      </c>
      <c r="U461" s="145" t="s">
        <v>1796</v>
      </c>
      <c r="V461" s="148">
        <v>5.0000000000000001E-3</v>
      </c>
      <c r="W461" s="148">
        <v>3.0589999999999999E-2</v>
      </c>
      <c r="X461" s="145" t="s">
        <v>412</v>
      </c>
      <c r="Y461" s="159"/>
      <c r="Z461" s="146">
        <v>10916675.689999999</v>
      </c>
      <c r="AA461" s="146">
        <v>1</v>
      </c>
      <c r="AB461" s="146">
        <v>105.54</v>
      </c>
      <c r="AC461" s="151"/>
      <c r="AD461" s="146">
        <v>11521.46</v>
      </c>
      <c r="AE461" s="151"/>
      <c r="AF461" s="151"/>
      <c r="AG461" s="151"/>
      <c r="AH461" s="148">
        <v>6.7799999999999996E-3</v>
      </c>
      <c r="AI461" s="148">
        <v>3.5999999999999999E-3</v>
      </c>
      <c r="AJ461" s="149">
        <v>4.6999999999999999E-4</v>
      </c>
      <c r="AK461" s="196"/>
    </row>
    <row r="462" spans="1:37" x14ac:dyDescent="0.2">
      <c r="A462" s="144" t="s">
        <v>1217</v>
      </c>
      <c r="B462" s="145" t="s">
        <v>1217</v>
      </c>
      <c r="C462" s="145" t="s">
        <v>1799</v>
      </c>
      <c r="D462" s="145" t="s">
        <v>1800</v>
      </c>
      <c r="E462" s="145" t="s">
        <v>309</v>
      </c>
      <c r="F462" s="145" t="s">
        <v>1801</v>
      </c>
      <c r="G462" s="145" t="s">
        <v>1802</v>
      </c>
      <c r="H462" s="145" t="s">
        <v>321</v>
      </c>
      <c r="I462" s="145" t="s">
        <v>754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451</v>
      </c>
      <c r="O462" s="145" t="s">
        <v>339</v>
      </c>
      <c r="P462" s="151"/>
      <c r="Q462" s="145" t="s">
        <v>410</v>
      </c>
      <c r="R462" s="151"/>
      <c r="S462" s="145" t="s">
        <v>1210</v>
      </c>
      <c r="T462" s="146">
        <v>2.33</v>
      </c>
      <c r="U462" s="145" t="s">
        <v>1401</v>
      </c>
      <c r="V462" s="148">
        <v>3.6999999999999998E-2</v>
      </c>
      <c r="W462" s="148">
        <v>4.1149999999999999E-2</v>
      </c>
      <c r="X462" s="145" t="s">
        <v>412</v>
      </c>
      <c r="Y462" s="159"/>
      <c r="Z462" s="146">
        <v>9592852.8900000006</v>
      </c>
      <c r="AA462" s="146">
        <v>1</v>
      </c>
      <c r="AB462" s="146">
        <v>115.64</v>
      </c>
      <c r="AC462" s="151"/>
      <c r="AD462" s="146">
        <v>11093.174999999999</v>
      </c>
      <c r="AE462" s="151"/>
      <c r="AF462" s="151"/>
      <c r="AG462" s="151"/>
      <c r="AH462" s="148">
        <v>1.8970000000000001E-2</v>
      </c>
      <c r="AI462" s="148">
        <v>3.46E-3</v>
      </c>
      <c r="AJ462" s="149">
        <v>4.6000000000000001E-4</v>
      </c>
      <c r="AK462" s="196"/>
    </row>
    <row r="463" spans="1:37" x14ac:dyDescent="0.2">
      <c r="A463" s="144" t="s">
        <v>1217</v>
      </c>
      <c r="B463" s="145" t="s">
        <v>1217</v>
      </c>
      <c r="C463" s="145" t="s">
        <v>1495</v>
      </c>
      <c r="D463" s="145" t="s">
        <v>1496</v>
      </c>
      <c r="E463" s="145" t="s">
        <v>309</v>
      </c>
      <c r="F463" s="145" t="s">
        <v>1497</v>
      </c>
      <c r="G463" s="145" t="s">
        <v>1498</v>
      </c>
      <c r="H463" s="145" t="s">
        <v>321</v>
      </c>
      <c r="I463" s="145" t="s">
        <v>754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448</v>
      </c>
      <c r="O463" s="145" t="s">
        <v>339</v>
      </c>
      <c r="P463" s="145" t="s">
        <v>1330</v>
      </c>
      <c r="Q463" s="145" t="s">
        <v>413</v>
      </c>
      <c r="R463" s="145" t="s">
        <v>407</v>
      </c>
      <c r="S463" s="145" t="s">
        <v>1210</v>
      </c>
      <c r="T463" s="146">
        <v>2.76</v>
      </c>
      <c r="U463" s="145" t="s">
        <v>1499</v>
      </c>
      <c r="V463" s="148">
        <v>1.4999999999999999E-2</v>
      </c>
      <c r="W463" s="148">
        <v>2.5190000000000001E-2</v>
      </c>
      <c r="X463" s="145" t="s">
        <v>412</v>
      </c>
      <c r="Y463" s="159"/>
      <c r="Z463" s="146">
        <v>9378572.9499999993</v>
      </c>
      <c r="AA463" s="146">
        <v>1</v>
      </c>
      <c r="AB463" s="146">
        <v>112.67</v>
      </c>
      <c r="AC463" s="151"/>
      <c r="AD463" s="146">
        <v>10566.838</v>
      </c>
      <c r="AE463" s="151"/>
      <c r="AF463" s="151"/>
      <c r="AG463" s="151"/>
      <c r="AH463" s="148">
        <v>4.0300000000000002E-2</v>
      </c>
      <c r="AI463" s="148">
        <v>3.3E-3</v>
      </c>
      <c r="AJ463" s="149">
        <v>4.2999999999999999E-4</v>
      </c>
      <c r="AK463" s="196"/>
    </row>
    <row r="464" spans="1:37" x14ac:dyDescent="0.2">
      <c r="A464" s="144" t="s">
        <v>1217</v>
      </c>
      <c r="B464" s="145" t="s">
        <v>1217</v>
      </c>
      <c r="C464" s="145" t="s">
        <v>1402</v>
      </c>
      <c r="D464" s="145" t="s">
        <v>1403</v>
      </c>
      <c r="E464" s="145" t="s">
        <v>309</v>
      </c>
      <c r="F464" s="145" t="s">
        <v>1485</v>
      </c>
      <c r="G464" s="145" t="s">
        <v>1486</v>
      </c>
      <c r="H464" s="145" t="s">
        <v>321</v>
      </c>
      <c r="I464" s="145" t="s">
        <v>951</v>
      </c>
      <c r="J464" s="145" t="s">
        <v>204</v>
      </c>
      <c r="K464" s="145" t="s">
        <v>204</v>
      </c>
      <c r="L464" s="145" t="s">
        <v>325</v>
      </c>
      <c r="M464" s="145" t="s">
        <v>340</v>
      </c>
      <c r="N464" s="145" t="s">
        <v>445</v>
      </c>
      <c r="O464" s="145" t="s">
        <v>339</v>
      </c>
      <c r="P464" s="145" t="s">
        <v>1406</v>
      </c>
      <c r="Q464" s="145" t="s">
        <v>415</v>
      </c>
      <c r="R464" s="145" t="s">
        <v>407</v>
      </c>
      <c r="S464" s="145" t="s">
        <v>1210</v>
      </c>
      <c r="T464" s="146">
        <v>3.84</v>
      </c>
      <c r="U464" s="145" t="s">
        <v>1487</v>
      </c>
      <c r="V464" s="148">
        <v>2.6200000000000001E-2</v>
      </c>
      <c r="W464" s="148">
        <v>4.8739999999999999E-2</v>
      </c>
      <c r="X464" s="145" t="s">
        <v>412</v>
      </c>
      <c r="Y464" s="159"/>
      <c r="Z464" s="146">
        <v>10991766</v>
      </c>
      <c r="AA464" s="146">
        <v>1</v>
      </c>
      <c r="AB464" s="146">
        <v>93.04</v>
      </c>
      <c r="AC464" s="151"/>
      <c r="AD464" s="146">
        <v>10226.739</v>
      </c>
      <c r="AE464" s="151"/>
      <c r="AF464" s="151"/>
      <c r="AG464" s="151"/>
      <c r="AH464" s="148">
        <v>8.5000000000000006E-3</v>
      </c>
      <c r="AI464" s="148">
        <v>3.1900000000000001E-3</v>
      </c>
      <c r="AJ464" s="149">
        <v>4.2000000000000002E-4</v>
      </c>
      <c r="AK464" s="196"/>
    </row>
    <row r="465" spans="1:37" x14ac:dyDescent="0.2">
      <c r="A465" s="144" t="s">
        <v>1217</v>
      </c>
      <c r="B465" s="145" t="s">
        <v>1217</v>
      </c>
      <c r="C465" s="145" t="s">
        <v>1354</v>
      </c>
      <c r="D465" s="145" t="s">
        <v>1355</v>
      </c>
      <c r="E465" s="145" t="s">
        <v>309</v>
      </c>
      <c r="F465" s="145" t="s">
        <v>1586</v>
      </c>
      <c r="G465" s="145" t="s">
        <v>1587</v>
      </c>
      <c r="H465" s="145" t="s">
        <v>321</v>
      </c>
      <c r="I465" s="145" t="s">
        <v>951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445</v>
      </c>
      <c r="O465" s="145" t="s">
        <v>339</v>
      </c>
      <c r="P465" s="145" t="s">
        <v>1358</v>
      </c>
      <c r="Q465" s="145" t="s">
        <v>415</v>
      </c>
      <c r="R465" s="145" t="s">
        <v>407</v>
      </c>
      <c r="S465" s="145" t="s">
        <v>1210</v>
      </c>
      <c r="T465" s="146">
        <v>1.48</v>
      </c>
      <c r="U465" s="145" t="s">
        <v>1509</v>
      </c>
      <c r="V465" s="148">
        <v>1.84E-2</v>
      </c>
      <c r="W465" s="148">
        <v>4.999E-2</v>
      </c>
      <c r="X465" s="145" t="s">
        <v>412</v>
      </c>
      <c r="Y465" s="159"/>
      <c r="Z465" s="146">
        <v>10413630</v>
      </c>
      <c r="AA465" s="146">
        <v>1</v>
      </c>
      <c r="AB465" s="146">
        <v>95.58</v>
      </c>
      <c r="AC465" s="151"/>
      <c r="AD465" s="146">
        <v>9953.348</v>
      </c>
      <c r="AE465" s="151"/>
      <c r="AF465" s="151"/>
      <c r="AG465" s="151"/>
      <c r="AH465" s="148">
        <v>3.4709999999999998E-2</v>
      </c>
      <c r="AI465" s="148">
        <v>3.1099999999999999E-3</v>
      </c>
      <c r="AJ465" s="149">
        <v>4.0999999999999999E-4</v>
      </c>
      <c r="AK465" s="196"/>
    </row>
    <row r="466" spans="1:37" x14ac:dyDescent="0.2">
      <c r="A466" s="144" t="s">
        <v>1217</v>
      </c>
      <c r="B466" s="145" t="s">
        <v>1217</v>
      </c>
      <c r="C466" s="145" t="s">
        <v>1581</v>
      </c>
      <c r="D466" s="145" t="s">
        <v>1582</v>
      </c>
      <c r="E466" s="145" t="s">
        <v>309</v>
      </c>
      <c r="F466" s="145" t="s">
        <v>1610</v>
      </c>
      <c r="G466" s="145" t="s">
        <v>1611</v>
      </c>
      <c r="H466" s="145" t="s">
        <v>321</v>
      </c>
      <c r="I466" s="145" t="s">
        <v>754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464</v>
      </c>
      <c r="O466" s="145" t="s">
        <v>339</v>
      </c>
      <c r="P466" s="145" t="s">
        <v>1358</v>
      </c>
      <c r="Q466" s="145" t="s">
        <v>415</v>
      </c>
      <c r="R466" s="145" t="s">
        <v>407</v>
      </c>
      <c r="S466" s="145" t="s">
        <v>1210</v>
      </c>
      <c r="T466" s="146">
        <v>4.01</v>
      </c>
      <c r="U466" s="145" t="s">
        <v>1554</v>
      </c>
      <c r="V466" s="148">
        <v>1.3299999999999999E-2</v>
      </c>
      <c r="W466" s="148">
        <v>3.049E-2</v>
      </c>
      <c r="X466" s="145" t="s">
        <v>412</v>
      </c>
      <c r="Y466" s="159"/>
      <c r="Z466" s="146">
        <v>8843804.8000000007</v>
      </c>
      <c r="AA466" s="146">
        <v>1</v>
      </c>
      <c r="AB466" s="146">
        <v>107.88</v>
      </c>
      <c r="AC466" s="151"/>
      <c r="AD466" s="146">
        <v>9540.6970000000001</v>
      </c>
      <c r="AE466" s="151"/>
      <c r="AF466" s="151"/>
      <c r="AG466" s="151"/>
      <c r="AH466" s="148">
        <v>7.8600000000000007E-3</v>
      </c>
      <c r="AI466" s="148">
        <v>2.98E-3</v>
      </c>
      <c r="AJ466" s="149">
        <v>3.8999999999999999E-4</v>
      </c>
      <c r="AK466" s="196"/>
    </row>
    <row r="467" spans="1:37" x14ac:dyDescent="0.2">
      <c r="A467" s="144" t="s">
        <v>1217</v>
      </c>
      <c r="B467" s="145" t="s">
        <v>1217</v>
      </c>
      <c r="C467" s="145" t="s">
        <v>1605</v>
      </c>
      <c r="D467" s="145" t="s">
        <v>1606</v>
      </c>
      <c r="E467" s="145" t="s">
        <v>309</v>
      </c>
      <c r="F467" s="145" t="s">
        <v>1607</v>
      </c>
      <c r="G467" s="145" t="s">
        <v>1608</v>
      </c>
      <c r="H467" s="145" t="s">
        <v>321</v>
      </c>
      <c r="I467" s="145" t="s">
        <v>754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443</v>
      </c>
      <c r="O467" s="145" t="s">
        <v>339</v>
      </c>
      <c r="P467" s="145" t="s">
        <v>1433</v>
      </c>
      <c r="Q467" s="145" t="s">
        <v>415</v>
      </c>
      <c r="R467" s="145" t="s">
        <v>407</v>
      </c>
      <c r="S467" s="145" t="s">
        <v>1210</v>
      </c>
      <c r="T467" s="146">
        <v>0.53</v>
      </c>
      <c r="U467" s="145" t="s">
        <v>1609</v>
      </c>
      <c r="V467" s="148">
        <v>1.8499999999999999E-2</v>
      </c>
      <c r="W467" s="148">
        <v>2.962E-2</v>
      </c>
      <c r="X467" s="145" t="s">
        <v>412</v>
      </c>
      <c r="Y467" s="159"/>
      <c r="Z467" s="146">
        <v>8001826.7300000004</v>
      </c>
      <c r="AA467" s="146">
        <v>1</v>
      </c>
      <c r="AB467" s="146">
        <v>115.43</v>
      </c>
      <c r="AC467" s="151"/>
      <c r="AD467" s="146">
        <v>9236.509</v>
      </c>
      <c r="AE467" s="151"/>
      <c r="AF467" s="151"/>
      <c r="AG467" s="151"/>
      <c r="AH467" s="148">
        <v>3.1E-2</v>
      </c>
      <c r="AI467" s="148">
        <v>2.8800000000000002E-3</v>
      </c>
      <c r="AJ467" s="149">
        <v>3.8000000000000002E-4</v>
      </c>
      <c r="AK467" s="196"/>
    </row>
    <row r="468" spans="1:37" x14ac:dyDescent="0.2">
      <c r="A468" s="144" t="s">
        <v>1217</v>
      </c>
      <c r="B468" s="145" t="s">
        <v>1217</v>
      </c>
      <c r="C468" s="145" t="s">
        <v>1346</v>
      </c>
      <c r="D468" s="145" t="s">
        <v>1347</v>
      </c>
      <c r="E468" s="145" t="s">
        <v>309</v>
      </c>
      <c r="F468" s="145" t="s">
        <v>1385</v>
      </c>
      <c r="G468" s="145" t="s">
        <v>1386</v>
      </c>
      <c r="H468" s="145" t="s">
        <v>321</v>
      </c>
      <c r="I468" s="145" t="s">
        <v>754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445</v>
      </c>
      <c r="O468" s="145" t="s">
        <v>339</v>
      </c>
      <c r="P468" s="145" t="s">
        <v>1350</v>
      </c>
      <c r="Q468" s="145" t="s">
        <v>413</v>
      </c>
      <c r="R468" s="145" t="s">
        <v>407</v>
      </c>
      <c r="S468" s="145" t="s">
        <v>1210</v>
      </c>
      <c r="T468" s="146">
        <v>0.33</v>
      </c>
      <c r="U468" s="145" t="s">
        <v>1387</v>
      </c>
      <c r="V468" s="148">
        <v>2.4799999999999999E-2</v>
      </c>
      <c r="W468" s="148">
        <v>2.597E-2</v>
      </c>
      <c r="X468" s="145" t="s">
        <v>412</v>
      </c>
      <c r="Y468" s="159"/>
      <c r="Z468" s="146">
        <v>7929900.5700000003</v>
      </c>
      <c r="AA468" s="146">
        <v>1</v>
      </c>
      <c r="AB468" s="146">
        <v>116.22</v>
      </c>
      <c r="AC468" s="151"/>
      <c r="AD468" s="146">
        <v>9216.1299999999992</v>
      </c>
      <c r="AE468" s="151"/>
      <c r="AF468" s="151"/>
      <c r="AG468" s="151"/>
      <c r="AH468" s="148">
        <v>1.873E-2</v>
      </c>
      <c r="AI468" s="148">
        <v>2.8800000000000002E-3</v>
      </c>
      <c r="AJ468" s="149">
        <v>3.8000000000000002E-4</v>
      </c>
      <c r="AK468" s="196"/>
    </row>
    <row r="469" spans="1:37" x14ac:dyDescent="0.2">
      <c r="A469" s="144" t="s">
        <v>1217</v>
      </c>
      <c r="B469" s="145" t="s">
        <v>1217</v>
      </c>
      <c r="C469" s="145" t="s">
        <v>1803</v>
      </c>
      <c r="D469" s="145" t="s">
        <v>1804</v>
      </c>
      <c r="E469" s="145" t="s">
        <v>309</v>
      </c>
      <c r="F469" s="145" t="s">
        <v>1805</v>
      </c>
      <c r="G469" s="145" t="s">
        <v>1806</v>
      </c>
      <c r="H469" s="145" t="s">
        <v>321</v>
      </c>
      <c r="I469" s="145" t="s">
        <v>951</v>
      </c>
      <c r="J469" s="145" t="s">
        <v>204</v>
      </c>
      <c r="K469" s="145" t="s">
        <v>224</v>
      </c>
      <c r="L469" s="145" t="s">
        <v>325</v>
      </c>
      <c r="M469" s="145" t="s">
        <v>340</v>
      </c>
      <c r="N469" s="145" t="s">
        <v>465</v>
      </c>
      <c r="O469" s="145" t="s">
        <v>339</v>
      </c>
      <c r="P469" s="145" t="s">
        <v>1473</v>
      </c>
      <c r="Q469" s="145" t="s">
        <v>413</v>
      </c>
      <c r="R469" s="145" t="s">
        <v>407</v>
      </c>
      <c r="S469" s="145" t="s">
        <v>1210</v>
      </c>
      <c r="T469" s="146">
        <v>1.72</v>
      </c>
      <c r="U469" s="145" t="s">
        <v>1807</v>
      </c>
      <c r="V469" s="148">
        <v>4.3499999999999997E-2</v>
      </c>
      <c r="W469" s="148">
        <v>6.1170000000000002E-2</v>
      </c>
      <c r="X469" s="145" t="s">
        <v>412</v>
      </c>
      <c r="Y469" s="159"/>
      <c r="Z469" s="146">
        <v>8800000</v>
      </c>
      <c r="AA469" s="146">
        <v>1</v>
      </c>
      <c r="AB469" s="146">
        <v>97.91</v>
      </c>
      <c r="AC469" s="151"/>
      <c r="AD469" s="146">
        <v>8616.08</v>
      </c>
      <c r="AE469" s="151"/>
      <c r="AF469" s="151"/>
      <c r="AG469" s="151"/>
      <c r="AH469" s="148">
        <v>2.2679999999999999E-2</v>
      </c>
      <c r="AI469" s="148">
        <v>2.6900000000000001E-3</v>
      </c>
      <c r="AJ469" s="149">
        <v>3.5E-4</v>
      </c>
      <c r="AK469" s="196"/>
    </row>
    <row r="470" spans="1:37" x14ac:dyDescent="0.2">
      <c r="A470" s="144" t="s">
        <v>1217</v>
      </c>
      <c r="B470" s="145" t="s">
        <v>1217</v>
      </c>
      <c r="C470" s="145" t="s">
        <v>1600</v>
      </c>
      <c r="D470" s="145" t="s">
        <v>1601</v>
      </c>
      <c r="E470" s="145" t="s">
        <v>309</v>
      </c>
      <c r="F470" s="145" t="s">
        <v>1602</v>
      </c>
      <c r="G470" s="145" t="s">
        <v>1603</v>
      </c>
      <c r="H470" s="145" t="s">
        <v>321</v>
      </c>
      <c r="I470" s="145" t="s">
        <v>951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464</v>
      </c>
      <c r="O470" s="145" t="s">
        <v>339</v>
      </c>
      <c r="P470" s="145" t="s">
        <v>1520</v>
      </c>
      <c r="Q470" s="145" t="s">
        <v>415</v>
      </c>
      <c r="R470" s="145" t="s">
        <v>407</v>
      </c>
      <c r="S470" s="145" t="s">
        <v>1210</v>
      </c>
      <c r="T470" s="146">
        <v>2.67</v>
      </c>
      <c r="U470" s="145" t="s">
        <v>1604</v>
      </c>
      <c r="V470" s="148">
        <v>1.0919999999999999E-2</v>
      </c>
      <c r="W470" s="148">
        <v>5.0459999999999998E-2</v>
      </c>
      <c r="X470" s="145" t="s">
        <v>412</v>
      </c>
      <c r="Y470" s="159"/>
      <c r="Z470" s="146">
        <v>8995941.1699999999</v>
      </c>
      <c r="AA470" s="146">
        <v>1</v>
      </c>
      <c r="AB470" s="146">
        <v>95.73</v>
      </c>
      <c r="AC470" s="151"/>
      <c r="AD470" s="146">
        <v>8611.8140000000003</v>
      </c>
      <c r="AE470" s="151"/>
      <c r="AF470" s="151"/>
      <c r="AG470" s="151"/>
      <c r="AH470" s="148">
        <v>2.63E-2</v>
      </c>
      <c r="AI470" s="148">
        <v>2.6900000000000001E-3</v>
      </c>
      <c r="AJ470" s="149">
        <v>3.5E-4</v>
      </c>
      <c r="AK470" s="196"/>
    </row>
    <row r="471" spans="1:37" x14ac:dyDescent="0.2">
      <c r="A471" s="144" t="s">
        <v>1217</v>
      </c>
      <c r="B471" s="145" t="s">
        <v>1217</v>
      </c>
      <c r="C471" s="145" t="s">
        <v>1380</v>
      </c>
      <c r="D471" s="145" t="s">
        <v>1381</v>
      </c>
      <c r="E471" s="145" t="s">
        <v>309</v>
      </c>
      <c r="F471" s="145" t="s">
        <v>1382</v>
      </c>
      <c r="G471" s="145" t="s">
        <v>1383</v>
      </c>
      <c r="H471" s="145" t="s">
        <v>321</v>
      </c>
      <c r="I471" s="145" t="s">
        <v>754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465</v>
      </c>
      <c r="O471" s="145" t="s">
        <v>339</v>
      </c>
      <c r="P471" s="145" t="s">
        <v>1375</v>
      </c>
      <c r="Q471" s="145" t="s">
        <v>415</v>
      </c>
      <c r="R471" s="145" t="s">
        <v>407</v>
      </c>
      <c r="S471" s="145" t="s">
        <v>1210</v>
      </c>
      <c r="T471" s="146">
        <v>1.39</v>
      </c>
      <c r="U471" s="145" t="s">
        <v>1384</v>
      </c>
      <c r="V471" s="148">
        <v>0.04</v>
      </c>
      <c r="W471" s="148">
        <v>4.675E-2</v>
      </c>
      <c r="X471" s="145" t="s">
        <v>412</v>
      </c>
      <c r="Y471" s="159"/>
      <c r="Z471" s="146">
        <v>7447623.5999999996</v>
      </c>
      <c r="AA471" s="146">
        <v>1</v>
      </c>
      <c r="AB471" s="146">
        <v>115.5</v>
      </c>
      <c r="AC471" s="151"/>
      <c r="AD471" s="146">
        <v>8602.0049999999992</v>
      </c>
      <c r="AE471" s="151"/>
      <c r="AF471" s="151"/>
      <c r="AG471" s="151"/>
      <c r="AH471" s="148">
        <v>4.0800000000000003E-3</v>
      </c>
      <c r="AI471" s="148">
        <v>2.6800000000000001E-3</v>
      </c>
      <c r="AJ471" s="149">
        <v>3.5E-4</v>
      </c>
      <c r="AK471" s="196"/>
    </row>
    <row r="472" spans="1:37" x14ac:dyDescent="0.2">
      <c r="A472" s="144" t="s">
        <v>1217</v>
      </c>
      <c r="B472" s="145" t="s">
        <v>1217</v>
      </c>
      <c r="C472" s="145" t="s">
        <v>1415</v>
      </c>
      <c r="D472" s="145" t="s">
        <v>1416</v>
      </c>
      <c r="E472" s="145" t="s">
        <v>309</v>
      </c>
      <c r="F472" s="145" t="s">
        <v>1423</v>
      </c>
      <c r="G472" s="145" t="s">
        <v>1424</v>
      </c>
      <c r="H472" s="145" t="s">
        <v>321</v>
      </c>
      <c r="I472" s="145" t="s">
        <v>754</v>
      </c>
      <c r="J472" s="145" t="s">
        <v>204</v>
      </c>
      <c r="K472" s="145" t="s">
        <v>204</v>
      </c>
      <c r="L472" s="145" t="s">
        <v>325</v>
      </c>
      <c r="M472" s="145" t="s">
        <v>340</v>
      </c>
      <c r="N472" s="145" t="s">
        <v>448</v>
      </c>
      <c r="O472" s="145" t="s">
        <v>339</v>
      </c>
      <c r="P472" s="145" t="s">
        <v>1350</v>
      </c>
      <c r="Q472" s="145" t="s">
        <v>413</v>
      </c>
      <c r="R472" s="145" t="s">
        <v>407</v>
      </c>
      <c r="S472" s="145" t="s">
        <v>1210</v>
      </c>
      <c r="T472" s="146">
        <v>1.24</v>
      </c>
      <c r="U472" s="145" t="s">
        <v>1425</v>
      </c>
      <c r="V472" s="148">
        <v>2E-3</v>
      </c>
      <c r="W472" s="148">
        <v>2.5510000000000001E-2</v>
      </c>
      <c r="X472" s="145" t="s">
        <v>412</v>
      </c>
      <c r="Y472" s="159"/>
      <c r="Z472" s="146">
        <v>7700500.3899999997</v>
      </c>
      <c r="AA472" s="146">
        <v>1</v>
      </c>
      <c r="AB472" s="146">
        <v>111.21</v>
      </c>
      <c r="AC472" s="151"/>
      <c r="AD472" s="146">
        <v>8563.7260000000006</v>
      </c>
      <c r="AE472" s="151"/>
      <c r="AF472" s="151"/>
      <c r="AG472" s="151"/>
      <c r="AH472" s="148">
        <v>2.7619999999999999E-2</v>
      </c>
      <c r="AI472" s="148">
        <v>2.6700000000000001E-3</v>
      </c>
      <c r="AJ472" s="149">
        <v>3.5E-4</v>
      </c>
      <c r="AK472" s="196"/>
    </row>
    <row r="473" spans="1:37" x14ac:dyDescent="0.2">
      <c r="A473" s="144" t="s">
        <v>1217</v>
      </c>
      <c r="B473" s="145" t="s">
        <v>1217</v>
      </c>
      <c r="C473" s="145" t="s">
        <v>1790</v>
      </c>
      <c r="D473" s="145" t="s">
        <v>1791</v>
      </c>
      <c r="E473" s="145" t="s">
        <v>309</v>
      </c>
      <c r="F473" s="145" t="s">
        <v>1792</v>
      </c>
      <c r="G473" s="145" t="s">
        <v>1793</v>
      </c>
      <c r="H473" s="145" t="s">
        <v>321</v>
      </c>
      <c r="I473" s="145" t="s">
        <v>951</v>
      </c>
      <c r="J473" s="145" t="s">
        <v>204</v>
      </c>
      <c r="K473" s="145" t="s">
        <v>204</v>
      </c>
      <c r="L473" s="145" t="s">
        <v>325</v>
      </c>
      <c r="M473" s="145" t="s">
        <v>340</v>
      </c>
      <c r="N473" s="145" t="s">
        <v>443</v>
      </c>
      <c r="O473" s="145" t="s">
        <v>339</v>
      </c>
      <c r="P473" s="145" t="s">
        <v>1375</v>
      </c>
      <c r="Q473" s="145" t="s">
        <v>415</v>
      </c>
      <c r="R473" s="145" t="s">
        <v>407</v>
      </c>
      <c r="S473" s="145" t="s">
        <v>1210</v>
      </c>
      <c r="T473" s="146">
        <v>0.98</v>
      </c>
      <c r="U473" s="145" t="s">
        <v>1509</v>
      </c>
      <c r="V473" s="148">
        <v>6.9000000000000006E-2</v>
      </c>
      <c r="W473" s="148">
        <v>5.738E-2</v>
      </c>
      <c r="X473" s="145" t="s">
        <v>412</v>
      </c>
      <c r="Y473" s="159"/>
      <c r="Z473" s="146">
        <v>8375000</v>
      </c>
      <c r="AA473" s="146">
        <v>1</v>
      </c>
      <c r="AB473" s="146">
        <v>101.2</v>
      </c>
      <c r="AC473" s="151"/>
      <c r="AD473" s="146">
        <v>8475.5</v>
      </c>
      <c r="AE473" s="151"/>
      <c r="AF473" s="151"/>
      <c r="AG473" s="151"/>
      <c r="AH473" s="148">
        <v>3.465E-2</v>
      </c>
      <c r="AI473" s="148">
        <v>2.65E-3</v>
      </c>
      <c r="AJ473" s="149">
        <v>3.5E-4</v>
      </c>
      <c r="AK473" s="196"/>
    </row>
    <row r="474" spans="1:37" x14ac:dyDescent="0.2">
      <c r="A474" s="144" t="s">
        <v>1217</v>
      </c>
      <c r="B474" s="145" t="s">
        <v>1217</v>
      </c>
      <c r="C474" s="145" t="s">
        <v>1475</v>
      </c>
      <c r="D474" s="145" t="s">
        <v>1476</v>
      </c>
      <c r="E474" s="145" t="s">
        <v>309</v>
      </c>
      <c r="F474" s="145" t="s">
        <v>1477</v>
      </c>
      <c r="G474" s="145" t="s">
        <v>1478</v>
      </c>
      <c r="H474" s="145" t="s">
        <v>321</v>
      </c>
      <c r="I474" s="145" t="s">
        <v>951</v>
      </c>
      <c r="J474" s="145" t="s">
        <v>204</v>
      </c>
      <c r="K474" s="145" t="s">
        <v>204</v>
      </c>
      <c r="L474" s="145" t="s">
        <v>325</v>
      </c>
      <c r="M474" s="145" t="s">
        <v>340</v>
      </c>
      <c r="N474" s="145" t="s">
        <v>484</v>
      </c>
      <c r="O474" s="145" t="s">
        <v>339</v>
      </c>
      <c r="P474" s="145" t="s">
        <v>1406</v>
      </c>
      <c r="Q474" s="145" t="s">
        <v>415</v>
      </c>
      <c r="R474" s="145" t="s">
        <v>407</v>
      </c>
      <c r="S474" s="145" t="s">
        <v>1210</v>
      </c>
      <c r="T474" s="146">
        <v>0.66</v>
      </c>
      <c r="U474" s="145" t="s">
        <v>1479</v>
      </c>
      <c r="V474" s="148">
        <v>3.6499999999999998E-2</v>
      </c>
      <c r="W474" s="148">
        <v>4.4749999999999998E-2</v>
      </c>
      <c r="X474" s="145" t="s">
        <v>412</v>
      </c>
      <c r="Y474" s="159"/>
      <c r="Z474" s="146">
        <v>7821598.2800000003</v>
      </c>
      <c r="AA474" s="146">
        <v>1</v>
      </c>
      <c r="AB474" s="146">
        <v>100.7</v>
      </c>
      <c r="AC474" s="151"/>
      <c r="AD474" s="146">
        <v>7876.3490000000002</v>
      </c>
      <c r="AE474" s="151"/>
      <c r="AF474" s="151"/>
      <c r="AG474" s="151"/>
      <c r="AH474" s="148">
        <v>1.469E-2</v>
      </c>
      <c r="AI474" s="148">
        <v>2.4599999999999999E-3</v>
      </c>
      <c r="AJ474" s="149">
        <v>3.2000000000000003E-4</v>
      </c>
      <c r="AK474" s="196"/>
    </row>
    <row r="475" spans="1:37" x14ac:dyDescent="0.2">
      <c r="A475" s="144" t="s">
        <v>1217</v>
      </c>
      <c r="B475" s="145" t="s">
        <v>1217</v>
      </c>
      <c r="C475" s="145" t="s">
        <v>1595</v>
      </c>
      <c r="D475" s="145" t="s">
        <v>1596</v>
      </c>
      <c r="E475" s="145" t="s">
        <v>309</v>
      </c>
      <c r="F475" s="145" t="s">
        <v>1597</v>
      </c>
      <c r="G475" s="145" t="s">
        <v>1598</v>
      </c>
      <c r="H475" s="145" t="s">
        <v>321</v>
      </c>
      <c r="I475" s="145" t="s">
        <v>951</v>
      </c>
      <c r="J475" s="145" t="s">
        <v>204</v>
      </c>
      <c r="K475" s="145" t="s">
        <v>224</v>
      </c>
      <c r="L475" s="145" t="s">
        <v>325</v>
      </c>
      <c r="M475" s="145" t="s">
        <v>340</v>
      </c>
      <c r="N475" s="145" t="s">
        <v>465</v>
      </c>
      <c r="O475" s="145" t="s">
        <v>339</v>
      </c>
      <c r="P475" s="145" t="s">
        <v>1473</v>
      </c>
      <c r="Q475" s="145" t="s">
        <v>413</v>
      </c>
      <c r="R475" s="145" t="s">
        <v>407</v>
      </c>
      <c r="S475" s="145" t="s">
        <v>1210</v>
      </c>
      <c r="T475" s="146">
        <v>0.66</v>
      </c>
      <c r="U475" s="145" t="s">
        <v>1599</v>
      </c>
      <c r="V475" s="148">
        <v>3.95E-2</v>
      </c>
      <c r="W475" s="148">
        <v>5.8720000000000001E-2</v>
      </c>
      <c r="X475" s="145" t="s">
        <v>412</v>
      </c>
      <c r="Y475" s="159"/>
      <c r="Z475" s="146">
        <v>7821500</v>
      </c>
      <c r="AA475" s="146">
        <v>1</v>
      </c>
      <c r="AB475" s="146">
        <v>100.13</v>
      </c>
      <c r="AC475" s="151"/>
      <c r="AD475" s="146">
        <v>7831.6679999999997</v>
      </c>
      <c r="AE475" s="151"/>
      <c r="AF475" s="151"/>
      <c r="AG475" s="151"/>
      <c r="AH475" s="148">
        <v>2.4920000000000001E-2</v>
      </c>
      <c r="AI475" s="148">
        <v>2.4399999999999999E-3</v>
      </c>
      <c r="AJ475" s="149">
        <v>3.2000000000000003E-4</v>
      </c>
      <c r="AK475" s="196"/>
    </row>
    <row r="476" spans="1:37" x14ac:dyDescent="0.2">
      <c r="A476" s="144" t="s">
        <v>1217</v>
      </c>
      <c r="B476" s="145" t="s">
        <v>1217</v>
      </c>
      <c r="C476" s="145" t="s">
        <v>1444</v>
      </c>
      <c r="D476" s="145" t="s">
        <v>1445</v>
      </c>
      <c r="E476" s="145" t="s">
        <v>309</v>
      </c>
      <c r="F476" s="145" t="s">
        <v>1446</v>
      </c>
      <c r="G476" s="145" t="s">
        <v>1447</v>
      </c>
      <c r="H476" s="145" t="s">
        <v>321</v>
      </c>
      <c r="I476" s="145" t="s">
        <v>754</v>
      </c>
      <c r="J476" s="145" t="s">
        <v>204</v>
      </c>
      <c r="K476" s="145" t="s">
        <v>204</v>
      </c>
      <c r="L476" s="145" t="s">
        <v>325</v>
      </c>
      <c r="M476" s="145" t="s">
        <v>340</v>
      </c>
      <c r="N476" s="145" t="s">
        <v>464</v>
      </c>
      <c r="O476" s="145" t="s">
        <v>339</v>
      </c>
      <c r="P476" s="145" t="s">
        <v>1392</v>
      </c>
      <c r="Q476" s="145" t="s">
        <v>413</v>
      </c>
      <c r="R476" s="145" t="s">
        <v>407</v>
      </c>
      <c r="S476" s="145" t="s">
        <v>1210</v>
      </c>
      <c r="T476" s="146">
        <v>2.27</v>
      </c>
      <c r="U476" s="145" t="s">
        <v>1281</v>
      </c>
      <c r="V476" s="148">
        <v>2.3400000000000001E-2</v>
      </c>
      <c r="W476" s="148">
        <v>2.7980000000000001E-2</v>
      </c>
      <c r="X476" s="145" t="s">
        <v>412</v>
      </c>
      <c r="Y476" s="159"/>
      <c r="Z476" s="146">
        <v>6331048.0700000003</v>
      </c>
      <c r="AA476" s="146">
        <v>1</v>
      </c>
      <c r="AB476" s="146">
        <v>114.39</v>
      </c>
      <c r="AC476" s="151"/>
      <c r="AD476" s="146">
        <v>7242.0860000000002</v>
      </c>
      <c r="AE476" s="151"/>
      <c r="AF476" s="151"/>
      <c r="AG476" s="151"/>
      <c r="AH476" s="148">
        <v>3.8800000000000002E-3</v>
      </c>
      <c r="AI476" s="148">
        <v>2.2599999999999999E-3</v>
      </c>
      <c r="AJ476" s="149">
        <v>2.9999999999999997E-4</v>
      </c>
      <c r="AK476" s="196"/>
    </row>
    <row r="477" spans="1:37" x14ac:dyDescent="0.2">
      <c r="A477" s="144" t="s">
        <v>1217</v>
      </c>
      <c r="B477" s="145" t="s">
        <v>1217</v>
      </c>
      <c r="C477" s="145" t="s">
        <v>1724</v>
      </c>
      <c r="D477" s="145" t="s">
        <v>1725</v>
      </c>
      <c r="E477" s="145" t="s">
        <v>309</v>
      </c>
      <c r="F477" s="145" t="s">
        <v>1808</v>
      </c>
      <c r="G477" s="145" t="s">
        <v>1809</v>
      </c>
      <c r="H477" s="145" t="s">
        <v>321</v>
      </c>
      <c r="I477" s="145" t="s">
        <v>951</v>
      </c>
      <c r="J477" s="145" t="s">
        <v>204</v>
      </c>
      <c r="K477" s="145" t="s">
        <v>204</v>
      </c>
      <c r="L477" s="145" t="s">
        <v>325</v>
      </c>
      <c r="M477" s="145" t="s">
        <v>340</v>
      </c>
      <c r="N477" s="145" t="s">
        <v>464</v>
      </c>
      <c r="O477" s="145" t="s">
        <v>339</v>
      </c>
      <c r="P477" s="145" t="s">
        <v>1406</v>
      </c>
      <c r="Q477" s="145" t="s">
        <v>415</v>
      </c>
      <c r="R477" s="145" t="s">
        <v>407</v>
      </c>
      <c r="S477" s="145" t="s">
        <v>1210</v>
      </c>
      <c r="T477" s="146">
        <v>1.64</v>
      </c>
      <c r="U477" s="145" t="s">
        <v>1401</v>
      </c>
      <c r="V477" s="148">
        <v>5.6500000000000002E-2</v>
      </c>
      <c r="W477" s="148">
        <v>4.9410000000000003E-2</v>
      </c>
      <c r="X477" s="145" t="s">
        <v>412</v>
      </c>
      <c r="Y477" s="159"/>
      <c r="Z477" s="146">
        <v>6227765.7000000002</v>
      </c>
      <c r="AA477" s="146">
        <v>1</v>
      </c>
      <c r="AB477" s="146">
        <v>102.67</v>
      </c>
      <c r="AC477" s="151"/>
      <c r="AD477" s="146">
        <v>6394.0469999999996</v>
      </c>
      <c r="AE477" s="151"/>
      <c r="AF477" s="151"/>
      <c r="AG477" s="151"/>
      <c r="AH477" s="148">
        <v>3.9899999999999998E-2</v>
      </c>
      <c r="AI477" s="148">
        <v>2E-3</v>
      </c>
      <c r="AJ477" s="149">
        <v>2.5999999999999998E-4</v>
      </c>
      <c r="AK477" s="196"/>
    </row>
    <row r="478" spans="1:37" x14ac:dyDescent="0.2">
      <c r="A478" s="144" t="s">
        <v>1217</v>
      </c>
      <c r="B478" s="145" t="s">
        <v>1217</v>
      </c>
      <c r="C478" s="145" t="s">
        <v>1480</v>
      </c>
      <c r="D478" s="145" t="s">
        <v>1481</v>
      </c>
      <c r="E478" s="145" t="s">
        <v>309</v>
      </c>
      <c r="F478" s="145" t="s">
        <v>1482</v>
      </c>
      <c r="G478" s="145" t="s">
        <v>1483</v>
      </c>
      <c r="H478" s="145" t="s">
        <v>321</v>
      </c>
      <c r="I478" s="145" t="s">
        <v>951</v>
      </c>
      <c r="J478" s="145" t="s">
        <v>204</v>
      </c>
      <c r="K478" s="145" t="s">
        <v>204</v>
      </c>
      <c r="L478" s="145" t="s">
        <v>325</v>
      </c>
      <c r="M478" s="145" t="s">
        <v>340</v>
      </c>
      <c r="N478" s="145" t="s">
        <v>475</v>
      </c>
      <c r="O478" s="145" t="s">
        <v>339</v>
      </c>
      <c r="P478" s="145" t="s">
        <v>1392</v>
      </c>
      <c r="Q478" s="145" t="s">
        <v>413</v>
      </c>
      <c r="R478" s="145" t="s">
        <v>407</v>
      </c>
      <c r="S478" s="145" t="s">
        <v>1210</v>
      </c>
      <c r="T478" s="146">
        <v>2.34</v>
      </c>
      <c r="U478" s="145" t="s">
        <v>1484</v>
      </c>
      <c r="V478" s="148">
        <v>5.0900000000000001E-2</v>
      </c>
      <c r="W478" s="148">
        <v>4.7509999999999997E-2</v>
      </c>
      <c r="X478" s="145" t="s">
        <v>412</v>
      </c>
      <c r="Y478" s="159"/>
      <c r="Z478" s="146">
        <v>6099868.5599999996</v>
      </c>
      <c r="AA478" s="146">
        <v>1</v>
      </c>
      <c r="AB478" s="146">
        <v>103.18</v>
      </c>
      <c r="AC478" s="151"/>
      <c r="AD478" s="146">
        <v>6293.8440000000001</v>
      </c>
      <c r="AE478" s="151"/>
      <c r="AF478" s="151"/>
      <c r="AG478" s="151"/>
      <c r="AH478" s="148">
        <v>1.1820000000000001E-2</v>
      </c>
      <c r="AI478" s="148">
        <v>1.9599999999999999E-3</v>
      </c>
      <c r="AJ478" s="149">
        <v>2.5999999999999998E-4</v>
      </c>
      <c r="AK478" s="196"/>
    </row>
    <row r="479" spans="1:37" x14ac:dyDescent="0.2">
      <c r="A479" s="144" t="s">
        <v>1217</v>
      </c>
      <c r="B479" s="145" t="s">
        <v>1217</v>
      </c>
      <c r="C479" s="145" t="s">
        <v>1558</v>
      </c>
      <c r="D479" s="145" t="s">
        <v>1559</v>
      </c>
      <c r="E479" s="145" t="s">
        <v>309</v>
      </c>
      <c r="F479" s="145" t="s">
        <v>1810</v>
      </c>
      <c r="G479" s="145" t="s">
        <v>1811</v>
      </c>
      <c r="H479" s="145" t="s">
        <v>321</v>
      </c>
      <c r="I479" s="145" t="s">
        <v>754</v>
      </c>
      <c r="J479" s="145" t="s">
        <v>204</v>
      </c>
      <c r="K479" s="145" t="s">
        <v>204</v>
      </c>
      <c r="L479" s="145" t="s">
        <v>325</v>
      </c>
      <c r="M479" s="145" t="s">
        <v>340</v>
      </c>
      <c r="N479" s="145" t="s">
        <v>464</v>
      </c>
      <c r="O479" s="145" t="s">
        <v>339</v>
      </c>
      <c r="P479" s="145" t="s">
        <v>1439</v>
      </c>
      <c r="Q479" s="145" t="s">
        <v>413</v>
      </c>
      <c r="R479" s="145" t="s">
        <v>407</v>
      </c>
      <c r="S479" s="145" t="s">
        <v>1210</v>
      </c>
      <c r="T479" s="146">
        <v>1.22</v>
      </c>
      <c r="U479" s="145" t="s">
        <v>1384</v>
      </c>
      <c r="V479" s="148">
        <v>2.2499999999999999E-2</v>
      </c>
      <c r="W479" s="148">
        <v>3.2199999999999999E-2</v>
      </c>
      <c r="X479" s="145" t="s">
        <v>412</v>
      </c>
      <c r="Y479" s="159"/>
      <c r="Z479" s="146">
        <v>5110075.8099999996</v>
      </c>
      <c r="AA479" s="146">
        <v>1</v>
      </c>
      <c r="AB479" s="146">
        <v>114.95</v>
      </c>
      <c r="AC479" s="151"/>
      <c r="AD479" s="146">
        <v>5874.0320000000002</v>
      </c>
      <c r="AE479" s="151"/>
      <c r="AF479" s="151"/>
      <c r="AG479" s="151"/>
      <c r="AH479" s="148">
        <v>1.3650000000000001E-2</v>
      </c>
      <c r="AI479" s="148">
        <v>1.83E-3</v>
      </c>
      <c r="AJ479" s="149">
        <v>2.4000000000000001E-4</v>
      </c>
      <c r="AK479" s="196"/>
    </row>
    <row r="480" spans="1:37" x14ac:dyDescent="0.2">
      <c r="A480" s="144" t="s">
        <v>1217</v>
      </c>
      <c r="B480" s="145" t="s">
        <v>1217</v>
      </c>
      <c r="C480" s="145" t="s">
        <v>1812</v>
      </c>
      <c r="D480" s="145" t="s">
        <v>1813</v>
      </c>
      <c r="E480" s="145" t="s">
        <v>309</v>
      </c>
      <c r="F480" s="145" t="s">
        <v>1814</v>
      </c>
      <c r="G480" s="145" t="s">
        <v>1815</v>
      </c>
      <c r="H480" s="145" t="s">
        <v>321</v>
      </c>
      <c r="I480" s="145" t="s">
        <v>951</v>
      </c>
      <c r="J480" s="145" t="s">
        <v>204</v>
      </c>
      <c r="K480" s="145" t="s">
        <v>204</v>
      </c>
      <c r="L480" s="145" t="s">
        <v>325</v>
      </c>
      <c r="M480" s="145" t="s">
        <v>340</v>
      </c>
      <c r="N480" s="145" t="s">
        <v>451</v>
      </c>
      <c r="O480" s="145" t="s">
        <v>339</v>
      </c>
      <c r="P480" s="145" t="s">
        <v>1392</v>
      </c>
      <c r="Q480" s="145" t="s">
        <v>413</v>
      </c>
      <c r="R480" s="145" t="s">
        <v>407</v>
      </c>
      <c r="S480" s="145" t="s">
        <v>1210</v>
      </c>
      <c r="T480" s="146">
        <v>6.03</v>
      </c>
      <c r="U480" s="145" t="s">
        <v>1816</v>
      </c>
      <c r="V480" s="148">
        <v>5.3100000000000001E-2</v>
      </c>
      <c r="W480" s="148">
        <v>5.2409999999999998E-2</v>
      </c>
      <c r="X480" s="145" t="s">
        <v>412</v>
      </c>
      <c r="Y480" s="159"/>
      <c r="Z480" s="146">
        <v>5629000</v>
      </c>
      <c r="AA480" s="146">
        <v>1</v>
      </c>
      <c r="AB480" s="146">
        <v>101.76</v>
      </c>
      <c r="AC480" s="151"/>
      <c r="AD480" s="146">
        <v>5728.07</v>
      </c>
      <c r="AE480" s="151"/>
      <c r="AF480" s="151"/>
      <c r="AG480" s="151"/>
      <c r="AH480" s="148">
        <v>1.7690000000000001E-2</v>
      </c>
      <c r="AI480" s="148">
        <v>1.7899999999999999E-3</v>
      </c>
      <c r="AJ480" s="149">
        <v>2.4000000000000001E-4</v>
      </c>
      <c r="AK480" s="196"/>
    </row>
    <row r="481" spans="1:37" x14ac:dyDescent="0.2">
      <c r="A481" s="144" t="s">
        <v>1217</v>
      </c>
      <c r="B481" s="145" t="s">
        <v>1217</v>
      </c>
      <c r="C481" s="145" t="s">
        <v>1612</v>
      </c>
      <c r="D481" s="145" t="s">
        <v>1613</v>
      </c>
      <c r="E481" s="145" t="s">
        <v>309</v>
      </c>
      <c r="F481" s="145" t="s">
        <v>1614</v>
      </c>
      <c r="G481" s="145" t="s">
        <v>1615</v>
      </c>
      <c r="H481" s="145" t="s">
        <v>321</v>
      </c>
      <c r="I481" s="145" t="s">
        <v>951</v>
      </c>
      <c r="J481" s="145" t="s">
        <v>204</v>
      </c>
      <c r="K481" s="145" t="s">
        <v>204</v>
      </c>
      <c r="L481" s="145" t="s">
        <v>325</v>
      </c>
      <c r="M481" s="145" t="s">
        <v>340</v>
      </c>
      <c r="N481" s="145" t="s">
        <v>454</v>
      </c>
      <c r="O481" s="145" t="s">
        <v>339</v>
      </c>
      <c r="P481" s="145" t="s">
        <v>1439</v>
      </c>
      <c r="Q481" s="145" t="s">
        <v>413</v>
      </c>
      <c r="R481" s="145" t="s">
        <v>407</v>
      </c>
      <c r="S481" s="145" t="s">
        <v>1210</v>
      </c>
      <c r="T481" s="146">
        <v>2.58</v>
      </c>
      <c r="U481" s="145" t="s">
        <v>1616</v>
      </c>
      <c r="V481" s="148">
        <v>6.7500000000000004E-2</v>
      </c>
      <c r="W481" s="148">
        <v>5.6410000000000002E-2</v>
      </c>
      <c r="X481" s="145" t="s">
        <v>412</v>
      </c>
      <c r="Y481" s="159"/>
      <c r="Z481" s="146">
        <v>5101448.97</v>
      </c>
      <c r="AA481" s="146">
        <v>1</v>
      </c>
      <c r="AB481" s="146">
        <v>104.13</v>
      </c>
      <c r="AC481" s="151"/>
      <c r="AD481" s="146">
        <v>5312.1390000000001</v>
      </c>
      <c r="AE481" s="151"/>
      <c r="AF481" s="151"/>
      <c r="AG481" s="151"/>
      <c r="AH481" s="148">
        <v>3.2399999999999998E-3</v>
      </c>
      <c r="AI481" s="148">
        <v>1.66E-3</v>
      </c>
      <c r="AJ481" s="149">
        <v>2.2000000000000001E-4</v>
      </c>
      <c r="AK481" s="196"/>
    </row>
    <row r="482" spans="1:37" x14ac:dyDescent="0.2">
      <c r="A482" s="144" t="s">
        <v>1217</v>
      </c>
      <c r="B482" s="145" t="s">
        <v>1217</v>
      </c>
      <c r="C482" s="145" t="s">
        <v>1454</v>
      </c>
      <c r="D482" s="145" t="s">
        <v>1455</v>
      </c>
      <c r="E482" s="145" t="s">
        <v>309</v>
      </c>
      <c r="F482" s="145" t="s">
        <v>1456</v>
      </c>
      <c r="G482" s="145" t="s">
        <v>1457</v>
      </c>
      <c r="H482" s="145" t="s">
        <v>321</v>
      </c>
      <c r="I482" s="145" t="s">
        <v>754</v>
      </c>
      <c r="J482" s="145" t="s">
        <v>204</v>
      </c>
      <c r="K482" s="145" t="s">
        <v>204</v>
      </c>
      <c r="L482" s="145" t="s">
        <v>325</v>
      </c>
      <c r="M482" s="145" t="s">
        <v>340</v>
      </c>
      <c r="N482" s="145" t="s">
        <v>464</v>
      </c>
      <c r="O482" s="145" t="s">
        <v>339</v>
      </c>
      <c r="P482" s="145" t="s">
        <v>1392</v>
      </c>
      <c r="Q482" s="145" t="s">
        <v>413</v>
      </c>
      <c r="R482" s="145" t="s">
        <v>407</v>
      </c>
      <c r="S482" s="145" t="s">
        <v>1210</v>
      </c>
      <c r="T482" s="146">
        <v>0.27</v>
      </c>
      <c r="U482" s="145" t="s">
        <v>1458</v>
      </c>
      <c r="V482" s="148">
        <v>1.7600000000000001E-2</v>
      </c>
      <c r="W482" s="148">
        <v>2.298E-2</v>
      </c>
      <c r="X482" s="145" t="s">
        <v>412</v>
      </c>
      <c r="Y482" s="159"/>
      <c r="Z482" s="146">
        <v>4473217.91</v>
      </c>
      <c r="AA482" s="146">
        <v>1</v>
      </c>
      <c r="AB482" s="146">
        <v>117.72</v>
      </c>
      <c r="AC482" s="151"/>
      <c r="AD482" s="146">
        <v>5265.8720000000003</v>
      </c>
      <c r="AE482" s="151"/>
      <c r="AF482" s="151"/>
      <c r="AG482" s="151"/>
      <c r="AH482" s="148">
        <v>1.661E-2</v>
      </c>
      <c r="AI482" s="148">
        <v>1.64E-3</v>
      </c>
      <c r="AJ482" s="149">
        <v>2.2000000000000001E-4</v>
      </c>
      <c r="AK482" s="196"/>
    </row>
    <row r="483" spans="1:37" x14ac:dyDescent="0.2">
      <c r="A483" s="144" t="s">
        <v>1217</v>
      </c>
      <c r="B483" s="145" t="s">
        <v>1217</v>
      </c>
      <c r="C483" s="145" t="s">
        <v>1454</v>
      </c>
      <c r="D483" s="145" t="s">
        <v>1455</v>
      </c>
      <c r="E483" s="145" t="s">
        <v>309</v>
      </c>
      <c r="F483" s="145" t="s">
        <v>1831</v>
      </c>
      <c r="G483" s="145" t="s">
        <v>1832</v>
      </c>
      <c r="H483" s="145" t="s">
        <v>321</v>
      </c>
      <c r="I483" s="145" t="s">
        <v>754</v>
      </c>
      <c r="J483" s="145" t="s">
        <v>204</v>
      </c>
      <c r="K483" s="145" t="s">
        <v>204</v>
      </c>
      <c r="L483" s="145" t="s">
        <v>325</v>
      </c>
      <c r="M483" s="145" t="s">
        <v>340</v>
      </c>
      <c r="N483" s="145" t="s">
        <v>464</v>
      </c>
      <c r="O483" s="145" t="s">
        <v>339</v>
      </c>
      <c r="P483" s="145" t="s">
        <v>1392</v>
      </c>
      <c r="Q483" s="145" t="s">
        <v>413</v>
      </c>
      <c r="R483" s="145" t="s">
        <v>407</v>
      </c>
      <c r="S483" s="145" t="s">
        <v>1210</v>
      </c>
      <c r="T483" s="146">
        <v>0.27</v>
      </c>
      <c r="U483" s="145" t="s">
        <v>1458</v>
      </c>
      <c r="V483" s="148">
        <v>2.3E-2</v>
      </c>
      <c r="W483" s="148">
        <v>2.1239999999999998E-2</v>
      </c>
      <c r="X483" s="145" t="s">
        <v>412</v>
      </c>
      <c r="Y483" s="159"/>
      <c r="Z483" s="146">
        <v>4038102.86</v>
      </c>
      <c r="AA483" s="146">
        <v>1</v>
      </c>
      <c r="AB483" s="146">
        <v>118.09</v>
      </c>
      <c r="AC483" s="151"/>
      <c r="AD483" s="146">
        <v>4768.5959999999995</v>
      </c>
      <c r="AE483" s="151"/>
      <c r="AF483" s="151"/>
      <c r="AG483" s="151"/>
      <c r="AH483" s="148">
        <v>5.0800000000000003E-3</v>
      </c>
      <c r="AI483" s="148">
        <v>1.49E-3</v>
      </c>
      <c r="AJ483" s="149">
        <v>2.0000000000000001E-4</v>
      </c>
      <c r="AK483" s="196"/>
    </row>
    <row r="484" spans="1:37" x14ac:dyDescent="0.2">
      <c r="A484" s="144" t="s">
        <v>1217</v>
      </c>
      <c r="B484" s="145" t="s">
        <v>1217</v>
      </c>
      <c r="C484" s="145" t="s">
        <v>1488</v>
      </c>
      <c r="D484" s="145" t="s">
        <v>1489</v>
      </c>
      <c r="E484" s="145" t="s">
        <v>309</v>
      </c>
      <c r="F484" s="145" t="s">
        <v>1510</v>
      </c>
      <c r="G484" s="145" t="s">
        <v>1511</v>
      </c>
      <c r="H484" s="145" t="s">
        <v>321</v>
      </c>
      <c r="I484" s="145" t="s">
        <v>754</v>
      </c>
      <c r="J484" s="145" t="s">
        <v>204</v>
      </c>
      <c r="K484" s="145" t="s">
        <v>204</v>
      </c>
      <c r="L484" s="145" t="s">
        <v>325</v>
      </c>
      <c r="M484" s="145" t="s">
        <v>340</v>
      </c>
      <c r="N484" s="145" t="s">
        <v>445</v>
      </c>
      <c r="O484" s="145" t="s">
        <v>339</v>
      </c>
      <c r="P484" s="145" t="s">
        <v>1433</v>
      </c>
      <c r="Q484" s="145" t="s">
        <v>415</v>
      </c>
      <c r="R484" s="145" t="s">
        <v>407</v>
      </c>
      <c r="S484" s="145" t="s">
        <v>1210</v>
      </c>
      <c r="T484" s="146">
        <v>4.96</v>
      </c>
      <c r="U484" s="145" t="s">
        <v>1512</v>
      </c>
      <c r="V484" s="148">
        <v>5.3999999999999999E-2</v>
      </c>
      <c r="W484" s="148">
        <v>5.2179999999999997E-2</v>
      </c>
      <c r="X484" s="145" t="s">
        <v>412</v>
      </c>
      <c r="Y484" s="159"/>
      <c r="Z484" s="146">
        <v>4461830</v>
      </c>
      <c r="AA484" s="146">
        <v>1</v>
      </c>
      <c r="AB484" s="146">
        <v>102.55</v>
      </c>
      <c r="AC484" s="151"/>
      <c r="AD484" s="146">
        <v>4575.607</v>
      </c>
      <c r="AE484" s="151"/>
      <c r="AF484" s="151"/>
      <c r="AG484" s="151"/>
      <c r="AH484" s="148">
        <v>7.8100000000000001E-3</v>
      </c>
      <c r="AI484" s="148">
        <v>1.4300000000000001E-3</v>
      </c>
      <c r="AJ484" s="149">
        <v>1.9000000000000001E-4</v>
      </c>
      <c r="AK484" s="196"/>
    </row>
    <row r="485" spans="1:37" x14ac:dyDescent="0.2">
      <c r="A485" s="144" t="s">
        <v>1217</v>
      </c>
      <c r="B485" s="145" t="s">
        <v>1217</v>
      </c>
      <c r="C485" s="145" t="s">
        <v>1617</v>
      </c>
      <c r="D485" s="145" t="s">
        <v>1618</v>
      </c>
      <c r="E485" s="145" t="s">
        <v>309</v>
      </c>
      <c r="F485" s="145" t="s">
        <v>1619</v>
      </c>
      <c r="G485" s="145" t="s">
        <v>1620</v>
      </c>
      <c r="H485" s="145" t="s">
        <v>321</v>
      </c>
      <c r="I485" s="145" t="s">
        <v>951</v>
      </c>
      <c r="J485" s="145" t="s">
        <v>204</v>
      </c>
      <c r="K485" s="145" t="s">
        <v>204</v>
      </c>
      <c r="L485" s="145" t="s">
        <v>325</v>
      </c>
      <c r="M485" s="145" t="s">
        <v>340</v>
      </c>
      <c r="N485" s="145" t="s">
        <v>451</v>
      </c>
      <c r="O485" s="145" t="s">
        <v>339</v>
      </c>
      <c r="P485" s="145" t="s">
        <v>1621</v>
      </c>
      <c r="Q485" s="145" t="s">
        <v>413</v>
      </c>
      <c r="R485" s="145" t="s">
        <v>407</v>
      </c>
      <c r="S485" s="145" t="s">
        <v>1210</v>
      </c>
      <c r="T485" s="146">
        <v>1.2</v>
      </c>
      <c r="U485" s="145" t="s">
        <v>1622</v>
      </c>
      <c r="V485" s="148">
        <v>4.9239999999999999E-2</v>
      </c>
      <c r="W485" s="148">
        <v>6.6960000000000006E-2</v>
      </c>
      <c r="X485" s="145" t="s">
        <v>412</v>
      </c>
      <c r="Y485" s="159"/>
      <c r="Z485" s="146">
        <v>4385839.24</v>
      </c>
      <c r="AA485" s="146">
        <v>1</v>
      </c>
      <c r="AB485" s="146">
        <v>99.46</v>
      </c>
      <c r="AC485" s="151"/>
      <c r="AD485" s="146">
        <v>4362.1559999999999</v>
      </c>
      <c r="AE485" s="151"/>
      <c r="AF485" s="151"/>
      <c r="AG485" s="151"/>
      <c r="AH485" s="148">
        <v>7.7499999999999999E-3</v>
      </c>
      <c r="AI485" s="148">
        <v>1.3600000000000001E-3</v>
      </c>
      <c r="AJ485" s="149">
        <v>1.8000000000000001E-4</v>
      </c>
      <c r="AK485" s="196"/>
    </row>
    <row r="486" spans="1:37" x14ac:dyDescent="0.2">
      <c r="A486" s="144" t="s">
        <v>1217</v>
      </c>
      <c r="B486" s="145" t="s">
        <v>1217</v>
      </c>
      <c r="C486" s="145" t="s">
        <v>1817</v>
      </c>
      <c r="D486" s="145" t="s">
        <v>1818</v>
      </c>
      <c r="E486" s="145" t="s">
        <v>309</v>
      </c>
      <c r="F486" s="145" t="s">
        <v>1819</v>
      </c>
      <c r="G486" s="145" t="s">
        <v>1820</v>
      </c>
      <c r="H486" s="145" t="s">
        <v>321</v>
      </c>
      <c r="I486" s="145" t="s">
        <v>754</v>
      </c>
      <c r="J486" s="145" t="s">
        <v>204</v>
      </c>
      <c r="K486" s="145" t="s">
        <v>204</v>
      </c>
      <c r="L486" s="145" t="s">
        <v>325</v>
      </c>
      <c r="M486" s="145" t="s">
        <v>340</v>
      </c>
      <c r="N486" s="145" t="s">
        <v>464</v>
      </c>
      <c r="O486" s="145" t="s">
        <v>339</v>
      </c>
      <c r="P486" s="145" t="s">
        <v>1392</v>
      </c>
      <c r="Q486" s="145" t="s">
        <v>413</v>
      </c>
      <c r="R486" s="145" t="s">
        <v>407</v>
      </c>
      <c r="S486" s="145" t="s">
        <v>1210</v>
      </c>
      <c r="T486" s="146">
        <v>1.1599999999999999</v>
      </c>
      <c r="U486" s="145" t="s">
        <v>1821</v>
      </c>
      <c r="V486" s="148">
        <v>1.6E-2</v>
      </c>
      <c r="W486" s="148">
        <v>2.937E-2</v>
      </c>
      <c r="X486" s="145" t="s">
        <v>412</v>
      </c>
      <c r="Y486" s="159"/>
      <c r="Z486" s="146">
        <v>3600266.4</v>
      </c>
      <c r="AA486" s="146">
        <v>1</v>
      </c>
      <c r="AB486" s="146">
        <v>116.04</v>
      </c>
      <c r="AC486" s="151"/>
      <c r="AD486" s="146">
        <v>4177.7489999999998</v>
      </c>
      <c r="AE486" s="151"/>
      <c r="AF486" s="151"/>
      <c r="AG486" s="151"/>
      <c r="AH486" s="148">
        <v>1.269E-2</v>
      </c>
      <c r="AI486" s="148">
        <v>1.2999999999999999E-3</v>
      </c>
      <c r="AJ486" s="149">
        <v>1.7000000000000001E-4</v>
      </c>
      <c r="AK486" s="196"/>
    </row>
    <row r="487" spans="1:37" x14ac:dyDescent="0.2">
      <c r="A487" s="144" t="s">
        <v>1217</v>
      </c>
      <c r="B487" s="145" t="s">
        <v>1217</v>
      </c>
      <c r="C487" s="145" t="s">
        <v>1505</v>
      </c>
      <c r="D487" s="145" t="s">
        <v>1506</v>
      </c>
      <c r="E487" s="145" t="s">
        <v>309</v>
      </c>
      <c r="F487" s="145" t="s">
        <v>1507</v>
      </c>
      <c r="G487" s="145" t="s">
        <v>1508</v>
      </c>
      <c r="H487" s="145" t="s">
        <v>321</v>
      </c>
      <c r="I487" s="145" t="s">
        <v>951</v>
      </c>
      <c r="J487" s="145" t="s">
        <v>204</v>
      </c>
      <c r="K487" s="145" t="s">
        <v>204</v>
      </c>
      <c r="L487" s="145" t="s">
        <v>325</v>
      </c>
      <c r="M487" s="145" t="s">
        <v>340</v>
      </c>
      <c r="N487" s="145" t="s">
        <v>445</v>
      </c>
      <c r="O487" s="145" t="s">
        <v>339</v>
      </c>
      <c r="P487" s="145" t="s">
        <v>1406</v>
      </c>
      <c r="Q487" s="145" t="s">
        <v>415</v>
      </c>
      <c r="R487" s="145" t="s">
        <v>407</v>
      </c>
      <c r="S487" s="145" t="s">
        <v>1210</v>
      </c>
      <c r="T487" s="146">
        <v>0.98</v>
      </c>
      <c r="U487" s="145" t="s">
        <v>1509</v>
      </c>
      <c r="V487" s="148">
        <v>2.9399999999999999E-2</v>
      </c>
      <c r="W487" s="148">
        <v>4.9570000000000003E-2</v>
      </c>
      <c r="X487" s="145" t="s">
        <v>412</v>
      </c>
      <c r="Y487" s="159"/>
      <c r="Z487" s="146">
        <v>3748589.43</v>
      </c>
      <c r="AA487" s="146">
        <v>1</v>
      </c>
      <c r="AB487" s="146">
        <v>99.54</v>
      </c>
      <c r="AC487" s="151"/>
      <c r="AD487" s="146">
        <v>3731.346</v>
      </c>
      <c r="AE487" s="151"/>
      <c r="AF487" s="151"/>
      <c r="AG487" s="151"/>
      <c r="AH487" s="148">
        <v>3.4950000000000002E-2</v>
      </c>
      <c r="AI487" s="148">
        <v>1.16E-3</v>
      </c>
      <c r="AJ487" s="149">
        <v>1.4999999999999999E-4</v>
      </c>
      <c r="AK487" s="196"/>
    </row>
    <row r="488" spans="1:37" x14ac:dyDescent="0.2">
      <c r="A488" s="144" t="s">
        <v>1217</v>
      </c>
      <c r="B488" s="145" t="s">
        <v>1217</v>
      </c>
      <c r="C488" s="145" t="s">
        <v>1724</v>
      </c>
      <c r="D488" s="145" t="s">
        <v>1725</v>
      </c>
      <c r="E488" s="145" t="s">
        <v>309</v>
      </c>
      <c r="F488" s="145" t="s">
        <v>1841</v>
      </c>
      <c r="G488" s="145" t="s">
        <v>1842</v>
      </c>
      <c r="H488" s="145" t="s">
        <v>321</v>
      </c>
      <c r="I488" s="145" t="s">
        <v>754</v>
      </c>
      <c r="J488" s="145" t="s">
        <v>204</v>
      </c>
      <c r="K488" s="145" t="s">
        <v>204</v>
      </c>
      <c r="L488" s="145" t="s">
        <v>325</v>
      </c>
      <c r="M488" s="145" t="s">
        <v>340</v>
      </c>
      <c r="N488" s="145" t="s">
        <v>464</v>
      </c>
      <c r="O488" s="145" t="s">
        <v>339</v>
      </c>
      <c r="P488" s="145" t="s">
        <v>1392</v>
      </c>
      <c r="Q488" s="145" t="s">
        <v>413</v>
      </c>
      <c r="R488" s="145" t="s">
        <v>407</v>
      </c>
      <c r="S488" s="145" t="s">
        <v>1210</v>
      </c>
      <c r="T488" s="146">
        <v>1.41</v>
      </c>
      <c r="U488" s="145" t="s">
        <v>1509</v>
      </c>
      <c r="V488" s="148">
        <v>2.4E-2</v>
      </c>
      <c r="W488" s="148">
        <v>2.5989999999999999E-2</v>
      </c>
      <c r="X488" s="145" t="s">
        <v>412</v>
      </c>
      <c r="Y488" s="159"/>
      <c r="Z488" s="146">
        <v>3196972.99</v>
      </c>
      <c r="AA488" s="146">
        <v>1</v>
      </c>
      <c r="AB488" s="146">
        <v>115.95</v>
      </c>
      <c r="AC488" s="151"/>
      <c r="AD488" s="146">
        <v>3706.89</v>
      </c>
      <c r="AE488" s="151"/>
      <c r="AF488" s="151"/>
      <c r="AG488" s="151"/>
      <c r="AH488" s="148">
        <v>5.9500000000000004E-3</v>
      </c>
      <c r="AI488" s="148">
        <v>1.16E-3</v>
      </c>
      <c r="AJ488" s="149">
        <v>1.4999999999999999E-4</v>
      </c>
      <c r="AK488" s="196"/>
    </row>
    <row r="489" spans="1:37" x14ac:dyDescent="0.2">
      <c r="A489" s="144" t="s">
        <v>1217</v>
      </c>
      <c r="B489" s="145" t="s">
        <v>1217</v>
      </c>
      <c r="C489" s="145" t="s">
        <v>1822</v>
      </c>
      <c r="D489" s="145" t="s">
        <v>1823</v>
      </c>
      <c r="E489" s="145" t="s">
        <v>309</v>
      </c>
      <c r="F489" s="145" t="s">
        <v>1824</v>
      </c>
      <c r="G489" s="145" t="s">
        <v>1825</v>
      </c>
      <c r="H489" s="145" t="s">
        <v>321</v>
      </c>
      <c r="I489" s="145" t="s">
        <v>951</v>
      </c>
      <c r="J489" s="145" t="s">
        <v>204</v>
      </c>
      <c r="K489" s="145" t="s">
        <v>204</v>
      </c>
      <c r="L489" s="145" t="s">
        <v>325</v>
      </c>
      <c r="M489" s="145" t="s">
        <v>340</v>
      </c>
      <c r="N489" s="145" t="s">
        <v>463</v>
      </c>
      <c r="O489" s="145" t="s">
        <v>339</v>
      </c>
      <c r="P489" s="145" t="s">
        <v>1473</v>
      </c>
      <c r="Q489" s="145" t="s">
        <v>413</v>
      </c>
      <c r="R489" s="145" t="s">
        <v>407</v>
      </c>
      <c r="S489" s="145" t="s">
        <v>1210</v>
      </c>
      <c r="T489" s="146">
        <v>2.58</v>
      </c>
      <c r="U489" s="145" t="s">
        <v>1767</v>
      </c>
      <c r="V489" s="148">
        <v>2.6200000000000001E-2</v>
      </c>
      <c r="W489" s="148">
        <v>5.2260000000000001E-2</v>
      </c>
      <c r="X489" s="145" t="s">
        <v>412</v>
      </c>
      <c r="Y489" s="159"/>
      <c r="Z489" s="146">
        <v>3238208.2</v>
      </c>
      <c r="AA489" s="146">
        <v>1</v>
      </c>
      <c r="AB489" s="146">
        <v>94.28</v>
      </c>
      <c r="AC489" s="151"/>
      <c r="AD489" s="146">
        <v>3052.9830000000002</v>
      </c>
      <c r="AE489" s="151"/>
      <c r="AF489" s="151"/>
      <c r="AG489" s="151"/>
      <c r="AH489" s="148">
        <v>7.5399999999999998E-3</v>
      </c>
      <c r="AI489" s="148">
        <v>9.5E-4</v>
      </c>
      <c r="AJ489" s="149">
        <v>1.2999999999999999E-4</v>
      </c>
      <c r="AK489" s="196"/>
    </row>
    <row r="490" spans="1:37" x14ac:dyDescent="0.2">
      <c r="A490" s="144" t="s">
        <v>1217</v>
      </c>
      <c r="B490" s="145" t="s">
        <v>1217</v>
      </c>
      <c r="C490" s="145" t="s">
        <v>1826</v>
      </c>
      <c r="D490" s="145" t="s">
        <v>1827</v>
      </c>
      <c r="E490" s="145" t="s">
        <v>309</v>
      </c>
      <c r="F490" s="145" t="s">
        <v>1828</v>
      </c>
      <c r="G490" s="145" t="s">
        <v>1829</v>
      </c>
      <c r="H490" s="145" t="s">
        <v>321</v>
      </c>
      <c r="I490" s="145" t="s">
        <v>951</v>
      </c>
      <c r="J490" s="145" t="s">
        <v>204</v>
      </c>
      <c r="K490" s="145" t="s">
        <v>204</v>
      </c>
      <c r="L490" s="145" t="s">
        <v>325</v>
      </c>
      <c r="M490" s="145" t="s">
        <v>340</v>
      </c>
      <c r="N490" s="145" t="s">
        <v>465</v>
      </c>
      <c r="O490" s="145" t="s">
        <v>339</v>
      </c>
      <c r="P490" s="145" t="s">
        <v>1375</v>
      </c>
      <c r="Q490" s="145" t="s">
        <v>415</v>
      </c>
      <c r="R490" s="145" t="s">
        <v>407</v>
      </c>
      <c r="S490" s="145" t="s">
        <v>1210</v>
      </c>
      <c r="T490" s="146">
        <v>2.46</v>
      </c>
      <c r="U490" s="145" t="s">
        <v>1830</v>
      </c>
      <c r="V490" s="148">
        <v>2.8500000000000001E-2</v>
      </c>
      <c r="W490" s="148">
        <v>5.8400000000000001E-2</v>
      </c>
      <c r="X490" s="145" t="s">
        <v>412</v>
      </c>
      <c r="Y490" s="159"/>
      <c r="Z490" s="146">
        <v>3075472.03</v>
      </c>
      <c r="AA490" s="146">
        <v>1</v>
      </c>
      <c r="AB490" s="146">
        <v>94.04</v>
      </c>
      <c r="AC490" s="151"/>
      <c r="AD490" s="146">
        <v>2892.174</v>
      </c>
      <c r="AE490" s="151"/>
      <c r="AF490" s="151"/>
      <c r="AG490" s="151"/>
      <c r="AH490" s="148">
        <v>7.1000000000000004E-3</v>
      </c>
      <c r="AI490" s="148">
        <v>8.9999999999999998E-4</v>
      </c>
      <c r="AJ490" s="149">
        <v>1.2E-4</v>
      </c>
      <c r="AK490" s="196"/>
    </row>
    <row r="491" spans="1:37" x14ac:dyDescent="0.2">
      <c r="A491" s="144" t="s">
        <v>1217</v>
      </c>
      <c r="B491" s="145" t="s">
        <v>1217</v>
      </c>
      <c r="C491" s="145" t="s">
        <v>1388</v>
      </c>
      <c r="D491" s="145" t="s">
        <v>1389</v>
      </c>
      <c r="E491" s="145" t="s">
        <v>309</v>
      </c>
      <c r="F491" s="145" t="s">
        <v>1833</v>
      </c>
      <c r="G491" s="145" t="s">
        <v>1834</v>
      </c>
      <c r="H491" s="145" t="s">
        <v>321</v>
      </c>
      <c r="I491" s="145" t="s">
        <v>754</v>
      </c>
      <c r="J491" s="145" t="s">
        <v>204</v>
      </c>
      <c r="K491" s="145" t="s">
        <v>204</v>
      </c>
      <c r="L491" s="145" t="s">
        <v>325</v>
      </c>
      <c r="M491" s="145" t="s">
        <v>340</v>
      </c>
      <c r="N491" s="145" t="s">
        <v>464</v>
      </c>
      <c r="O491" s="145" t="s">
        <v>339</v>
      </c>
      <c r="P491" s="145" t="s">
        <v>1392</v>
      </c>
      <c r="Q491" s="145" t="s">
        <v>413</v>
      </c>
      <c r="R491" s="145" t="s">
        <v>407</v>
      </c>
      <c r="S491" s="145" t="s">
        <v>1210</v>
      </c>
      <c r="T491" s="146">
        <v>0.99</v>
      </c>
      <c r="U491" s="145" t="s">
        <v>1835</v>
      </c>
      <c r="V491" s="148">
        <v>4.7500000000000001E-2</v>
      </c>
      <c r="W491" s="148">
        <v>2.46E-2</v>
      </c>
      <c r="X491" s="145" t="s">
        <v>412</v>
      </c>
      <c r="Y491" s="159"/>
      <c r="Z491" s="146">
        <v>1757350.96</v>
      </c>
      <c r="AA491" s="146">
        <v>1</v>
      </c>
      <c r="AB491" s="146">
        <v>143.4</v>
      </c>
      <c r="AC491" s="151"/>
      <c r="AD491" s="146">
        <v>2520.0410000000002</v>
      </c>
      <c r="AE491" s="151"/>
      <c r="AF491" s="151"/>
      <c r="AG491" s="151"/>
      <c r="AH491" s="148">
        <v>3.6800000000000001E-3</v>
      </c>
      <c r="AI491" s="148">
        <v>7.9000000000000001E-4</v>
      </c>
      <c r="AJ491" s="149">
        <v>1E-4</v>
      </c>
      <c r="AK491" s="196"/>
    </row>
    <row r="492" spans="1:37" x14ac:dyDescent="0.2">
      <c r="A492" s="144" t="s">
        <v>1217</v>
      </c>
      <c r="B492" s="145" t="s">
        <v>1217</v>
      </c>
      <c r="C492" s="145" t="s">
        <v>1469</v>
      </c>
      <c r="D492" s="145" t="s">
        <v>1470</v>
      </c>
      <c r="E492" s="145" t="s">
        <v>309</v>
      </c>
      <c r="F492" s="145" t="s">
        <v>1471</v>
      </c>
      <c r="G492" s="145" t="s">
        <v>1472</v>
      </c>
      <c r="H492" s="145" t="s">
        <v>321</v>
      </c>
      <c r="I492" s="145" t="s">
        <v>951</v>
      </c>
      <c r="J492" s="145" t="s">
        <v>204</v>
      </c>
      <c r="K492" s="145" t="s">
        <v>204</v>
      </c>
      <c r="L492" s="145" t="s">
        <v>325</v>
      </c>
      <c r="M492" s="145" t="s">
        <v>340</v>
      </c>
      <c r="N492" s="145" t="s">
        <v>451</v>
      </c>
      <c r="O492" s="145" t="s">
        <v>339</v>
      </c>
      <c r="P492" s="145" t="s">
        <v>1473</v>
      </c>
      <c r="Q492" s="145" t="s">
        <v>413</v>
      </c>
      <c r="R492" s="145" t="s">
        <v>407</v>
      </c>
      <c r="S492" s="145" t="s">
        <v>1210</v>
      </c>
      <c r="T492" s="146">
        <v>0.73</v>
      </c>
      <c r="U492" s="145" t="s">
        <v>1474</v>
      </c>
      <c r="V492" s="148">
        <v>0.04</v>
      </c>
      <c r="W492" s="148">
        <v>5.407E-2</v>
      </c>
      <c r="X492" s="145" t="s">
        <v>412</v>
      </c>
      <c r="Y492" s="159"/>
      <c r="Z492" s="146">
        <v>2381109.13</v>
      </c>
      <c r="AA492" s="146">
        <v>1</v>
      </c>
      <c r="AB492" s="146">
        <v>100.05</v>
      </c>
      <c r="AC492" s="151"/>
      <c r="AD492" s="146">
        <v>2382.3000000000002</v>
      </c>
      <c r="AE492" s="151"/>
      <c r="AF492" s="151"/>
      <c r="AG492" s="151"/>
      <c r="AH492" s="148">
        <v>1.8069999999999999E-2</v>
      </c>
      <c r="AI492" s="148">
        <v>7.3999999999999999E-4</v>
      </c>
      <c r="AJ492" s="149">
        <v>1E-4</v>
      </c>
      <c r="AK492" s="196"/>
    </row>
    <row r="493" spans="1:37" x14ac:dyDescent="0.2">
      <c r="A493" s="144" t="s">
        <v>1217</v>
      </c>
      <c r="B493" s="145" t="s">
        <v>1217</v>
      </c>
      <c r="C493" s="145" t="s">
        <v>1394</v>
      </c>
      <c r="D493" s="145" t="s">
        <v>1395</v>
      </c>
      <c r="E493" s="145" t="s">
        <v>309</v>
      </c>
      <c r="F493" s="145" t="s">
        <v>1527</v>
      </c>
      <c r="G493" s="145" t="s">
        <v>1528</v>
      </c>
      <c r="H493" s="145" t="s">
        <v>321</v>
      </c>
      <c r="I493" s="145" t="s">
        <v>951</v>
      </c>
      <c r="J493" s="145" t="s">
        <v>204</v>
      </c>
      <c r="K493" s="145" t="s">
        <v>204</v>
      </c>
      <c r="L493" s="145" t="s">
        <v>325</v>
      </c>
      <c r="M493" s="145" t="s">
        <v>340</v>
      </c>
      <c r="N493" s="145" t="s">
        <v>445</v>
      </c>
      <c r="O493" s="145" t="s">
        <v>339</v>
      </c>
      <c r="P493" s="145" t="s">
        <v>1358</v>
      </c>
      <c r="Q493" s="145" t="s">
        <v>415</v>
      </c>
      <c r="R493" s="145" t="s">
        <v>407</v>
      </c>
      <c r="S493" s="145" t="s">
        <v>1210</v>
      </c>
      <c r="T493" s="146">
        <v>4.33</v>
      </c>
      <c r="U493" s="145" t="s">
        <v>1529</v>
      </c>
      <c r="V493" s="148">
        <v>3.95E-2</v>
      </c>
      <c r="W493" s="148">
        <v>4.8520000000000001E-2</v>
      </c>
      <c r="X493" s="145" t="s">
        <v>412</v>
      </c>
      <c r="Y493" s="159"/>
      <c r="Z493" s="146">
        <v>2350416</v>
      </c>
      <c r="AA493" s="146">
        <v>1</v>
      </c>
      <c r="AB493" s="146">
        <v>97.42</v>
      </c>
      <c r="AC493" s="151"/>
      <c r="AD493" s="146">
        <v>2289.7750000000001</v>
      </c>
      <c r="AE493" s="151"/>
      <c r="AF493" s="151"/>
      <c r="AG493" s="151"/>
      <c r="AH493" s="148">
        <v>9.7900000000000001E-3</v>
      </c>
      <c r="AI493" s="148">
        <v>7.1000000000000002E-4</v>
      </c>
      <c r="AJ493" s="149">
        <v>9.0000000000000006E-5</v>
      </c>
      <c r="AK493" s="196"/>
    </row>
    <row r="494" spans="1:37" x14ac:dyDescent="0.2">
      <c r="A494" s="144" t="s">
        <v>1217</v>
      </c>
      <c r="B494" s="145" t="s">
        <v>1217</v>
      </c>
      <c r="C494" s="145" t="s">
        <v>1394</v>
      </c>
      <c r="D494" s="145" t="s">
        <v>1395</v>
      </c>
      <c r="E494" s="145" t="s">
        <v>309</v>
      </c>
      <c r="F494" s="145" t="s">
        <v>1396</v>
      </c>
      <c r="G494" s="145" t="s">
        <v>1397</v>
      </c>
      <c r="H494" s="145" t="s">
        <v>321</v>
      </c>
      <c r="I494" s="145" t="s">
        <v>951</v>
      </c>
      <c r="J494" s="145" t="s">
        <v>204</v>
      </c>
      <c r="K494" s="145" t="s">
        <v>204</v>
      </c>
      <c r="L494" s="145" t="s">
        <v>325</v>
      </c>
      <c r="M494" s="145" t="s">
        <v>340</v>
      </c>
      <c r="N494" s="145" t="s">
        <v>445</v>
      </c>
      <c r="O494" s="145" t="s">
        <v>339</v>
      </c>
      <c r="P494" s="145" t="s">
        <v>1358</v>
      </c>
      <c r="Q494" s="145" t="s">
        <v>415</v>
      </c>
      <c r="R494" s="145" t="s">
        <v>407</v>
      </c>
      <c r="S494" s="145" t="s">
        <v>1210</v>
      </c>
      <c r="T494" s="146">
        <v>3.49</v>
      </c>
      <c r="U494" s="145" t="s">
        <v>1398</v>
      </c>
      <c r="V494" s="148">
        <v>3.95E-2</v>
      </c>
      <c r="W494" s="148">
        <v>4.6510000000000003E-2</v>
      </c>
      <c r="X494" s="145" t="s">
        <v>412</v>
      </c>
      <c r="Y494" s="159"/>
      <c r="Z494" s="146">
        <v>2006107</v>
      </c>
      <c r="AA494" s="146">
        <v>1</v>
      </c>
      <c r="AB494" s="146">
        <v>98.76</v>
      </c>
      <c r="AC494" s="151"/>
      <c r="AD494" s="146">
        <v>1981.231</v>
      </c>
      <c r="AE494" s="151"/>
      <c r="AF494" s="151"/>
      <c r="AG494" s="151"/>
      <c r="AH494" s="148">
        <v>8.3599999999999994E-3</v>
      </c>
      <c r="AI494" s="148">
        <v>6.2E-4</v>
      </c>
      <c r="AJ494" s="149">
        <v>8.0000000000000007E-5</v>
      </c>
      <c r="AK494" s="196"/>
    </row>
    <row r="495" spans="1:37" x14ac:dyDescent="0.2">
      <c r="A495" s="144" t="s">
        <v>1217</v>
      </c>
      <c r="B495" s="145" t="s">
        <v>1217</v>
      </c>
      <c r="C495" s="145" t="s">
        <v>1522</v>
      </c>
      <c r="D495" s="145" t="s">
        <v>1523</v>
      </c>
      <c r="E495" s="145" t="s">
        <v>309</v>
      </c>
      <c r="F495" s="145" t="s">
        <v>1524</v>
      </c>
      <c r="G495" s="145" t="s">
        <v>1525</v>
      </c>
      <c r="H495" s="145" t="s">
        <v>321</v>
      </c>
      <c r="I495" s="145" t="s">
        <v>754</v>
      </c>
      <c r="J495" s="145" t="s">
        <v>204</v>
      </c>
      <c r="K495" s="145" t="s">
        <v>204</v>
      </c>
      <c r="L495" s="145" t="s">
        <v>325</v>
      </c>
      <c r="M495" s="145" t="s">
        <v>340</v>
      </c>
      <c r="N495" s="145" t="s">
        <v>464</v>
      </c>
      <c r="O495" s="145" t="s">
        <v>339</v>
      </c>
      <c r="P495" s="145" t="s">
        <v>1358</v>
      </c>
      <c r="Q495" s="145" t="s">
        <v>415</v>
      </c>
      <c r="R495" s="145" t="s">
        <v>407</v>
      </c>
      <c r="S495" s="145" t="s">
        <v>1210</v>
      </c>
      <c r="T495" s="146">
        <v>2.44</v>
      </c>
      <c r="U495" s="145" t="s">
        <v>1526</v>
      </c>
      <c r="V495" s="148">
        <v>1.9599999999999999E-2</v>
      </c>
      <c r="W495" s="148">
        <v>2.877E-2</v>
      </c>
      <c r="X495" s="145" t="s">
        <v>412</v>
      </c>
      <c r="Y495" s="159"/>
      <c r="Z495" s="146">
        <v>1686289</v>
      </c>
      <c r="AA495" s="146">
        <v>1</v>
      </c>
      <c r="AB495" s="146">
        <v>114.79</v>
      </c>
      <c r="AC495" s="151"/>
      <c r="AD495" s="146">
        <v>1935.691</v>
      </c>
      <c r="AE495" s="151"/>
      <c r="AF495" s="151"/>
      <c r="AG495" s="151"/>
      <c r="AH495" s="148">
        <v>1.47E-3</v>
      </c>
      <c r="AI495" s="148">
        <v>5.9999999999999995E-4</v>
      </c>
      <c r="AJ495" s="149">
        <v>8.0000000000000007E-5</v>
      </c>
      <c r="AK495" s="196"/>
    </row>
    <row r="496" spans="1:37" x14ac:dyDescent="0.2">
      <c r="A496" s="144" t="s">
        <v>1217</v>
      </c>
      <c r="B496" s="145" t="s">
        <v>1217</v>
      </c>
      <c r="C496" s="145" t="s">
        <v>1680</v>
      </c>
      <c r="D496" s="145" t="s">
        <v>1681</v>
      </c>
      <c r="E496" s="145" t="s">
        <v>309</v>
      </c>
      <c r="F496" s="145" t="s">
        <v>1862</v>
      </c>
      <c r="G496" s="145" t="s">
        <v>1863</v>
      </c>
      <c r="H496" s="145" t="s">
        <v>321</v>
      </c>
      <c r="I496" s="145" t="s">
        <v>951</v>
      </c>
      <c r="J496" s="145" t="s">
        <v>204</v>
      </c>
      <c r="K496" s="145" t="s">
        <v>224</v>
      </c>
      <c r="L496" s="145" t="s">
        <v>325</v>
      </c>
      <c r="M496" s="145" t="s">
        <v>340</v>
      </c>
      <c r="N496" s="145" t="s">
        <v>465</v>
      </c>
      <c r="O496" s="145" t="s">
        <v>339</v>
      </c>
      <c r="P496" s="145" t="s">
        <v>1350</v>
      </c>
      <c r="Q496" s="145" t="s">
        <v>413</v>
      </c>
      <c r="R496" s="145" t="s">
        <v>407</v>
      </c>
      <c r="S496" s="145" t="s">
        <v>1210</v>
      </c>
      <c r="T496" s="146">
        <v>3.28</v>
      </c>
      <c r="U496" s="145" t="s">
        <v>1864</v>
      </c>
      <c r="V496" s="148">
        <v>4.4999999999999998E-2</v>
      </c>
      <c r="W496" s="148">
        <v>6.0130000000000003E-2</v>
      </c>
      <c r="X496" s="145" t="s">
        <v>412</v>
      </c>
      <c r="Y496" s="159"/>
      <c r="Z496" s="146">
        <v>1834159.01</v>
      </c>
      <c r="AA496" s="146">
        <v>1</v>
      </c>
      <c r="AB496" s="146">
        <v>97.47</v>
      </c>
      <c r="AC496" s="151"/>
      <c r="AD496" s="146">
        <v>1787.7550000000001</v>
      </c>
      <c r="AE496" s="151"/>
      <c r="AF496" s="151"/>
      <c r="AG496" s="151"/>
      <c r="AH496" s="148">
        <v>2.1199999999999999E-3</v>
      </c>
      <c r="AI496" s="148">
        <v>5.5999999999999995E-4</v>
      </c>
      <c r="AJ496" s="149">
        <v>6.9999999999999994E-5</v>
      </c>
      <c r="AK496" s="196"/>
    </row>
    <row r="497" spans="1:37" x14ac:dyDescent="0.2">
      <c r="A497" s="144" t="s">
        <v>1217</v>
      </c>
      <c r="B497" s="145" t="s">
        <v>1217</v>
      </c>
      <c r="C497" s="145" t="s">
        <v>1516</v>
      </c>
      <c r="D497" s="145" t="s">
        <v>1517</v>
      </c>
      <c r="E497" s="145" t="s">
        <v>309</v>
      </c>
      <c r="F497" s="145" t="s">
        <v>1518</v>
      </c>
      <c r="G497" s="145" t="s">
        <v>1519</v>
      </c>
      <c r="H497" s="145" t="s">
        <v>321</v>
      </c>
      <c r="I497" s="145" t="s">
        <v>951</v>
      </c>
      <c r="J497" s="145" t="s">
        <v>204</v>
      </c>
      <c r="K497" s="145" t="s">
        <v>204</v>
      </c>
      <c r="L497" s="145" t="s">
        <v>325</v>
      </c>
      <c r="M497" s="145" t="s">
        <v>340</v>
      </c>
      <c r="N497" s="145" t="s">
        <v>465</v>
      </c>
      <c r="O497" s="145" t="s">
        <v>339</v>
      </c>
      <c r="P497" s="145" t="s">
        <v>1520</v>
      </c>
      <c r="Q497" s="145" t="s">
        <v>415</v>
      </c>
      <c r="R497" s="145" t="s">
        <v>407</v>
      </c>
      <c r="S497" s="145" t="s">
        <v>1210</v>
      </c>
      <c r="T497" s="146">
        <v>0.37</v>
      </c>
      <c r="U497" s="145" t="s">
        <v>1521</v>
      </c>
      <c r="V497" s="148">
        <v>3.5000000000000003E-2</v>
      </c>
      <c r="W497" s="148">
        <v>5.756E-2</v>
      </c>
      <c r="X497" s="145" t="s">
        <v>412</v>
      </c>
      <c r="Y497" s="159"/>
      <c r="Z497" s="146">
        <v>1649322.61</v>
      </c>
      <c r="AA497" s="146">
        <v>1</v>
      </c>
      <c r="AB497" s="146">
        <v>99.65</v>
      </c>
      <c r="AC497" s="151"/>
      <c r="AD497" s="146">
        <v>1643.55</v>
      </c>
      <c r="AE497" s="151"/>
      <c r="AF497" s="151"/>
      <c r="AG497" s="151"/>
      <c r="AH497" s="148">
        <v>3.4410000000000003E-2</v>
      </c>
      <c r="AI497" s="148">
        <v>5.1000000000000004E-4</v>
      </c>
      <c r="AJ497" s="149">
        <v>6.9999999999999994E-5</v>
      </c>
      <c r="AK497" s="196"/>
    </row>
    <row r="498" spans="1:37" x14ac:dyDescent="0.2">
      <c r="A498" s="144" t="s">
        <v>1217</v>
      </c>
      <c r="B498" s="145" t="s">
        <v>1217</v>
      </c>
      <c r="C498" s="145" t="s">
        <v>1836</v>
      </c>
      <c r="D498" s="145" t="s">
        <v>1837</v>
      </c>
      <c r="E498" s="145" t="s">
        <v>309</v>
      </c>
      <c r="F498" s="145" t="s">
        <v>1838</v>
      </c>
      <c r="G498" s="145" t="s">
        <v>1839</v>
      </c>
      <c r="H498" s="145" t="s">
        <v>321</v>
      </c>
      <c r="I498" s="145" t="s">
        <v>951</v>
      </c>
      <c r="J498" s="145" t="s">
        <v>204</v>
      </c>
      <c r="K498" s="145" t="s">
        <v>204</v>
      </c>
      <c r="L498" s="145" t="s">
        <v>325</v>
      </c>
      <c r="M498" s="145" t="s">
        <v>340</v>
      </c>
      <c r="N498" s="145" t="s">
        <v>484</v>
      </c>
      <c r="O498" s="145" t="s">
        <v>339</v>
      </c>
      <c r="P498" s="145" t="s">
        <v>1350</v>
      </c>
      <c r="Q498" s="145" t="s">
        <v>413</v>
      </c>
      <c r="R498" s="145" t="s">
        <v>407</v>
      </c>
      <c r="S498" s="145" t="s">
        <v>1210</v>
      </c>
      <c r="T498" s="146">
        <v>1.58</v>
      </c>
      <c r="U498" s="145" t="s">
        <v>1840</v>
      </c>
      <c r="V498" s="148">
        <v>0.04</v>
      </c>
      <c r="W498" s="148">
        <v>4.931E-2</v>
      </c>
      <c r="X498" s="145" t="s">
        <v>412</v>
      </c>
      <c r="Y498" s="159"/>
      <c r="Z498" s="146">
        <v>1529255.02</v>
      </c>
      <c r="AA498" s="146">
        <v>1</v>
      </c>
      <c r="AB498" s="146">
        <v>101.61</v>
      </c>
      <c r="AC498" s="151"/>
      <c r="AD498" s="146">
        <v>1553.876</v>
      </c>
      <c r="AE498" s="151"/>
      <c r="AF498" s="151"/>
      <c r="AG498" s="151"/>
      <c r="AH498" s="148">
        <v>2.5699999999999998E-3</v>
      </c>
      <c r="AI498" s="148">
        <v>4.8999999999999998E-4</v>
      </c>
      <c r="AJ498" s="149">
        <v>6.0000000000000002E-5</v>
      </c>
      <c r="AK498" s="196"/>
    </row>
    <row r="499" spans="1:37" x14ac:dyDescent="0.2">
      <c r="A499" s="144" t="s">
        <v>1217</v>
      </c>
      <c r="B499" s="145" t="s">
        <v>1217</v>
      </c>
      <c r="C499" s="145" t="s">
        <v>1459</v>
      </c>
      <c r="D499" s="145" t="s">
        <v>1460</v>
      </c>
      <c r="E499" s="145" t="s">
        <v>309</v>
      </c>
      <c r="F499" s="145" t="s">
        <v>1513</v>
      </c>
      <c r="G499" s="145" t="s">
        <v>1514</v>
      </c>
      <c r="H499" s="145" t="s">
        <v>321</v>
      </c>
      <c r="I499" s="145" t="s">
        <v>754</v>
      </c>
      <c r="J499" s="145" t="s">
        <v>204</v>
      </c>
      <c r="K499" s="145" t="s">
        <v>204</v>
      </c>
      <c r="L499" s="145" t="s">
        <v>325</v>
      </c>
      <c r="M499" s="145" t="s">
        <v>340</v>
      </c>
      <c r="N499" s="145" t="s">
        <v>440</v>
      </c>
      <c r="O499" s="145" t="s">
        <v>339</v>
      </c>
      <c r="P499" s="145" t="s">
        <v>1350</v>
      </c>
      <c r="Q499" s="145" t="s">
        <v>413</v>
      </c>
      <c r="R499" s="145" t="s">
        <v>407</v>
      </c>
      <c r="S499" s="145" t="s">
        <v>1210</v>
      </c>
      <c r="T499" s="146">
        <v>3.08</v>
      </c>
      <c r="U499" s="145" t="s">
        <v>1515</v>
      </c>
      <c r="V499" s="148">
        <v>1.23E-2</v>
      </c>
      <c r="W499" s="148">
        <v>2.758E-2</v>
      </c>
      <c r="X499" s="145" t="s">
        <v>412</v>
      </c>
      <c r="Y499" s="159"/>
      <c r="Z499" s="146">
        <v>1329554.21</v>
      </c>
      <c r="AA499" s="146">
        <v>1</v>
      </c>
      <c r="AB499" s="146">
        <v>111.43</v>
      </c>
      <c r="AC499" s="151"/>
      <c r="AD499" s="146">
        <v>1481.5219999999999</v>
      </c>
      <c r="AE499" s="151"/>
      <c r="AF499" s="151"/>
      <c r="AG499" s="151"/>
      <c r="AH499" s="148">
        <v>1.39E-3</v>
      </c>
      <c r="AI499" s="148">
        <v>4.6000000000000001E-4</v>
      </c>
      <c r="AJ499" s="149">
        <v>6.0000000000000002E-5</v>
      </c>
      <c r="AK499" s="196"/>
    </row>
    <row r="500" spans="1:37" x14ac:dyDescent="0.2">
      <c r="A500" s="144" t="s">
        <v>1217</v>
      </c>
      <c r="B500" s="145" t="s">
        <v>1217</v>
      </c>
      <c r="C500" s="145" t="s">
        <v>1843</v>
      </c>
      <c r="D500" s="145" t="s">
        <v>1844</v>
      </c>
      <c r="E500" s="145" t="s">
        <v>309</v>
      </c>
      <c r="F500" s="145" t="s">
        <v>1845</v>
      </c>
      <c r="G500" s="145" t="s">
        <v>1846</v>
      </c>
      <c r="H500" s="145" t="s">
        <v>321</v>
      </c>
      <c r="I500" s="145" t="s">
        <v>951</v>
      </c>
      <c r="J500" s="145" t="s">
        <v>204</v>
      </c>
      <c r="K500" s="145" t="s">
        <v>204</v>
      </c>
      <c r="L500" s="145" t="s">
        <v>325</v>
      </c>
      <c r="M500" s="145" t="s">
        <v>340</v>
      </c>
      <c r="N500" s="145" t="s">
        <v>445</v>
      </c>
      <c r="O500" s="145" t="s">
        <v>339</v>
      </c>
      <c r="P500" s="145" t="s">
        <v>1520</v>
      </c>
      <c r="Q500" s="145" t="s">
        <v>415</v>
      </c>
      <c r="R500" s="145" t="s">
        <v>407</v>
      </c>
      <c r="S500" s="145" t="s">
        <v>1210</v>
      </c>
      <c r="T500" s="146">
        <v>0.62</v>
      </c>
      <c r="U500" s="145" t="s">
        <v>1847</v>
      </c>
      <c r="V500" s="148">
        <v>3.27E-2</v>
      </c>
      <c r="W500" s="148">
        <v>5.4519999999999999E-2</v>
      </c>
      <c r="X500" s="145" t="s">
        <v>412</v>
      </c>
      <c r="Y500" s="159"/>
      <c r="Z500" s="146">
        <v>814792</v>
      </c>
      <c r="AA500" s="146">
        <v>1</v>
      </c>
      <c r="AB500" s="146">
        <v>99.93</v>
      </c>
      <c r="AC500" s="151"/>
      <c r="AD500" s="146">
        <v>814.22199999999998</v>
      </c>
      <c r="AE500" s="151"/>
      <c r="AF500" s="151"/>
      <c r="AG500" s="151"/>
      <c r="AH500" s="148">
        <v>2.5799999999999998E-3</v>
      </c>
      <c r="AI500" s="148">
        <v>2.5000000000000001E-4</v>
      </c>
      <c r="AJ500" s="149">
        <v>3.0000000000000001E-5</v>
      </c>
      <c r="AK500" s="196"/>
    </row>
    <row r="501" spans="1:37" x14ac:dyDescent="0.2">
      <c r="A501" s="144" t="s">
        <v>1217</v>
      </c>
      <c r="B501" s="145" t="s">
        <v>1217</v>
      </c>
      <c r="C501" s="145" t="s">
        <v>1581</v>
      </c>
      <c r="D501" s="145" t="s">
        <v>1582</v>
      </c>
      <c r="E501" s="145" t="s">
        <v>309</v>
      </c>
      <c r="F501" s="145" t="s">
        <v>1848</v>
      </c>
      <c r="G501" s="145" t="s">
        <v>1849</v>
      </c>
      <c r="H501" s="145" t="s">
        <v>321</v>
      </c>
      <c r="I501" s="145" t="s">
        <v>754</v>
      </c>
      <c r="J501" s="145" t="s">
        <v>204</v>
      </c>
      <c r="K501" s="145" t="s">
        <v>204</v>
      </c>
      <c r="L501" s="145" t="s">
        <v>325</v>
      </c>
      <c r="M501" s="145" t="s">
        <v>340</v>
      </c>
      <c r="N501" s="145" t="s">
        <v>464</v>
      </c>
      <c r="O501" s="145" t="s">
        <v>339</v>
      </c>
      <c r="P501" s="145" t="s">
        <v>1350</v>
      </c>
      <c r="Q501" s="145" t="s">
        <v>413</v>
      </c>
      <c r="R501" s="145" t="s">
        <v>407</v>
      </c>
      <c r="S501" s="145" t="s">
        <v>1210</v>
      </c>
      <c r="T501" s="146">
        <v>0.11</v>
      </c>
      <c r="U501" s="145" t="s">
        <v>1850</v>
      </c>
      <c r="V501" s="148">
        <v>2.5000000000000001E-2</v>
      </c>
      <c r="W501" s="148">
        <v>3.7620000000000001E-2</v>
      </c>
      <c r="X501" s="145" t="s">
        <v>412</v>
      </c>
      <c r="Y501" s="159"/>
      <c r="Z501" s="146">
        <v>416032.9</v>
      </c>
      <c r="AA501" s="146">
        <v>1</v>
      </c>
      <c r="AB501" s="146">
        <v>116.75</v>
      </c>
      <c r="AC501" s="151"/>
      <c r="AD501" s="146">
        <v>485.71800000000002</v>
      </c>
      <c r="AE501" s="151"/>
      <c r="AF501" s="151"/>
      <c r="AG501" s="151"/>
      <c r="AH501" s="148">
        <v>1.7700000000000001E-3</v>
      </c>
      <c r="AI501" s="148">
        <v>1.4999999999999999E-4</v>
      </c>
      <c r="AJ501" s="149">
        <v>2.0000000000000002E-5</v>
      </c>
      <c r="AK501" s="196"/>
    </row>
    <row r="502" spans="1:37" x14ac:dyDescent="0.2">
      <c r="A502" s="144" t="s">
        <v>1217</v>
      </c>
      <c r="B502" s="145" t="s">
        <v>1217</v>
      </c>
      <c r="C502" s="145" t="s">
        <v>1543</v>
      </c>
      <c r="D502" s="145" t="s">
        <v>1544</v>
      </c>
      <c r="E502" s="145" t="s">
        <v>309</v>
      </c>
      <c r="F502" s="145" t="s">
        <v>1865</v>
      </c>
      <c r="G502" s="145" t="s">
        <v>1866</v>
      </c>
      <c r="H502" s="145" t="s">
        <v>321</v>
      </c>
      <c r="I502" s="145" t="s">
        <v>754</v>
      </c>
      <c r="J502" s="145" t="s">
        <v>204</v>
      </c>
      <c r="K502" s="145" t="s">
        <v>204</v>
      </c>
      <c r="L502" s="145" t="s">
        <v>325</v>
      </c>
      <c r="M502" s="145" t="s">
        <v>340</v>
      </c>
      <c r="N502" s="145" t="s">
        <v>464</v>
      </c>
      <c r="O502" s="145" t="s">
        <v>339</v>
      </c>
      <c r="P502" s="145" t="s">
        <v>1547</v>
      </c>
      <c r="Q502" s="145" t="s">
        <v>413</v>
      </c>
      <c r="R502" s="145" t="s">
        <v>407</v>
      </c>
      <c r="S502" s="145" t="s">
        <v>1210</v>
      </c>
      <c r="T502" s="146">
        <v>0.02</v>
      </c>
      <c r="U502" s="145" t="s">
        <v>1867</v>
      </c>
      <c r="V502" s="148">
        <v>6.4999999999999997E-3</v>
      </c>
      <c r="W502" s="148">
        <v>4.7300000000000002E-2</v>
      </c>
      <c r="X502" s="145" t="s">
        <v>412</v>
      </c>
      <c r="Y502" s="159"/>
      <c r="Z502" s="146">
        <v>0</v>
      </c>
      <c r="AA502" s="146">
        <v>1</v>
      </c>
      <c r="AB502" s="146">
        <v>0</v>
      </c>
      <c r="AC502" s="146">
        <v>1E-3</v>
      </c>
      <c r="AD502" s="146">
        <v>1E-3</v>
      </c>
      <c r="AE502" s="151"/>
      <c r="AF502" s="151"/>
      <c r="AG502" s="151"/>
      <c r="AH502" s="145" t="s">
        <v>1234</v>
      </c>
      <c r="AI502" s="148">
        <v>0</v>
      </c>
      <c r="AJ502" s="149">
        <v>0</v>
      </c>
      <c r="AK502" s="196"/>
    </row>
    <row r="503" spans="1:37" x14ac:dyDescent="0.2">
      <c r="A503" s="144" t="s">
        <v>1217</v>
      </c>
      <c r="B503" s="145" t="s">
        <v>1217</v>
      </c>
      <c r="C503" s="145" t="s">
        <v>1868</v>
      </c>
      <c r="D503" s="145" t="s">
        <v>1869</v>
      </c>
      <c r="E503" s="145" t="s">
        <v>309</v>
      </c>
      <c r="F503" s="145" t="s">
        <v>1870</v>
      </c>
      <c r="G503" s="145" t="s">
        <v>1871</v>
      </c>
      <c r="H503" s="145" t="s">
        <v>321</v>
      </c>
      <c r="I503" s="145" t="s">
        <v>754</v>
      </c>
      <c r="J503" s="145" t="s">
        <v>204</v>
      </c>
      <c r="K503" s="145" t="s">
        <v>204</v>
      </c>
      <c r="L503" s="145" t="s">
        <v>325</v>
      </c>
      <c r="M503" s="145" t="s">
        <v>340</v>
      </c>
      <c r="N503" s="145" t="s">
        <v>464</v>
      </c>
      <c r="O503" s="145" t="s">
        <v>339</v>
      </c>
      <c r="P503" s="145" t="s">
        <v>1209</v>
      </c>
      <c r="Q503" s="145" t="s">
        <v>415</v>
      </c>
      <c r="R503" s="145" t="s">
        <v>407</v>
      </c>
      <c r="S503" s="145" t="s">
        <v>1210</v>
      </c>
      <c r="T503" s="146">
        <v>1.26</v>
      </c>
      <c r="U503" s="145" t="s">
        <v>1425</v>
      </c>
      <c r="V503" s="148">
        <v>8.3000000000000001E-3</v>
      </c>
      <c r="W503" s="148">
        <v>2.333E-2</v>
      </c>
      <c r="X503" s="145" t="s">
        <v>412</v>
      </c>
      <c r="Y503" s="159"/>
      <c r="Z503" s="146">
        <v>0.8</v>
      </c>
      <c r="AA503" s="146">
        <v>1</v>
      </c>
      <c r="AB503" s="146">
        <v>114.68</v>
      </c>
      <c r="AC503" s="151"/>
      <c r="AD503" s="146">
        <v>1E-3</v>
      </c>
      <c r="AE503" s="151"/>
      <c r="AF503" s="151"/>
      <c r="AG503" s="151"/>
      <c r="AH503" s="148">
        <v>0</v>
      </c>
      <c r="AI503" s="148">
        <v>0</v>
      </c>
      <c r="AJ503" s="149">
        <v>0</v>
      </c>
      <c r="AK503" s="196"/>
    </row>
    <row r="504" spans="1:37" x14ac:dyDescent="0.2">
      <c r="A504" s="144" t="s">
        <v>1217</v>
      </c>
      <c r="B504" s="145" t="s">
        <v>1217</v>
      </c>
      <c r="C504" s="145" t="s">
        <v>1851</v>
      </c>
      <c r="D504" s="145" t="s">
        <v>1852</v>
      </c>
      <c r="E504" s="145" t="s">
        <v>309</v>
      </c>
      <c r="F504" s="145" t="s">
        <v>1853</v>
      </c>
      <c r="G504" s="145" t="s">
        <v>1854</v>
      </c>
      <c r="H504" s="145" t="s">
        <v>321</v>
      </c>
      <c r="I504" s="145" t="s">
        <v>951</v>
      </c>
      <c r="J504" s="145" t="s">
        <v>204</v>
      </c>
      <c r="K504" s="145" t="s">
        <v>204</v>
      </c>
      <c r="L504" s="145" t="s">
        <v>325</v>
      </c>
      <c r="M504" s="145" t="s">
        <v>340</v>
      </c>
      <c r="N504" s="145" t="s">
        <v>464</v>
      </c>
      <c r="O504" s="145" t="s">
        <v>339</v>
      </c>
      <c r="P504" s="145" t="s">
        <v>1392</v>
      </c>
      <c r="Q504" s="145" t="s">
        <v>413</v>
      </c>
      <c r="R504" s="145" t="s">
        <v>407</v>
      </c>
      <c r="S504" s="145" t="s">
        <v>1210</v>
      </c>
      <c r="T504" s="146">
        <v>0.24</v>
      </c>
      <c r="U504" s="145" t="s">
        <v>1855</v>
      </c>
      <c r="V504" s="148">
        <v>2.5499999999999998E-2</v>
      </c>
      <c r="W504" s="148">
        <v>3.0169999999999999E-2</v>
      </c>
      <c r="X504" s="145" t="s">
        <v>412</v>
      </c>
      <c r="Y504" s="159"/>
      <c r="Z504" s="146">
        <v>0.34</v>
      </c>
      <c r="AA504" s="146">
        <v>1</v>
      </c>
      <c r="AB504" s="146">
        <v>100.56</v>
      </c>
      <c r="AC504" s="151"/>
      <c r="AD504" s="146">
        <v>0</v>
      </c>
      <c r="AE504" s="151"/>
      <c r="AF504" s="151"/>
      <c r="AG504" s="151"/>
      <c r="AH504" s="148">
        <v>0</v>
      </c>
      <c r="AI504" s="148">
        <v>0</v>
      </c>
      <c r="AJ504" s="149">
        <v>0</v>
      </c>
      <c r="AK504" s="196"/>
    </row>
    <row r="505" spans="1:37" x14ac:dyDescent="0.2">
      <c r="A505" s="144" t="s">
        <v>1217</v>
      </c>
      <c r="B505" s="145" t="s">
        <v>1217</v>
      </c>
      <c r="C505" s="145" t="s">
        <v>1872</v>
      </c>
      <c r="D505" s="145" t="s">
        <v>1873</v>
      </c>
      <c r="E505" s="145" t="s">
        <v>309</v>
      </c>
      <c r="F505" s="145" t="s">
        <v>1874</v>
      </c>
      <c r="G505" s="145" t="s">
        <v>1875</v>
      </c>
      <c r="H505" s="145" t="s">
        <v>321</v>
      </c>
      <c r="I505" s="145" t="s">
        <v>755</v>
      </c>
      <c r="J505" s="145" t="s">
        <v>204</v>
      </c>
      <c r="K505" s="145" t="s">
        <v>204</v>
      </c>
      <c r="L505" s="145" t="s">
        <v>325</v>
      </c>
      <c r="M505" s="145" t="s">
        <v>340</v>
      </c>
      <c r="N505" s="145" t="s">
        <v>480</v>
      </c>
      <c r="O505" s="145" t="s">
        <v>339</v>
      </c>
      <c r="P505" s="145" t="s">
        <v>1350</v>
      </c>
      <c r="Q505" s="145" t="s">
        <v>413</v>
      </c>
      <c r="R505" s="145" t="s">
        <v>407</v>
      </c>
      <c r="S505" s="145" t="s">
        <v>1210</v>
      </c>
      <c r="T505" s="146">
        <v>0.74</v>
      </c>
      <c r="U505" s="145" t="s">
        <v>1876</v>
      </c>
      <c r="V505" s="148">
        <v>3.3700000000000001E-2</v>
      </c>
      <c r="W505" s="148">
        <v>7.1819999999999995E-2</v>
      </c>
      <c r="X505" s="145" t="s">
        <v>412</v>
      </c>
      <c r="Y505" s="159"/>
      <c r="Z505" s="146">
        <v>0.17</v>
      </c>
      <c r="AA505" s="146">
        <v>1</v>
      </c>
      <c r="AB505" s="146">
        <v>103.59</v>
      </c>
      <c r="AC505" s="151"/>
      <c r="AD505" s="146">
        <v>0</v>
      </c>
      <c r="AE505" s="151"/>
      <c r="AF505" s="151"/>
      <c r="AG505" s="151"/>
      <c r="AH505" s="148">
        <v>0</v>
      </c>
      <c r="AI505" s="148">
        <v>0</v>
      </c>
      <c r="AJ505" s="149">
        <v>0</v>
      </c>
      <c r="AK505" s="196"/>
    </row>
    <row r="506" spans="1:37" x14ac:dyDescent="0.2">
      <c r="A506" s="152" t="s">
        <v>1217</v>
      </c>
      <c r="B506" s="153" t="s">
        <v>1217</v>
      </c>
      <c r="C506" s="153" t="s">
        <v>1856</v>
      </c>
      <c r="D506" s="153" t="s">
        <v>1857</v>
      </c>
      <c r="E506" s="153" t="s">
        <v>313</v>
      </c>
      <c r="F506" s="153" t="s">
        <v>1858</v>
      </c>
      <c r="G506" s="153" t="s">
        <v>1859</v>
      </c>
      <c r="H506" s="153" t="s">
        <v>321</v>
      </c>
      <c r="I506" s="153" t="s">
        <v>755</v>
      </c>
      <c r="J506" s="153" t="s">
        <v>205</v>
      </c>
      <c r="K506" s="153" t="s">
        <v>268</v>
      </c>
      <c r="L506" s="153" t="s">
        <v>325</v>
      </c>
      <c r="M506" s="153" t="s">
        <v>364</v>
      </c>
      <c r="N506" s="153" t="s">
        <v>539</v>
      </c>
      <c r="O506" s="153" t="s">
        <v>339</v>
      </c>
      <c r="P506" s="153" t="s">
        <v>1860</v>
      </c>
      <c r="Q506" s="153" t="s">
        <v>433</v>
      </c>
      <c r="R506" s="153" t="s">
        <v>407</v>
      </c>
      <c r="S506" s="153" t="s">
        <v>1211</v>
      </c>
      <c r="T506" s="154">
        <v>2.0979999999999999</v>
      </c>
      <c r="U506" s="153" t="s">
        <v>1861</v>
      </c>
      <c r="V506" s="156">
        <v>5.6250000000000001E-2</v>
      </c>
      <c r="W506" s="156">
        <v>8.8080000000000006E-2</v>
      </c>
      <c r="X506" s="153" t="s">
        <v>412</v>
      </c>
      <c r="Y506" s="160"/>
      <c r="Z506" s="154">
        <v>6500000</v>
      </c>
      <c r="AA506" s="154">
        <v>3.718</v>
      </c>
      <c r="AB506" s="154">
        <v>103.75</v>
      </c>
      <c r="AC506" s="155"/>
      <c r="AD506" s="154">
        <v>25073.267</v>
      </c>
      <c r="AE506" s="155"/>
      <c r="AF506" s="155"/>
      <c r="AG506" s="155"/>
      <c r="AH506" s="156">
        <v>8.1200000000000005E-3</v>
      </c>
      <c r="AI506" s="156">
        <v>7.8300000000000002E-3</v>
      </c>
      <c r="AJ506" s="157">
        <v>1.0300000000000001E-3</v>
      </c>
      <c r="AK506" s="196"/>
    </row>
    <row r="507" spans="1:37" x14ac:dyDescent="0.2">
      <c r="A507" s="196" t="s">
        <v>3461</v>
      </c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</row>
    <row r="508" spans="1:37" x14ac:dyDescent="0.2">
      <c r="A508" s="2" t="s">
        <v>3460</v>
      </c>
    </row>
    <row r="509" spans="1:37" x14ac:dyDescent="0.2">
      <c r="A509" s="1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07:AJ507"/>
    <mergeCell ref="AK2:AK506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9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3469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199" t="s">
        <v>3462</v>
      </c>
    </row>
    <row r="3" spans="1:25" x14ac:dyDescent="0.2">
      <c r="A3" s="144" t="s">
        <v>1205</v>
      </c>
      <c r="B3" s="145" t="s">
        <v>1205</v>
      </c>
      <c r="C3" s="145" t="s">
        <v>1335</v>
      </c>
      <c r="D3" s="145" t="s">
        <v>1336</v>
      </c>
      <c r="E3" s="145" t="s">
        <v>309</v>
      </c>
      <c r="F3" s="145" t="s">
        <v>1877</v>
      </c>
      <c r="G3" s="145" t="s">
        <v>1878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182451</v>
      </c>
      <c r="R3" s="146">
        <v>1</v>
      </c>
      <c r="S3" s="146">
        <v>4982</v>
      </c>
      <c r="T3" s="161"/>
      <c r="U3" s="146">
        <v>9089.7090000000007</v>
      </c>
      <c r="V3" s="148">
        <v>1.1E-4</v>
      </c>
      <c r="W3" s="148">
        <v>3.7969999999999997E-2</v>
      </c>
      <c r="X3" s="149">
        <v>8.6499999999999997E-3</v>
      </c>
      <c r="Y3" s="199"/>
    </row>
    <row r="4" spans="1:25" x14ac:dyDescent="0.2">
      <c r="A4" s="144" t="s">
        <v>1205</v>
      </c>
      <c r="B4" s="145" t="s">
        <v>1205</v>
      </c>
      <c r="C4" s="145" t="s">
        <v>1363</v>
      </c>
      <c r="D4" s="145" t="s">
        <v>1364</v>
      </c>
      <c r="E4" s="145" t="s">
        <v>309</v>
      </c>
      <c r="F4" s="145" t="s">
        <v>1879</v>
      </c>
      <c r="G4" s="145" t="s">
        <v>1880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448</v>
      </c>
      <c r="O4" s="145" t="s">
        <v>339</v>
      </c>
      <c r="P4" s="145" t="s">
        <v>1210</v>
      </c>
      <c r="Q4" s="146">
        <v>180611</v>
      </c>
      <c r="R4" s="146">
        <v>1</v>
      </c>
      <c r="S4" s="146">
        <v>5008</v>
      </c>
      <c r="T4" s="161"/>
      <c r="U4" s="146">
        <v>9044.9989999999998</v>
      </c>
      <c r="V4" s="148">
        <v>1.3999999999999999E-4</v>
      </c>
      <c r="W4" s="148">
        <v>3.7780000000000001E-2</v>
      </c>
      <c r="X4" s="149">
        <v>8.6E-3</v>
      </c>
      <c r="Y4" s="199"/>
    </row>
    <row r="5" spans="1:25" x14ac:dyDescent="0.2">
      <c r="A5" s="144" t="s">
        <v>1205</v>
      </c>
      <c r="B5" s="145" t="s">
        <v>1205</v>
      </c>
      <c r="C5" s="145" t="s">
        <v>1881</v>
      </c>
      <c r="D5" s="145" t="s">
        <v>1882</v>
      </c>
      <c r="E5" s="145" t="s">
        <v>309</v>
      </c>
      <c r="F5" s="145" t="s">
        <v>1883</v>
      </c>
      <c r="G5" s="145" t="s">
        <v>1884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467</v>
      </c>
      <c r="O5" s="145" t="s">
        <v>339</v>
      </c>
      <c r="P5" s="145" t="s">
        <v>1210</v>
      </c>
      <c r="Q5" s="146">
        <v>104355</v>
      </c>
      <c r="R5" s="146">
        <v>1</v>
      </c>
      <c r="S5" s="146">
        <v>5587</v>
      </c>
      <c r="T5" s="161"/>
      <c r="U5" s="146">
        <v>5830.3140000000003</v>
      </c>
      <c r="V5" s="148">
        <v>8.0000000000000007E-5</v>
      </c>
      <c r="W5" s="148">
        <v>2.435E-2</v>
      </c>
      <c r="X5" s="149">
        <v>5.5500000000000002E-3</v>
      </c>
      <c r="Y5" s="199"/>
    </row>
    <row r="6" spans="1:25" x14ac:dyDescent="0.2">
      <c r="A6" s="144" t="s">
        <v>1205</v>
      </c>
      <c r="B6" s="145" t="s">
        <v>1205</v>
      </c>
      <c r="C6" s="145" t="s">
        <v>1757</v>
      </c>
      <c r="D6" s="145" t="s">
        <v>1758</v>
      </c>
      <c r="E6" s="145" t="s">
        <v>309</v>
      </c>
      <c r="F6" s="145" t="s">
        <v>1885</v>
      </c>
      <c r="G6" s="145" t="s">
        <v>1886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454</v>
      </c>
      <c r="O6" s="145" t="s">
        <v>339</v>
      </c>
      <c r="P6" s="145" t="s">
        <v>1210</v>
      </c>
      <c r="Q6" s="146">
        <v>59009</v>
      </c>
      <c r="R6" s="146">
        <v>1</v>
      </c>
      <c r="S6" s="146">
        <v>8700</v>
      </c>
      <c r="T6" s="161"/>
      <c r="U6" s="146">
        <v>5133.7830000000004</v>
      </c>
      <c r="V6" s="148">
        <v>5.8E-4</v>
      </c>
      <c r="W6" s="148">
        <v>2.145E-2</v>
      </c>
      <c r="X6" s="149">
        <v>4.8799999999999998E-3</v>
      </c>
      <c r="Y6" s="199"/>
    </row>
    <row r="7" spans="1:25" x14ac:dyDescent="0.2">
      <c r="A7" s="144" t="s">
        <v>1205</v>
      </c>
      <c r="B7" s="145" t="s">
        <v>1205</v>
      </c>
      <c r="C7" s="145" t="s">
        <v>1887</v>
      </c>
      <c r="D7" s="145" t="s">
        <v>1888</v>
      </c>
      <c r="E7" s="145" t="s">
        <v>309</v>
      </c>
      <c r="F7" s="145" t="s">
        <v>1889</v>
      </c>
      <c r="G7" s="145" t="s">
        <v>1890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480</v>
      </c>
      <c r="O7" s="145" t="s">
        <v>339</v>
      </c>
      <c r="P7" s="145" t="s">
        <v>1210</v>
      </c>
      <c r="Q7" s="146">
        <v>8518</v>
      </c>
      <c r="R7" s="146">
        <v>1</v>
      </c>
      <c r="S7" s="146">
        <v>56600</v>
      </c>
      <c r="T7" s="161"/>
      <c r="U7" s="146">
        <v>4821.1880000000001</v>
      </c>
      <c r="V7" s="148">
        <v>1.1E-4</v>
      </c>
      <c r="W7" s="148">
        <v>2.0140000000000002E-2</v>
      </c>
      <c r="X7" s="149">
        <v>4.5900000000000003E-3</v>
      </c>
      <c r="Y7" s="199"/>
    </row>
    <row r="8" spans="1:25" x14ac:dyDescent="0.2">
      <c r="A8" s="144" t="s">
        <v>1205</v>
      </c>
      <c r="B8" s="145" t="s">
        <v>1205</v>
      </c>
      <c r="C8" s="145" t="s">
        <v>1891</v>
      </c>
      <c r="D8" s="145" t="s">
        <v>1892</v>
      </c>
      <c r="E8" s="145" t="s">
        <v>309</v>
      </c>
      <c r="F8" s="145" t="s">
        <v>1893</v>
      </c>
      <c r="G8" s="145" t="s">
        <v>1894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446</v>
      </c>
      <c r="O8" s="145" t="s">
        <v>339</v>
      </c>
      <c r="P8" s="145" t="s">
        <v>1210</v>
      </c>
      <c r="Q8" s="146">
        <v>3285</v>
      </c>
      <c r="R8" s="146">
        <v>1</v>
      </c>
      <c r="S8" s="146">
        <v>142500</v>
      </c>
      <c r="T8" s="161"/>
      <c r="U8" s="146">
        <v>4681.125</v>
      </c>
      <c r="V8" s="148">
        <v>6.9999999999999994E-5</v>
      </c>
      <c r="W8" s="148">
        <v>1.9550000000000001E-2</v>
      </c>
      <c r="X8" s="149">
        <v>4.45E-3</v>
      </c>
      <c r="Y8" s="199"/>
    </row>
    <row r="9" spans="1:25" x14ac:dyDescent="0.2">
      <c r="A9" s="144" t="s">
        <v>1205</v>
      </c>
      <c r="B9" s="145" t="s">
        <v>1205</v>
      </c>
      <c r="C9" s="145" t="s">
        <v>1895</v>
      </c>
      <c r="D9" s="145" t="s">
        <v>1896</v>
      </c>
      <c r="E9" s="145" t="s">
        <v>309</v>
      </c>
      <c r="F9" s="145" t="s">
        <v>1897</v>
      </c>
      <c r="G9" s="145" t="s">
        <v>1898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1210</v>
      </c>
      <c r="Q9" s="146">
        <v>22744</v>
      </c>
      <c r="R9" s="146">
        <v>1</v>
      </c>
      <c r="S9" s="146">
        <v>18720</v>
      </c>
      <c r="T9" s="161"/>
      <c r="U9" s="146">
        <v>4257.6769999999997</v>
      </c>
      <c r="V9" s="148">
        <v>2.3000000000000001E-4</v>
      </c>
      <c r="W9" s="148">
        <v>1.779E-2</v>
      </c>
      <c r="X9" s="149">
        <v>4.0499999999999998E-3</v>
      </c>
      <c r="Y9" s="199"/>
    </row>
    <row r="10" spans="1:25" x14ac:dyDescent="0.2">
      <c r="A10" s="144" t="s">
        <v>1205</v>
      </c>
      <c r="B10" s="145" t="s">
        <v>1205</v>
      </c>
      <c r="C10" s="145" t="s">
        <v>1899</v>
      </c>
      <c r="D10" s="145" t="s">
        <v>1900</v>
      </c>
      <c r="E10" s="145" t="s">
        <v>309</v>
      </c>
      <c r="F10" s="145" t="s">
        <v>1901</v>
      </c>
      <c r="G10" s="145" t="s">
        <v>1902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448</v>
      </c>
      <c r="O10" s="145" t="s">
        <v>339</v>
      </c>
      <c r="P10" s="145" t="s">
        <v>1210</v>
      </c>
      <c r="Q10" s="146">
        <v>25244</v>
      </c>
      <c r="R10" s="146">
        <v>1</v>
      </c>
      <c r="S10" s="146">
        <v>16650</v>
      </c>
      <c r="T10" s="161"/>
      <c r="U10" s="146">
        <v>4203.1260000000002</v>
      </c>
      <c r="V10" s="148">
        <v>1E-4</v>
      </c>
      <c r="W10" s="148">
        <v>1.7559999999999999E-2</v>
      </c>
      <c r="X10" s="149">
        <v>4.0000000000000001E-3</v>
      </c>
      <c r="Y10" s="199"/>
    </row>
    <row r="11" spans="1:25" x14ac:dyDescent="0.2">
      <c r="A11" s="144" t="s">
        <v>1205</v>
      </c>
      <c r="B11" s="145" t="s">
        <v>1205</v>
      </c>
      <c r="C11" s="145" t="s">
        <v>1903</v>
      </c>
      <c r="D11" s="145" t="s">
        <v>1904</v>
      </c>
      <c r="E11" s="145" t="s">
        <v>309</v>
      </c>
      <c r="F11" s="145" t="s">
        <v>1905</v>
      </c>
      <c r="G11" s="145" t="s">
        <v>1906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448</v>
      </c>
      <c r="O11" s="145" t="s">
        <v>339</v>
      </c>
      <c r="P11" s="145" t="s">
        <v>1210</v>
      </c>
      <c r="Q11" s="146">
        <v>158383</v>
      </c>
      <c r="R11" s="146">
        <v>1</v>
      </c>
      <c r="S11" s="146">
        <v>2572</v>
      </c>
      <c r="T11" s="146">
        <v>40.484000000000002</v>
      </c>
      <c r="U11" s="146">
        <v>4114.0950000000003</v>
      </c>
      <c r="V11" s="148">
        <v>1.2999999999999999E-4</v>
      </c>
      <c r="W11" s="148">
        <v>1.7350000000000001E-2</v>
      </c>
      <c r="X11" s="149">
        <v>3.9500000000000004E-3</v>
      </c>
      <c r="Y11" s="199"/>
    </row>
    <row r="12" spans="1:25" x14ac:dyDescent="0.2">
      <c r="A12" s="144" t="s">
        <v>1205</v>
      </c>
      <c r="B12" s="145" t="s">
        <v>1205</v>
      </c>
      <c r="C12" s="145" t="s">
        <v>1907</v>
      </c>
      <c r="D12" s="145" t="s">
        <v>1908</v>
      </c>
      <c r="E12" s="145" t="s">
        <v>309</v>
      </c>
      <c r="F12" s="145" t="s">
        <v>1909</v>
      </c>
      <c r="G12" s="145" t="s">
        <v>1910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456</v>
      </c>
      <c r="O12" s="145" t="s">
        <v>339</v>
      </c>
      <c r="P12" s="145" t="s">
        <v>1210</v>
      </c>
      <c r="Q12" s="146">
        <v>196391</v>
      </c>
      <c r="R12" s="146">
        <v>1</v>
      </c>
      <c r="S12" s="146">
        <v>2089</v>
      </c>
      <c r="T12" s="161"/>
      <c r="U12" s="146">
        <v>4102.6080000000002</v>
      </c>
      <c r="V12" s="148">
        <v>1.4999999999999999E-4</v>
      </c>
      <c r="W12" s="148">
        <v>1.7139999999999999E-2</v>
      </c>
      <c r="X12" s="149">
        <v>3.8999999999999998E-3</v>
      </c>
      <c r="Y12" s="199"/>
    </row>
    <row r="13" spans="1:25" x14ac:dyDescent="0.2">
      <c r="A13" s="144" t="s">
        <v>1205</v>
      </c>
      <c r="B13" s="145" t="s">
        <v>1205</v>
      </c>
      <c r="C13" s="145" t="s">
        <v>1454</v>
      </c>
      <c r="D13" s="145" t="s">
        <v>1455</v>
      </c>
      <c r="E13" s="145" t="s">
        <v>309</v>
      </c>
      <c r="F13" s="145" t="s">
        <v>1911</v>
      </c>
      <c r="G13" s="145" t="s">
        <v>1912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464</v>
      </c>
      <c r="O13" s="145" t="s">
        <v>339</v>
      </c>
      <c r="P13" s="145" t="s">
        <v>1210</v>
      </c>
      <c r="Q13" s="146">
        <v>11891</v>
      </c>
      <c r="R13" s="146">
        <v>1</v>
      </c>
      <c r="S13" s="146">
        <v>28940</v>
      </c>
      <c r="T13" s="146">
        <v>22.491</v>
      </c>
      <c r="U13" s="146">
        <v>3463.7460000000001</v>
      </c>
      <c r="V13" s="148">
        <v>2.5000000000000001E-4</v>
      </c>
      <c r="W13" s="148">
        <v>1.456E-2</v>
      </c>
      <c r="X13" s="149">
        <v>3.32E-3</v>
      </c>
      <c r="Y13" s="199"/>
    </row>
    <row r="14" spans="1:25" x14ac:dyDescent="0.2">
      <c r="A14" s="144" t="s">
        <v>1205</v>
      </c>
      <c r="B14" s="145" t="s">
        <v>1205</v>
      </c>
      <c r="C14" s="145" t="s">
        <v>1543</v>
      </c>
      <c r="D14" s="145" t="s">
        <v>1544</v>
      </c>
      <c r="E14" s="145" t="s">
        <v>309</v>
      </c>
      <c r="F14" s="145" t="s">
        <v>1913</v>
      </c>
      <c r="G14" s="145" t="s">
        <v>1914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464</v>
      </c>
      <c r="O14" s="145" t="s">
        <v>339</v>
      </c>
      <c r="P14" s="145" t="s">
        <v>1210</v>
      </c>
      <c r="Q14" s="146">
        <v>13817</v>
      </c>
      <c r="R14" s="146">
        <v>1</v>
      </c>
      <c r="S14" s="146">
        <v>24920</v>
      </c>
      <c r="T14" s="161"/>
      <c r="U14" s="146">
        <v>3443.1959999999999</v>
      </c>
      <c r="V14" s="148">
        <v>1.1E-4</v>
      </c>
      <c r="W14" s="148">
        <v>1.438E-2</v>
      </c>
      <c r="X14" s="149">
        <v>3.2799999999999999E-3</v>
      </c>
      <c r="Y14" s="199"/>
    </row>
    <row r="15" spans="1:25" x14ac:dyDescent="0.2">
      <c r="A15" s="144" t="s">
        <v>1205</v>
      </c>
      <c r="B15" s="145" t="s">
        <v>1205</v>
      </c>
      <c r="C15" s="145" t="s">
        <v>1500</v>
      </c>
      <c r="D15" s="145" t="s">
        <v>1501</v>
      </c>
      <c r="E15" s="145" t="s">
        <v>309</v>
      </c>
      <c r="F15" s="145" t="s">
        <v>1915</v>
      </c>
      <c r="G15" s="145" t="s">
        <v>1916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445</v>
      </c>
      <c r="O15" s="145" t="s">
        <v>339</v>
      </c>
      <c r="P15" s="145" t="s">
        <v>1210</v>
      </c>
      <c r="Q15" s="146">
        <v>49983</v>
      </c>
      <c r="R15" s="146">
        <v>1</v>
      </c>
      <c r="S15" s="146">
        <v>6881</v>
      </c>
      <c r="T15" s="161"/>
      <c r="U15" s="146">
        <v>3439.33</v>
      </c>
      <c r="V15" s="148">
        <v>1.9000000000000001E-4</v>
      </c>
      <c r="W15" s="148">
        <v>1.4370000000000001E-2</v>
      </c>
      <c r="X15" s="149">
        <v>3.2699999999999999E-3</v>
      </c>
      <c r="Y15" s="199"/>
    </row>
    <row r="16" spans="1:25" x14ac:dyDescent="0.2">
      <c r="A16" s="144" t="s">
        <v>1205</v>
      </c>
      <c r="B16" s="145" t="s">
        <v>1205</v>
      </c>
      <c r="C16" s="145" t="s">
        <v>1917</v>
      </c>
      <c r="D16" s="145" t="s">
        <v>1918</v>
      </c>
      <c r="E16" s="145" t="s">
        <v>309</v>
      </c>
      <c r="F16" s="145" t="s">
        <v>1919</v>
      </c>
      <c r="G16" s="145" t="s">
        <v>1920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441</v>
      </c>
      <c r="O16" s="145" t="s">
        <v>339</v>
      </c>
      <c r="P16" s="145" t="s">
        <v>1210</v>
      </c>
      <c r="Q16" s="146">
        <v>57150.8</v>
      </c>
      <c r="R16" s="146">
        <v>1</v>
      </c>
      <c r="S16" s="146">
        <v>1616</v>
      </c>
      <c r="T16" s="161"/>
      <c r="U16" s="146">
        <v>3399.4070000000002</v>
      </c>
      <c r="V16" s="148">
        <v>4.8000000000000001E-4</v>
      </c>
      <c r="W16" s="148">
        <v>1.4200000000000001E-2</v>
      </c>
      <c r="X16" s="149">
        <v>3.2299999999999998E-3</v>
      </c>
      <c r="Y16" s="199"/>
    </row>
    <row r="17" spans="1:25" x14ac:dyDescent="0.2">
      <c r="A17" s="144" t="s">
        <v>1205</v>
      </c>
      <c r="B17" s="145" t="s">
        <v>1205</v>
      </c>
      <c r="C17" s="145" t="s">
        <v>1410</v>
      </c>
      <c r="D17" s="145" t="s">
        <v>1411</v>
      </c>
      <c r="E17" s="145" t="s">
        <v>309</v>
      </c>
      <c r="F17" s="145" t="s">
        <v>1921</v>
      </c>
      <c r="G17" s="145" t="s">
        <v>1922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445</v>
      </c>
      <c r="O17" s="145" t="s">
        <v>339</v>
      </c>
      <c r="P17" s="145" t="s">
        <v>1210</v>
      </c>
      <c r="Q17" s="146">
        <v>36317</v>
      </c>
      <c r="R17" s="146">
        <v>1</v>
      </c>
      <c r="S17" s="146">
        <v>9094</v>
      </c>
      <c r="T17" s="161"/>
      <c r="U17" s="146">
        <v>3302.6680000000001</v>
      </c>
      <c r="V17" s="148">
        <v>4.6000000000000001E-4</v>
      </c>
      <c r="W17" s="148">
        <v>1.38E-2</v>
      </c>
      <c r="X17" s="149">
        <v>3.14E-3</v>
      </c>
      <c r="Y17" s="199"/>
    </row>
    <row r="18" spans="1:25" x14ac:dyDescent="0.2">
      <c r="A18" s="144" t="s">
        <v>1205</v>
      </c>
      <c r="B18" s="145" t="s">
        <v>1205</v>
      </c>
      <c r="C18" s="145" t="s">
        <v>1923</v>
      </c>
      <c r="D18" s="145" t="s">
        <v>1924</v>
      </c>
      <c r="E18" s="145" t="s">
        <v>309</v>
      </c>
      <c r="F18" s="145" t="s">
        <v>1925</v>
      </c>
      <c r="G18" s="145" t="s">
        <v>1926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441</v>
      </c>
      <c r="O18" s="145" t="s">
        <v>339</v>
      </c>
      <c r="P18" s="145" t="s">
        <v>1210</v>
      </c>
      <c r="Q18" s="146">
        <v>12372.56</v>
      </c>
      <c r="R18" s="146">
        <v>1</v>
      </c>
      <c r="S18" s="146">
        <v>7077</v>
      </c>
      <c r="T18" s="161"/>
      <c r="U18" s="146">
        <v>3238.239</v>
      </c>
      <c r="V18" s="148">
        <v>2.0000000000000001E-4</v>
      </c>
      <c r="W18" s="148">
        <v>1.353E-2</v>
      </c>
      <c r="X18" s="149">
        <v>3.0799999999999998E-3</v>
      </c>
      <c r="Y18" s="199"/>
    </row>
    <row r="19" spans="1:25" x14ac:dyDescent="0.2">
      <c r="A19" s="144" t="s">
        <v>1205</v>
      </c>
      <c r="B19" s="145" t="s">
        <v>1205</v>
      </c>
      <c r="C19" s="145" t="s">
        <v>1927</v>
      </c>
      <c r="D19" s="145" t="s">
        <v>1928</v>
      </c>
      <c r="E19" s="145" t="s">
        <v>309</v>
      </c>
      <c r="F19" s="145" t="s">
        <v>1929</v>
      </c>
      <c r="G19" s="145" t="s">
        <v>1930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441</v>
      </c>
      <c r="O19" s="145" t="s">
        <v>339</v>
      </c>
      <c r="P19" s="145" t="s">
        <v>1210</v>
      </c>
      <c r="Q19" s="146">
        <v>263200</v>
      </c>
      <c r="R19" s="146">
        <v>1</v>
      </c>
      <c r="S19" s="146">
        <v>1193</v>
      </c>
      <c r="T19" s="161"/>
      <c r="U19" s="146">
        <v>3139.9760000000001</v>
      </c>
      <c r="V19" s="148">
        <v>4.0499999999999998E-3</v>
      </c>
      <c r="W19" s="148">
        <v>1.312E-2</v>
      </c>
      <c r="X19" s="149">
        <v>2.99E-3</v>
      </c>
      <c r="Y19" s="199"/>
    </row>
    <row r="20" spans="1:25" x14ac:dyDescent="0.2">
      <c r="A20" s="144" t="s">
        <v>1205</v>
      </c>
      <c r="B20" s="145" t="s">
        <v>1205</v>
      </c>
      <c r="C20" s="145" t="s">
        <v>1931</v>
      </c>
      <c r="D20" s="145" t="s">
        <v>1932</v>
      </c>
      <c r="E20" s="145" t="s">
        <v>309</v>
      </c>
      <c r="F20" s="145" t="s">
        <v>1933</v>
      </c>
      <c r="G20" s="145" t="s">
        <v>1934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439</v>
      </c>
      <c r="O20" s="145" t="s">
        <v>339</v>
      </c>
      <c r="P20" s="145" t="s">
        <v>1210</v>
      </c>
      <c r="Q20" s="146">
        <v>37014</v>
      </c>
      <c r="R20" s="146">
        <v>1</v>
      </c>
      <c r="S20" s="146">
        <v>8478</v>
      </c>
      <c r="T20" s="161"/>
      <c r="U20" s="146">
        <v>3138.047</v>
      </c>
      <c r="V20" s="148">
        <v>4.6000000000000001E-4</v>
      </c>
      <c r="W20" s="148">
        <v>1.311E-2</v>
      </c>
      <c r="X20" s="149">
        <v>2.98E-3</v>
      </c>
      <c r="Y20" s="199"/>
    </row>
    <row r="21" spans="1:25" x14ac:dyDescent="0.2">
      <c r="A21" s="144" t="s">
        <v>1205</v>
      </c>
      <c r="B21" s="145" t="s">
        <v>1205</v>
      </c>
      <c r="C21" s="145" t="s">
        <v>1581</v>
      </c>
      <c r="D21" s="145" t="s">
        <v>1582</v>
      </c>
      <c r="E21" s="145" t="s">
        <v>309</v>
      </c>
      <c r="F21" s="145" t="s">
        <v>1935</v>
      </c>
      <c r="G21" s="145" t="s">
        <v>1936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464</v>
      </c>
      <c r="O21" s="145" t="s">
        <v>339</v>
      </c>
      <c r="P21" s="145" t="s">
        <v>1210</v>
      </c>
      <c r="Q21" s="146">
        <v>5621</v>
      </c>
      <c r="R21" s="146">
        <v>1</v>
      </c>
      <c r="S21" s="146">
        <v>51410</v>
      </c>
      <c r="T21" s="150"/>
      <c r="U21" s="146">
        <v>2889.7559999999999</v>
      </c>
      <c r="V21" s="148">
        <v>2.3000000000000001E-4</v>
      </c>
      <c r="W21" s="148">
        <v>1.2070000000000001E-2</v>
      </c>
      <c r="X21" s="149">
        <v>2.7499999999999998E-3</v>
      </c>
      <c r="Y21" s="199"/>
    </row>
    <row r="22" spans="1:25" x14ac:dyDescent="0.2">
      <c r="A22" s="144" t="s">
        <v>1205</v>
      </c>
      <c r="B22" s="145" t="s">
        <v>1205</v>
      </c>
      <c r="C22" s="145" t="s">
        <v>1937</v>
      </c>
      <c r="D22" s="145" t="s">
        <v>1938</v>
      </c>
      <c r="E22" s="145" t="s">
        <v>309</v>
      </c>
      <c r="F22" s="145" t="s">
        <v>1939</v>
      </c>
      <c r="G22" s="145" t="s">
        <v>1940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451</v>
      </c>
      <c r="O22" s="145" t="s">
        <v>339</v>
      </c>
      <c r="P22" s="145" t="s">
        <v>1210</v>
      </c>
      <c r="Q22" s="146">
        <v>324370</v>
      </c>
      <c r="R22" s="146">
        <v>1</v>
      </c>
      <c r="S22" s="146">
        <v>685</v>
      </c>
      <c r="T22" s="150"/>
      <c r="U22" s="146">
        <v>2221.9349999999999</v>
      </c>
      <c r="V22" s="148">
        <v>1.73E-3</v>
      </c>
      <c r="W22" s="148">
        <v>9.2800000000000001E-3</v>
      </c>
      <c r="X22" s="149">
        <v>2.1099999999999999E-3</v>
      </c>
      <c r="Y22" s="199"/>
    </row>
    <row r="23" spans="1:25" x14ac:dyDescent="0.2">
      <c r="A23" s="144" t="s">
        <v>1205</v>
      </c>
      <c r="B23" s="145" t="s">
        <v>1205</v>
      </c>
      <c r="C23" s="145" t="s">
        <v>1941</v>
      </c>
      <c r="D23" s="145" t="s">
        <v>1942</v>
      </c>
      <c r="E23" s="145" t="s">
        <v>309</v>
      </c>
      <c r="F23" s="145" t="s">
        <v>1943</v>
      </c>
      <c r="G23" s="145" t="s">
        <v>1944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463</v>
      </c>
      <c r="O23" s="145" t="s">
        <v>339</v>
      </c>
      <c r="P23" s="145" t="s">
        <v>1210</v>
      </c>
      <c r="Q23" s="146">
        <v>4353</v>
      </c>
      <c r="R23" s="146">
        <v>1</v>
      </c>
      <c r="S23" s="146">
        <v>47350</v>
      </c>
      <c r="T23" s="150"/>
      <c r="U23" s="146">
        <v>2061.1460000000002</v>
      </c>
      <c r="V23" s="148">
        <v>4.8000000000000001E-4</v>
      </c>
      <c r="W23" s="148">
        <v>8.6099999999999996E-3</v>
      </c>
      <c r="X23" s="149">
        <v>1.9599999999999999E-3</v>
      </c>
      <c r="Y23" s="199"/>
    </row>
    <row r="24" spans="1:25" x14ac:dyDescent="0.2">
      <c r="A24" s="144" t="s">
        <v>1205</v>
      </c>
      <c r="B24" s="145" t="s">
        <v>1205</v>
      </c>
      <c r="C24" s="145" t="s">
        <v>1945</v>
      </c>
      <c r="D24" s="145" t="s">
        <v>1946</v>
      </c>
      <c r="E24" s="145" t="s">
        <v>309</v>
      </c>
      <c r="F24" s="145" t="s">
        <v>1947</v>
      </c>
      <c r="G24" s="145" t="s">
        <v>1948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463</v>
      </c>
      <c r="O24" s="145" t="s">
        <v>339</v>
      </c>
      <c r="P24" s="145" t="s">
        <v>1210</v>
      </c>
      <c r="Q24" s="146">
        <v>291273</v>
      </c>
      <c r="R24" s="146">
        <v>1</v>
      </c>
      <c r="S24" s="146">
        <v>682.4</v>
      </c>
      <c r="T24" s="146">
        <v>50.558</v>
      </c>
      <c r="U24" s="146">
        <v>2038.2049999999999</v>
      </c>
      <c r="V24" s="148">
        <v>1.01E-3</v>
      </c>
      <c r="W24" s="148">
        <v>8.7299999999999999E-3</v>
      </c>
      <c r="X24" s="149">
        <v>1.99E-3</v>
      </c>
      <c r="Y24" s="199"/>
    </row>
    <row r="25" spans="1:25" x14ac:dyDescent="0.2">
      <c r="A25" s="144" t="s">
        <v>1205</v>
      </c>
      <c r="B25" s="145" t="s">
        <v>1205</v>
      </c>
      <c r="C25" s="145" t="s">
        <v>1949</v>
      </c>
      <c r="D25" s="145" t="s">
        <v>1950</v>
      </c>
      <c r="E25" s="145" t="s">
        <v>313</v>
      </c>
      <c r="F25" s="145" t="s">
        <v>1951</v>
      </c>
      <c r="G25" s="145" t="s">
        <v>1952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454</v>
      </c>
      <c r="O25" s="145" t="s">
        <v>339</v>
      </c>
      <c r="P25" s="145" t="s">
        <v>1210</v>
      </c>
      <c r="Q25" s="146">
        <v>46951</v>
      </c>
      <c r="R25" s="146">
        <v>1</v>
      </c>
      <c r="S25" s="146">
        <v>875.5</v>
      </c>
      <c r="T25" s="146">
        <v>52.369</v>
      </c>
      <c r="U25" s="146">
        <v>2027.461</v>
      </c>
      <c r="V25" s="148">
        <v>2.5999999999999998E-4</v>
      </c>
      <c r="W25" s="148">
        <v>8.6899999999999998E-3</v>
      </c>
      <c r="X25" s="149">
        <v>1.98E-3</v>
      </c>
      <c r="Y25" s="199"/>
    </row>
    <row r="26" spans="1:25" x14ac:dyDescent="0.2">
      <c r="A26" s="144" t="s">
        <v>1205</v>
      </c>
      <c r="B26" s="145" t="s">
        <v>1205</v>
      </c>
      <c r="C26" s="145" t="s">
        <v>1505</v>
      </c>
      <c r="D26" s="145" t="s">
        <v>1506</v>
      </c>
      <c r="E26" s="145" t="s">
        <v>309</v>
      </c>
      <c r="F26" s="145" t="s">
        <v>1953</v>
      </c>
      <c r="G26" s="145" t="s">
        <v>1954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445</v>
      </c>
      <c r="O26" s="145" t="s">
        <v>339</v>
      </c>
      <c r="P26" s="145" t="s">
        <v>1210</v>
      </c>
      <c r="Q26" s="146">
        <v>10482</v>
      </c>
      <c r="R26" s="146">
        <v>1</v>
      </c>
      <c r="S26" s="146">
        <v>18600</v>
      </c>
      <c r="T26" s="146">
        <v>25.218</v>
      </c>
      <c r="U26" s="146">
        <v>1974.87</v>
      </c>
      <c r="V26" s="148">
        <v>1.7000000000000001E-4</v>
      </c>
      <c r="W26" s="148">
        <v>8.3499999999999998E-3</v>
      </c>
      <c r="X26" s="149">
        <v>1.9E-3</v>
      </c>
      <c r="Y26" s="199"/>
    </row>
    <row r="27" spans="1:25" x14ac:dyDescent="0.2">
      <c r="A27" s="144" t="s">
        <v>1205</v>
      </c>
      <c r="B27" s="145" t="s">
        <v>1205</v>
      </c>
      <c r="C27" s="145" t="s">
        <v>1742</v>
      </c>
      <c r="D27" s="145" t="s">
        <v>1743</v>
      </c>
      <c r="E27" s="145" t="s">
        <v>309</v>
      </c>
      <c r="F27" s="145" t="s">
        <v>1742</v>
      </c>
      <c r="G27" s="145" t="s">
        <v>1955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441</v>
      </c>
      <c r="O27" s="145" t="s">
        <v>339</v>
      </c>
      <c r="P27" s="145" t="s">
        <v>1210</v>
      </c>
      <c r="Q27" s="146">
        <v>23162</v>
      </c>
      <c r="R27" s="146">
        <v>1</v>
      </c>
      <c r="S27" s="146">
        <v>8514</v>
      </c>
      <c r="T27" s="150"/>
      <c r="U27" s="146">
        <v>1972.0129999999999</v>
      </c>
      <c r="V27" s="148">
        <v>6.4999999999999997E-4</v>
      </c>
      <c r="W27" s="148">
        <v>8.2400000000000008E-3</v>
      </c>
      <c r="X27" s="149">
        <v>1.8799999999999999E-3</v>
      </c>
      <c r="Y27" s="199"/>
    </row>
    <row r="28" spans="1:25" x14ac:dyDescent="0.2">
      <c r="A28" s="144" t="s">
        <v>1205</v>
      </c>
      <c r="B28" s="145" t="s">
        <v>1205</v>
      </c>
      <c r="C28" s="145" t="s">
        <v>1475</v>
      </c>
      <c r="D28" s="145" t="s">
        <v>1476</v>
      </c>
      <c r="E28" s="145" t="s">
        <v>309</v>
      </c>
      <c r="F28" s="145" t="s">
        <v>1956</v>
      </c>
      <c r="G28" s="145" t="s">
        <v>1957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484</v>
      </c>
      <c r="O28" s="145" t="s">
        <v>339</v>
      </c>
      <c r="P28" s="145" t="s">
        <v>1210</v>
      </c>
      <c r="Q28" s="146">
        <v>356525</v>
      </c>
      <c r="R28" s="146">
        <v>1</v>
      </c>
      <c r="S28" s="146">
        <v>546.6</v>
      </c>
      <c r="T28" s="150"/>
      <c r="U28" s="146">
        <v>1948.7660000000001</v>
      </c>
      <c r="V28" s="148">
        <v>1.2999999999999999E-4</v>
      </c>
      <c r="W28" s="148">
        <v>8.1399999999999997E-3</v>
      </c>
      <c r="X28" s="149">
        <v>1.8500000000000001E-3</v>
      </c>
      <c r="Y28" s="199"/>
    </row>
    <row r="29" spans="1:25" x14ac:dyDescent="0.2">
      <c r="A29" s="144" t="s">
        <v>1205</v>
      </c>
      <c r="B29" s="145" t="s">
        <v>1205</v>
      </c>
      <c r="C29" s="145" t="s">
        <v>1469</v>
      </c>
      <c r="D29" s="145" t="s">
        <v>1470</v>
      </c>
      <c r="E29" s="145" t="s">
        <v>309</v>
      </c>
      <c r="F29" s="145" t="s">
        <v>1958</v>
      </c>
      <c r="G29" s="145" t="s">
        <v>1959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451</v>
      </c>
      <c r="O29" s="145" t="s">
        <v>339</v>
      </c>
      <c r="P29" s="145" t="s">
        <v>1210</v>
      </c>
      <c r="Q29" s="146">
        <v>1117</v>
      </c>
      <c r="R29" s="146">
        <v>1</v>
      </c>
      <c r="S29" s="146">
        <v>173080</v>
      </c>
      <c r="T29" s="150"/>
      <c r="U29" s="146">
        <v>1933.3040000000001</v>
      </c>
      <c r="V29" s="148">
        <v>2.7999999999999998E-4</v>
      </c>
      <c r="W29" s="148">
        <v>8.0800000000000004E-3</v>
      </c>
      <c r="X29" s="149">
        <v>1.8400000000000001E-3</v>
      </c>
      <c r="Y29" s="199"/>
    </row>
    <row r="30" spans="1:25" x14ac:dyDescent="0.2">
      <c r="A30" s="144" t="s">
        <v>1205</v>
      </c>
      <c r="B30" s="145" t="s">
        <v>1205</v>
      </c>
      <c r="C30" s="145" t="s">
        <v>1822</v>
      </c>
      <c r="D30" s="145" t="s">
        <v>1823</v>
      </c>
      <c r="E30" s="145" t="s">
        <v>309</v>
      </c>
      <c r="F30" s="145" t="s">
        <v>1960</v>
      </c>
      <c r="G30" s="145" t="s">
        <v>1961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463</v>
      </c>
      <c r="O30" s="145" t="s">
        <v>339</v>
      </c>
      <c r="P30" s="145" t="s">
        <v>1210</v>
      </c>
      <c r="Q30" s="146">
        <v>81722</v>
      </c>
      <c r="R30" s="146">
        <v>1</v>
      </c>
      <c r="S30" s="146">
        <v>2245</v>
      </c>
      <c r="T30" s="146">
        <v>18.291</v>
      </c>
      <c r="U30" s="146">
        <v>1852.95</v>
      </c>
      <c r="V30" s="148">
        <v>2.3000000000000001E-4</v>
      </c>
      <c r="W30" s="148">
        <v>7.8200000000000006E-3</v>
      </c>
      <c r="X30" s="149">
        <v>1.7799999999999999E-3</v>
      </c>
      <c r="Y30" s="199"/>
    </row>
    <row r="31" spans="1:25" x14ac:dyDescent="0.2">
      <c r="A31" s="144" t="s">
        <v>1205</v>
      </c>
      <c r="B31" s="145" t="s">
        <v>1205</v>
      </c>
      <c r="C31" s="145" t="s">
        <v>1746</v>
      </c>
      <c r="D31" s="145" t="s">
        <v>1747</v>
      </c>
      <c r="E31" s="145" t="s">
        <v>309</v>
      </c>
      <c r="F31" s="145" t="s">
        <v>1962</v>
      </c>
      <c r="G31" s="145" t="s">
        <v>1963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484</v>
      </c>
      <c r="O31" s="145" t="s">
        <v>339</v>
      </c>
      <c r="P31" s="145" t="s">
        <v>1210</v>
      </c>
      <c r="Q31" s="146">
        <v>78639</v>
      </c>
      <c r="R31" s="146">
        <v>1</v>
      </c>
      <c r="S31" s="146">
        <v>2256</v>
      </c>
      <c r="T31" s="150"/>
      <c r="U31" s="146">
        <v>1774.096</v>
      </c>
      <c r="V31" s="148">
        <v>4.6999999999999999E-4</v>
      </c>
      <c r="W31" s="148">
        <v>7.4099999999999999E-3</v>
      </c>
      <c r="X31" s="149">
        <v>1.6900000000000001E-3</v>
      </c>
      <c r="Y31" s="199"/>
    </row>
    <row r="32" spans="1:25" x14ac:dyDescent="0.2">
      <c r="A32" s="144" t="s">
        <v>1205</v>
      </c>
      <c r="B32" s="145" t="s">
        <v>1205</v>
      </c>
      <c r="C32" s="145" t="s">
        <v>1688</v>
      </c>
      <c r="D32" s="145" t="s">
        <v>1689</v>
      </c>
      <c r="E32" s="145" t="s">
        <v>309</v>
      </c>
      <c r="F32" s="145" t="s">
        <v>1964</v>
      </c>
      <c r="G32" s="145" t="s">
        <v>1965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445</v>
      </c>
      <c r="O32" s="145" t="s">
        <v>339</v>
      </c>
      <c r="P32" s="145" t="s">
        <v>1210</v>
      </c>
      <c r="Q32" s="146">
        <v>29623</v>
      </c>
      <c r="R32" s="146">
        <v>1</v>
      </c>
      <c r="S32" s="146">
        <v>5909</v>
      </c>
      <c r="T32" s="150"/>
      <c r="U32" s="146">
        <v>1750.423</v>
      </c>
      <c r="V32" s="148">
        <v>1.2999999999999999E-4</v>
      </c>
      <c r="W32" s="148">
        <v>7.3099999999999997E-3</v>
      </c>
      <c r="X32" s="149">
        <v>1.67E-3</v>
      </c>
      <c r="Y32" s="199"/>
    </row>
    <row r="33" spans="1:25" x14ac:dyDescent="0.2">
      <c r="A33" s="144" t="s">
        <v>1205</v>
      </c>
      <c r="B33" s="145" t="s">
        <v>1205</v>
      </c>
      <c r="C33" s="145" t="s">
        <v>1966</v>
      </c>
      <c r="D33" s="145" t="s">
        <v>1967</v>
      </c>
      <c r="E33" s="145" t="s">
        <v>309</v>
      </c>
      <c r="F33" s="145" t="s">
        <v>1968</v>
      </c>
      <c r="G33" s="145" t="s">
        <v>1969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455</v>
      </c>
      <c r="O33" s="145" t="s">
        <v>339</v>
      </c>
      <c r="P33" s="145" t="s">
        <v>1210</v>
      </c>
      <c r="Q33" s="146">
        <v>15852</v>
      </c>
      <c r="R33" s="146">
        <v>1</v>
      </c>
      <c r="S33" s="146">
        <v>10080</v>
      </c>
      <c r="T33" s="151"/>
      <c r="U33" s="146">
        <v>1597.8820000000001</v>
      </c>
      <c r="V33" s="148">
        <v>1.41E-3</v>
      </c>
      <c r="W33" s="148">
        <v>6.6699999999999997E-3</v>
      </c>
      <c r="X33" s="149">
        <v>1.5200000000000001E-3</v>
      </c>
      <c r="Y33" s="199"/>
    </row>
    <row r="34" spans="1:25" x14ac:dyDescent="0.2">
      <c r="A34" s="144" t="s">
        <v>1205</v>
      </c>
      <c r="B34" s="145" t="s">
        <v>1205</v>
      </c>
      <c r="C34" s="145" t="s">
        <v>1558</v>
      </c>
      <c r="D34" s="145" t="s">
        <v>1559</v>
      </c>
      <c r="E34" s="145" t="s">
        <v>309</v>
      </c>
      <c r="F34" s="145" t="s">
        <v>1970</v>
      </c>
      <c r="G34" s="145" t="s">
        <v>1971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464</v>
      </c>
      <c r="O34" s="145" t="s">
        <v>339</v>
      </c>
      <c r="P34" s="145" t="s">
        <v>1210</v>
      </c>
      <c r="Q34" s="146">
        <v>51105</v>
      </c>
      <c r="R34" s="146">
        <v>1</v>
      </c>
      <c r="S34" s="146">
        <v>3066</v>
      </c>
      <c r="T34" s="151"/>
      <c r="U34" s="146">
        <v>1566.8789999999999</v>
      </c>
      <c r="V34" s="148">
        <v>1.2600000000000001E-3</v>
      </c>
      <c r="W34" s="148">
        <v>6.5500000000000003E-3</v>
      </c>
      <c r="X34" s="149">
        <v>1.49E-3</v>
      </c>
      <c r="Y34" s="199"/>
    </row>
    <row r="35" spans="1:25" x14ac:dyDescent="0.2">
      <c r="A35" s="144" t="s">
        <v>1205</v>
      </c>
      <c r="B35" s="145" t="s">
        <v>1205</v>
      </c>
      <c r="C35" s="145" t="s">
        <v>1972</v>
      </c>
      <c r="D35" s="145" t="s">
        <v>1973</v>
      </c>
      <c r="E35" s="145" t="s">
        <v>309</v>
      </c>
      <c r="F35" s="145" t="s">
        <v>1974</v>
      </c>
      <c r="G35" s="145" t="s">
        <v>1975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454</v>
      </c>
      <c r="O35" s="145" t="s">
        <v>339</v>
      </c>
      <c r="P35" s="145" t="s">
        <v>1210</v>
      </c>
      <c r="Q35" s="146">
        <v>67529</v>
      </c>
      <c r="R35" s="146">
        <v>1</v>
      </c>
      <c r="S35" s="146">
        <v>2132</v>
      </c>
      <c r="T35" s="151"/>
      <c r="U35" s="146">
        <v>1439.7180000000001</v>
      </c>
      <c r="V35" s="148">
        <v>3.3800000000000002E-3</v>
      </c>
      <c r="W35" s="148">
        <v>6.0099999999999997E-3</v>
      </c>
      <c r="X35" s="149">
        <v>1.3699999999999999E-3</v>
      </c>
      <c r="Y35" s="199"/>
    </row>
    <row r="36" spans="1:25" x14ac:dyDescent="0.2">
      <c r="A36" s="144" t="s">
        <v>1205</v>
      </c>
      <c r="B36" s="145" t="s">
        <v>1205</v>
      </c>
      <c r="C36" s="145" t="s">
        <v>1522</v>
      </c>
      <c r="D36" s="145" t="s">
        <v>1523</v>
      </c>
      <c r="E36" s="145" t="s">
        <v>309</v>
      </c>
      <c r="F36" s="145" t="s">
        <v>1976</v>
      </c>
      <c r="G36" s="145" t="s">
        <v>1977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464</v>
      </c>
      <c r="O36" s="145" t="s">
        <v>339</v>
      </c>
      <c r="P36" s="145" t="s">
        <v>1210</v>
      </c>
      <c r="Q36" s="146">
        <v>171688</v>
      </c>
      <c r="R36" s="146">
        <v>1</v>
      </c>
      <c r="S36" s="146">
        <v>835</v>
      </c>
      <c r="T36" s="151"/>
      <c r="U36" s="146">
        <v>1433.595</v>
      </c>
      <c r="V36" s="148">
        <v>7.6999999999999996E-4</v>
      </c>
      <c r="W36" s="148">
        <v>5.9899999999999997E-3</v>
      </c>
      <c r="X36" s="149">
        <v>1.3600000000000001E-3</v>
      </c>
      <c r="Y36" s="199"/>
    </row>
    <row r="37" spans="1:25" x14ac:dyDescent="0.2">
      <c r="A37" s="144" t="s">
        <v>1205</v>
      </c>
      <c r="B37" s="145" t="s">
        <v>1205</v>
      </c>
      <c r="C37" s="145" t="s">
        <v>1836</v>
      </c>
      <c r="D37" s="145" t="s">
        <v>1837</v>
      </c>
      <c r="E37" s="145" t="s">
        <v>309</v>
      </c>
      <c r="F37" s="145" t="s">
        <v>1978</v>
      </c>
      <c r="G37" s="145" t="s">
        <v>1979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484</v>
      </c>
      <c r="O37" s="145" t="s">
        <v>339</v>
      </c>
      <c r="P37" s="145" t="s">
        <v>1210</v>
      </c>
      <c r="Q37" s="146">
        <v>54572</v>
      </c>
      <c r="R37" s="146">
        <v>1</v>
      </c>
      <c r="S37" s="146">
        <v>2530</v>
      </c>
      <c r="T37" s="151"/>
      <c r="U37" s="146">
        <v>1380.672</v>
      </c>
      <c r="V37" s="148">
        <v>2.9E-4</v>
      </c>
      <c r="W37" s="148">
        <v>5.77E-3</v>
      </c>
      <c r="X37" s="149">
        <v>1.31E-3</v>
      </c>
      <c r="Y37" s="199"/>
    </row>
    <row r="38" spans="1:25" x14ac:dyDescent="0.2">
      <c r="A38" s="144" t="s">
        <v>1205</v>
      </c>
      <c r="B38" s="145" t="s">
        <v>1205</v>
      </c>
      <c r="C38" s="145" t="s">
        <v>1980</v>
      </c>
      <c r="D38" s="145" t="s">
        <v>1981</v>
      </c>
      <c r="E38" s="145" t="s">
        <v>309</v>
      </c>
      <c r="F38" s="145" t="s">
        <v>1982</v>
      </c>
      <c r="G38" s="145" t="s">
        <v>1983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476</v>
      </c>
      <c r="O38" s="145" t="s">
        <v>339</v>
      </c>
      <c r="P38" s="145" t="s">
        <v>1210</v>
      </c>
      <c r="Q38" s="146">
        <v>15078</v>
      </c>
      <c r="R38" s="146">
        <v>1</v>
      </c>
      <c r="S38" s="146">
        <v>8638</v>
      </c>
      <c r="T38" s="146">
        <v>12.364000000000001</v>
      </c>
      <c r="U38" s="146">
        <v>1314.8019999999999</v>
      </c>
      <c r="V38" s="148">
        <v>2.3000000000000001E-4</v>
      </c>
      <c r="W38" s="148">
        <v>5.5399999999999998E-3</v>
      </c>
      <c r="X38" s="149">
        <v>1.2600000000000001E-3</v>
      </c>
      <c r="Y38" s="199"/>
    </row>
    <row r="39" spans="1:25" x14ac:dyDescent="0.2">
      <c r="A39" s="144" t="s">
        <v>1205</v>
      </c>
      <c r="B39" s="145" t="s">
        <v>1205</v>
      </c>
      <c r="C39" s="145" t="s">
        <v>1600</v>
      </c>
      <c r="D39" s="145" t="s">
        <v>1601</v>
      </c>
      <c r="E39" s="145" t="s">
        <v>309</v>
      </c>
      <c r="F39" s="145" t="s">
        <v>1984</v>
      </c>
      <c r="G39" s="145" t="s">
        <v>1985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464</v>
      </c>
      <c r="O39" s="145" t="s">
        <v>339</v>
      </c>
      <c r="P39" s="145" t="s">
        <v>1210</v>
      </c>
      <c r="Q39" s="146">
        <v>108350</v>
      </c>
      <c r="R39" s="146">
        <v>1</v>
      </c>
      <c r="S39" s="146">
        <v>1142</v>
      </c>
      <c r="T39" s="151"/>
      <c r="U39" s="146">
        <v>1237.357</v>
      </c>
      <c r="V39" s="148">
        <v>7.2000000000000005E-4</v>
      </c>
      <c r="W39" s="148">
        <v>5.1700000000000001E-3</v>
      </c>
      <c r="X39" s="149">
        <v>1.1800000000000001E-3</v>
      </c>
      <c r="Y39" s="199"/>
    </row>
    <row r="40" spans="1:25" x14ac:dyDescent="0.2">
      <c r="A40" s="144" t="s">
        <v>1205</v>
      </c>
      <c r="B40" s="145" t="s">
        <v>1205</v>
      </c>
      <c r="C40" s="145" t="s">
        <v>1986</v>
      </c>
      <c r="D40" s="145" t="s">
        <v>1987</v>
      </c>
      <c r="E40" s="145" t="s">
        <v>309</v>
      </c>
      <c r="F40" s="145" t="s">
        <v>1988</v>
      </c>
      <c r="G40" s="145" t="s">
        <v>1989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459</v>
      </c>
      <c r="O40" s="145" t="s">
        <v>339</v>
      </c>
      <c r="P40" s="145" t="s">
        <v>1210</v>
      </c>
      <c r="Q40" s="146">
        <v>15618</v>
      </c>
      <c r="R40" s="146">
        <v>1</v>
      </c>
      <c r="S40" s="146">
        <v>7800</v>
      </c>
      <c r="T40" s="151"/>
      <c r="U40" s="146">
        <v>1218.204</v>
      </c>
      <c r="V40" s="148">
        <v>1.2999999999999999E-4</v>
      </c>
      <c r="W40" s="148">
        <v>5.0899999999999999E-3</v>
      </c>
      <c r="X40" s="149">
        <v>1.16E-3</v>
      </c>
      <c r="Y40" s="199"/>
    </row>
    <row r="41" spans="1:25" x14ac:dyDescent="0.2">
      <c r="A41" s="144" t="s">
        <v>1205</v>
      </c>
      <c r="B41" s="145" t="s">
        <v>1205</v>
      </c>
      <c r="C41" s="145" t="s">
        <v>1990</v>
      </c>
      <c r="D41" s="145" t="s">
        <v>1991</v>
      </c>
      <c r="E41" s="145" t="s">
        <v>309</v>
      </c>
      <c r="F41" s="145" t="s">
        <v>1992</v>
      </c>
      <c r="G41" s="145" t="s">
        <v>1993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1210</v>
      </c>
      <c r="Q41" s="146">
        <v>4957</v>
      </c>
      <c r="R41" s="146">
        <v>1</v>
      </c>
      <c r="S41" s="146">
        <v>23560</v>
      </c>
      <c r="T41" s="151"/>
      <c r="U41" s="146">
        <v>1167.8689999999999</v>
      </c>
      <c r="V41" s="148">
        <v>3.4000000000000002E-4</v>
      </c>
      <c r="W41" s="148">
        <v>4.8799999999999998E-3</v>
      </c>
      <c r="X41" s="149">
        <v>1.1100000000000001E-3</v>
      </c>
      <c r="Y41" s="199"/>
    </row>
    <row r="42" spans="1:25" x14ac:dyDescent="0.2">
      <c r="A42" s="144" t="s">
        <v>1205</v>
      </c>
      <c r="B42" s="145" t="s">
        <v>1205</v>
      </c>
      <c r="C42" s="145" t="s">
        <v>1994</v>
      </c>
      <c r="D42" s="145" t="s">
        <v>1995</v>
      </c>
      <c r="E42" s="145" t="s">
        <v>309</v>
      </c>
      <c r="F42" s="145" t="s">
        <v>1996</v>
      </c>
      <c r="G42" s="145" t="s">
        <v>1997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451</v>
      </c>
      <c r="O42" s="145" t="s">
        <v>339</v>
      </c>
      <c r="P42" s="145" t="s">
        <v>1210</v>
      </c>
      <c r="Q42" s="146">
        <v>1409939</v>
      </c>
      <c r="R42" s="146">
        <v>1</v>
      </c>
      <c r="S42" s="146">
        <v>80.5</v>
      </c>
      <c r="T42" s="151"/>
      <c r="U42" s="146">
        <v>1135.001</v>
      </c>
      <c r="V42" s="148">
        <v>1.1100000000000001E-3</v>
      </c>
      <c r="W42" s="148">
        <v>4.7400000000000003E-3</v>
      </c>
      <c r="X42" s="149">
        <v>1.08E-3</v>
      </c>
      <c r="Y42" s="199"/>
    </row>
    <row r="43" spans="1:25" x14ac:dyDescent="0.2">
      <c r="A43" s="144" t="s">
        <v>1205</v>
      </c>
      <c r="B43" s="145" t="s">
        <v>1205</v>
      </c>
      <c r="C43" s="145" t="s">
        <v>1588</v>
      </c>
      <c r="D43" s="145" t="s">
        <v>1589</v>
      </c>
      <c r="E43" s="145" t="s">
        <v>309</v>
      </c>
      <c r="F43" s="145" t="s">
        <v>1998</v>
      </c>
      <c r="G43" s="145" t="s">
        <v>1999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451</v>
      </c>
      <c r="O43" s="145" t="s">
        <v>339</v>
      </c>
      <c r="P43" s="145" t="s">
        <v>1210</v>
      </c>
      <c r="Q43" s="146">
        <v>1114</v>
      </c>
      <c r="R43" s="146">
        <v>1</v>
      </c>
      <c r="S43" s="146">
        <v>99210</v>
      </c>
      <c r="T43" s="151"/>
      <c r="U43" s="146">
        <v>1105.1990000000001</v>
      </c>
      <c r="V43" s="148">
        <v>1.3999999999999999E-4</v>
      </c>
      <c r="W43" s="148">
        <v>4.62E-3</v>
      </c>
      <c r="X43" s="149">
        <v>1.0499999999999999E-3</v>
      </c>
      <c r="Y43" s="199"/>
    </row>
    <row r="44" spans="1:25" x14ac:dyDescent="0.2">
      <c r="A44" s="144" t="s">
        <v>1205</v>
      </c>
      <c r="B44" s="145" t="s">
        <v>1205</v>
      </c>
      <c r="C44" s="145" t="s">
        <v>1480</v>
      </c>
      <c r="D44" s="145" t="s">
        <v>1481</v>
      </c>
      <c r="E44" s="145" t="s">
        <v>309</v>
      </c>
      <c r="F44" s="145" t="s">
        <v>2000</v>
      </c>
      <c r="G44" s="145" t="s">
        <v>2001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475</v>
      </c>
      <c r="O44" s="145" t="s">
        <v>339</v>
      </c>
      <c r="P44" s="145" t="s">
        <v>1210</v>
      </c>
      <c r="Q44" s="146">
        <v>31320</v>
      </c>
      <c r="R44" s="146">
        <v>1</v>
      </c>
      <c r="S44" s="146">
        <v>3511</v>
      </c>
      <c r="T44" s="151"/>
      <c r="U44" s="146">
        <v>1099.645</v>
      </c>
      <c r="V44" s="148">
        <v>1.1E-4</v>
      </c>
      <c r="W44" s="148">
        <v>4.5900000000000003E-3</v>
      </c>
      <c r="X44" s="149">
        <v>1.0499999999999999E-3</v>
      </c>
      <c r="Y44" s="199"/>
    </row>
    <row r="45" spans="1:25" x14ac:dyDescent="0.2">
      <c r="A45" s="144" t="s">
        <v>1205</v>
      </c>
      <c r="B45" s="145" t="s">
        <v>1205</v>
      </c>
      <c r="C45" s="145" t="s">
        <v>1623</v>
      </c>
      <c r="D45" s="145" t="s">
        <v>1624</v>
      </c>
      <c r="E45" s="145" t="s">
        <v>309</v>
      </c>
      <c r="F45" s="145" t="s">
        <v>2002</v>
      </c>
      <c r="G45" s="145" t="s">
        <v>2003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464</v>
      </c>
      <c r="O45" s="145" t="s">
        <v>339</v>
      </c>
      <c r="P45" s="145" t="s">
        <v>1210</v>
      </c>
      <c r="Q45" s="146">
        <v>9818</v>
      </c>
      <c r="R45" s="146">
        <v>1</v>
      </c>
      <c r="S45" s="146">
        <v>10740</v>
      </c>
      <c r="T45" s="151"/>
      <c r="U45" s="146">
        <v>1054.453</v>
      </c>
      <c r="V45" s="148">
        <v>2.7E-4</v>
      </c>
      <c r="W45" s="148">
        <v>4.4000000000000003E-3</v>
      </c>
      <c r="X45" s="149">
        <v>1E-3</v>
      </c>
      <c r="Y45" s="199"/>
    </row>
    <row r="46" spans="1:25" x14ac:dyDescent="0.2">
      <c r="A46" s="144" t="s">
        <v>1205</v>
      </c>
      <c r="B46" s="145" t="s">
        <v>1205</v>
      </c>
      <c r="C46" s="145" t="s">
        <v>1435</v>
      </c>
      <c r="D46" s="145" t="s">
        <v>1436</v>
      </c>
      <c r="E46" s="145" t="s">
        <v>309</v>
      </c>
      <c r="F46" s="145" t="s">
        <v>2004</v>
      </c>
      <c r="G46" s="145" t="s">
        <v>2005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440</v>
      </c>
      <c r="O46" s="145" t="s">
        <v>339</v>
      </c>
      <c r="P46" s="145" t="s">
        <v>1210</v>
      </c>
      <c r="Q46" s="146">
        <v>31788</v>
      </c>
      <c r="R46" s="146">
        <v>1</v>
      </c>
      <c r="S46" s="146">
        <v>3240</v>
      </c>
      <c r="T46" s="151"/>
      <c r="U46" s="146">
        <v>1029.931</v>
      </c>
      <c r="V46" s="148">
        <v>1.2E-4</v>
      </c>
      <c r="W46" s="148">
        <v>4.3E-3</v>
      </c>
      <c r="X46" s="149">
        <v>9.7999999999999997E-4</v>
      </c>
      <c r="Y46" s="199"/>
    </row>
    <row r="47" spans="1:25" x14ac:dyDescent="0.2">
      <c r="A47" s="144" t="s">
        <v>1205</v>
      </c>
      <c r="B47" s="145" t="s">
        <v>1205</v>
      </c>
      <c r="C47" s="145" t="s">
        <v>1459</v>
      </c>
      <c r="D47" s="145" t="s">
        <v>1460</v>
      </c>
      <c r="E47" s="145" t="s">
        <v>309</v>
      </c>
      <c r="F47" s="145" t="s">
        <v>2006</v>
      </c>
      <c r="G47" s="145" t="s">
        <v>2007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440</v>
      </c>
      <c r="O47" s="145" t="s">
        <v>339</v>
      </c>
      <c r="P47" s="145" t="s">
        <v>1210</v>
      </c>
      <c r="Q47" s="146">
        <v>1991</v>
      </c>
      <c r="R47" s="146">
        <v>1</v>
      </c>
      <c r="S47" s="146">
        <v>49240</v>
      </c>
      <c r="T47" s="146">
        <v>13.968</v>
      </c>
      <c r="U47" s="146">
        <v>994.33699999999999</v>
      </c>
      <c r="V47" s="148">
        <v>1.3999999999999999E-4</v>
      </c>
      <c r="W47" s="148">
        <v>4.2100000000000002E-3</v>
      </c>
      <c r="X47" s="149">
        <v>9.6000000000000002E-4</v>
      </c>
      <c r="Y47" s="199"/>
    </row>
    <row r="48" spans="1:25" x14ac:dyDescent="0.2">
      <c r="A48" s="144" t="s">
        <v>1205</v>
      </c>
      <c r="B48" s="145" t="s">
        <v>1205</v>
      </c>
      <c r="C48" s="145" t="s">
        <v>1652</v>
      </c>
      <c r="D48" s="145" t="s">
        <v>1653</v>
      </c>
      <c r="E48" s="145" t="s">
        <v>309</v>
      </c>
      <c r="F48" s="145" t="s">
        <v>2008</v>
      </c>
      <c r="G48" s="145" t="s">
        <v>2009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440</v>
      </c>
      <c r="O48" s="145" t="s">
        <v>339</v>
      </c>
      <c r="P48" s="145" t="s">
        <v>1210</v>
      </c>
      <c r="Q48" s="146">
        <v>957922</v>
      </c>
      <c r="R48" s="146">
        <v>1</v>
      </c>
      <c r="S48" s="146">
        <v>88.3</v>
      </c>
      <c r="T48" s="146">
        <v>56.021999999999998</v>
      </c>
      <c r="U48" s="146">
        <v>901.86699999999996</v>
      </c>
      <c r="V48" s="148">
        <v>2.9999999999999997E-4</v>
      </c>
      <c r="W48" s="148">
        <v>4.0000000000000001E-3</v>
      </c>
      <c r="X48" s="149">
        <v>9.1E-4</v>
      </c>
      <c r="Y48" s="199"/>
    </row>
    <row r="49" spans="1:25" x14ac:dyDescent="0.2">
      <c r="A49" s="144" t="s">
        <v>1205</v>
      </c>
      <c r="B49" s="145" t="s">
        <v>1205</v>
      </c>
      <c r="C49" s="145" t="s">
        <v>2010</v>
      </c>
      <c r="D49" s="145" t="s">
        <v>2011</v>
      </c>
      <c r="E49" s="145" t="s">
        <v>309</v>
      </c>
      <c r="F49" s="145" t="s">
        <v>2012</v>
      </c>
      <c r="G49" s="145" t="s">
        <v>2013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447</v>
      </c>
      <c r="O49" s="145" t="s">
        <v>339</v>
      </c>
      <c r="P49" s="145" t="s">
        <v>1210</v>
      </c>
      <c r="Q49" s="146">
        <v>17500</v>
      </c>
      <c r="R49" s="146">
        <v>1</v>
      </c>
      <c r="S49" s="146">
        <v>5080</v>
      </c>
      <c r="T49" s="151"/>
      <c r="U49" s="146">
        <v>889</v>
      </c>
      <c r="V49" s="148">
        <v>1.6000000000000001E-4</v>
      </c>
      <c r="W49" s="148">
        <v>3.7100000000000002E-3</v>
      </c>
      <c r="X49" s="149">
        <v>8.4999999999999995E-4</v>
      </c>
      <c r="Y49" s="199"/>
    </row>
    <row r="50" spans="1:25" x14ac:dyDescent="0.2">
      <c r="A50" s="144" t="s">
        <v>1205</v>
      </c>
      <c r="B50" s="145" t="s">
        <v>1205</v>
      </c>
      <c r="C50" s="145" t="s">
        <v>2014</v>
      </c>
      <c r="D50" s="145" t="s">
        <v>2015</v>
      </c>
      <c r="E50" s="145" t="s">
        <v>309</v>
      </c>
      <c r="F50" s="145" t="s">
        <v>2016</v>
      </c>
      <c r="G50" s="145" t="s">
        <v>2017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475</v>
      </c>
      <c r="O50" s="145" t="s">
        <v>339</v>
      </c>
      <c r="P50" s="145" t="s">
        <v>1210</v>
      </c>
      <c r="Q50" s="146">
        <v>66000</v>
      </c>
      <c r="R50" s="146">
        <v>1</v>
      </c>
      <c r="S50" s="146">
        <v>1340</v>
      </c>
      <c r="T50" s="151"/>
      <c r="U50" s="146">
        <v>884.4</v>
      </c>
      <c r="V50" s="148">
        <v>4.6000000000000001E-4</v>
      </c>
      <c r="W50" s="148">
        <v>3.6900000000000001E-3</v>
      </c>
      <c r="X50" s="149">
        <v>8.4000000000000003E-4</v>
      </c>
      <c r="Y50" s="199"/>
    </row>
    <row r="51" spans="1:25" x14ac:dyDescent="0.2">
      <c r="A51" s="144" t="s">
        <v>1205</v>
      </c>
      <c r="B51" s="145" t="s">
        <v>1205</v>
      </c>
      <c r="C51" s="145" t="s">
        <v>2018</v>
      </c>
      <c r="D51" s="145" t="s">
        <v>2019</v>
      </c>
      <c r="E51" s="145" t="s">
        <v>309</v>
      </c>
      <c r="F51" s="145" t="s">
        <v>2020</v>
      </c>
      <c r="G51" s="145" t="s">
        <v>2021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476</v>
      </c>
      <c r="O51" s="145" t="s">
        <v>339</v>
      </c>
      <c r="P51" s="145" t="s">
        <v>1210</v>
      </c>
      <c r="Q51" s="146">
        <v>2739</v>
      </c>
      <c r="R51" s="146">
        <v>1</v>
      </c>
      <c r="S51" s="146">
        <v>32170</v>
      </c>
      <c r="T51" s="151"/>
      <c r="U51" s="146">
        <v>881.13599999999997</v>
      </c>
      <c r="V51" s="148">
        <v>1.7000000000000001E-4</v>
      </c>
      <c r="W51" s="148">
        <v>3.6800000000000001E-3</v>
      </c>
      <c r="X51" s="149">
        <v>8.4000000000000003E-4</v>
      </c>
      <c r="Y51" s="199"/>
    </row>
    <row r="52" spans="1:25" x14ac:dyDescent="0.2">
      <c r="A52" s="144" t="s">
        <v>1205</v>
      </c>
      <c r="B52" s="145" t="s">
        <v>1205</v>
      </c>
      <c r="C52" s="145" t="s">
        <v>2022</v>
      </c>
      <c r="D52" s="145" t="s">
        <v>2023</v>
      </c>
      <c r="E52" s="145" t="s">
        <v>309</v>
      </c>
      <c r="F52" s="145" t="s">
        <v>2024</v>
      </c>
      <c r="G52" s="145" t="s">
        <v>2025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476</v>
      </c>
      <c r="O52" s="145" t="s">
        <v>339</v>
      </c>
      <c r="P52" s="145" t="s">
        <v>1210</v>
      </c>
      <c r="Q52" s="146">
        <v>12274</v>
      </c>
      <c r="R52" s="146">
        <v>1</v>
      </c>
      <c r="S52" s="146">
        <v>6861</v>
      </c>
      <c r="T52" s="146">
        <v>7.6470000000000002</v>
      </c>
      <c r="U52" s="146">
        <v>849.76700000000005</v>
      </c>
      <c r="V52" s="148">
        <v>1.7000000000000001E-4</v>
      </c>
      <c r="W52" s="148">
        <v>3.5799999999999998E-3</v>
      </c>
      <c r="X52" s="149">
        <v>8.1999999999999998E-4</v>
      </c>
      <c r="Y52" s="199"/>
    </row>
    <row r="53" spans="1:25" x14ac:dyDescent="0.2">
      <c r="A53" s="144" t="s">
        <v>1205</v>
      </c>
      <c r="B53" s="145" t="s">
        <v>1205</v>
      </c>
      <c r="C53" s="145" t="s">
        <v>1724</v>
      </c>
      <c r="D53" s="145" t="s">
        <v>1725</v>
      </c>
      <c r="E53" s="145" t="s">
        <v>309</v>
      </c>
      <c r="F53" s="145" t="s">
        <v>2026</v>
      </c>
      <c r="G53" s="145" t="s">
        <v>2027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464</v>
      </c>
      <c r="O53" s="145" t="s">
        <v>339</v>
      </c>
      <c r="P53" s="145" t="s">
        <v>1210</v>
      </c>
      <c r="Q53" s="146">
        <v>84731.41</v>
      </c>
      <c r="R53" s="146">
        <v>1</v>
      </c>
      <c r="S53" s="146">
        <v>992.1</v>
      </c>
      <c r="T53" s="146">
        <v>8.0459999999999994</v>
      </c>
      <c r="U53" s="146">
        <v>848.66600000000005</v>
      </c>
      <c r="V53" s="148">
        <v>1.1E-4</v>
      </c>
      <c r="W53" s="148">
        <v>3.5799999999999998E-3</v>
      </c>
      <c r="X53" s="149">
        <v>8.0999999999999996E-4</v>
      </c>
      <c r="Y53" s="199"/>
    </row>
    <row r="54" spans="1:25" x14ac:dyDescent="0.2">
      <c r="A54" s="144" t="s">
        <v>1205</v>
      </c>
      <c r="B54" s="145" t="s">
        <v>1205</v>
      </c>
      <c r="C54" s="145" t="s">
        <v>2028</v>
      </c>
      <c r="D54" s="145" t="s">
        <v>2029</v>
      </c>
      <c r="E54" s="145" t="s">
        <v>309</v>
      </c>
      <c r="F54" s="145" t="s">
        <v>2030</v>
      </c>
      <c r="G54" s="145" t="s">
        <v>2031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476</v>
      </c>
      <c r="O54" s="145" t="s">
        <v>339</v>
      </c>
      <c r="P54" s="145" t="s">
        <v>1210</v>
      </c>
      <c r="Q54" s="146">
        <v>3445</v>
      </c>
      <c r="R54" s="146">
        <v>1</v>
      </c>
      <c r="S54" s="146">
        <v>22740</v>
      </c>
      <c r="T54" s="151"/>
      <c r="U54" s="146">
        <v>783.39300000000003</v>
      </c>
      <c r="V54" s="148">
        <v>1.4999999999999999E-4</v>
      </c>
      <c r="W54" s="148">
        <v>3.2699999999999999E-3</v>
      </c>
      <c r="X54" s="149">
        <v>7.5000000000000002E-4</v>
      </c>
      <c r="Y54" s="199"/>
    </row>
    <row r="55" spans="1:25" x14ac:dyDescent="0.2">
      <c r="A55" s="144" t="s">
        <v>1205</v>
      </c>
      <c r="B55" s="145" t="s">
        <v>1205</v>
      </c>
      <c r="C55" s="145" t="s">
        <v>2032</v>
      </c>
      <c r="D55" s="145" t="s">
        <v>2033</v>
      </c>
      <c r="E55" s="145" t="s">
        <v>309</v>
      </c>
      <c r="F55" s="145" t="s">
        <v>2034</v>
      </c>
      <c r="G55" s="145" t="s">
        <v>2035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437</v>
      </c>
      <c r="O55" s="145" t="s">
        <v>339</v>
      </c>
      <c r="P55" s="145" t="s">
        <v>1210</v>
      </c>
      <c r="Q55" s="146">
        <v>4387</v>
      </c>
      <c r="R55" s="146">
        <v>1</v>
      </c>
      <c r="S55" s="146">
        <v>17650</v>
      </c>
      <c r="T55" s="151"/>
      <c r="U55" s="146">
        <v>774.30600000000004</v>
      </c>
      <c r="V55" s="148">
        <v>1.6000000000000001E-4</v>
      </c>
      <c r="W55" s="148">
        <v>3.2299999999999998E-3</v>
      </c>
      <c r="X55" s="149">
        <v>7.3999999999999999E-4</v>
      </c>
      <c r="Y55" s="199"/>
    </row>
    <row r="56" spans="1:25" x14ac:dyDescent="0.2">
      <c r="A56" s="144" t="s">
        <v>1205</v>
      </c>
      <c r="B56" s="145" t="s">
        <v>1205</v>
      </c>
      <c r="C56" s="145" t="s">
        <v>1444</v>
      </c>
      <c r="D56" s="145" t="s">
        <v>1445</v>
      </c>
      <c r="E56" s="145" t="s">
        <v>309</v>
      </c>
      <c r="F56" s="145" t="s">
        <v>2036</v>
      </c>
      <c r="G56" s="145" t="s">
        <v>2037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464</v>
      </c>
      <c r="O56" s="145" t="s">
        <v>339</v>
      </c>
      <c r="P56" s="145" t="s">
        <v>1210</v>
      </c>
      <c r="Q56" s="146">
        <v>14597.09</v>
      </c>
      <c r="R56" s="146">
        <v>1</v>
      </c>
      <c r="S56" s="146">
        <v>5236</v>
      </c>
      <c r="T56" s="151"/>
      <c r="U56" s="146">
        <v>764.30399999999997</v>
      </c>
      <c r="V56" s="148">
        <v>1.1E-4</v>
      </c>
      <c r="W56" s="148">
        <v>3.1900000000000001E-3</v>
      </c>
      <c r="X56" s="149">
        <v>7.2999999999999996E-4</v>
      </c>
      <c r="Y56" s="199"/>
    </row>
    <row r="57" spans="1:25" x14ac:dyDescent="0.2">
      <c r="A57" s="144" t="s">
        <v>1205</v>
      </c>
      <c r="B57" s="145" t="s">
        <v>1205</v>
      </c>
      <c r="C57" s="145" t="s">
        <v>2038</v>
      </c>
      <c r="D57" s="145" t="s">
        <v>2039</v>
      </c>
      <c r="E57" s="145" t="s">
        <v>309</v>
      </c>
      <c r="F57" s="145" t="s">
        <v>2040</v>
      </c>
      <c r="G57" s="145" t="s">
        <v>2041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475</v>
      </c>
      <c r="O57" s="145" t="s">
        <v>339</v>
      </c>
      <c r="P57" s="145" t="s">
        <v>1210</v>
      </c>
      <c r="Q57" s="146">
        <v>106608</v>
      </c>
      <c r="R57" s="146">
        <v>1</v>
      </c>
      <c r="S57" s="146">
        <v>692.7</v>
      </c>
      <c r="T57" s="151"/>
      <c r="U57" s="146">
        <v>738.47400000000005</v>
      </c>
      <c r="V57" s="148">
        <v>9.7999999999999997E-4</v>
      </c>
      <c r="W57" s="148">
        <v>3.0799999999999998E-3</v>
      </c>
      <c r="X57" s="149">
        <v>6.9999999999999999E-4</v>
      </c>
      <c r="Y57" s="199"/>
    </row>
    <row r="58" spans="1:25" x14ac:dyDescent="0.2">
      <c r="A58" s="144" t="s">
        <v>1205</v>
      </c>
      <c r="B58" s="145" t="s">
        <v>1205</v>
      </c>
      <c r="C58" s="145" t="s">
        <v>2042</v>
      </c>
      <c r="D58" s="145" t="s">
        <v>2043</v>
      </c>
      <c r="E58" s="145" t="s">
        <v>309</v>
      </c>
      <c r="F58" s="145" t="s">
        <v>2044</v>
      </c>
      <c r="G58" s="145" t="s">
        <v>2045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447</v>
      </c>
      <c r="O58" s="145" t="s">
        <v>339</v>
      </c>
      <c r="P58" s="145" t="s">
        <v>1210</v>
      </c>
      <c r="Q58" s="146">
        <v>42442</v>
      </c>
      <c r="R58" s="146">
        <v>1</v>
      </c>
      <c r="S58" s="146">
        <v>1661</v>
      </c>
      <c r="T58" s="151"/>
      <c r="U58" s="146">
        <v>704.96199999999999</v>
      </c>
      <c r="V58" s="148">
        <v>1.4999999999999999E-4</v>
      </c>
      <c r="W58" s="148">
        <v>2.9399999999999999E-3</v>
      </c>
      <c r="X58" s="149">
        <v>6.7000000000000002E-4</v>
      </c>
      <c r="Y58" s="199"/>
    </row>
    <row r="59" spans="1:25" x14ac:dyDescent="0.2">
      <c r="A59" s="144" t="s">
        <v>1205</v>
      </c>
      <c r="B59" s="145" t="s">
        <v>1205</v>
      </c>
      <c r="C59" s="145" t="s">
        <v>2046</v>
      </c>
      <c r="D59" s="145" t="s">
        <v>2047</v>
      </c>
      <c r="E59" s="145" t="s">
        <v>309</v>
      </c>
      <c r="F59" s="145" t="s">
        <v>2048</v>
      </c>
      <c r="G59" s="145" t="s">
        <v>2049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465</v>
      </c>
      <c r="O59" s="145" t="s">
        <v>339</v>
      </c>
      <c r="P59" s="145" t="s">
        <v>1210</v>
      </c>
      <c r="Q59" s="146">
        <v>103133</v>
      </c>
      <c r="R59" s="146">
        <v>1</v>
      </c>
      <c r="S59" s="146">
        <v>667.8</v>
      </c>
      <c r="T59" s="151"/>
      <c r="U59" s="146">
        <v>688.72199999999998</v>
      </c>
      <c r="V59" s="148">
        <v>1.5200000000000001E-3</v>
      </c>
      <c r="W59" s="148">
        <v>2.8800000000000002E-3</v>
      </c>
      <c r="X59" s="149">
        <v>6.6E-4</v>
      </c>
      <c r="Y59" s="199"/>
    </row>
    <row r="60" spans="1:25" x14ac:dyDescent="0.2">
      <c r="A60" s="144" t="s">
        <v>1205</v>
      </c>
      <c r="B60" s="145" t="s">
        <v>1205</v>
      </c>
      <c r="C60" s="145" t="s">
        <v>2050</v>
      </c>
      <c r="D60" s="145" t="s">
        <v>2051</v>
      </c>
      <c r="E60" s="145" t="s">
        <v>309</v>
      </c>
      <c r="F60" s="145" t="s">
        <v>2050</v>
      </c>
      <c r="G60" s="145" t="s">
        <v>2052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471</v>
      </c>
      <c r="O60" s="145" t="s">
        <v>339</v>
      </c>
      <c r="P60" s="145" t="s">
        <v>1210</v>
      </c>
      <c r="Q60" s="146">
        <v>31372.5</v>
      </c>
      <c r="R60" s="146">
        <v>1</v>
      </c>
      <c r="S60" s="146">
        <v>2130</v>
      </c>
      <c r="T60" s="151"/>
      <c r="U60" s="146">
        <v>668.23400000000004</v>
      </c>
      <c r="V60" s="148">
        <v>2.2000000000000001E-4</v>
      </c>
      <c r="W60" s="148">
        <v>2.7899999999999999E-3</v>
      </c>
      <c r="X60" s="149">
        <v>6.4000000000000005E-4</v>
      </c>
      <c r="Y60" s="199"/>
    </row>
    <row r="61" spans="1:25" x14ac:dyDescent="0.2">
      <c r="A61" s="144" t="s">
        <v>1205</v>
      </c>
      <c r="B61" s="145" t="s">
        <v>1205</v>
      </c>
      <c r="C61" s="145" t="s">
        <v>1782</v>
      </c>
      <c r="D61" s="145" t="s">
        <v>1783</v>
      </c>
      <c r="E61" s="145" t="s">
        <v>309</v>
      </c>
      <c r="F61" s="145" t="s">
        <v>2053</v>
      </c>
      <c r="G61" s="145" t="s">
        <v>2054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454</v>
      </c>
      <c r="O61" s="145" t="s">
        <v>339</v>
      </c>
      <c r="P61" s="145" t="s">
        <v>1210</v>
      </c>
      <c r="Q61" s="146">
        <v>317658.3</v>
      </c>
      <c r="R61" s="146">
        <v>1</v>
      </c>
      <c r="S61" s="146">
        <v>203</v>
      </c>
      <c r="T61" s="151"/>
      <c r="U61" s="146">
        <v>644.846</v>
      </c>
      <c r="V61" s="148">
        <v>1.2E-4</v>
      </c>
      <c r="W61" s="148">
        <v>2.6900000000000001E-3</v>
      </c>
      <c r="X61" s="149">
        <v>6.0999999999999997E-4</v>
      </c>
      <c r="Y61" s="199"/>
    </row>
    <row r="62" spans="1:25" x14ac:dyDescent="0.2">
      <c r="A62" s="144" t="s">
        <v>1205</v>
      </c>
      <c r="B62" s="145" t="s">
        <v>1205</v>
      </c>
      <c r="C62" s="145" t="s">
        <v>2055</v>
      </c>
      <c r="D62" s="145" t="s">
        <v>2056</v>
      </c>
      <c r="E62" s="145" t="s">
        <v>309</v>
      </c>
      <c r="F62" s="145" t="s">
        <v>2055</v>
      </c>
      <c r="G62" s="145" t="s">
        <v>2057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477</v>
      </c>
      <c r="O62" s="145" t="s">
        <v>339</v>
      </c>
      <c r="P62" s="145" t="s">
        <v>1210</v>
      </c>
      <c r="Q62" s="146">
        <v>100000</v>
      </c>
      <c r="R62" s="146">
        <v>1</v>
      </c>
      <c r="S62" s="146">
        <v>638.4</v>
      </c>
      <c r="T62" s="151"/>
      <c r="U62" s="146">
        <v>638.4</v>
      </c>
      <c r="V62" s="148">
        <v>1.09E-3</v>
      </c>
      <c r="W62" s="148">
        <v>2.6700000000000001E-3</v>
      </c>
      <c r="X62" s="149">
        <v>6.0999999999999997E-4</v>
      </c>
      <c r="Y62" s="199"/>
    </row>
    <row r="63" spans="1:25" x14ac:dyDescent="0.2">
      <c r="A63" s="144" t="s">
        <v>1205</v>
      </c>
      <c r="B63" s="145" t="s">
        <v>1205</v>
      </c>
      <c r="C63" s="145" t="s">
        <v>2058</v>
      </c>
      <c r="D63" s="145" t="s">
        <v>2059</v>
      </c>
      <c r="E63" s="145" t="s">
        <v>309</v>
      </c>
      <c r="F63" s="145" t="s">
        <v>2060</v>
      </c>
      <c r="G63" s="145" t="s">
        <v>2061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456</v>
      </c>
      <c r="O63" s="145" t="s">
        <v>339</v>
      </c>
      <c r="P63" s="145" t="s">
        <v>1210</v>
      </c>
      <c r="Q63" s="146">
        <v>62199</v>
      </c>
      <c r="R63" s="146">
        <v>1</v>
      </c>
      <c r="S63" s="146">
        <v>988.4</v>
      </c>
      <c r="T63" s="146">
        <v>5.82</v>
      </c>
      <c r="U63" s="146">
        <v>620.59400000000005</v>
      </c>
      <c r="V63" s="148">
        <v>5.8E-4</v>
      </c>
      <c r="W63" s="148">
        <v>2.6199999999999999E-3</v>
      </c>
      <c r="X63" s="149">
        <v>5.9999999999999995E-4</v>
      </c>
      <c r="Y63" s="199"/>
    </row>
    <row r="64" spans="1:25" x14ac:dyDescent="0.2">
      <c r="A64" s="144" t="s">
        <v>1205</v>
      </c>
      <c r="B64" s="145" t="s">
        <v>1205</v>
      </c>
      <c r="C64" s="145" t="s">
        <v>2062</v>
      </c>
      <c r="D64" s="145" t="s">
        <v>2063</v>
      </c>
      <c r="E64" s="145" t="s">
        <v>309</v>
      </c>
      <c r="F64" s="145" t="s">
        <v>2064</v>
      </c>
      <c r="G64" s="145" t="s">
        <v>2065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465</v>
      </c>
      <c r="O64" s="145" t="s">
        <v>339</v>
      </c>
      <c r="P64" s="145" t="s">
        <v>1210</v>
      </c>
      <c r="Q64" s="146">
        <v>5769</v>
      </c>
      <c r="R64" s="146">
        <v>1</v>
      </c>
      <c r="S64" s="146">
        <v>9985</v>
      </c>
      <c r="T64" s="151"/>
      <c r="U64" s="146">
        <v>576.03499999999997</v>
      </c>
      <c r="V64" s="148">
        <v>2.7999999999999998E-4</v>
      </c>
      <c r="W64" s="148">
        <v>2.4099999999999998E-3</v>
      </c>
      <c r="X64" s="149">
        <v>5.5000000000000003E-4</v>
      </c>
      <c r="Y64" s="199"/>
    </row>
    <row r="65" spans="1:25" x14ac:dyDescent="0.2">
      <c r="A65" s="144" t="s">
        <v>1205</v>
      </c>
      <c r="B65" s="145" t="s">
        <v>1205</v>
      </c>
      <c r="C65" s="145" t="s">
        <v>2066</v>
      </c>
      <c r="D65" s="145" t="s">
        <v>2067</v>
      </c>
      <c r="E65" s="145" t="s">
        <v>309</v>
      </c>
      <c r="F65" s="145" t="s">
        <v>2068</v>
      </c>
      <c r="G65" s="145" t="s">
        <v>2069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447</v>
      </c>
      <c r="O65" s="145" t="s">
        <v>339</v>
      </c>
      <c r="P65" s="145" t="s">
        <v>1210</v>
      </c>
      <c r="Q65" s="146">
        <v>35229</v>
      </c>
      <c r="R65" s="146">
        <v>1</v>
      </c>
      <c r="S65" s="146">
        <v>1588</v>
      </c>
      <c r="T65" s="146">
        <v>6.6740000000000004</v>
      </c>
      <c r="U65" s="146">
        <v>566.11099999999999</v>
      </c>
      <c r="V65" s="148">
        <v>1.7000000000000001E-4</v>
      </c>
      <c r="W65" s="148">
        <v>2.3900000000000002E-3</v>
      </c>
      <c r="X65" s="149">
        <v>5.4000000000000001E-4</v>
      </c>
      <c r="Y65" s="199"/>
    </row>
    <row r="66" spans="1:25" x14ac:dyDescent="0.2">
      <c r="A66" s="144" t="s">
        <v>1205</v>
      </c>
      <c r="B66" s="145" t="s">
        <v>1205</v>
      </c>
      <c r="C66" s="145" t="s">
        <v>2070</v>
      </c>
      <c r="D66" s="145" t="s">
        <v>2071</v>
      </c>
      <c r="E66" s="145" t="s">
        <v>309</v>
      </c>
      <c r="F66" s="145" t="s">
        <v>2072</v>
      </c>
      <c r="G66" s="145" t="s">
        <v>2073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445</v>
      </c>
      <c r="O66" s="145" t="s">
        <v>339</v>
      </c>
      <c r="P66" s="145" t="s">
        <v>1210</v>
      </c>
      <c r="Q66" s="146">
        <v>3348</v>
      </c>
      <c r="R66" s="146">
        <v>1</v>
      </c>
      <c r="S66" s="146">
        <v>15580</v>
      </c>
      <c r="T66" s="151"/>
      <c r="U66" s="146">
        <v>521.61800000000005</v>
      </c>
      <c r="V66" s="148">
        <v>2.3000000000000001E-4</v>
      </c>
      <c r="W66" s="148">
        <v>2.1800000000000001E-3</v>
      </c>
      <c r="X66" s="149">
        <v>5.0000000000000001E-4</v>
      </c>
      <c r="Y66" s="199"/>
    </row>
    <row r="67" spans="1:25" x14ac:dyDescent="0.2">
      <c r="A67" s="144" t="s">
        <v>1205</v>
      </c>
      <c r="B67" s="145" t="s">
        <v>1205</v>
      </c>
      <c r="C67" s="145" t="s">
        <v>2074</v>
      </c>
      <c r="D67" s="145" t="s">
        <v>2075</v>
      </c>
      <c r="E67" s="145" t="s">
        <v>309</v>
      </c>
      <c r="F67" s="145" t="s">
        <v>2076</v>
      </c>
      <c r="G67" s="145" t="s">
        <v>2077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448</v>
      </c>
      <c r="O67" s="145" t="s">
        <v>339</v>
      </c>
      <c r="P67" s="145" t="s">
        <v>1210</v>
      </c>
      <c r="Q67" s="146">
        <v>2598</v>
      </c>
      <c r="R67" s="146">
        <v>1</v>
      </c>
      <c r="S67" s="146">
        <v>19520</v>
      </c>
      <c r="T67" s="146">
        <v>8.0239999999999991</v>
      </c>
      <c r="U67" s="146">
        <v>515.154</v>
      </c>
      <c r="V67" s="148">
        <v>6.9999999999999994E-5</v>
      </c>
      <c r="W67" s="148">
        <v>2.1900000000000001E-3</v>
      </c>
      <c r="X67" s="149">
        <v>5.0000000000000001E-4</v>
      </c>
      <c r="Y67" s="199"/>
    </row>
    <row r="68" spans="1:25" x14ac:dyDescent="0.2">
      <c r="A68" s="144" t="s">
        <v>1205</v>
      </c>
      <c r="B68" s="145" t="s">
        <v>1205</v>
      </c>
      <c r="C68" s="145" t="s">
        <v>2078</v>
      </c>
      <c r="D68" s="145" t="s">
        <v>2079</v>
      </c>
      <c r="E68" s="145" t="s">
        <v>309</v>
      </c>
      <c r="F68" s="145" t="s">
        <v>2080</v>
      </c>
      <c r="G68" s="145" t="s">
        <v>2081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446</v>
      </c>
      <c r="O68" s="145" t="s">
        <v>339</v>
      </c>
      <c r="P68" s="145" t="s">
        <v>1210</v>
      </c>
      <c r="Q68" s="146">
        <v>16389</v>
      </c>
      <c r="R68" s="146">
        <v>1</v>
      </c>
      <c r="S68" s="146">
        <v>3094</v>
      </c>
      <c r="T68" s="151"/>
      <c r="U68" s="146">
        <v>507.07600000000002</v>
      </c>
      <c r="V68" s="148">
        <v>6.4999999999999997E-4</v>
      </c>
      <c r="W68" s="148">
        <v>2.1199999999999999E-3</v>
      </c>
      <c r="X68" s="149">
        <v>4.8000000000000001E-4</v>
      </c>
      <c r="Y68" s="199"/>
    </row>
    <row r="69" spans="1:25" x14ac:dyDescent="0.2">
      <c r="A69" s="144" t="s">
        <v>1205</v>
      </c>
      <c r="B69" s="145" t="s">
        <v>1205</v>
      </c>
      <c r="C69" s="145" t="s">
        <v>2082</v>
      </c>
      <c r="D69" s="145" t="s">
        <v>2083</v>
      </c>
      <c r="E69" s="145" t="s">
        <v>309</v>
      </c>
      <c r="F69" s="145" t="s">
        <v>2084</v>
      </c>
      <c r="G69" s="145" t="s">
        <v>2085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454</v>
      </c>
      <c r="O69" s="145" t="s">
        <v>339</v>
      </c>
      <c r="P69" s="145" t="s">
        <v>1210</v>
      </c>
      <c r="Q69" s="146">
        <v>76070</v>
      </c>
      <c r="R69" s="146">
        <v>1</v>
      </c>
      <c r="S69" s="146">
        <v>665.7</v>
      </c>
      <c r="T69" s="151"/>
      <c r="U69" s="146">
        <v>506.39800000000002</v>
      </c>
      <c r="V69" s="148">
        <v>8.8000000000000003E-4</v>
      </c>
      <c r="W69" s="148">
        <v>2.1199999999999999E-3</v>
      </c>
      <c r="X69" s="149">
        <v>4.8000000000000001E-4</v>
      </c>
      <c r="Y69" s="199"/>
    </row>
    <row r="70" spans="1:25" x14ac:dyDescent="0.2">
      <c r="A70" s="144" t="s">
        <v>1205</v>
      </c>
      <c r="B70" s="145" t="s">
        <v>1205</v>
      </c>
      <c r="C70" s="145" t="s">
        <v>2086</v>
      </c>
      <c r="D70" s="145" t="s">
        <v>2087</v>
      </c>
      <c r="E70" s="145" t="s">
        <v>309</v>
      </c>
      <c r="F70" s="145" t="s">
        <v>2088</v>
      </c>
      <c r="G70" s="145" t="s">
        <v>2089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475</v>
      </c>
      <c r="O70" s="145" t="s">
        <v>339</v>
      </c>
      <c r="P70" s="145" t="s">
        <v>1210</v>
      </c>
      <c r="Q70" s="146">
        <v>6818</v>
      </c>
      <c r="R70" s="146">
        <v>1</v>
      </c>
      <c r="S70" s="146">
        <v>7251</v>
      </c>
      <c r="T70" s="151"/>
      <c r="U70" s="146">
        <v>494.37299999999999</v>
      </c>
      <c r="V70" s="148">
        <v>2.7E-4</v>
      </c>
      <c r="W70" s="148">
        <v>2.0699999999999998E-3</v>
      </c>
      <c r="X70" s="149">
        <v>4.6999999999999999E-4</v>
      </c>
      <c r="Y70" s="199"/>
    </row>
    <row r="71" spans="1:25" x14ac:dyDescent="0.2">
      <c r="A71" s="144" t="s">
        <v>1205</v>
      </c>
      <c r="B71" s="145" t="s">
        <v>1205</v>
      </c>
      <c r="C71" s="145" t="s">
        <v>2090</v>
      </c>
      <c r="D71" s="145" t="s">
        <v>2091</v>
      </c>
      <c r="E71" s="145" t="s">
        <v>309</v>
      </c>
      <c r="F71" s="145" t="s">
        <v>2092</v>
      </c>
      <c r="G71" s="145" t="s">
        <v>2093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451</v>
      </c>
      <c r="O71" s="145" t="s">
        <v>339</v>
      </c>
      <c r="P71" s="145" t="s">
        <v>1210</v>
      </c>
      <c r="Q71" s="146">
        <v>951000</v>
      </c>
      <c r="R71" s="146">
        <v>1</v>
      </c>
      <c r="S71" s="146">
        <v>51.6</v>
      </c>
      <c r="T71" s="151"/>
      <c r="U71" s="146">
        <v>490.71600000000001</v>
      </c>
      <c r="V71" s="148">
        <v>3.0899999999999999E-3</v>
      </c>
      <c r="W71" s="148">
        <v>2.0500000000000002E-3</v>
      </c>
      <c r="X71" s="149">
        <v>4.6999999999999999E-4</v>
      </c>
      <c r="Y71" s="199"/>
    </row>
    <row r="72" spans="1:25" x14ac:dyDescent="0.2">
      <c r="A72" s="144" t="s">
        <v>1205</v>
      </c>
      <c r="B72" s="145" t="s">
        <v>1205</v>
      </c>
      <c r="C72" s="145" t="s">
        <v>2094</v>
      </c>
      <c r="D72" s="145" t="s">
        <v>2095</v>
      </c>
      <c r="E72" s="145" t="s">
        <v>309</v>
      </c>
      <c r="F72" s="145" t="s">
        <v>2096</v>
      </c>
      <c r="G72" s="145" t="s">
        <v>2097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445</v>
      </c>
      <c r="O72" s="145" t="s">
        <v>339</v>
      </c>
      <c r="P72" s="145" t="s">
        <v>1210</v>
      </c>
      <c r="Q72" s="146">
        <v>10440</v>
      </c>
      <c r="R72" s="146">
        <v>1</v>
      </c>
      <c r="S72" s="146">
        <v>4458</v>
      </c>
      <c r="T72" s="146">
        <v>12.548999999999999</v>
      </c>
      <c r="U72" s="146">
        <v>477.964</v>
      </c>
      <c r="V72" s="148">
        <v>4.2000000000000002E-4</v>
      </c>
      <c r="W72" s="148">
        <v>2.0500000000000002E-3</v>
      </c>
      <c r="X72" s="149">
        <v>4.6999999999999999E-4</v>
      </c>
      <c r="Y72" s="199"/>
    </row>
    <row r="73" spans="1:25" x14ac:dyDescent="0.2">
      <c r="A73" s="144" t="s">
        <v>1205</v>
      </c>
      <c r="B73" s="145" t="s">
        <v>1205</v>
      </c>
      <c r="C73" s="145" t="s">
        <v>1774</v>
      </c>
      <c r="D73" s="145" t="s">
        <v>1775</v>
      </c>
      <c r="E73" s="145" t="s">
        <v>309</v>
      </c>
      <c r="F73" s="145" t="s">
        <v>2098</v>
      </c>
      <c r="G73" s="145" t="s">
        <v>2099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464</v>
      </c>
      <c r="O73" s="145" t="s">
        <v>339</v>
      </c>
      <c r="P73" s="145" t="s">
        <v>1210</v>
      </c>
      <c r="Q73" s="146">
        <v>26764</v>
      </c>
      <c r="R73" s="146">
        <v>1</v>
      </c>
      <c r="S73" s="146">
        <v>1783</v>
      </c>
      <c r="T73" s="151"/>
      <c r="U73" s="146">
        <v>477.202</v>
      </c>
      <c r="V73" s="148">
        <v>1.3999999999999999E-4</v>
      </c>
      <c r="W73" s="148">
        <v>1.99E-3</v>
      </c>
      <c r="X73" s="149">
        <v>4.4999999999999999E-4</v>
      </c>
      <c r="Y73" s="199"/>
    </row>
    <row r="74" spans="1:25" x14ac:dyDescent="0.2">
      <c r="A74" s="144" t="s">
        <v>1205</v>
      </c>
      <c r="B74" s="145" t="s">
        <v>1205</v>
      </c>
      <c r="C74" s="145" t="s">
        <v>1563</v>
      </c>
      <c r="D74" s="145" t="s">
        <v>1564</v>
      </c>
      <c r="E74" s="145" t="s">
        <v>309</v>
      </c>
      <c r="F74" s="145" t="s">
        <v>2100</v>
      </c>
      <c r="G74" s="145" t="s">
        <v>2101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447</v>
      </c>
      <c r="O74" s="145" t="s">
        <v>339</v>
      </c>
      <c r="P74" s="145" t="s">
        <v>1210</v>
      </c>
      <c r="Q74" s="146">
        <v>9800</v>
      </c>
      <c r="R74" s="146">
        <v>1</v>
      </c>
      <c r="S74" s="146">
        <v>4712</v>
      </c>
      <c r="T74" s="151"/>
      <c r="U74" s="146">
        <v>461.77600000000001</v>
      </c>
      <c r="V74" s="148">
        <v>1.6000000000000001E-4</v>
      </c>
      <c r="W74" s="148">
        <v>1.9300000000000001E-3</v>
      </c>
      <c r="X74" s="149">
        <v>4.4000000000000002E-4</v>
      </c>
      <c r="Y74" s="199"/>
    </row>
    <row r="75" spans="1:25" x14ac:dyDescent="0.2">
      <c r="A75" s="144" t="s">
        <v>1205</v>
      </c>
      <c r="B75" s="145" t="s">
        <v>1205</v>
      </c>
      <c r="C75" s="145" t="s">
        <v>2102</v>
      </c>
      <c r="D75" s="145" t="s">
        <v>2103</v>
      </c>
      <c r="E75" s="145" t="s">
        <v>309</v>
      </c>
      <c r="F75" s="145" t="s">
        <v>2104</v>
      </c>
      <c r="G75" s="145" t="s">
        <v>2105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465</v>
      </c>
      <c r="O75" s="145" t="s">
        <v>339</v>
      </c>
      <c r="P75" s="145" t="s">
        <v>1210</v>
      </c>
      <c r="Q75" s="146">
        <v>8343</v>
      </c>
      <c r="R75" s="146">
        <v>1</v>
      </c>
      <c r="S75" s="146">
        <v>5364</v>
      </c>
      <c r="T75" s="151"/>
      <c r="U75" s="146">
        <v>447.51900000000001</v>
      </c>
      <c r="V75" s="148">
        <v>1.1E-4</v>
      </c>
      <c r="W75" s="148">
        <v>1.8699999999999999E-3</v>
      </c>
      <c r="X75" s="149">
        <v>4.2999999999999999E-4</v>
      </c>
      <c r="Y75" s="199"/>
    </row>
    <row r="76" spans="1:25" x14ac:dyDescent="0.2">
      <c r="A76" s="144" t="s">
        <v>1205</v>
      </c>
      <c r="B76" s="145" t="s">
        <v>1205</v>
      </c>
      <c r="C76" s="145" t="s">
        <v>1661</v>
      </c>
      <c r="D76" s="145" t="s">
        <v>1662</v>
      </c>
      <c r="E76" s="145" t="s">
        <v>309</v>
      </c>
      <c r="F76" s="145" t="s">
        <v>2106</v>
      </c>
      <c r="G76" s="145" t="s">
        <v>2107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464</v>
      </c>
      <c r="O76" s="145" t="s">
        <v>339</v>
      </c>
      <c r="P76" s="145" t="s">
        <v>1210</v>
      </c>
      <c r="Q76" s="146">
        <v>23592</v>
      </c>
      <c r="R76" s="146">
        <v>1</v>
      </c>
      <c r="S76" s="146">
        <v>1796</v>
      </c>
      <c r="T76" s="151"/>
      <c r="U76" s="146">
        <v>423.71199999999999</v>
      </c>
      <c r="V76" s="148">
        <v>5.0000000000000002E-5</v>
      </c>
      <c r="W76" s="148">
        <v>1.7700000000000001E-3</v>
      </c>
      <c r="X76" s="149">
        <v>4.0000000000000002E-4</v>
      </c>
      <c r="Y76" s="199"/>
    </row>
    <row r="77" spans="1:25" x14ac:dyDescent="0.2">
      <c r="A77" s="144" t="s">
        <v>1205</v>
      </c>
      <c r="B77" s="145" t="s">
        <v>1205</v>
      </c>
      <c r="C77" s="145" t="s">
        <v>2108</v>
      </c>
      <c r="D77" s="145" t="s">
        <v>2109</v>
      </c>
      <c r="E77" s="145" t="s">
        <v>309</v>
      </c>
      <c r="F77" s="145" t="s">
        <v>2110</v>
      </c>
      <c r="G77" s="145" t="s">
        <v>2111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441</v>
      </c>
      <c r="O77" s="145" t="s">
        <v>339</v>
      </c>
      <c r="P77" s="145" t="s">
        <v>1210</v>
      </c>
      <c r="Q77" s="146">
        <v>39177.58</v>
      </c>
      <c r="R77" s="146">
        <v>1</v>
      </c>
      <c r="S77" s="146">
        <v>1013</v>
      </c>
      <c r="T77" s="146">
        <v>3.9180000000000001</v>
      </c>
      <c r="U77" s="146">
        <v>400.78699999999998</v>
      </c>
      <c r="V77" s="148">
        <v>6.9999999999999994E-5</v>
      </c>
      <c r="W77" s="148">
        <v>1.6900000000000001E-3</v>
      </c>
      <c r="X77" s="149">
        <v>3.8000000000000002E-4</v>
      </c>
      <c r="Y77" s="199"/>
    </row>
    <row r="78" spans="1:25" x14ac:dyDescent="0.2">
      <c r="A78" s="144" t="s">
        <v>1205</v>
      </c>
      <c r="B78" s="145" t="s">
        <v>1205</v>
      </c>
      <c r="C78" s="145" t="s">
        <v>2112</v>
      </c>
      <c r="D78" s="145" t="s">
        <v>2113</v>
      </c>
      <c r="E78" s="145" t="s">
        <v>309</v>
      </c>
      <c r="F78" s="145" t="s">
        <v>2114</v>
      </c>
      <c r="G78" s="145" t="s">
        <v>2115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462</v>
      </c>
      <c r="O78" s="145" t="s">
        <v>339</v>
      </c>
      <c r="P78" s="145" t="s">
        <v>1210</v>
      </c>
      <c r="Q78" s="146">
        <v>1948</v>
      </c>
      <c r="R78" s="146">
        <v>1</v>
      </c>
      <c r="S78" s="146">
        <v>19000</v>
      </c>
      <c r="T78" s="151"/>
      <c r="U78" s="146">
        <v>370.12</v>
      </c>
      <c r="V78" s="148">
        <v>2.3000000000000001E-4</v>
      </c>
      <c r="W78" s="148">
        <v>1.5499999999999999E-3</v>
      </c>
      <c r="X78" s="149">
        <v>3.5E-4</v>
      </c>
      <c r="Y78" s="199"/>
    </row>
    <row r="79" spans="1:25" x14ac:dyDescent="0.2">
      <c r="A79" s="144" t="s">
        <v>1205</v>
      </c>
      <c r="B79" s="145" t="s">
        <v>1205</v>
      </c>
      <c r="C79" s="145" t="s">
        <v>2116</v>
      </c>
      <c r="D79" s="145" t="s">
        <v>2117</v>
      </c>
      <c r="E79" s="145" t="s">
        <v>309</v>
      </c>
      <c r="F79" s="145" t="s">
        <v>2118</v>
      </c>
      <c r="G79" s="145" t="s">
        <v>2119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480</v>
      </c>
      <c r="O79" s="145" t="s">
        <v>339</v>
      </c>
      <c r="P79" s="145" t="s">
        <v>1210</v>
      </c>
      <c r="Q79" s="146">
        <v>11896</v>
      </c>
      <c r="R79" s="146">
        <v>1</v>
      </c>
      <c r="S79" s="146">
        <v>814</v>
      </c>
      <c r="T79" s="151"/>
      <c r="U79" s="146">
        <v>359.81599999999997</v>
      </c>
      <c r="V79" s="148">
        <v>2.5000000000000001E-4</v>
      </c>
      <c r="W79" s="148">
        <v>1.5E-3</v>
      </c>
      <c r="X79" s="149">
        <v>3.4000000000000002E-4</v>
      </c>
      <c r="Y79" s="199"/>
    </row>
    <row r="80" spans="1:25" x14ac:dyDescent="0.2">
      <c r="A80" s="144" t="s">
        <v>1205</v>
      </c>
      <c r="B80" s="145" t="s">
        <v>1205</v>
      </c>
      <c r="C80" s="145" t="s">
        <v>2120</v>
      </c>
      <c r="D80" s="145" t="s">
        <v>2121</v>
      </c>
      <c r="E80" s="145" t="s">
        <v>309</v>
      </c>
      <c r="F80" s="145" t="s">
        <v>2122</v>
      </c>
      <c r="G80" s="145" t="s">
        <v>2123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464</v>
      </c>
      <c r="O80" s="145" t="s">
        <v>339</v>
      </c>
      <c r="P80" s="145" t="s">
        <v>1210</v>
      </c>
      <c r="Q80" s="146">
        <v>189195</v>
      </c>
      <c r="R80" s="146">
        <v>1</v>
      </c>
      <c r="S80" s="146">
        <v>184</v>
      </c>
      <c r="T80" s="151"/>
      <c r="U80" s="146">
        <v>348.11900000000003</v>
      </c>
      <c r="V80" s="148">
        <v>2.5000000000000001E-4</v>
      </c>
      <c r="W80" s="148">
        <v>1.4499999999999999E-3</v>
      </c>
      <c r="X80" s="149">
        <v>3.3E-4</v>
      </c>
      <c r="Y80" s="199"/>
    </row>
    <row r="81" spans="1:25" x14ac:dyDescent="0.2">
      <c r="A81" s="144" t="s">
        <v>1205</v>
      </c>
      <c r="B81" s="145" t="s">
        <v>1205</v>
      </c>
      <c r="C81" s="145" t="s">
        <v>2124</v>
      </c>
      <c r="D81" s="145" t="s">
        <v>2125</v>
      </c>
      <c r="E81" s="145" t="s">
        <v>309</v>
      </c>
      <c r="F81" s="145" t="s">
        <v>2126</v>
      </c>
      <c r="G81" s="145" t="s">
        <v>2127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464</v>
      </c>
      <c r="O81" s="145" t="s">
        <v>339</v>
      </c>
      <c r="P81" s="145" t="s">
        <v>1210</v>
      </c>
      <c r="Q81" s="146">
        <v>62607.13</v>
      </c>
      <c r="R81" s="146">
        <v>1</v>
      </c>
      <c r="S81" s="146">
        <v>382</v>
      </c>
      <c r="T81" s="151"/>
      <c r="U81" s="146">
        <v>239.15899999999999</v>
      </c>
      <c r="V81" s="148">
        <v>5.8E-4</v>
      </c>
      <c r="W81" s="148">
        <v>1E-3</v>
      </c>
      <c r="X81" s="149">
        <v>2.3000000000000001E-4</v>
      </c>
      <c r="Y81" s="199"/>
    </row>
    <row r="82" spans="1:25" x14ac:dyDescent="0.2">
      <c r="A82" s="144" t="s">
        <v>1205</v>
      </c>
      <c r="B82" s="145" t="s">
        <v>1205</v>
      </c>
      <c r="C82" s="145" t="s">
        <v>2128</v>
      </c>
      <c r="D82" s="145" t="s">
        <v>2129</v>
      </c>
      <c r="E82" s="145" t="s">
        <v>309</v>
      </c>
      <c r="F82" s="145" t="s">
        <v>2130</v>
      </c>
      <c r="G82" s="145" t="s">
        <v>2131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477</v>
      </c>
      <c r="O82" s="145" t="s">
        <v>339</v>
      </c>
      <c r="P82" s="145" t="s">
        <v>1210</v>
      </c>
      <c r="Q82" s="146">
        <v>51227.16</v>
      </c>
      <c r="R82" s="146">
        <v>1</v>
      </c>
      <c r="S82" s="146">
        <v>427.4</v>
      </c>
      <c r="T82" s="151"/>
      <c r="U82" s="146">
        <v>218.94499999999999</v>
      </c>
      <c r="V82" s="148">
        <v>9.3000000000000005E-4</v>
      </c>
      <c r="W82" s="148">
        <v>9.1E-4</v>
      </c>
      <c r="X82" s="149">
        <v>2.1000000000000001E-4</v>
      </c>
      <c r="Y82" s="199"/>
    </row>
    <row r="83" spans="1:25" x14ac:dyDescent="0.2">
      <c r="A83" s="144" t="s">
        <v>1205</v>
      </c>
      <c r="B83" s="145" t="s">
        <v>1205</v>
      </c>
      <c r="C83" s="145" t="s">
        <v>2132</v>
      </c>
      <c r="D83" s="145" t="s">
        <v>2133</v>
      </c>
      <c r="E83" s="145" t="s">
        <v>309</v>
      </c>
      <c r="F83" s="145" t="s">
        <v>2134</v>
      </c>
      <c r="G83" s="145" t="s">
        <v>2135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473</v>
      </c>
      <c r="O83" s="145" t="s">
        <v>339</v>
      </c>
      <c r="P83" s="145" t="s">
        <v>1210</v>
      </c>
      <c r="Q83" s="146">
        <v>46009.63</v>
      </c>
      <c r="R83" s="146">
        <v>1</v>
      </c>
      <c r="S83" s="146">
        <v>385</v>
      </c>
      <c r="T83" s="151"/>
      <c r="U83" s="146">
        <v>177.137</v>
      </c>
      <c r="V83" s="148">
        <v>4.2000000000000002E-4</v>
      </c>
      <c r="W83" s="148">
        <v>7.3999999999999999E-4</v>
      </c>
      <c r="X83" s="149">
        <v>1.7000000000000001E-4</v>
      </c>
      <c r="Y83" s="199"/>
    </row>
    <row r="84" spans="1:25" x14ac:dyDescent="0.2">
      <c r="A84" s="144" t="s">
        <v>1205</v>
      </c>
      <c r="B84" s="145" t="s">
        <v>1205</v>
      </c>
      <c r="C84" s="145" t="s">
        <v>2136</v>
      </c>
      <c r="D84" s="145" t="s">
        <v>2137</v>
      </c>
      <c r="E84" s="145" t="s">
        <v>309</v>
      </c>
      <c r="F84" s="145" t="s">
        <v>2138</v>
      </c>
      <c r="G84" s="145" t="s">
        <v>2139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1210</v>
      </c>
      <c r="Q84" s="146">
        <v>41662</v>
      </c>
      <c r="R84" s="146">
        <v>1</v>
      </c>
      <c r="S84" s="146">
        <v>364</v>
      </c>
      <c r="T84" s="151"/>
      <c r="U84" s="146">
        <v>151.65</v>
      </c>
      <c r="V84" s="148">
        <v>5.2999999999999998E-4</v>
      </c>
      <c r="W84" s="148">
        <v>6.3000000000000003E-4</v>
      </c>
      <c r="X84" s="149">
        <v>1.3999999999999999E-4</v>
      </c>
      <c r="Y84" s="199"/>
    </row>
    <row r="85" spans="1:25" x14ac:dyDescent="0.2">
      <c r="A85" s="144" t="s">
        <v>1205</v>
      </c>
      <c r="B85" s="145" t="s">
        <v>1205</v>
      </c>
      <c r="C85" s="145" t="s">
        <v>2140</v>
      </c>
      <c r="D85" s="145" t="s">
        <v>2141</v>
      </c>
      <c r="E85" s="145" t="s">
        <v>309</v>
      </c>
      <c r="F85" s="145" t="s">
        <v>2142</v>
      </c>
      <c r="G85" s="145" t="s">
        <v>2143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440</v>
      </c>
      <c r="O85" s="145" t="s">
        <v>339</v>
      </c>
      <c r="P85" s="145" t="s">
        <v>1210</v>
      </c>
      <c r="Q85" s="146">
        <v>1991</v>
      </c>
      <c r="R85" s="146">
        <v>1</v>
      </c>
      <c r="S85" s="146">
        <v>5339</v>
      </c>
      <c r="T85" s="151"/>
      <c r="U85" s="146">
        <v>106.29900000000001</v>
      </c>
      <c r="V85" s="148">
        <v>1.6000000000000001E-4</v>
      </c>
      <c r="W85" s="148">
        <v>4.4000000000000002E-4</v>
      </c>
      <c r="X85" s="149">
        <v>1E-4</v>
      </c>
      <c r="Y85" s="199"/>
    </row>
    <row r="86" spans="1:25" x14ac:dyDescent="0.2">
      <c r="A86" s="144" t="s">
        <v>1205</v>
      </c>
      <c r="B86" s="145" t="s">
        <v>1205</v>
      </c>
      <c r="C86" s="145" t="s">
        <v>2144</v>
      </c>
      <c r="D86" s="145" t="s">
        <v>2145</v>
      </c>
      <c r="E86" s="145" t="s">
        <v>309</v>
      </c>
      <c r="F86" s="145" t="s">
        <v>2146</v>
      </c>
      <c r="G86" s="145" t="s">
        <v>2147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459</v>
      </c>
      <c r="O86" s="145" t="s">
        <v>339</v>
      </c>
      <c r="P86" s="145" t="s">
        <v>1210</v>
      </c>
      <c r="Q86" s="146">
        <v>346.71</v>
      </c>
      <c r="R86" s="146">
        <v>1</v>
      </c>
      <c r="S86" s="146">
        <v>22800</v>
      </c>
      <c r="T86" s="151"/>
      <c r="U86" s="146">
        <v>79.05</v>
      </c>
      <c r="V86" s="148">
        <v>1E-4</v>
      </c>
      <c r="W86" s="148">
        <v>3.3E-4</v>
      </c>
      <c r="X86" s="149">
        <v>8.0000000000000007E-5</v>
      </c>
      <c r="Y86" s="199"/>
    </row>
    <row r="87" spans="1:25" x14ac:dyDescent="0.2">
      <c r="A87" s="144" t="s">
        <v>1205</v>
      </c>
      <c r="B87" s="145" t="s">
        <v>1205</v>
      </c>
      <c r="C87" s="145" t="s">
        <v>2148</v>
      </c>
      <c r="D87" s="145" t="s">
        <v>2149</v>
      </c>
      <c r="E87" s="145" t="s">
        <v>309</v>
      </c>
      <c r="F87" s="145" t="s">
        <v>2150</v>
      </c>
      <c r="G87" s="145" t="s">
        <v>2151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439</v>
      </c>
      <c r="O87" s="145" t="s">
        <v>339</v>
      </c>
      <c r="P87" s="145" t="s">
        <v>1210</v>
      </c>
      <c r="Q87" s="146">
        <v>31814</v>
      </c>
      <c r="R87" s="146">
        <v>1</v>
      </c>
      <c r="S87" s="146">
        <v>219.8</v>
      </c>
      <c r="T87" s="151"/>
      <c r="U87" s="146">
        <v>69.927000000000007</v>
      </c>
      <c r="V87" s="148">
        <v>8.1999999999999998E-4</v>
      </c>
      <c r="W87" s="148">
        <v>2.9E-4</v>
      </c>
      <c r="X87" s="149">
        <v>6.9999999999999994E-5</v>
      </c>
      <c r="Y87" s="199"/>
    </row>
    <row r="88" spans="1:25" x14ac:dyDescent="0.2">
      <c r="A88" s="144" t="s">
        <v>1205</v>
      </c>
      <c r="B88" s="145" t="s">
        <v>1205</v>
      </c>
      <c r="C88" s="145" t="s">
        <v>2152</v>
      </c>
      <c r="D88" s="145" t="s">
        <v>2153</v>
      </c>
      <c r="E88" s="145" t="s">
        <v>309</v>
      </c>
      <c r="F88" s="145" t="s">
        <v>2154</v>
      </c>
      <c r="G88" s="145" t="s">
        <v>2155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480</v>
      </c>
      <c r="O88" s="145" t="s">
        <v>339</v>
      </c>
      <c r="P88" s="145" t="s">
        <v>1210</v>
      </c>
      <c r="Q88" s="146">
        <v>17720</v>
      </c>
      <c r="R88" s="146">
        <v>1</v>
      </c>
      <c r="S88" s="146">
        <v>206.9</v>
      </c>
      <c r="T88" s="151"/>
      <c r="U88" s="146">
        <v>36.662999999999997</v>
      </c>
      <c r="V88" s="148">
        <v>1.1999999999999999E-3</v>
      </c>
      <c r="W88" s="148">
        <v>1.4999999999999999E-4</v>
      </c>
      <c r="X88" s="149">
        <v>3.0000000000000001E-5</v>
      </c>
      <c r="Y88" s="199"/>
    </row>
    <row r="89" spans="1:25" x14ac:dyDescent="0.2">
      <c r="A89" s="144" t="s">
        <v>1205</v>
      </c>
      <c r="B89" s="145" t="s">
        <v>1205</v>
      </c>
      <c r="C89" s="145" t="s">
        <v>2156</v>
      </c>
      <c r="D89" s="145" t="s">
        <v>2157</v>
      </c>
      <c r="E89" s="145" t="s">
        <v>309</v>
      </c>
      <c r="F89" s="145" t="s">
        <v>2158</v>
      </c>
      <c r="G89" s="145" t="s">
        <v>2159</v>
      </c>
      <c r="H89" s="145" t="s">
        <v>321</v>
      </c>
      <c r="I89" s="145" t="s">
        <v>917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473</v>
      </c>
      <c r="O89" s="145" t="s">
        <v>339</v>
      </c>
      <c r="P89" s="145" t="s">
        <v>1210</v>
      </c>
      <c r="Q89" s="146">
        <v>235900</v>
      </c>
      <c r="R89" s="146">
        <v>1</v>
      </c>
      <c r="S89" s="146">
        <v>15.2</v>
      </c>
      <c r="T89" s="151"/>
      <c r="U89" s="146">
        <v>35.856999999999999</v>
      </c>
      <c r="V89" s="148">
        <v>2.0999999999999999E-3</v>
      </c>
      <c r="W89" s="148">
        <v>1.4999999999999999E-4</v>
      </c>
      <c r="X89" s="149">
        <v>3.0000000000000001E-5</v>
      </c>
      <c r="Y89" s="199"/>
    </row>
    <row r="90" spans="1:25" x14ac:dyDescent="0.2">
      <c r="A90" s="144" t="s">
        <v>1205</v>
      </c>
      <c r="B90" s="145" t="s">
        <v>1205</v>
      </c>
      <c r="C90" s="145" t="s">
        <v>2160</v>
      </c>
      <c r="D90" s="145" t="s">
        <v>2161</v>
      </c>
      <c r="E90" s="145" t="s">
        <v>309</v>
      </c>
      <c r="F90" s="145" t="s">
        <v>2162</v>
      </c>
      <c r="G90" s="145" t="s">
        <v>2163</v>
      </c>
      <c r="H90" s="145" t="s">
        <v>321</v>
      </c>
      <c r="I90" s="145" t="s">
        <v>917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480</v>
      </c>
      <c r="O90" s="145" t="s">
        <v>339</v>
      </c>
      <c r="P90" s="145" t="s">
        <v>1210</v>
      </c>
      <c r="Q90" s="146">
        <v>72000</v>
      </c>
      <c r="R90" s="146">
        <v>1</v>
      </c>
      <c r="S90" s="146">
        <v>40.200000000000003</v>
      </c>
      <c r="T90" s="151"/>
      <c r="U90" s="146">
        <v>28.943999999999999</v>
      </c>
      <c r="V90" s="148">
        <v>3.8999999999999999E-4</v>
      </c>
      <c r="W90" s="148">
        <v>1.2E-4</v>
      </c>
      <c r="X90" s="149">
        <v>3.0000000000000001E-5</v>
      </c>
      <c r="Y90" s="199"/>
    </row>
    <row r="91" spans="1:25" x14ac:dyDescent="0.2">
      <c r="A91" s="144" t="s">
        <v>1205</v>
      </c>
      <c r="B91" s="145" t="s">
        <v>1205</v>
      </c>
      <c r="C91" s="145" t="s">
        <v>2164</v>
      </c>
      <c r="D91" s="145" t="s">
        <v>2165</v>
      </c>
      <c r="E91" s="145" t="s">
        <v>309</v>
      </c>
      <c r="F91" s="145" t="s">
        <v>2166</v>
      </c>
      <c r="G91" s="145" t="s">
        <v>2167</v>
      </c>
      <c r="H91" s="145" t="s">
        <v>321</v>
      </c>
      <c r="I91" s="145" t="s">
        <v>917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460</v>
      </c>
      <c r="O91" s="145" t="s">
        <v>339</v>
      </c>
      <c r="P91" s="145" t="s">
        <v>1210</v>
      </c>
      <c r="Q91" s="146">
        <v>29961</v>
      </c>
      <c r="R91" s="146">
        <v>1</v>
      </c>
      <c r="S91" s="146">
        <v>24.4</v>
      </c>
      <c r="T91" s="151"/>
      <c r="U91" s="146">
        <v>7.31</v>
      </c>
      <c r="V91" s="148">
        <v>1.1199999999999999E-3</v>
      </c>
      <c r="W91" s="148">
        <v>3.0000000000000001E-5</v>
      </c>
      <c r="X91" s="149">
        <v>1.0000000000000001E-5</v>
      </c>
      <c r="Y91" s="199"/>
    </row>
    <row r="92" spans="1:25" x14ac:dyDescent="0.2">
      <c r="A92" s="144" t="s">
        <v>1205</v>
      </c>
      <c r="B92" s="145" t="s">
        <v>1205</v>
      </c>
      <c r="C92" s="145" t="s">
        <v>2168</v>
      </c>
      <c r="D92" s="145" t="s">
        <v>2169</v>
      </c>
      <c r="E92" s="145" t="s">
        <v>309</v>
      </c>
      <c r="F92" s="145" t="s">
        <v>2170</v>
      </c>
      <c r="G92" s="145" t="s">
        <v>2171</v>
      </c>
      <c r="H92" s="145" t="s">
        <v>321</v>
      </c>
      <c r="I92" s="145" t="s">
        <v>917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473</v>
      </c>
      <c r="O92" s="145" t="s">
        <v>339</v>
      </c>
      <c r="P92" s="145" t="s">
        <v>1210</v>
      </c>
      <c r="Q92" s="146">
        <v>0.32</v>
      </c>
      <c r="R92" s="146">
        <v>1</v>
      </c>
      <c r="S92" s="146">
        <v>650.6</v>
      </c>
      <c r="T92" s="151"/>
      <c r="U92" s="146">
        <v>2E-3</v>
      </c>
      <c r="V92" s="148">
        <v>0</v>
      </c>
      <c r="W92" s="148">
        <v>0</v>
      </c>
      <c r="X92" s="149">
        <v>0</v>
      </c>
      <c r="Y92" s="199"/>
    </row>
    <row r="93" spans="1:25" x14ac:dyDescent="0.2">
      <c r="A93" s="144" t="s">
        <v>1205</v>
      </c>
      <c r="B93" s="145" t="s">
        <v>1205</v>
      </c>
      <c r="C93" s="145" t="s">
        <v>2172</v>
      </c>
      <c r="D93" s="145" t="s">
        <v>2173</v>
      </c>
      <c r="E93" s="145" t="s">
        <v>313</v>
      </c>
      <c r="F93" s="145" t="s">
        <v>2172</v>
      </c>
      <c r="G93" s="145" t="s">
        <v>2174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346</v>
      </c>
      <c r="N93" s="145" t="s">
        <v>546</v>
      </c>
      <c r="O93" s="145" t="s">
        <v>339</v>
      </c>
      <c r="P93" s="145" t="s">
        <v>1211</v>
      </c>
      <c r="Q93" s="146">
        <v>3462</v>
      </c>
      <c r="R93" s="146">
        <v>3.718</v>
      </c>
      <c r="S93" s="146">
        <v>37539</v>
      </c>
      <c r="T93" s="151"/>
      <c r="U93" s="146">
        <v>4831.9129999999996</v>
      </c>
      <c r="V93" s="148">
        <v>0</v>
      </c>
      <c r="W93" s="148">
        <v>2.018E-2</v>
      </c>
      <c r="X93" s="149">
        <v>4.5999999999999999E-3</v>
      </c>
      <c r="Y93" s="199"/>
    </row>
    <row r="94" spans="1:25" x14ac:dyDescent="0.2">
      <c r="A94" s="144" t="s">
        <v>1205</v>
      </c>
      <c r="B94" s="145" t="s">
        <v>1205</v>
      </c>
      <c r="C94" s="145" t="s">
        <v>2175</v>
      </c>
      <c r="D94" s="145" t="s">
        <v>2176</v>
      </c>
      <c r="E94" s="145" t="s">
        <v>313</v>
      </c>
      <c r="F94" s="145" t="s">
        <v>2177</v>
      </c>
      <c r="G94" s="145" t="s">
        <v>2178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344</v>
      </c>
      <c r="N94" s="145" t="s">
        <v>539</v>
      </c>
      <c r="O94" s="145" t="s">
        <v>339</v>
      </c>
      <c r="P94" s="145" t="s">
        <v>1211</v>
      </c>
      <c r="Q94" s="146">
        <v>3390</v>
      </c>
      <c r="R94" s="146">
        <v>3.718</v>
      </c>
      <c r="S94" s="146">
        <v>35046</v>
      </c>
      <c r="T94" s="151"/>
      <c r="U94" s="146">
        <v>4417.2049999999999</v>
      </c>
      <c r="V94" s="148">
        <v>0</v>
      </c>
      <c r="W94" s="148">
        <v>1.8450000000000001E-2</v>
      </c>
      <c r="X94" s="149">
        <v>4.1999999999999997E-3</v>
      </c>
      <c r="Y94" s="199"/>
    </row>
    <row r="95" spans="1:25" x14ac:dyDescent="0.2">
      <c r="A95" s="144" t="s">
        <v>1205</v>
      </c>
      <c r="B95" s="145" t="s">
        <v>1205</v>
      </c>
      <c r="C95" s="145" t="s">
        <v>2179</v>
      </c>
      <c r="D95" s="145" t="s">
        <v>2180</v>
      </c>
      <c r="E95" s="145" t="s">
        <v>313</v>
      </c>
      <c r="F95" s="145" t="s">
        <v>2179</v>
      </c>
      <c r="G95" s="145" t="s">
        <v>2181</v>
      </c>
      <c r="H95" s="145" t="s">
        <v>321</v>
      </c>
      <c r="I95" s="145" t="s">
        <v>917</v>
      </c>
      <c r="J95" s="145" t="s">
        <v>205</v>
      </c>
      <c r="K95" s="145" t="s">
        <v>224</v>
      </c>
      <c r="L95" s="145" t="s">
        <v>325</v>
      </c>
      <c r="M95" s="145" t="s">
        <v>346</v>
      </c>
      <c r="N95" s="145" t="s">
        <v>521</v>
      </c>
      <c r="O95" s="145" t="s">
        <v>339</v>
      </c>
      <c r="P95" s="145" t="s">
        <v>1211</v>
      </c>
      <c r="Q95" s="146">
        <v>5878</v>
      </c>
      <c r="R95" s="146">
        <v>3.718</v>
      </c>
      <c r="S95" s="146">
        <v>19026</v>
      </c>
      <c r="T95" s="151"/>
      <c r="U95" s="146">
        <v>4158.0190000000002</v>
      </c>
      <c r="V95" s="148">
        <v>0</v>
      </c>
      <c r="W95" s="148">
        <v>1.737E-2</v>
      </c>
      <c r="X95" s="149">
        <v>3.96E-3</v>
      </c>
      <c r="Y95" s="199"/>
    </row>
    <row r="96" spans="1:25" x14ac:dyDescent="0.2">
      <c r="A96" s="144" t="s">
        <v>1205</v>
      </c>
      <c r="B96" s="145" t="s">
        <v>1205</v>
      </c>
      <c r="C96" s="145" t="s">
        <v>2182</v>
      </c>
      <c r="D96" s="145" t="s">
        <v>2183</v>
      </c>
      <c r="E96" s="145" t="s">
        <v>313</v>
      </c>
      <c r="F96" s="145" t="s">
        <v>2182</v>
      </c>
      <c r="G96" s="145" t="s">
        <v>2184</v>
      </c>
      <c r="H96" s="145" t="s">
        <v>321</v>
      </c>
      <c r="I96" s="145" t="s">
        <v>917</v>
      </c>
      <c r="J96" s="145" t="s">
        <v>205</v>
      </c>
      <c r="K96" s="145" t="s">
        <v>224</v>
      </c>
      <c r="L96" s="145" t="s">
        <v>325</v>
      </c>
      <c r="M96" s="145" t="s">
        <v>346</v>
      </c>
      <c r="N96" s="145" t="s">
        <v>544</v>
      </c>
      <c r="O96" s="145" t="s">
        <v>339</v>
      </c>
      <c r="P96" s="145" t="s">
        <v>1211</v>
      </c>
      <c r="Q96" s="146">
        <v>1909</v>
      </c>
      <c r="R96" s="146">
        <v>3.718</v>
      </c>
      <c r="S96" s="146">
        <v>57636</v>
      </c>
      <c r="T96" s="151"/>
      <c r="U96" s="146">
        <v>4090.808</v>
      </c>
      <c r="V96" s="148">
        <v>0</v>
      </c>
      <c r="W96" s="148">
        <v>1.7090000000000001E-2</v>
      </c>
      <c r="X96" s="149">
        <v>3.8899999999999998E-3</v>
      </c>
      <c r="Y96" s="199"/>
    </row>
    <row r="97" spans="1:25" x14ac:dyDescent="0.2">
      <c r="A97" s="144" t="s">
        <v>1205</v>
      </c>
      <c r="B97" s="145" t="s">
        <v>1205</v>
      </c>
      <c r="C97" s="145" t="s">
        <v>2185</v>
      </c>
      <c r="D97" s="145" t="s">
        <v>2186</v>
      </c>
      <c r="E97" s="145" t="s">
        <v>313</v>
      </c>
      <c r="F97" s="145" t="s">
        <v>2185</v>
      </c>
      <c r="G97" s="145" t="s">
        <v>2187</v>
      </c>
      <c r="H97" s="145" t="s">
        <v>321</v>
      </c>
      <c r="I97" s="145" t="s">
        <v>917</v>
      </c>
      <c r="J97" s="145" t="s">
        <v>205</v>
      </c>
      <c r="K97" s="145" t="s">
        <v>224</v>
      </c>
      <c r="L97" s="145" t="s">
        <v>325</v>
      </c>
      <c r="M97" s="145" t="s">
        <v>346</v>
      </c>
      <c r="N97" s="145" t="s">
        <v>546</v>
      </c>
      <c r="O97" s="145" t="s">
        <v>339</v>
      </c>
      <c r="P97" s="145" t="s">
        <v>1211</v>
      </c>
      <c r="Q97" s="146">
        <v>9501</v>
      </c>
      <c r="R97" s="146">
        <v>3.718</v>
      </c>
      <c r="S97" s="146">
        <v>10838</v>
      </c>
      <c r="T97" s="146">
        <v>9.5000000000000001E-2</v>
      </c>
      <c r="U97" s="146">
        <v>3828.846</v>
      </c>
      <c r="V97" s="148">
        <v>0</v>
      </c>
      <c r="W97" s="148">
        <v>1.5990000000000001E-2</v>
      </c>
      <c r="X97" s="149">
        <v>3.64E-3</v>
      </c>
      <c r="Y97" s="199"/>
    </row>
    <row r="98" spans="1:25" x14ac:dyDescent="0.2">
      <c r="A98" s="144" t="s">
        <v>1205</v>
      </c>
      <c r="B98" s="145" t="s">
        <v>1205</v>
      </c>
      <c r="C98" s="145" t="s">
        <v>2188</v>
      </c>
      <c r="D98" s="145" t="s">
        <v>2189</v>
      </c>
      <c r="E98" s="145" t="s">
        <v>313</v>
      </c>
      <c r="F98" s="145" t="s">
        <v>2188</v>
      </c>
      <c r="G98" s="145" t="s">
        <v>2190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344</v>
      </c>
      <c r="N98" s="145" t="s">
        <v>486</v>
      </c>
      <c r="O98" s="145" t="s">
        <v>339</v>
      </c>
      <c r="P98" s="145" t="s">
        <v>1211</v>
      </c>
      <c r="Q98" s="146">
        <v>13222</v>
      </c>
      <c r="R98" s="146">
        <v>3.718</v>
      </c>
      <c r="S98" s="146">
        <v>7089</v>
      </c>
      <c r="T98" s="151"/>
      <c r="U98" s="146">
        <v>3484.91</v>
      </c>
      <c r="V98" s="148">
        <v>1.0000000000000001E-5</v>
      </c>
      <c r="W98" s="148">
        <v>1.456E-2</v>
      </c>
      <c r="X98" s="149">
        <v>3.31E-3</v>
      </c>
      <c r="Y98" s="199"/>
    </row>
    <row r="99" spans="1:25" x14ac:dyDescent="0.2">
      <c r="A99" s="144" t="s">
        <v>1205</v>
      </c>
      <c r="B99" s="145" t="s">
        <v>1205</v>
      </c>
      <c r="C99" s="145" t="s">
        <v>2191</v>
      </c>
      <c r="D99" s="145" t="s">
        <v>2192</v>
      </c>
      <c r="E99" s="145" t="s">
        <v>309</v>
      </c>
      <c r="F99" s="145" t="s">
        <v>2193</v>
      </c>
      <c r="G99" s="145" t="s">
        <v>2194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344</v>
      </c>
      <c r="N99" s="145" t="s">
        <v>544</v>
      </c>
      <c r="O99" s="145" t="s">
        <v>339</v>
      </c>
      <c r="P99" s="145" t="s">
        <v>1211</v>
      </c>
      <c r="Q99" s="146">
        <v>46363</v>
      </c>
      <c r="R99" s="146">
        <v>3.718</v>
      </c>
      <c r="S99" s="146">
        <v>1943</v>
      </c>
      <c r="T99" s="151"/>
      <c r="U99" s="146">
        <v>3349.297</v>
      </c>
      <c r="V99" s="148">
        <v>2.3000000000000001E-4</v>
      </c>
      <c r="W99" s="148">
        <v>1.3990000000000001E-2</v>
      </c>
      <c r="X99" s="149">
        <v>3.1900000000000001E-3</v>
      </c>
      <c r="Y99" s="199"/>
    </row>
    <row r="100" spans="1:25" x14ac:dyDescent="0.2">
      <c r="A100" s="144" t="s">
        <v>1205</v>
      </c>
      <c r="B100" s="145" t="s">
        <v>1205</v>
      </c>
      <c r="C100" s="145" t="s">
        <v>2195</v>
      </c>
      <c r="D100" s="145" t="s">
        <v>2196</v>
      </c>
      <c r="E100" s="145" t="s">
        <v>313</v>
      </c>
      <c r="F100" s="145" t="s">
        <v>2197</v>
      </c>
      <c r="G100" s="145" t="s">
        <v>2198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346</v>
      </c>
      <c r="N100" s="145" t="s">
        <v>546</v>
      </c>
      <c r="O100" s="145" t="s">
        <v>339</v>
      </c>
      <c r="P100" s="145" t="s">
        <v>1211</v>
      </c>
      <c r="Q100" s="146">
        <v>5763</v>
      </c>
      <c r="R100" s="146">
        <v>3.718</v>
      </c>
      <c r="S100" s="146">
        <v>15623</v>
      </c>
      <c r="T100" s="151"/>
      <c r="U100" s="146">
        <v>3347.5140000000001</v>
      </c>
      <c r="V100" s="148">
        <v>0</v>
      </c>
      <c r="W100" s="148">
        <v>1.3979999999999999E-2</v>
      </c>
      <c r="X100" s="149">
        <v>3.1800000000000001E-3</v>
      </c>
      <c r="Y100" s="199"/>
    </row>
    <row r="101" spans="1:25" x14ac:dyDescent="0.2">
      <c r="A101" s="144" t="s">
        <v>1205</v>
      </c>
      <c r="B101" s="145" t="s">
        <v>1205</v>
      </c>
      <c r="C101" s="145" t="s">
        <v>2199</v>
      </c>
      <c r="D101" s="145" t="s">
        <v>2200</v>
      </c>
      <c r="E101" s="145" t="s">
        <v>313</v>
      </c>
      <c r="F101" s="145" t="s">
        <v>2199</v>
      </c>
      <c r="G101" s="145" t="s">
        <v>2201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346</v>
      </c>
      <c r="N101" s="145" t="s">
        <v>544</v>
      </c>
      <c r="O101" s="145" t="s">
        <v>339</v>
      </c>
      <c r="P101" s="145" t="s">
        <v>1211</v>
      </c>
      <c r="Q101" s="146">
        <v>2309</v>
      </c>
      <c r="R101" s="146">
        <v>3.718</v>
      </c>
      <c r="S101" s="146">
        <v>38353</v>
      </c>
      <c r="T101" s="151"/>
      <c r="U101" s="146">
        <v>3292.5520000000001</v>
      </c>
      <c r="V101" s="148">
        <v>1.0000000000000001E-5</v>
      </c>
      <c r="W101" s="148">
        <v>1.375E-2</v>
      </c>
      <c r="X101" s="149">
        <v>3.13E-3</v>
      </c>
      <c r="Y101" s="199"/>
    </row>
    <row r="102" spans="1:25" x14ac:dyDescent="0.2">
      <c r="A102" s="144" t="s">
        <v>1205</v>
      </c>
      <c r="B102" s="145" t="s">
        <v>1205</v>
      </c>
      <c r="C102" s="145" t="s">
        <v>2202</v>
      </c>
      <c r="D102" s="145" t="s">
        <v>2203</v>
      </c>
      <c r="E102" s="145" t="s">
        <v>313</v>
      </c>
      <c r="F102" s="145" t="s">
        <v>2202</v>
      </c>
      <c r="G102" s="145" t="s">
        <v>2204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497</v>
      </c>
      <c r="O102" s="145" t="s">
        <v>339</v>
      </c>
      <c r="P102" s="145" t="s">
        <v>1211</v>
      </c>
      <c r="Q102" s="146">
        <v>12559</v>
      </c>
      <c r="R102" s="146">
        <v>3.718</v>
      </c>
      <c r="S102" s="146">
        <v>6340</v>
      </c>
      <c r="T102" s="151"/>
      <c r="U102" s="146">
        <v>2960.4229999999998</v>
      </c>
      <c r="V102" s="148">
        <v>1.0000000000000001E-5</v>
      </c>
      <c r="W102" s="148">
        <v>1.2370000000000001E-2</v>
      </c>
      <c r="X102" s="149">
        <v>2.82E-3</v>
      </c>
      <c r="Y102" s="199"/>
    </row>
    <row r="103" spans="1:25" x14ac:dyDescent="0.2">
      <c r="A103" s="144" t="s">
        <v>1205</v>
      </c>
      <c r="B103" s="145" t="s">
        <v>1205</v>
      </c>
      <c r="C103" s="145" t="s">
        <v>2205</v>
      </c>
      <c r="D103" s="145" t="s">
        <v>2206</v>
      </c>
      <c r="E103" s="145" t="s">
        <v>313</v>
      </c>
      <c r="F103" s="145" t="s">
        <v>2207</v>
      </c>
      <c r="G103" s="145" t="s">
        <v>2208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344</v>
      </c>
      <c r="N103" s="145" t="s">
        <v>546</v>
      </c>
      <c r="O103" s="145" t="s">
        <v>339</v>
      </c>
      <c r="P103" s="145" t="s">
        <v>1211</v>
      </c>
      <c r="Q103" s="146">
        <v>4631</v>
      </c>
      <c r="R103" s="146">
        <v>3.718</v>
      </c>
      <c r="S103" s="146">
        <v>16600</v>
      </c>
      <c r="T103" s="146">
        <v>3.2149999999999999</v>
      </c>
      <c r="U103" s="146">
        <v>2870.15</v>
      </c>
      <c r="V103" s="148">
        <v>0</v>
      </c>
      <c r="W103" s="148">
        <v>1.2E-2</v>
      </c>
      <c r="X103" s="149">
        <v>2.7299999999999998E-3</v>
      </c>
      <c r="Y103" s="199"/>
    </row>
    <row r="104" spans="1:25" x14ac:dyDescent="0.2">
      <c r="A104" s="144" t="s">
        <v>1205</v>
      </c>
      <c r="B104" s="145" t="s">
        <v>1205</v>
      </c>
      <c r="C104" s="145" t="s">
        <v>2209</v>
      </c>
      <c r="D104" s="145" t="s">
        <v>2210</v>
      </c>
      <c r="E104" s="145" t="s">
        <v>313</v>
      </c>
      <c r="F104" s="145" t="s">
        <v>2211</v>
      </c>
      <c r="G104" s="145" t="s">
        <v>2212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344</v>
      </c>
      <c r="N104" s="145" t="s">
        <v>539</v>
      </c>
      <c r="O104" s="145" t="s">
        <v>339</v>
      </c>
      <c r="P104" s="145" t="s">
        <v>1211</v>
      </c>
      <c r="Q104" s="146">
        <v>6133</v>
      </c>
      <c r="R104" s="146">
        <v>3.718</v>
      </c>
      <c r="S104" s="146">
        <v>11561</v>
      </c>
      <c r="T104" s="151"/>
      <c r="U104" s="146">
        <v>2636.1959999999999</v>
      </c>
      <c r="V104" s="148">
        <v>1.0000000000000001E-5</v>
      </c>
      <c r="W104" s="148">
        <v>1.1010000000000001E-2</v>
      </c>
      <c r="X104" s="149">
        <v>2.5100000000000001E-3</v>
      </c>
      <c r="Y104" s="199"/>
    </row>
    <row r="105" spans="1:25" x14ac:dyDescent="0.2">
      <c r="A105" s="144" t="s">
        <v>1205</v>
      </c>
      <c r="B105" s="145" t="s">
        <v>1205</v>
      </c>
      <c r="C105" s="145" t="s">
        <v>2213</v>
      </c>
      <c r="D105" s="145" t="s">
        <v>2214</v>
      </c>
      <c r="E105" s="145" t="s">
        <v>313</v>
      </c>
      <c r="F105" s="145" t="s">
        <v>2215</v>
      </c>
      <c r="G105" s="145" t="s">
        <v>2216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344</v>
      </c>
      <c r="N105" s="145" t="s">
        <v>539</v>
      </c>
      <c r="O105" s="145" t="s">
        <v>339</v>
      </c>
      <c r="P105" s="145" t="s">
        <v>1211</v>
      </c>
      <c r="Q105" s="146">
        <v>1247</v>
      </c>
      <c r="R105" s="146">
        <v>3.718</v>
      </c>
      <c r="S105" s="146">
        <v>54812</v>
      </c>
      <c r="T105" s="151"/>
      <c r="U105" s="146">
        <v>2541.2739999999999</v>
      </c>
      <c r="V105" s="148">
        <v>0</v>
      </c>
      <c r="W105" s="148">
        <v>1.0619999999999999E-2</v>
      </c>
      <c r="X105" s="149">
        <v>2.4199999999999998E-3</v>
      </c>
      <c r="Y105" s="199"/>
    </row>
    <row r="106" spans="1:25" x14ac:dyDescent="0.2">
      <c r="A106" s="144" t="s">
        <v>1205</v>
      </c>
      <c r="B106" s="145" t="s">
        <v>1205</v>
      </c>
      <c r="C106" s="145" t="s">
        <v>2217</v>
      </c>
      <c r="D106" s="145" t="s">
        <v>2218</v>
      </c>
      <c r="E106" s="145" t="s">
        <v>313</v>
      </c>
      <c r="F106" s="145" t="s">
        <v>2219</v>
      </c>
      <c r="G106" s="145" t="s">
        <v>2220</v>
      </c>
      <c r="H106" s="145" t="s">
        <v>321</v>
      </c>
      <c r="I106" s="145" t="s">
        <v>917</v>
      </c>
      <c r="J106" s="145" t="s">
        <v>205</v>
      </c>
      <c r="K106" s="145" t="s">
        <v>224</v>
      </c>
      <c r="L106" s="145" t="s">
        <v>325</v>
      </c>
      <c r="M106" s="145" t="s">
        <v>344</v>
      </c>
      <c r="N106" s="145" t="s">
        <v>539</v>
      </c>
      <c r="O106" s="145" t="s">
        <v>339</v>
      </c>
      <c r="P106" s="145" t="s">
        <v>1211</v>
      </c>
      <c r="Q106" s="146">
        <v>1218</v>
      </c>
      <c r="R106" s="146">
        <v>3.718</v>
      </c>
      <c r="S106" s="146">
        <v>53258</v>
      </c>
      <c r="T106" s="151"/>
      <c r="U106" s="146">
        <v>2411.8009999999999</v>
      </c>
      <c r="V106" s="148">
        <v>0</v>
      </c>
      <c r="W106" s="148">
        <v>1.0070000000000001E-2</v>
      </c>
      <c r="X106" s="149">
        <v>2.2899999999999999E-3</v>
      </c>
      <c r="Y106" s="199"/>
    </row>
    <row r="107" spans="1:25" x14ac:dyDescent="0.2">
      <c r="A107" s="144" t="s">
        <v>1205</v>
      </c>
      <c r="B107" s="145" t="s">
        <v>1205</v>
      </c>
      <c r="C107" s="145" t="s">
        <v>2221</v>
      </c>
      <c r="D107" s="145" t="s">
        <v>2222</v>
      </c>
      <c r="E107" s="145" t="s">
        <v>313</v>
      </c>
      <c r="F107" s="145" t="s">
        <v>2221</v>
      </c>
      <c r="G107" s="145" t="s">
        <v>2223</v>
      </c>
      <c r="H107" s="145" t="s">
        <v>321</v>
      </c>
      <c r="I107" s="145" t="s">
        <v>917</v>
      </c>
      <c r="J107" s="145" t="s">
        <v>205</v>
      </c>
      <c r="K107" s="145" t="s">
        <v>224</v>
      </c>
      <c r="L107" s="145" t="s">
        <v>325</v>
      </c>
      <c r="M107" s="145" t="s">
        <v>344</v>
      </c>
      <c r="N107" s="145" t="s">
        <v>546</v>
      </c>
      <c r="O107" s="145" t="s">
        <v>339</v>
      </c>
      <c r="P107" s="145" t="s">
        <v>1211</v>
      </c>
      <c r="Q107" s="146">
        <v>3790</v>
      </c>
      <c r="R107" s="146">
        <v>3.718</v>
      </c>
      <c r="S107" s="146">
        <v>16743</v>
      </c>
      <c r="T107" s="146">
        <v>2.2360000000000002</v>
      </c>
      <c r="U107" s="146">
        <v>2367.607</v>
      </c>
      <c r="V107" s="148">
        <v>0</v>
      </c>
      <c r="W107" s="148">
        <v>9.9000000000000008E-3</v>
      </c>
      <c r="X107" s="149">
        <v>2.2499999999999998E-3</v>
      </c>
      <c r="Y107" s="199"/>
    </row>
    <row r="108" spans="1:25" x14ac:dyDescent="0.2">
      <c r="A108" s="144" t="s">
        <v>1205</v>
      </c>
      <c r="B108" s="145" t="s">
        <v>1205</v>
      </c>
      <c r="C108" s="145" t="s">
        <v>2224</v>
      </c>
      <c r="D108" s="145" t="s">
        <v>2225</v>
      </c>
      <c r="E108" s="145" t="s">
        <v>309</v>
      </c>
      <c r="F108" s="145" t="s">
        <v>2226</v>
      </c>
      <c r="G108" s="145" t="s">
        <v>2227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344</v>
      </c>
      <c r="N108" s="145" t="s">
        <v>458</v>
      </c>
      <c r="O108" s="145" t="s">
        <v>339</v>
      </c>
      <c r="P108" s="145" t="s">
        <v>1211</v>
      </c>
      <c r="Q108" s="146">
        <v>17741.580000000002</v>
      </c>
      <c r="R108" s="146">
        <v>3.718</v>
      </c>
      <c r="S108" s="146">
        <v>13000</v>
      </c>
      <c r="T108" s="151"/>
      <c r="U108" s="146">
        <v>2317.2550000000001</v>
      </c>
      <c r="V108" s="148">
        <v>1.6000000000000001E-4</v>
      </c>
      <c r="W108" s="148">
        <v>9.6799999999999994E-3</v>
      </c>
      <c r="X108" s="149">
        <v>2.2000000000000001E-3</v>
      </c>
      <c r="Y108" s="199"/>
    </row>
    <row r="109" spans="1:25" x14ac:dyDescent="0.2">
      <c r="A109" s="144" t="s">
        <v>1205</v>
      </c>
      <c r="B109" s="145" t="s">
        <v>1205</v>
      </c>
      <c r="C109" s="145" t="s">
        <v>2228</v>
      </c>
      <c r="D109" s="145" t="s">
        <v>2229</v>
      </c>
      <c r="E109" s="145" t="s">
        <v>313</v>
      </c>
      <c r="F109" s="145" t="s">
        <v>2230</v>
      </c>
      <c r="G109" s="145" t="s">
        <v>2231</v>
      </c>
      <c r="H109" s="145" t="s">
        <v>321</v>
      </c>
      <c r="I109" s="145" t="s">
        <v>917</v>
      </c>
      <c r="J109" s="145" t="s">
        <v>205</v>
      </c>
      <c r="K109" s="145" t="s">
        <v>281</v>
      </c>
      <c r="L109" s="145" t="s">
        <v>325</v>
      </c>
      <c r="M109" s="145" t="s">
        <v>364</v>
      </c>
      <c r="N109" s="145" t="s">
        <v>517</v>
      </c>
      <c r="O109" s="145" t="s">
        <v>339</v>
      </c>
      <c r="P109" s="145" t="s">
        <v>1212</v>
      </c>
      <c r="Q109" s="146">
        <v>947</v>
      </c>
      <c r="R109" s="146">
        <v>4.0220000000000002</v>
      </c>
      <c r="S109" s="146">
        <v>57170</v>
      </c>
      <c r="T109" s="151"/>
      <c r="U109" s="146">
        <v>2177.4560000000001</v>
      </c>
      <c r="V109" s="148">
        <v>0</v>
      </c>
      <c r="W109" s="148">
        <v>9.1000000000000004E-3</v>
      </c>
      <c r="X109" s="149">
        <v>2.0699999999999998E-3</v>
      </c>
      <c r="Y109" s="199"/>
    </row>
    <row r="110" spans="1:25" x14ac:dyDescent="0.2">
      <c r="A110" s="144" t="s">
        <v>1205</v>
      </c>
      <c r="B110" s="145" t="s">
        <v>1205</v>
      </c>
      <c r="C110" s="145" t="s">
        <v>2232</v>
      </c>
      <c r="D110" s="145" t="s">
        <v>2233</v>
      </c>
      <c r="E110" s="145" t="s">
        <v>313</v>
      </c>
      <c r="F110" s="145" t="s">
        <v>2232</v>
      </c>
      <c r="G110" s="145" t="s">
        <v>2234</v>
      </c>
      <c r="H110" s="145" t="s">
        <v>321</v>
      </c>
      <c r="I110" s="145" t="s">
        <v>917</v>
      </c>
      <c r="J110" s="145" t="s">
        <v>205</v>
      </c>
      <c r="K110" s="145" t="s">
        <v>224</v>
      </c>
      <c r="L110" s="145" t="s">
        <v>325</v>
      </c>
      <c r="M110" s="145" t="s">
        <v>346</v>
      </c>
      <c r="N110" s="145" t="s">
        <v>544</v>
      </c>
      <c r="O110" s="145" t="s">
        <v>339</v>
      </c>
      <c r="P110" s="145" t="s">
        <v>1211</v>
      </c>
      <c r="Q110" s="146">
        <v>3362</v>
      </c>
      <c r="R110" s="146">
        <v>3.718</v>
      </c>
      <c r="S110" s="146">
        <v>17064</v>
      </c>
      <c r="T110" s="151"/>
      <c r="U110" s="146">
        <v>2132.9859999999999</v>
      </c>
      <c r="V110" s="148">
        <v>1.0000000000000001E-5</v>
      </c>
      <c r="W110" s="148">
        <v>8.9099999999999995E-3</v>
      </c>
      <c r="X110" s="149">
        <v>2.0300000000000001E-3</v>
      </c>
      <c r="Y110" s="199"/>
    </row>
    <row r="111" spans="1:25" x14ac:dyDescent="0.2">
      <c r="A111" s="144" t="s">
        <v>1205</v>
      </c>
      <c r="B111" s="145" t="s">
        <v>1205</v>
      </c>
      <c r="C111" s="145" t="s">
        <v>2235</v>
      </c>
      <c r="D111" s="145" t="s">
        <v>2236</v>
      </c>
      <c r="E111" s="145" t="s">
        <v>313</v>
      </c>
      <c r="F111" s="145" t="s">
        <v>2235</v>
      </c>
      <c r="G111" s="145" t="s">
        <v>2237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346</v>
      </c>
      <c r="N111" s="145" t="s">
        <v>546</v>
      </c>
      <c r="O111" s="145" t="s">
        <v>339</v>
      </c>
      <c r="P111" s="145" t="s">
        <v>1211</v>
      </c>
      <c r="Q111" s="146">
        <v>2483</v>
      </c>
      <c r="R111" s="146">
        <v>3.718</v>
      </c>
      <c r="S111" s="146">
        <v>22213</v>
      </c>
      <c r="T111" s="151"/>
      <c r="U111" s="146">
        <v>2050.6579999999999</v>
      </c>
      <c r="V111" s="148">
        <v>0</v>
      </c>
      <c r="W111" s="148">
        <v>8.5699999999999995E-3</v>
      </c>
      <c r="X111" s="149">
        <v>1.9499999999999999E-3</v>
      </c>
      <c r="Y111" s="199"/>
    </row>
    <row r="112" spans="1:25" x14ac:dyDescent="0.2">
      <c r="A112" s="144" t="s">
        <v>1205</v>
      </c>
      <c r="B112" s="145" t="s">
        <v>1205</v>
      </c>
      <c r="C112" s="145" t="s">
        <v>2238</v>
      </c>
      <c r="D112" s="145" t="s">
        <v>2239</v>
      </c>
      <c r="E112" s="145" t="s">
        <v>313</v>
      </c>
      <c r="F112" s="145" t="s">
        <v>2238</v>
      </c>
      <c r="G112" s="145" t="s">
        <v>2240</v>
      </c>
      <c r="H112" s="145" t="s">
        <v>321</v>
      </c>
      <c r="I112" s="145" t="s">
        <v>917</v>
      </c>
      <c r="J112" s="145" t="s">
        <v>205</v>
      </c>
      <c r="K112" s="145" t="s">
        <v>224</v>
      </c>
      <c r="L112" s="145" t="s">
        <v>325</v>
      </c>
      <c r="M112" s="145" t="s">
        <v>346</v>
      </c>
      <c r="N112" s="145" t="s">
        <v>521</v>
      </c>
      <c r="O112" s="145" t="s">
        <v>339</v>
      </c>
      <c r="P112" s="145" t="s">
        <v>1211</v>
      </c>
      <c r="Q112" s="146">
        <v>573</v>
      </c>
      <c r="R112" s="146">
        <v>3.718</v>
      </c>
      <c r="S112" s="146">
        <v>94578</v>
      </c>
      <c r="T112" s="151"/>
      <c r="U112" s="146">
        <v>2014.903</v>
      </c>
      <c r="V112" s="148">
        <v>0</v>
      </c>
      <c r="W112" s="148">
        <v>8.4200000000000004E-3</v>
      </c>
      <c r="X112" s="149">
        <v>1.92E-3</v>
      </c>
      <c r="Y112" s="199"/>
    </row>
    <row r="113" spans="1:25" x14ac:dyDescent="0.2">
      <c r="A113" s="144" t="s">
        <v>1205</v>
      </c>
      <c r="B113" s="145" t="s">
        <v>1205</v>
      </c>
      <c r="C113" s="145" t="s">
        <v>2241</v>
      </c>
      <c r="D113" s="145" t="s">
        <v>2242</v>
      </c>
      <c r="E113" s="145" t="s">
        <v>313</v>
      </c>
      <c r="F113" s="145" t="s">
        <v>2243</v>
      </c>
      <c r="G113" s="145" t="s">
        <v>2244</v>
      </c>
      <c r="H113" s="145" t="s">
        <v>321</v>
      </c>
      <c r="I113" s="145" t="s">
        <v>917</v>
      </c>
      <c r="J113" s="145" t="s">
        <v>205</v>
      </c>
      <c r="K113" s="145" t="s">
        <v>224</v>
      </c>
      <c r="L113" s="145" t="s">
        <v>325</v>
      </c>
      <c r="M113" s="145" t="s">
        <v>344</v>
      </c>
      <c r="N113" s="145" t="s">
        <v>539</v>
      </c>
      <c r="O113" s="145" t="s">
        <v>339</v>
      </c>
      <c r="P113" s="145" t="s">
        <v>1211</v>
      </c>
      <c r="Q113" s="146">
        <v>3635</v>
      </c>
      <c r="R113" s="146">
        <v>3.718</v>
      </c>
      <c r="S113" s="146">
        <v>13978</v>
      </c>
      <c r="T113" s="151"/>
      <c r="U113" s="146">
        <v>1889.117</v>
      </c>
      <c r="V113" s="148">
        <v>1.0000000000000001E-5</v>
      </c>
      <c r="W113" s="148">
        <v>7.8899999999999994E-3</v>
      </c>
      <c r="X113" s="149">
        <v>1.8E-3</v>
      </c>
      <c r="Y113" s="199"/>
    </row>
    <row r="114" spans="1:25" x14ac:dyDescent="0.2">
      <c r="A114" s="144" t="s">
        <v>1205</v>
      </c>
      <c r="B114" s="145" t="s">
        <v>1205</v>
      </c>
      <c r="C114" s="145" t="s">
        <v>2245</v>
      </c>
      <c r="D114" s="145" t="s">
        <v>2246</v>
      </c>
      <c r="E114" s="145" t="s">
        <v>309</v>
      </c>
      <c r="F114" s="145" t="s">
        <v>2247</v>
      </c>
      <c r="G114" s="145" t="s">
        <v>2248</v>
      </c>
      <c r="H114" s="145" t="s">
        <v>321</v>
      </c>
      <c r="I114" s="145" t="s">
        <v>917</v>
      </c>
      <c r="J114" s="145" t="s">
        <v>205</v>
      </c>
      <c r="K114" s="145" t="s">
        <v>204</v>
      </c>
      <c r="L114" s="145" t="s">
        <v>325</v>
      </c>
      <c r="M114" s="145" t="s">
        <v>344</v>
      </c>
      <c r="N114" s="145" t="s">
        <v>458</v>
      </c>
      <c r="O114" s="145" t="s">
        <v>339</v>
      </c>
      <c r="P114" s="145" t="s">
        <v>1211</v>
      </c>
      <c r="Q114" s="146">
        <v>2750</v>
      </c>
      <c r="R114" s="146">
        <v>3.718</v>
      </c>
      <c r="S114" s="146">
        <v>68020</v>
      </c>
      <c r="T114" s="151"/>
      <c r="U114" s="146">
        <v>1877.066</v>
      </c>
      <c r="V114" s="148">
        <v>9.0000000000000006E-5</v>
      </c>
      <c r="W114" s="148">
        <v>7.8399999999999997E-3</v>
      </c>
      <c r="X114" s="149">
        <v>1.7899999999999999E-3</v>
      </c>
      <c r="Y114" s="199"/>
    </row>
    <row r="115" spans="1:25" x14ac:dyDescent="0.2">
      <c r="A115" s="144" t="s">
        <v>1205</v>
      </c>
      <c r="B115" s="145" t="s">
        <v>1205</v>
      </c>
      <c r="C115" s="145" t="s">
        <v>2249</v>
      </c>
      <c r="D115" s="145" t="s">
        <v>2250</v>
      </c>
      <c r="E115" s="145" t="s">
        <v>313</v>
      </c>
      <c r="F115" s="145" t="s">
        <v>2249</v>
      </c>
      <c r="G115" s="145" t="s">
        <v>2251</v>
      </c>
      <c r="H115" s="145" t="s">
        <v>321</v>
      </c>
      <c r="I115" s="145" t="s">
        <v>917</v>
      </c>
      <c r="J115" s="145" t="s">
        <v>205</v>
      </c>
      <c r="K115" s="145" t="s">
        <v>281</v>
      </c>
      <c r="L115" s="145" t="s">
        <v>325</v>
      </c>
      <c r="M115" s="145" t="s">
        <v>364</v>
      </c>
      <c r="N115" s="145" t="s">
        <v>515</v>
      </c>
      <c r="O115" s="145" t="s">
        <v>339</v>
      </c>
      <c r="P115" s="145" t="s">
        <v>1212</v>
      </c>
      <c r="Q115" s="146">
        <v>190</v>
      </c>
      <c r="R115" s="146">
        <v>4.0220000000000002</v>
      </c>
      <c r="S115" s="146">
        <v>241100</v>
      </c>
      <c r="T115" s="151"/>
      <c r="U115" s="146">
        <v>1842.3920000000001</v>
      </c>
      <c r="V115" s="148">
        <v>0</v>
      </c>
      <c r="W115" s="148">
        <v>7.7000000000000002E-3</v>
      </c>
      <c r="X115" s="149">
        <v>1.75E-3</v>
      </c>
      <c r="Y115" s="199"/>
    </row>
    <row r="116" spans="1:25" x14ac:dyDescent="0.2">
      <c r="A116" s="144" t="s">
        <v>1205</v>
      </c>
      <c r="B116" s="145" t="s">
        <v>1205</v>
      </c>
      <c r="C116" s="145" t="s">
        <v>2252</v>
      </c>
      <c r="D116" s="145" t="s">
        <v>2253</v>
      </c>
      <c r="E116" s="145" t="s">
        <v>313</v>
      </c>
      <c r="F116" s="145" t="s">
        <v>2254</v>
      </c>
      <c r="G116" s="145" t="s">
        <v>2255</v>
      </c>
      <c r="H116" s="145" t="s">
        <v>321</v>
      </c>
      <c r="I116" s="145" t="s">
        <v>917</v>
      </c>
      <c r="J116" s="145" t="s">
        <v>205</v>
      </c>
      <c r="K116" s="145" t="s">
        <v>224</v>
      </c>
      <c r="L116" s="145" t="s">
        <v>325</v>
      </c>
      <c r="M116" s="145" t="s">
        <v>344</v>
      </c>
      <c r="N116" s="145" t="s">
        <v>517</v>
      </c>
      <c r="O116" s="145" t="s">
        <v>339</v>
      </c>
      <c r="P116" s="145" t="s">
        <v>1211</v>
      </c>
      <c r="Q116" s="146">
        <v>5574</v>
      </c>
      <c r="R116" s="146">
        <v>3.718</v>
      </c>
      <c r="S116" s="146">
        <v>8779</v>
      </c>
      <c r="T116" s="146">
        <v>1.31</v>
      </c>
      <c r="U116" s="146">
        <v>1824.242</v>
      </c>
      <c r="V116" s="148">
        <v>0</v>
      </c>
      <c r="W116" s="148">
        <v>7.6299999999999996E-3</v>
      </c>
      <c r="X116" s="149">
        <v>1.74E-3</v>
      </c>
      <c r="Y116" s="199"/>
    </row>
    <row r="117" spans="1:25" x14ac:dyDescent="0.2">
      <c r="A117" s="144" t="s">
        <v>1205</v>
      </c>
      <c r="B117" s="145" t="s">
        <v>1205</v>
      </c>
      <c r="C117" s="145" t="s">
        <v>2256</v>
      </c>
      <c r="D117" s="145" t="s">
        <v>2257</v>
      </c>
      <c r="E117" s="145" t="s">
        <v>313</v>
      </c>
      <c r="F117" s="145" t="s">
        <v>2256</v>
      </c>
      <c r="G117" s="145" t="s">
        <v>2258</v>
      </c>
      <c r="H117" s="145" t="s">
        <v>321</v>
      </c>
      <c r="I117" s="145" t="s">
        <v>917</v>
      </c>
      <c r="J117" s="145" t="s">
        <v>205</v>
      </c>
      <c r="K117" s="145" t="s">
        <v>224</v>
      </c>
      <c r="L117" s="145" t="s">
        <v>325</v>
      </c>
      <c r="M117" s="145" t="s">
        <v>344</v>
      </c>
      <c r="N117" s="145" t="s">
        <v>544</v>
      </c>
      <c r="O117" s="145" t="s">
        <v>339</v>
      </c>
      <c r="P117" s="145" t="s">
        <v>1211</v>
      </c>
      <c r="Q117" s="146">
        <v>1730</v>
      </c>
      <c r="R117" s="146">
        <v>3.718</v>
      </c>
      <c r="S117" s="146">
        <v>26836</v>
      </c>
      <c r="T117" s="151"/>
      <c r="U117" s="146">
        <v>1726.1289999999999</v>
      </c>
      <c r="V117" s="148">
        <v>0</v>
      </c>
      <c r="W117" s="148">
        <v>7.2100000000000003E-3</v>
      </c>
      <c r="X117" s="149">
        <v>1.64E-3</v>
      </c>
      <c r="Y117" s="199"/>
    </row>
    <row r="118" spans="1:25" x14ac:dyDescent="0.2">
      <c r="A118" s="144" t="s">
        <v>1205</v>
      </c>
      <c r="B118" s="145" t="s">
        <v>1205</v>
      </c>
      <c r="C118" s="145" t="s">
        <v>2195</v>
      </c>
      <c r="D118" s="145" t="s">
        <v>2196</v>
      </c>
      <c r="E118" s="145" t="s">
        <v>313</v>
      </c>
      <c r="F118" s="145" t="s">
        <v>2259</v>
      </c>
      <c r="G118" s="145" t="s">
        <v>2260</v>
      </c>
      <c r="H118" s="145" t="s">
        <v>321</v>
      </c>
      <c r="I118" s="145" t="s">
        <v>917</v>
      </c>
      <c r="J118" s="145" t="s">
        <v>205</v>
      </c>
      <c r="K118" s="145" t="s">
        <v>224</v>
      </c>
      <c r="L118" s="145" t="s">
        <v>325</v>
      </c>
      <c r="M118" s="145" t="s">
        <v>346</v>
      </c>
      <c r="N118" s="145" t="s">
        <v>546</v>
      </c>
      <c r="O118" s="145" t="s">
        <v>339</v>
      </c>
      <c r="P118" s="145" t="s">
        <v>1211</v>
      </c>
      <c r="Q118" s="146">
        <v>2652</v>
      </c>
      <c r="R118" s="146">
        <v>3.718</v>
      </c>
      <c r="S118" s="146">
        <v>15464</v>
      </c>
      <c r="T118" s="151"/>
      <c r="U118" s="146">
        <v>1524.771</v>
      </c>
      <c r="V118" s="148">
        <v>0</v>
      </c>
      <c r="W118" s="148">
        <v>6.3699999999999998E-3</v>
      </c>
      <c r="X118" s="149">
        <v>1.4499999999999999E-3</v>
      </c>
      <c r="Y118" s="199"/>
    </row>
    <row r="119" spans="1:25" x14ac:dyDescent="0.2">
      <c r="A119" s="144" t="s">
        <v>1205</v>
      </c>
      <c r="B119" s="145" t="s">
        <v>1205</v>
      </c>
      <c r="C119" s="145" t="s">
        <v>2261</v>
      </c>
      <c r="D119" s="145" t="s">
        <v>2262</v>
      </c>
      <c r="E119" s="145" t="s">
        <v>313</v>
      </c>
      <c r="F119" s="145" t="s">
        <v>2261</v>
      </c>
      <c r="G119" s="145" t="s">
        <v>2263</v>
      </c>
      <c r="H119" s="145" t="s">
        <v>321</v>
      </c>
      <c r="I119" s="145" t="s">
        <v>917</v>
      </c>
      <c r="J119" s="145" t="s">
        <v>205</v>
      </c>
      <c r="K119" s="145" t="s">
        <v>224</v>
      </c>
      <c r="L119" s="145" t="s">
        <v>325</v>
      </c>
      <c r="M119" s="145" t="s">
        <v>344</v>
      </c>
      <c r="N119" s="145" t="s">
        <v>540</v>
      </c>
      <c r="O119" s="145" t="s">
        <v>339</v>
      </c>
      <c r="P119" s="145" t="s">
        <v>1211</v>
      </c>
      <c r="Q119" s="146">
        <v>1441</v>
      </c>
      <c r="R119" s="146">
        <v>3.718</v>
      </c>
      <c r="S119" s="146">
        <v>27183</v>
      </c>
      <c r="T119" s="151"/>
      <c r="U119" s="146">
        <v>1456.367</v>
      </c>
      <c r="V119" s="148">
        <v>0</v>
      </c>
      <c r="W119" s="148">
        <v>6.0800000000000003E-3</v>
      </c>
      <c r="X119" s="149">
        <v>1.39E-3</v>
      </c>
      <c r="Y119" s="199"/>
    </row>
    <row r="120" spans="1:25" x14ac:dyDescent="0.2">
      <c r="A120" s="144" t="s">
        <v>1205</v>
      </c>
      <c r="B120" s="145" t="s">
        <v>1205</v>
      </c>
      <c r="C120" s="145" t="s">
        <v>2264</v>
      </c>
      <c r="D120" s="145" t="s">
        <v>2265</v>
      </c>
      <c r="E120" s="145" t="s">
        <v>313</v>
      </c>
      <c r="F120" s="145" t="s">
        <v>2266</v>
      </c>
      <c r="G120" s="145" t="s">
        <v>2267</v>
      </c>
      <c r="H120" s="145" t="s">
        <v>321</v>
      </c>
      <c r="I120" s="145" t="s">
        <v>917</v>
      </c>
      <c r="J120" s="145" t="s">
        <v>205</v>
      </c>
      <c r="K120" s="145" t="s">
        <v>238</v>
      </c>
      <c r="L120" s="145" t="s">
        <v>325</v>
      </c>
      <c r="M120" s="145" t="s">
        <v>368</v>
      </c>
      <c r="N120" s="145" t="s">
        <v>544</v>
      </c>
      <c r="O120" s="145" t="s">
        <v>339</v>
      </c>
      <c r="P120" s="145" t="s">
        <v>1212</v>
      </c>
      <c r="Q120" s="146">
        <v>1433</v>
      </c>
      <c r="R120" s="146">
        <v>4.0220000000000002</v>
      </c>
      <c r="S120" s="146">
        <v>24440</v>
      </c>
      <c r="T120" s="151"/>
      <c r="U120" s="146">
        <v>1408.5709999999999</v>
      </c>
      <c r="V120" s="148">
        <v>0</v>
      </c>
      <c r="W120" s="148">
        <v>5.8799999999999998E-3</v>
      </c>
      <c r="X120" s="149">
        <v>1.34E-3</v>
      </c>
      <c r="Y120" s="199"/>
    </row>
    <row r="121" spans="1:25" x14ac:dyDescent="0.2">
      <c r="A121" s="144" t="s">
        <v>1205</v>
      </c>
      <c r="B121" s="145" t="s">
        <v>1205</v>
      </c>
      <c r="C121" s="145" t="s">
        <v>2268</v>
      </c>
      <c r="D121" s="145" t="s">
        <v>2269</v>
      </c>
      <c r="E121" s="145" t="s">
        <v>314</v>
      </c>
      <c r="F121" s="145" t="s">
        <v>2268</v>
      </c>
      <c r="G121" s="145" t="s">
        <v>2270</v>
      </c>
      <c r="H121" s="145" t="s">
        <v>321</v>
      </c>
      <c r="I121" s="145" t="s">
        <v>917</v>
      </c>
      <c r="J121" s="145" t="s">
        <v>205</v>
      </c>
      <c r="K121" s="145" t="s">
        <v>224</v>
      </c>
      <c r="L121" s="145" t="s">
        <v>325</v>
      </c>
      <c r="M121" s="145" t="s">
        <v>344</v>
      </c>
      <c r="N121" s="145" t="s">
        <v>544</v>
      </c>
      <c r="O121" s="145" t="s">
        <v>339</v>
      </c>
      <c r="P121" s="145" t="s">
        <v>1211</v>
      </c>
      <c r="Q121" s="146">
        <v>2660</v>
      </c>
      <c r="R121" s="146">
        <v>3.718</v>
      </c>
      <c r="S121" s="146">
        <v>13981</v>
      </c>
      <c r="T121" s="151"/>
      <c r="U121" s="146">
        <v>1382.704</v>
      </c>
      <c r="V121" s="148">
        <v>0</v>
      </c>
      <c r="W121" s="148">
        <v>5.7800000000000004E-3</v>
      </c>
      <c r="X121" s="149">
        <v>1.32E-3</v>
      </c>
      <c r="Y121" s="199"/>
    </row>
    <row r="122" spans="1:25" x14ac:dyDescent="0.2">
      <c r="A122" s="144" t="s">
        <v>1205</v>
      </c>
      <c r="B122" s="145" t="s">
        <v>1205</v>
      </c>
      <c r="C122" s="145" t="s">
        <v>2271</v>
      </c>
      <c r="D122" s="145" t="s">
        <v>2272</v>
      </c>
      <c r="E122" s="145" t="s">
        <v>309</v>
      </c>
      <c r="F122" s="145" t="s">
        <v>2271</v>
      </c>
      <c r="G122" s="145" t="s">
        <v>2273</v>
      </c>
      <c r="H122" s="145" t="s">
        <v>321</v>
      </c>
      <c r="I122" s="145" t="s">
        <v>917</v>
      </c>
      <c r="J122" s="145" t="s">
        <v>205</v>
      </c>
      <c r="K122" s="145" t="s">
        <v>204</v>
      </c>
      <c r="L122" s="145" t="s">
        <v>325</v>
      </c>
      <c r="M122" s="145" t="s">
        <v>344</v>
      </c>
      <c r="N122" s="145" t="s">
        <v>476</v>
      </c>
      <c r="O122" s="145" t="s">
        <v>339</v>
      </c>
      <c r="P122" s="145" t="s">
        <v>1211</v>
      </c>
      <c r="Q122" s="146">
        <v>998</v>
      </c>
      <c r="R122" s="146">
        <v>3.718</v>
      </c>
      <c r="S122" s="146">
        <v>33800</v>
      </c>
      <c r="T122" s="151"/>
      <c r="U122" s="146">
        <v>1254.171</v>
      </c>
      <c r="V122" s="148">
        <v>2.0000000000000002E-5</v>
      </c>
      <c r="W122" s="148">
        <v>5.2399999999999999E-3</v>
      </c>
      <c r="X122" s="149">
        <v>1.1900000000000001E-3</v>
      </c>
      <c r="Y122" s="199"/>
    </row>
    <row r="123" spans="1:25" x14ac:dyDescent="0.2">
      <c r="A123" s="144" t="s">
        <v>1205</v>
      </c>
      <c r="B123" s="145" t="s">
        <v>1205</v>
      </c>
      <c r="C123" s="145" t="s">
        <v>2274</v>
      </c>
      <c r="D123" s="145" t="s">
        <v>2275</v>
      </c>
      <c r="E123" s="145" t="s">
        <v>313</v>
      </c>
      <c r="F123" s="145" t="s">
        <v>2276</v>
      </c>
      <c r="G123" s="145" t="s">
        <v>2277</v>
      </c>
      <c r="H123" s="145" t="s">
        <v>321</v>
      </c>
      <c r="I123" s="145" t="s">
        <v>917</v>
      </c>
      <c r="J123" s="145" t="s">
        <v>205</v>
      </c>
      <c r="K123" s="145" t="s">
        <v>224</v>
      </c>
      <c r="L123" s="145" t="s">
        <v>325</v>
      </c>
      <c r="M123" s="145" t="s">
        <v>344</v>
      </c>
      <c r="N123" s="145" t="s">
        <v>530</v>
      </c>
      <c r="O123" s="145" t="s">
        <v>339</v>
      </c>
      <c r="P123" s="145" t="s">
        <v>1211</v>
      </c>
      <c r="Q123" s="146">
        <v>8385</v>
      </c>
      <c r="R123" s="146">
        <v>3.718</v>
      </c>
      <c r="S123" s="146">
        <v>3874</v>
      </c>
      <c r="T123" s="146">
        <v>3.359</v>
      </c>
      <c r="U123" s="146">
        <v>1220.2270000000001</v>
      </c>
      <c r="V123" s="148">
        <v>0</v>
      </c>
      <c r="W123" s="148">
        <v>5.11E-3</v>
      </c>
      <c r="X123" s="149">
        <v>1.16E-3</v>
      </c>
      <c r="Y123" s="199"/>
    </row>
    <row r="124" spans="1:25" x14ac:dyDescent="0.2">
      <c r="A124" s="144" t="s">
        <v>1205</v>
      </c>
      <c r="B124" s="145" t="s">
        <v>1205</v>
      </c>
      <c r="C124" s="145" t="s">
        <v>2278</v>
      </c>
      <c r="D124" s="145" t="s">
        <v>2279</v>
      </c>
      <c r="E124" s="145" t="s">
        <v>313</v>
      </c>
      <c r="F124" s="145" t="s">
        <v>2278</v>
      </c>
      <c r="G124" s="145" t="s">
        <v>2280</v>
      </c>
      <c r="H124" s="145" t="s">
        <v>321</v>
      </c>
      <c r="I124" s="145" t="s">
        <v>917</v>
      </c>
      <c r="J124" s="145" t="s">
        <v>205</v>
      </c>
      <c r="K124" s="145" t="s">
        <v>224</v>
      </c>
      <c r="L124" s="145" t="s">
        <v>325</v>
      </c>
      <c r="M124" s="145" t="s">
        <v>346</v>
      </c>
      <c r="N124" s="145" t="s">
        <v>546</v>
      </c>
      <c r="O124" s="145" t="s">
        <v>339</v>
      </c>
      <c r="P124" s="145" t="s">
        <v>1211</v>
      </c>
      <c r="Q124" s="146">
        <v>2260</v>
      </c>
      <c r="R124" s="146">
        <v>3.718</v>
      </c>
      <c r="S124" s="146">
        <v>14512</v>
      </c>
      <c r="T124" s="151"/>
      <c r="U124" s="146">
        <v>1219.3969999999999</v>
      </c>
      <c r="V124" s="148">
        <v>0</v>
      </c>
      <c r="W124" s="148">
        <v>5.0899999999999999E-3</v>
      </c>
      <c r="X124" s="149">
        <v>1.16E-3</v>
      </c>
      <c r="Y124" s="199"/>
    </row>
    <row r="125" spans="1:25" x14ac:dyDescent="0.2">
      <c r="A125" s="144" t="s">
        <v>1205</v>
      </c>
      <c r="B125" s="145" t="s">
        <v>1205</v>
      </c>
      <c r="C125" s="145" t="s">
        <v>2281</v>
      </c>
      <c r="D125" s="145" t="s">
        <v>2282</v>
      </c>
      <c r="E125" s="145" t="s">
        <v>309</v>
      </c>
      <c r="F125" s="145" t="s">
        <v>2283</v>
      </c>
      <c r="G125" s="145" t="s">
        <v>2284</v>
      </c>
      <c r="H125" s="145" t="s">
        <v>321</v>
      </c>
      <c r="I125" s="145" t="s">
        <v>917</v>
      </c>
      <c r="J125" s="145" t="s">
        <v>205</v>
      </c>
      <c r="K125" s="145" t="s">
        <v>204</v>
      </c>
      <c r="L125" s="145" t="s">
        <v>325</v>
      </c>
      <c r="M125" s="145" t="s">
        <v>344</v>
      </c>
      <c r="N125" s="145" t="s">
        <v>544</v>
      </c>
      <c r="O125" s="145" t="s">
        <v>339</v>
      </c>
      <c r="P125" s="145" t="s">
        <v>1211</v>
      </c>
      <c r="Q125" s="146">
        <v>1934</v>
      </c>
      <c r="R125" s="146">
        <v>3.718</v>
      </c>
      <c r="S125" s="146">
        <v>16338</v>
      </c>
      <c r="T125" s="151"/>
      <c r="U125" s="146">
        <v>1174.8019999999999</v>
      </c>
      <c r="V125" s="148">
        <v>4.0000000000000003E-5</v>
      </c>
      <c r="W125" s="148">
        <v>4.9100000000000003E-3</v>
      </c>
      <c r="X125" s="149">
        <v>1.1199999999999999E-3</v>
      </c>
      <c r="Y125" s="199"/>
    </row>
    <row r="126" spans="1:25" x14ac:dyDescent="0.2">
      <c r="A126" s="144" t="s">
        <v>1205</v>
      </c>
      <c r="B126" s="145" t="s">
        <v>1205</v>
      </c>
      <c r="C126" s="145" t="s">
        <v>2285</v>
      </c>
      <c r="D126" s="145" t="s">
        <v>2286</v>
      </c>
      <c r="E126" s="145" t="s">
        <v>313</v>
      </c>
      <c r="F126" s="145" t="s">
        <v>2285</v>
      </c>
      <c r="G126" s="145" t="s">
        <v>2287</v>
      </c>
      <c r="H126" s="145" t="s">
        <v>321</v>
      </c>
      <c r="I126" s="145" t="s">
        <v>917</v>
      </c>
      <c r="J126" s="145" t="s">
        <v>205</v>
      </c>
      <c r="K126" s="145" t="s">
        <v>224</v>
      </c>
      <c r="L126" s="145" t="s">
        <v>325</v>
      </c>
      <c r="M126" s="145" t="s">
        <v>344</v>
      </c>
      <c r="N126" s="145" t="s">
        <v>533</v>
      </c>
      <c r="O126" s="145" t="s">
        <v>339</v>
      </c>
      <c r="P126" s="145" t="s">
        <v>1211</v>
      </c>
      <c r="Q126" s="146">
        <v>379</v>
      </c>
      <c r="R126" s="146">
        <v>3.718</v>
      </c>
      <c r="S126" s="146">
        <v>82591</v>
      </c>
      <c r="T126" s="151"/>
      <c r="U126" s="146">
        <v>1163.808</v>
      </c>
      <c r="V126" s="148">
        <v>0</v>
      </c>
      <c r="W126" s="148">
        <v>4.8599999999999997E-3</v>
      </c>
      <c r="X126" s="149">
        <v>1.1100000000000001E-3</v>
      </c>
      <c r="Y126" s="199"/>
    </row>
    <row r="127" spans="1:25" x14ac:dyDescent="0.2">
      <c r="A127" s="144" t="s">
        <v>1205</v>
      </c>
      <c r="B127" s="145" t="s">
        <v>1205</v>
      </c>
      <c r="C127" s="145" t="s">
        <v>2288</v>
      </c>
      <c r="D127" s="145" t="s">
        <v>2289</v>
      </c>
      <c r="E127" s="145" t="s">
        <v>313</v>
      </c>
      <c r="F127" s="145" t="s">
        <v>2288</v>
      </c>
      <c r="G127" s="145" t="s">
        <v>2290</v>
      </c>
      <c r="H127" s="145" t="s">
        <v>321</v>
      </c>
      <c r="I127" s="145" t="s">
        <v>917</v>
      </c>
      <c r="J127" s="145" t="s">
        <v>205</v>
      </c>
      <c r="K127" s="145" t="s">
        <v>224</v>
      </c>
      <c r="L127" s="145" t="s">
        <v>325</v>
      </c>
      <c r="M127" s="145" t="s">
        <v>344</v>
      </c>
      <c r="N127" s="145" t="s">
        <v>546</v>
      </c>
      <c r="O127" s="145" t="s">
        <v>339</v>
      </c>
      <c r="P127" s="145" t="s">
        <v>1211</v>
      </c>
      <c r="Q127" s="146">
        <v>4241</v>
      </c>
      <c r="R127" s="146">
        <v>3.718</v>
      </c>
      <c r="S127" s="146">
        <v>7220</v>
      </c>
      <c r="T127" s="151"/>
      <c r="U127" s="146">
        <v>1138.452</v>
      </c>
      <c r="V127" s="148">
        <v>1.0000000000000001E-5</v>
      </c>
      <c r="W127" s="148">
        <v>4.7600000000000003E-3</v>
      </c>
      <c r="X127" s="149">
        <v>1.08E-3</v>
      </c>
      <c r="Y127" s="199"/>
    </row>
    <row r="128" spans="1:25" x14ac:dyDescent="0.2">
      <c r="A128" s="144" t="s">
        <v>1205</v>
      </c>
      <c r="B128" s="145" t="s">
        <v>1205</v>
      </c>
      <c r="C128" s="145" t="s">
        <v>2291</v>
      </c>
      <c r="D128" s="145" t="s">
        <v>2292</v>
      </c>
      <c r="E128" s="145" t="s">
        <v>313</v>
      </c>
      <c r="F128" s="145" t="s">
        <v>2291</v>
      </c>
      <c r="G128" s="145" t="s">
        <v>2293</v>
      </c>
      <c r="H128" s="145" t="s">
        <v>321</v>
      </c>
      <c r="I128" s="145" t="s">
        <v>917</v>
      </c>
      <c r="J128" s="145" t="s">
        <v>205</v>
      </c>
      <c r="K128" s="145" t="s">
        <v>224</v>
      </c>
      <c r="L128" s="145" t="s">
        <v>325</v>
      </c>
      <c r="M128" s="145" t="s">
        <v>344</v>
      </c>
      <c r="N128" s="145" t="s">
        <v>568</v>
      </c>
      <c r="O128" s="145" t="s">
        <v>339</v>
      </c>
      <c r="P128" s="145" t="s">
        <v>1211</v>
      </c>
      <c r="Q128" s="146">
        <v>2635</v>
      </c>
      <c r="R128" s="146">
        <v>3.718</v>
      </c>
      <c r="S128" s="146">
        <v>11179</v>
      </c>
      <c r="T128" s="146">
        <v>2.661</v>
      </c>
      <c r="U128" s="146">
        <v>1105.0940000000001</v>
      </c>
      <c r="V128" s="148">
        <v>0</v>
      </c>
      <c r="W128" s="148">
        <v>4.6299999999999996E-3</v>
      </c>
      <c r="X128" s="149">
        <v>1.0499999999999999E-3</v>
      </c>
      <c r="Y128" s="199"/>
    </row>
    <row r="129" spans="1:25" x14ac:dyDescent="0.2">
      <c r="A129" s="144" t="s">
        <v>1205</v>
      </c>
      <c r="B129" s="145" t="s">
        <v>1205</v>
      </c>
      <c r="C129" s="145" t="s">
        <v>2294</v>
      </c>
      <c r="D129" s="145" t="s">
        <v>2295</v>
      </c>
      <c r="E129" s="145" t="s">
        <v>313</v>
      </c>
      <c r="F129" s="145" t="s">
        <v>2294</v>
      </c>
      <c r="G129" s="145" t="s">
        <v>2296</v>
      </c>
      <c r="H129" s="145" t="s">
        <v>321</v>
      </c>
      <c r="I129" s="145" t="s">
        <v>917</v>
      </c>
      <c r="J129" s="145" t="s">
        <v>205</v>
      </c>
      <c r="K129" s="145" t="s">
        <v>296</v>
      </c>
      <c r="L129" s="145" t="s">
        <v>325</v>
      </c>
      <c r="M129" s="145" t="s">
        <v>380</v>
      </c>
      <c r="N129" s="145" t="s">
        <v>539</v>
      </c>
      <c r="O129" s="145" t="s">
        <v>339</v>
      </c>
      <c r="P129" s="145" t="s">
        <v>1215</v>
      </c>
      <c r="Q129" s="146">
        <v>8809</v>
      </c>
      <c r="R129" s="146">
        <v>4.8109999999999999</v>
      </c>
      <c r="S129" s="146">
        <v>2540</v>
      </c>
      <c r="T129" s="151"/>
      <c r="U129" s="146">
        <v>1076.4100000000001</v>
      </c>
      <c r="V129" s="148">
        <v>1.2E-4</v>
      </c>
      <c r="W129" s="148">
        <v>4.4999999999999997E-3</v>
      </c>
      <c r="X129" s="149">
        <v>1.0200000000000001E-3</v>
      </c>
      <c r="Y129" s="199"/>
    </row>
    <row r="130" spans="1:25" x14ac:dyDescent="0.2">
      <c r="A130" s="144" t="s">
        <v>1205</v>
      </c>
      <c r="B130" s="145" t="s">
        <v>1205</v>
      </c>
      <c r="C130" s="145" t="s">
        <v>2297</v>
      </c>
      <c r="D130" s="145" t="s">
        <v>2298</v>
      </c>
      <c r="E130" s="145" t="s">
        <v>313</v>
      </c>
      <c r="F130" s="145" t="s">
        <v>2297</v>
      </c>
      <c r="G130" s="145" t="s">
        <v>2299</v>
      </c>
      <c r="H130" s="145" t="s">
        <v>321</v>
      </c>
      <c r="I130" s="145" t="s">
        <v>917</v>
      </c>
      <c r="J130" s="145" t="s">
        <v>205</v>
      </c>
      <c r="K130" s="145" t="s">
        <v>224</v>
      </c>
      <c r="L130" s="145" t="s">
        <v>325</v>
      </c>
      <c r="M130" s="145" t="s">
        <v>344</v>
      </c>
      <c r="N130" s="145" t="s">
        <v>472</v>
      </c>
      <c r="O130" s="145" t="s">
        <v>339</v>
      </c>
      <c r="P130" s="145" t="s">
        <v>1211</v>
      </c>
      <c r="Q130" s="146">
        <v>3679</v>
      </c>
      <c r="R130" s="146">
        <v>3.718</v>
      </c>
      <c r="S130" s="146">
        <v>7286</v>
      </c>
      <c r="T130" s="151"/>
      <c r="U130" s="146">
        <v>996.61699999999996</v>
      </c>
      <c r="V130" s="148">
        <v>0</v>
      </c>
      <c r="W130" s="148">
        <v>4.1599999999999996E-3</v>
      </c>
      <c r="X130" s="149">
        <v>9.5E-4</v>
      </c>
      <c r="Y130" s="199"/>
    </row>
    <row r="131" spans="1:25" x14ac:dyDescent="0.2">
      <c r="A131" s="144" t="s">
        <v>1205</v>
      </c>
      <c r="B131" s="145" t="s">
        <v>1205</v>
      </c>
      <c r="C131" s="145" t="s">
        <v>2300</v>
      </c>
      <c r="D131" s="145" t="s">
        <v>2301</v>
      </c>
      <c r="E131" s="145" t="s">
        <v>313</v>
      </c>
      <c r="F131" s="145" t="s">
        <v>2300</v>
      </c>
      <c r="G131" s="145" t="s">
        <v>2302</v>
      </c>
      <c r="H131" s="145" t="s">
        <v>321</v>
      </c>
      <c r="I131" s="145" t="s">
        <v>917</v>
      </c>
      <c r="J131" s="145" t="s">
        <v>205</v>
      </c>
      <c r="K131" s="145" t="s">
        <v>224</v>
      </c>
      <c r="L131" s="145" t="s">
        <v>325</v>
      </c>
      <c r="M131" s="145" t="s">
        <v>344</v>
      </c>
      <c r="N131" s="145" t="s">
        <v>515</v>
      </c>
      <c r="O131" s="145" t="s">
        <v>339</v>
      </c>
      <c r="P131" s="145" t="s">
        <v>1211</v>
      </c>
      <c r="Q131" s="146">
        <v>4018</v>
      </c>
      <c r="R131" s="146">
        <v>3.718</v>
      </c>
      <c r="S131" s="146">
        <v>6348</v>
      </c>
      <c r="T131" s="146">
        <v>3.089</v>
      </c>
      <c r="U131" s="146">
        <v>959.80899999999997</v>
      </c>
      <c r="V131" s="148">
        <v>0</v>
      </c>
      <c r="W131" s="148">
        <v>4.0200000000000001E-3</v>
      </c>
      <c r="X131" s="149">
        <v>9.2000000000000003E-4</v>
      </c>
      <c r="Y131" s="199"/>
    </row>
    <row r="132" spans="1:25" x14ac:dyDescent="0.2">
      <c r="A132" s="144" t="s">
        <v>1205</v>
      </c>
      <c r="B132" s="145" t="s">
        <v>1205</v>
      </c>
      <c r="C132" s="145" t="s">
        <v>2303</v>
      </c>
      <c r="D132" s="145" t="s">
        <v>2304</v>
      </c>
      <c r="E132" s="145" t="s">
        <v>313</v>
      </c>
      <c r="F132" s="145" t="s">
        <v>2305</v>
      </c>
      <c r="G132" s="145" t="s">
        <v>2306</v>
      </c>
      <c r="H132" s="145" t="s">
        <v>321</v>
      </c>
      <c r="I132" s="145" t="s">
        <v>917</v>
      </c>
      <c r="J132" s="145" t="s">
        <v>205</v>
      </c>
      <c r="K132" s="145" t="s">
        <v>281</v>
      </c>
      <c r="L132" s="145" t="s">
        <v>325</v>
      </c>
      <c r="M132" s="145" t="s">
        <v>364</v>
      </c>
      <c r="N132" s="145" t="s">
        <v>517</v>
      </c>
      <c r="O132" s="145" t="s">
        <v>339</v>
      </c>
      <c r="P132" s="145" t="s">
        <v>1212</v>
      </c>
      <c r="Q132" s="146">
        <v>687</v>
      </c>
      <c r="R132" s="146">
        <v>4.0220000000000002</v>
      </c>
      <c r="S132" s="146">
        <v>34285</v>
      </c>
      <c r="T132" s="151"/>
      <c r="U132" s="146">
        <v>947.31</v>
      </c>
      <c r="V132" s="148">
        <v>0</v>
      </c>
      <c r="W132" s="148">
        <v>3.96E-3</v>
      </c>
      <c r="X132" s="149">
        <v>8.9999999999999998E-4</v>
      </c>
      <c r="Y132" s="199"/>
    </row>
    <row r="133" spans="1:25" x14ac:dyDescent="0.2">
      <c r="A133" s="144" t="s">
        <v>1205</v>
      </c>
      <c r="B133" s="145" t="s">
        <v>1205</v>
      </c>
      <c r="C133" s="145" t="s">
        <v>1887</v>
      </c>
      <c r="D133" s="145" t="s">
        <v>1888</v>
      </c>
      <c r="E133" s="145" t="s">
        <v>309</v>
      </c>
      <c r="F133" s="145" t="s">
        <v>2307</v>
      </c>
      <c r="G133" s="145" t="s">
        <v>2308</v>
      </c>
      <c r="H133" s="145" t="s">
        <v>321</v>
      </c>
      <c r="I133" s="145" t="s">
        <v>917</v>
      </c>
      <c r="J133" s="145" t="s">
        <v>205</v>
      </c>
      <c r="K133" s="145" t="s">
        <v>204</v>
      </c>
      <c r="L133" s="145" t="s">
        <v>325</v>
      </c>
      <c r="M133" s="145" t="s">
        <v>344</v>
      </c>
      <c r="N133" s="145" t="s">
        <v>480</v>
      </c>
      <c r="O133" s="145" t="s">
        <v>339</v>
      </c>
      <c r="P133" s="145" t="s">
        <v>1211</v>
      </c>
      <c r="Q133" s="146">
        <v>1604</v>
      </c>
      <c r="R133" s="146">
        <v>3.718</v>
      </c>
      <c r="S133" s="146">
        <v>15417</v>
      </c>
      <c r="T133" s="151"/>
      <c r="U133" s="146">
        <v>919.41899999999998</v>
      </c>
      <c r="V133" s="148">
        <v>3.0000000000000001E-5</v>
      </c>
      <c r="W133" s="148">
        <v>3.8400000000000001E-3</v>
      </c>
      <c r="X133" s="149">
        <v>8.7000000000000001E-4</v>
      </c>
      <c r="Y133" s="199"/>
    </row>
    <row r="134" spans="1:25" x14ac:dyDescent="0.2">
      <c r="A134" s="144" t="s">
        <v>1205</v>
      </c>
      <c r="B134" s="145" t="s">
        <v>1205</v>
      </c>
      <c r="C134" s="145" t="s">
        <v>1881</v>
      </c>
      <c r="D134" s="145" t="s">
        <v>1882</v>
      </c>
      <c r="E134" s="145" t="s">
        <v>309</v>
      </c>
      <c r="F134" s="145" t="s">
        <v>2309</v>
      </c>
      <c r="G134" s="145" t="s">
        <v>2310</v>
      </c>
      <c r="H134" s="145" t="s">
        <v>321</v>
      </c>
      <c r="I134" s="145" t="s">
        <v>917</v>
      </c>
      <c r="J134" s="145" t="s">
        <v>205</v>
      </c>
      <c r="K134" s="145" t="s">
        <v>204</v>
      </c>
      <c r="L134" s="145" t="s">
        <v>325</v>
      </c>
      <c r="M134" s="145" t="s">
        <v>344</v>
      </c>
      <c r="N134" s="145" t="s">
        <v>467</v>
      </c>
      <c r="O134" s="145" t="s">
        <v>339</v>
      </c>
      <c r="P134" s="145" t="s">
        <v>1211</v>
      </c>
      <c r="Q134" s="146">
        <v>16022</v>
      </c>
      <c r="R134" s="146">
        <v>3.718</v>
      </c>
      <c r="S134" s="146">
        <v>1537</v>
      </c>
      <c r="T134" s="151"/>
      <c r="U134" s="146">
        <v>915.58799999999997</v>
      </c>
      <c r="V134" s="148">
        <v>1.0000000000000001E-5</v>
      </c>
      <c r="W134" s="148">
        <v>3.82E-3</v>
      </c>
      <c r="X134" s="149">
        <v>8.7000000000000001E-4</v>
      </c>
      <c r="Y134" s="199"/>
    </row>
    <row r="135" spans="1:25" x14ac:dyDescent="0.2">
      <c r="A135" s="144" t="s">
        <v>1205</v>
      </c>
      <c r="B135" s="145" t="s">
        <v>1205</v>
      </c>
      <c r="C135" s="145" t="s">
        <v>2311</v>
      </c>
      <c r="D135" s="145" t="s">
        <v>2312</v>
      </c>
      <c r="E135" s="145" t="s">
        <v>313</v>
      </c>
      <c r="F135" s="145" t="s">
        <v>2313</v>
      </c>
      <c r="G135" s="145" t="s">
        <v>2314</v>
      </c>
      <c r="H135" s="145" t="s">
        <v>321</v>
      </c>
      <c r="I135" s="145" t="s">
        <v>917</v>
      </c>
      <c r="J135" s="145" t="s">
        <v>205</v>
      </c>
      <c r="K135" s="145" t="s">
        <v>224</v>
      </c>
      <c r="L135" s="145" t="s">
        <v>325</v>
      </c>
      <c r="M135" s="145" t="s">
        <v>344</v>
      </c>
      <c r="N135" s="145" t="s">
        <v>544</v>
      </c>
      <c r="O135" s="145" t="s">
        <v>339</v>
      </c>
      <c r="P135" s="145" t="s">
        <v>1211</v>
      </c>
      <c r="Q135" s="146">
        <v>1491</v>
      </c>
      <c r="R135" s="146">
        <v>3.718</v>
      </c>
      <c r="S135" s="146">
        <v>14616</v>
      </c>
      <c r="T135" s="151"/>
      <c r="U135" s="146">
        <v>810.24400000000003</v>
      </c>
      <c r="V135" s="148">
        <v>0</v>
      </c>
      <c r="W135" s="148">
        <v>3.3800000000000002E-3</v>
      </c>
      <c r="X135" s="149">
        <v>7.6999999999999996E-4</v>
      </c>
      <c r="Y135" s="199"/>
    </row>
    <row r="136" spans="1:25" x14ac:dyDescent="0.2">
      <c r="A136" s="144" t="s">
        <v>1205</v>
      </c>
      <c r="B136" s="145" t="s">
        <v>1205</v>
      </c>
      <c r="C136" s="145" t="s">
        <v>2315</v>
      </c>
      <c r="D136" s="145" t="s">
        <v>2316</v>
      </c>
      <c r="E136" s="145" t="s">
        <v>309</v>
      </c>
      <c r="F136" s="145" t="s">
        <v>2317</v>
      </c>
      <c r="G136" s="145" t="s">
        <v>2318</v>
      </c>
      <c r="H136" s="145" t="s">
        <v>321</v>
      </c>
      <c r="I136" s="145" t="s">
        <v>917</v>
      </c>
      <c r="J136" s="145" t="s">
        <v>205</v>
      </c>
      <c r="K136" s="145" t="s">
        <v>204</v>
      </c>
      <c r="L136" s="145" t="s">
        <v>325</v>
      </c>
      <c r="M136" s="145" t="s">
        <v>344</v>
      </c>
      <c r="N136" s="145" t="s">
        <v>458</v>
      </c>
      <c r="O136" s="145" t="s">
        <v>339</v>
      </c>
      <c r="P136" s="145" t="s">
        <v>1211</v>
      </c>
      <c r="Q136" s="146">
        <v>3703</v>
      </c>
      <c r="R136" s="146">
        <v>3.718</v>
      </c>
      <c r="S136" s="146">
        <v>5863</v>
      </c>
      <c r="T136" s="151"/>
      <c r="U136" s="146">
        <v>807.20299999999997</v>
      </c>
      <c r="V136" s="148">
        <v>8.0000000000000007E-5</v>
      </c>
      <c r="W136" s="148">
        <v>3.3700000000000002E-3</v>
      </c>
      <c r="X136" s="149">
        <v>7.6999999999999996E-4</v>
      </c>
      <c r="Y136" s="199"/>
    </row>
    <row r="137" spans="1:25" x14ac:dyDescent="0.2">
      <c r="A137" s="144" t="s">
        <v>1205</v>
      </c>
      <c r="B137" s="145" t="s">
        <v>1205</v>
      </c>
      <c r="C137" s="145" t="s">
        <v>2319</v>
      </c>
      <c r="D137" s="145" t="s">
        <v>2320</v>
      </c>
      <c r="E137" s="145" t="s">
        <v>313</v>
      </c>
      <c r="F137" s="145" t="s">
        <v>2321</v>
      </c>
      <c r="G137" s="145" t="s">
        <v>2322</v>
      </c>
      <c r="H137" s="145" t="s">
        <v>321</v>
      </c>
      <c r="I137" s="145" t="s">
        <v>917</v>
      </c>
      <c r="J137" s="145" t="s">
        <v>205</v>
      </c>
      <c r="K137" s="145" t="s">
        <v>224</v>
      </c>
      <c r="L137" s="145" t="s">
        <v>325</v>
      </c>
      <c r="M137" s="145" t="s">
        <v>344</v>
      </c>
      <c r="N137" s="145" t="s">
        <v>489</v>
      </c>
      <c r="O137" s="145" t="s">
        <v>339</v>
      </c>
      <c r="P137" s="145" t="s">
        <v>1211</v>
      </c>
      <c r="Q137" s="146">
        <v>26467</v>
      </c>
      <c r="R137" s="146">
        <v>3.718</v>
      </c>
      <c r="S137" s="146">
        <v>702</v>
      </c>
      <c r="T137" s="151"/>
      <c r="U137" s="146">
        <v>690.798</v>
      </c>
      <c r="V137" s="148">
        <v>2.5400000000000002E-3</v>
      </c>
      <c r="W137" s="148">
        <v>2.8900000000000002E-3</v>
      </c>
      <c r="X137" s="149">
        <v>6.6E-4</v>
      </c>
      <c r="Y137" s="199"/>
    </row>
    <row r="138" spans="1:25" x14ac:dyDescent="0.2">
      <c r="A138" s="144" t="s">
        <v>1205</v>
      </c>
      <c r="B138" s="145" t="s">
        <v>1205</v>
      </c>
      <c r="C138" s="145" t="s">
        <v>2323</v>
      </c>
      <c r="D138" s="145" t="s">
        <v>2324</v>
      </c>
      <c r="E138" s="145" t="s">
        <v>313</v>
      </c>
      <c r="F138" s="145" t="s">
        <v>2325</v>
      </c>
      <c r="G138" s="145" t="s">
        <v>2326</v>
      </c>
      <c r="H138" s="145" t="s">
        <v>321</v>
      </c>
      <c r="I138" s="145" t="s">
        <v>917</v>
      </c>
      <c r="J138" s="145" t="s">
        <v>205</v>
      </c>
      <c r="K138" s="145" t="s">
        <v>224</v>
      </c>
      <c r="L138" s="145" t="s">
        <v>325</v>
      </c>
      <c r="M138" s="145" t="s">
        <v>344</v>
      </c>
      <c r="N138" s="145" t="s">
        <v>548</v>
      </c>
      <c r="O138" s="145" t="s">
        <v>339</v>
      </c>
      <c r="P138" s="145" t="s">
        <v>1211</v>
      </c>
      <c r="Q138" s="146">
        <v>4707</v>
      </c>
      <c r="R138" s="146">
        <v>3.718</v>
      </c>
      <c r="S138" s="146">
        <v>1618</v>
      </c>
      <c r="T138" s="151"/>
      <c r="U138" s="146">
        <v>283.16000000000003</v>
      </c>
      <c r="V138" s="148">
        <v>8.0000000000000007E-5</v>
      </c>
      <c r="W138" s="148">
        <v>1.1800000000000001E-3</v>
      </c>
      <c r="X138" s="149">
        <v>2.7E-4</v>
      </c>
      <c r="Y138" s="199"/>
    </row>
    <row r="139" spans="1:25" x14ac:dyDescent="0.2">
      <c r="A139" s="144" t="s">
        <v>1205</v>
      </c>
      <c r="B139" s="145" t="s">
        <v>1205</v>
      </c>
      <c r="C139" s="145" t="s">
        <v>2327</v>
      </c>
      <c r="D139" s="145" t="s">
        <v>2328</v>
      </c>
      <c r="E139" s="145" t="s">
        <v>313</v>
      </c>
      <c r="F139" s="145" t="s">
        <v>2329</v>
      </c>
      <c r="G139" s="145" t="s">
        <v>2330</v>
      </c>
      <c r="H139" s="145" t="s">
        <v>321</v>
      </c>
      <c r="I139" s="145" t="s">
        <v>917</v>
      </c>
      <c r="J139" s="145" t="s">
        <v>205</v>
      </c>
      <c r="K139" s="145" t="s">
        <v>224</v>
      </c>
      <c r="L139" s="145" t="s">
        <v>325</v>
      </c>
      <c r="M139" s="145" t="s">
        <v>344</v>
      </c>
      <c r="N139" s="145" t="s">
        <v>544</v>
      </c>
      <c r="O139" s="145" t="s">
        <v>339</v>
      </c>
      <c r="P139" s="145" t="s">
        <v>1211</v>
      </c>
      <c r="Q139" s="146">
        <v>527</v>
      </c>
      <c r="R139" s="146">
        <v>3.718</v>
      </c>
      <c r="S139" s="146">
        <v>1818</v>
      </c>
      <c r="T139" s="151"/>
      <c r="U139" s="146">
        <v>35.622</v>
      </c>
      <c r="V139" s="148">
        <v>1.7899999999999999E-3</v>
      </c>
      <c r="W139" s="148">
        <v>1.4999999999999999E-4</v>
      </c>
      <c r="X139" s="149">
        <v>3.0000000000000001E-5</v>
      </c>
      <c r="Y139" s="199"/>
    </row>
    <row r="140" spans="1:25" x14ac:dyDescent="0.2">
      <c r="A140" s="144" t="s">
        <v>1205</v>
      </c>
      <c r="B140" s="145" t="s">
        <v>1205</v>
      </c>
      <c r="C140" s="145" t="s">
        <v>2331</v>
      </c>
      <c r="D140" s="145" t="s">
        <v>2332</v>
      </c>
      <c r="E140" s="145" t="s">
        <v>313</v>
      </c>
      <c r="F140" s="145" t="s">
        <v>2331</v>
      </c>
      <c r="G140" s="145" t="s">
        <v>2333</v>
      </c>
      <c r="H140" s="145" t="s">
        <v>321</v>
      </c>
      <c r="I140" s="145" t="s">
        <v>917</v>
      </c>
      <c r="J140" s="145" t="s">
        <v>205</v>
      </c>
      <c r="K140" s="145" t="s">
        <v>238</v>
      </c>
      <c r="L140" s="145" t="s">
        <v>325</v>
      </c>
      <c r="M140" s="145" t="s">
        <v>368</v>
      </c>
      <c r="N140" s="145" t="s">
        <v>510</v>
      </c>
      <c r="O140" s="145" t="s">
        <v>339</v>
      </c>
      <c r="P140" s="145" t="s">
        <v>1212</v>
      </c>
      <c r="Q140" s="146">
        <v>47</v>
      </c>
      <c r="R140" s="146">
        <v>4.0220000000000002</v>
      </c>
      <c r="S140" s="146">
        <v>3712</v>
      </c>
      <c r="T140" s="151"/>
      <c r="U140" s="146">
        <v>7.0170000000000003</v>
      </c>
      <c r="V140" s="148">
        <v>0</v>
      </c>
      <c r="W140" s="148">
        <v>3.0000000000000001E-5</v>
      </c>
      <c r="X140" s="149">
        <v>1.0000000000000001E-5</v>
      </c>
      <c r="Y140" s="199"/>
    </row>
    <row r="141" spans="1:25" x14ac:dyDescent="0.2">
      <c r="A141" s="144" t="s">
        <v>1205</v>
      </c>
      <c r="B141" s="145" t="s">
        <v>1205</v>
      </c>
      <c r="C141" s="145" t="s">
        <v>2334</v>
      </c>
      <c r="D141" s="145" t="s">
        <v>2335</v>
      </c>
      <c r="E141" s="145" t="s">
        <v>309</v>
      </c>
      <c r="F141" s="145" t="s">
        <v>2334</v>
      </c>
      <c r="G141" s="145" t="s">
        <v>2336</v>
      </c>
      <c r="H141" s="145" t="s">
        <v>321</v>
      </c>
      <c r="I141" s="145" t="s">
        <v>917</v>
      </c>
      <c r="J141" s="145" t="s">
        <v>205</v>
      </c>
      <c r="K141" s="145" t="s">
        <v>204</v>
      </c>
      <c r="L141" s="145" t="s">
        <v>325</v>
      </c>
      <c r="M141" s="145" t="s">
        <v>344</v>
      </c>
      <c r="N141" s="145" t="s">
        <v>533</v>
      </c>
      <c r="O141" s="145" t="s">
        <v>339</v>
      </c>
      <c r="P141" s="145" t="s">
        <v>1211</v>
      </c>
      <c r="Q141" s="146">
        <v>92165</v>
      </c>
      <c r="R141" s="146">
        <v>3.718</v>
      </c>
      <c r="S141" s="146">
        <v>1.7</v>
      </c>
      <c r="T141" s="151"/>
      <c r="U141" s="146">
        <v>5.8250000000000002</v>
      </c>
      <c r="V141" s="148">
        <v>5.9999999999999995E-4</v>
      </c>
      <c r="W141" s="148">
        <v>2.0000000000000002E-5</v>
      </c>
      <c r="X141" s="149">
        <v>1.0000000000000001E-5</v>
      </c>
      <c r="Y141" s="199"/>
    </row>
    <row r="142" spans="1:25" x14ac:dyDescent="0.2">
      <c r="A142" s="144" t="s">
        <v>1205</v>
      </c>
      <c r="B142" s="145" t="s">
        <v>1205</v>
      </c>
      <c r="C142" s="145" t="s">
        <v>2337</v>
      </c>
      <c r="D142" s="145" t="s">
        <v>2338</v>
      </c>
      <c r="E142" s="145" t="s">
        <v>313</v>
      </c>
      <c r="F142" s="145" t="s">
        <v>2337</v>
      </c>
      <c r="G142" s="145" t="s">
        <v>2339</v>
      </c>
      <c r="H142" s="145" t="s">
        <v>321</v>
      </c>
      <c r="I142" s="145" t="s">
        <v>917</v>
      </c>
      <c r="J142" s="145" t="s">
        <v>205</v>
      </c>
      <c r="K142" s="145" t="s">
        <v>224</v>
      </c>
      <c r="L142" s="145" t="s">
        <v>325</v>
      </c>
      <c r="M142" s="145" t="s">
        <v>344</v>
      </c>
      <c r="N142" s="145" t="s">
        <v>544</v>
      </c>
      <c r="O142" s="145" t="s">
        <v>339</v>
      </c>
      <c r="P142" s="145" t="s">
        <v>1211</v>
      </c>
      <c r="Q142" s="146">
        <v>50</v>
      </c>
      <c r="R142" s="146">
        <v>3.718</v>
      </c>
      <c r="S142" s="146">
        <v>2747</v>
      </c>
      <c r="T142" s="151"/>
      <c r="U142" s="146">
        <v>5.1070000000000002</v>
      </c>
      <c r="V142" s="148">
        <v>0</v>
      </c>
      <c r="W142" s="148">
        <v>2.0000000000000002E-5</v>
      </c>
      <c r="X142" s="149">
        <v>0</v>
      </c>
      <c r="Y142" s="199"/>
    </row>
    <row r="143" spans="1:25" x14ac:dyDescent="0.2">
      <c r="A143" s="144" t="s">
        <v>1205</v>
      </c>
      <c r="B143" s="145" t="s">
        <v>1205</v>
      </c>
      <c r="C143" s="145" t="s">
        <v>2340</v>
      </c>
      <c r="D143" s="145" t="s">
        <v>2341</v>
      </c>
      <c r="E143" s="145" t="s">
        <v>313</v>
      </c>
      <c r="F143" s="145" t="s">
        <v>2340</v>
      </c>
      <c r="G143" s="145" t="s">
        <v>2342</v>
      </c>
      <c r="H143" s="145" t="s">
        <v>321</v>
      </c>
      <c r="I143" s="145" t="s">
        <v>917</v>
      </c>
      <c r="J143" s="145" t="s">
        <v>205</v>
      </c>
      <c r="K143" s="145" t="s">
        <v>224</v>
      </c>
      <c r="L143" s="145" t="s">
        <v>325</v>
      </c>
      <c r="M143" s="145" t="s">
        <v>344</v>
      </c>
      <c r="N143" s="145" t="s">
        <v>544</v>
      </c>
      <c r="O143" s="145" t="s">
        <v>339</v>
      </c>
      <c r="P143" s="145" t="s">
        <v>1211</v>
      </c>
      <c r="Q143" s="146">
        <v>8</v>
      </c>
      <c r="R143" s="146">
        <v>3.718</v>
      </c>
      <c r="S143" s="146">
        <v>776</v>
      </c>
      <c r="T143" s="151"/>
      <c r="U143" s="146">
        <v>0.23100000000000001</v>
      </c>
      <c r="V143" s="148">
        <v>0</v>
      </c>
      <c r="W143" s="148">
        <v>0</v>
      </c>
      <c r="X143" s="149">
        <v>0</v>
      </c>
      <c r="Y143" s="199"/>
    </row>
    <row r="144" spans="1:25" x14ac:dyDescent="0.2">
      <c r="A144" s="144" t="s">
        <v>1217</v>
      </c>
      <c r="B144" s="145" t="s">
        <v>1217</v>
      </c>
      <c r="C144" s="145" t="s">
        <v>1335</v>
      </c>
      <c r="D144" s="145" t="s">
        <v>1336</v>
      </c>
      <c r="E144" s="145" t="s">
        <v>309</v>
      </c>
      <c r="F144" s="145" t="s">
        <v>1877</v>
      </c>
      <c r="G144" s="145" t="s">
        <v>1878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448</v>
      </c>
      <c r="O144" s="145" t="s">
        <v>339</v>
      </c>
      <c r="P144" s="145" t="s">
        <v>1210</v>
      </c>
      <c r="Q144" s="146">
        <v>4204791</v>
      </c>
      <c r="R144" s="146">
        <v>1</v>
      </c>
      <c r="S144" s="146">
        <v>4982</v>
      </c>
      <c r="T144" s="151"/>
      <c r="U144" s="146">
        <v>209482.68799999999</v>
      </c>
      <c r="V144" s="148">
        <v>2.5999999999999999E-3</v>
      </c>
      <c r="W144" s="148">
        <v>3.8490000000000003E-2</v>
      </c>
      <c r="X144" s="149">
        <v>8.6199999999999992E-3</v>
      </c>
      <c r="Y144" s="199"/>
    </row>
    <row r="145" spans="1:25" x14ac:dyDescent="0.2">
      <c r="A145" s="144" t="s">
        <v>1217</v>
      </c>
      <c r="B145" s="145" t="s">
        <v>1217</v>
      </c>
      <c r="C145" s="145" t="s">
        <v>1363</v>
      </c>
      <c r="D145" s="145" t="s">
        <v>1364</v>
      </c>
      <c r="E145" s="145" t="s">
        <v>309</v>
      </c>
      <c r="F145" s="145" t="s">
        <v>1879</v>
      </c>
      <c r="G145" s="145" t="s">
        <v>1880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448</v>
      </c>
      <c r="O145" s="145" t="s">
        <v>339</v>
      </c>
      <c r="P145" s="145" t="s">
        <v>1210</v>
      </c>
      <c r="Q145" s="146">
        <v>4170221</v>
      </c>
      <c r="R145" s="146">
        <v>1</v>
      </c>
      <c r="S145" s="146">
        <v>5008</v>
      </c>
      <c r="T145" s="151"/>
      <c r="U145" s="146">
        <v>208844.66800000001</v>
      </c>
      <c r="V145" s="148">
        <v>3.1199999999999999E-3</v>
      </c>
      <c r="W145" s="148">
        <v>3.8370000000000001E-2</v>
      </c>
      <c r="X145" s="149">
        <v>8.5900000000000004E-3</v>
      </c>
      <c r="Y145" s="199"/>
    </row>
    <row r="146" spans="1:25" x14ac:dyDescent="0.2">
      <c r="A146" s="144" t="s">
        <v>1217</v>
      </c>
      <c r="B146" s="145" t="s">
        <v>1217</v>
      </c>
      <c r="C146" s="145" t="s">
        <v>1881</v>
      </c>
      <c r="D146" s="145" t="s">
        <v>1882</v>
      </c>
      <c r="E146" s="145" t="s">
        <v>309</v>
      </c>
      <c r="F146" s="145" t="s">
        <v>1883</v>
      </c>
      <c r="G146" s="145" t="s">
        <v>1884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467</v>
      </c>
      <c r="O146" s="145" t="s">
        <v>339</v>
      </c>
      <c r="P146" s="145" t="s">
        <v>1210</v>
      </c>
      <c r="Q146" s="146">
        <v>2349085</v>
      </c>
      <c r="R146" s="146">
        <v>1</v>
      </c>
      <c r="S146" s="146">
        <v>5587</v>
      </c>
      <c r="T146" s="151"/>
      <c r="U146" s="146">
        <v>131243.37899999999</v>
      </c>
      <c r="V146" s="148">
        <v>1.8799999999999999E-3</v>
      </c>
      <c r="W146" s="148">
        <v>2.4109999999999999E-2</v>
      </c>
      <c r="X146" s="149">
        <v>5.4000000000000003E-3</v>
      </c>
      <c r="Y146" s="199"/>
    </row>
    <row r="147" spans="1:25" x14ac:dyDescent="0.2">
      <c r="A147" s="144" t="s">
        <v>1217</v>
      </c>
      <c r="B147" s="145" t="s">
        <v>1217</v>
      </c>
      <c r="C147" s="145" t="s">
        <v>1757</v>
      </c>
      <c r="D147" s="145" t="s">
        <v>1758</v>
      </c>
      <c r="E147" s="145" t="s">
        <v>309</v>
      </c>
      <c r="F147" s="145" t="s">
        <v>1885</v>
      </c>
      <c r="G147" s="145" t="s">
        <v>1886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454</v>
      </c>
      <c r="O147" s="145" t="s">
        <v>339</v>
      </c>
      <c r="P147" s="145" t="s">
        <v>1210</v>
      </c>
      <c r="Q147" s="146">
        <v>1379818</v>
      </c>
      <c r="R147" s="146">
        <v>1</v>
      </c>
      <c r="S147" s="146">
        <v>8700</v>
      </c>
      <c r="T147" s="151"/>
      <c r="U147" s="146">
        <v>120044.166</v>
      </c>
      <c r="V147" s="148">
        <v>1.362E-2</v>
      </c>
      <c r="W147" s="148">
        <v>2.206E-2</v>
      </c>
      <c r="X147" s="149">
        <v>4.9399999999999999E-3</v>
      </c>
      <c r="Y147" s="199"/>
    </row>
    <row r="148" spans="1:25" x14ac:dyDescent="0.2">
      <c r="A148" s="144" t="s">
        <v>1217</v>
      </c>
      <c r="B148" s="145" t="s">
        <v>1217</v>
      </c>
      <c r="C148" s="145" t="s">
        <v>1891</v>
      </c>
      <c r="D148" s="145" t="s">
        <v>1892</v>
      </c>
      <c r="E148" s="145" t="s">
        <v>309</v>
      </c>
      <c r="F148" s="145" t="s">
        <v>1893</v>
      </c>
      <c r="G148" s="145" t="s">
        <v>1894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446</v>
      </c>
      <c r="O148" s="145" t="s">
        <v>339</v>
      </c>
      <c r="P148" s="145" t="s">
        <v>1210</v>
      </c>
      <c r="Q148" s="146">
        <v>77112</v>
      </c>
      <c r="R148" s="146">
        <v>1</v>
      </c>
      <c r="S148" s="146">
        <v>142500</v>
      </c>
      <c r="T148" s="151"/>
      <c r="U148" s="146">
        <v>109884.6</v>
      </c>
      <c r="V148" s="148">
        <v>1.73E-3</v>
      </c>
      <c r="W148" s="148">
        <v>2.019E-2</v>
      </c>
      <c r="X148" s="149">
        <v>4.5199999999999997E-3</v>
      </c>
      <c r="Y148" s="199"/>
    </row>
    <row r="149" spans="1:25" x14ac:dyDescent="0.2">
      <c r="A149" s="144" t="s">
        <v>1217</v>
      </c>
      <c r="B149" s="145" t="s">
        <v>1217</v>
      </c>
      <c r="C149" s="145" t="s">
        <v>1887</v>
      </c>
      <c r="D149" s="145" t="s">
        <v>1888</v>
      </c>
      <c r="E149" s="145" t="s">
        <v>309</v>
      </c>
      <c r="F149" s="145" t="s">
        <v>1889</v>
      </c>
      <c r="G149" s="145" t="s">
        <v>1890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480</v>
      </c>
      <c r="O149" s="145" t="s">
        <v>339</v>
      </c>
      <c r="P149" s="145" t="s">
        <v>1210</v>
      </c>
      <c r="Q149" s="146">
        <v>185094</v>
      </c>
      <c r="R149" s="146">
        <v>1</v>
      </c>
      <c r="S149" s="146">
        <v>56600</v>
      </c>
      <c r="T149" s="151"/>
      <c r="U149" s="146">
        <v>104763.204</v>
      </c>
      <c r="V149" s="148">
        <v>2.48E-3</v>
      </c>
      <c r="W149" s="148">
        <v>1.925E-2</v>
      </c>
      <c r="X149" s="149">
        <v>4.3099999999999996E-3</v>
      </c>
      <c r="Y149" s="199"/>
    </row>
    <row r="150" spans="1:25" x14ac:dyDescent="0.2">
      <c r="A150" s="144" t="s">
        <v>1217</v>
      </c>
      <c r="B150" s="145" t="s">
        <v>1217</v>
      </c>
      <c r="C150" s="145" t="s">
        <v>1895</v>
      </c>
      <c r="D150" s="145" t="s">
        <v>1896</v>
      </c>
      <c r="E150" s="145" t="s">
        <v>309</v>
      </c>
      <c r="F150" s="145" t="s">
        <v>1897</v>
      </c>
      <c r="G150" s="145" t="s">
        <v>1898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448</v>
      </c>
      <c r="O150" s="145" t="s">
        <v>339</v>
      </c>
      <c r="P150" s="145" t="s">
        <v>1210</v>
      </c>
      <c r="Q150" s="146">
        <v>531484</v>
      </c>
      <c r="R150" s="146">
        <v>1</v>
      </c>
      <c r="S150" s="146">
        <v>18720</v>
      </c>
      <c r="T150" s="151"/>
      <c r="U150" s="146">
        <v>99493.804999999993</v>
      </c>
      <c r="V150" s="148">
        <v>5.3E-3</v>
      </c>
      <c r="W150" s="148">
        <v>1.8280000000000001E-2</v>
      </c>
      <c r="X150" s="149">
        <v>4.0899999999999999E-3</v>
      </c>
      <c r="Y150" s="199"/>
    </row>
    <row r="151" spans="1:25" x14ac:dyDescent="0.2">
      <c r="A151" s="144" t="s">
        <v>1217</v>
      </c>
      <c r="B151" s="145" t="s">
        <v>1217</v>
      </c>
      <c r="C151" s="145" t="s">
        <v>1903</v>
      </c>
      <c r="D151" s="145" t="s">
        <v>1904</v>
      </c>
      <c r="E151" s="145" t="s">
        <v>309</v>
      </c>
      <c r="F151" s="145" t="s">
        <v>1905</v>
      </c>
      <c r="G151" s="145" t="s">
        <v>1906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448</v>
      </c>
      <c r="O151" s="145" t="s">
        <v>339</v>
      </c>
      <c r="P151" s="145" t="s">
        <v>1210</v>
      </c>
      <c r="Q151" s="146">
        <v>3634111</v>
      </c>
      <c r="R151" s="146">
        <v>1</v>
      </c>
      <c r="S151" s="146">
        <v>2572</v>
      </c>
      <c r="T151" s="146">
        <v>928.90300000000002</v>
      </c>
      <c r="U151" s="146">
        <v>94398.237999999998</v>
      </c>
      <c r="V151" s="148">
        <v>2.9399999999999999E-3</v>
      </c>
      <c r="W151" s="148">
        <v>1.7510000000000001E-2</v>
      </c>
      <c r="X151" s="149">
        <v>3.9199999999999999E-3</v>
      </c>
      <c r="Y151" s="199"/>
    </row>
    <row r="152" spans="1:25" x14ac:dyDescent="0.2">
      <c r="A152" s="144" t="s">
        <v>1217</v>
      </c>
      <c r="B152" s="145" t="s">
        <v>1217</v>
      </c>
      <c r="C152" s="145" t="s">
        <v>1899</v>
      </c>
      <c r="D152" s="145" t="s">
        <v>1900</v>
      </c>
      <c r="E152" s="145" t="s">
        <v>309</v>
      </c>
      <c r="F152" s="145" t="s">
        <v>1901</v>
      </c>
      <c r="G152" s="145" t="s">
        <v>1902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448</v>
      </c>
      <c r="O152" s="145" t="s">
        <v>339</v>
      </c>
      <c r="P152" s="145" t="s">
        <v>1210</v>
      </c>
      <c r="Q152" s="146">
        <v>566082</v>
      </c>
      <c r="R152" s="146">
        <v>1</v>
      </c>
      <c r="S152" s="146">
        <v>16650</v>
      </c>
      <c r="T152" s="151"/>
      <c r="U152" s="146">
        <v>94252.653000000006</v>
      </c>
      <c r="V152" s="148">
        <v>2.1800000000000001E-3</v>
      </c>
      <c r="W152" s="148">
        <v>1.7319999999999999E-2</v>
      </c>
      <c r="X152" s="149">
        <v>3.8800000000000002E-3</v>
      </c>
      <c r="Y152" s="199"/>
    </row>
    <row r="153" spans="1:25" x14ac:dyDescent="0.2">
      <c r="A153" s="144" t="s">
        <v>1217</v>
      </c>
      <c r="B153" s="145" t="s">
        <v>1217</v>
      </c>
      <c r="C153" s="145" t="s">
        <v>1907</v>
      </c>
      <c r="D153" s="145" t="s">
        <v>1908</v>
      </c>
      <c r="E153" s="145" t="s">
        <v>309</v>
      </c>
      <c r="F153" s="145" t="s">
        <v>1909</v>
      </c>
      <c r="G153" s="145" t="s">
        <v>1910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456</v>
      </c>
      <c r="O153" s="145" t="s">
        <v>339</v>
      </c>
      <c r="P153" s="145" t="s">
        <v>1210</v>
      </c>
      <c r="Q153" s="146">
        <v>4383125</v>
      </c>
      <c r="R153" s="146">
        <v>1</v>
      </c>
      <c r="S153" s="146">
        <v>2089</v>
      </c>
      <c r="T153" s="151"/>
      <c r="U153" s="146">
        <v>91563.481</v>
      </c>
      <c r="V153" s="148">
        <v>3.3300000000000001E-3</v>
      </c>
      <c r="W153" s="148">
        <v>1.6820000000000002E-2</v>
      </c>
      <c r="X153" s="149">
        <v>3.7699999999999999E-3</v>
      </c>
      <c r="Y153" s="199"/>
    </row>
    <row r="154" spans="1:25" x14ac:dyDescent="0.2">
      <c r="A154" s="144" t="s">
        <v>1217</v>
      </c>
      <c r="B154" s="145" t="s">
        <v>1217</v>
      </c>
      <c r="C154" s="145" t="s">
        <v>1543</v>
      </c>
      <c r="D154" s="145" t="s">
        <v>1544</v>
      </c>
      <c r="E154" s="145" t="s">
        <v>309</v>
      </c>
      <c r="F154" s="145" t="s">
        <v>1913</v>
      </c>
      <c r="G154" s="145" t="s">
        <v>1914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464</v>
      </c>
      <c r="O154" s="145" t="s">
        <v>339</v>
      </c>
      <c r="P154" s="145" t="s">
        <v>1210</v>
      </c>
      <c r="Q154" s="146">
        <v>320475</v>
      </c>
      <c r="R154" s="146">
        <v>1</v>
      </c>
      <c r="S154" s="146">
        <v>24920</v>
      </c>
      <c r="T154" s="151"/>
      <c r="U154" s="146">
        <v>79862.37</v>
      </c>
      <c r="V154" s="148">
        <v>2.64E-3</v>
      </c>
      <c r="W154" s="148">
        <v>1.4670000000000001E-2</v>
      </c>
      <c r="X154" s="149">
        <v>3.29E-3</v>
      </c>
      <c r="Y154" s="199"/>
    </row>
    <row r="155" spans="1:25" x14ac:dyDescent="0.2">
      <c r="A155" s="144" t="s">
        <v>1217</v>
      </c>
      <c r="B155" s="145" t="s">
        <v>1217</v>
      </c>
      <c r="C155" s="145" t="s">
        <v>1454</v>
      </c>
      <c r="D155" s="145" t="s">
        <v>1455</v>
      </c>
      <c r="E155" s="145" t="s">
        <v>309</v>
      </c>
      <c r="F155" s="145" t="s">
        <v>1911</v>
      </c>
      <c r="G155" s="145" t="s">
        <v>1912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464</v>
      </c>
      <c r="O155" s="145" t="s">
        <v>339</v>
      </c>
      <c r="P155" s="145" t="s">
        <v>1210</v>
      </c>
      <c r="Q155" s="146">
        <v>272588</v>
      </c>
      <c r="R155" s="146">
        <v>1</v>
      </c>
      <c r="S155" s="146">
        <v>28940</v>
      </c>
      <c r="T155" s="146">
        <v>515.57299999999998</v>
      </c>
      <c r="U155" s="146">
        <v>79402.539999999994</v>
      </c>
      <c r="V155" s="148">
        <v>5.7299999999999999E-3</v>
      </c>
      <c r="W155" s="148">
        <v>1.468E-2</v>
      </c>
      <c r="X155" s="149">
        <v>3.29E-3</v>
      </c>
      <c r="Y155" s="199"/>
    </row>
    <row r="156" spans="1:25" x14ac:dyDescent="0.2">
      <c r="A156" s="144" t="s">
        <v>1217</v>
      </c>
      <c r="B156" s="145" t="s">
        <v>1217</v>
      </c>
      <c r="C156" s="145" t="s">
        <v>1917</v>
      </c>
      <c r="D156" s="145" t="s">
        <v>1918</v>
      </c>
      <c r="E156" s="145" t="s">
        <v>309</v>
      </c>
      <c r="F156" s="145" t="s">
        <v>1919</v>
      </c>
      <c r="G156" s="145" t="s">
        <v>1920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441</v>
      </c>
      <c r="O156" s="145" t="s">
        <v>339</v>
      </c>
      <c r="P156" s="145" t="s">
        <v>1210</v>
      </c>
      <c r="Q156" s="146">
        <v>1278425.8</v>
      </c>
      <c r="R156" s="146">
        <v>1</v>
      </c>
      <c r="S156" s="146">
        <v>1616</v>
      </c>
      <c r="T156" s="151"/>
      <c r="U156" s="146">
        <v>76042.445000000007</v>
      </c>
      <c r="V156" s="148">
        <v>1.0789999999999999E-2</v>
      </c>
      <c r="W156" s="148">
        <v>1.397E-2</v>
      </c>
      <c r="X156" s="149">
        <v>3.13E-3</v>
      </c>
      <c r="Y156" s="199"/>
    </row>
    <row r="157" spans="1:25" x14ac:dyDescent="0.2">
      <c r="A157" s="144" t="s">
        <v>1217</v>
      </c>
      <c r="B157" s="145" t="s">
        <v>1217</v>
      </c>
      <c r="C157" s="145" t="s">
        <v>1410</v>
      </c>
      <c r="D157" s="145" t="s">
        <v>1411</v>
      </c>
      <c r="E157" s="145" t="s">
        <v>309</v>
      </c>
      <c r="F157" s="145" t="s">
        <v>1921</v>
      </c>
      <c r="G157" s="145" t="s">
        <v>1922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445</v>
      </c>
      <c r="O157" s="145" t="s">
        <v>339</v>
      </c>
      <c r="P157" s="145" t="s">
        <v>1210</v>
      </c>
      <c r="Q157" s="146">
        <v>832097</v>
      </c>
      <c r="R157" s="146">
        <v>1</v>
      </c>
      <c r="S157" s="146">
        <v>9094</v>
      </c>
      <c r="T157" s="151"/>
      <c r="U157" s="146">
        <v>75670.900999999998</v>
      </c>
      <c r="V157" s="148">
        <v>1.047E-2</v>
      </c>
      <c r="W157" s="148">
        <v>1.3899999999999999E-2</v>
      </c>
      <c r="X157" s="149">
        <v>3.1099999999999999E-3</v>
      </c>
      <c r="Y157" s="199"/>
    </row>
    <row r="158" spans="1:25" x14ac:dyDescent="0.2">
      <c r="A158" s="144" t="s">
        <v>1217</v>
      </c>
      <c r="B158" s="145" t="s">
        <v>1217</v>
      </c>
      <c r="C158" s="145" t="s">
        <v>1500</v>
      </c>
      <c r="D158" s="145" t="s">
        <v>1501</v>
      </c>
      <c r="E158" s="145" t="s">
        <v>309</v>
      </c>
      <c r="F158" s="145" t="s">
        <v>1915</v>
      </c>
      <c r="G158" s="145" t="s">
        <v>1916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445</v>
      </c>
      <c r="O158" s="145" t="s">
        <v>339</v>
      </c>
      <c r="P158" s="145" t="s">
        <v>1210</v>
      </c>
      <c r="Q158" s="146">
        <v>1088416</v>
      </c>
      <c r="R158" s="146">
        <v>1</v>
      </c>
      <c r="S158" s="146">
        <v>6881</v>
      </c>
      <c r="T158" s="151"/>
      <c r="U158" s="146">
        <v>74893.904999999999</v>
      </c>
      <c r="V158" s="148">
        <v>4.15E-3</v>
      </c>
      <c r="W158" s="148">
        <v>1.376E-2</v>
      </c>
      <c r="X158" s="149">
        <v>3.0799999999999998E-3</v>
      </c>
      <c r="Y158" s="199"/>
    </row>
    <row r="159" spans="1:25" x14ac:dyDescent="0.2">
      <c r="A159" s="144" t="s">
        <v>1217</v>
      </c>
      <c r="B159" s="145" t="s">
        <v>1217</v>
      </c>
      <c r="C159" s="145" t="s">
        <v>1923</v>
      </c>
      <c r="D159" s="145" t="s">
        <v>1924</v>
      </c>
      <c r="E159" s="145" t="s">
        <v>309</v>
      </c>
      <c r="F159" s="145" t="s">
        <v>1925</v>
      </c>
      <c r="G159" s="145" t="s">
        <v>1926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441</v>
      </c>
      <c r="O159" s="145" t="s">
        <v>339</v>
      </c>
      <c r="P159" s="145" t="s">
        <v>1210</v>
      </c>
      <c r="Q159" s="146">
        <v>282747.94</v>
      </c>
      <c r="R159" s="146">
        <v>1</v>
      </c>
      <c r="S159" s="146">
        <v>7077</v>
      </c>
      <c r="T159" s="151"/>
      <c r="U159" s="146">
        <v>74002.748000000007</v>
      </c>
      <c r="V159" s="148">
        <v>4.6800000000000001E-3</v>
      </c>
      <c r="W159" s="148">
        <v>1.3599999999999999E-2</v>
      </c>
      <c r="X159" s="149">
        <v>3.0400000000000002E-3</v>
      </c>
      <c r="Y159" s="199"/>
    </row>
    <row r="160" spans="1:25" x14ac:dyDescent="0.2">
      <c r="A160" s="144" t="s">
        <v>1217</v>
      </c>
      <c r="B160" s="145" t="s">
        <v>1217</v>
      </c>
      <c r="C160" s="145" t="s">
        <v>1931</v>
      </c>
      <c r="D160" s="145" t="s">
        <v>1932</v>
      </c>
      <c r="E160" s="145" t="s">
        <v>309</v>
      </c>
      <c r="F160" s="145" t="s">
        <v>1933</v>
      </c>
      <c r="G160" s="145" t="s">
        <v>1934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439</v>
      </c>
      <c r="O160" s="145" t="s">
        <v>339</v>
      </c>
      <c r="P160" s="145" t="s">
        <v>1210</v>
      </c>
      <c r="Q160" s="146">
        <v>855959</v>
      </c>
      <c r="R160" s="146">
        <v>1</v>
      </c>
      <c r="S160" s="146">
        <v>8478</v>
      </c>
      <c r="T160" s="151"/>
      <c r="U160" s="146">
        <v>72568.203999999998</v>
      </c>
      <c r="V160" s="148">
        <v>1.064E-2</v>
      </c>
      <c r="W160" s="148">
        <v>1.333E-2</v>
      </c>
      <c r="X160" s="149">
        <v>2.99E-3</v>
      </c>
      <c r="Y160" s="199"/>
    </row>
    <row r="161" spans="1:25" x14ac:dyDescent="0.2">
      <c r="A161" s="144" t="s">
        <v>1217</v>
      </c>
      <c r="B161" s="145" t="s">
        <v>1217</v>
      </c>
      <c r="C161" s="145" t="s">
        <v>1927</v>
      </c>
      <c r="D161" s="145" t="s">
        <v>1928</v>
      </c>
      <c r="E161" s="145" t="s">
        <v>309</v>
      </c>
      <c r="F161" s="145" t="s">
        <v>1929</v>
      </c>
      <c r="G161" s="145" t="s">
        <v>1930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441</v>
      </c>
      <c r="O161" s="145" t="s">
        <v>339</v>
      </c>
      <c r="P161" s="145" t="s">
        <v>1210</v>
      </c>
      <c r="Q161" s="146">
        <v>5947200</v>
      </c>
      <c r="R161" s="146">
        <v>1</v>
      </c>
      <c r="S161" s="146">
        <v>1193</v>
      </c>
      <c r="T161" s="151"/>
      <c r="U161" s="146">
        <v>70950.096000000005</v>
      </c>
      <c r="V161" s="148">
        <v>9.1469999999999996E-2</v>
      </c>
      <c r="W161" s="148">
        <v>1.304E-2</v>
      </c>
      <c r="X161" s="149">
        <v>2.9199999999999999E-3</v>
      </c>
      <c r="Y161" s="199"/>
    </row>
    <row r="162" spans="1:25" x14ac:dyDescent="0.2">
      <c r="A162" s="144" t="s">
        <v>1217</v>
      </c>
      <c r="B162" s="145" t="s">
        <v>1217</v>
      </c>
      <c r="C162" s="145" t="s">
        <v>1581</v>
      </c>
      <c r="D162" s="145" t="s">
        <v>1582</v>
      </c>
      <c r="E162" s="145" t="s">
        <v>309</v>
      </c>
      <c r="F162" s="145" t="s">
        <v>1935</v>
      </c>
      <c r="G162" s="145" t="s">
        <v>1936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464</v>
      </c>
      <c r="O162" s="145" t="s">
        <v>339</v>
      </c>
      <c r="P162" s="145" t="s">
        <v>1210</v>
      </c>
      <c r="Q162" s="146">
        <v>127766</v>
      </c>
      <c r="R162" s="146">
        <v>1</v>
      </c>
      <c r="S162" s="146">
        <v>51410</v>
      </c>
      <c r="T162" s="151"/>
      <c r="U162" s="146">
        <v>65684.501000000004</v>
      </c>
      <c r="V162" s="148">
        <v>5.1399999999999996E-3</v>
      </c>
      <c r="W162" s="148">
        <v>1.2070000000000001E-2</v>
      </c>
      <c r="X162" s="149">
        <v>2.7000000000000001E-3</v>
      </c>
      <c r="Y162" s="199"/>
    </row>
    <row r="163" spans="1:25" x14ac:dyDescent="0.2">
      <c r="A163" s="144" t="s">
        <v>1217</v>
      </c>
      <c r="B163" s="145" t="s">
        <v>1217</v>
      </c>
      <c r="C163" s="145" t="s">
        <v>1475</v>
      </c>
      <c r="D163" s="145" t="s">
        <v>1476</v>
      </c>
      <c r="E163" s="145" t="s">
        <v>309</v>
      </c>
      <c r="F163" s="145" t="s">
        <v>1956</v>
      </c>
      <c r="G163" s="145" t="s">
        <v>1957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484</v>
      </c>
      <c r="O163" s="145" t="s">
        <v>339</v>
      </c>
      <c r="P163" s="145" t="s">
        <v>1210</v>
      </c>
      <c r="Q163" s="146">
        <v>10636868</v>
      </c>
      <c r="R163" s="146">
        <v>1</v>
      </c>
      <c r="S163" s="146">
        <v>546.6</v>
      </c>
      <c r="T163" s="151"/>
      <c r="U163" s="146">
        <v>58141.120000000003</v>
      </c>
      <c r="V163" s="148">
        <v>3.8400000000000001E-3</v>
      </c>
      <c r="W163" s="148">
        <v>1.068E-2</v>
      </c>
      <c r="X163" s="149">
        <v>2.3900000000000002E-3</v>
      </c>
      <c r="Y163" s="199"/>
    </row>
    <row r="164" spans="1:25" x14ac:dyDescent="0.2">
      <c r="A164" s="144" t="s">
        <v>1217</v>
      </c>
      <c r="B164" s="145" t="s">
        <v>1217</v>
      </c>
      <c r="C164" s="145" t="s">
        <v>1937</v>
      </c>
      <c r="D164" s="145" t="s">
        <v>1938</v>
      </c>
      <c r="E164" s="145" t="s">
        <v>309</v>
      </c>
      <c r="F164" s="145" t="s">
        <v>1939</v>
      </c>
      <c r="G164" s="145" t="s">
        <v>1940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451</v>
      </c>
      <c r="O164" s="145" t="s">
        <v>339</v>
      </c>
      <c r="P164" s="145" t="s">
        <v>1210</v>
      </c>
      <c r="Q164" s="146">
        <v>7300731</v>
      </c>
      <c r="R164" s="146">
        <v>1</v>
      </c>
      <c r="S164" s="146">
        <v>685</v>
      </c>
      <c r="T164" s="151"/>
      <c r="U164" s="146">
        <v>50010.006999999998</v>
      </c>
      <c r="V164" s="148">
        <v>3.9E-2</v>
      </c>
      <c r="W164" s="148">
        <v>9.1900000000000003E-3</v>
      </c>
      <c r="X164" s="149">
        <v>2.0600000000000002E-3</v>
      </c>
      <c r="Y164" s="199"/>
    </row>
    <row r="165" spans="1:25" x14ac:dyDescent="0.2">
      <c r="A165" s="144" t="s">
        <v>1217</v>
      </c>
      <c r="B165" s="145" t="s">
        <v>1217</v>
      </c>
      <c r="C165" s="145" t="s">
        <v>1941</v>
      </c>
      <c r="D165" s="145" t="s">
        <v>1942</v>
      </c>
      <c r="E165" s="145" t="s">
        <v>309</v>
      </c>
      <c r="F165" s="145" t="s">
        <v>1943</v>
      </c>
      <c r="G165" s="145" t="s">
        <v>1944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463</v>
      </c>
      <c r="O165" s="145" t="s">
        <v>339</v>
      </c>
      <c r="P165" s="145" t="s">
        <v>1210</v>
      </c>
      <c r="Q165" s="146">
        <v>99282</v>
      </c>
      <c r="R165" s="146">
        <v>1</v>
      </c>
      <c r="S165" s="146">
        <v>47350</v>
      </c>
      <c r="T165" s="151"/>
      <c r="U165" s="146">
        <v>47010.027000000002</v>
      </c>
      <c r="V165" s="148">
        <v>1.0919999999999999E-2</v>
      </c>
      <c r="W165" s="148">
        <v>8.6400000000000001E-3</v>
      </c>
      <c r="X165" s="149">
        <v>1.9300000000000001E-3</v>
      </c>
      <c r="Y165" s="199"/>
    </row>
    <row r="166" spans="1:25" x14ac:dyDescent="0.2">
      <c r="A166" s="144" t="s">
        <v>1217</v>
      </c>
      <c r="B166" s="145" t="s">
        <v>1217</v>
      </c>
      <c r="C166" s="145" t="s">
        <v>1945</v>
      </c>
      <c r="D166" s="145" t="s">
        <v>1946</v>
      </c>
      <c r="E166" s="145" t="s">
        <v>309</v>
      </c>
      <c r="F166" s="145" t="s">
        <v>1947</v>
      </c>
      <c r="G166" s="145" t="s">
        <v>1948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463</v>
      </c>
      <c r="O166" s="145" t="s">
        <v>339</v>
      </c>
      <c r="P166" s="145" t="s">
        <v>1210</v>
      </c>
      <c r="Q166" s="146">
        <v>6524329</v>
      </c>
      <c r="R166" s="146">
        <v>1</v>
      </c>
      <c r="S166" s="146">
        <v>682.4</v>
      </c>
      <c r="T166" s="146">
        <v>1132.4570000000001</v>
      </c>
      <c r="U166" s="146">
        <v>45654.478000000003</v>
      </c>
      <c r="V166" s="148">
        <v>2.265E-2</v>
      </c>
      <c r="W166" s="148">
        <v>8.6E-3</v>
      </c>
      <c r="X166" s="149">
        <v>1.92E-3</v>
      </c>
      <c r="Y166" s="199"/>
    </row>
    <row r="167" spans="1:25" x14ac:dyDescent="0.2">
      <c r="A167" s="144" t="s">
        <v>1217</v>
      </c>
      <c r="B167" s="145" t="s">
        <v>1217</v>
      </c>
      <c r="C167" s="145" t="s">
        <v>1469</v>
      </c>
      <c r="D167" s="145" t="s">
        <v>1470</v>
      </c>
      <c r="E167" s="145" t="s">
        <v>309</v>
      </c>
      <c r="F167" s="145" t="s">
        <v>1958</v>
      </c>
      <c r="G167" s="145" t="s">
        <v>1959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451</v>
      </c>
      <c r="O167" s="145" t="s">
        <v>339</v>
      </c>
      <c r="P167" s="145" t="s">
        <v>1210</v>
      </c>
      <c r="Q167" s="146">
        <v>25704</v>
      </c>
      <c r="R167" s="146">
        <v>1</v>
      </c>
      <c r="S167" s="146">
        <v>173080</v>
      </c>
      <c r="T167" s="151"/>
      <c r="U167" s="146">
        <v>44488.483</v>
      </c>
      <c r="V167" s="148">
        <v>6.3299999999999997E-3</v>
      </c>
      <c r="W167" s="148">
        <v>8.1700000000000002E-3</v>
      </c>
      <c r="X167" s="149">
        <v>1.83E-3</v>
      </c>
      <c r="Y167" s="199"/>
    </row>
    <row r="168" spans="1:25" x14ac:dyDescent="0.2">
      <c r="A168" s="144" t="s">
        <v>1217</v>
      </c>
      <c r="B168" s="145" t="s">
        <v>1217</v>
      </c>
      <c r="C168" s="145" t="s">
        <v>1949</v>
      </c>
      <c r="D168" s="145" t="s">
        <v>1950</v>
      </c>
      <c r="E168" s="145" t="s">
        <v>313</v>
      </c>
      <c r="F168" s="145" t="s">
        <v>1951</v>
      </c>
      <c r="G168" s="145" t="s">
        <v>1952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454</v>
      </c>
      <c r="O168" s="145" t="s">
        <v>339</v>
      </c>
      <c r="P168" s="145" t="s">
        <v>1210</v>
      </c>
      <c r="Q168" s="146">
        <v>1015741</v>
      </c>
      <c r="R168" s="146">
        <v>1</v>
      </c>
      <c r="S168" s="146">
        <v>875.5</v>
      </c>
      <c r="T168" s="146">
        <v>1132.9580000000001</v>
      </c>
      <c r="U168" s="146">
        <v>43863.09</v>
      </c>
      <c r="V168" s="148">
        <v>5.5399999999999998E-3</v>
      </c>
      <c r="W168" s="148">
        <v>8.2699999999999996E-3</v>
      </c>
      <c r="X168" s="149">
        <v>1.8500000000000001E-3</v>
      </c>
      <c r="Y168" s="199"/>
    </row>
    <row r="169" spans="1:25" x14ac:dyDescent="0.2">
      <c r="A169" s="144" t="s">
        <v>1217</v>
      </c>
      <c r="B169" s="145" t="s">
        <v>1217</v>
      </c>
      <c r="C169" s="145" t="s">
        <v>1742</v>
      </c>
      <c r="D169" s="145" t="s">
        <v>1743</v>
      </c>
      <c r="E169" s="145" t="s">
        <v>309</v>
      </c>
      <c r="F169" s="145" t="s">
        <v>1742</v>
      </c>
      <c r="G169" s="145" t="s">
        <v>1955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441</v>
      </c>
      <c r="O169" s="145" t="s">
        <v>339</v>
      </c>
      <c r="P169" s="145" t="s">
        <v>1210</v>
      </c>
      <c r="Q169" s="146">
        <v>512766</v>
      </c>
      <c r="R169" s="146">
        <v>1</v>
      </c>
      <c r="S169" s="146">
        <v>8514</v>
      </c>
      <c r="T169" s="151"/>
      <c r="U169" s="146">
        <v>43656.896999999997</v>
      </c>
      <c r="V169" s="148">
        <v>1.443E-2</v>
      </c>
      <c r="W169" s="148">
        <v>8.0199999999999994E-3</v>
      </c>
      <c r="X169" s="149">
        <v>1.8E-3</v>
      </c>
      <c r="Y169" s="199"/>
    </row>
    <row r="170" spans="1:25" x14ac:dyDescent="0.2">
      <c r="A170" s="144" t="s">
        <v>1217</v>
      </c>
      <c r="B170" s="145" t="s">
        <v>1217</v>
      </c>
      <c r="C170" s="145" t="s">
        <v>1505</v>
      </c>
      <c r="D170" s="145" t="s">
        <v>1506</v>
      </c>
      <c r="E170" s="145" t="s">
        <v>309</v>
      </c>
      <c r="F170" s="145" t="s">
        <v>1953</v>
      </c>
      <c r="G170" s="145" t="s">
        <v>1954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445</v>
      </c>
      <c r="O170" s="145" t="s">
        <v>339</v>
      </c>
      <c r="P170" s="145" t="s">
        <v>1210</v>
      </c>
      <c r="Q170" s="146">
        <v>228518</v>
      </c>
      <c r="R170" s="146">
        <v>1</v>
      </c>
      <c r="S170" s="146">
        <v>18600</v>
      </c>
      <c r="T170" s="146">
        <v>549.78499999999997</v>
      </c>
      <c r="U170" s="146">
        <v>43054.133000000002</v>
      </c>
      <c r="V170" s="148">
        <v>3.6099999999999999E-3</v>
      </c>
      <c r="W170" s="148">
        <v>8.0099999999999998E-3</v>
      </c>
      <c r="X170" s="149">
        <v>1.7899999999999999E-3</v>
      </c>
      <c r="Y170" s="199"/>
    </row>
    <row r="171" spans="1:25" x14ac:dyDescent="0.2">
      <c r="A171" s="144" t="s">
        <v>1217</v>
      </c>
      <c r="B171" s="145" t="s">
        <v>1217</v>
      </c>
      <c r="C171" s="145" t="s">
        <v>1688</v>
      </c>
      <c r="D171" s="145" t="s">
        <v>1689</v>
      </c>
      <c r="E171" s="145" t="s">
        <v>309</v>
      </c>
      <c r="F171" s="145" t="s">
        <v>1964</v>
      </c>
      <c r="G171" s="145" t="s">
        <v>1965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445</v>
      </c>
      <c r="O171" s="145" t="s">
        <v>339</v>
      </c>
      <c r="P171" s="145" t="s">
        <v>1210</v>
      </c>
      <c r="Q171" s="146">
        <v>716560</v>
      </c>
      <c r="R171" s="146">
        <v>1</v>
      </c>
      <c r="S171" s="146">
        <v>5909</v>
      </c>
      <c r="T171" s="151"/>
      <c r="U171" s="146">
        <v>42341.53</v>
      </c>
      <c r="V171" s="148">
        <v>3.1900000000000001E-3</v>
      </c>
      <c r="W171" s="148">
        <v>7.7799999999999996E-3</v>
      </c>
      <c r="X171" s="149">
        <v>1.74E-3</v>
      </c>
      <c r="Y171" s="199"/>
    </row>
    <row r="172" spans="1:25" x14ac:dyDescent="0.2">
      <c r="A172" s="144" t="s">
        <v>1217</v>
      </c>
      <c r="B172" s="145" t="s">
        <v>1217</v>
      </c>
      <c r="C172" s="145" t="s">
        <v>1822</v>
      </c>
      <c r="D172" s="145" t="s">
        <v>1823</v>
      </c>
      <c r="E172" s="145" t="s">
        <v>309</v>
      </c>
      <c r="F172" s="145" t="s">
        <v>1960</v>
      </c>
      <c r="G172" s="145" t="s">
        <v>1961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463</v>
      </c>
      <c r="O172" s="145" t="s">
        <v>339</v>
      </c>
      <c r="P172" s="145" t="s">
        <v>1210</v>
      </c>
      <c r="Q172" s="146">
        <v>1831715</v>
      </c>
      <c r="R172" s="146">
        <v>1</v>
      </c>
      <c r="S172" s="146">
        <v>2245</v>
      </c>
      <c r="T172" s="146">
        <v>409.96499999999997</v>
      </c>
      <c r="U172" s="146">
        <v>41531.966999999997</v>
      </c>
      <c r="V172" s="148">
        <v>5.1200000000000004E-3</v>
      </c>
      <c r="W172" s="148">
        <v>7.7099999999999998E-3</v>
      </c>
      <c r="X172" s="149">
        <v>1.73E-3</v>
      </c>
      <c r="Y172" s="199"/>
    </row>
    <row r="173" spans="1:25" x14ac:dyDescent="0.2">
      <c r="A173" s="144" t="s">
        <v>1217</v>
      </c>
      <c r="B173" s="145" t="s">
        <v>1217</v>
      </c>
      <c r="C173" s="145" t="s">
        <v>1746</v>
      </c>
      <c r="D173" s="145" t="s">
        <v>1747</v>
      </c>
      <c r="E173" s="145" t="s">
        <v>309</v>
      </c>
      <c r="F173" s="145" t="s">
        <v>1962</v>
      </c>
      <c r="G173" s="145" t="s">
        <v>1963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484</v>
      </c>
      <c r="O173" s="145" t="s">
        <v>339</v>
      </c>
      <c r="P173" s="145" t="s">
        <v>1210</v>
      </c>
      <c r="Q173" s="146">
        <v>1823923</v>
      </c>
      <c r="R173" s="146">
        <v>1</v>
      </c>
      <c r="S173" s="146">
        <v>2256</v>
      </c>
      <c r="T173" s="151"/>
      <c r="U173" s="146">
        <v>41147.703000000001</v>
      </c>
      <c r="V173" s="148">
        <v>1.0959999999999999E-2</v>
      </c>
      <c r="W173" s="148">
        <v>7.5599999999999999E-3</v>
      </c>
      <c r="X173" s="149">
        <v>1.6900000000000001E-3</v>
      </c>
      <c r="Y173" s="199"/>
    </row>
    <row r="174" spans="1:25" x14ac:dyDescent="0.2">
      <c r="A174" s="144" t="s">
        <v>1217</v>
      </c>
      <c r="B174" s="145" t="s">
        <v>1217</v>
      </c>
      <c r="C174" s="145" t="s">
        <v>1558</v>
      </c>
      <c r="D174" s="145" t="s">
        <v>1559</v>
      </c>
      <c r="E174" s="145" t="s">
        <v>309</v>
      </c>
      <c r="F174" s="145" t="s">
        <v>1970</v>
      </c>
      <c r="G174" s="145" t="s">
        <v>1971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464</v>
      </c>
      <c r="O174" s="145" t="s">
        <v>339</v>
      </c>
      <c r="P174" s="145" t="s">
        <v>1210</v>
      </c>
      <c r="Q174" s="146">
        <v>1177251</v>
      </c>
      <c r="R174" s="146">
        <v>1</v>
      </c>
      <c r="S174" s="146">
        <v>3066</v>
      </c>
      <c r="T174" s="151"/>
      <c r="U174" s="146">
        <v>36094.516000000003</v>
      </c>
      <c r="V174" s="148">
        <v>2.8969999999999999E-2</v>
      </c>
      <c r="W174" s="148">
        <v>6.6299999999999996E-3</v>
      </c>
      <c r="X174" s="149">
        <v>1.48E-3</v>
      </c>
      <c r="Y174" s="199"/>
    </row>
    <row r="175" spans="1:25" x14ac:dyDescent="0.2">
      <c r="A175" s="144" t="s">
        <v>1217</v>
      </c>
      <c r="B175" s="145" t="s">
        <v>1217</v>
      </c>
      <c r="C175" s="145" t="s">
        <v>1966</v>
      </c>
      <c r="D175" s="145" t="s">
        <v>1967</v>
      </c>
      <c r="E175" s="145" t="s">
        <v>309</v>
      </c>
      <c r="F175" s="145" t="s">
        <v>1968</v>
      </c>
      <c r="G175" s="145" t="s">
        <v>1969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455</v>
      </c>
      <c r="O175" s="145" t="s">
        <v>339</v>
      </c>
      <c r="P175" s="145" t="s">
        <v>1210</v>
      </c>
      <c r="Q175" s="146">
        <v>355894</v>
      </c>
      <c r="R175" s="146">
        <v>1</v>
      </c>
      <c r="S175" s="146">
        <v>10080</v>
      </c>
      <c r="T175" s="151"/>
      <c r="U175" s="146">
        <v>35874.114999999998</v>
      </c>
      <c r="V175" s="148">
        <v>3.1730000000000001E-2</v>
      </c>
      <c r="W175" s="148">
        <v>6.5900000000000004E-3</v>
      </c>
      <c r="X175" s="149">
        <v>1.48E-3</v>
      </c>
      <c r="Y175" s="199"/>
    </row>
    <row r="176" spans="1:25" x14ac:dyDescent="0.2">
      <c r="A176" s="144" t="s">
        <v>1217</v>
      </c>
      <c r="B176" s="145" t="s">
        <v>1217</v>
      </c>
      <c r="C176" s="145" t="s">
        <v>1972</v>
      </c>
      <c r="D176" s="145" t="s">
        <v>1973</v>
      </c>
      <c r="E176" s="145" t="s">
        <v>309</v>
      </c>
      <c r="F176" s="145" t="s">
        <v>1974</v>
      </c>
      <c r="G176" s="145" t="s">
        <v>1975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454</v>
      </c>
      <c r="O176" s="145" t="s">
        <v>339</v>
      </c>
      <c r="P176" s="145" t="s">
        <v>1210</v>
      </c>
      <c r="Q176" s="146">
        <v>1582534</v>
      </c>
      <c r="R176" s="146">
        <v>1</v>
      </c>
      <c r="S176" s="146">
        <v>2132</v>
      </c>
      <c r="T176" s="151"/>
      <c r="U176" s="146">
        <v>33739.625</v>
      </c>
      <c r="V176" s="148">
        <v>7.9119999999999996E-2</v>
      </c>
      <c r="W176" s="148">
        <v>6.1999999999999998E-3</v>
      </c>
      <c r="X176" s="149">
        <v>1.39E-3</v>
      </c>
      <c r="Y176" s="199"/>
    </row>
    <row r="177" spans="1:25" x14ac:dyDescent="0.2">
      <c r="A177" s="144" t="s">
        <v>1217</v>
      </c>
      <c r="B177" s="145" t="s">
        <v>1217</v>
      </c>
      <c r="C177" s="145" t="s">
        <v>1836</v>
      </c>
      <c r="D177" s="145" t="s">
        <v>1837</v>
      </c>
      <c r="E177" s="145" t="s">
        <v>309</v>
      </c>
      <c r="F177" s="145" t="s">
        <v>1978</v>
      </c>
      <c r="G177" s="145" t="s">
        <v>1979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484</v>
      </c>
      <c r="O177" s="145" t="s">
        <v>339</v>
      </c>
      <c r="P177" s="145" t="s">
        <v>1210</v>
      </c>
      <c r="Q177" s="146">
        <v>1294890</v>
      </c>
      <c r="R177" s="146">
        <v>1</v>
      </c>
      <c r="S177" s="146">
        <v>2530</v>
      </c>
      <c r="T177" s="151"/>
      <c r="U177" s="146">
        <v>32760.717000000001</v>
      </c>
      <c r="V177" s="148">
        <v>6.77E-3</v>
      </c>
      <c r="W177" s="148">
        <v>6.0200000000000002E-3</v>
      </c>
      <c r="X177" s="149">
        <v>1.3500000000000001E-3</v>
      </c>
      <c r="Y177" s="199"/>
    </row>
    <row r="178" spans="1:25" x14ac:dyDescent="0.2">
      <c r="A178" s="144" t="s">
        <v>1217</v>
      </c>
      <c r="B178" s="145" t="s">
        <v>1217</v>
      </c>
      <c r="C178" s="145" t="s">
        <v>1522</v>
      </c>
      <c r="D178" s="145" t="s">
        <v>1523</v>
      </c>
      <c r="E178" s="145" t="s">
        <v>309</v>
      </c>
      <c r="F178" s="145" t="s">
        <v>1976</v>
      </c>
      <c r="G178" s="145" t="s">
        <v>1977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464</v>
      </c>
      <c r="O178" s="145" t="s">
        <v>339</v>
      </c>
      <c r="P178" s="145" t="s">
        <v>1210</v>
      </c>
      <c r="Q178" s="146">
        <v>3911379</v>
      </c>
      <c r="R178" s="146">
        <v>1</v>
      </c>
      <c r="S178" s="146">
        <v>835</v>
      </c>
      <c r="T178" s="151"/>
      <c r="U178" s="146">
        <v>32660.014999999999</v>
      </c>
      <c r="V178" s="148">
        <v>1.753E-2</v>
      </c>
      <c r="W178" s="148">
        <v>6.0000000000000001E-3</v>
      </c>
      <c r="X178" s="149">
        <v>1.34E-3</v>
      </c>
      <c r="Y178" s="199"/>
    </row>
    <row r="179" spans="1:25" x14ac:dyDescent="0.2">
      <c r="A179" s="144" t="s">
        <v>1217</v>
      </c>
      <c r="B179" s="145" t="s">
        <v>1217</v>
      </c>
      <c r="C179" s="145" t="s">
        <v>1980</v>
      </c>
      <c r="D179" s="145" t="s">
        <v>1981</v>
      </c>
      <c r="E179" s="145" t="s">
        <v>309</v>
      </c>
      <c r="F179" s="145" t="s">
        <v>1982</v>
      </c>
      <c r="G179" s="145" t="s">
        <v>1983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476</v>
      </c>
      <c r="O179" s="145" t="s">
        <v>339</v>
      </c>
      <c r="P179" s="145" t="s">
        <v>1210</v>
      </c>
      <c r="Q179" s="146">
        <v>340262</v>
      </c>
      <c r="R179" s="146">
        <v>1</v>
      </c>
      <c r="S179" s="146">
        <v>8638</v>
      </c>
      <c r="T179" s="146">
        <v>279.01499999999999</v>
      </c>
      <c r="U179" s="146">
        <v>29670.846000000001</v>
      </c>
      <c r="V179" s="148">
        <v>5.2900000000000004E-3</v>
      </c>
      <c r="W179" s="148">
        <v>5.4999999999999997E-3</v>
      </c>
      <c r="X179" s="149">
        <v>1.23E-3</v>
      </c>
      <c r="Y179" s="199"/>
    </row>
    <row r="180" spans="1:25" x14ac:dyDescent="0.2">
      <c r="A180" s="144" t="s">
        <v>1217</v>
      </c>
      <c r="B180" s="145" t="s">
        <v>1217</v>
      </c>
      <c r="C180" s="145" t="s">
        <v>1600</v>
      </c>
      <c r="D180" s="145" t="s">
        <v>1601</v>
      </c>
      <c r="E180" s="145" t="s">
        <v>309</v>
      </c>
      <c r="F180" s="145" t="s">
        <v>1984</v>
      </c>
      <c r="G180" s="145" t="s">
        <v>1985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464</v>
      </c>
      <c r="O180" s="145" t="s">
        <v>339</v>
      </c>
      <c r="P180" s="145" t="s">
        <v>1210</v>
      </c>
      <c r="Q180" s="146">
        <v>2347947</v>
      </c>
      <c r="R180" s="146">
        <v>1</v>
      </c>
      <c r="S180" s="146">
        <v>1142</v>
      </c>
      <c r="T180" s="151"/>
      <c r="U180" s="146">
        <v>26813.555</v>
      </c>
      <c r="V180" s="148">
        <v>1.559E-2</v>
      </c>
      <c r="W180" s="148">
        <v>4.9300000000000004E-3</v>
      </c>
      <c r="X180" s="149">
        <v>1.1000000000000001E-3</v>
      </c>
      <c r="Y180" s="199"/>
    </row>
    <row r="181" spans="1:25" x14ac:dyDescent="0.2">
      <c r="A181" s="144" t="s">
        <v>1217</v>
      </c>
      <c r="B181" s="145" t="s">
        <v>1217</v>
      </c>
      <c r="C181" s="145" t="s">
        <v>1990</v>
      </c>
      <c r="D181" s="145" t="s">
        <v>1991</v>
      </c>
      <c r="E181" s="145" t="s">
        <v>309</v>
      </c>
      <c r="F181" s="145" t="s">
        <v>1992</v>
      </c>
      <c r="G181" s="145" t="s">
        <v>1993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475</v>
      </c>
      <c r="O181" s="145" t="s">
        <v>339</v>
      </c>
      <c r="P181" s="145" t="s">
        <v>1210</v>
      </c>
      <c r="Q181" s="146">
        <v>112998</v>
      </c>
      <c r="R181" s="146">
        <v>1</v>
      </c>
      <c r="S181" s="146">
        <v>23560</v>
      </c>
      <c r="T181" s="151"/>
      <c r="U181" s="146">
        <v>26622.329000000002</v>
      </c>
      <c r="V181" s="148">
        <v>7.79E-3</v>
      </c>
      <c r="W181" s="148">
        <v>4.8900000000000002E-3</v>
      </c>
      <c r="X181" s="149">
        <v>1.1000000000000001E-3</v>
      </c>
      <c r="Y181" s="199"/>
    </row>
    <row r="182" spans="1:25" x14ac:dyDescent="0.2">
      <c r="A182" s="144" t="s">
        <v>1217</v>
      </c>
      <c r="B182" s="145" t="s">
        <v>1217</v>
      </c>
      <c r="C182" s="145" t="s">
        <v>1986</v>
      </c>
      <c r="D182" s="145" t="s">
        <v>1987</v>
      </c>
      <c r="E182" s="145" t="s">
        <v>309</v>
      </c>
      <c r="F182" s="145" t="s">
        <v>1988</v>
      </c>
      <c r="G182" s="145" t="s">
        <v>1989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459</v>
      </c>
      <c r="O182" s="145" t="s">
        <v>339</v>
      </c>
      <c r="P182" s="145" t="s">
        <v>1210</v>
      </c>
      <c r="Q182" s="146">
        <v>328044</v>
      </c>
      <c r="R182" s="146">
        <v>1</v>
      </c>
      <c r="S182" s="146">
        <v>7800</v>
      </c>
      <c r="T182" s="151"/>
      <c r="U182" s="146">
        <v>25587.432000000001</v>
      </c>
      <c r="V182" s="148">
        <v>2.7899999999999999E-3</v>
      </c>
      <c r="W182" s="148">
        <v>4.7000000000000002E-3</v>
      </c>
      <c r="X182" s="149">
        <v>1.0499999999999999E-3</v>
      </c>
      <c r="Y182" s="199"/>
    </row>
    <row r="183" spans="1:25" x14ac:dyDescent="0.2">
      <c r="A183" s="144" t="s">
        <v>1217</v>
      </c>
      <c r="B183" s="145" t="s">
        <v>1217</v>
      </c>
      <c r="C183" s="145" t="s">
        <v>1994</v>
      </c>
      <c r="D183" s="145" t="s">
        <v>1995</v>
      </c>
      <c r="E183" s="145" t="s">
        <v>309</v>
      </c>
      <c r="F183" s="145" t="s">
        <v>1996</v>
      </c>
      <c r="G183" s="145" t="s">
        <v>1997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451</v>
      </c>
      <c r="O183" s="145" t="s">
        <v>339</v>
      </c>
      <c r="P183" s="145" t="s">
        <v>1210</v>
      </c>
      <c r="Q183" s="146">
        <v>31783664</v>
      </c>
      <c r="R183" s="146">
        <v>1</v>
      </c>
      <c r="S183" s="146">
        <v>80.5</v>
      </c>
      <c r="T183" s="151"/>
      <c r="U183" s="146">
        <v>25585.85</v>
      </c>
      <c r="V183" s="148">
        <v>2.503E-2</v>
      </c>
      <c r="W183" s="148">
        <v>4.7000000000000002E-3</v>
      </c>
      <c r="X183" s="149">
        <v>1.0499999999999999E-3</v>
      </c>
      <c r="Y183" s="199"/>
    </row>
    <row r="184" spans="1:25" x14ac:dyDescent="0.2">
      <c r="A184" s="144" t="s">
        <v>1217</v>
      </c>
      <c r="B184" s="145" t="s">
        <v>1217</v>
      </c>
      <c r="C184" s="145" t="s">
        <v>1435</v>
      </c>
      <c r="D184" s="145" t="s">
        <v>1436</v>
      </c>
      <c r="E184" s="145" t="s">
        <v>309</v>
      </c>
      <c r="F184" s="145" t="s">
        <v>2004</v>
      </c>
      <c r="G184" s="145" t="s">
        <v>2005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440</v>
      </c>
      <c r="O184" s="145" t="s">
        <v>339</v>
      </c>
      <c r="P184" s="145" t="s">
        <v>1210</v>
      </c>
      <c r="Q184" s="146">
        <v>780173</v>
      </c>
      <c r="R184" s="146">
        <v>1</v>
      </c>
      <c r="S184" s="146">
        <v>3240</v>
      </c>
      <c r="T184" s="151"/>
      <c r="U184" s="146">
        <v>25277.605</v>
      </c>
      <c r="V184" s="148">
        <v>3.0500000000000002E-3</v>
      </c>
      <c r="W184" s="148">
        <v>4.64E-3</v>
      </c>
      <c r="X184" s="149">
        <v>1.0399999999999999E-3</v>
      </c>
      <c r="Y184" s="199"/>
    </row>
    <row r="185" spans="1:25" x14ac:dyDescent="0.2">
      <c r="A185" s="144" t="s">
        <v>1217</v>
      </c>
      <c r="B185" s="145" t="s">
        <v>1217</v>
      </c>
      <c r="C185" s="145" t="s">
        <v>1588</v>
      </c>
      <c r="D185" s="145" t="s">
        <v>1589</v>
      </c>
      <c r="E185" s="145" t="s">
        <v>309</v>
      </c>
      <c r="F185" s="145" t="s">
        <v>1998</v>
      </c>
      <c r="G185" s="145" t="s">
        <v>1999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451</v>
      </c>
      <c r="O185" s="145" t="s">
        <v>339</v>
      </c>
      <c r="P185" s="145" t="s">
        <v>1210</v>
      </c>
      <c r="Q185" s="146">
        <v>24974</v>
      </c>
      <c r="R185" s="146">
        <v>1</v>
      </c>
      <c r="S185" s="146">
        <v>99210</v>
      </c>
      <c r="T185" s="151"/>
      <c r="U185" s="146">
        <v>24776.705000000002</v>
      </c>
      <c r="V185" s="148">
        <v>3.2399999999999998E-3</v>
      </c>
      <c r="W185" s="148">
        <v>4.5500000000000002E-3</v>
      </c>
      <c r="X185" s="149">
        <v>1.0200000000000001E-3</v>
      </c>
      <c r="Y185" s="199"/>
    </row>
    <row r="186" spans="1:25" x14ac:dyDescent="0.2">
      <c r="A186" s="144" t="s">
        <v>1217</v>
      </c>
      <c r="B186" s="145" t="s">
        <v>1217</v>
      </c>
      <c r="C186" s="145" t="s">
        <v>1480</v>
      </c>
      <c r="D186" s="145" t="s">
        <v>1481</v>
      </c>
      <c r="E186" s="145" t="s">
        <v>309</v>
      </c>
      <c r="F186" s="145" t="s">
        <v>2000</v>
      </c>
      <c r="G186" s="145" t="s">
        <v>2001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475</v>
      </c>
      <c r="O186" s="145" t="s">
        <v>339</v>
      </c>
      <c r="P186" s="145" t="s">
        <v>1210</v>
      </c>
      <c r="Q186" s="146">
        <v>694821</v>
      </c>
      <c r="R186" s="146">
        <v>1</v>
      </c>
      <c r="S186" s="146">
        <v>3511</v>
      </c>
      <c r="T186" s="151"/>
      <c r="U186" s="146">
        <v>24395.165000000001</v>
      </c>
      <c r="V186" s="148">
        <v>2.5200000000000001E-3</v>
      </c>
      <c r="W186" s="148">
        <v>4.4799999999999996E-3</v>
      </c>
      <c r="X186" s="149">
        <v>1E-3</v>
      </c>
      <c r="Y186" s="199"/>
    </row>
    <row r="187" spans="1:25" x14ac:dyDescent="0.2">
      <c r="A187" s="144" t="s">
        <v>1217</v>
      </c>
      <c r="B187" s="145" t="s">
        <v>1217</v>
      </c>
      <c r="C187" s="145" t="s">
        <v>1623</v>
      </c>
      <c r="D187" s="145" t="s">
        <v>1624</v>
      </c>
      <c r="E187" s="145" t="s">
        <v>309</v>
      </c>
      <c r="F187" s="145" t="s">
        <v>2002</v>
      </c>
      <c r="G187" s="145" t="s">
        <v>2003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464</v>
      </c>
      <c r="O187" s="145" t="s">
        <v>339</v>
      </c>
      <c r="P187" s="145" t="s">
        <v>1210</v>
      </c>
      <c r="Q187" s="146">
        <v>212230</v>
      </c>
      <c r="R187" s="146">
        <v>1</v>
      </c>
      <c r="S187" s="146">
        <v>10740</v>
      </c>
      <c r="T187" s="151"/>
      <c r="U187" s="146">
        <v>22793.502</v>
      </c>
      <c r="V187" s="148">
        <v>5.7999999999999996E-3</v>
      </c>
      <c r="W187" s="148">
        <v>4.1900000000000001E-3</v>
      </c>
      <c r="X187" s="149">
        <v>9.3999999999999997E-4</v>
      </c>
      <c r="Y187" s="199"/>
    </row>
    <row r="188" spans="1:25" x14ac:dyDescent="0.2">
      <c r="A188" s="144" t="s">
        <v>1217</v>
      </c>
      <c r="B188" s="145" t="s">
        <v>1217</v>
      </c>
      <c r="C188" s="145" t="s">
        <v>1459</v>
      </c>
      <c r="D188" s="145" t="s">
        <v>1460</v>
      </c>
      <c r="E188" s="145" t="s">
        <v>309</v>
      </c>
      <c r="F188" s="145" t="s">
        <v>2006</v>
      </c>
      <c r="G188" s="145" t="s">
        <v>2007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440</v>
      </c>
      <c r="O188" s="145" t="s">
        <v>339</v>
      </c>
      <c r="P188" s="145" t="s">
        <v>1210</v>
      </c>
      <c r="Q188" s="146">
        <v>45011</v>
      </c>
      <c r="R188" s="146">
        <v>1</v>
      </c>
      <c r="S188" s="146">
        <v>49240</v>
      </c>
      <c r="T188" s="146">
        <v>315.78800000000001</v>
      </c>
      <c r="U188" s="146">
        <v>22479.204000000002</v>
      </c>
      <c r="V188" s="148">
        <v>3.2599999999999999E-3</v>
      </c>
      <c r="W188" s="148">
        <v>4.1900000000000001E-3</v>
      </c>
      <c r="X188" s="149">
        <v>9.3999999999999997E-4</v>
      </c>
      <c r="Y188" s="199"/>
    </row>
    <row r="189" spans="1:25" x14ac:dyDescent="0.2">
      <c r="A189" s="144" t="s">
        <v>1217</v>
      </c>
      <c r="B189" s="145" t="s">
        <v>1217</v>
      </c>
      <c r="C189" s="145" t="s">
        <v>1724</v>
      </c>
      <c r="D189" s="145" t="s">
        <v>1725</v>
      </c>
      <c r="E189" s="145" t="s">
        <v>309</v>
      </c>
      <c r="F189" s="145" t="s">
        <v>2026</v>
      </c>
      <c r="G189" s="145" t="s">
        <v>2027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464</v>
      </c>
      <c r="O189" s="145" t="s">
        <v>339</v>
      </c>
      <c r="P189" s="145" t="s">
        <v>1210</v>
      </c>
      <c r="Q189" s="146">
        <v>2243130.79</v>
      </c>
      <c r="R189" s="146">
        <v>1</v>
      </c>
      <c r="S189" s="146">
        <v>992.1</v>
      </c>
      <c r="T189" s="146">
        <v>212.99299999999999</v>
      </c>
      <c r="U189" s="146">
        <v>22467.093000000001</v>
      </c>
      <c r="V189" s="148">
        <v>3.0400000000000002E-3</v>
      </c>
      <c r="W189" s="148">
        <v>4.1700000000000001E-3</v>
      </c>
      <c r="X189" s="149">
        <v>9.3000000000000005E-4</v>
      </c>
      <c r="Y189" s="199"/>
    </row>
    <row r="190" spans="1:25" x14ac:dyDescent="0.2">
      <c r="A190" s="144" t="s">
        <v>1217</v>
      </c>
      <c r="B190" s="145" t="s">
        <v>1217</v>
      </c>
      <c r="C190" s="145" t="s">
        <v>2018</v>
      </c>
      <c r="D190" s="145" t="s">
        <v>2019</v>
      </c>
      <c r="E190" s="145" t="s">
        <v>309</v>
      </c>
      <c r="F190" s="145" t="s">
        <v>2020</v>
      </c>
      <c r="G190" s="145" t="s">
        <v>2021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476</v>
      </c>
      <c r="O190" s="145" t="s">
        <v>339</v>
      </c>
      <c r="P190" s="145" t="s">
        <v>1210</v>
      </c>
      <c r="Q190" s="146">
        <v>64430</v>
      </c>
      <c r="R190" s="146">
        <v>1</v>
      </c>
      <c r="S190" s="146">
        <v>32170</v>
      </c>
      <c r="T190" s="151"/>
      <c r="U190" s="146">
        <v>20727.131000000001</v>
      </c>
      <c r="V190" s="148">
        <v>4.0499999999999998E-3</v>
      </c>
      <c r="W190" s="148">
        <v>3.81E-3</v>
      </c>
      <c r="X190" s="149">
        <v>8.4999999999999995E-4</v>
      </c>
      <c r="Y190" s="199"/>
    </row>
    <row r="191" spans="1:25" x14ac:dyDescent="0.2">
      <c r="A191" s="144" t="s">
        <v>1217</v>
      </c>
      <c r="B191" s="145" t="s">
        <v>1217</v>
      </c>
      <c r="C191" s="145" t="s">
        <v>2010</v>
      </c>
      <c r="D191" s="145" t="s">
        <v>2011</v>
      </c>
      <c r="E191" s="145" t="s">
        <v>309</v>
      </c>
      <c r="F191" s="145" t="s">
        <v>2012</v>
      </c>
      <c r="G191" s="145" t="s">
        <v>2013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447</v>
      </c>
      <c r="O191" s="145" t="s">
        <v>339</v>
      </c>
      <c r="P191" s="145" t="s">
        <v>1210</v>
      </c>
      <c r="Q191" s="146">
        <v>403200</v>
      </c>
      <c r="R191" s="146">
        <v>1</v>
      </c>
      <c r="S191" s="146">
        <v>5080</v>
      </c>
      <c r="T191" s="151"/>
      <c r="U191" s="146">
        <v>20482.560000000001</v>
      </c>
      <c r="V191" s="148">
        <v>3.62E-3</v>
      </c>
      <c r="W191" s="148">
        <v>3.7599999999999999E-3</v>
      </c>
      <c r="X191" s="149">
        <v>8.4000000000000003E-4</v>
      </c>
      <c r="Y191" s="199"/>
    </row>
    <row r="192" spans="1:25" x14ac:dyDescent="0.2">
      <c r="A192" s="144" t="s">
        <v>1217</v>
      </c>
      <c r="B192" s="145" t="s">
        <v>1217</v>
      </c>
      <c r="C192" s="145" t="s">
        <v>2014</v>
      </c>
      <c r="D192" s="145" t="s">
        <v>2015</v>
      </c>
      <c r="E192" s="145" t="s">
        <v>309</v>
      </c>
      <c r="F192" s="145" t="s">
        <v>2016</v>
      </c>
      <c r="G192" s="145" t="s">
        <v>2017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475</v>
      </c>
      <c r="O192" s="145" t="s">
        <v>339</v>
      </c>
      <c r="P192" s="145" t="s">
        <v>1210</v>
      </c>
      <c r="Q192" s="146">
        <v>1488000</v>
      </c>
      <c r="R192" s="146">
        <v>1</v>
      </c>
      <c r="S192" s="146">
        <v>1340</v>
      </c>
      <c r="T192" s="151"/>
      <c r="U192" s="146">
        <v>19939.2</v>
      </c>
      <c r="V192" s="148">
        <v>1.039E-2</v>
      </c>
      <c r="W192" s="148">
        <v>3.6600000000000001E-3</v>
      </c>
      <c r="X192" s="149">
        <v>8.1999999999999998E-4</v>
      </c>
      <c r="Y192" s="199"/>
    </row>
    <row r="193" spans="1:25" x14ac:dyDescent="0.2">
      <c r="A193" s="144" t="s">
        <v>1217</v>
      </c>
      <c r="B193" s="145" t="s">
        <v>1217</v>
      </c>
      <c r="C193" s="145" t="s">
        <v>2022</v>
      </c>
      <c r="D193" s="145" t="s">
        <v>2023</v>
      </c>
      <c r="E193" s="145" t="s">
        <v>309</v>
      </c>
      <c r="F193" s="145" t="s">
        <v>2024</v>
      </c>
      <c r="G193" s="145" t="s">
        <v>2025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476</v>
      </c>
      <c r="O193" s="145" t="s">
        <v>339</v>
      </c>
      <c r="P193" s="145" t="s">
        <v>1210</v>
      </c>
      <c r="Q193" s="146">
        <v>271456</v>
      </c>
      <c r="R193" s="146">
        <v>1</v>
      </c>
      <c r="S193" s="146">
        <v>6861</v>
      </c>
      <c r="T193" s="146">
        <v>169.13399999999999</v>
      </c>
      <c r="U193" s="146">
        <v>18793.73</v>
      </c>
      <c r="V193" s="148">
        <v>3.7799999999999999E-3</v>
      </c>
      <c r="W193" s="148">
        <v>3.48E-3</v>
      </c>
      <c r="X193" s="149">
        <v>7.7999999999999999E-4</v>
      </c>
      <c r="Y193" s="199"/>
    </row>
    <row r="194" spans="1:25" x14ac:dyDescent="0.2">
      <c r="A194" s="144" t="s">
        <v>1217</v>
      </c>
      <c r="B194" s="145" t="s">
        <v>1217</v>
      </c>
      <c r="C194" s="145" t="s">
        <v>2042</v>
      </c>
      <c r="D194" s="145" t="s">
        <v>2043</v>
      </c>
      <c r="E194" s="145" t="s">
        <v>309</v>
      </c>
      <c r="F194" s="145" t="s">
        <v>2044</v>
      </c>
      <c r="G194" s="145" t="s">
        <v>2045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447</v>
      </c>
      <c r="O194" s="145" t="s">
        <v>339</v>
      </c>
      <c r="P194" s="145" t="s">
        <v>1210</v>
      </c>
      <c r="Q194" s="146">
        <v>1102079</v>
      </c>
      <c r="R194" s="146">
        <v>1</v>
      </c>
      <c r="S194" s="146">
        <v>1661</v>
      </c>
      <c r="T194" s="151"/>
      <c r="U194" s="146">
        <v>18305.531999999999</v>
      </c>
      <c r="V194" s="148">
        <v>3.8800000000000002E-3</v>
      </c>
      <c r="W194" s="148">
        <v>3.3600000000000001E-3</v>
      </c>
      <c r="X194" s="149">
        <v>7.5000000000000002E-4</v>
      </c>
      <c r="Y194" s="199"/>
    </row>
    <row r="195" spans="1:25" x14ac:dyDescent="0.2">
      <c r="A195" s="144" t="s">
        <v>1217</v>
      </c>
      <c r="B195" s="145" t="s">
        <v>1217</v>
      </c>
      <c r="C195" s="145" t="s">
        <v>2032</v>
      </c>
      <c r="D195" s="145" t="s">
        <v>2033</v>
      </c>
      <c r="E195" s="145" t="s">
        <v>309</v>
      </c>
      <c r="F195" s="145" t="s">
        <v>2034</v>
      </c>
      <c r="G195" s="145" t="s">
        <v>2035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437</v>
      </c>
      <c r="O195" s="145" t="s">
        <v>339</v>
      </c>
      <c r="P195" s="145" t="s">
        <v>1210</v>
      </c>
      <c r="Q195" s="146">
        <v>97358</v>
      </c>
      <c r="R195" s="146">
        <v>1</v>
      </c>
      <c r="S195" s="146">
        <v>17650</v>
      </c>
      <c r="T195" s="151"/>
      <c r="U195" s="146">
        <v>17183.687000000002</v>
      </c>
      <c r="V195" s="148">
        <v>3.62E-3</v>
      </c>
      <c r="W195" s="148">
        <v>3.16E-3</v>
      </c>
      <c r="X195" s="149">
        <v>7.1000000000000002E-4</v>
      </c>
      <c r="Y195" s="199"/>
    </row>
    <row r="196" spans="1:25" x14ac:dyDescent="0.2">
      <c r="A196" s="144" t="s">
        <v>1217</v>
      </c>
      <c r="B196" s="145" t="s">
        <v>1217</v>
      </c>
      <c r="C196" s="145" t="s">
        <v>2038</v>
      </c>
      <c r="D196" s="145" t="s">
        <v>2039</v>
      </c>
      <c r="E196" s="145" t="s">
        <v>309</v>
      </c>
      <c r="F196" s="145" t="s">
        <v>2040</v>
      </c>
      <c r="G196" s="145" t="s">
        <v>2041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475</v>
      </c>
      <c r="O196" s="145" t="s">
        <v>339</v>
      </c>
      <c r="P196" s="145" t="s">
        <v>1210</v>
      </c>
      <c r="Q196" s="146">
        <v>2420185</v>
      </c>
      <c r="R196" s="146">
        <v>1</v>
      </c>
      <c r="S196" s="146">
        <v>692.7</v>
      </c>
      <c r="T196" s="151"/>
      <c r="U196" s="146">
        <v>16764.620999999999</v>
      </c>
      <c r="V196" s="148">
        <v>2.2249999999999999E-2</v>
      </c>
      <c r="W196" s="148">
        <v>3.0799999999999998E-3</v>
      </c>
      <c r="X196" s="149">
        <v>6.8999999999999997E-4</v>
      </c>
      <c r="Y196" s="199"/>
    </row>
    <row r="197" spans="1:25" x14ac:dyDescent="0.2">
      <c r="A197" s="144" t="s">
        <v>1217</v>
      </c>
      <c r="B197" s="145" t="s">
        <v>1217</v>
      </c>
      <c r="C197" s="145" t="s">
        <v>2028</v>
      </c>
      <c r="D197" s="145" t="s">
        <v>2029</v>
      </c>
      <c r="E197" s="145" t="s">
        <v>309</v>
      </c>
      <c r="F197" s="145" t="s">
        <v>2030</v>
      </c>
      <c r="G197" s="145" t="s">
        <v>2031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476</v>
      </c>
      <c r="O197" s="145" t="s">
        <v>339</v>
      </c>
      <c r="P197" s="145" t="s">
        <v>1210</v>
      </c>
      <c r="Q197" s="146">
        <v>71233</v>
      </c>
      <c r="R197" s="146">
        <v>1</v>
      </c>
      <c r="S197" s="146">
        <v>22740</v>
      </c>
      <c r="T197" s="151"/>
      <c r="U197" s="146">
        <v>16198.384</v>
      </c>
      <c r="V197" s="148">
        <v>3.0999999999999999E-3</v>
      </c>
      <c r="W197" s="148">
        <v>2.98E-3</v>
      </c>
      <c r="X197" s="149">
        <v>6.7000000000000002E-4</v>
      </c>
      <c r="Y197" s="199"/>
    </row>
    <row r="198" spans="1:25" x14ac:dyDescent="0.2">
      <c r="A198" s="144" t="s">
        <v>1217</v>
      </c>
      <c r="B198" s="145" t="s">
        <v>1217</v>
      </c>
      <c r="C198" s="145" t="s">
        <v>2046</v>
      </c>
      <c r="D198" s="145" t="s">
        <v>2047</v>
      </c>
      <c r="E198" s="145" t="s">
        <v>309</v>
      </c>
      <c r="F198" s="145" t="s">
        <v>2048</v>
      </c>
      <c r="G198" s="145" t="s">
        <v>2049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465</v>
      </c>
      <c r="O198" s="145" t="s">
        <v>339</v>
      </c>
      <c r="P198" s="145" t="s">
        <v>1210</v>
      </c>
      <c r="Q198" s="146">
        <v>2363466</v>
      </c>
      <c r="R198" s="146">
        <v>1</v>
      </c>
      <c r="S198" s="146">
        <v>667.8</v>
      </c>
      <c r="T198" s="151"/>
      <c r="U198" s="146">
        <v>15783.226000000001</v>
      </c>
      <c r="V198" s="148">
        <v>3.4729999999999997E-2</v>
      </c>
      <c r="W198" s="148">
        <v>2.8999999999999998E-3</v>
      </c>
      <c r="X198" s="149">
        <v>6.4999999999999997E-4</v>
      </c>
      <c r="Y198" s="199"/>
    </row>
    <row r="199" spans="1:25" x14ac:dyDescent="0.2">
      <c r="A199" s="144" t="s">
        <v>1217</v>
      </c>
      <c r="B199" s="145" t="s">
        <v>1217</v>
      </c>
      <c r="C199" s="145" t="s">
        <v>2050</v>
      </c>
      <c r="D199" s="145" t="s">
        <v>2051</v>
      </c>
      <c r="E199" s="145" t="s">
        <v>309</v>
      </c>
      <c r="F199" s="145" t="s">
        <v>2050</v>
      </c>
      <c r="G199" s="145" t="s">
        <v>2052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471</v>
      </c>
      <c r="O199" s="145" t="s">
        <v>339</v>
      </c>
      <c r="P199" s="145" t="s">
        <v>1210</v>
      </c>
      <c r="Q199" s="146">
        <v>738343.11</v>
      </c>
      <c r="R199" s="146">
        <v>1</v>
      </c>
      <c r="S199" s="146">
        <v>2130</v>
      </c>
      <c r="T199" s="151"/>
      <c r="U199" s="146">
        <v>15726.708000000001</v>
      </c>
      <c r="V199" s="148">
        <v>5.0899999999999999E-3</v>
      </c>
      <c r="W199" s="148">
        <v>2.8900000000000002E-3</v>
      </c>
      <c r="X199" s="149">
        <v>6.4999999999999997E-4</v>
      </c>
      <c r="Y199" s="199"/>
    </row>
    <row r="200" spans="1:25" x14ac:dyDescent="0.2">
      <c r="A200" s="144" t="s">
        <v>1217</v>
      </c>
      <c r="B200" s="145" t="s">
        <v>1217</v>
      </c>
      <c r="C200" s="145" t="s">
        <v>1444</v>
      </c>
      <c r="D200" s="145" t="s">
        <v>1445</v>
      </c>
      <c r="E200" s="145" t="s">
        <v>309</v>
      </c>
      <c r="F200" s="145" t="s">
        <v>2036</v>
      </c>
      <c r="G200" s="145" t="s">
        <v>2037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464</v>
      </c>
      <c r="O200" s="145" t="s">
        <v>339</v>
      </c>
      <c r="P200" s="145" t="s">
        <v>1210</v>
      </c>
      <c r="Q200" s="146">
        <v>298269.24</v>
      </c>
      <c r="R200" s="146">
        <v>1</v>
      </c>
      <c r="S200" s="146">
        <v>5236</v>
      </c>
      <c r="T200" s="151"/>
      <c r="U200" s="146">
        <v>15617.377</v>
      </c>
      <c r="V200" s="148">
        <v>2.2699999999999999E-3</v>
      </c>
      <c r="W200" s="148">
        <v>2.8700000000000002E-3</v>
      </c>
      <c r="X200" s="149">
        <v>6.4000000000000005E-4</v>
      </c>
      <c r="Y200" s="199"/>
    </row>
    <row r="201" spans="1:25" x14ac:dyDescent="0.2">
      <c r="A201" s="144" t="s">
        <v>1217</v>
      </c>
      <c r="B201" s="145" t="s">
        <v>1217</v>
      </c>
      <c r="C201" s="145" t="s">
        <v>1782</v>
      </c>
      <c r="D201" s="145" t="s">
        <v>1783</v>
      </c>
      <c r="E201" s="145" t="s">
        <v>309</v>
      </c>
      <c r="F201" s="145" t="s">
        <v>2053</v>
      </c>
      <c r="G201" s="145" t="s">
        <v>2054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454</v>
      </c>
      <c r="O201" s="145" t="s">
        <v>339</v>
      </c>
      <c r="P201" s="145" t="s">
        <v>1210</v>
      </c>
      <c r="Q201" s="146">
        <v>7059501.9000000004</v>
      </c>
      <c r="R201" s="146">
        <v>1</v>
      </c>
      <c r="S201" s="146">
        <v>203</v>
      </c>
      <c r="T201" s="151"/>
      <c r="U201" s="146">
        <v>14330.789000000001</v>
      </c>
      <c r="V201" s="148">
        <v>2.7200000000000002E-3</v>
      </c>
      <c r="W201" s="148">
        <v>2.63E-3</v>
      </c>
      <c r="X201" s="149">
        <v>5.9000000000000003E-4</v>
      </c>
      <c r="Y201" s="199"/>
    </row>
    <row r="202" spans="1:25" x14ac:dyDescent="0.2">
      <c r="A202" s="144" t="s">
        <v>1217</v>
      </c>
      <c r="B202" s="145" t="s">
        <v>1217</v>
      </c>
      <c r="C202" s="145" t="s">
        <v>2055</v>
      </c>
      <c r="D202" s="145" t="s">
        <v>2056</v>
      </c>
      <c r="E202" s="145" t="s">
        <v>309</v>
      </c>
      <c r="F202" s="145" t="s">
        <v>2055</v>
      </c>
      <c r="G202" s="145" t="s">
        <v>2057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477</v>
      </c>
      <c r="O202" s="145" t="s">
        <v>339</v>
      </c>
      <c r="P202" s="145" t="s">
        <v>1210</v>
      </c>
      <c r="Q202" s="146">
        <v>2200000</v>
      </c>
      <c r="R202" s="146">
        <v>1</v>
      </c>
      <c r="S202" s="146">
        <v>638.4</v>
      </c>
      <c r="T202" s="151"/>
      <c r="U202" s="146">
        <v>14044.8</v>
      </c>
      <c r="V202" s="148">
        <v>2.3970000000000002E-2</v>
      </c>
      <c r="W202" s="148">
        <v>2.5799999999999998E-3</v>
      </c>
      <c r="X202" s="149">
        <v>5.8E-4</v>
      </c>
      <c r="Y202" s="199"/>
    </row>
    <row r="203" spans="1:25" x14ac:dyDescent="0.2">
      <c r="A203" s="144" t="s">
        <v>1217</v>
      </c>
      <c r="B203" s="145" t="s">
        <v>1217</v>
      </c>
      <c r="C203" s="145" t="s">
        <v>1652</v>
      </c>
      <c r="D203" s="145" t="s">
        <v>1653</v>
      </c>
      <c r="E203" s="145" t="s">
        <v>309</v>
      </c>
      <c r="F203" s="145" t="s">
        <v>2008</v>
      </c>
      <c r="G203" s="145" t="s">
        <v>2009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440</v>
      </c>
      <c r="O203" s="145" t="s">
        <v>339</v>
      </c>
      <c r="P203" s="145" t="s">
        <v>1210</v>
      </c>
      <c r="Q203" s="146">
        <v>14465335</v>
      </c>
      <c r="R203" s="146">
        <v>1</v>
      </c>
      <c r="S203" s="146">
        <v>88.3</v>
      </c>
      <c r="T203" s="146">
        <v>845.976</v>
      </c>
      <c r="U203" s="146">
        <v>13618.866</v>
      </c>
      <c r="V203" s="148">
        <v>4.4900000000000001E-3</v>
      </c>
      <c r="W203" s="148">
        <v>2.66E-3</v>
      </c>
      <c r="X203" s="149">
        <v>5.9999999999999995E-4</v>
      </c>
      <c r="Y203" s="199"/>
    </row>
    <row r="204" spans="1:25" x14ac:dyDescent="0.2">
      <c r="A204" s="144" t="s">
        <v>1217</v>
      </c>
      <c r="B204" s="145" t="s">
        <v>1217</v>
      </c>
      <c r="C204" s="145" t="s">
        <v>2066</v>
      </c>
      <c r="D204" s="145" t="s">
        <v>2067</v>
      </c>
      <c r="E204" s="145" t="s">
        <v>309</v>
      </c>
      <c r="F204" s="145" t="s">
        <v>2068</v>
      </c>
      <c r="G204" s="145" t="s">
        <v>2069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447</v>
      </c>
      <c r="O204" s="145" t="s">
        <v>339</v>
      </c>
      <c r="P204" s="145" t="s">
        <v>1210</v>
      </c>
      <c r="Q204" s="146">
        <v>842660</v>
      </c>
      <c r="R204" s="146">
        <v>1</v>
      </c>
      <c r="S204" s="146">
        <v>1588</v>
      </c>
      <c r="T204" s="146">
        <v>159.63999999999999</v>
      </c>
      <c r="U204" s="146">
        <v>13541.081</v>
      </c>
      <c r="V204" s="148">
        <v>3.9899999999999996E-3</v>
      </c>
      <c r="W204" s="148">
        <v>2.5200000000000001E-3</v>
      </c>
      <c r="X204" s="149">
        <v>5.5999999999999995E-4</v>
      </c>
      <c r="Y204" s="199"/>
    </row>
    <row r="205" spans="1:25" x14ac:dyDescent="0.2">
      <c r="A205" s="144" t="s">
        <v>1217</v>
      </c>
      <c r="B205" s="145" t="s">
        <v>1217</v>
      </c>
      <c r="C205" s="145" t="s">
        <v>2062</v>
      </c>
      <c r="D205" s="145" t="s">
        <v>2063</v>
      </c>
      <c r="E205" s="145" t="s">
        <v>309</v>
      </c>
      <c r="F205" s="145" t="s">
        <v>2064</v>
      </c>
      <c r="G205" s="145" t="s">
        <v>2065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465</v>
      </c>
      <c r="O205" s="145" t="s">
        <v>339</v>
      </c>
      <c r="P205" s="145" t="s">
        <v>1210</v>
      </c>
      <c r="Q205" s="146">
        <v>131223</v>
      </c>
      <c r="R205" s="146">
        <v>1</v>
      </c>
      <c r="S205" s="146">
        <v>9985</v>
      </c>
      <c r="T205" s="151"/>
      <c r="U205" s="146">
        <v>13102.617</v>
      </c>
      <c r="V205" s="148">
        <v>6.3699999999999998E-3</v>
      </c>
      <c r="W205" s="148">
        <v>2.4099999999999998E-3</v>
      </c>
      <c r="X205" s="149">
        <v>5.4000000000000001E-4</v>
      </c>
      <c r="Y205" s="199"/>
    </row>
    <row r="206" spans="1:25" x14ac:dyDescent="0.2">
      <c r="A206" s="144" t="s">
        <v>1217</v>
      </c>
      <c r="B206" s="145" t="s">
        <v>1217</v>
      </c>
      <c r="C206" s="145" t="s">
        <v>2058</v>
      </c>
      <c r="D206" s="145" t="s">
        <v>2059</v>
      </c>
      <c r="E206" s="145" t="s">
        <v>309</v>
      </c>
      <c r="F206" s="145" t="s">
        <v>2060</v>
      </c>
      <c r="G206" s="145" t="s">
        <v>2061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456</v>
      </c>
      <c r="O206" s="145" t="s">
        <v>339</v>
      </c>
      <c r="P206" s="145" t="s">
        <v>1210</v>
      </c>
      <c r="Q206" s="146">
        <v>1282033</v>
      </c>
      <c r="R206" s="146">
        <v>1</v>
      </c>
      <c r="S206" s="146">
        <v>988.4</v>
      </c>
      <c r="T206" s="146">
        <v>119.95099999999999</v>
      </c>
      <c r="U206" s="146">
        <v>12791.565000000001</v>
      </c>
      <c r="V206" s="148">
        <v>1.2E-2</v>
      </c>
      <c r="W206" s="148">
        <v>2.3700000000000001E-3</v>
      </c>
      <c r="X206" s="149">
        <v>5.2999999999999998E-4</v>
      </c>
      <c r="Y206" s="199"/>
    </row>
    <row r="207" spans="1:25" x14ac:dyDescent="0.2">
      <c r="A207" s="144" t="s">
        <v>1217</v>
      </c>
      <c r="B207" s="145" t="s">
        <v>1217</v>
      </c>
      <c r="C207" s="145" t="s">
        <v>2070</v>
      </c>
      <c r="D207" s="145" t="s">
        <v>2071</v>
      </c>
      <c r="E207" s="145" t="s">
        <v>309</v>
      </c>
      <c r="F207" s="145" t="s">
        <v>2072</v>
      </c>
      <c r="G207" s="145" t="s">
        <v>2073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445</v>
      </c>
      <c r="O207" s="145" t="s">
        <v>339</v>
      </c>
      <c r="P207" s="145" t="s">
        <v>1210</v>
      </c>
      <c r="Q207" s="146">
        <v>74301</v>
      </c>
      <c r="R207" s="146">
        <v>1</v>
      </c>
      <c r="S207" s="146">
        <v>15580</v>
      </c>
      <c r="T207" s="151"/>
      <c r="U207" s="146">
        <v>11576.096</v>
      </c>
      <c r="V207" s="148">
        <v>5.0400000000000002E-3</v>
      </c>
      <c r="W207" s="148">
        <v>2.1299999999999999E-3</v>
      </c>
      <c r="X207" s="149">
        <v>4.8000000000000001E-4</v>
      </c>
      <c r="Y207" s="199"/>
    </row>
    <row r="208" spans="1:25" x14ac:dyDescent="0.2">
      <c r="A208" s="144" t="s">
        <v>1217</v>
      </c>
      <c r="B208" s="145" t="s">
        <v>1217</v>
      </c>
      <c r="C208" s="145" t="s">
        <v>2082</v>
      </c>
      <c r="D208" s="145" t="s">
        <v>2083</v>
      </c>
      <c r="E208" s="145" t="s">
        <v>309</v>
      </c>
      <c r="F208" s="145" t="s">
        <v>2084</v>
      </c>
      <c r="G208" s="145" t="s">
        <v>2085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454</v>
      </c>
      <c r="O208" s="145" t="s">
        <v>339</v>
      </c>
      <c r="P208" s="145" t="s">
        <v>1210</v>
      </c>
      <c r="Q208" s="146">
        <v>1735572</v>
      </c>
      <c r="R208" s="146">
        <v>1</v>
      </c>
      <c r="S208" s="146">
        <v>665.7</v>
      </c>
      <c r="T208" s="151"/>
      <c r="U208" s="146">
        <v>11553.703</v>
      </c>
      <c r="V208" s="148">
        <v>2.0060000000000001E-2</v>
      </c>
      <c r="W208" s="148">
        <v>2.1199999999999999E-3</v>
      </c>
      <c r="X208" s="149">
        <v>4.8000000000000001E-4</v>
      </c>
      <c r="Y208" s="199"/>
    </row>
    <row r="209" spans="1:25" x14ac:dyDescent="0.2">
      <c r="A209" s="144" t="s">
        <v>1217</v>
      </c>
      <c r="B209" s="145" t="s">
        <v>1217</v>
      </c>
      <c r="C209" s="145" t="s">
        <v>2074</v>
      </c>
      <c r="D209" s="145" t="s">
        <v>2075</v>
      </c>
      <c r="E209" s="145" t="s">
        <v>309</v>
      </c>
      <c r="F209" s="145" t="s">
        <v>2076</v>
      </c>
      <c r="G209" s="145" t="s">
        <v>2077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448</v>
      </c>
      <c r="O209" s="145" t="s">
        <v>339</v>
      </c>
      <c r="P209" s="145" t="s">
        <v>1210</v>
      </c>
      <c r="Q209" s="146">
        <v>58157</v>
      </c>
      <c r="R209" s="146">
        <v>1</v>
      </c>
      <c r="S209" s="146">
        <v>19520</v>
      </c>
      <c r="T209" s="146">
        <v>179.625</v>
      </c>
      <c r="U209" s="146">
        <v>11531.871999999999</v>
      </c>
      <c r="V209" s="148">
        <v>1.64E-3</v>
      </c>
      <c r="W209" s="148">
        <v>2.15E-3</v>
      </c>
      <c r="X209" s="149">
        <v>4.8000000000000001E-4</v>
      </c>
      <c r="Y209" s="199"/>
    </row>
    <row r="210" spans="1:25" x14ac:dyDescent="0.2">
      <c r="A210" s="144" t="s">
        <v>1217</v>
      </c>
      <c r="B210" s="145" t="s">
        <v>1217</v>
      </c>
      <c r="C210" s="145" t="s">
        <v>2078</v>
      </c>
      <c r="D210" s="145" t="s">
        <v>2079</v>
      </c>
      <c r="E210" s="145" t="s">
        <v>309</v>
      </c>
      <c r="F210" s="145" t="s">
        <v>2080</v>
      </c>
      <c r="G210" s="145" t="s">
        <v>2081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446</v>
      </c>
      <c r="O210" s="145" t="s">
        <v>339</v>
      </c>
      <c r="P210" s="145" t="s">
        <v>1210</v>
      </c>
      <c r="Q210" s="146">
        <v>369975</v>
      </c>
      <c r="R210" s="146">
        <v>1</v>
      </c>
      <c r="S210" s="146">
        <v>3094</v>
      </c>
      <c r="T210" s="151"/>
      <c r="U210" s="146">
        <v>11447.027</v>
      </c>
      <c r="V210" s="148">
        <v>1.461E-2</v>
      </c>
      <c r="W210" s="148">
        <v>2.0999999999999999E-3</v>
      </c>
      <c r="X210" s="149">
        <v>4.6999999999999999E-4</v>
      </c>
      <c r="Y210" s="199"/>
    </row>
    <row r="211" spans="1:25" x14ac:dyDescent="0.2">
      <c r="A211" s="144" t="s">
        <v>1217</v>
      </c>
      <c r="B211" s="145" t="s">
        <v>1217</v>
      </c>
      <c r="C211" s="145" t="s">
        <v>2094</v>
      </c>
      <c r="D211" s="145" t="s">
        <v>2095</v>
      </c>
      <c r="E211" s="145" t="s">
        <v>309</v>
      </c>
      <c r="F211" s="145" t="s">
        <v>2096</v>
      </c>
      <c r="G211" s="145" t="s">
        <v>2097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445</v>
      </c>
      <c r="O211" s="145" t="s">
        <v>339</v>
      </c>
      <c r="P211" s="145" t="s">
        <v>1210</v>
      </c>
      <c r="Q211" s="146">
        <v>247880</v>
      </c>
      <c r="R211" s="146">
        <v>1</v>
      </c>
      <c r="S211" s="146">
        <v>4458</v>
      </c>
      <c r="T211" s="146">
        <v>297.94499999999999</v>
      </c>
      <c r="U211" s="146">
        <v>11348.436</v>
      </c>
      <c r="V211" s="148">
        <v>9.9299999999999996E-3</v>
      </c>
      <c r="W211" s="148">
        <v>2.14E-3</v>
      </c>
      <c r="X211" s="149">
        <v>4.8000000000000001E-4</v>
      </c>
      <c r="Y211" s="199"/>
    </row>
    <row r="212" spans="1:25" x14ac:dyDescent="0.2">
      <c r="A212" s="144" t="s">
        <v>1217</v>
      </c>
      <c r="B212" s="145" t="s">
        <v>1217</v>
      </c>
      <c r="C212" s="145" t="s">
        <v>2086</v>
      </c>
      <c r="D212" s="145" t="s">
        <v>2087</v>
      </c>
      <c r="E212" s="145" t="s">
        <v>309</v>
      </c>
      <c r="F212" s="145" t="s">
        <v>2088</v>
      </c>
      <c r="G212" s="145" t="s">
        <v>2089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475</v>
      </c>
      <c r="O212" s="145" t="s">
        <v>339</v>
      </c>
      <c r="P212" s="145" t="s">
        <v>1210</v>
      </c>
      <c r="Q212" s="146">
        <v>154078</v>
      </c>
      <c r="R212" s="146">
        <v>1</v>
      </c>
      <c r="S212" s="146">
        <v>7251</v>
      </c>
      <c r="T212" s="151"/>
      <c r="U212" s="146">
        <v>11172.196</v>
      </c>
      <c r="V212" s="148">
        <v>6.1599999999999997E-3</v>
      </c>
      <c r="W212" s="148">
        <v>2.0500000000000002E-3</v>
      </c>
      <c r="X212" s="149">
        <v>4.6000000000000001E-4</v>
      </c>
      <c r="Y212" s="199"/>
    </row>
    <row r="213" spans="1:25" x14ac:dyDescent="0.2">
      <c r="A213" s="144" t="s">
        <v>1217</v>
      </c>
      <c r="B213" s="145" t="s">
        <v>1217</v>
      </c>
      <c r="C213" s="145" t="s">
        <v>2090</v>
      </c>
      <c r="D213" s="145" t="s">
        <v>2091</v>
      </c>
      <c r="E213" s="145" t="s">
        <v>309</v>
      </c>
      <c r="F213" s="145" t="s">
        <v>2092</v>
      </c>
      <c r="G213" s="145" t="s">
        <v>2093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451</v>
      </c>
      <c r="O213" s="145" t="s">
        <v>339</v>
      </c>
      <c r="P213" s="145" t="s">
        <v>1210</v>
      </c>
      <c r="Q213" s="146">
        <v>20934000</v>
      </c>
      <c r="R213" s="146">
        <v>1</v>
      </c>
      <c r="S213" s="146">
        <v>51.6</v>
      </c>
      <c r="T213" s="151"/>
      <c r="U213" s="146">
        <v>10801.944</v>
      </c>
      <c r="V213" s="148">
        <v>6.8099999999999994E-2</v>
      </c>
      <c r="W213" s="148">
        <v>1.98E-3</v>
      </c>
      <c r="X213" s="149">
        <v>4.4000000000000002E-4</v>
      </c>
      <c r="Y213" s="199"/>
    </row>
    <row r="214" spans="1:25" x14ac:dyDescent="0.2">
      <c r="A214" s="144" t="s">
        <v>1217</v>
      </c>
      <c r="B214" s="145" t="s">
        <v>1217</v>
      </c>
      <c r="C214" s="145" t="s">
        <v>1774</v>
      </c>
      <c r="D214" s="145" t="s">
        <v>1775</v>
      </c>
      <c r="E214" s="145" t="s">
        <v>309</v>
      </c>
      <c r="F214" s="145" t="s">
        <v>2098</v>
      </c>
      <c r="G214" s="145" t="s">
        <v>2099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464</v>
      </c>
      <c r="O214" s="145" t="s">
        <v>339</v>
      </c>
      <c r="P214" s="145" t="s">
        <v>1210</v>
      </c>
      <c r="Q214" s="146">
        <v>591799</v>
      </c>
      <c r="R214" s="146">
        <v>1</v>
      </c>
      <c r="S214" s="146">
        <v>1783</v>
      </c>
      <c r="T214" s="151"/>
      <c r="U214" s="146">
        <v>10551.776</v>
      </c>
      <c r="V214" s="148">
        <v>3.0400000000000002E-3</v>
      </c>
      <c r="W214" s="148">
        <v>1.9400000000000001E-3</v>
      </c>
      <c r="X214" s="149">
        <v>4.2999999999999999E-4</v>
      </c>
      <c r="Y214" s="199"/>
    </row>
    <row r="215" spans="1:25" x14ac:dyDescent="0.2">
      <c r="A215" s="144" t="s">
        <v>1217</v>
      </c>
      <c r="B215" s="145" t="s">
        <v>1217</v>
      </c>
      <c r="C215" s="145" t="s">
        <v>2102</v>
      </c>
      <c r="D215" s="145" t="s">
        <v>2103</v>
      </c>
      <c r="E215" s="145" t="s">
        <v>309</v>
      </c>
      <c r="F215" s="145" t="s">
        <v>2104</v>
      </c>
      <c r="G215" s="145" t="s">
        <v>2105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465</v>
      </c>
      <c r="O215" s="145" t="s">
        <v>339</v>
      </c>
      <c r="P215" s="145" t="s">
        <v>1210</v>
      </c>
      <c r="Q215" s="146">
        <v>188542</v>
      </c>
      <c r="R215" s="146">
        <v>1</v>
      </c>
      <c r="S215" s="146">
        <v>5364</v>
      </c>
      <c r="T215" s="151"/>
      <c r="U215" s="146">
        <v>10113.393</v>
      </c>
      <c r="V215" s="148">
        <v>2.5500000000000002E-3</v>
      </c>
      <c r="W215" s="148">
        <v>1.8600000000000001E-3</v>
      </c>
      <c r="X215" s="149">
        <v>4.2000000000000002E-4</v>
      </c>
      <c r="Y215" s="199"/>
    </row>
    <row r="216" spans="1:25" x14ac:dyDescent="0.2">
      <c r="A216" s="144" t="s">
        <v>1217</v>
      </c>
      <c r="B216" s="145" t="s">
        <v>1217</v>
      </c>
      <c r="C216" s="145" t="s">
        <v>1563</v>
      </c>
      <c r="D216" s="145" t="s">
        <v>1564</v>
      </c>
      <c r="E216" s="145" t="s">
        <v>309</v>
      </c>
      <c r="F216" s="145" t="s">
        <v>2100</v>
      </c>
      <c r="G216" s="145" t="s">
        <v>2101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447</v>
      </c>
      <c r="O216" s="145" t="s">
        <v>339</v>
      </c>
      <c r="P216" s="145" t="s">
        <v>1210</v>
      </c>
      <c r="Q216" s="146">
        <v>202300</v>
      </c>
      <c r="R216" s="146">
        <v>1</v>
      </c>
      <c r="S216" s="146">
        <v>4712</v>
      </c>
      <c r="T216" s="151"/>
      <c r="U216" s="146">
        <v>9532.3760000000002</v>
      </c>
      <c r="V216" s="148">
        <v>3.2100000000000002E-3</v>
      </c>
      <c r="W216" s="148">
        <v>1.75E-3</v>
      </c>
      <c r="X216" s="149">
        <v>3.8999999999999999E-4</v>
      </c>
      <c r="Y216" s="199"/>
    </row>
    <row r="217" spans="1:25" x14ac:dyDescent="0.2">
      <c r="A217" s="144" t="s">
        <v>1217</v>
      </c>
      <c r="B217" s="145" t="s">
        <v>1217</v>
      </c>
      <c r="C217" s="145" t="s">
        <v>2108</v>
      </c>
      <c r="D217" s="145" t="s">
        <v>2109</v>
      </c>
      <c r="E217" s="145" t="s">
        <v>309</v>
      </c>
      <c r="F217" s="145" t="s">
        <v>2110</v>
      </c>
      <c r="G217" s="145" t="s">
        <v>2111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441</v>
      </c>
      <c r="O217" s="145" t="s">
        <v>339</v>
      </c>
      <c r="P217" s="145" t="s">
        <v>1210</v>
      </c>
      <c r="Q217" s="146">
        <v>883753.12</v>
      </c>
      <c r="R217" s="146">
        <v>1</v>
      </c>
      <c r="S217" s="146">
        <v>1013</v>
      </c>
      <c r="T217" s="146">
        <v>88.375</v>
      </c>
      <c r="U217" s="146">
        <v>9040.7939999999999</v>
      </c>
      <c r="V217" s="148">
        <v>1.6100000000000001E-3</v>
      </c>
      <c r="W217" s="148">
        <v>1.6800000000000001E-3</v>
      </c>
      <c r="X217" s="149">
        <v>3.8000000000000002E-4</v>
      </c>
      <c r="Y217" s="199"/>
    </row>
    <row r="218" spans="1:25" x14ac:dyDescent="0.2">
      <c r="A218" s="144" t="s">
        <v>1217</v>
      </c>
      <c r="B218" s="145" t="s">
        <v>1217</v>
      </c>
      <c r="C218" s="145" t="s">
        <v>2116</v>
      </c>
      <c r="D218" s="145" t="s">
        <v>2117</v>
      </c>
      <c r="E218" s="145" t="s">
        <v>309</v>
      </c>
      <c r="F218" s="145" t="s">
        <v>2118</v>
      </c>
      <c r="G218" s="145" t="s">
        <v>2119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480</v>
      </c>
      <c r="O218" s="145" t="s">
        <v>339</v>
      </c>
      <c r="P218" s="145" t="s">
        <v>1210</v>
      </c>
      <c r="Q218" s="146">
        <v>266963</v>
      </c>
      <c r="R218" s="146">
        <v>1</v>
      </c>
      <c r="S218" s="146">
        <v>814</v>
      </c>
      <c r="T218" s="151"/>
      <c r="U218" s="146">
        <v>8074.6959999999999</v>
      </c>
      <c r="V218" s="148">
        <v>5.6800000000000002E-3</v>
      </c>
      <c r="W218" s="148">
        <v>1.48E-3</v>
      </c>
      <c r="X218" s="149">
        <v>3.3E-4</v>
      </c>
      <c r="Y218" s="199"/>
    </row>
    <row r="219" spans="1:25" x14ac:dyDescent="0.2">
      <c r="A219" s="144" t="s">
        <v>1217</v>
      </c>
      <c r="B219" s="145" t="s">
        <v>1217</v>
      </c>
      <c r="C219" s="145" t="s">
        <v>2120</v>
      </c>
      <c r="D219" s="145" t="s">
        <v>2121</v>
      </c>
      <c r="E219" s="145" t="s">
        <v>309</v>
      </c>
      <c r="F219" s="145" t="s">
        <v>2122</v>
      </c>
      <c r="G219" s="145" t="s">
        <v>2123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464</v>
      </c>
      <c r="O219" s="145" t="s">
        <v>339</v>
      </c>
      <c r="P219" s="145" t="s">
        <v>1210</v>
      </c>
      <c r="Q219" s="146">
        <v>4213665</v>
      </c>
      <c r="R219" s="146">
        <v>1</v>
      </c>
      <c r="S219" s="146">
        <v>184</v>
      </c>
      <c r="T219" s="151"/>
      <c r="U219" s="146">
        <v>7753.1440000000002</v>
      </c>
      <c r="V219" s="148">
        <v>5.5500000000000002E-3</v>
      </c>
      <c r="W219" s="148">
        <v>1.42E-3</v>
      </c>
      <c r="X219" s="149">
        <v>3.2000000000000003E-4</v>
      </c>
      <c r="Y219" s="199"/>
    </row>
    <row r="220" spans="1:25" x14ac:dyDescent="0.2">
      <c r="A220" s="144" t="s">
        <v>1217</v>
      </c>
      <c r="B220" s="145" t="s">
        <v>1217</v>
      </c>
      <c r="C220" s="145" t="s">
        <v>1661</v>
      </c>
      <c r="D220" s="145" t="s">
        <v>1662</v>
      </c>
      <c r="E220" s="145" t="s">
        <v>309</v>
      </c>
      <c r="F220" s="145" t="s">
        <v>2106</v>
      </c>
      <c r="G220" s="145" t="s">
        <v>2107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464</v>
      </c>
      <c r="O220" s="145" t="s">
        <v>339</v>
      </c>
      <c r="P220" s="145" t="s">
        <v>1210</v>
      </c>
      <c r="Q220" s="146">
        <v>375151</v>
      </c>
      <c r="R220" s="146">
        <v>1</v>
      </c>
      <c r="S220" s="146">
        <v>1796</v>
      </c>
      <c r="T220" s="151"/>
      <c r="U220" s="146">
        <v>6737.7120000000004</v>
      </c>
      <c r="V220" s="148">
        <v>8.0000000000000004E-4</v>
      </c>
      <c r="W220" s="148">
        <v>1.24E-3</v>
      </c>
      <c r="X220" s="149">
        <v>2.7999999999999998E-4</v>
      </c>
      <c r="Y220" s="199"/>
    </row>
    <row r="221" spans="1:25" x14ac:dyDescent="0.2">
      <c r="A221" s="144" t="s">
        <v>1217</v>
      </c>
      <c r="B221" s="145" t="s">
        <v>1217</v>
      </c>
      <c r="C221" s="145" t="s">
        <v>2112</v>
      </c>
      <c r="D221" s="145" t="s">
        <v>2113</v>
      </c>
      <c r="E221" s="145" t="s">
        <v>309</v>
      </c>
      <c r="F221" s="145" t="s">
        <v>2114</v>
      </c>
      <c r="G221" s="145" t="s">
        <v>2115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462</v>
      </c>
      <c r="O221" s="145" t="s">
        <v>339</v>
      </c>
      <c r="P221" s="145" t="s">
        <v>1210</v>
      </c>
      <c r="Q221" s="146">
        <v>34109</v>
      </c>
      <c r="R221" s="146">
        <v>1</v>
      </c>
      <c r="S221" s="146">
        <v>19000</v>
      </c>
      <c r="T221" s="151"/>
      <c r="U221" s="146">
        <v>6480.71</v>
      </c>
      <c r="V221" s="148">
        <v>3.9699999999999996E-3</v>
      </c>
      <c r="W221" s="148">
        <v>1.1900000000000001E-3</v>
      </c>
      <c r="X221" s="149">
        <v>2.7E-4</v>
      </c>
      <c r="Y221" s="199"/>
    </row>
    <row r="222" spans="1:25" x14ac:dyDescent="0.2">
      <c r="A222" s="144" t="s">
        <v>1217</v>
      </c>
      <c r="B222" s="145" t="s">
        <v>1217</v>
      </c>
      <c r="C222" s="145" t="s">
        <v>2124</v>
      </c>
      <c r="D222" s="145" t="s">
        <v>2125</v>
      </c>
      <c r="E222" s="145" t="s">
        <v>309</v>
      </c>
      <c r="F222" s="145" t="s">
        <v>2126</v>
      </c>
      <c r="G222" s="145" t="s">
        <v>2127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464</v>
      </c>
      <c r="O222" s="145" t="s">
        <v>339</v>
      </c>
      <c r="P222" s="145" t="s">
        <v>1210</v>
      </c>
      <c r="Q222" s="146">
        <v>1607908.12</v>
      </c>
      <c r="R222" s="146">
        <v>1</v>
      </c>
      <c r="S222" s="146">
        <v>382</v>
      </c>
      <c r="T222" s="151"/>
      <c r="U222" s="146">
        <v>6142.2089999999998</v>
      </c>
      <c r="V222" s="148">
        <v>1.495E-2</v>
      </c>
      <c r="W222" s="148">
        <v>1.1299999999999999E-3</v>
      </c>
      <c r="X222" s="149">
        <v>2.5000000000000001E-4</v>
      </c>
      <c r="Y222" s="199"/>
    </row>
    <row r="223" spans="1:25" x14ac:dyDescent="0.2">
      <c r="A223" s="144" t="s">
        <v>1217</v>
      </c>
      <c r="B223" s="145" t="s">
        <v>1217</v>
      </c>
      <c r="C223" s="145" t="s">
        <v>2128</v>
      </c>
      <c r="D223" s="145" t="s">
        <v>2129</v>
      </c>
      <c r="E223" s="145" t="s">
        <v>309</v>
      </c>
      <c r="F223" s="145" t="s">
        <v>2130</v>
      </c>
      <c r="G223" s="145" t="s">
        <v>2131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477</v>
      </c>
      <c r="O223" s="145" t="s">
        <v>339</v>
      </c>
      <c r="P223" s="145" t="s">
        <v>1210</v>
      </c>
      <c r="Q223" s="146">
        <v>1200674.03</v>
      </c>
      <c r="R223" s="146">
        <v>1</v>
      </c>
      <c r="S223" s="146">
        <v>427.4</v>
      </c>
      <c r="T223" s="151"/>
      <c r="U223" s="146">
        <v>5131.6809999999996</v>
      </c>
      <c r="V223" s="148">
        <v>2.1770000000000001E-2</v>
      </c>
      <c r="W223" s="148">
        <v>9.3999999999999997E-4</v>
      </c>
      <c r="X223" s="149">
        <v>2.1000000000000001E-4</v>
      </c>
      <c r="Y223" s="199"/>
    </row>
    <row r="224" spans="1:25" x14ac:dyDescent="0.2">
      <c r="A224" s="144" t="s">
        <v>1217</v>
      </c>
      <c r="B224" s="145" t="s">
        <v>1217</v>
      </c>
      <c r="C224" s="145" t="s">
        <v>2132</v>
      </c>
      <c r="D224" s="145" t="s">
        <v>2133</v>
      </c>
      <c r="E224" s="145" t="s">
        <v>309</v>
      </c>
      <c r="F224" s="145" t="s">
        <v>2134</v>
      </c>
      <c r="G224" s="145" t="s">
        <v>2135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473</v>
      </c>
      <c r="O224" s="145" t="s">
        <v>339</v>
      </c>
      <c r="P224" s="145" t="s">
        <v>1210</v>
      </c>
      <c r="Q224" s="146">
        <v>1010124.59</v>
      </c>
      <c r="R224" s="146">
        <v>1</v>
      </c>
      <c r="S224" s="146">
        <v>385</v>
      </c>
      <c r="T224" s="151"/>
      <c r="U224" s="146">
        <v>3888.98</v>
      </c>
      <c r="V224" s="148">
        <v>9.1999999999999998E-3</v>
      </c>
      <c r="W224" s="148">
        <v>7.1000000000000002E-4</v>
      </c>
      <c r="X224" s="149">
        <v>1.6000000000000001E-4</v>
      </c>
      <c r="Y224" s="199"/>
    </row>
    <row r="225" spans="1:25" x14ac:dyDescent="0.2">
      <c r="A225" s="144" t="s">
        <v>1217</v>
      </c>
      <c r="B225" s="145" t="s">
        <v>1217</v>
      </c>
      <c r="C225" s="145" t="s">
        <v>2136</v>
      </c>
      <c r="D225" s="145" t="s">
        <v>2137</v>
      </c>
      <c r="E225" s="145" t="s">
        <v>309</v>
      </c>
      <c r="F225" s="145" t="s">
        <v>2138</v>
      </c>
      <c r="G225" s="145" t="s">
        <v>2139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447</v>
      </c>
      <c r="O225" s="145" t="s">
        <v>339</v>
      </c>
      <c r="P225" s="145" t="s">
        <v>1210</v>
      </c>
      <c r="Q225" s="146">
        <v>912920</v>
      </c>
      <c r="R225" s="146">
        <v>1</v>
      </c>
      <c r="S225" s="146">
        <v>364</v>
      </c>
      <c r="T225" s="151"/>
      <c r="U225" s="146">
        <v>3323.029</v>
      </c>
      <c r="V225" s="148">
        <v>1.154E-2</v>
      </c>
      <c r="W225" s="148">
        <v>6.0999999999999997E-4</v>
      </c>
      <c r="X225" s="149">
        <v>1.3999999999999999E-4</v>
      </c>
      <c r="Y225" s="199"/>
    </row>
    <row r="226" spans="1:25" x14ac:dyDescent="0.2">
      <c r="A226" s="144" t="s">
        <v>1217</v>
      </c>
      <c r="B226" s="145" t="s">
        <v>1217</v>
      </c>
      <c r="C226" s="145" t="s">
        <v>2140</v>
      </c>
      <c r="D226" s="145" t="s">
        <v>2141</v>
      </c>
      <c r="E226" s="145" t="s">
        <v>309</v>
      </c>
      <c r="F226" s="145" t="s">
        <v>2142</v>
      </c>
      <c r="G226" s="145" t="s">
        <v>2143</v>
      </c>
      <c r="H226" s="145" t="s">
        <v>321</v>
      </c>
      <c r="I226" s="145" t="s">
        <v>917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440</v>
      </c>
      <c r="O226" s="145" t="s">
        <v>339</v>
      </c>
      <c r="P226" s="145" t="s">
        <v>1210</v>
      </c>
      <c r="Q226" s="146">
        <v>45011</v>
      </c>
      <c r="R226" s="146">
        <v>1</v>
      </c>
      <c r="S226" s="146">
        <v>5339</v>
      </c>
      <c r="T226" s="151"/>
      <c r="U226" s="146">
        <v>2403.1370000000002</v>
      </c>
      <c r="V226" s="148">
        <v>3.5999999999999999E-3</v>
      </c>
      <c r="W226" s="148">
        <v>4.4000000000000002E-4</v>
      </c>
      <c r="X226" s="149">
        <v>1E-4</v>
      </c>
      <c r="Y226" s="199"/>
    </row>
    <row r="227" spans="1:25" x14ac:dyDescent="0.2">
      <c r="A227" s="144" t="s">
        <v>1217</v>
      </c>
      <c r="B227" s="145" t="s">
        <v>1217</v>
      </c>
      <c r="C227" s="145" t="s">
        <v>2148</v>
      </c>
      <c r="D227" s="145" t="s">
        <v>2149</v>
      </c>
      <c r="E227" s="145" t="s">
        <v>309</v>
      </c>
      <c r="F227" s="145" t="s">
        <v>2150</v>
      </c>
      <c r="G227" s="145" t="s">
        <v>2151</v>
      </c>
      <c r="H227" s="145" t="s">
        <v>321</v>
      </c>
      <c r="I227" s="145" t="s">
        <v>917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439</v>
      </c>
      <c r="O227" s="145" t="s">
        <v>339</v>
      </c>
      <c r="P227" s="145" t="s">
        <v>1210</v>
      </c>
      <c r="Q227" s="146">
        <v>670143</v>
      </c>
      <c r="R227" s="146">
        <v>1</v>
      </c>
      <c r="S227" s="146">
        <v>219.8</v>
      </c>
      <c r="T227" s="151"/>
      <c r="U227" s="146">
        <v>1472.9739999999999</v>
      </c>
      <c r="V227" s="148">
        <v>1.7170000000000001E-2</v>
      </c>
      <c r="W227" s="148">
        <v>2.7E-4</v>
      </c>
      <c r="X227" s="149">
        <v>6.0000000000000002E-5</v>
      </c>
      <c r="Y227" s="199"/>
    </row>
    <row r="228" spans="1:25" x14ac:dyDescent="0.2">
      <c r="A228" s="144" t="s">
        <v>1217</v>
      </c>
      <c r="B228" s="145" t="s">
        <v>1217</v>
      </c>
      <c r="C228" s="145" t="s">
        <v>2144</v>
      </c>
      <c r="D228" s="145" t="s">
        <v>2145</v>
      </c>
      <c r="E228" s="145" t="s">
        <v>309</v>
      </c>
      <c r="F228" s="145" t="s">
        <v>2146</v>
      </c>
      <c r="G228" s="145" t="s">
        <v>2147</v>
      </c>
      <c r="H228" s="145" t="s">
        <v>321</v>
      </c>
      <c r="I228" s="145" t="s">
        <v>917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459</v>
      </c>
      <c r="O228" s="145" t="s">
        <v>339</v>
      </c>
      <c r="P228" s="145" t="s">
        <v>1210</v>
      </c>
      <c r="Q228" s="146">
        <v>6452.23</v>
      </c>
      <c r="R228" s="146">
        <v>1</v>
      </c>
      <c r="S228" s="146">
        <v>22800</v>
      </c>
      <c r="T228" s="151"/>
      <c r="U228" s="146">
        <v>1471.1079999999999</v>
      </c>
      <c r="V228" s="148">
        <v>1.8699999999999999E-3</v>
      </c>
      <c r="W228" s="148">
        <v>2.7E-4</v>
      </c>
      <c r="X228" s="149">
        <v>6.0000000000000002E-5</v>
      </c>
      <c r="Y228" s="199"/>
    </row>
    <row r="229" spans="1:25" x14ac:dyDescent="0.2">
      <c r="A229" s="144" t="s">
        <v>1217</v>
      </c>
      <c r="B229" s="145" t="s">
        <v>1217</v>
      </c>
      <c r="C229" s="145" t="s">
        <v>2152</v>
      </c>
      <c r="D229" s="145" t="s">
        <v>2153</v>
      </c>
      <c r="E229" s="145" t="s">
        <v>309</v>
      </c>
      <c r="F229" s="145" t="s">
        <v>2154</v>
      </c>
      <c r="G229" s="145" t="s">
        <v>2155</v>
      </c>
      <c r="H229" s="145" t="s">
        <v>321</v>
      </c>
      <c r="I229" s="145" t="s">
        <v>917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480</v>
      </c>
      <c r="O229" s="145" t="s">
        <v>339</v>
      </c>
      <c r="P229" s="145" t="s">
        <v>1210</v>
      </c>
      <c r="Q229" s="146">
        <v>390320</v>
      </c>
      <c r="R229" s="146">
        <v>1</v>
      </c>
      <c r="S229" s="146">
        <v>206.9</v>
      </c>
      <c r="T229" s="151"/>
      <c r="U229" s="146">
        <v>807.572</v>
      </c>
      <c r="V229" s="148">
        <v>2.647E-2</v>
      </c>
      <c r="W229" s="148">
        <v>1.4999999999999999E-4</v>
      </c>
      <c r="X229" s="149">
        <v>3.0000000000000001E-5</v>
      </c>
      <c r="Y229" s="199"/>
    </row>
    <row r="230" spans="1:25" x14ac:dyDescent="0.2">
      <c r="A230" s="144" t="s">
        <v>1217</v>
      </c>
      <c r="B230" s="145" t="s">
        <v>1217</v>
      </c>
      <c r="C230" s="145" t="s">
        <v>2156</v>
      </c>
      <c r="D230" s="145" t="s">
        <v>2157</v>
      </c>
      <c r="E230" s="145" t="s">
        <v>309</v>
      </c>
      <c r="F230" s="145" t="s">
        <v>2158</v>
      </c>
      <c r="G230" s="145" t="s">
        <v>2159</v>
      </c>
      <c r="H230" s="145" t="s">
        <v>321</v>
      </c>
      <c r="I230" s="145" t="s">
        <v>917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473</v>
      </c>
      <c r="O230" s="145" t="s">
        <v>339</v>
      </c>
      <c r="P230" s="145" t="s">
        <v>1210</v>
      </c>
      <c r="Q230" s="146">
        <v>5187000</v>
      </c>
      <c r="R230" s="146">
        <v>1</v>
      </c>
      <c r="S230" s="146">
        <v>15.2</v>
      </c>
      <c r="T230" s="151"/>
      <c r="U230" s="146">
        <v>788.42399999999998</v>
      </c>
      <c r="V230" s="148">
        <v>4.6280000000000002E-2</v>
      </c>
      <c r="W230" s="148">
        <v>1.3999999999999999E-4</v>
      </c>
      <c r="X230" s="149">
        <v>3.0000000000000001E-5</v>
      </c>
      <c r="Y230" s="199"/>
    </row>
    <row r="231" spans="1:25" x14ac:dyDescent="0.2">
      <c r="A231" s="144" t="s">
        <v>1217</v>
      </c>
      <c r="B231" s="145" t="s">
        <v>1217</v>
      </c>
      <c r="C231" s="145" t="s">
        <v>2160</v>
      </c>
      <c r="D231" s="145" t="s">
        <v>2161</v>
      </c>
      <c r="E231" s="145" t="s">
        <v>309</v>
      </c>
      <c r="F231" s="145" t="s">
        <v>2162</v>
      </c>
      <c r="G231" s="145" t="s">
        <v>2163</v>
      </c>
      <c r="H231" s="145" t="s">
        <v>321</v>
      </c>
      <c r="I231" s="145" t="s">
        <v>917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480</v>
      </c>
      <c r="O231" s="145" t="s">
        <v>339</v>
      </c>
      <c r="P231" s="145" t="s">
        <v>1210</v>
      </c>
      <c r="Q231" s="146">
        <v>1682000</v>
      </c>
      <c r="R231" s="146">
        <v>1</v>
      </c>
      <c r="S231" s="146">
        <v>40.200000000000003</v>
      </c>
      <c r="T231" s="151"/>
      <c r="U231" s="146">
        <v>676.16399999999999</v>
      </c>
      <c r="V231" s="148">
        <v>9.2099999999999994E-3</v>
      </c>
      <c r="W231" s="148">
        <v>1.2E-4</v>
      </c>
      <c r="X231" s="149">
        <v>3.0000000000000001E-5</v>
      </c>
      <c r="Y231" s="199"/>
    </row>
    <row r="232" spans="1:25" x14ac:dyDescent="0.2">
      <c r="A232" s="144" t="s">
        <v>1217</v>
      </c>
      <c r="B232" s="145" t="s">
        <v>1217</v>
      </c>
      <c r="C232" s="145" t="s">
        <v>2164</v>
      </c>
      <c r="D232" s="145" t="s">
        <v>2165</v>
      </c>
      <c r="E232" s="145" t="s">
        <v>309</v>
      </c>
      <c r="F232" s="145" t="s">
        <v>2166</v>
      </c>
      <c r="G232" s="145" t="s">
        <v>2167</v>
      </c>
      <c r="H232" s="145" t="s">
        <v>321</v>
      </c>
      <c r="I232" s="145" t="s">
        <v>917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460</v>
      </c>
      <c r="O232" s="145" t="s">
        <v>339</v>
      </c>
      <c r="P232" s="145" t="s">
        <v>1210</v>
      </c>
      <c r="Q232" s="146">
        <v>677374</v>
      </c>
      <c r="R232" s="146">
        <v>1</v>
      </c>
      <c r="S232" s="146">
        <v>24.4</v>
      </c>
      <c r="T232" s="151"/>
      <c r="U232" s="146">
        <v>165.279</v>
      </c>
      <c r="V232" s="148">
        <v>2.5319999999999999E-2</v>
      </c>
      <c r="W232" s="148">
        <v>3.0000000000000001E-5</v>
      </c>
      <c r="X232" s="149">
        <v>1.0000000000000001E-5</v>
      </c>
      <c r="Y232" s="199"/>
    </row>
    <row r="233" spans="1:25" x14ac:dyDescent="0.2">
      <c r="A233" s="144" t="s">
        <v>1217</v>
      </c>
      <c r="B233" s="145" t="s">
        <v>1217</v>
      </c>
      <c r="C233" s="145" t="s">
        <v>2172</v>
      </c>
      <c r="D233" s="145" t="s">
        <v>2173</v>
      </c>
      <c r="E233" s="145" t="s">
        <v>313</v>
      </c>
      <c r="F233" s="145" t="s">
        <v>2172</v>
      </c>
      <c r="G233" s="145" t="s">
        <v>2174</v>
      </c>
      <c r="H233" s="145" t="s">
        <v>321</v>
      </c>
      <c r="I233" s="145" t="s">
        <v>917</v>
      </c>
      <c r="J233" s="145" t="s">
        <v>205</v>
      </c>
      <c r="K233" s="145" t="s">
        <v>224</v>
      </c>
      <c r="L233" s="145" t="s">
        <v>325</v>
      </c>
      <c r="M233" s="145" t="s">
        <v>346</v>
      </c>
      <c r="N233" s="145" t="s">
        <v>546</v>
      </c>
      <c r="O233" s="145" t="s">
        <v>339</v>
      </c>
      <c r="P233" s="145" t="s">
        <v>1211</v>
      </c>
      <c r="Q233" s="146">
        <v>79590</v>
      </c>
      <c r="R233" s="146">
        <v>3.718</v>
      </c>
      <c r="S233" s="146">
        <v>37539</v>
      </c>
      <c r="T233" s="151"/>
      <c r="U233" s="146">
        <v>111083.765</v>
      </c>
      <c r="V233" s="148">
        <v>1.0000000000000001E-5</v>
      </c>
      <c r="W233" s="148">
        <v>2.0410000000000001E-2</v>
      </c>
      <c r="X233" s="149">
        <v>4.5700000000000003E-3</v>
      </c>
      <c r="Y233" s="199"/>
    </row>
    <row r="234" spans="1:25" x14ac:dyDescent="0.2">
      <c r="A234" s="144" t="s">
        <v>1217</v>
      </c>
      <c r="B234" s="145" t="s">
        <v>1217</v>
      </c>
      <c r="C234" s="145" t="s">
        <v>2175</v>
      </c>
      <c r="D234" s="145" t="s">
        <v>2176</v>
      </c>
      <c r="E234" s="145" t="s">
        <v>313</v>
      </c>
      <c r="F234" s="145" t="s">
        <v>2177</v>
      </c>
      <c r="G234" s="145" t="s">
        <v>2178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344</v>
      </c>
      <c r="N234" s="145" t="s">
        <v>539</v>
      </c>
      <c r="O234" s="145" t="s">
        <v>339</v>
      </c>
      <c r="P234" s="145" t="s">
        <v>1211</v>
      </c>
      <c r="Q234" s="146">
        <v>77798</v>
      </c>
      <c r="R234" s="146">
        <v>3.718</v>
      </c>
      <c r="S234" s="146">
        <v>35046</v>
      </c>
      <c r="T234" s="151"/>
      <c r="U234" s="146">
        <v>101371.594</v>
      </c>
      <c r="V234" s="148">
        <v>4.0000000000000003E-5</v>
      </c>
      <c r="W234" s="148">
        <v>1.8630000000000001E-2</v>
      </c>
      <c r="X234" s="149">
        <v>4.1700000000000001E-3</v>
      </c>
      <c r="Y234" s="199"/>
    </row>
    <row r="235" spans="1:25" x14ac:dyDescent="0.2">
      <c r="A235" s="144" t="s">
        <v>1217</v>
      </c>
      <c r="B235" s="145" t="s">
        <v>1217</v>
      </c>
      <c r="C235" s="145" t="s">
        <v>2179</v>
      </c>
      <c r="D235" s="145" t="s">
        <v>2180</v>
      </c>
      <c r="E235" s="145" t="s">
        <v>313</v>
      </c>
      <c r="F235" s="145" t="s">
        <v>2179</v>
      </c>
      <c r="G235" s="145" t="s">
        <v>2181</v>
      </c>
      <c r="H235" s="145" t="s">
        <v>321</v>
      </c>
      <c r="I235" s="145" t="s">
        <v>917</v>
      </c>
      <c r="J235" s="145" t="s">
        <v>205</v>
      </c>
      <c r="K235" s="145" t="s">
        <v>224</v>
      </c>
      <c r="L235" s="145" t="s">
        <v>325</v>
      </c>
      <c r="M235" s="145" t="s">
        <v>346</v>
      </c>
      <c r="N235" s="145" t="s">
        <v>521</v>
      </c>
      <c r="O235" s="145" t="s">
        <v>339</v>
      </c>
      <c r="P235" s="145" t="s">
        <v>1211</v>
      </c>
      <c r="Q235" s="146">
        <v>133886</v>
      </c>
      <c r="R235" s="146">
        <v>3.718</v>
      </c>
      <c r="S235" s="146">
        <v>19026</v>
      </c>
      <c r="T235" s="151"/>
      <c r="U235" s="146">
        <v>94709.172999999995</v>
      </c>
      <c r="V235" s="148">
        <v>1.0000000000000001E-5</v>
      </c>
      <c r="W235" s="148">
        <v>1.7399999999999999E-2</v>
      </c>
      <c r="X235" s="149">
        <v>3.8999999999999998E-3</v>
      </c>
      <c r="Y235" s="199"/>
    </row>
    <row r="236" spans="1:25" x14ac:dyDescent="0.2">
      <c r="A236" s="144" t="s">
        <v>1217</v>
      </c>
      <c r="B236" s="145" t="s">
        <v>1217</v>
      </c>
      <c r="C236" s="145" t="s">
        <v>2195</v>
      </c>
      <c r="D236" s="145" t="s">
        <v>2196</v>
      </c>
      <c r="E236" s="145" t="s">
        <v>313</v>
      </c>
      <c r="F236" s="145" t="s">
        <v>2197</v>
      </c>
      <c r="G236" s="145" t="s">
        <v>2198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346</v>
      </c>
      <c r="N236" s="145" t="s">
        <v>546</v>
      </c>
      <c r="O236" s="145" t="s">
        <v>339</v>
      </c>
      <c r="P236" s="145" t="s">
        <v>1211</v>
      </c>
      <c r="Q236" s="146">
        <v>157919</v>
      </c>
      <c r="R236" s="146">
        <v>3.718</v>
      </c>
      <c r="S236" s="146">
        <v>15623</v>
      </c>
      <c r="T236" s="151"/>
      <c r="U236" s="146">
        <v>91729.326000000001</v>
      </c>
      <c r="V236" s="148">
        <v>3.0000000000000001E-5</v>
      </c>
      <c r="W236" s="148">
        <v>1.685E-2</v>
      </c>
      <c r="X236" s="149">
        <v>3.7699999999999999E-3</v>
      </c>
      <c r="Y236" s="199"/>
    </row>
    <row r="237" spans="1:25" x14ac:dyDescent="0.2">
      <c r="A237" s="144" t="s">
        <v>1217</v>
      </c>
      <c r="B237" s="145" t="s">
        <v>1217</v>
      </c>
      <c r="C237" s="145" t="s">
        <v>2182</v>
      </c>
      <c r="D237" s="145" t="s">
        <v>2183</v>
      </c>
      <c r="E237" s="145" t="s">
        <v>313</v>
      </c>
      <c r="F237" s="145" t="s">
        <v>2182</v>
      </c>
      <c r="G237" s="145" t="s">
        <v>2184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346</v>
      </c>
      <c r="N237" s="145" t="s">
        <v>544</v>
      </c>
      <c r="O237" s="145" t="s">
        <v>339</v>
      </c>
      <c r="P237" s="145" t="s">
        <v>1211</v>
      </c>
      <c r="Q237" s="146">
        <v>42389</v>
      </c>
      <c r="R237" s="146">
        <v>3.718</v>
      </c>
      <c r="S237" s="146">
        <v>57636</v>
      </c>
      <c r="T237" s="151"/>
      <c r="U237" s="146">
        <v>90835.663</v>
      </c>
      <c r="V237" s="148">
        <v>2.0000000000000002E-5</v>
      </c>
      <c r="W237" s="148">
        <v>1.669E-2</v>
      </c>
      <c r="X237" s="149">
        <v>3.7399999999999998E-3</v>
      </c>
      <c r="Y237" s="199"/>
    </row>
    <row r="238" spans="1:25" x14ac:dyDescent="0.2">
      <c r="A238" s="144" t="s">
        <v>1217</v>
      </c>
      <c r="B238" s="145" t="s">
        <v>1217</v>
      </c>
      <c r="C238" s="145" t="s">
        <v>2185</v>
      </c>
      <c r="D238" s="145" t="s">
        <v>2186</v>
      </c>
      <c r="E238" s="145" t="s">
        <v>313</v>
      </c>
      <c r="F238" s="145" t="s">
        <v>2185</v>
      </c>
      <c r="G238" s="145" t="s">
        <v>2187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346</v>
      </c>
      <c r="N238" s="145" t="s">
        <v>546</v>
      </c>
      <c r="O238" s="145" t="s">
        <v>339</v>
      </c>
      <c r="P238" s="145" t="s">
        <v>1211</v>
      </c>
      <c r="Q238" s="146">
        <v>213218</v>
      </c>
      <c r="R238" s="146">
        <v>3.718</v>
      </c>
      <c r="S238" s="146">
        <v>10838</v>
      </c>
      <c r="T238" s="146">
        <v>2.1320000000000001</v>
      </c>
      <c r="U238" s="146">
        <v>85925.578999999998</v>
      </c>
      <c r="V238" s="148">
        <v>1.0000000000000001E-5</v>
      </c>
      <c r="W238" s="148">
        <v>1.5789999999999998E-2</v>
      </c>
      <c r="X238" s="149">
        <v>3.5300000000000002E-3</v>
      </c>
      <c r="Y238" s="199"/>
    </row>
    <row r="239" spans="1:25" x14ac:dyDescent="0.2">
      <c r="A239" s="144" t="s">
        <v>1217</v>
      </c>
      <c r="B239" s="145" t="s">
        <v>1217</v>
      </c>
      <c r="C239" s="145" t="s">
        <v>2188</v>
      </c>
      <c r="D239" s="145" t="s">
        <v>2189</v>
      </c>
      <c r="E239" s="145" t="s">
        <v>313</v>
      </c>
      <c r="F239" s="145" t="s">
        <v>2188</v>
      </c>
      <c r="G239" s="145" t="s">
        <v>2190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344</v>
      </c>
      <c r="N239" s="145" t="s">
        <v>486</v>
      </c>
      <c r="O239" s="145" t="s">
        <v>339</v>
      </c>
      <c r="P239" s="145" t="s">
        <v>1211</v>
      </c>
      <c r="Q239" s="146">
        <v>298665</v>
      </c>
      <c r="R239" s="146">
        <v>3.718</v>
      </c>
      <c r="S239" s="146">
        <v>7089</v>
      </c>
      <c r="T239" s="151"/>
      <c r="U239" s="146">
        <v>78718.841</v>
      </c>
      <c r="V239" s="148">
        <v>1.4999999999999999E-4</v>
      </c>
      <c r="W239" s="148">
        <v>1.4460000000000001E-2</v>
      </c>
      <c r="X239" s="149">
        <v>3.2399999999999998E-3</v>
      </c>
      <c r="Y239" s="199"/>
    </row>
    <row r="240" spans="1:25" x14ac:dyDescent="0.2">
      <c r="A240" s="144" t="s">
        <v>1217</v>
      </c>
      <c r="B240" s="145" t="s">
        <v>1217</v>
      </c>
      <c r="C240" s="145" t="s">
        <v>2191</v>
      </c>
      <c r="D240" s="145" t="s">
        <v>2192</v>
      </c>
      <c r="E240" s="145" t="s">
        <v>309</v>
      </c>
      <c r="F240" s="145" t="s">
        <v>2193</v>
      </c>
      <c r="G240" s="145" t="s">
        <v>2194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344</v>
      </c>
      <c r="N240" s="145" t="s">
        <v>544</v>
      </c>
      <c r="O240" s="145" t="s">
        <v>339</v>
      </c>
      <c r="P240" s="145" t="s">
        <v>1211</v>
      </c>
      <c r="Q240" s="146">
        <v>1053352</v>
      </c>
      <c r="R240" s="146">
        <v>3.718</v>
      </c>
      <c r="S240" s="146">
        <v>1943</v>
      </c>
      <c r="T240" s="151"/>
      <c r="U240" s="146">
        <v>76094.928</v>
      </c>
      <c r="V240" s="148">
        <v>5.13E-3</v>
      </c>
      <c r="W240" s="148">
        <v>1.3979999999999999E-2</v>
      </c>
      <c r="X240" s="149">
        <v>3.13E-3</v>
      </c>
      <c r="Y240" s="199"/>
    </row>
    <row r="241" spans="1:25" x14ac:dyDescent="0.2">
      <c r="A241" s="144" t="s">
        <v>1217</v>
      </c>
      <c r="B241" s="145" t="s">
        <v>1217</v>
      </c>
      <c r="C241" s="145" t="s">
        <v>2199</v>
      </c>
      <c r="D241" s="145" t="s">
        <v>2200</v>
      </c>
      <c r="E241" s="145" t="s">
        <v>313</v>
      </c>
      <c r="F241" s="145" t="s">
        <v>2199</v>
      </c>
      <c r="G241" s="145" t="s">
        <v>2201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346</v>
      </c>
      <c r="N241" s="145" t="s">
        <v>544</v>
      </c>
      <c r="O241" s="145" t="s">
        <v>339</v>
      </c>
      <c r="P241" s="145" t="s">
        <v>1211</v>
      </c>
      <c r="Q241" s="146">
        <v>52596</v>
      </c>
      <c r="R241" s="146">
        <v>3.718</v>
      </c>
      <c r="S241" s="146">
        <v>38353</v>
      </c>
      <c r="T241" s="151"/>
      <c r="U241" s="146">
        <v>75000.031000000003</v>
      </c>
      <c r="V241" s="148">
        <v>1.2E-4</v>
      </c>
      <c r="W241" s="148">
        <v>1.3780000000000001E-2</v>
      </c>
      <c r="X241" s="149">
        <v>3.0899999999999999E-3</v>
      </c>
      <c r="Y241" s="199"/>
    </row>
    <row r="242" spans="1:25" x14ac:dyDescent="0.2">
      <c r="A242" s="144" t="s">
        <v>1217</v>
      </c>
      <c r="B242" s="145" t="s">
        <v>1217</v>
      </c>
      <c r="C242" s="145" t="s">
        <v>2202</v>
      </c>
      <c r="D242" s="145" t="s">
        <v>2203</v>
      </c>
      <c r="E242" s="145" t="s">
        <v>313</v>
      </c>
      <c r="F242" s="145" t="s">
        <v>2202</v>
      </c>
      <c r="G242" s="145" t="s">
        <v>2204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344</v>
      </c>
      <c r="N242" s="145" t="s">
        <v>497</v>
      </c>
      <c r="O242" s="145" t="s">
        <v>339</v>
      </c>
      <c r="P242" s="145" t="s">
        <v>1211</v>
      </c>
      <c r="Q242" s="146">
        <v>287459</v>
      </c>
      <c r="R242" s="146">
        <v>3.718</v>
      </c>
      <c r="S242" s="146">
        <v>6340</v>
      </c>
      <c r="T242" s="151"/>
      <c r="U242" s="146">
        <v>67760.179999999993</v>
      </c>
      <c r="V242" s="148">
        <v>3.2000000000000003E-4</v>
      </c>
      <c r="W242" s="148">
        <v>1.2449999999999999E-2</v>
      </c>
      <c r="X242" s="149">
        <v>2.7899999999999999E-3</v>
      </c>
      <c r="Y242" s="199"/>
    </row>
    <row r="243" spans="1:25" x14ac:dyDescent="0.2">
      <c r="A243" s="144" t="s">
        <v>1217</v>
      </c>
      <c r="B243" s="145" t="s">
        <v>1217</v>
      </c>
      <c r="C243" s="145" t="s">
        <v>2205</v>
      </c>
      <c r="D243" s="145" t="s">
        <v>2206</v>
      </c>
      <c r="E243" s="145" t="s">
        <v>313</v>
      </c>
      <c r="F243" s="145" t="s">
        <v>2207</v>
      </c>
      <c r="G243" s="145" t="s">
        <v>2208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344</v>
      </c>
      <c r="N243" s="145" t="s">
        <v>546</v>
      </c>
      <c r="O243" s="145" t="s">
        <v>339</v>
      </c>
      <c r="P243" s="145" t="s">
        <v>1211</v>
      </c>
      <c r="Q243" s="146">
        <v>102440</v>
      </c>
      <c r="R243" s="146">
        <v>3.718</v>
      </c>
      <c r="S243" s="146">
        <v>16600</v>
      </c>
      <c r="T243" s="146">
        <v>71.11</v>
      </c>
      <c r="U243" s="146">
        <v>63489.125</v>
      </c>
      <c r="V243" s="148">
        <v>2.0000000000000002E-5</v>
      </c>
      <c r="W243" s="148">
        <v>1.1679999999999999E-2</v>
      </c>
      <c r="X243" s="149">
        <v>2.6099999999999999E-3</v>
      </c>
      <c r="Y243" s="199"/>
    </row>
    <row r="244" spans="1:25" x14ac:dyDescent="0.2">
      <c r="A244" s="144" t="s">
        <v>1217</v>
      </c>
      <c r="B244" s="145" t="s">
        <v>1217</v>
      </c>
      <c r="C244" s="145" t="s">
        <v>2209</v>
      </c>
      <c r="D244" s="145" t="s">
        <v>2210</v>
      </c>
      <c r="E244" s="145" t="s">
        <v>313</v>
      </c>
      <c r="F244" s="145" t="s">
        <v>2211</v>
      </c>
      <c r="G244" s="145" t="s">
        <v>2212</v>
      </c>
      <c r="H244" s="145" t="s">
        <v>321</v>
      </c>
      <c r="I244" s="145" t="s">
        <v>917</v>
      </c>
      <c r="J244" s="145" t="s">
        <v>205</v>
      </c>
      <c r="K244" s="145" t="s">
        <v>224</v>
      </c>
      <c r="L244" s="145" t="s">
        <v>325</v>
      </c>
      <c r="M244" s="145" t="s">
        <v>344</v>
      </c>
      <c r="N244" s="145" t="s">
        <v>539</v>
      </c>
      <c r="O244" s="145" t="s">
        <v>339</v>
      </c>
      <c r="P244" s="145" t="s">
        <v>1211</v>
      </c>
      <c r="Q244" s="146">
        <v>138789</v>
      </c>
      <c r="R244" s="146">
        <v>3.718</v>
      </c>
      <c r="S244" s="146">
        <v>11561</v>
      </c>
      <c r="T244" s="151"/>
      <c r="U244" s="146">
        <v>59656.783000000003</v>
      </c>
      <c r="V244" s="148">
        <v>1.6000000000000001E-4</v>
      </c>
      <c r="W244" s="148">
        <v>1.0959999999999999E-2</v>
      </c>
      <c r="X244" s="149">
        <v>2.4499999999999999E-3</v>
      </c>
      <c r="Y244" s="199"/>
    </row>
    <row r="245" spans="1:25" x14ac:dyDescent="0.2">
      <c r="A245" s="144" t="s">
        <v>1217</v>
      </c>
      <c r="B245" s="145" t="s">
        <v>1217</v>
      </c>
      <c r="C245" s="145" t="s">
        <v>2213</v>
      </c>
      <c r="D245" s="145" t="s">
        <v>2214</v>
      </c>
      <c r="E245" s="145" t="s">
        <v>313</v>
      </c>
      <c r="F245" s="145" t="s">
        <v>2215</v>
      </c>
      <c r="G245" s="145" t="s">
        <v>2216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344</v>
      </c>
      <c r="N245" s="145" t="s">
        <v>539</v>
      </c>
      <c r="O245" s="145" t="s">
        <v>339</v>
      </c>
      <c r="P245" s="145" t="s">
        <v>1211</v>
      </c>
      <c r="Q245" s="146">
        <v>27896</v>
      </c>
      <c r="R245" s="146">
        <v>3.718</v>
      </c>
      <c r="S245" s="146">
        <v>54812</v>
      </c>
      <c r="T245" s="151"/>
      <c r="U245" s="146">
        <v>56849.542000000001</v>
      </c>
      <c r="V245" s="148">
        <v>3.0000000000000001E-5</v>
      </c>
      <c r="W245" s="148">
        <v>1.0449999999999999E-2</v>
      </c>
      <c r="X245" s="149">
        <v>2.3400000000000001E-3</v>
      </c>
      <c r="Y245" s="199"/>
    </row>
    <row r="246" spans="1:25" x14ac:dyDescent="0.2">
      <c r="A246" s="144" t="s">
        <v>1217</v>
      </c>
      <c r="B246" s="145" t="s">
        <v>1217</v>
      </c>
      <c r="C246" s="145" t="s">
        <v>2217</v>
      </c>
      <c r="D246" s="145" t="s">
        <v>2218</v>
      </c>
      <c r="E246" s="145" t="s">
        <v>313</v>
      </c>
      <c r="F246" s="145" t="s">
        <v>2219</v>
      </c>
      <c r="G246" s="145" t="s">
        <v>2220</v>
      </c>
      <c r="H246" s="145" t="s">
        <v>321</v>
      </c>
      <c r="I246" s="145" t="s">
        <v>917</v>
      </c>
      <c r="J246" s="145" t="s">
        <v>205</v>
      </c>
      <c r="K246" s="145" t="s">
        <v>224</v>
      </c>
      <c r="L246" s="145" t="s">
        <v>325</v>
      </c>
      <c r="M246" s="145" t="s">
        <v>344</v>
      </c>
      <c r="N246" s="145" t="s">
        <v>539</v>
      </c>
      <c r="O246" s="145" t="s">
        <v>339</v>
      </c>
      <c r="P246" s="145" t="s">
        <v>1211</v>
      </c>
      <c r="Q246" s="146">
        <v>27590</v>
      </c>
      <c r="R246" s="146">
        <v>3.718</v>
      </c>
      <c r="S246" s="146">
        <v>53258</v>
      </c>
      <c r="T246" s="151"/>
      <c r="U246" s="146">
        <v>54631.853999999999</v>
      </c>
      <c r="V246" s="148">
        <v>2.0000000000000002E-5</v>
      </c>
      <c r="W246" s="148">
        <v>1.004E-2</v>
      </c>
      <c r="X246" s="149">
        <v>2.2499999999999998E-3</v>
      </c>
      <c r="Y246" s="199"/>
    </row>
    <row r="247" spans="1:25" x14ac:dyDescent="0.2">
      <c r="A247" s="144" t="s">
        <v>1217</v>
      </c>
      <c r="B247" s="145" t="s">
        <v>1217</v>
      </c>
      <c r="C247" s="145" t="s">
        <v>2221</v>
      </c>
      <c r="D247" s="145" t="s">
        <v>2222</v>
      </c>
      <c r="E247" s="145" t="s">
        <v>313</v>
      </c>
      <c r="F247" s="145" t="s">
        <v>2221</v>
      </c>
      <c r="G247" s="145" t="s">
        <v>2223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344</v>
      </c>
      <c r="N247" s="145" t="s">
        <v>546</v>
      </c>
      <c r="O247" s="145" t="s">
        <v>339</v>
      </c>
      <c r="P247" s="145" t="s">
        <v>1211</v>
      </c>
      <c r="Q247" s="146">
        <v>86727</v>
      </c>
      <c r="R247" s="146">
        <v>3.718</v>
      </c>
      <c r="S247" s="146">
        <v>16743</v>
      </c>
      <c r="T247" s="146">
        <v>51.168999999999997</v>
      </c>
      <c r="U247" s="146">
        <v>54178.214999999997</v>
      </c>
      <c r="V247" s="148">
        <v>2.0000000000000002E-5</v>
      </c>
      <c r="W247" s="148">
        <v>9.9600000000000001E-3</v>
      </c>
      <c r="X247" s="149">
        <v>2.2300000000000002E-3</v>
      </c>
      <c r="Y247" s="199"/>
    </row>
    <row r="248" spans="1:25" x14ac:dyDescent="0.2">
      <c r="A248" s="144" t="s">
        <v>1217</v>
      </c>
      <c r="B248" s="145" t="s">
        <v>1217</v>
      </c>
      <c r="C248" s="145" t="s">
        <v>2224</v>
      </c>
      <c r="D248" s="145" t="s">
        <v>2225</v>
      </c>
      <c r="E248" s="145" t="s">
        <v>309</v>
      </c>
      <c r="F248" s="145" t="s">
        <v>2226</v>
      </c>
      <c r="G248" s="145" t="s">
        <v>2227</v>
      </c>
      <c r="H248" s="145" t="s">
        <v>321</v>
      </c>
      <c r="I248" s="145" t="s">
        <v>917</v>
      </c>
      <c r="J248" s="145" t="s">
        <v>205</v>
      </c>
      <c r="K248" s="145" t="s">
        <v>224</v>
      </c>
      <c r="L248" s="145" t="s">
        <v>325</v>
      </c>
      <c r="M248" s="145" t="s">
        <v>344</v>
      </c>
      <c r="N248" s="145" t="s">
        <v>458</v>
      </c>
      <c r="O248" s="145" t="s">
        <v>339</v>
      </c>
      <c r="P248" s="145" t="s">
        <v>1211</v>
      </c>
      <c r="Q248" s="146">
        <v>397552.54</v>
      </c>
      <c r="R248" s="146">
        <v>3.718</v>
      </c>
      <c r="S248" s="146">
        <v>13000</v>
      </c>
      <c r="T248" s="151"/>
      <c r="U248" s="146">
        <v>51925.396999999997</v>
      </c>
      <c r="V248" s="148">
        <v>3.5599999999999998E-3</v>
      </c>
      <c r="W248" s="148">
        <v>9.5399999999999999E-3</v>
      </c>
      <c r="X248" s="149">
        <v>2.14E-3</v>
      </c>
      <c r="Y248" s="199"/>
    </row>
    <row r="249" spans="1:25" x14ac:dyDescent="0.2">
      <c r="A249" s="144" t="s">
        <v>1217</v>
      </c>
      <c r="B249" s="145" t="s">
        <v>1217</v>
      </c>
      <c r="C249" s="145" t="s">
        <v>2228</v>
      </c>
      <c r="D249" s="145" t="s">
        <v>2229</v>
      </c>
      <c r="E249" s="145" t="s">
        <v>313</v>
      </c>
      <c r="F249" s="145" t="s">
        <v>2230</v>
      </c>
      <c r="G249" s="145" t="s">
        <v>2231</v>
      </c>
      <c r="H249" s="145" t="s">
        <v>321</v>
      </c>
      <c r="I249" s="145" t="s">
        <v>917</v>
      </c>
      <c r="J249" s="145" t="s">
        <v>205</v>
      </c>
      <c r="K249" s="145" t="s">
        <v>281</v>
      </c>
      <c r="L249" s="145" t="s">
        <v>325</v>
      </c>
      <c r="M249" s="145" t="s">
        <v>364</v>
      </c>
      <c r="N249" s="145" t="s">
        <v>517</v>
      </c>
      <c r="O249" s="145" t="s">
        <v>339</v>
      </c>
      <c r="P249" s="145" t="s">
        <v>1212</v>
      </c>
      <c r="Q249" s="146">
        <v>21570</v>
      </c>
      <c r="R249" s="146">
        <v>4.0220000000000002</v>
      </c>
      <c r="S249" s="146">
        <v>57170</v>
      </c>
      <c r="T249" s="151"/>
      <c r="U249" s="146">
        <v>49596.337</v>
      </c>
      <c r="V249" s="148">
        <v>4.0000000000000003E-5</v>
      </c>
      <c r="W249" s="148">
        <v>9.11E-3</v>
      </c>
      <c r="X249" s="149">
        <v>2.0400000000000001E-3</v>
      </c>
      <c r="Y249" s="199"/>
    </row>
    <row r="250" spans="1:25" x14ac:dyDescent="0.2">
      <c r="A250" s="144" t="s">
        <v>1217</v>
      </c>
      <c r="B250" s="145" t="s">
        <v>1217</v>
      </c>
      <c r="C250" s="145" t="s">
        <v>2232</v>
      </c>
      <c r="D250" s="145" t="s">
        <v>2233</v>
      </c>
      <c r="E250" s="145" t="s">
        <v>313</v>
      </c>
      <c r="F250" s="145" t="s">
        <v>2232</v>
      </c>
      <c r="G250" s="145" t="s">
        <v>2234</v>
      </c>
      <c r="H250" s="145" t="s">
        <v>321</v>
      </c>
      <c r="I250" s="145" t="s">
        <v>917</v>
      </c>
      <c r="J250" s="145" t="s">
        <v>205</v>
      </c>
      <c r="K250" s="145" t="s">
        <v>224</v>
      </c>
      <c r="L250" s="145" t="s">
        <v>325</v>
      </c>
      <c r="M250" s="145" t="s">
        <v>346</v>
      </c>
      <c r="N250" s="145" t="s">
        <v>544</v>
      </c>
      <c r="O250" s="145" t="s">
        <v>339</v>
      </c>
      <c r="P250" s="145" t="s">
        <v>1211</v>
      </c>
      <c r="Q250" s="146">
        <v>71716</v>
      </c>
      <c r="R250" s="146">
        <v>3.718</v>
      </c>
      <c r="S250" s="146">
        <v>17064</v>
      </c>
      <c r="T250" s="151"/>
      <c r="U250" s="146">
        <v>45499.464999999997</v>
      </c>
      <c r="V250" s="148">
        <v>1.1E-4</v>
      </c>
      <c r="W250" s="148">
        <v>8.3599999999999994E-3</v>
      </c>
      <c r="X250" s="149">
        <v>1.8699999999999999E-3</v>
      </c>
      <c r="Y250" s="199"/>
    </row>
    <row r="251" spans="1:25" x14ac:dyDescent="0.2">
      <c r="A251" s="144" t="s">
        <v>1217</v>
      </c>
      <c r="B251" s="145" t="s">
        <v>1217</v>
      </c>
      <c r="C251" s="145" t="s">
        <v>2235</v>
      </c>
      <c r="D251" s="145" t="s">
        <v>2236</v>
      </c>
      <c r="E251" s="145" t="s">
        <v>313</v>
      </c>
      <c r="F251" s="145" t="s">
        <v>2235</v>
      </c>
      <c r="G251" s="145" t="s">
        <v>2237</v>
      </c>
      <c r="H251" s="145" t="s">
        <v>321</v>
      </c>
      <c r="I251" s="145" t="s">
        <v>917</v>
      </c>
      <c r="J251" s="145" t="s">
        <v>205</v>
      </c>
      <c r="K251" s="145" t="s">
        <v>224</v>
      </c>
      <c r="L251" s="145" t="s">
        <v>325</v>
      </c>
      <c r="M251" s="145" t="s">
        <v>346</v>
      </c>
      <c r="N251" s="145" t="s">
        <v>546</v>
      </c>
      <c r="O251" s="145" t="s">
        <v>339</v>
      </c>
      <c r="P251" s="145" t="s">
        <v>1211</v>
      </c>
      <c r="Q251" s="146">
        <v>54267</v>
      </c>
      <c r="R251" s="146">
        <v>3.718</v>
      </c>
      <c r="S251" s="146">
        <v>22213</v>
      </c>
      <c r="T251" s="151"/>
      <c r="U251" s="146">
        <v>44817.993999999999</v>
      </c>
      <c r="V251" s="148">
        <v>0</v>
      </c>
      <c r="W251" s="148">
        <v>8.2299999999999995E-3</v>
      </c>
      <c r="X251" s="149">
        <v>1.8400000000000001E-3</v>
      </c>
      <c r="Y251" s="199"/>
    </row>
    <row r="252" spans="1:25" x14ac:dyDescent="0.2">
      <c r="A252" s="144" t="s">
        <v>1217</v>
      </c>
      <c r="B252" s="145" t="s">
        <v>1217</v>
      </c>
      <c r="C252" s="145" t="s">
        <v>2238</v>
      </c>
      <c r="D252" s="145" t="s">
        <v>2239</v>
      </c>
      <c r="E252" s="145" t="s">
        <v>313</v>
      </c>
      <c r="F252" s="145" t="s">
        <v>2238</v>
      </c>
      <c r="G252" s="145" t="s">
        <v>2240</v>
      </c>
      <c r="H252" s="145" t="s">
        <v>321</v>
      </c>
      <c r="I252" s="145" t="s">
        <v>917</v>
      </c>
      <c r="J252" s="145" t="s">
        <v>205</v>
      </c>
      <c r="K252" s="145" t="s">
        <v>224</v>
      </c>
      <c r="L252" s="145" t="s">
        <v>325</v>
      </c>
      <c r="M252" s="145" t="s">
        <v>346</v>
      </c>
      <c r="N252" s="145" t="s">
        <v>521</v>
      </c>
      <c r="O252" s="145" t="s">
        <v>339</v>
      </c>
      <c r="P252" s="145" t="s">
        <v>1211</v>
      </c>
      <c r="Q252" s="146">
        <v>12448</v>
      </c>
      <c r="R252" s="146">
        <v>3.718</v>
      </c>
      <c r="S252" s="146">
        <v>94578</v>
      </c>
      <c r="T252" s="151"/>
      <c r="U252" s="146">
        <v>43772.271999999997</v>
      </c>
      <c r="V252" s="148">
        <v>3.0000000000000001E-5</v>
      </c>
      <c r="W252" s="148">
        <v>8.0400000000000003E-3</v>
      </c>
      <c r="X252" s="149">
        <v>1.8E-3</v>
      </c>
      <c r="Y252" s="199"/>
    </row>
    <row r="253" spans="1:25" x14ac:dyDescent="0.2">
      <c r="A253" s="144" t="s">
        <v>1217</v>
      </c>
      <c r="B253" s="145" t="s">
        <v>1217</v>
      </c>
      <c r="C253" s="145" t="s">
        <v>2241</v>
      </c>
      <c r="D253" s="145" t="s">
        <v>2242</v>
      </c>
      <c r="E253" s="145" t="s">
        <v>313</v>
      </c>
      <c r="F253" s="145" t="s">
        <v>2243</v>
      </c>
      <c r="G253" s="145" t="s">
        <v>2244</v>
      </c>
      <c r="H253" s="145" t="s">
        <v>321</v>
      </c>
      <c r="I253" s="145" t="s">
        <v>917</v>
      </c>
      <c r="J253" s="145" t="s">
        <v>205</v>
      </c>
      <c r="K253" s="145" t="s">
        <v>224</v>
      </c>
      <c r="L253" s="145" t="s">
        <v>325</v>
      </c>
      <c r="M253" s="145" t="s">
        <v>344</v>
      </c>
      <c r="N253" s="145" t="s">
        <v>539</v>
      </c>
      <c r="O253" s="145" t="s">
        <v>339</v>
      </c>
      <c r="P253" s="145" t="s">
        <v>1211</v>
      </c>
      <c r="Q253" s="146">
        <v>83950</v>
      </c>
      <c r="R253" s="146">
        <v>3.718</v>
      </c>
      <c r="S253" s="146">
        <v>13978</v>
      </c>
      <c r="T253" s="151"/>
      <c r="U253" s="146">
        <v>43628.985999999997</v>
      </c>
      <c r="V253" s="148">
        <v>1.2E-4</v>
      </c>
      <c r="W253" s="148">
        <v>8.0199999999999994E-3</v>
      </c>
      <c r="X253" s="149">
        <v>1.7899999999999999E-3</v>
      </c>
      <c r="Y253" s="199"/>
    </row>
    <row r="254" spans="1:25" x14ac:dyDescent="0.2">
      <c r="A254" s="144" t="s">
        <v>1217</v>
      </c>
      <c r="B254" s="145" t="s">
        <v>1217</v>
      </c>
      <c r="C254" s="145" t="s">
        <v>2245</v>
      </c>
      <c r="D254" s="145" t="s">
        <v>2246</v>
      </c>
      <c r="E254" s="145" t="s">
        <v>309</v>
      </c>
      <c r="F254" s="145" t="s">
        <v>2247</v>
      </c>
      <c r="G254" s="145" t="s">
        <v>2248</v>
      </c>
      <c r="H254" s="145" t="s">
        <v>321</v>
      </c>
      <c r="I254" s="145" t="s">
        <v>917</v>
      </c>
      <c r="J254" s="145" t="s">
        <v>205</v>
      </c>
      <c r="K254" s="145" t="s">
        <v>204</v>
      </c>
      <c r="L254" s="145" t="s">
        <v>325</v>
      </c>
      <c r="M254" s="145" t="s">
        <v>344</v>
      </c>
      <c r="N254" s="145" t="s">
        <v>458</v>
      </c>
      <c r="O254" s="145" t="s">
        <v>339</v>
      </c>
      <c r="P254" s="145" t="s">
        <v>1211</v>
      </c>
      <c r="Q254" s="146">
        <v>62048</v>
      </c>
      <c r="R254" s="146">
        <v>3.718</v>
      </c>
      <c r="S254" s="146">
        <v>68020</v>
      </c>
      <c r="T254" s="151"/>
      <c r="U254" s="146">
        <v>42354.951999999997</v>
      </c>
      <c r="V254" s="148">
        <v>2.1199999999999999E-3</v>
      </c>
      <c r="W254" s="148">
        <v>7.7799999999999996E-3</v>
      </c>
      <c r="X254" s="149">
        <v>1.74E-3</v>
      </c>
      <c r="Y254" s="199"/>
    </row>
    <row r="255" spans="1:25" x14ac:dyDescent="0.2">
      <c r="A255" s="144" t="s">
        <v>1217</v>
      </c>
      <c r="B255" s="145" t="s">
        <v>1217</v>
      </c>
      <c r="C255" s="145" t="s">
        <v>2249</v>
      </c>
      <c r="D255" s="145" t="s">
        <v>2250</v>
      </c>
      <c r="E255" s="145" t="s">
        <v>313</v>
      </c>
      <c r="F255" s="145" t="s">
        <v>2249</v>
      </c>
      <c r="G255" s="145" t="s">
        <v>2251</v>
      </c>
      <c r="H255" s="145" t="s">
        <v>321</v>
      </c>
      <c r="I255" s="145" t="s">
        <v>917</v>
      </c>
      <c r="J255" s="145" t="s">
        <v>205</v>
      </c>
      <c r="K255" s="145" t="s">
        <v>281</v>
      </c>
      <c r="L255" s="145" t="s">
        <v>325</v>
      </c>
      <c r="M255" s="145" t="s">
        <v>364</v>
      </c>
      <c r="N255" s="145" t="s">
        <v>515</v>
      </c>
      <c r="O255" s="145" t="s">
        <v>339</v>
      </c>
      <c r="P255" s="145" t="s">
        <v>1212</v>
      </c>
      <c r="Q255" s="146">
        <v>4310</v>
      </c>
      <c r="R255" s="146">
        <v>4.0220000000000002</v>
      </c>
      <c r="S255" s="146">
        <v>241100</v>
      </c>
      <c r="T255" s="151"/>
      <c r="U255" s="146">
        <v>41793.212</v>
      </c>
      <c r="V255" s="148">
        <v>4.0000000000000003E-5</v>
      </c>
      <c r="W255" s="148">
        <v>7.6800000000000002E-3</v>
      </c>
      <c r="X255" s="149">
        <v>1.72E-3</v>
      </c>
      <c r="Y255" s="199"/>
    </row>
    <row r="256" spans="1:25" x14ac:dyDescent="0.2">
      <c r="A256" s="144" t="s">
        <v>1217</v>
      </c>
      <c r="B256" s="145" t="s">
        <v>1217</v>
      </c>
      <c r="C256" s="145" t="s">
        <v>2252</v>
      </c>
      <c r="D256" s="145" t="s">
        <v>2253</v>
      </c>
      <c r="E256" s="145" t="s">
        <v>313</v>
      </c>
      <c r="F256" s="145" t="s">
        <v>2254</v>
      </c>
      <c r="G256" s="145" t="s">
        <v>2255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344</v>
      </c>
      <c r="N256" s="145" t="s">
        <v>517</v>
      </c>
      <c r="O256" s="145" t="s">
        <v>339</v>
      </c>
      <c r="P256" s="145" t="s">
        <v>1211</v>
      </c>
      <c r="Q256" s="146">
        <v>122478</v>
      </c>
      <c r="R256" s="146">
        <v>3.718</v>
      </c>
      <c r="S256" s="146">
        <v>8779</v>
      </c>
      <c r="T256" s="146">
        <v>28.782</v>
      </c>
      <c r="U256" s="146">
        <v>40084.226000000002</v>
      </c>
      <c r="V256" s="148">
        <v>2.0000000000000002E-5</v>
      </c>
      <c r="W256" s="148">
        <v>7.3699999999999998E-3</v>
      </c>
      <c r="X256" s="149">
        <v>1.65E-3</v>
      </c>
      <c r="Y256" s="199"/>
    </row>
    <row r="257" spans="1:25" x14ac:dyDescent="0.2">
      <c r="A257" s="144" t="s">
        <v>1217</v>
      </c>
      <c r="B257" s="145" t="s">
        <v>1217</v>
      </c>
      <c r="C257" s="145" t="s">
        <v>2256</v>
      </c>
      <c r="D257" s="145" t="s">
        <v>2257</v>
      </c>
      <c r="E257" s="145" t="s">
        <v>313</v>
      </c>
      <c r="F257" s="145" t="s">
        <v>2256</v>
      </c>
      <c r="G257" s="145" t="s">
        <v>2258</v>
      </c>
      <c r="H257" s="145" t="s">
        <v>321</v>
      </c>
      <c r="I257" s="145" t="s">
        <v>917</v>
      </c>
      <c r="J257" s="145" t="s">
        <v>205</v>
      </c>
      <c r="K257" s="145" t="s">
        <v>224</v>
      </c>
      <c r="L257" s="145" t="s">
        <v>325</v>
      </c>
      <c r="M257" s="145" t="s">
        <v>344</v>
      </c>
      <c r="N257" s="145" t="s">
        <v>544</v>
      </c>
      <c r="O257" s="145" t="s">
        <v>339</v>
      </c>
      <c r="P257" s="145" t="s">
        <v>1211</v>
      </c>
      <c r="Q257" s="146">
        <v>39020</v>
      </c>
      <c r="R257" s="146">
        <v>3.718</v>
      </c>
      <c r="S257" s="146">
        <v>26836</v>
      </c>
      <c r="T257" s="151"/>
      <c r="U257" s="146">
        <v>38932.692000000003</v>
      </c>
      <c r="V257" s="148">
        <v>4.0000000000000003E-5</v>
      </c>
      <c r="W257" s="148">
        <v>7.1500000000000001E-3</v>
      </c>
      <c r="X257" s="149">
        <v>1.6000000000000001E-3</v>
      </c>
      <c r="Y257" s="199"/>
    </row>
    <row r="258" spans="1:25" x14ac:dyDescent="0.2">
      <c r="A258" s="144" t="s">
        <v>1217</v>
      </c>
      <c r="B258" s="145" t="s">
        <v>1217</v>
      </c>
      <c r="C258" s="145" t="s">
        <v>2261</v>
      </c>
      <c r="D258" s="145" t="s">
        <v>2262</v>
      </c>
      <c r="E258" s="145" t="s">
        <v>313</v>
      </c>
      <c r="F258" s="145" t="s">
        <v>2261</v>
      </c>
      <c r="G258" s="145" t="s">
        <v>2263</v>
      </c>
      <c r="H258" s="145" t="s">
        <v>321</v>
      </c>
      <c r="I258" s="145" t="s">
        <v>917</v>
      </c>
      <c r="J258" s="145" t="s">
        <v>205</v>
      </c>
      <c r="K258" s="145" t="s">
        <v>224</v>
      </c>
      <c r="L258" s="145" t="s">
        <v>325</v>
      </c>
      <c r="M258" s="145" t="s">
        <v>344</v>
      </c>
      <c r="N258" s="145" t="s">
        <v>540</v>
      </c>
      <c r="O258" s="145" t="s">
        <v>339</v>
      </c>
      <c r="P258" s="145" t="s">
        <v>1211</v>
      </c>
      <c r="Q258" s="146">
        <v>33225</v>
      </c>
      <c r="R258" s="146">
        <v>3.718</v>
      </c>
      <c r="S258" s="146">
        <v>27183</v>
      </c>
      <c r="T258" s="151"/>
      <c r="U258" s="146">
        <v>33579.309000000001</v>
      </c>
      <c r="V258" s="148">
        <v>8.0000000000000007E-5</v>
      </c>
      <c r="W258" s="148">
        <v>6.1700000000000001E-3</v>
      </c>
      <c r="X258" s="149">
        <v>1.3799999999999999E-3</v>
      </c>
      <c r="Y258" s="199"/>
    </row>
    <row r="259" spans="1:25" x14ac:dyDescent="0.2">
      <c r="A259" s="144" t="s">
        <v>1217</v>
      </c>
      <c r="B259" s="145" t="s">
        <v>1217</v>
      </c>
      <c r="C259" s="145" t="s">
        <v>2268</v>
      </c>
      <c r="D259" s="145" t="s">
        <v>2269</v>
      </c>
      <c r="E259" s="145" t="s">
        <v>314</v>
      </c>
      <c r="F259" s="145" t="s">
        <v>2268</v>
      </c>
      <c r="G259" s="145" t="s">
        <v>2270</v>
      </c>
      <c r="H259" s="145" t="s">
        <v>321</v>
      </c>
      <c r="I259" s="145" t="s">
        <v>917</v>
      </c>
      <c r="J259" s="145" t="s">
        <v>205</v>
      </c>
      <c r="K259" s="145" t="s">
        <v>224</v>
      </c>
      <c r="L259" s="145" t="s">
        <v>325</v>
      </c>
      <c r="M259" s="145" t="s">
        <v>344</v>
      </c>
      <c r="N259" s="145" t="s">
        <v>544</v>
      </c>
      <c r="O259" s="145" t="s">
        <v>339</v>
      </c>
      <c r="P259" s="145" t="s">
        <v>1211</v>
      </c>
      <c r="Q259" s="146">
        <v>61265</v>
      </c>
      <c r="R259" s="146">
        <v>3.718</v>
      </c>
      <c r="S259" s="146">
        <v>13981</v>
      </c>
      <c r="T259" s="151"/>
      <c r="U259" s="146">
        <v>31846.379000000001</v>
      </c>
      <c r="V259" s="148">
        <v>2.0000000000000002E-5</v>
      </c>
      <c r="W259" s="148">
        <v>5.8500000000000002E-3</v>
      </c>
      <c r="X259" s="149">
        <v>1.31E-3</v>
      </c>
      <c r="Y259" s="199"/>
    </row>
    <row r="260" spans="1:25" x14ac:dyDescent="0.2">
      <c r="A260" s="144" t="s">
        <v>1217</v>
      </c>
      <c r="B260" s="145" t="s">
        <v>1217</v>
      </c>
      <c r="C260" s="145" t="s">
        <v>2264</v>
      </c>
      <c r="D260" s="145" t="s">
        <v>2265</v>
      </c>
      <c r="E260" s="145" t="s">
        <v>313</v>
      </c>
      <c r="F260" s="145" t="s">
        <v>2266</v>
      </c>
      <c r="G260" s="145" t="s">
        <v>2267</v>
      </c>
      <c r="H260" s="145" t="s">
        <v>321</v>
      </c>
      <c r="I260" s="145" t="s">
        <v>917</v>
      </c>
      <c r="J260" s="145" t="s">
        <v>205</v>
      </c>
      <c r="K260" s="145" t="s">
        <v>238</v>
      </c>
      <c r="L260" s="145" t="s">
        <v>325</v>
      </c>
      <c r="M260" s="145" t="s">
        <v>368</v>
      </c>
      <c r="N260" s="145" t="s">
        <v>544</v>
      </c>
      <c r="O260" s="145" t="s">
        <v>339</v>
      </c>
      <c r="P260" s="145" t="s">
        <v>1212</v>
      </c>
      <c r="Q260" s="146">
        <v>32386</v>
      </c>
      <c r="R260" s="146">
        <v>4.0220000000000002</v>
      </c>
      <c r="S260" s="146">
        <v>24440</v>
      </c>
      <c r="T260" s="151"/>
      <c r="U260" s="146">
        <v>31833.895</v>
      </c>
      <c r="V260" s="148">
        <v>3.0000000000000001E-5</v>
      </c>
      <c r="W260" s="148">
        <v>5.8500000000000002E-3</v>
      </c>
      <c r="X260" s="149">
        <v>1.31E-3</v>
      </c>
      <c r="Y260" s="199"/>
    </row>
    <row r="261" spans="1:25" x14ac:dyDescent="0.2">
      <c r="A261" s="144" t="s">
        <v>1217</v>
      </c>
      <c r="B261" s="145" t="s">
        <v>1217</v>
      </c>
      <c r="C261" s="145" t="s">
        <v>2285</v>
      </c>
      <c r="D261" s="145" t="s">
        <v>2286</v>
      </c>
      <c r="E261" s="145" t="s">
        <v>313</v>
      </c>
      <c r="F261" s="145" t="s">
        <v>2285</v>
      </c>
      <c r="G261" s="145" t="s">
        <v>2287</v>
      </c>
      <c r="H261" s="145" t="s">
        <v>321</v>
      </c>
      <c r="I261" s="145" t="s">
        <v>917</v>
      </c>
      <c r="J261" s="145" t="s">
        <v>205</v>
      </c>
      <c r="K261" s="145" t="s">
        <v>224</v>
      </c>
      <c r="L261" s="145" t="s">
        <v>325</v>
      </c>
      <c r="M261" s="145" t="s">
        <v>344</v>
      </c>
      <c r="N261" s="145" t="s">
        <v>533</v>
      </c>
      <c r="O261" s="145" t="s">
        <v>339</v>
      </c>
      <c r="P261" s="145" t="s">
        <v>1211</v>
      </c>
      <c r="Q261" s="146">
        <v>9190</v>
      </c>
      <c r="R261" s="146">
        <v>3.718</v>
      </c>
      <c r="S261" s="146">
        <v>82591</v>
      </c>
      <c r="T261" s="151"/>
      <c r="U261" s="146">
        <v>28220.04</v>
      </c>
      <c r="V261" s="148">
        <v>1.0000000000000001E-5</v>
      </c>
      <c r="W261" s="148">
        <v>5.1799999999999997E-3</v>
      </c>
      <c r="X261" s="149">
        <v>1.16E-3</v>
      </c>
      <c r="Y261" s="199"/>
    </row>
    <row r="262" spans="1:25" x14ac:dyDescent="0.2">
      <c r="A262" s="144" t="s">
        <v>1217</v>
      </c>
      <c r="B262" s="145" t="s">
        <v>1217</v>
      </c>
      <c r="C262" s="145" t="s">
        <v>2274</v>
      </c>
      <c r="D262" s="145" t="s">
        <v>2275</v>
      </c>
      <c r="E262" s="145" t="s">
        <v>313</v>
      </c>
      <c r="F262" s="145" t="s">
        <v>2276</v>
      </c>
      <c r="G262" s="145" t="s">
        <v>2277</v>
      </c>
      <c r="H262" s="145" t="s">
        <v>321</v>
      </c>
      <c r="I262" s="145" t="s">
        <v>917</v>
      </c>
      <c r="J262" s="145" t="s">
        <v>205</v>
      </c>
      <c r="K262" s="145" t="s">
        <v>224</v>
      </c>
      <c r="L262" s="145" t="s">
        <v>325</v>
      </c>
      <c r="M262" s="145" t="s">
        <v>344</v>
      </c>
      <c r="N262" s="145" t="s">
        <v>530</v>
      </c>
      <c r="O262" s="145" t="s">
        <v>339</v>
      </c>
      <c r="P262" s="145" t="s">
        <v>1211</v>
      </c>
      <c r="Q262" s="146">
        <v>192916</v>
      </c>
      <c r="R262" s="146">
        <v>3.718</v>
      </c>
      <c r="S262" s="146">
        <v>3874</v>
      </c>
      <c r="T262" s="146">
        <v>77.292000000000002</v>
      </c>
      <c r="U262" s="146">
        <v>28074.089</v>
      </c>
      <c r="V262" s="148">
        <v>9.0000000000000006E-5</v>
      </c>
      <c r="W262" s="148">
        <v>5.1700000000000001E-3</v>
      </c>
      <c r="X262" s="149">
        <v>1.16E-3</v>
      </c>
      <c r="Y262" s="199"/>
    </row>
    <row r="263" spans="1:25" x14ac:dyDescent="0.2">
      <c r="A263" s="144" t="s">
        <v>1217</v>
      </c>
      <c r="B263" s="145" t="s">
        <v>1217</v>
      </c>
      <c r="C263" s="145" t="s">
        <v>2278</v>
      </c>
      <c r="D263" s="145" t="s">
        <v>2279</v>
      </c>
      <c r="E263" s="145" t="s">
        <v>313</v>
      </c>
      <c r="F263" s="145" t="s">
        <v>2278</v>
      </c>
      <c r="G263" s="145" t="s">
        <v>2280</v>
      </c>
      <c r="H263" s="145" t="s">
        <v>321</v>
      </c>
      <c r="I263" s="145" t="s">
        <v>917</v>
      </c>
      <c r="J263" s="145" t="s">
        <v>205</v>
      </c>
      <c r="K263" s="145" t="s">
        <v>224</v>
      </c>
      <c r="L263" s="145" t="s">
        <v>325</v>
      </c>
      <c r="M263" s="145" t="s">
        <v>346</v>
      </c>
      <c r="N263" s="145" t="s">
        <v>546</v>
      </c>
      <c r="O263" s="145" t="s">
        <v>339</v>
      </c>
      <c r="P263" s="145" t="s">
        <v>1211</v>
      </c>
      <c r="Q263" s="146">
        <v>51270</v>
      </c>
      <c r="R263" s="146">
        <v>3.718</v>
      </c>
      <c r="S263" s="146">
        <v>14512</v>
      </c>
      <c r="T263" s="151"/>
      <c r="U263" s="146">
        <v>27663.044000000002</v>
      </c>
      <c r="V263" s="148">
        <v>6.0000000000000002E-5</v>
      </c>
      <c r="W263" s="148">
        <v>5.0800000000000003E-3</v>
      </c>
      <c r="X263" s="149">
        <v>1.14E-3</v>
      </c>
      <c r="Y263" s="199"/>
    </row>
    <row r="264" spans="1:25" x14ac:dyDescent="0.2">
      <c r="A264" s="144" t="s">
        <v>1217</v>
      </c>
      <c r="B264" s="145" t="s">
        <v>1217</v>
      </c>
      <c r="C264" s="145" t="s">
        <v>2271</v>
      </c>
      <c r="D264" s="145" t="s">
        <v>2272</v>
      </c>
      <c r="E264" s="145" t="s">
        <v>309</v>
      </c>
      <c r="F264" s="145" t="s">
        <v>2271</v>
      </c>
      <c r="G264" s="145" t="s">
        <v>2273</v>
      </c>
      <c r="H264" s="145" t="s">
        <v>321</v>
      </c>
      <c r="I264" s="145" t="s">
        <v>917</v>
      </c>
      <c r="J264" s="145" t="s">
        <v>205</v>
      </c>
      <c r="K264" s="145" t="s">
        <v>204</v>
      </c>
      <c r="L264" s="145" t="s">
        <v>325</v>
      </c>
      <c r="M264" s="145" t="s">
        <v>344</v>
      </c>
      <c r="N264" s="145" t="s">
        <v>476</v>
      </c>
      <c r="O264" s="145" t="s">
        <v>339</v>
      </c>
      <c r="P264" s="145" t="s">
        <v>1211</v>
      </c>
      <c r="Q264" s="146">
        <v>21944</v>
      </c>
      <c r="R264" s="146">
        <v>3.718</v>
      </c>
      <c r="S264" s="146">
        <v>33800</v>
      </c>
      <c r="T264" s="151"/>
      <c r="U264" s="146">
        <v>27576.673999999999</v>
      </c>
      <c r="V264" s="148">
        <v>4.4999999999999999E-4</v>
      </c>
      <c r="W264" s="148">
        <v>5.0699999999999999E-3</v>
      </c>
      <c r="X264" s="149">
        <v>1.1299999999999999E-3</v>
      </c>
      <c r="Y264" s="199"/>
    </row>
    <row r="265" spans="1:25" x14ac:dyDescent="0.2">
      <c r="A265" s="144" t="s">
        <v>1217</v>
      </c>
      <c r="B265" s="145" t="s">
        <v>1217</v>
      </c>
      <c r="C265" s="145" t="s">
        <v>2195</v>
      </c>
      <c r="D265" s="145" t="s">
        <v>2196</v>
      </c>
      <c r="E265" s="145" t="s">
        <v>313</v>
      </c>
      <c r="F265" s="145" t="s">
        <v>2259</v>
      </c>
      <c r="G265" s="145" t="s">
        <v>2260</v>
      </c>
      <c r="H265" s="145" t="s">
        <v>321</v>
      </c>
      <c r="I265" s="145" t="s">
        <v>917</v>
      </c>
      <c r="J265" s="145" t="s">
        <v>205</v>
      </c>
      <c r="K265" s="145" t="s">
        <v>224</v>
      </c>
      <c r="L265" s="145" t="s">
        <v>325</v>
      </c>
      <c r="M265" s="145" t="s">
        <v>346</v>
      </c>
      <c r="N265" s="145" t="s">
        <v>546</v>
      </c>
      <c r="O265" s="145" t="s">
        <v>339</v>
      </c>
      <c r="P265" s="145" t="s">
        <v>1211</v>
      </c>
      <c r="Q265" s="146">
        <v>47243</v>
      </c>
      <c r="R265" s="146">
        <v>3.718</v>
      </c>
      <c r="S265" s="146">
        <v>15464</v>
      </c>
      <c r="T265" s="151"/>
      <c r="U265" s="146">
        <v>27162.435000000001</v>
      </c>
      <c r="V265" s="148">
        <v>1.0000000000000001E-5</v>
      </c>
      <c r="W265" s="148">
        <v>4.9899999999999996E-3</v>
      </c>
      <c r="X265" s="149">
        <v>1.1199999999999999E-3</v>
      </c>
      <c r="Y265" s="199"/>
    </row>
    <row r="266" spans="1:25" x14ac:dyDescent="0.2">
      <c r="A266" s="144" t="s">
        <v>1217</v>
      </c>
      <c r="B266" s="145" t="s">
        <v>1217</v>
      </c>
      <c r="C266" s="145" t="s">
        <v>2281</v>
      </c>
      <c r="D266" s="145" t="s">
        <v>2282</v>
      </c>
      <c r="E266" s="145" t="s">
        <v>309</v>
      </c>
      <c r="F266" s="145" t="s">
        <v>2283</v>
      </c>
      <c r="G266" s="145" t="s">
        <v>2284</v>
      </c>
      <c r="H266" s="145" t="s">
        <v>321</v>
      </c>
      <c r="I266" s="145" t="s">
        <v>917</v>
      </c>
      <c r="J266" s="145" t="s">
        <v>205</v>
      </c>
      <c r="K266" s="145" t="s">
        <v>204</v>
      </c>
      <c r="L266" s="145" t="s">
        <v>325</v>
      </c>
      <c r="M266" s="145" t="s">
        <v>344</v>
      </c>
      <c r="N266" s="145" t="s">
        <v>544</v>
      </c>
      <c r="O266" s="145" t="s">
        <v>339</v>
      </c>
      <c r="P266" s="145" t="s">
        <v>1211</v>
      </c>
      <c r="Q266" s="146">
        <v>43985</v>
      </c>
      <c r="R266" s="146">
        <v>3.718</v>
      </c>
      <c r="S266" s="146">
        <v>16338</v>
      </c>
      <c r="T266" s="151"/>
      <c r="U266" s="146">
        <v>26718.548999999999</v>
      </c>
      <c r="V266" s="148">
        <v>8.0000000000000004E-4</v>
      </c>
      <c r="W266" s="148">
        <v>4.9100000000000003E-3</v>
      </c>
      <c r="X266" s="149">
        <v>1.1000000000000001E-3</v>
      </c>
      <c r="Y266" s="199"/>
    </row>
    <row r="267" spans="1:25" x14ac:dyDescent="0.2">
      <c r="A267" s="144" t="s">
        <v>1217</v>
      </c>
      <c r="B267" s="145" t="s">
        <v>1217</v>
      </c>
      <c r="C267" s="145" t="s">
        <v>2288</v>
      </c>
      <c r="D267" s="145" t="s">
        <v>2289</v>
      </c>
      <c r="E267" s="145" t="s">
        <v>313</v>
      </c>
      <c r="F267" s="145" t="s">
        <v>2288</v>
      </c>
      <c r="G267" s="145" t="s">
        <v>2290</v>
      </c>
      <c r="H267" s="145" t="s">
        <v>321</v>
      </c>
      <c r="I267" s="145" t="s">
        <v>917</v>
      </c>
      <c r="J267" s="145" t="s">
        <v>205</v>
      </c>
      <c r="K267" s="145" t="s">
        <v>224</v>
      </c>
      <c r="L267" s="145" t="s">
        <v>325</v>
      </c>
      <c r="M267" s="145" t="s">
        <v>344</v>
      </c>
      <c r="N267" s="145" t="s">
        <v>546</v>
      </c>
      <c r="O267" s="145" t="s">
        <v>339</v>
      </c>
      <c r="P267" s="145" t="s">
        <v>1211</v>
      </c>
      <c r="Q267" s="146">
        <v>98004</v>
      </c>
      <c r="R267" s="146">
        <v>3.718</v>
      </c>
      <c r="S267" s="146">
        <v>7220</v>
      </c>
      <c r="T267" s="151"/>
      <c r="U267" s="146">
        <v>26308.154999999999</v>
      </c>
      <c r="V267" s="148">
        <v>2.5999999999999998E-4</v>
      </c>
      <c r="W267" s="148">
        <v>4.8300000000000001E-3</v>
      </c>
      <c r="X267" s="149">
        <v>1.08E-3</v>
      </c>
      <c r="Y267" s="199"/>
    </row>
    <row r="268" spans="1:25" x14ac:dyDescent="0.2">
      <c r="A268" s="144" t="s">
        <v>1217</v>
      </c>
      <c r="B268" s="145" t="s">
        <v>1217</v>
      </c>
      <c r="C268" s="145" t="s">
        <v>2294</v>
      </c>
      <c r="D268" s="145" t="s">
        <v>2295</v>
      </c>
      <c r="E268" s="145" t="s">
        <v>313</v>
      </c>
      <c r="F268" s="145" t="s">
        <v>2294</v>
      </c>
      <c r="G268" s="145" t="s">
        <v>2296</v>
      </c>
      <c r="H268" s="145" t="s">
        <v>321</v>
      </c>
      <c r="I268" s="145" t="s">
        <v>917</v>
      </c>
      <c r="J268" s="145" t="s">
        <v>205</v>
      </c>
      <c r="K268" s="145" t="s">
        <v>296</v>
      </c>
      <c r="L268" s="145" t="s">
        <v>325</v>
      </c>
      <c r="M268" s="145" t="s">
        <v>380</v>
      </c>
      <c r="N268" s="145" t="s">
        <v>539</v>
      </c>
      <c r="O268" s="145" t="s">
        <v>339</v>
      </c>
      <c r="P268" s="145" t="s">
        <v>1215</v>
      </c>
      <c r="Q268" s="146">
        <v>198420</v>
      </c>
      <c r="R268" s="146">
        <v>4.8109999999999999</v>
      </c>
      <c r="S268" s="146">
        <v>2540</v>
      </c>
      <c r="T268" s="151"/>
      <c r="U268" s="146">
        <v>24245.796999999999</v>
      </c>
      <c r="V268" s="148">
        <v>2.5999999999999999E-3</v>
      </c>
      <c r="W268" s="148">
        <v>4.45E-3</v>
      </c>
      <c r="X268" s="149">
        <v>1E-3</v>
      </c>
      <c r="Y268" s="199"/>
    </row>
    <row r="269" spans="1:25" x14ac:dyDescent="0.2">
      <c r="A269" s="144" t="s">
        <v>1217</v>
      </c>
      <c r="B269" s="145" t="s">
        <v>1217</v>
      </c>
      <c r="C269" s="145" t="s">
        <v>2291</v>
      </c>
      <c r="D269" s="145" t="s">
        <v>2292</v>
      </c>
      <c r="E269" s="145" t="s">
        <v>313</v>
      </c>
      <c r="F269" s="145" t="s">
        <v>2291</v>
      </c>
      <c r="G269" s="145" t="s">
        <v>2293</v>
      </c>
      <c r="H269" s="145" t="s">
        <v>321</v>
      </c>
      <c r="I269" s="145" t="s">
        <v>917</v>
      </c>
      <c r="J269" s="145" t="s">
        <v>205</v>
      </c>
      <c r="K269" s="145" t="s">
        <v>224</v>
      </c>
      <c r="L269" s="145" t="s">
        <v>325</v>
      </c>
      <c r="M269" s="145" t="s">
        <v>344</v>
      </c>
      <c r="N269" s="145" t="s">
        <v>568</v>
      </c>
      <c r="O269" s="145" t="s">
        <v>339</v>
      </c>
      <c r="P269" s="145" t="s">
        <v>1211</v>
      </c>
      <c r="Q269" s="146">
        <v>57181</v>
      </c>
      <c r="R269" s="146">
        <v>3.718</v>
      </c>
      <c r="S269" s="146">
        <v>11179</v>
      </c>
      <c r="T269" s="146">
        <v>57.753</v>
      </c>
      <c r="U269" s="146">
        <v>23981.162</v>
      </c>
      <c r="V269" s="148">
        <v>6.0000000000000002E-5</v>
      </c>
      <c r="W269" s="148">
        <v>4.4200000000000003E-3</v>
      </c>
      <c r="X269" s="149">
        <v>9.8999999999999999E-4</v>
      </c>
      <c r="Y269" s="199"/>
    </row>
    <row r="270" spans="1:25" x14ac:dyDescent="0.2">
      <c r="A270" s="144" t="s">
        <v>1217</v>
      </c>
      <c r="B270" s="145" t="s">
        <v>1217</v>
      </c>
      <c r="C270" s="145" t="s">
        <v>2297</v>
      </c>
      <c r="D270" s="145" t="s">
        <v>2298</v>
      </c>
      <c r="E270" s="145" t="s">
        <v>313</v>
      </c>
      <c r="F270" s="145" t="s">
        <v>2297</v>
      </c>
      <c r="G270" s="145" t="s">
        <v>2299</v>
      </c>
      <c r="H270" s="145" t="s">
        <v>321</v>
      </c>
      <c r="I270" s="145" t="s">
        <v>917</v>
      </c>
      <c r="J270" s="145" t="s">
        <v>205</v>
      </c>
      <c r="K270" s="145" t="s">
        <v>224</v>
      </c>
      <c r="L270" s="145" t="s">
        <v>325</v>
      </c>
      <c r="M270" s="145" t="s">
        <v>344</v>
      </c>
      <c r="N270" s="145" t="s">
        <v>472</v>
      </c>
      <c r="O270" s="145" t="s">
        <v>339</v>
      </c>
      <c r="P270" s="145" t="s">
        <v>1211</v>
      </c>
      <c r="Q270" s="146">
        <v>84795</v>
      </c>
      <c r="R270" s="146">
        <v>3.718</v>
      </c>
      <c r="S270" s="146">
        <v>7286</v>
      </c>
      <c r="T270" s="151"/>
      <c r="U270" s="146">
        <v>22970.413</v>
      </c>
      <c r="V270" s="148">
        <v>4.0000000000000003E-5</v>
      </c>
      <c r="W270" s="148">
        <v>4.2199999999999998E-3</v>
      </c>
      <c r="X270" s="149">
        <v>9.3999999999999997E-4</v>
      </c>
      <c r="Y270" s="199"/>
    </row>
    <row r="271" spans="1:25" x14ac:dyDescent="0.2">
      <c r="A271" s="144" t="s">
        <v>1217</v>
      </c>
      <c r="B271" s="145" t="s">
        <v>1217</v>
      </c>
      <c r="C271" s="145" t="s">
        <v>2300</v>
      </c>
      <c r="D271" s="145" t="s">
        <v>2301</v>
      </c>
      <c r="E271" s="145" t="s">
        <v>313</v>
      </c>
      <c r="F271" s="145" t="s">
        <v>2300</v>
      </c>
      <c r="G271" s="145" t="s">
        <v>2302</v>
      </c>
      <c r="H271" s="145" t="s">
        <v>321</v>
      </c>
      <c r="I271" s="145" t="s">
        <v>917</v>
      </c>
      <c r="J271" s="145" t="s">
        <v>205</v>
      </c>
      <c r="K271" s="145" t="s">
        <v>224</v>
      </c>
      <c r="L271" s="145" t="s">
        <v>325</v>
      </c>
      <c r="M271" s="145" t="s">
        <v>344</v>
      </c>
      <c r="N271" s="145" t="s">
        <v>515</v>
      </c>
      <c r="O271" s="145" t="s">
        <v>339</v>
      </c>
      <c r="P271" s="145" t="s">
        <v>1211</v>
      </c>
      <c r="Q271" s="146">
        <v>95495</v>
      </c>
      <c r="R271" s="146">
        <v>3.718</v>
      </c>
      <c r="S271" s="146">
        <v>6348</v>
      </c>
      <c r="T271" s="146">
        <v>70.087000000000003</v>
      </c>
      <c r="U271" s="146">
        <v>22799.184000000001</v>
      </c>
      <c r="V271" s="148">
        <v>8.0000000000000007E-5</v>
      </c>
      <c r="W271" s="148">
        <v>4.1999999999999997E-3</v>
      </c>
      <c r="X271" s="149">
        <v>9.3999999999999997E-4</v>
      </c>
      <c r="Y271" s="199"/>
    </row>
    <row r="272" spans="1:25" x14ac:dyDescent="0.2">
      <c r="A272" s="144" t="s">
        <v>1217</v>
      </c>
      <c r="B272" s="145" t="s">
        <v>1217</v>
      </c>
      <c r="C272" s="145" t="s">
        <v>1881</v>
      </c>
      <c r="D272" s="145" t="s">
        <v>1882</v>
      </c>
      <c r="E272" s="145" t="s">
        <v>309</v>
      </c>
      <c r="F272" s="145" t="s">
        <v>2309</v>
      </c>
      <c r="G272" s="145" t="s">
        <v>2310</v>
      </c>
      <c r="H272" s="145" t="s">
        <v>321</v>
      </c>
      <c r="I272" s="145" t="s">
        <v>917</v>
      </c>
      <c r="J272" s="145" t="s">
        <v>205</v>
      </c>
      <c r="K272" s="145" t="s">
        <v>204</v>
      </c>
      <c r="L272" s="145" t="s">
        <v>325</v>
      </c>
      <c r="M272" s="145" t="s">
        <v>344</v>
      </c>
      <c r="N272" s="145" t="s">
        <v>467</v>
      </c>
      <c r="O272" s="145" t="s">
        <v>339</v>
      </c>
      <c r="P272" s="145" t="s">
        <v>1211</v>
      </c>
      <c r="Q272" s="146">
        <v>369870</v>
      </c>
      <c r="R272" s="146">
        <v>3.718</v>
      </c>
      <c r="S272" s="146">
        <v>1537</v>
      </c>
      <c r="T272" s="151"/>
      <c r="U272" s="146">
        <v>21136.465</v>
      </c>
      <c r="V272" s="148">
        <v>3.3E-4</v>
      </c>
      <c r="W272" s="148">
        <v>3.8800000000000002E-3</v>
      </c>
      <c r="X272" s="149">
        <v>8.7000000000000001E-4</v>
      </c>
      <c r="Y272" s="199"/>
    </row>
    <row r="273" spans="1:25" x14ac:dyDescent="0.2">
      <c r="A273" s="144" t="s">
        <v>1217</v>
      </c>
      <c r="B273" s="145" t="s">
        <v>1217</v>
      </c>
      <c r="C273" s="145" t="s">
        <v>1887</v>
      </c>
      <c r="D273" s="145" t="s">
        <v>1888</v>
      </c>
      <c r="E273" s="145" t="s">
        <v>309</v>
      </c>
      <c r="F273" s="145" t="s">
        <v>2307</v>
      </c>
      <c r="G273" s="145" t="s">
        <v>2308</v>
      </c>
      <c r="H273" s="145" t="s">
        <v>321</v>
      </c>
      <c r="I273" s="145" t="s">
        <v>917</v>
      </c>
      <c r="J273" s="145" t="s">
        <v>205</v>
      </c>
      <c r="K273" s="145" t="s">
        <v>204</v>
      </c>
      <c r="L273" s="145" t="s">
        <v>325</v>
      </c>
      <c r="M273" s="145" t="s">
        <v>344</v>
      </c>
      <c r="N273" s="145" t="s">
        <v>480</v>
      </c>
      <c r="O273" s="145" t="s">
        <v>339</v>
      </c>
      <c r="P273" s="145" t="s">
        <v>1211</v>
      </c>
      <c r="Q273" s="146">
        <v>36698</v>
      </c>
      <c r="R273" s="146">
        <v>3.718</v>
      </c>
      <c r="S273" s="146">
        <v>15417</v>
      </c>
      <c r="T273" s="151"/>
      <c r="U273" s="146">
        <v>21035.442999999999</v>
      </c>
      <c r="V273" s="148">
        <v>5.8E-4</v>
      </c>
      <c r="W273" s="148">
        <v>3.8600000000000001E-3</v>
      </c>
      <c r="X273" s="149">
        <v>8.7000000000000001E-4</v>
      </c>
      <c r="Y273" s="199"/>
    </row>
    <row r="274" spans="1:25" x14ac:dyDescent="0.2">
      <c r="A274" s="144" t="s">
        <v>1217</v>
      </c>
      <c r="B274" s="145" t="s">
        <v>1217</v>
      </c>
      <c r="C274" s="145" t="s">
        <v>2303</v>
      </c>
      <c r="D274" s="145" t="s">
        <v>2304</v>
      </c>
      <c r="E274" s="145" t="s">
        <v>313</v>
      </c>
      <c r="F274" s="145" t="s">
        <v>2305</v>
      </c>
      <c r="G274" s="145" t="s">
        <v>2306</v>
      </c>
      <c r="H274" s="145" t="s">
        <v>321</v>
      </c>
      <c r="I274" s="145" t="s">
        <v>917</v>
      </c>
      <c r="J274" s="145" t="s">
        <v>205</v>
      </c>
      <c r="K274" s="145" t="s">
        <v>281</v>
      </c>
      <c r="L274" s="145" t="s">
        <v>325</v>
      </c>
      <c r="M274" s="145" t="s">
        <v>364</v>
      </c>
      <c r="N274" s="145" t="s">
        <v>517</v>
      </c>
      <c r="O274" s="145" t="s">
        <v>339</v>
      </c>
      <c r="P274" s="145" t="s">
        <v>1212</v>
      </c>
      <c r="Q274" s="146">
        <v>15100</v>
      </c>
      <c r="R274" s="146">
        <v>4.0220000000000002</v>
      </c>
      <c r="S274" s="146">
        <v>34285</v>
      </c>
      <c r="T274" s="151"/>
      <c r="U274" s="146">
        <v>20821.517</v>
      </c>
      <c r="V274" s="148">
        <v>3.0000000000000001E-5</v>
      </c>
      <c r="W274" s="148">
        <v>3.8300000000000001E-3</v>
      </c>
      <c r="X274" s="149">
        <v>8.5999999999999998E-4</v>
      </c>
      <c r="Y274" s="199"/>
    </row>
    <row r="275" spans="1:25" x14ac:dyDescent="0.2">
      <c r="A275" s="144" t="s">
        <v>1217</v>
      </c>
      <c r="B275" s="145" t="s">
        <v>1217</v>
      </c>
      <c r="C275" s="145" t="s">
        <v>2311</v>
      </c>
      <c r="D275" s="145" t="s">
        <v>2312</v>
      </c>
      <c r="E275" s="145" t="s">
        <v>313</v>
      </c>
      <c r="F275" s="145" t="s">
        <v>2313</v>
      </c>
      <c r="G275" s="145" t="s">
        <v>2314</v>
      </c>
      <c r="H275" s="145" t="s">
        <v>321</v>
      </c>
      <c r="I275" s="145" t="s">
        <v>917</v>
      </c>
      <c r="J275" s="145" t="s">
        <v>205</v>
      </c>
      <c r="K275" s="145" t="s">
        <v>224</v>
      </c>
      <c r="L275" s="145" t="s">
        <v>325</v>
      </c>
      <c r="M275" s="145" t="s">
        <v>344</v>
      </c>
      <c r="N275" s="145" t="s">
        <v>544</v>
      </c>
      <c r="O275" s="145" t="s">
        <v>339</v>
      </c>
      <c r="P275" s="145" t="s">
        <v>1211</v>
      </c>
      <c r="Q275" s="146">
        <v>33856</v>
      </c>
      <c r="R275" s="146">
        <v>3.718</v>
      </c>
      <c r="S275" s="146">
        <v>14616</v>
      </c>
      <c r="T275" s="151"/>
      <c r="U275" s="146">
        <v>18398.125</v>
      </c>
      <c r="V275" s="148">
        <v>1E-4</v>
      </c>
      <c r="W275" s="148">
        <v>3.3800000000000002E-3</v>
      </c>
      <c r="X275" s="149">
        <v>7.6000000000000004E-4</v>
      </c>
      <c r="Y275" s="199"/>
    </row>
    <row r="276" spans="1:25" x14ac:dyDescent="0.2">
      <c r="A276" s="144" t="s">
        <v>1217</v>
      </c>
      <c r="B276" s="145" t="s">
        <v>1217</v>
      </c>
      <c r="C276" s="145" t="s">
        <v>2315</v>
      </c>
      <c r="D276" s="145" t="s">
        <v>2316</v>
      </c>
      <c r="E276" s="145" t="s">
        <v>309</v>
      </c>
      <c r="F276" s="145" t="s">
        <v>2317</v>
      </c>
      <c r="G276" s="145" t="s">
        <v>2318</v>
      </c>
      <c r="H276" s="145" t="s">
        <v>321</v>
      </c>
      <c r="I276" s="145" t="s">
        <v>917</v>
      </c>
      <c r="J276" s="145" t="s">
        <v>205</v>
      </c>
      <c r="K276" s="145" t="s">
        <v>204</v>
      </c>
      <c r="L276" s="145" t="s">
        <v>325</v>
      </c>
      <c r="M276" s="145" t="s">
        <v>344</v>
      </c>
      <c r="N276" s="145" t="s">
        <v>458</v>
      </c>
      <c r="O276" s="145" t="s">
        <v>339</v>
      </c>
      <c r="P276" s="145" t="s">
        <v>1211</v>
      </c>
      <c r="Q276" s="146">
        <v>84336</v>
      </c>
      <c r="R276" s="146">
        <v>3.718</v>
      </c>
      <c r="S276" s="146">
        <v>5863</v>
      </c>
      <c r="T276" s="151"/>
      <c r="U276" s="146">
        <v>18384.096000000001</v>
      </c>
      <c r="V276" s="148">
        <v>1.8600000000000001E-3</v>
      </c>
      <c r="W276" s="148">
        <v>3.3800000000000002E-3</v>
      </c>
      <c r="X276" s="149">
        <v>7.6000000000000004E-4</v>
      </c>
      <c r="Y276" s="199"/>
    </row>
    <row r="277" spans="1:25" x14ac:dyDescent="0.2">
      <c r="A277" s="144" t="s">
        <v>1217</v>
      </c>
      <c r="B277" s="145" t="s">
        <v>1217</v>
      </c>
      <c r="C277" s="145" t="s">
        <v>2319</v>
      </c>
      <c r="D277" s="145" t="s">
        <v>2320</v>
      </c>
      <c r="E277" s="145" t="s">
        <v>313</v>
      </c>
      <c r="F277" s="145" t="s">
        <v>2321</v>
      </c>
      <c r="G277" s="145" t="s">
        <v>2322</v>
      </c>
      <c r="H277" s="145" t="s">
        <v>321</v>
      </c>
      <c r="I277" s="145" t="s">
        <v>917</v>
      </c>
      <c r="J277" s="145" t="s">
        <v>205</v>
      </c>
      <c r="K277" s="145" t="s">
        <v>224</v>
      </c>
      <c r="L277" s="145" t="s">
        <v>325</v>
      </c>
      <c r="M277" s="145" t="s">
        <v>344</v>
      </c>
      <c r="N277" s="145" t="s">
        <v>489</v>
      </c>
      <c r="O277" s="145" t="s">
        <v>339</v>
      </c>
      <c r="P277" s="145" t="s">
        <v>1211</v>
      </c>
      <c r="Q277" s="146">
        <v>598270</v>
      </c>
      <c r="R277" s="146">
        <v>3.718</v>
      </c>
      <c r="S277" s="146">
        <v>702</v>
      </c>
      <c r="T277" s="151"/>
      <c r="U277" s="146">
        <v>15615.062</v>
      </c>
      <c r="V277" s="148">
        <v>5.7529999999999998E-2</v>
      </c>
      <c r="W277" s="148">
        <v>2.8700000000000002E-3</v>
      </c>
      <c r="X277" s="149">
        <v>6.4000000000000005E-4</v>
      </c>
      <c r="Y277" s="199"/>
    </row>
    <row r="278" spans="1:25" x14ac:dyDescent="0.2">
      <c r="A278" s="144" t="s">
        <v>1217</v>
      </c>
      <c r="B278" s="145" t="s">
        <v>1217</v>
      </c>
      <c r="C278" s="145" t="s">
        <v>2323</v>
      </c>
      <c r="D278" s="145" t="s">
        <v>2324</v>
      </c>
      <c r="E278" s="145" t="s">
        <v>313</v>
      </c>
      <c r="F278" s="145" t="s">
        <v>2325</v>
      </c>
      <c r="G278" s="145" t="s">
        <v>2326</v>
      </c>
      <c r="H278" s="145" t="s">
        <v>321</v>
      </c>
      <c r="I278" s="145" t="s">
        <v>917</v>
      </c>
      <c r="J278" s="145" t="s">
        <v>205</v>
      </c>
      <c r="K278" s="145" t="s">
        <v>224</v>
      </c>
      <c r="L278" s="145" t="s">
        <v>325</v>
      </c>
      <c r="M278" s="145" t="s">
        <v>344</v>
      </c>
      <c r="N278" s="145" t="s">
        <v>548</v>
      </c>
      <c r="O278" s="145" t="s">
        <v>339</v>
      </c>
      <c r="P278" s="145" t="s">
        <v>1211</v>
      </c>
      <c r="Q278" s="146">
        <v>105124</v>
      </c>
      <c r="R278" s="146">
        <v>3.718</v>
      </c>
      <c r="S278" s="146">
        <v>1618</v>
      </c>
      <c r="T278" s="151"/>
      <c r="U278" s="146">
        <v>6323.97</v>
      </c>
      <c r="V278" s="148">
        <v>1.81E-3</v>
      </c>
      <c r="W278" s="148">
        <v>1.16E-3</v>
      </c>
      <c r="X278" s="149">
        <v>2.5999999999999998E-4</v>
      </c>
      <c r="Y278" s="199"/>
    </row>
    <row r="279" spans="1:25" x14ac:dyDescent="0.2">
      <c r="A279" s="144" t="s">
        <v>1217</v>
      </c>
      <c r="B279" s="145" t="s">
        <v>1217</v>
      </c>
      <c r="C279" s="145" t="s">
        <v>2327</v>
      </c>
      <c r="D279" s="145" t="s">
        <v>2328</v>
      </c>
      <c r="E279" s="145" t="s">
        <v>313</v>
      </c>
      <c r="F279" s="145" t="s">
        <v>2329</v>
      </c>
      <c r="G279" s="145" t="s">
        <v>2330</v>
      </c>
      <c r="H279" s="145" t="s">
        <v>321</v>
      </c>
      <c r="I279" s="145" t="s">
        <v>917</v>
      </c>
      <c r="J279" s="145" t="s">
        <v>205</v>
      </c>
      <c r="K279" s="145" t="s">
        <v>224</v>
      </c>
      <c r="L279" s="145" t="s">
        <v>325</v>
      </c>
      <c r="M279" s="145" t="s">
        <v>344</v>
      </c>
      <c r="N279" s="145" t="s">
        <v>544</v>
      </c>
      <c r="O279" s="145" t="s">
        <v>339</v>
      </c>
      <c r="P279" s="145" t="s">
        <v>1211</v>
      </c>
      <c r="Q279" s="146">
        <v>12398</v>
      </c>
      <c r="R279" s="146">
        <v>3.718</v>
      </c>
      <c r="S279" s="146">
        <v>1818</v>
      </c>
      <c r="T279" s="151"/>
      <c r="U279" s="146">
        <v>838.02099999999996</v>
      </c>
      <c r="V279" s="148">
        <v>4.2009999999999999E-2</v>
      </c>
      <c r="W279" s="148">
        <v>1.4999999999999999E-4</v>
      </c>
      <c r="X279" s="149">
        <v>3.0000000000000001E-5</v>
      </c>
      <c r="Y279" s="199"/>
    </row>
    <row r="280" spans="1:25" x14ac:dyDescent="0.2">
      <c r="A280" s="144" t="s">
        <v>1217</v>
      </c>
      <c r="B280" s="145" t="s">
        <v>1217</v>
      </c>
      <c r="C280" s="145" t="s">
        <v>2334</v>
      </c>
      <c r="D280" s="145" t="s">
        <v>2335</v>
      </c>
      <c r="E280" s="145" t="s">
        <v>309</v>
      </c>
      <c r="F280" s="145" t="s">
        <v>2334</v>
      </c>
      <c r="G280" s="145" t="s">
        <v>2336</v>
      </c>
      <c r="H280" s="145" t="s">
        <v>321</v>
      </c>
      <c r="I280" s="145" t="s">
        <v>917</v>
      </c>
      <c r="J280" s="145" t="s">
        <v>205</v>
      </c>
      <c r="K280" s="145" t="s">
        <v>204</v>
      </c>
      <c r="L280" s="145" t="s">
        <v>325</v>
      </c>
      <c r="M280" s="145" t="s">
        <v>344</v>
      </c>
      <c r="N280" s="145" t="s">
        <v>533</v>
      </c>
      <c r="O280" s="145" t="s">
        <v>339</v>
      </c>
      <c r="P280" s="145" t="s">
        <v>1211</v>
      </c>
      <c r="Q280" s="146">
        <v>2119816</v>
      </c>
      <c r="R280" s="146">
        <v>3.718</v>
      </c>
      <c r="S280" s="146">
        <v>1.7</v>
      </c>
      <c r="T280" s="151"/>
      <c r="U280" s="146">
        <v>133.98500000000001</v>
      </c>
      <c r="V280" s="148">
        <v>1.376E-2</v>
      </c>
      <c r="W280" s="148">
        <v>2.0000000000000002E-5</v>
      </c>
      <c r="X280" s="149">
        <v>1.0000000000000001E-5</v>
      </c>
      <c r="Y280" s="199"/>
    </row>
    <row r="281" spans="1:25" x14ac:dyDescent="0.2">
      <c r="A281" s="144" t="s">
        <v>1217</v>
      </c>
      <c r="B281" s="145" t="s">
        <v>1217</v>
      </c>
      <c r="C281" s="145" t="s">
        <v>2337</v>
      </c>
      <c r="D281" s="145" t="s">
        <v>2338</v>
      </c>
      <c r="E281" s="145" t="s">
        <v>313</v>
      </c>
      <c r="F281" s="145" t="s">
        <v>2337</v>
      </c>
      <c r="G281" s="145" t="s">
        <v>2339</v>
      </c>
      <c r="H281" s="145" t="s">
        <v>321</v>
      </c>
      <c r="I281" s="145" t="s">
        <v>917</v>
      </c>
      <c r="J281" s="145" t="s">
        <v>205</v>
      </c>
      <c r="K281" s="145" t="s">
        <v>224</v>
      </c>
      <c r="L281" s="145" t="s">
        <v>325</v>
      </c>
      <c r="M281" s="145" t="s">
        <v>344</v>
      </c>
      <c r="N281" s="145" t="s">
        <v>544</v>
      </c>
      <c r="O281" s="145" t="s">
        <v>339</v>
      </c>
      <c r="P281" s="145" t="s">
        <v>1211</v>
      </c>
      <c r="Q281" s="146">
        <v>1176</v>
      </c>
      <c r="R281" s="146">
        <v>3.718</v>
      </c>
      <c r="S281" s="146">
        <v>2747</v>
      </c>
      <c r="T281" s="151"/>
      <c r="U281" s="146">
        <v>120.10899999999999</v>
      </c>
      <c r="V281" s="148">
        <v>1.0000000000000001E-5</v>
      </c>
      <c r="W281" s="148">
        <v>2.0000000000000002E-5</v>
      </c>
      <c r="X281" s="149">
        <v>0</v>
      </c>
      <c r="Y281" s="199"/>
    </row>
    <row r="282" spans="1:25" x14ac:dyDescent="0.2">
      <c r="A282" s="144" t="s">
        <v>1217</v>
      </c>
      <c r="B282" s="145" t="s">
        <v>1217</v>
      </c>
      <c r="C282" s="145" t="s">
        <v>2340</v>
      </c>
      <c r="D282" s="145" t="s">
        <v>2341</v>
      </c>
      <c r="E282" s="145" t="s">
        <v>313</v>
      </c>
      <c r="F282" s="145" t="s">
        <v>2340</v>
      </c>
      <c r="G282" s="145" t="s">
        <v>2342</v>
      </c>
      <c r="H282" s="145" t="s">
        <v>321</v>
      </c>
      <c r="I282" s="145" t="s">
        <v>917</v>
      </c>
      <c r="J282" s="145" t="s">
        <v>205</v>
      </c>
      <c r="K282" s="145" t="s">
        <v>224</v>
      </c>
      <c r="L282" s="145" t="s">
        <v>325</v>
      </c>
      <c r="M282" s="145" t="s">
        <v>344</v>
      </c>
      <c r="N282" s="145" t="s">
        <v>544</v>
      </c>
      <c r="O282" s="145" t="s">
        <v>339</v>
      </c>
      <c r="P282" s="145" t="s">
        <v>1211</v>
      </c>
      <c r="Q282" s="146">
        <v>97</v>
      </c>
      <c r="R282" s="146">
        <v>3.718</v>
      </c>
      <c r="S282" s="146">
        <v>776</v>
      </c>
      <c r="T282" s="151"/>
      <c r="U282" s="146">
        <v>2.7989999999999999</v>
      </c>
      <c r="V282" s="148">
        <v>0</v>
      </c>
      <c r="W282" s="148">
        <v>0</v>
      </c>
      <c r="X282" s="149">
        <v>0</v>
      </c>
      <c r="Y282" s="199"/>
    </row>
    <row r="283" spans="1:25" x14ac:dyDescent="0.2">
      <c r="A283" s="144" t="s">
        <v>1205</v>
      </c>
      <c r="B283" s="145" t="s">
        <v>1206</v>
      </c>
      <c r="C283" s="159"/>
      <c r="D283" s="159"/>
      <c r="E283" s="159"/>
      <c r="F283" s="159"/>
      <c r="G283" s="159"/>
      <c r="H283" s="159"/>
      <c r="I283" s="159"/>
      <c r="J283" s="159"/>
      <c r="K283" s="159"/>
      <c r="L283" s="151"/>
      <c r="M283" s="151"/>
      <c r="N283" s="159"/>
      <c r="O283" s="159"/>
      <c r="P283" s="159"/>
      <c r="Q283" s="159"/>
      <c r="R283" s="159"/>
      <c r="S283" s="159"/>
      <c r="T283" s="151"/>
      <c r="U283" s="159"/>
      <c r="V283" s="159"/>
      <c r="W283" s="159"/>
      <c r="X283" s="162"/>
      <c r="Y283" s="199"/>
    </row>
    <row r="284" spans="1:25" x14ac:dyDescent="0.2">
      <c r="A284" s="144" t="s">
        <v>1205</v>
      </c>
      <c r="B284" s="145" t="s">
        <v>1214</v>
      </c>
      <c r="C284" s="159"/>
      <c r="D284" s="159"/>
      <c r="E284" s="159"/>
      <c r="F284" s="159"/>
      <c r="G284" s="159"/>
      <c r="H284" s="159"/>
      <c r="I284" s="159"/>
      <c r="J284" s="159"/>
      <c r="K284" s="159"/>
      <c r="L284" s="151"/>
      <c r="M284" s="151"/>
      <c r="N284" s="159"/>
      <c r="O284" s="159"/>
      <c r="P284" s="159"/>
      <c r="Q284" s="159"/>
      <c r="R284" s="159"/>
      <c r="S284" s="159"/>
      <c r="T284" s="151"/>
      <c r="U284" s="159"/>
      <c r="V284" s="159"/>
      <c r="W284" s="159"/>
      <c r="X284" s="162"/>
      <c r="Y284" s="199"/>
    </row>
    <row r="285" spans="1:25" x14ac:dyDescent="0.2">
      <c r="A285" s="144" t="s">
        <v>1217</v>
      </c>
      <c r="B285" s="145" t="s">
        <v>1218</v>
      </c>
      <c r="C285" s="159"/>
      <c r="D285" s="159"/>
      <c r="E285" s="159"/>
      <c r="F285" s="159"/>
      <c r="G285" s="159"/>
      <c r="H285" s="159"/>
      <c r="I285" s="159"/>
      <c r="J285" s="159"/>
      <c r="K285" s="159"/>
      <c r="L285" s="151"/>
      <c r="M285" s="151"/>
      <c r="N285" s="159"/>
      <c r="O285" s="159"/>
      <c r="P285" s="159"/>
      <c r="Q285" s="159"/>
      <c r="R285" s="159"/>
      <c r="S285" s="159"/>
      <c r="T285" s="151"/>
      <c r="U285" s="159"/>
      <c r="V285" s="159"/>
      <c r="W285" s="159"/>
      <c r="X285" s="162"/>
      <c r="Y285" s="199"/>
    </row>
    <row r="286" spans="1:25" x14ac:dyDescent="0.2">
      <c r="A286" s="152" t="s">
        <v>1217</v>
      </c>
      <c r="B286" s="153" t="s">
        <v>1219</v>
      </c>
      <c r="C286" s="160"/>
      <c r="D286" s="160"/>
      <c r="E286" s="160"/>
      <c r="F286" s="160"/>
      <c r="G286" s="160"/>
      <c r="H286" s="160"/>
      <c r="I286" s="160"/>
      <c r="J286" s="160"/>
      <c r="K286" s="160"/>
      <c r="L286" s="155"/>
      <c r="M286" s="155"/>
      <c r="N286" s="160"/>
      <c r="O286" s="160"/>
      <c r="P286" s="160"/>
      <c r="Q286" s="160"/>
      <c r="R286" s="160"/>
      <c r="S286" s="160"/>
      <c r="T286" s="155"/>
      <c r="U286" s="160"/>
      <c r="V286" s="160"/>
      <c r="W286" s="160"/>
      <c r="X286" s="165"/>
      <c r="Y286" s="199"/>
    </row>
    <row r="287" spans="1:25" x14ac:dyDescent="0.2">
      <c r="A287" s="199" t="s">
        <v>3461</v>
      </c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</row>
    <row r="288" spans="1:25" x14ac:dyDescent="0.2">
      <c r="A288" s="4" t="s">
        <v>3460</v>
      </c>
    </row>
    <row r="289" spans="1:1" x14ac:dyDescent="0.2">
      <c r="A289" s="20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7:X287"/>
    <mergeCell ref="Y2:Y286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33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3470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196" t="s">
        <v>3462</v>
      </c>
    </row>
    <row r="3" spans="1:24" x14ac:dyDescent="0.2">
      <c r="A3" s="144" t="s">
        <v>1205</v>
      </c>
      <c r="B3" s="145" t="s">
        <v>1206</v>
      </c>
      <c r="C3" s="145" t="s">
        <v>2343</v>
      </c>
      <c r="D3" s="145" t="s">
        <v>2344</v>
      </c>
      <c r="E3" s="145" t="s">
        <v>309</v>
      </c>
      <c r="F3" s="145" t="s">
        <v>2345</v>
      </c>
      <c r="G3" s="145" t="s">
        <v>2346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69325</v>
      </c>
      <c r="Q3" s="146">
        <v>1</v>
      </c>
      <c r="R3" s="146">
        <v>2392</v>
      </c>
      <c r="S3" s="161"/>
      <c r="T3" s="146">
        <v>1658.2539999999999</v>
      </c>
      <c r="U3" s="148">
        <v>3.65E-3</v>
      </c>
      <c r="V3" s="148">
        <v>8.473E-2</v>
      </c>
      <c r="W3" s="149">
        <v>5.2209999999999999E-2</v>
      </c>
      <c r="X3" s="196"/>
    </row>
    <row r="4" spans="1:24" x14ac:dyDescent="0.2">
      <c r="A4" s="144" t="s">
        <v>1205</v>
      </c>
      <c r="B4" s="145" t="s">
        <v>1206</v>
      </c>
      <c r="C4" s="145" t="s">
        <v>2347</v>
      </c>
      <c r="D4" s="145" t="s">
        <v>2348</v>
      </c>
      <c r="E4" s="145" t="s">
        <v>309</v>
      </c>
      <c r="F4" s="145" t="s">
        <v>2349</v>
      </c>
      <c r="G4" s="145" t="s">
        <v>2350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5821</v>
      </c>
      <c r="Q4" s="146">
        <v>1</v>
      </c>
      <c r="R4" s="146">
        <v>23790</v>
      </c>
      <c r="S4" s="161"/>
      <c r="T4" s="146">
        <v>1384.816</v>
      </c>
      <c r="U4" s="148">
        <v>2.7699999999999999E-3</v>
      </c>
      <c r="V4" s="148">
        <v>7.0760000000000003E-2</v>
      </c>
      <c r="W4" s="149">
        <v>4.36E-2</v>
      </c>
      <c r="X4" s="196"/>
    </row>
    <row r="5" spans="1:24" x14ac:dyDescent="0.2">
      <c r="A5" s="144" t="s">
        <v>1205</v>
      </c>
      <c r="B5" s="145" t="s">
        <v>1206</v>
      </c>
      <c r="C5" s="145" t="s">
        <v>2351</v>
      </c>
      <c r="D5" s="145" t="s">
        <v>2352</v>
      </c>
      <c r="E5" s="145" t="s">
        <v>309</v>
      </c>
      <c r="F5" s="145" t="s">
        <v>2353</v>
      </c>
      <c r="G5" s="145" t="s">
        <v>2354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273540</v>
      </c>
      <c r="Q5" s="146">
        <v>1</v>
      </c>
      <c r="R5" s="146">
        <v>476</v>
      </c>
      <c r="S5" s="161"/>
      <c r="T5" s="146">
        <v>1302.05</v>
      </c>
      <c r="U5" s="148">
        <v>6.8399999999999997E-3</v>
      </c>
      <c r="V5" s="148">
        <v>6.6530000000000006E-2</v>
      </c>
      <c r="W5" s="149">
        <v>4.1000000000000002E-2</v>
      </c>
      <c r="X5" s="196"/>
    </row>
    <row r="6" spans="1:24" x14ac:dyDescent="0.2">
      <c r="A6" s="144" t="s">
        <v>1205</v>
      </c>
      <c r="B6" s="145" t="s">
        <v>1206</v>
      </c>
      <c r="C6" s="145" t="s">
        <v>2343</v>
      </c>
      <c r="D6" s="145" t="s">
        <v>2344</v>
      </c>
      <c r="E6" s="145" t="s">
        <v>309</v>
      </c>
      <c r="F6" s="145" t="s">
        <v>2355</v>
      </c>
      <c r="G6" s="145" t="s">
        <v>2356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576</v>
      </c>
      <c r="N6" s="145" t="s">
        <v>339</v>
      </c>
      <c r="O6" s="145" t="s">
        <v>1210</v>
      </c>
      <c r="P6" s="146">
        <v>320404</v>
      </c>
      <c r="Q6" s="146">
        <v>1</v>
      </c>
      <c r="R6" s="146">
        <v>383.5</v>
      </c>
      <c r="S6" s="161"/>
      <c r="T6" s="146">
        <v>1228.749</v>
      </c>
      <c r="U6" s="148">
        <v>2.5100000000000001E-3</v>
      </c>
      <c r="V6" s="148">
        <v>6.2780000000000002E-2</v>
      </c>
      <c r="W6" s="149">
        <v>3.8690000000000002E-2</v>
      </c>
      <c r="X6" s="196"/>
    </row>
    <row r="7" spans="1:24" x14ac:dyDescent="0.2">
      <c r="A7" s="144" t="s">
        <v>1205</v>
      </c>
      <c r="B7" s="145" t="s">
        <v>1206</v>
      </c>
      <c r="C7" s="145" t="s">
        <v>2351</v>
      </c>
      <c r="D7" s="145" t="s">
        <v>2352</v>
      </c>
      <c r="E7" s="145" t="s">
        <v>309</v>
      </c>
      <c r="F7" s="145" t="s">
        <v>2357</v>
      </c>
      <c r="G7" s="145" t="s">
        <v>2358</v>
      </c>
      <c r="H7" s="145" t="s">
        <v>321</v>
      </c>
      <c r="I7" s="145" t="s">
        <v>966</v>
      </c>
      <c r="J7" s="145" t="s">
        <v>204</v>
      </c>
      <c r="K7" s="145" t="s">
        <v>204</v>
      </c>
      <c r="L7" s="145" t="s">
        <v>340</v>
      </c>
      <c r="M7" s="145" t="s">
        <v>632</v>
      </c>
      <c r="N7" s="145" t="s">
        <v>339</v>
      </c>
      <c r="O7" s="145" t="s">
        <v>1210</v>
      </c>
      <c r="P7" s="146">
        <v>206274</v>
      </c>
      <c r="Q7" s="146">
        <v>1</v>
      </c>
      <c r="R7" s="146">
        <v>469.88</v>
      </c>
      <c r="S7" s="161"/>
      <c r="T7" s="146">
        <v>969.24</v>
      </c>
      <c r="U7" s="148">
        <v>5.8300000000000001E-3</v>
      </c>
      <c r="V7" s="148">
        <v>4.9520000000000002E-2</v>
      </c>
      <c r="W7" s="149">
        <v>3.0519999999999999E-2</v>
      </c>
      <c r="X7" s="196"/>
    </row>
    <row r="8" spans="1:24" x14ac:dyDescent="0.2">
      <c r="A8" s="144" t="s">
        <v>1205</v>
      </c>
      <c r="B8" s="145" t="s">
        <v>1206</v>
      </c>
      <c r="C8" s="145" t="s">
        <v>2347</v>
      </c>
      <c r="D8" s="145" t="s">
        <v>2348</v>
      </c>
      <c r="E8" s="145" t="s">
        <v>309</v>
      </c>
      <c r="F8" s="145" t="s">
        <v>2359</v>
      </c>
      <c r="G8" s="145" t="s">
        <v>2360</v>
      </c>
      <c r="H8" s="145" t="s">
        <v>321</v>
      </c>
      <c r="I8" s="145" t="s">
        <v>966</v>
      </c>
      <c r="J8" s="145" t="s">
        <v>204</v>
      </c>
      <c r="K8" s="145" t="s">
        <v>204</v>
      </c>
      <c r="L8" s="145" t="s">
        <v>340</v>
      </c>
      <c r="M8" s="145" t="s">
        <v>632</v>
      </c>
      <c r="N8" s="145" t="s">
        <v>339</v>
      </c>
      <c r="O8" s="145" t="s">
        <v>1210</v>
      </c>
      <c r="P8" s="146">
        <v>18353.22</v>
      </c>
      <c r="Q8" s="146">
        <v>1</v>
      </c>
      <c r="R8" s="146">
        <v>4032.21</v>
      </c>
      <c r="S8" s="161"/>
      <c r="T8" s="146">
        <v>740.04</v>
      </c>
      <c r="U8" s="148">
        <v>2.0899999999999998E-3</v>
      </c>
      <c r="V8" s="148">
        <v>3.7810000000000003E-2</v>
      </c>
      <c r="W8" s="149">
        <v>2.3300000000000001E-2</v>
      </c>
      <c r="X8" s="196"/>
    </row>
    <row r="9" spans="1:24" x14ac:dyDescent="0.2">
      <c r="A9" s="144" t="s">
        <v>1205</v>
      </c>
      <c r="B9" s="145" t="s">
        <v>1206</v>
      </c>
      <c r="C9" s="145" t="s">
        <v>2361</v>
      </c>
      <c r="D9" s="145" t="s">
        <v>2362</v>
      </c>
      <c r="E9" s="145" t="s">
        <v>309</v>
      </c>
      <c r="F9" s="145" t="s">
        <v>2363</v>
      </c>
      <c r="G9" s="145" t="s">
        <v>2364</v>
      </c>
      <c r="H9" s="145" t="s">
        <v>321</v>
      </c>
      <c r="I9" s="145" t="s">
        <v>964</v>
      </c>
      <c r="J9" s="145" t="s">
        <v>204</v>
      </c>
      <c r="K9" s="145" t="s">
        <v>204</v>
      </c>
      <c r="L9" s="145" t="s">
        <v>340</v>
      </c>
      <c r="M9" s="145" t="s">
        <v>572</v>
      </c>
      <c r="N9" s="145" t="s">
        <v>339</v>
      </c>
      <c r="O9" s="145" t="s">
        <v>1210</v>
      </c>
      <c r="P9" s="146">
        <v>29949</v>
      </c>
      <c r="Q9" s="146">
        <v>1</v>
      </c>
      <c r="R9" s="146">
        <v>2388</v>
      </c>
      <c r="S9" s="161"/>
      <c r="T9" s="146">
        <v>715.18200000000002</v>
      </c>
      <c r="U9" s="148">
        <v>1.47E-3</v>
      </c>
      <c r="V9" s="148">
        <v>3.6540000000000003E-2</v>
      </c>
      <c r="W9" s="149">
        <v>2.2519999999999998E-2</v>
      </c>
      <c r="X9" s="196"/>
    </row>
    <row r="10" spans="1:24" x14ac:dyDescent="0.2">
      <c r="A10" s="144" t="s">
        <v>1205</v>
      </c>
      <c r="B10" s="145" t="s">
        <v>1206</v>
      </c>
      <c r="C10" s="145" t="s">
        <v>2351</v>
      </c>
      <c r="D10" s="145" t="s">
        <v>2352</v>
      </c>
      <c r="E10" s="145" t="s">
        <v>309</v>
      </c>
      <c r="F10" s="145" t="s">
        <v>2365</v>
      </c>
      <c r="G10" s="145" t="s">
        <v>2366</v>
      </c>
      <c r="H10" s="145" t="s">
        <v>321</v>
      </c>
      <c r="I10" s="145" t="s">
        <v>964</v>
      </c>
      <c r="J10" s="145" t="s">
        <v>204</v>
      </c>
      <c r="K10" s="145" t="s">
        <v>204</v>
      </c>
      <c r="L10" s="145" t="s">
        <v>340</v>
      </c>
      <c r="M10" s="145" t="s">
        <v>572</v>
      </c>
      <c r="N10" s="145" t="s">
        <v>339</v>
      </c>
      <c r="O10" s="145" t="s">
        <v>1210</v>
      </c>
      <c r="P10" s="146">
        <v>11046</v>
      </c>
      <c r="Q10" s="146">
        <v>1</v>
      </c>
      <c r="R10" s="146">
        <v>3756</v>
      </c>
      <c r="S10" s="161"/>
      <c r="T10" s="146">
        <v>414.88799999999998</v>
      </c>
      <c r="U10" s="148">
        <v>1.23E-3</v>
      </c>
      <c r="V10" s="148">
        <v>2.12E-2</v>
      </c>
      <c r="W10" s="149">
        <v>1.306E-2</v>
      </c>
      <c r="X10" s="196"/>
    </row>
    <row r="11" spans="1:24" x14ac:dyDescent="0.2">
      <c r="A11" s="144" t="s">
        <v>1205</v>
      </c>
      <c r="B11" s="145" t="s">
        <v>1206</v>
      </c>
      <c r="C11" s="145" t="s">
        <v>2347</v>
      </c>
      <c r="D11" s="145" t="s">
        <v>2348</v>
      </c>
      <c r="E11" s="145" t="s">
        <v>309</v>
      </c>
      <c r="F11" s="145" t="s">
        <v>2367</v>
      </c>
      <c r="G11" s="145" t="s">
        <v>2368</v>
      </c>
      <c r="H11" s="145" t="s">
        <v>321</v>
      </c>
      <c r="I11" s="145" t="s">
        <v>966</v>
      </c>
      <c r="J11" s="145" t="s">
        <v>204</v>
      </c>
      <c r="K11" s="145" t="s">
        <v>204</v>
      </c>
      <c r="L11" s="145" t="s">
        <v>340</v>
      </c>
      <c r="M11" s="145" t="s">
        <v>576</v>
      </c>
      <c r="N11" s="145" t="s">
        <v>339</v>
      </c>
      <c r="O11" s="145" t="s">
        <v>1210</v>
      </c>
      <c r="P11" s="146">
        <v>272868</v>
      </c>
      <c r="Q11" s="146">
        <v>1</v>
      </c>
      <c r="R11" s="146">
        <v>114</v>
      </c>
      <c r="S11" s="161"/>
      <c r="T11" s="146">
        <v>311.07</v>
      </c>
      <c r="U11" s="148">
        <v>6.8000000000000005E-4</v>
      </c>
      <c r="V11" s="148">
        <v>1.5890000000000001E-2</v>
      </c>
      <c r="W11" s="149">
        <v>9.7900000000000001E-3</v>
      </c>
      <c r="X11" s="196"/>
    </row>
    <row r="12" spans="1:24" x14ac:dyDescent="0.2">
      <c r="A12" s="144" t="s">
        <v>1205</v>
      </c>
      <c r="B12" s="145" t="s">
        <v>1206</v>
      </c>
      <c r="C12" s="145" t="s">
        <v>2343</v>
      </c>
      <c r="D12" s="145" t="s">
        <v>2344</v>
      </c>
      <c r="E12" s="145" t="s">
        <v>309</v>
      </c>
      <c r="F12" s="145" t="s">
        <v>2369</v>
      </c>
      <c r="G12" s="145" t="s">
        <v>2370</v>
      </c>
      <c r="H12" s="145" t="s">
        <v>321</v>
      </c>
      <c r="I12" s="145" t="s">
        <v>966</v>
      </c>
      <c r="J12" s="145" t="s">
        <v>204</v>
      </c>
      <c r="K12" s="145" t="s">
        <v>204</v>
      </c>
      <c r="L12" s="145" t="s">
        <v>340</v>
      </c>
      <c r="M12" s="145" t="s">
        <v>632</v>
      </c>
      <c r="N12" s="145" t="s">
        <v>339</v>
      </c>
      <c r="O12" s="145" t="s">
        <v>1210</v>
      </c>
      <c r="P12" s="146">
        <v>42131</v>
      </c>
      <c r="Q12" s="146">
        <v>1</v>
      </c>
      <c r="R12" s="146">
        <v>404.46</v>
      </c>
      <c r="S12" s="161"/>
      <c r="T12" s="146">
        <v>170.40299999999999</v>
      </c>
      <c r="U12" s="148">
        <v>5.5999999999999995E-4</v>
      </c>
      <c r="V12" s="148">
        <v>8.7100000000000007E-3</v>
      </c>
      <c r="W12" s="149">
        <v>5.3699999999999998E-3</v>
      </c>
      <c r="X12" s="196"/>
    </row>
    <row r="13" spans="1:24" x14ac:dyDescent="0.2">
      <c r="A13" s="144" t="s">
        <v>1205</v>
      </c>
      <c r="B13" s="145" t="s">
        <v>1206</v>
      </c>
      <c r="C13" s="145" t="s">
        <v>2343</v>
      </c>
      <c r="D13" s="145" t="s">
        <v>2344</v>
      </c>
      <c r="E13" s="145" t="s">
        <v>309</v>
      </c>
      <c r="F13" s="145" t="s">
        <v>2371</v>
      </c>
      <c r="G13" s="145" t="s">
        <v>2372</v>
      </c>
      <c r="H13" s="145" t="s">
        <v>321</v>
      </c>
      <c r="I13" s="145" t="s">
        <v>964</v>
      </c>
      <c r="J13" s="145" t="s">
        <v>204</v>
      </c>
      <c r="K13" s="145" t="s">
        <v>204</v>
      </c>
      <c r="L13" s="145" t="s">
        <v>340</v>
      </c>
      <c r="M13" s="145" t="s">
        <v>593</v>
      </c>
      <c r="N13" s="145" t="s">
        <v>339</v>
      </c>
      <c r="O13" s="145" t="s">
        <v>1210</v>
      </c>
      <c r="P13" s="146">
        <v>670</v>
      </c>
      <c r="Q13" s="146">
        <v>1</v>
      </c>
      <c r="R13" s="146">
        <v>2407</v>
      </c>
      <c r="S13" s="161"/>
      <c r="T13" s="146">
        <v>16.126999999999999</v>
      </c>
      <c r="U13" s="148">
        <v>4.0000000000000003E-5</v>
      </c>
      <c r="V13" s="148">
        <v>8.1999999999999998E-4</v>
      </c>
      <c r="W13" s="149">
        <v>5.1000000000000004E-4</v>
      </c>
      <c r="X13" s="196"/>
    </row>
    <row r="14" spans="1:24" x14ac:dyDescent="0.2">
      <c r="A14" s="144" t="s">
        <v>1205</v>
      </c>
      <c r="B14" s="145" t="s">
        <v>1206</v>
      </c>
      <c r="C14" s="145" t="s">
        <v>2373</v>
      </c>
      <c r="D14" s="145" t="s">
        <v>2374</v>
      </c>
      <c r="E14" s="145" t="s">
        <v>313</v>
      </c>
      <c r="F14" s="145" t="s">
        <v>2375</v>
      </c>
      <c r="G14" s="145" t="s">
        <v>2376</v>
      </c>
      <c r="H14" s="145" t="s">
        <v>321</v>
      </c>
      <c r="I14" s="145" t="s">
        <v>965</v>
      </c>
      <c r="J14" s="145" t="s">
        <v>205</v>
      </c>
      <c r="K14" s="145" t="s">
        <v>224</v>
      </c>
      <c r="L14" s="145" t="s">
        <v>344</v>
      </c>
      <c r="M14" s="145" t="s">
        <v>604</v>
      </c>
      <c r="N14" s="145" t="s">
        <v>339</v>
      </c>
      <c r="O14" s="145" t="s">
        <v>1211</v>
      </c>
      <c r="P14" s="146">
        <v>1089</v>
      </c>
      <c r="Q14" s="146">
        <v>3.718</v>
      </c>
      <c r="R14" s="146">
        <v>55939</v>
      </c>
      <c r="S14" s="146">
        <v>1.8460000000000001</v>
      </c>
      <c r="T14" s="146">
        <v>2271.7800000000002</v>
      </c>
      <c r="U14" s="148">
        <v>0</v>
      </c>
      <c r="V14" s="148">
        <v>0.11617</v>
      </c>
      <c r="W14" s="149">
        <v>7.1590000000000001E-2</v>
      </c>
      <c r="X14" s="196"/>
    </row>
    <row r="15" spans="1:24" x14ac:dyDescent="0.2">
      <c r="A15" s="144" t="s">
        <v>1205</v>
      </c>
      <c r="B15" s="145" t="s">
        <v>1206</v>
      </c>
      <c r="C15" s="145" t="s">
        <v>2377</v>
      </c>
      <c r="D15" s="145" t="s">
        <v>2378</v>
      </c>
      <c r="E15" s="145" t="s">
        <v>313</v>
      </c>
      <c r="F15" s="145" t="s">
        <v>2377</v>
      </c>
      <c r="G15" s="145" t="s">
        <v>2379</v>
      </c>
      <c r="H15" s="145" t="s">
        <v>321</v>
      </c>
      <c r="I15" s="145" t="s">
        <v>965</v>
      </c>
      <c r="J15" s="145" t="s">
        <v>205</v>
      </c>
      <c r="K15" s="145" t="s">
        <v>224</v>
      </c>
      <c r="L15" s="145" t="s">
        <v>344</v>
      </c>
      <c r="M15" s="145" t="s">
        <v>604</v>
      </c>
      <c r="N15" s="145" t="s">
        <v>339</v>
      </c>
      <c r="O15" s="145" t="s">
        <v>1211</v>
      </c>
      <c r="P15" s="146">
        <v>832</v>
      </c>
      <c r="Q15" s="146">
        <v>3.718</v>
      </c>
      <c r="R15" s="146">
        <v>51391</v>
      </c>
      <c r="S15" s="146">
        <v>1.508</v>
      </c>
      <c r="T15" s="146">
        <v>1595.3219999999999</v>
      </c>
      <c r="U15" s="148">
        <v>0</v>
      </c>
      <c r="V15" s="148">
        <v>8.1589999999999996E-2</v>
      </c>
      <c r="W15" s="149">
        <v>5.0279999999999998E-2</v>
      </c>
      <c r="X15" s="196"/>
    </row>
    <row r="16" spans="1:24" x14ac:dyDescent="0.2">
      <c r="A16" s="144" t="s">
        <v>1205</v>
      </c>
      <c r="B16" s="145" t="s">
        <v>1206</v>
      </c>
      <c r="C16" s="145" t="s">
        <v>2380</v>
      </c>
      <c r="D16" s="145" t="s">
        <v>2381</v>
      </c>
      <c r="E16" s="145" t="s">
        <v>313</v>
      </c>
      <c r="F16" s="145" t="s">
        <v>2382</v>
      </c>
      <c r="G16" s="145" t="s">
        <v>2383</v>
      </c>
      <c r="H16" s="145" t="s">
        <v>321</v>
      </c>
      <c r="I16" s="145" t="s">
        <v>965</v>
      </c>
      <c r="J16" s="145" t="s">
        <v>205</v>
      </c>
      <c r="K16" s="145" t="s">
        <v>224</v>
      </c>
      <c r="L16" s="145" t="s">
        <v>344</v>
      </c>
      <c r="M16" s="145" t="s">
        <v>597</v>
      </c>
      <c r="N16" s="145" t="s">
        <v>339</v>
      </c>
      <c r="O16" s="145" t="s">
        <v>1211</v>
      </c>
      <c r="P16" s="146">
        <v>888</v>
      </c>
      <c r="Q16" s="146">
        <v>3.718</v>
      </c>
      <c r="R16" s="146">
        <v>46892</v>
      </c>
      <c r="S16" s="146">
        <v>0.63600000000000001</v>
      </c>
      <c r="T16" s="146">
        <v>1550.5419999999999</v>
      </c>
      <c r="U16" s="148">
        <v>0</v>
      </c>
      <c r="V16" s="148">
        <v>7.9259999999999997E-2</v>
      </c>
      <c r="W16" s="149">
        <v>4.8840000000000001E-2</v>
      </c>
      <c r="X16" s="196"/>
    </row>
    <row r="17" spans="1:24" x14ac:dyDescent="0.2">
      <c r="A17" s="144" t="s">
        <v>1205</v>
      </c>
      <c r="B17" s="145" t="s">
        <v>1206</v>
      </c>
      <c r="C17" s="145" t="s">
        <v>2384</v>
      </c>
      <c r="D17" s="145" t="s">
        <v>2385</v>
      </c>
      <c r="E17" s="145" t="s">
        <v>313</v>
      </c>
      <c r="F17" s="145" t="s">
        <v>2386</v>
      </c>
      <c r="G17" s="145" t="s">
        <v>2387</v>
      </c>
      <c r="H17" s="145" t="s">
        <v>321</v>
      </c>
      <c r="I17" s="145" t="s">
        <v>965</v>
      </c>
      <c r="J17" s="145" t="s">
        <v>205</v>
      </c>
      <c r="K17" s="145" t="s">
        <v>224</v>
      </c>
      <c r="L17" s="145" t="s">
        <v>344</v>
      </c>
      <c r="M17" s="145" t="s">
        <v>604</v>
      </c>
      <c r="N17" s="145" t="s">
        <v>339</v>
      </c>
      <c r="O17" s="145" t="s">
        <v>1211</v>
      </c>
      <c r="P17" s="146">
        <v>820</v>
      </c>
      <c r="Q17" s="146">
        <v>3.718</v>
      </c>
      <c r="R17" s="146">
        <v>17323</v>
      </c>
      <c r="S17" s="161"/>
      <c r="T17" s="146">
        <v>528.13699999999994</v>
      </c>
      <c r="U17" s="148">
        <v>0</v>
      </c>
      <c r="V17" s="148">
        <v>2.699E-2</v>
      </c>
      <c r="W17" s="149">
        <v>1.6629999999999999E-2</v>
      </c>
      <c r="X17" s="196"/>
    </row>
    <row r="18" spans="1:24" x14ac:dyDescent="0.2">
      <c r="A18" s="144" t="s">
        <v>1205</v>
      </c>
      <c r="B18" s="145" t="s">
        <v>1206</v>
      </c>
      <c r="C18" s="145" t="s">
        <v>2388</v>
      </c>
      <c r="D18" s="145" t="s">
        <v>2389</v>
      </c>
      <c r="E18" s="145" t="s">
        <v>313</v>
      </c>
      <c r="F18" s="145" t="s">
        <v>2388</v>
      </c>
      <c r="G18" s="145" t="s">
        <v>2390</v>
      </c>
      <c r="H18" s="145" t="s">
        <v>321</v>
      </c>
      <c r="I18" s="145" t="s">
        <v>965</v>
      </c>
      <c r="J18" s="145" t="s">
        <v>205</v>
      </c>
      <c r="K18" s="145" t="s">
        <v>224</v>
      </c>
      <c r="L18" s="145" t="s">
        <v>344</v>
      </c>
      <c r="M18" s="145" t="s">
        <v>611</v>
      </c>
      <c r="N18" s="145" t="s">
        <v>339</v>
      </c>
      <c r="O18" s="145" t="s">
        <v>1211</v>
      </c>
      <c r="P18" s="146">
        <v>600</v>
      </c>
      <c r="Q18" s="146">
        <v>3.718</v>
      </c>
      <c r="R18" s="146">
        <v>20648</v>
      </c>
      <c r="S18" s="161"/>
      <c r="T18" s="146">
        <v>460.61599999999999</v>
      </c>
      <c r="U18" s="148">
        <v>0</v>
      </c>
      <c r="V18" s="148">
        <v>2.3539999999999998E-2</v>
      </c>
      <c r="W18" s="149">
        <v>1.4500000000000001E-2</v>
      </c>
      <c r="X18" s="196"/>
    </row>
    <row r="19" spans="1:24" x14ac:dyDescent="0.2">
      <c r="A19" s="144" t="s">
        <v>1205</v>
      </c>
      <c r="B19" s="145" t="s">
        <v>1206</v>
      </c>
      <c r="C19" s="145" t="s">
        <v>2391</v>
      </c>
      <c r="D19" s="145" t="s">
        <v>2392</v>
      </c>
      <c r="E19" s="145" t="s">
        <v>313</v>
      </c>
      <c r="F19" s="145" t="s">
        <v>2391</v>
      </c>
      <c r="G19" s="145" t="s">
        <v>2393</v>
      </c>
      <c r="H19" s="145" t="s">
        <v>321</v>
      </c>
      <c r="I19" s="145" t="s">
        <v>965</v>
      </c>
      <c r="J19" s="145" t="s">
        <v>205</v>
      </c>
      <c r="K19" s="145" t="s">
        <v>224</v>
      </c>
      <c r="L19" s="145" t="s">
        <v>344</v>
      </c>
      <c r="M19" s="145" t="s">
        <v>586</v>
      </c>
      <c r="N19" s="145" t="s">
        <v>339</v>
      </c>
      <c r="O19" s="145" t="s">
        <v>1211</v>
      </c>
      <c r="P19" s="146">
        <v>2375</v>
      </c>
      <c r="Q19" s="146">
        <v>3.718</v>
      </c>
      <c r="R19" s="146">
        <v>4981</v>
      </c>
      <c r="S19" s="161"/>
      <c r="T19" s="146">
        <v>439.83499999999998</v>
      </c>
      <c r="U19" s="148">
        <v>0</v>
      </c>
      <c r="V19" s="148">
        <v>2.247E-2</v>
      </c>
      <c r="W19" s="149">
        <v>1.3849999999999999E-2</v>
      </c>
      <c r="X19" s="196"/>
    </row>
    <row r="20" spans="1:24" x14ac:dyDescent="0.2">
      <c r="A20" s="144" t="s">
        <v>1205</v>
      </c>
      <c r="B20" s="145" t="s">
        <v>1206</v>
      </c>
      <c r="C20" s="145" t="s">
        <v>2394</v>
      </c>
      <c r="D20" s="145" t="s">
        <v>2395</v>
      </c>
      <c r="E20" s="145" t="s">
        <v>313</v>
      </c>
      <c r="F20" s="145" t="s">
        <v>2394</v>
      </c>
      <c r="G20" s="145" t="s">
        <v>2396</v>
      </c>
      <c r="H20" s="145" t="s">
        <v>321</v>
      </c>
      <c r="I20" s="145" t="s">
        <v>967</v>
      </c>
      <c r="J20" s="145" t="s">
        <v>205</v>
      </c>
      <c r="K20" s="145" t="s">
        <v>224</v>
      </c>
      <c r="L20" s="145" t="s">
        <v>380</v>
      </c>
      <c r="M20" s="145" t="s">
        <v>592</v>
      </c>
      <c r="N20" s="145" t="s">
        <v>339</v>
      </c>
      <c r="O20" s="145" t="s">
        <v>1211</v>
      </c>
      <c r="P20" s="146">
        <v>19012</v>
      </c>
      <c r="Q20" s="146">
        <v>3.718</v>
      </c>
      <c r="R20" s="146">
        <v>597.45000000000005</v>
      </c>
      <c r="S20" s="161"/>
      <c r="T20" s="146">
        <v>422.31700000000001</v>
      </c>
      <c r="U20" s="148">
        <v>3.0000000000000001E-5</v>
      </c>
      <c r="V20" s="148">
        <v>2.1579999999999998E-2</v>
      </c>
      <c r="W20" s="149">
        <v>1.3299999999999999E-2</v>
      </c>
      <c r="X20" s="196"/>
    </row>
    <row r="21" spans="1:24" x14ac:dyDescent="0.2">
      <c r="A21" s="144" t="s">
        <v>1205</v>
      </c>
      <c r="B21" s="145" t="s">
        <v>1206</v>
      </c>
      <c r="C21" s="145" t="s">
        <v>2397</v>
      </c>
      <c r="D21" s="145" t="s">
        <v>2398</v>
      </c>
      <c r="E21" s="145" t="s">
        <v>313</v>
      </c>
      <c r="F21" s="145" t="s">
        <v>2397</v>
      </c>
      <c r="G21" s="145" t="s">
        <v>2399</v>
      </c>
      <c r="H21" s="145" t="s">
        <v>321</v>
      </c>
      <c r="I21" s="145" t="s">
        <v>965</v>
      </c>
      <c r="J21" s="145" t="s">
        <v>205</v>
      </c>
      <c r="K21" s="145" t="s">
        <v>224</v>
      </c>
      <c r="L21" s="145" t="s">
        <v>344</v>
      </c>
      <c r="M21" s="145" t="s">
        <v>596</v>
      </c>
      <c r="N21" s="145" t="s">
        <v>339</v>
      </c>
      <c r="O21" s="145" t="s">
        <v>1211</v>
      </c>
      <c r="P21" s="146">
        <v>2664</v>
      </c>
      <c r="Q21" s="146">
        <v>3.718</v>
      </c>
      <c r="R21" s="146">
        <v>3087</v>
      </c>
      <c r="S21" s="150"/>
      <c r="T21" s="146">
        <v>305.76</v>
      </c>
      <c r="U21" s="148">
        <v>2.0000000000000002E-5</v>
      </c>
      <c r="V21" s="148">
        <v>1.562E-2</v>
      </c>
      <c r="W21" s="149">
        <v>9.6299999999999997E-3</v>
      </c>
      <c r="X21" s="196"/>
    </row>
    <row r="22" spans="1:24" x14ac:dyDescent="0.2">
      <c r="A22" s="144" t="s">
        <v>1205</v>
      </c>
      <c r="B22" s="145" t="s">
        <v>1206</v>
      </c>
      <c r="C22" s="145" t="s">
        <v>2400</v>
      </c>
      <c r="D22" s="145" t="s">
        <v>2401</v>
      </c>
      <c r="E22" s="145" t="s">
        <v>313</v>
      </c>
      <c r="F22" s="145" t="s">
        <v>2400</v>
      </c>
      <c r="G22" s="145" t="s">
        <v>2402</v>
      </c>
      <c r="H22" s="145" t="s">
        <v>321</v>
      </c>
      <c r="I22" s="145" t="s">
        <v>965</v>
      </c>
      <c r="J22" s="145" t="s">
        <v>205</v>
      </c>
      <c r="K22" s="145" t="s">
        <v>268</v>
      </c>
      <c r="L22" s="145" t="s">
        <v>344</v>
      </c>
      <c r="M22" s="145" t="s">
        <v>707</v>
      </c>
      <c r="N22" s="145" t="s">
        <v>339</v>
      </c>
      <c r="O22" s="145" t="s">
        <v>1211</v>
      </c>
      <c r="P22" s="146">
        <v>991</v>
      </c>
      <c r="Q22" s="146">
        <v>3.718</v>
      </c>
      <c r="R22" s="146">
        <v>7400</v>
      </c>
      <c r="S22" s="150"/>
      <c r="T22" s="146">
        <v>272.65600000000001</v>
      </c>
      <c r="U22" s="148">
        <v>3.0000000000000001E-5</v>
      </c>
      <c r="V22" s="148">
        <v>1.393E-2</v>
      </c>
      <c r="W22" s="149">
        <v>8.5900000000000004E-3</v>
      </c>
      <c r="X22" s="196"/>
    </row>
    <row r="23" spans="1:24" x14ac:dyDescent="0.2">
      <c r="A23" s="144" t="s">
        <v>1205</v>
      </c>
      <c r="B23" s="145" t="s">
        <v>1206</v>
      </c>
      <c r="C23" s="145" t="s">
        <v>2403</v>
      </c>
      <c r="D23" s="145" t="s">
        <v>2404</v>
      </c>
      <c r="E23" s="145" t="s">
        <v>313</v>
      </c>
      <c r="F23" s="145" t="s">
        <v>2405</v>
      </c>
      <c r="G23" s="145" t="s">
        <v>2406</v>
      </c>
      <c r="H23" s="145" t="s">
        <v>321</v>
      </c>
      <c r="I23" s="145" t="s">
        <v>965</v>
      </c>
      <c r="J23" s="145" t="s">
        <v>205</v>
      </c>
      <c r="K23" s="145" t="s">
        <v>224</v>
      </c>
      <c r="L23" s="145" t="s">
        <v>344</v>
      </c>
      <c r="M23" s="145" t="s">
        <v>583</v>
      </c>
      <c r="N23" s="145" t="s">
        <v>339</v>
      </c>
      <c r="O23" s="145" t="s">
        <v>1211</v>
      </c>
      <c r="P23" s="146">
        <v>525</v>
      </c>
      <c r="Q23" s="146">
        <v>3.718</v>
      </c>
      <c r="R23" s="146">
        <v>13107</v>
      </c>
      <c r="S23" s="150"/>
      <c r="T23" s="146">
        <v>255.84200000000001</v>
      </c>
      <c r="U23" s="148">
        <v>0</v>
      </c>
      <c r="V23" s="148">
        <v>1.307E-2</v>
      </c>
      <c r="W23" s="149">
        <v>8.0599999999999995E-3</v>
      </c>
      <c r="X23" s="196"/>
    </row>
    <row r="24" spans="1:24" x14ac:dyDescent="0.2">
      <c r="A24" s="144" t="s">
        <v>1205</v>
      </c>
      <c r="B24" s="145" t="s">
        <v>1206</v>
      </c>
      <c r="C24" s="145" t="s">
        <v>2407</v>
      </c>
      <c r="D24" s="145" t="s">
        <v>2408</v>
      </c>
      <c r="E24" s="145" t="s">
        <v>313</v>
      </c>
      <c r="F24" s="145" t="s">
        <v>2407</v>
      </c>
      <c r="G24" s="145" t="s">
        <v>2409</v>
      </c>
      <c r="H24" s="145" t="s">
        <v>321</v>
      </c>
      <c r="I24" s="145" t="s">
        <v>965</v>
      </c>
      <c r="J24" s="145" t="s">
        <v>205</v>
      </c>
      <c r="K24" s="145" t="s">
        <v>253</v>
      </c>
      <c r="L24" s="145" t="s">
        <v>314</v>
      </c>
      <c r="M24" s="145" t="s">
        <v>610</v>
      </c>
      <c r="N24" s="145" t="s">
        <v>339</v>
      </c>
      <c r="O24" s="145" t="s">
        <v>1212</v>
      </c>
      <c r="P24" s="146">
        <v>232</v>
      </c>
      <c r="Q24" s="146">
        <v>4.0220000000000002</v>
      </c>
      <c r="R24" s="146">
        <v>25113</v>
      </c>
      <c r="S24" s="150"/>
      <c r="T24" s="146">
        <v>234.32499999999999</v>
      </c>
      <c r="U24" s="148">
        <v>1.0000000000000001E-5</v>
      </c>
      <c r="V24" s="148">
        <v>1.197E-2</v>
      </c>
      <c r="W24" s="149">
        <v>7.3800000000000003E-3</v>
      </c>
      <c r="X24" s="196"/>
    </row>
    <row r="25" spans="1:24" x14ac:dyDescent="0.2">
      <c r="A25" s="144" t="s">
        <v>1205</v>
      </c>
      <c r="B25" s="145" t="s">
        <v>1206</v>
      </c>
      <c r="C25" s="145" t="s">
        <v>2410</v>
      </c>
      <c r="D25" s="145" t="s">
        <v>2411</v>
      </c>
      <c r="E25" s="145" t="s">
        <v>313</v>
      </c>
      <c r="F25" s="145" t="s">
        <v>2410</v>
      </c>
      <c r="G25" s="145" t="s">
        <v>2412</v>
      </c>
      <c r="H25" s="145" t="s">
        <v>321</v>
      </c>
      <c r="I25" s="145" t="s">
        <v>965</v>
      </c>
      <c r="J25" s="145" t="s">
        <v>205</v>
      </c>
      <c r="K25" s="145" t="s">
        <v>251</v>
      </c>
      <c r="L25" s="145" t="s">
        <v>344</v>
      </c>
      <c r="M25" s="145" t="s">
        <v>599</v>
      </c>
      <c r="N25" s="145" t="s">
        <v>339</v>
      </c>
      <c r="O25" s="145" t="s">
        <v>1211</v>
      </c>
      <c r="P25" s="146">
        <v>668</v>
      </c>
      <c r="Q25" s="146">
        <v>3.718</v>
      </c>
      <c r="R25" s="146">
        <v>6856</v>
      </c>
      <c r="S25" s="150"/>
      <c r="T25" s="146">
        <v>170.27699999999999</v>
      </c>
      <c r="U25" s="148">
        <v>0</v>
      </c>
      <c r="V25" s="148">
        <v>8.6999999999999994E-3</v>
      </c>
      <c r="W25" s="149">
        <v>5.3600000000000002E-3</v>
      </c>
      <c r="X25" s="196"/>
    </row>
    <row r="26" spans="1:24" x14ac:dyDescent="0.2">
      <c r="A26" s="144" t="s">
        <v>1205</v>
      </c>
      <c r="B26" s="145" t="s">
        <v>1206</v>
      </c>
      <c r="C26" s="145" t="s">
        <v>2413</v>
      </c>
      <c r="D26" s="145" t="s">
        <v>2414</v>
      </c>
      <c r="E26" s="145" t="s">
        <v>313</v>
      </c>
      <c r="F26" s="145" t="s">
        <v>2415</v>
      </c>
      <c r="G26" s="145" t="s">
        <v>2416</v>
      </c>
      <c r="H26" s="145" t="s">
        <v>321</v>
      </c>
      <c r="I26" s="145" t="s">
        <v>965</v>
      </c>
      <c r="J26" s="145" t="s">
        <v>205</v>
      </c>
      <c r="K26" s="145" t="s">
        <v>224</v>
      </c>
      <c r="L26" s="145" t="s">
        <v>344</v>
      </c>
      <c r="M26" s="145" t="s">
        <v>708</v>
      </c>
      <c r="N26" s="145" t="s">
        <v>339</v>
      </c>
      <c r="O26" s="145" t="s">
        <v>1211</v>
      </c>
      <c r="P26" s="146">
        <v>107</v>
      </c>
      <c r="Q26" s="146">
        <v>3.718</v>
      </c>
      <c r="R26" s="146">
        <v>41988</v>
      </c>
      <c r="S26" s="146">
        <v>8.5999999999999993E-2</v>
      </c>
      <c r="T26" s="146">
        <v>167.358</v>
      </c>
      <c r="U26" s="148">
        <v>0</v>
      </c>
      <c r="V26" s="148">
        <v>8.5599999999999999E-3</v>
      </c>
      <c r="W26" s="149">
        <v>5.2700000000000004E-3</v>
      </c>
      <c r="X26" s="196"/>
    </row>
    <row r="27" spans="1:24" x14ac:dyDescent="0.2">
      <c r="A27" s="144" t="s">
        <v>1205</v>
      </c>
      <c r="B27" s="145" t="s">
        <v>1206</v>
      </c>
      <c r="C27" s="145" t="s">
        <v>2417</v>
      </c>
      <c r="D27" s="145" t="s">
        <v>2418</v>
      </c>
      <c r="E27" s="145" t="s">
        <v>313</v>
      </c>
      <c r="F27" s="145" t="s">
        <v>2419</v>
      </c>
      <c r="G27" s="145" t="s">
        <v>2420</v>
      </c>
      <c r="H27" s="145" t="s">
        <v>321</v>
      </c>
      <c r="I27" s="145" t="s">
        <v>965</v>
      </c>
      <c r="J27" s="145" t="s">
        <v>205</v>
      </c>
      <c r="K27" s="145" t="s">
        <v>224</v>
      </c>
      <c r="L27" s="145" t="s">
        <v>344</v>
      </c>
      <c r="M27" s="145" t="s">
        <v>597</v>
      </c>
      <c r="N27" s="145" t="s">
        <v>339</v>
      </c>
      <c r="O27" s="145" t="s">
        <v>1211</v>
      </c>
      <c r="P27" s="146">
        <v>239</v>
      </c>
      <c r="Q27" s="146">
        <v>3.718</v>
      </c>
      <c r="R27" s="146">
        <v>17356</v>
      </c>
      <c r="S27" s="150"/>
      <c r="T27" s="146">
        <v>154.226</v>
      </c>
      <c r="U27" s="148">
        <v>1.0000000000000001E-5</v>
      </c>
      <c r="V27" s="148">
        <v>7.8799999999999999E-3</v>
      </c>
      <c r="W27" s="149">
        <v>4.8599999999999997E-3</v>
      </c>
      <c r="X27" s="196"/>
    </row>
    <row r="28" spans="1:24" x14ac:dyDescent="0.2">
      <c r="A28" s="144" t="s">
        <v>1205</v>
      </c>
      <c r="B28" s="145" t="s">
        <v>1206</v>
      </c>
      <c r="C28" s="145" t="s">
        <v>2421</v>
      </c>
      <c r="D28" s="145" t="s">
        <v>2422</v>
      </c>
      <c r="E28" s="145" t="s">
        <v>313</v>
      </c>
      <c r="F28" s="145" t="s">
        <v>2423</v>
      </c>
      <c r="G28" s="145" t="s">
        <v>2424</v>
      </c>
      <c r="H28" s="145" t="s">
        <v>321</v>
      </c>
      <c r="I28" s="145" t="s">
        <v>965</v>
      </c>
      <c r="J28" s="145" t="s">
        <v>205</v>
      </c>
      <c r="K28" s="145" t="s">
        <v>224</v>
      </c>
      <c r="L28" s="145" t="s">
        <v>344</v>
      </c>
      <c r="M28" s="145" t="s">
        <v>580</v>
      </c>
      <c r="N28" s="145" t="s">
        <v>339</v>
      </c>
      <c r="O28" s="145" t="s">
        <v>1211</v>
      </c>
      <c r="P28" s="146">
        <v>896</v>
      </c>
      <c r="Q28" s="146">
        <v>3.718</v>
      </c>
      <c r="R28" s="146">
        <v>4371</v>
      </c>
      <c r="S28" s="151"/>
      <c r="T28" s="146">
        <v>145.61199999999999</v>
      </c>
      <c r="U28" s="148">
        <v>1.0000000000000001E-5</v>
      </c>
      <c r="V28" s="148">
        <v>7.4400000000000004E-3</v>
      </c>
      <c r="W28" s="149">
        <v>4.5799999999999999E-3</v>
      </c>
      <c r="X28" s="196"/>
    </row>
    <row r="29" spans="1:24" x14ac:dyDescent="0.2">
      <c r="A29" s="144" t="s">
        <v>1205</v>
      </c>
      <c r="B29" s="145" t="s">
        <v>1206</v>
      </c>
      <c r="C29" s="145" t="s">
        <v>2425</v>
      </c>
      <c r="D29" s="145" t="s">
        <v>2426</v>
      </c>
      <c r="E29" s="145" t="s">
        <v>313</v>
      </c>
      <c r="F29" s="145" t="s">
        <v>2427</v>
      </c>
      <c r="G29" s="145" t="s">
        <v>2428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344</v>
      </c>
      <c r="M29" s="145" t="s">
        <v>612</v>
      </c>
      <c r="N29" s="145" t="s">
        <v>339</v>
      </c>
      <c r="O29" s="145" t="s">
        <v>1211</v>
      </c>
      <c r="P29" s="146">
        <v>435</v>
      </c>
      <c r="Q29" s="146">
        <v>3.718</v>
      </c>
      <c r="R29" s="146">
        <v>8899</v>
      </c>
      <c r="S29" s="151"/>
      <c r="T29" s="146">
        <v>143.92599999999999</v>
      </c>
      <c r="U29" s="148">
        <v>0</v>
      </c>
      <c r="V29" s="148">
        <v>7.3499999999999998E-3</v>
      </c>
      <c r="W29" s="149">
        <v>4.5300000000000002E-3</v>
      </c>
      <c r="X29" s="196"/>
    </row>
    <row r="30" spans="1:24" x14ac:dyDescent="0.2">
      <c r="A30" s="144" t="s">
        <v>1205</v>
      </c>
      <c r="B30" s="145" t="s">
        <v>1206</v>
      </c>
      <c r="C30" s="145" t="s">
        <v>2429</v>
      </c>
      <c r="D30" s="145" t="s">
        <v>2430</v>
      </c>
      <c r="E30" s="145" t="s">
        <v>313</v>
      </c>
      <c r="F30" s="145" t="s">
        <v>2429</v>
      </c>
      <c r="G30" s="145" t="s">
        <v>2431</v>
      </c>
      <c r="H30" s="145" t="s">
        <v>321</v>
      </c>
      <c r="I30" s="145" t="s">
        <v>965</v>
      </c>
      <c r="J30" s="145" t="s">
        <v>205</v>
      </c>
      <c r="K30" s="145" t="s">
        <v>268</v>
      </c>
      <c r="L30" s="145" t="s">
        <v>344</v>
      </c>
      <c r="M30" s="145" t="s">
        <v>588</v>
      </c>
      <c r="N30" s="145" t="s">
        <v>339</v>
      </c>
      <c r="O30" s="145" t="s">
        <v>1211</v>
      </c>
      <c r="P30" s="146">
        <v>990</v>
      </c>
      <c r="Q30" s="146">
        <v>3.718</v>
      </c>
      <c r="R30" s="146">
        <v>3491</v>
      </c>
      <c r="S30" s="151"/>
      <c r="T30" s="146">
        <v>128.49700000000001</v>
      </c>
      <c r="U30" s="148">
        <v>1.0000000000000001E-5</v>
      </c>
      <c r="V30" s="148">
        <v>6.5700000000000003E-3</v>
      </c>
      <c r="W30" s="149">
        <v>4.0499999999999998E-3</v>
      </c>
      <c r="X30" s="196"/>
    </row>
    <row r="31" spans="1:24" x14ac:dyDescent="0.2">
      <c r="A31" s="144" t="s">
        <v>1205</v>
      </c>
      <c r="B31" s="145" t="s">
        <v>1206</v>
      </c>
      <c r="C31" s="145" t="s">
        <v>2432</v>
      </c>
      <c r="D31" s="145" t="s">
        <v>2433</v>
      </c>
      <c r="E31" s="145" t="s">
        <v>313</v>
      </c>
      <c r="F31" s="145" t="s">
        <v>2434</v>
      </c>
      <c r="G31" s="145" t="s">
        <v>2435</v>
      </c>
      <c r="H31" s="145" t="s">
        <v>321</v>
      </c>
      <c r="I31" s="145" t="s">
        <v>965</v>
      </c>
      <c r="J31" s="145" t="s">
        <v>205</v>
      </c>
      <c r="K31" s="145" t="s">
        <v>268</v>
      </c>
      <c r="L31" s="145" t="s">
        <v>344</v>
      </c>
      <c r="M31" s="145" t="s">
        <v>588</v>
      </c>
      <c r="N31" s="145" t="s">
        <v>339</v>
      </c>
      <c r="O31" s="145" t="s">
        <v>1211</v>
      </c>
      <c r="P31" s="146">
        <v>601</v>
      </c>
      <c r="Q31" s="146">
        <v>3.718</v>
      </c>
      <c r="R31" s="146">
        <v>5440</v>
      </c>
      <c r="S31" s="151"/>
      <c r="T31" s="146">
        <v>121.55800000000001</v>
      </c>
      <c r="U31" s="148">
        <v>1.0000000000000001E-5</v>
      </c>
      <c r="V31" s="148">
        <v>6.2100000000000002E-3</v>
      </c>
      <c r="W31" s="149">
        <v>3.8300000000000001E-3</v>
      </c>
      <c r="X31" s="196"/>
    </row>
    <row r="32" spans="1:24" x14ac:dyDescent="0.2">
      <c r="A32" s="144" t="s">
        <v>1205</v>
      </c>
      <c r="B32" s="145" t="s">
        <v>1206</v>
      </c>
      <c r="C32" s="145" t="s">
        <v>2436</v>
      </c>
      <c r="D32" s="145" t="s">
        <v>2437</v>
      </c>
      <c r="E32" s="145" t="s">
        <v>313</v>
      </c>
      <c r="F32" s="145" t="s">
        <v>2436</v>
      </c>
      <c r="G32" s="145" t="s">
        <v>2438</v>
      </c>
      <c r="H32" s="145" t="s">
        <v>321</v>
      </c>
      <c r="I32" s="145" t="s">
        <v>965</v>
      </c>
      <c r="J32" s="145" t="s">
        <v>205</v>
      </c>
      <c r="K32" s="145" t="s">
        <v>224</v>
      </c>
      <c r="L32" s="145" t="s">
        <v>344</v>
      </c>
      <c r="M32" s="145" t="s">
        <v>589</v>
      </c>
      <c r="N32" s="145" t="s">
        <v>339</v>
      </c>
      <c r="O32" s="145" t="s">
        <v>1211</v>
      </c>
      <c r="P32" s="146">
        <v>222</v>
      </c>
      <c r="Q32" s="146">
        <v>3.718</v>
      </c>
      <c r="R32" s="146">
        <v>14601</v>
      </c>
      <c r="S32" s="151"/>
      <c r="T32" s="146">
        <v>120.51600000000001</v>
      </c>
      <c r="U32" s="148">
        <v>0</v>
      </c>
      <c r="V32" s="148">
        <v>6.1599999999999997E-3</v>
      </c>
      <c r="W32" s="149">
        <v>3.79E-3</v>
      </c>
      <c r="X32" s="196"/>
    </row>
    <row r="33" spans="1:24" x14ac:dyDescent="0.2">
      <c r="A33" s="144" t="s">
        <v>1205</v>
      </c>
      <c r="B33" s="145" t="s">
        <v>1206</v>
      </c>
      <c r="C33" s="145" t="s">
        <v>2439</v>
      </c>
      <c r="D33" s="145" t="s">
        <v>2440</v>
      </c>
      <c r="E33" s="145" t="s">
        <v>313</v>
      </c>
      <c r="F33" s="145" t="s">
        <v>2441</v>
      </c>
      <c r="G33" s="145" t="s">
        <v>2442</v>
      </c>
      <c r="H33" s="145" t="s">
        <v>321</v>
      </c>
      <c r="I33" s="145" t="s">
        <v>965</v>
      </c>
      <c r="J33" s="145" t="s">
        <v>205</v>
      </c>
      <c r="K33" s="145" t="s">
        <v>224</v>
      </c>
      <c r="L33" s="145" t="s">
        <v>344</v>
      </c>
      <c r="M33" s="145" t="s">
        <v>602</v>
      </c>
      <c r="N33" s="145" t="s">
        <v>339</v>
      </c>
      <c r="O33" s="145" t="s">
        <v>1211</v>
      </c>
      <c r="P33" s="146">
        <v>153</v>
      </c>
      <c r="Q33" s="146">
        <v>3.718</v>
      </c>
      <c r="R33" s="146">
        <v>19949</v>
      </c>
      <c r="S33" s="151"/>
      <c r="T33" s="146">
        <v>113.48099999999999</v>
      </c>
      <c r="U33" s="148">
        <v>0</v>
      </c>
      <c r="V33" s="148">
        <v>5.7999999999999996E-3</v>
      </c>
      <c r="W33" s="149">
        <v>3.5699999999999998E-3</v>
      </c>
      <c r="X33" s="196"/>
    </row>
    <row r="34" spans="1:24" x14ac:dyDescent="0.2">
      <c r="A34" s="144" t="s">
        <v>1205</v>
      </c>
      <c r="B34" s="145" t="s">
        <v>1206</v>
      </c>
      <c r="C34" s="145" t="s">
        <v>2443</v>
      </c>
      <c r="D34" s="145" t="s">
        <v>2444</v>
      </c>
      <c r="E34" s="145" t="s">
        <v>313</v>
      </c>
      <c r="F34" s="145" t="s">
        <v>2443</v>
      </c>
      <c r="G34" s="145" t="s">
        <v>2445</v>
      </c>
      <c r="H34" s="145" t="s">
        <v>321</v>
      </c>
      <c r="I34" s="145" t="s">
        <v>965</v>
      </c>
      <c r="J34" s="145" t="s">
        <v>205</v>
      </c>
      <c r="K34" s="145" t="s">
        <v>224</v>
      </c>
      <c r="L34" s="145" t="s">
        <v>344</v>
      </c>
      <c r="M34" s="145" t="s">
        <v>586</v>
      </c>
      <c r="N34" s="145" t="s">
        <v>339</v>
      </c>
      <c r="O34" s="145" t="s">
        <v>1211</v>
      </c>
      <c r="P34" s="146">
        <v>202</v>
      </c>
      <c r="Q34" s="146">
        <v>3.718</v>
      </c>
      <c r="R34" s="146">
        <v>14011</v>
      </c>
      <c r="S34" s="151"/>
      <c r="T34" s="146">
        <v>105.22799999999999</v>
      </c>
      <c r="U34" s="148">
        <v>5.0000000000000002E-5</v>
      </c>
      <c r="V34" s="148">
        <v>5.3800000000000002E-3</v>
      </c>
      <c r="W34" s="149">
        <v>3.31E-3</v>
      </c>
      <c r="X34" s="196"/>
    </row>
    <row r="35" spans="1:24" x14ac:dyDescent="0.2">
      <c r="A35" s="144" t="s">
        <v>1205</v>
      </c>
      <c r="B35" s="145" t="s">
        <v>1206</v>
      </c>
      <c r="C35" s="145" t="s">
        <v>2446</v>
      </c>
      <c r="D35" s="145" t="s">
        <v>2447</v>
      </c>
      <c r="E35" s="145" t="s">
        <v>313</v>
      </c>
      <c r="F35" s="145" t="s">
        <v>2446</v>
      </c>
      <c r="G35" s="145" t="s">
        <v>2448</v>
      </c>
      <c r="H35" s="145" t="s">
        <v>321</v>
      </c>
      <c r="I35" s="145" t="s">
        <v>965</v>
      </c>
      <c r="J35" s="145" t="s">
        <v>205</v>
      </c>
      <c r="K35" s="145" t="s">
        <v>224</v>
      </c>
      <c r="L35" s="145" t="s">
        <v>344</v>
      </c>
      <c r="M35" s="145" t="s">
        <v>708</v>
      </c>
      <c r="N35" s="145" t="s">
        <v>339</v>
      </c>
      <c r="O35" s="145" t="s">
        <v>1211</v>
      </c>
      <c r="P35" s="146">
        <v>134</v>
      </c>
      <c r="Q35" s="146">
        <v>3.718</v>
      </c>
      <c r="R35" s="146">
        <v>19746</v>
      </c>
      <c r="S35" s="151"/>
      <c r="T35" s="146">
        <v>98.376999999999995</v>
      </c>
      <c r="U35" s="148">
        <v>0</v>
      </c>
      <c r="V35" s="148">
        <v>5.0299999999999997E-3</v>
      </c>
      <c r="W35" s="149">
        <v>3.0999999999999999E-3</v>
      </c>
      <c r="X35" s="196"/>
    </row>
    <row r="36" spans="1:24" x14ac:dyDescent="0.2">
      <c r="A36" s="144" t="s">
        <v>1205</v>
      </c>
      <c r="B36" s="145" t="s">
        <v>1206</v>
      </c>
      <c r="C36" s="145" t="s">
        <v>2449</v>
      </c>
      <c r="D36" s="145" t="s">
        <v>2450</v>
      </c>
      <c r="E36" s="145" t="s">
        <v>313</v>
      </c>
      <c r="F36" s="145" t="s">
        <v>2449</v>
      </c>
      <c r="G36" s="145" t="s">
        <v>2451</v>
      </c>
      <c r="H36" s="145" t="s">
        <v>321</v>
      </c>
      <c r="I36" s="145" t="s">
        <v>965</v>
      </c>
      <c r="J36" s="145" t="s">
        <v>205</v>
      </c>
      <c r="K36" s="145" t="s">
        <v>244</v>
      </c>
      <c r="L36" s="145" t="s">
        <v>344</v>
      </c>
      <c r="M36" s="145" t="s">
        <v>580</v>
      </c>
      <c r="N36" s="145" t="s">
        <v>339</v>
      </c>
      <c r="O36" s="145" t="s">
        <v>1211</v>
      </c>
      <c r="P36" s="146">
        <v>504</v>
      </c>
      <c r="Q36" s="146">
        <v>3.718</v>
      </c>
      <c r="R36" s="146">
        <v>5148</v>
      </c>
      <c r="S36" s="151"/>
      <c r="T36" s="146">
        <v>96.466999999999999</v>
      </c>
      <c r="U36" s="148">
        <v>0</v>
      </c>
      <c r="V36" s="148">
        <v>4.9300000000000004E-3</v>
      </c>
      <c r="W36" s="149">
        <v>3.0400000000000002E-3</v>
      </c>
      <c r="X36" s="196"/>
    </row>
    <row r="37" spans="1:24" x14ac:dyDescent="0.2">
      <c r="A37" s="144" t="s">
        <v>1205</v>
      </c>
      <c r="B37" s="145" t="s">
        <v>1206</v>
      </c>
      <c r="C37" s="145" t="s">
        <v>2452</v>
      </c>
      <c r="D37" s="145" t="s">
        <v>2453</v>
      </c>
      <c r="E37" s="145" t="s">
        <v>313</v>
      </c>
      <c r="F37" s="145" t="s">
        <v>2454</v>
      </c>
      <c r="G37" s="145" t="s">
        <v>2455</v>
      </c>
      <c r="H37" s="145" t="s">
        <v>321</v>
      </c>
      <c r="I37" s="145" t="s">
        <v>965</v>
      </c>
      <c r="J37" s="145" t="s">
        <v>205</v>
      </c>
      <c r="K37" s="145" t="s">
        <v>224</v>
      </c>
      <c r="L37" s="145" t="s">
        <v>344</v>
      </c>
      <c r="M37" s="145" t="s">
        <v>703</v>
      </c>
      <c r="N37" s="145" t="s">
        <v>339</v>
      </c>
      <c r="O37" s="145" t="s">
        <v>1211</v>
      </c>
      <c r="P37" s="146">
        <v>186</v>
      </c>
      <c r="Q37" s="146">
        <v>3.718</v>
      </c>
      <c r="R37" s="146">
        <v>11655</v>
      </c>
      <c r="S37" s="151"/>
      <c r="T37" s="146">
        <v>80.599999999999994</v>
      </c>
      <c r="U37" s="148">
        <v>0</v>
      </c>
      <c r="V37" s="148">
        <v>4.1200000000000004E-3</v>
      </c>
      <c r="W37" s="149">
        <v>2.5400000000000002E-3</v>
      </c>
      <c r="X37" s="196"/>
    </row>
    <row r="38" spans="1:24" x14ac:dyDescent="0.2">
      <c r="A38" s="144" t="s">
        <v>1205</v>
      </c>
      <c r="B38" s="145" t="s">
        <v>1206</v>
      </c>
      <c r="C38" s="145" t="s">
        <v>2456</v>
      </c>
      <c r="D38" s="145" t="s">
        <v>2457</v>
      </c>
      <c r="E38" s="145" t="s">
        <v>313</v>
      </c>
      <c r="F38" s="145" t="s">
        <v>2458</v>
      </c>
      <c r="G38" s="145" t="s">
        <v>2459</v>
      </c>
      <c r="H38" s="145" t="s">
        <v>321</v>
      </c>
      <c r="I38" s="145" t="s">
        <v>965</v>
      </c>
      <c r="J38" s="145" t="s">
        <v>205</v>
      </c>
      <c r="K38" s="145" t="s">
        <v>238</v>
      </c>
      <c r="L38" s="145" t="s">
        <v>368</v>
      </c>
      <c r="M38" s="145" t="s">
        <v>581</v>
      </c>
      <c r="N38" s="145" t="s">
        <v>339</v>
      </c>
      <c r="O38" s="145" t="s">
        <v>1212</v>
      </c>
      <c r="P38" s="146">
        <v>98</v>
      </c>
      <c r="Q38" s="146">
        <v>4.0220000000000002</v>
      </c>
      <c r="R38" s="146">
        <v>18438</v>
      </c>
      <c r="S38" s="151"/>
      <c r="T38" s="146">
        <v>72.673000000000002</v>
      </c>
      <c r="U38" s="148">
        <v>0</v>
      </c>
      <c r="V38" s="148">
        <v>3.7100000000000002E-3</v>
      </c>
      <c r="W38" s="149">
        <v>2.2899999999999999E-3</v>
      </c>
      <c r="X38" s="196"/>
    </row>
    <row r="39" spans="1:24" x14ac:dyDescent="0.2">
      <c r="A39" s="144" t="s">
        <v>1205</v>
      </c>
      <c r="B39" s="145" t="s">
        <v>1206</v>
      </c>
      <c r="C39" s="145" t="s">
        <v>2460</v>
      </c>
      <c r="D39" s="145" t="s">
        <v>2378</v>
      </c>
      <c r="E39" s="145" t="s">
        <v>313</v>
      </c>
      <c r="F39" s="145" t="s">
        <v>2460</v>
      </c>
      <c r="G39" s="145" t="s">
        <v>2461</v>
      </c>
      <c r="H39" s="145" t="s">
        <v>321</v>
      </c>
      <c r="I39" s="145" t="s">
        <v>965</v>
      </c>
      <c r="J39" s="145" t="s">
        <v>205</v>
      </c>
      <c r="K39" s="145" t="s">
        <v>224</v>
      </c>
      <c r="L39" s="145" t="s">
        <v>344</v>
      </c>
      <c r="M39" s="145" t="s">
        <v>708</v>
      </c>
      <c r="N39" s="145" t="s">
        <v>339</v>
      </c>
      <c r="O39" s="145" t="s">
        <v>1211</v>
      </c>
      <c r="P39" s="146">
        <v>192</v>
      </c>
      <c r="Q39" s="146">
        <v>3.718</v>
      </c>
      <c r="R39" s="146">
        <v>9870</v>
      </c>
      <c r="S39" s="151"/>
      <c r="T39" s="146">
        <v>70.457999999999998</v>
      </c>
      <c r="U39" s="148">
        <v>1.0000000000000001E-5</v>
      </c>
      <c r="V39" s="148">
        <v>3.5999999999999999E-3</v>
      </c>
      <c r="W39" s="149">
        <v>2.2200000000000002E-3</v>
      </c>
      <c r="X39" s="196"/>
    </row>
    <row r="40" spans="1:24" x14ac:dyDescent="0.2">
      <c r="A40" s="144" t="s">
        <v>1205</v>
      </c>
      <c r="B40" s="145" t="s">
        <v>1206</v>
      </c>
      <c r="C40" s="145" t="s">
        <v>2462</v>
      </c>
      <c r="D40" s="145" t="s">
        <v>2463</v>
      </c>
      <c r="E40" s="145" t="s">
        <v>314</v>
      </c>
      <c r="F40" s="145" t="s">
        <v>2462</v>
      </c>
      <c r="G40" s="145" t="s">
        <v>2464</v>
      </c>
      <c r="H40" s="145" t="s">
        <v>321</v>
      </c>
      <c r="I40" s="145" t="s">
        <v>965</v>
      </c>
      <c r="J40" s="145" t="s">
        <v>205</v>
      </c>
      <c r="K40" s="145" t="s">
        <v>232</v>
      </c>
      <c r="L40" s="145" t="s">
        <v>344</v>
      </c>
      <c r="M40" s="145" t="s">
        <v>596</v>
      </c>
      <c r="N40" s="145" t="s">
        <v>339</v>
      </c>
      <c r="O40" s="145" t="s">
        <v>1211</v>
      </c>
      <c r="P40" s="146">
        <v>675</v>
      </c>
      <c r="Q40" s="146">
        <v>3.718</v>
      </c>
      <c r="R40" s="146">
        <v>2585</v>
      </c>
      <c r="S40" s="151"/>
      <c r="T40" s="146">
        <v>64.873999999999995</v>
      </c>
      <c r="U40" s="148">
        <v>0</v>
      </c>
      <c r="V40" s="148">
        <v>3.31E-3</v>
      </c>
      <c r="W40" s="149">
        <v>2.0400000000000001E-3</v>
      </c>
      <c r="X40" s="196"/>
    </row>
    <row r="41" spans="1:24" x14ac:dyDescent="0.2">
      <c r="A41" s="144" t="s">
        <v>1205</v>
      </c>
      <c r="B41" s="145" t="s">
        <v>1206</v>
      </c>
      <c r="C41" s="145" t="s">
        <v>2465</v>
      </c>
      <c r="D41" s="145" t="s">
        <v>2466</v>
      </c>
      <c r="E41" s="145" t="s">
        <v>313</v>
      </c>
      <c r="F41" s="145" t="s">
        <v>2465</v>
      </c>
      <c r="G41" s="145" t="s">
        <v>2467</v>
      </c>
      <c r="H41" s="145" t="s">
        <v>321</v>
      </c>
      <c r="I41" s="145" t="s">
        <v>965</v>
      </c>
      <c r="J41" s="145" t="s">
        <v>205</v>
      </c>
      <c r="K41" s="145" t="s">
        <v>224</v>
      </c>
      <c r="L41" s="145" t="s">
        <v>344</v>
      </c>
      <c r="M41" s="145" t="s">
        <v>708</v>
      </c>
      <c r="N41" s="145" t="s">
        <v>339</v>
      </c>
      <c r="O41" s="145" t="s">
        <v>1211</v>
      </c>
      <c r="P41" s="146">
        <v>173</v>
      </c>
      <c r="Q41" s="146">
        <v>3.718</v>
      </c>
      <c r="R41" s="146">
        <v>9645</v>
      </c>
      <c r="S41" s="151"/>
      <c r="T41" s="146">
        <v>62.037999999999997</v>
      </c>
      <c r="U41" s="148">
        <v>0</v>
      </c>
      <c r="V41" s="148">
        <v>3.1700000000000001E-3</v>
      </c>
      <c r="W41" s="149">
        <v>1.9499999999999999E-3</v>
      </c>
      <c r="X41" s="196"/>
    </row>
    <row r="42" spans="1:24" x14ac:dyDescent="0.2">
      <c r="A42" s="144" t="s">
        <v>1205</v>
      </c>
      <c r="B42" s="145" t="s">
        <v>1206</v>
      </c>
      <c r="C42" s="145" t="s">
        <v>2468</v>
      </c>
      <c r="D42" s="145" t="s">
        <v>2469</v>
      </c>
      <c r="E42" s="145" t="s">
        <v>313</v>
      </c>
      <c r="F42" s="145" t="s">
        <v>2468</v>
      </c>
      <c r="G42" s="145" t="s">
        <v>2470</v>
      </c>
      <c r="H42" s="145" t="s">
        <v>321</v>
      </c>
      <c r="I42" s="145" t="s">
        <v>965</v>
      </c>
      <c r="J42" s="145" t="s">
        <v>205</v>
      </c>
      <c r="K42" s="145" t="s">
        <v>246</v>
      </c>
      <c r="L42" s="145" t="s">
        <v>370</v>
      </c>
      <c r="M42" s="145" t="s">
        <v>707</v>
      </c>
      <c r="N42" s="145" t="s">
        <v>339</v>
      </c>
      <c r="O42" s="145" t="s">
        <v>1213</v>
      </c>
      <c r="P42" s="146">
        <v>10920</v>
      </c>
      <c r="Q42" s="146">
        <v>0.47799999999999998</v>
      </c>
      <c r="R42" s="146">
        <v>1129</v>
      </c>
      <c r="S42" s="151"/>
      <c r="T42" s="146">
        <v>58.918999999999997</v>
      </c>
      <c r="U42" s="148">
        <v>8.0000000000000007E-5</v>
      </c>
      <c r="V42" s="148">
        <v>3.0100000000000001E-3</v>
      </c>
      <c r="W42" s="149">
        <v>1.8600000000000001E-3</v>
      </c>
      <c r="X42" s="196"/>
    </row>
    <row r="43" spans="1:24" x14ac:dyDescent="0.2">
      <c r="A43" s="144" t="s">
        <v>1205</v>
      </c>
      <c r="B43" s="145" t="s">
        <v>1206</v>
      </c>
      <c r="C43" s="145" t="s">
        <v>2471</v>
      </c>
      <c r="D43" s="145" t="s">
        <v>2472</v>
      </c>
      <c r="E43" s="145" t="s">
        <v>313</v>
      </c>
      <c r="F43" s="145" t="s">
        <v>2471</v>
      </c>
      <c r="G43" s="145" t="s">
        <v>2473</v>
      </c>
      <c r="H43" s="145" t="s">
        <v>321</v>
      </c>
      <c r="I43" s="145" t="s">
        <v>965</v>
      </c>
      <c r="J43" s="145" t="s">
        <v>205</v>
      </c>
      <c r="K43" s="145" t="s">
        <v>238</v>
      </c>
      <c r="L43" s="145" t="s">
        <v>374</v>
      </c>
      <c r="M43" s="145" t="s">
        <v>594</v>
      </c>
      <c r="N43" s="145" t="s">
        <v>339</v>
      </c>
      <c r="O43" s="145" t="s">
        <v>1212</v>
      </c>
      <c r="P43" s="146">
        <v>314</v>
      </c>
      <c r="Q43" s="146">
        <v>4.0220000000000002</v>
      </c>
      <c r="R43" s="146">
        <v>4558.5</v>
      </c>
      <c r="S43" s="151"/>
      <c r="T43" s="146">
        <v>57.567999999999998</v>
      </c>
      <c r="U43" s="148">
        <v>3.0000000000000001E-5</v>
      </c>
      <c r="V43" s="148">
        <v>2.9399999999999999E-3</v>
      </c>
      <c r="W43" s="149">
        <v>1.81E-3</v>
      </c>
      <c r="X43" s="196"/>
    </row>
    <row r="44" spans="1:24" x14ac:dyDescent="0.2">
      <c r="A44" s="144" t="s">
        <v>1205</v>
      </c>
      <c r="B44" s="145" t="s">
        <v>1206</v>
      </c>
      <c r="C44" s="145" t="s">
        <v>2474</v>
      </c>
      <c r="D44" s="145" t="s">
        <v>2475</v>
      </c>
      <c r="E44" s="145" t="s">
        <v>313</v>
      </c>
      <c r="F44" s="145" t="s">
        <v>2474</v>
      </c>
      <c r="G44" s="145" t="s">
        <v>2476</v>
      </c>
      <c r="H44" s="145" t="s">
        <v>321</v>
      </c>
      <c r="I44" s="145" t="s">
        <v>965</v>
      </c>
      <c r="J44" s="145" t="s">
        <v>205</v>
      </c>
      <c r="K44" s="145" t="s">
        <v>224</v>
      </c>
      <c r="L44" s="145" t="s">
        <v>344</v>
      </c>
      <c r="M44" s="145" t="s">
        <v>597</v>
      </c>
      <c r="N44" s="145" t="s">
        <v>339</v>
      </c>
      <c r="O44" s="145" t="s">
        <v>1211</v>
      </c>
      <c r="P44" s="146">
        <v>132</v>
      </c>
      <c r="Q44" s="146">
        <v>3.718</v>
      </c>
      <c r="R44" s="146">
        <v>11313</v>
      </c>
      <c r="S44" s="151"/>
      <c r="T44" s="146">
        <v>55.521000000000001</v>
      </c>
      <c r="U44" s="148">
        <v>1.0000000000000001E-5</v>
      </c>
      <c r="V44" s="148">
        <v>2.8400000000000001E-3</v>
      </c>
      <c r="W44" s="149">
        <v>1.75E-3</v>
      </c>
      <c r="X44" s="196"/>
    </row>
    <row r="45" spans="1:24" x14ac:dyDescent="0.2">
      <c r="A45" s="144" t="s">
        <v>1205</v>
      </c>
      <c r="B45" s="145" t="s">
        <v>1206</v>
      </c>
      <c r="C45" s="145" t="s">
        <v>2477</v>
      </c>
      <c r="D45" s="145" t="s">
        <v>2478</v>
      </c>
      <c r="E45" s="145" t="s">
        <v>313</v>
      </c>
      <c r="F45" s="145" t="s">
        <v>2479</v>
      </c>
      <c r="G45" s="145" t="s">
        <v>2480</v>
      </c>
      <c r="H45" s="145" t="s">
        <v>321</v>
      </c>
      <c r="I45" s="145" t="s">
        <v>965</v>
      </c>
      <c r="J45" s="145" t="s">
        <v>205</v>
      </c>
      <c r="K45" s="145" t="s">
        <v>224</v>
      </c>
      <c r="L45" s="145" t="s">
        <v>344</v>
      </c>
      <c r="M45" s="145" t="s">
        <v>611</v>
      </c>
      <c r="N45" s="145" t="s">
        <v>339</v>
      </c>
      <c r="O45" s="145" t="s">
        <v>1211</v>
      </c>
      <c r="P45" s="146">
        <v>70</v>
      </c>
      <c r="Q45" s="146">
        <v>3.718</v>
      </c>
      <c r="R45" s="146">
        <v>21147</v>
      </c>
      <c r="S45" s="151"/>
      <c r="T45" s="146">
        <v>55.036999999999999</v>
      </c>
      <c r="U45" s="148">
        <v>0</v>
      </c>
      <c r="V45" s="148">
        <v>2.81E-3</v>
      </c>
      <c r="W45" s="149">
        <v>1.73E-3</v>
      </c>
      <c r="X45" s="196"/>
    </row>
    <row r="46" spans="1:24" x14ac:dyDescent="0.2">
      <c r="A46" s="144" t="s">
        <v>1205</v>
      </c>
      <c r="B46" s="145" t="s">
        <v>1206</v>
      </c>
      <c r="C46" s="145" t="s">
        <v>2481</v>
      </c>
      <c r="D46" s="145" t="s">
        <v>2482</v>
      </c>
      <c r="E46" s="145" t="s">
        <v>313</v>
      </c>
      <c r="F46" s="145" t="s">
        <v>2483</v>
      </c>
      <c r="G46" s="145" t="s">
        <v>2484</v>
      </c>
      <c r="H46" s="145" t="s">
        <v>321</v>
      </c>
      <c r="I46" s="145" t="s">
        <v>965</v>
      </c>
      <c r="J46" s="145" t="s">
        <v>205</v>
      </c>
      <c r="K46" s="145" t="s">
        <v>224</v>
      </c>
      <c r="L46" s="145" t="s">
        <v>344</v>
      </c>
      <c r="M46" s="145" t="s">
        <v>707</v>
      </c>
      <c r="N46" s="145" t="s">
        <v>339</v>
      </c>
      <c r="O46" s="145" t="s">
        <v>1211</v>
      </c>
      <c r="P46" s="146">
        <v>297</v>
      </c>
      <c r="Q46" s="146">
        <v>3.718</v>
      </c>
      <c r="R46" s="146">
        <v>4748</v>
      </c>
      <c r="S46" s="151"/>
      <c r="T46" s="146">
        <v>52.43</v>
      </c>
      <c r="U46" s="148">
        <v>0</v>
      </c>
      <c r="V46" s="148">
        <v>2.6800000000000001E-3</v>
      </c>
      <c r="W46" s="149">
        <v>1.65E-3</v>
      </c>
      <c r="X46" s="196"/>
    </row>
    <row r="47" spans="1:24" x14ac:dyDescent="0.2">
      <c r="A47" s="144" t="s">
        <v>1205</v>
      </c>
      <c r="B47" s="145" t="s">
        <v>1206</v>
      </c>
      <c r="C47" s="145" t="s">
        <v>2485</v>
      </c>
      <c r="D47" s="145" t="s">
        <v>2486</v>
      </c>
      <c r="E47" s="145" t="s">
        <v>313</v>
      </c>
      <c r="F47" s="145" t="s">
        <v>2485</v>
      </c>
      <c r="G47" s="145" t="s">
        <v>2487</v>
      </c>
      <c r="H47" s="145" t="s">
        <v>321</v>
      </c>
      <c r="I47" s="145" t="s">
        <v>967</v>
      </c>
      <c r="J47" s="145" t="s">
        <v>205</v>
      </c>
      <c r="K47" s="145" t="s">
        <v>233</v>
      </c>
      <c r="L47" s="145" t="s">
        <v>380</v>
      </c>
      <c r="M47" s="145" t="s">
        <v>677</v>
      </c>
      <c r="N47" s="145" t="s">
        <v>339</v>
      </c>
      <c r="O47" s="145" t="s">
        <v>1211</v>
      </c>
      <c r="P47" s="146">
        <v>113</v>
      </c>
      <c r="Q47" s="146">
        <v>3.718</v>
      </c>
      <c r="R47" s="146">
        <v>9483</v>
      </c>
      <c r="S47" s="151"/>
      <c r="T47" s="146">
        <v>39.841000000000001</v>
      </c>
      <c r="U47" s="148">
        <v>0</v>
      </c>
      <c r="V47" s="148">
        <v>2.0400000000000001E-3</v>
      </c>
      <c r="W47" s="149">
        <v>1.25E-3</v>
      </c>
      <c r="X47" s="196"/>
    </row>
    <row r="48" spans="1:24" x14ac:dyDescent="0.2">
      <c r="A48" s="144" t="s">
        <v>1205</v>
      </c>
      <c r="B48" s="145" t="s">
        <v>1206</v>
      </c>
      <c r="C48" s="145" t="s">
        <v>2481</v>
      </c>
      <c r="D48" s="145" t="s">
        <v>2482</v>
      </c>
      <c r="E48" s="145" t="s">
        <v>313</v>
      </c>
      <c r="F48" s="145" t="s">
        <v>2488</v>
      </c>
      <c r="G48" s="145" t="s">
        <v>2489</v>
      </c>
      <c r="H48" s="145" t="s">
        <v>321</v>
      </c>
      <c r="I48" s="145" t="s">
        <v>965</v>
      </c>
      <c r="J48" s="145" t="s">
        <v>205</v>
      </c>
      <c r="K48" s="145" t="s">
        <v>224</v>
      </c>
      <c r="L48" s="145" t="s">
        <v>344</v>
      </c>
      <c r="M48" s="145" t="s">
        <v>708</v>
      </c>
      <c r="N48" s="145" t="s">
        <v>339</v>
      </c>
      <c r="O48" s="145" t="s">
        <v>1211</v>
      </c>
      <c r="P48" s="146">
        <v>141</v>
      </c>
      <c r="Q48" s="146">
        <v>3.718</v>
      </c>
      <c r="R48" s="146">
        <v>6019</v>
      </c>
      <c r="S48" s="151"/>
      <c r="T48" s="146">
        <v>31.553999999999998</v>
      </c>
      <c r="U48" s="148">
        <v>0</v>
      </c>
      <c r="V48" s="148">
        <v>1.6100000000000001E-3</v>
      </c>
      <c r="W48" s="149">
        <v>9.8999999999999999E-4</v>
      </c>
      <c r="X48" s="196"/>
    </row>
    <row r="49" spans="1:24" x14ac:dyDescent="0.2">
      <c r="A49" s="144" t="s">
        <v>1205</v>
      </c>
      <c r="B49" s="145" t="s">
        <v>1206</v>
      </c>
      <c r="C49" s="145" t="s">
        <v>2490</v>
      </c>
      <c r="D49" s="145" t="s">
        <v>2491</v>
      </c>
      <c r="E49" s="145" t="s">
        <v>313</v>
      </c>
      <c r="F49" s="145" t="s">
        <v>2492</v>
      </c>
      <c r="G49" s="145" t="s">
        <v>2493</v>
      </c>
      <c r="H49" s="145" t="s">
        <v>321</v>
      </c>
      <c r="I49" s="145" t="s">
        <v>965</v>
      </c>
      <c r="J49" s="145" t="s">
        <v>205</v>
      </c>
      <c r="K49" s="145" t="s">
        <v>224</v>
      </c>
      <c r="L49" s="145" t="s">
        <v>344</v>
      </c>
      <c r="M49" s="145" t="s">
        <v>708</v>
      </c>
      <c r="N49" s="145" t="s">
        <v>339</v>
      </c>
      <c r="O49" s="145" t="s">
        <v>1211</v>
      </c>
      <c r="P49" s="146">
        <v>202</v>
      </c>
      <c r="Q49" s="146">
        <v>3.718</v>
      </c>
      <c r="R49" s="146">
        <v>4185</v>
      </c>
      <c r="S49" s="151"/>
      <c r="T49" s="146">
        <v>31.431000000000001</v>
      </c>
      <c r="U49" s="148">
        <v>0</v>
      </c>
      <c r="V49" s="148">
        <v>1.6100000000000001E-3</v>
      </c>
      <c r="W49" s="149">
        <v>9.8999999999999999E-4</v>
      </c>
      <c r="X49" s="196"/>
    </row>
    <row r="50" spans="1:24" x14ac:dyDescent="0.2">
      <c r="A50" s="144" t="s">
        <v>1205</v>
      </c>
      <c r="B50" s="145" t="s">
        <v>1206</v>
      </c>
      <c r="C50" s="145" t="s">
        <v>2494</v>
      </c>
      <c r="D50" s="145" t="s">
        <v>2495</v>
      </c>
      <c r="E50" s="145" t="s">
        <v>313</v>
      </c>
      <c r="F50" s="145" t="s">
        <v>2496</v>
      </c>
      <c r="G50" s="145" t="s">
        <v>2497</v>
      </c>
      <c r="H50" s="145" t="s">
        <v>321</v>
      </c>
      <c r="I50" s="145" t="s">
        <v>965</v>
      </c>
      <c r="J50" s="145" t="s">
        <v>205</v>
      </c>
      <c r="K50" s="145" t="s">
        <v>268</v>
      </c>
      <c r="L50" s="145" t="s">
        <v>344</v>
      </c>
      <c r="M50" s="145" t="s">
        <v>588</v>
      </c>
      <c r="N50" s="145" t="s">
        <v>339</v>
      </c>
      <c r="O50" s="145" t="s">
        <v>1211</v>
      </c>
      <c r="P50" s="146">
        <v>130</v>
      </c>
      <c r="Q50" s="146">
        <v>3.718</v>
      </c>
      <c r="R50" s="146">
        <v>3584</v>
      </c>
      <c r="S50" s="151"/>
      <c r="T50" s="146">
        <v>17.323</v>
      </c>
      <c r="U50" s="148">
        <v>0</v>
      </c>
      <c r="V50" s="148">
        <v>8.8999999999999995E-4</v>
      </c>
      <c r="W50" s="149">
        <v>5.5000000000000003E-4</v>
      </c>
      <c r="X50" s="196"/>
    </row>
    <row r="51" spans="1:24" x14ac:dyDescent="0.2">
      <c r="A51" s="144" t="s">
        <v>1205</v>
      </c>
      <c r="B51" s="145" t="s">
        <v>1206</v>
      </c>
      <c r="C51" s="145" t="s">
        <v>2498</v>
      </c>
      <c r="D51" s="145" t="s">
        <v>2499</v>
      </c>
      <c r="E51" s="145" t="s">
        <v>313</v>
      </c>
      <c r="F51" s="145" t="s">
        <v>2498</v>
      </c>
      <c r="G51" s="145" t="s">
        <v>2500</v>
      </c>
      <c r="H51" s="145" t="s">
        <v>321</v>
      </c>
      <c r="I51" s="145" t="s">
        <v>965</v>
      </c>
      <c r="J51" s="145" t="s">
        <v>205</v>
      </c>
      <c r="K51" s="145" t="s">
        <v>224</v>
      </c>
      <c r="L51" s="145" t="s">
        <v>344</v>
      </c>
      <c r="M51" s="145" t="s">
        <v>703</v>
      </c>
      <c r="N51" s="145" t="s">
        <v>339</v>
      </c>
      <c r="O51" s="145" t="s">
        <v>1211</v>
      </c>
      <c r="P51" s="146">
        <v>66</v>
      </c>
      <c r="Q51" s="146">
        <v>3.718</v>
      </c>
      <c r="R51" s="146">
        <v>3046</v>
      </c>
      <c r="S51" s="151"/>
      <c r="T51" s="146">
        <v>7.4749999999999996</v>
      </c>
      <c r="U51" s="148">
        <v>0</v>
      </c>
      <c r="V51" s="148">
        <v>3.8000000000000002E-4</v>
      </c>
      <c r="W51" s="149">
        <v>2.4000000000000001E-4</v>
      </c>
      <c r="X51" s="196"/>
    </row>
    <row r="52" spans="1:24" x14ac:dyDescent="0.2">
      <c r="A52" s="144" t="s">
        <v>1205</v>
      </c>
      <c r="B52" s="145" t="s">
        <v>1214</v>
      </c>
      <c r="C52" s="145" t="s">
        <v>2351</v>
      </c>
      <c r="D52" s="145" t="s">
        <v>2352</v>
      </c>
      <c r="E52" s="145" t="s">
        <v>309</v>
      </c>
      <c r="F52" s="145" t="s">
        <v>2501</v>
      </c>
      <c r="G52" s="145" t="s">
        <v>2502</v>
      </c>
      <c r="H52" s="145" t="s">
        <v>321</v>
      </c>
      <c r="I52" s="145" t="s">
        <v>966</v>
      </c>
      <c r="J52" s="145" t="s">
        <v>204</v>
      </c>
      <c r="K52" s="145" t="s">
        <v>204</v>
      </c>
      <c r="L52" s="145" t="s">
        <v>340</v>
      </c>
      <c r="M52" s="145" t="s">
        <v>576</v>
      </c>
      <c r="N52" s="145" t="s">
        <v>339</v>
      </c>
      <c r="O52" s="145" t="s">
        <v>1210</v>
      </c>
      <c r="P52" s="146">
        <v>23967</v>
      </c>
      <c r="Q52" s="146">
        <v>1</v>
      </c>
      <c r="R52" s="146">
        <v>475.88</v>
      </c>
      <c r="S52" s="151"/>
      <c r="T52" s="146">
        <v>114.054</v>
      </c>
      <c r="U52" s="148">
        <v>1.1E-4</v>
      </c>
      <c r="V52" s="148">
        <v>0.22381000000000001</v>
      </c>
      <c r="W52" s="149">
        <v>5.2789999999999997E-2</v>
      </c>
      <c r="X52" s="196"/>
    </row>
    <row r="53" spans="1:24" x14ac:dyDescent="0.2">
      <c r="A53" s="144" t="s">
        <v>1205</v>
      </c>
      <c r="B53" s="145" t="s">
        <v>1214</v>
      </c>
      <c r="C53" s="145" t="s">
        <v>2343</v>
      </c>
      <c r="D53" s="145" t="s">
        <v>2344</v>
      </c>
      <c r="E53" s="145" t="s">
        <v>309</v>
      </c>
      <c r="F53" s="145" t="s">
        <v>2503</v>
      </c>
      <c r="G53" s="145" t="s">
        <v>2504</v>
      </c>
      <c r="H53" s="145" t="s">
        <v>321</v>
      </c>
      <c r="I53" s="145" t="s">
        <v>966</v>
      </c>
      <c r="J53" s="145" t="s">
        <v>204</v>
      </c>
      <c r="K53" s="145" t="s">
        <v>204</v>
      </c>
      <c r="L53" s="145" t="s">
        <v>340</v>
      </c>
      <c r="M53" s="145" t="s">
        <v>632</v>
      </c>
      <c r="N53" s="145" t="s">
        <v>339</v>
      </c>
      <c r="O53" s="145" t="s">
        <v>1210</v>
      </c>
      <c r="P53" s="146">
        <v>23075</v>
      </c>
      <c r="Q53" s="146">
        <v>1</v>
      </c>
      <c r="R53" s="146">
        <v>404.49</v>
      </c>
      <c r="S53" s="151"/>
      <c r="T53" s="146">
        <v>93.335999999999999</v>
      </c>
      <c r="U53" s="148">
        <v>8.0000000000000007E-5</v>
      </c>
      <c r="V53" s="148">
        <v>0.18315000000000001</v>
      </c>
      <c r="W53" s="149">
        <v>4.3200000000000002E-2</v>
      </c>
      <c r="X53" s="196"/>
    </row>
    <row r="54" spans="1:24" x14ac:dyDescent="0.2">
      <c r="A54" s="144" t="s">
        <v>1205</v>
      </c>
      <c r="B54" s="145" t="s">
        <v>1214</v>
      </c>
      <c r="C54" s="145" t="s">
        <v>2347</v>
      </c>
      <c r="D54" s="145" t="s">
        <v>2348</v>
      </c>
      <c r="E54" s="145" t="s">
        <v>309</v>
      </c>
      <c r="F54" s="145" t="s">
        <v>2505</v>
      </c>
      <c r="G54" s="145" t="s">
        <v>2506</v>
      </c>
      <c r="H54" s="145" t="s">
        <v>321</v>
      </c>
      <c r="I54" s="145" t="s">
        <v>966</v>
      </c>
      <c r="J54" s="145" t="s">
        <v>204</v>
      </c>
      <c r="K54" s="145" t="s">
        <v>204</v>
      </c>
      <c r="L54" s="145" t="s">
        <v>340</v>
      </c>
      <c r="M54" s="145" t="s">
        <v>634</v>
      </c>
      <c r="N54" s="145" t="s">
        <v>339</v>
      </c>
      <c r="O54" s="145" t="s">
        <v>1210</v>
      </c>
      <c r="P54" s="146">
        <v>1844</v>
      </c>
      <c r="Q54" s="146">
        <v>1</v>
      </c>
      <c r="R54" s="146">
        <v>4085.73</v>
      </c>
      <c r="S54" s="151"/>
      <c r="T54" s="146">
        <v>75.340999999999994</v>
      </c>
      <c r="U54" s="148">
        <v>5.0000000000000002E-5</v>
      </c>
      <c r="V54" s="148">
        <v>0.14784</v>
      </c>
      <c r="W54" s="149">
        <v>3.4869999999999998E-2</v>
      </c>
      <c r="X54" s="196"/>
    </row>
    <row r="55" spans="1:24" x14ac:dyDescent="0.2">
      <c r="A55" s="144" t="s">
        <v>1205</v>
      </c>
      <c r="B55" s="145" t="s">
        <v>1214</v>
      </c>
      <c r="C55" s="145" t="s">
        <v>2343</v>
      </c>
      <c r="D55" s="145" t="s">
        <v>2344</v>
      </c>
      <c r="E55" s="145" t="s">
        <v>309</v>
      </c>
      <c r="F55" s="145" t="s">
        <v>2507</v>
      </c>
      <c r="G55" s="145" t="s">
        <v>2508</v>
      </c>
      <c r="H55" s="145" t="s">
        <v>321</v>
      </c>
      <c r="I55" s="145" t="s">
        <v>966</v>
      </c>
      <c r="J55" s="145" t="s">
        <v>204</v>
      </c>
      <c r="K55" s="145" t="s">
        <v>204</v>
      </c>
      <c r="L55" s="145" t="s">
        <v>340</v>
      </c>
      <c r="M55" s="145" t="s">
        <v>634</v>
      </c>
      <c r="N55" s="145" t="s">
        <v>339</v>
      </c>
      <c r="O55" s="145" t="s">
        <v>1210</v>
      </c>
      <c r="P55" s="146">
        <v>18016</v>
      </c>
      <c r="Q55" s="146">
        <v>1</v>
      </c>
      <c r="R55" s="146">
        <v>406.67</v>
      </c>
      <c r="S55" s="151"/>
      <c r="T55" s="146">
        <v>73.266000000000005</v>
      </c>
      <c r="U55" s="148">
        <v>1.3999999999999999E-4</v>
      </c>
      <c r="V55" s="148">
        <v>0.14377000000000001</v>
      </c>
      <c r="W55" s="149">
        <v>3.3910000000000003E-2</v>
      </c>
      <c r="X55" s="196"/>
    </row>
    <row r="56" spans="1:24" x14ac:dyDescent="0.2">
      <c r="A56" s="144" t="s">
        <v>1205</v>
      </c>
      <c r="B56" s="145" t="s">
        <v>1214</v>
      </c>
      <c r="C56" s="145" t="s">
        <v>2509</v>
      </c>
      <c r="D56" s="145" t="s">
        <v>2510</v>
      </c>
      <c r="E56" s="145" t="s">
        <v>309</v>
      </c>
      <c r="F56" s="145" t="s">
        <v>2511</v>
      </c>
      <c r="G56" s="145" t="s">
        <v>2512</v>
      </c>
      <c r="H56" s="145" t="s">
        <v>321</v>
      </c>
      <c r="I56" s="145" t="s">
        <v>966</v>
      </c>
      <c r="J56" s="145" t="s">
        <v>204</v>
      </c>
      <c r="K56" s="145" t="s">
        <v>204</v>
      </c>
      <c r="L56" s="145" t="s">
        <v>340</v>
      </c>
      <c r="M56" s="145" t="s">
        <v>576</v>
      </c>
      <c r="N56" s="145" t="s">
        <v>339</v>
      </c>
      <c r="O56" s="145" t="s">
        <v>1210</v>
      </c>
      <c r="P56" s="146">
        <v>1038</v>
      </c>
      <c r="Q56" s="146">
        <v>1</v>
      </c>
      <c r="R56" s="146">
        <v>5452.43</v>
      </c>
      <c r="S56" s="151"/>
      <c r="T56" s="146">
        <v>56.595999999999997</v>
      </c>
      <c r="U56" s="148">
        <v>1.7000000000000001E-4</v>
      </c>
      <c r="V56" s="148">
        <v>0.11106000000000001</v>
      </c>
      <c r="W56" s="149">
        <v>2.6200000000000001E-2</v>
      </c>
      <c r="X56" s="196"/>
    </row>
    <row r="57" spans="1:24" x14ac:dyDescent="0.2">
      <c r="A57" s="144" t="s">
        <v>1205</v>
      </c>
      <c r="B57" s="145" t="s">
        <v>1214</v>
      </c>
      <c r="C57" s="145" t="s">
        <v>2347</v>
      </c>
      <c r="D57" s="145" t="s">
        <v>2348</v>
      </c>
      <c r="E57" s="145" t="s">
        <v>309</v>
      </c>
      <c r="F57" s="145" t="s">
        <v>2513</v>
      </c>
      <c r="G57" s="145" t="s">
        <v>2514</v>
      </c>
      <c r="H57" s="145" t="s">
        <v>321</v>
      </c>
      <c r="I57" s="145" t="s">
        <v>966</v>
      </c>
      <c r="J57" s="145" t="s">
        <v>204</v>
      </c>
      <c r="K57" s="145" t="s">
        <v>204</v>
      </c>
      <c r="L57" s="145" t="s">
        <v>340</v>
      </c>
      <c r="M57" s="145" t="s">
        <v>632</v>
      </c>
      <c r="N57" s="145" t="s">
        <v>339</v>
      </c>
      <c r="O57" s="145" t="s">
        <v>1210</v>
      </c>
      <c r="P57" s="146">
        <v>727.18</v>
      </c>
      <c r="Q57" s="146">
        <v>1</v>
      </c>
      <c r="R57" s="146">
        <v>4036.28</v>
      </c>
      <c r="S57" s="151"/>
      <c r="T57" s="146">
        <v>29.350999999999999</v>
      </c>
      <c r="U57" s="148">
        <v>1.0000000000000001E-5</v>
      </c>
      <c r="V57" s="148">
        <v>5.7599999999999998E-2</v>
      </c>
      <c r="W57" s="149">
        <v>1.359E-2</v>
      </c>
      <c r="X57" s="196"/>
    </row>
    <row r="58" spans="1:24" x14ac:dyDescent="0.2">
      <c r="A58" s="144" t="s">
        <v>1205</v>
      </c>
      <c r="B58" s="145" t="s">
        <v>1214</v>
      </c>
      <c r="C58" s="145" t="s">
        <v>2347</v>
      </c>
      <c r="D58" s="145" t="s">
        <v>2348</v>
      </c>
      <c r="E58" s="145" t="s">
        <v>309</v>
      </c>
      <c r="F58" s="145" t="s">
        <v>2515</v>
      </c>
      <c r="G58" s="145" t="s">
        <v>2516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576</v>
      </c>
      <c r="N58" s="145" t="s">
        <v>339</v>
      </c>
      <c r="O58" s="145" t="s">
        <v>1210</v>
      </c>
      <c r="P58" s="146">
        <v>662</v>
      </c>
      <c r="Q58" s="146">
        <v>1</v>
      </c>
      <c r="R58" s="146">
        <v>3719.02</v>
      </c>
      <c r="S58" s="151"/>
      <c r="T58" s="146">
        <v>24.62</v>
      </c>
      <c r="U58" s="148">
        <v>1.0000000000000001E-5</v>
      </c>
      <c r="V58" s="148">
        <v>4.8309999999999999E-2</v>
      </c>
      <c r="W58" s="149">
        <v>1.14E-2</v>
      </c>
      <c r="X58" s="196"/>
    </row>
    <row r="59" spans="1:24" x14ac:dyDescent="0.2">
      <c r="A59" s="144" t="s">
        <v>1205</v>
      </c>
      <c r="B59" s="145" t="s">
        <v>1214</v>
      </c>
      <c r="C59" s="145" t="s">
        <v>2343</v>
      </c>
      <c r="D59" s="145" t="s">
        <v>2344</v>
      </c>
      <c r="E59" s="145" t="s">
        <v>309</v>
      </c>
      <c r="F59" s="145" t="s">
        <v>2517</v>
      </c>
      <c r="G59" s="145" t="s">
        <v>2518</v>
      </c>
      <c r="H59" s="145" t="s">
        <v>321</v>
      </c>
      <c r="I59" s="145" t="s">
        <v>966</v>
      </c>
      <c r="J59" s="145" t="s">
        <v>204</v>
      </c>
      <c r="K59" s="145" t="s">
        <v>204</v>
      </c>
      <c r="L59" s="145" t="s">
        <v>340</v>
      </c>
      <c r="M59" s="145" t="s">
        <v>576</v>
      </c>
      <c r="N59" s="145" t="s">
        <v>339</v>
      </c>
      <c r="O59" s="145" t="s">
        <v>1210</v>
      </c>
      <c r="P59" s="146">
        <v>5875</v>
      </c>
      <c r="Q59" s="146">
        <v>1</v>
      </c>
      <c r="R59" s="146">
        <v>372.88</v>
      </c>
      <c r="S59" s="151"/>
      <c r="T59" s="146">
        <v>21.907</v>
      </c>
      <c r="U59" s="148">
        <v>2.0000000000000002E-5</v>
      </c>
      <c r="V59" s="148">
        <v>4.299E-2</v>
      </c>
      <c r="W59" s="149">
        <v>1.014E-2</v>
      </c>
      <c r="X59" s="196"/>
    </row>
    <row r="60" spans="1:24" x14ac:dyDescent="0.2">
      <c r="A60" s="144" t="s">
        <v>1205</v>
      </c>
      <c r="B60" s="145" t="s">
        <v>1214</v>
      </c>
      <c r="C60" s="145" t="s">
        <v>2351</v>
      </c>
      <c r="D60" s="145" t="s">
        <v>2352</v>
      </c>
      <c r="E60" s="145" t="s">
        <v>309</v>
      </c>
      <c r="F60" s="145" t="s">
        <v>2519</v>
      </c>
      <c r="G60" s="145" t="s">
        <v>2520</v>
      </c>
      <c r="H60" s="145" t="s">
        <v>321</v>
      </c>
      <c r="I60" s="145" t="s">
        <v>966</v>
      </c>
      <c r="J60" s="145" t="s">
        <v>204</v>
      </c>
      <c r="K60" s="145" t="s">
        <v>204</v>
      </c>
      <c r="L60" s="145" t="s">
        <v>340</v>
      </c>
      <c r="M60" s="145" t="s">
        <v>632</v>
      </c>
      <c r="N60" s="145" t="s">
        <v>339</v>
      </c>
      <c r="O60" s="145" t="s">
        <v>1210</v>
      </c>
      <c r="P60" s="146">
        <v>2026</v>
      </c>
      <c r="Q60" s="146">
        <v>1</v>
      </c>
      <c r="R60" s="146">
        <v>470</v>
      </c>
      <c r="S60" s="151"/>
      <c r="T60" s="146">
        <v>9.5220000000000002</v>
      </c>
      <c r="U60" s="148">
        <v>1.0000000000000001E-5</v>
      </c>
      <c r="V60" s="148">
        <v>1.8689999999999998E-2</v>
      </c>
      <c r="W60" s="149">
        <v>4.4099999999999999E-3</v>
      </c>
      <c r="X60" s="196"/>
    </row>
    <row r="61" spans="1:24" x14ac:dyDescent="0.2">
      <c r="A61" s="144" t="s">
        <v>1205</v>
      </c>
      <c r="B61" s="145" t="s">
        <v>1214</v>
      </c>
      <c r="C61" s="145" t="s">
        <v>2394</v>
      </c>
      <c r="D61" s="145" t="s">
        <v>2395</v>
      </c>
      <c r="E61" s="145" t="s">
        <v>313</v>
      </c>
      <c r="F61" s="145" t="s">
        <v>2394</v>
      </c>
      <c r="G61" s="145" t="s">
        <v>2396</v>
      </c>
      <c r="H61" s="145" t="s">
        <v>321</v>
      </c>
      <c r="I61" s="145" t="s">
        <v>967</v>
      </c>
      <c r="J61" s="145" t="s">
        <v>205</v>
      </c>
      <c r="K61" s="145" t="s">
        <v>224</v>
      </c>
      <c r="L61" s="145" t="s">
        <v>380</v>
      </c>
      <c r="M61" s="145" t="s">
        <v>592</v>
      </c>
      <c r="N61" s="145" t="s">
        <v>339</v>
      </c>
      <c r="O61" s="145" t="s">
        <v>1211</v>
      </c>
      <c r="P61" s="146">
        <v>523</v>
      </c>
      <c r="Q61" s="146">
        <v>3.718</v>
      </c>
      <c r="R61" s="146">
        <v>597.45000000000005</v>
      </c>
      <c r="S61" s="151"/>
      <c r="T61" s="146">
        <v>11.617000000000001</v>
      </c>
      <c r="U61" s="148">
        <v>0</v>
      </c>
      <c r="V61" s="148">
        <v>2.2800000000000001E-2</v>
      </c>
      <c r="W61" s="149">
        <v>5.3800000000000002E-3</v>
      </c>
      <c r="X61" s="196"/>
    </row>
    <row r="62" spans="1:24" x14ac:dyDescent="0.2">
      <c r="A62" s="144" t="s">
        <v>1205</v>
      </c>
      <c r="B62" s="145" t="s">
        <v>1205</v>
      </c>
      <c r="C62" s="145" t="s">
        <v>2347</v>
      </c>
      <c r="D62" s="145" t="s">
        <v>2348</v>
      </c>
      <c r="E62" s="145" t="s">
        <v>309</v>
      </c>
      <c r="F62" s="145" t="s">
        <v>2521</v>
      </c>
      <c r="G62" s="145" t="s">
        <v>2522</v>
      </c>
      <c r="H62" s="145" t="s">
        <v>321</v>
      </c>
      <c r="I62" s="145" t="s">
        <v>965</v>
      </c>
      <c r="J62" s="145" t="s">
        <v>204</v>
      </c>
      <c r="K62" s="145" t="s">
        <v>244</v>
      </c>
      <c r="L62" s="145" t="s">
        <v>340</v>
      </c>
      <c r="M62" s="145" t="s">
        <v>580</v>
      </c>
      <c r="N62" s="145" t="s">
        <v>339</v>
      </c>
      <c r="O62" s="145" t="s">
        <v>1210</v>
      </c>
      <c r="P62" s="146">
        <v>28000</v>
      </c>
      <c r="Q62" s="146">
        <v>1</v>
      </c>
      <c r="R62" s="146">
        <v>9625</v>
      </c>
      <c r="S62" s="151"/>
      <c r="T62" s="146">
        <v>2695</v>
      </c>
      <c r="U62" s="148">
        <v>2.5500000000000002E-3</v>
      </c>
      <c r="V62" s="148">
        <v>1.259E-2</v>
      </c>
      <c r="W62" s="149">
        <v>2.5600000000000002E-3</v>
      </c>
      <c r="X62" s="196"/>
    </row>
    <row r="63" spans="1:24" x14ac:dyDescent="0.2">
      <c r="A63" s="144" t="s">
        <v>1205</v>
      </c>
      <c r="B63" s="145" t="s">
        <v>1205</v>
      </c>
      <c r="C63" s="145" t="s">
        <v>2347</v>
      </c>
      <c r="D63" s="145" t="s">
        <v>2348</v>
      </c>
      <c r="E63" s="145" t="s">
        <v>309</v>
      </c>
      <c r="F63" s="145" t="s">
        <v>2515</v>
      </c>
      <c r="G63" s="145" t="s">
        <v>2516</v>
      </c>
      <c r="H63" s="145" t="s">
        <v>321</v>
      </c>
      <c r="I63" s="145" t="s">
        <v>966</v>
      </c>
      <c r="J63" s="145" t="s">
        <v>204</v>
      </c>
      <c r="K63" s="145" t="s">
        <v>204</v>
      </c>
      <c r="L63" s="145" t="s">
        <v>340</v>
      </c>
      <c r="M63" s="145" t="s">
        <v>576</v>
      </c>
      <c r="N63" s="145" t="s">
        <v>339</v>
      </c>
      <c r="O63" s="145" t="s">
        <v>1210</v>
      </c>
      <c r="P63" s="146">
        <v>60025</v>
      </c>
      <c r="Q63" s="146">
        <v>1</v>
      </c>
      <c r="R63" s="146">
        <v>3719.02</v>
      </c>
      <c r="S63" s="151"/>
      <c r="T63" s="146">
        <v>2232.3420000000001</v>
      </c>
      <c r="U63" s="148">
        <v>8.3000000000000001E-4</v>
      </c>
      <c r="V63" s="148">
        <v>1.043E-2</v>
      </c>
      <c r="W63" s="149">
        <v>2.1199999999999999E-3</v>
      </c>
      <c r="X63" s="196"/>
    </row>
    <row r="64" spans="1:24" x14ac:dyDescent="0.2">
      <c r="A64" s="144" t="s">
        <v>1205</v>
      </c>
      <c r="B64" s="145" t="s">
        <v>1205</v>
      </c>
      <c r="C64" s="145" t="s">
        <v>2347</v>
      </c>
      <c r="D64" s="145" t="s">
        <v>2348</v>
      </c>
      <c r="E64" s="145" t="s">
        <v>309</v>
      </c>
      <c r="F64" s="145" t="s">
        <v>2523</v>
      </c>
      <c r="G64" s="145" t="s">
        <v>2524</v>
      </c>
      <c r="H64" s="145" t="s">
        <v>321</v>
      </c>
      <c r="I64" s="145" t="s">
        <v>965</v>
      </c>
      <c r="J64" s="145" t="s">
        <v>204</v>
      </c>
      <c r="K64" s="145" t="s">
        <v>224</v>
      </c>
      <c r="L64" s="145" t="s">
        <v>340</v>
      </c>
      <c r="M64" s="145" t="s">
        <v>604</v>
      </c>
      <c r="N64" s="145" t="s">
        <v>339</v>
      </c>
      <c r="O64" s="145" t="s">
        <v>1210</v>
      </c>
      <c r="P64" s="146">
        <v>9225</v>
      </c>
      <c r="Q64" s="146">
        <v>1</v>
      </c>
      <c r="R64" s="146">
        <v>22550</v>
      </c>
      <c r="S64" s="151"/>
      <c r="T64" s="146">
        <v>2080.2379999999998</v>
      </c>
      <c r="U64" s="148">
        <v>3.1E-4</v>
      </c>
      <c r="V64" s="148">
        <v>9.7199999999999995E-3</v>
      </c>
      <c r="W64" s="149">
        <v>1.98E-3</v>
      </c>
      <c r="X64" s="196"/>
    </row>
    <row r="65" spans="1:24" x14ac:dyDescent="0.2">
      <c r="A65" s="144" t="s">
        <v>1205</v>
      </c>
      <c r="B65" s="145" t="s">
        <v>1205</v>
      </c>
      <c r="C65" s="145" t="s">
        <v>2347</v>
      </c>
      <c r="D65" s="145" t="s">
        <v>2348</v>
      </c>
      <c r="E65" s="145" t="s">
        <v>309</v>
      </c>
      <c r="F65" s="145" t="s">
        <v>2525</v>
      </c>
      <c r="G65" s="145" t="s">
        <v>2526</v>
      </c>
      <c r="H65" s="145" t="s">
        <v>321</v>
      </c>
      <c r="I65" s="145" t="s">
        <v>966</v>
      </c>
      <c r="J65" s="145" t="s">
        <v>204</v>
      </c>
      <c r="K65" s="145" t="s">
        <v>204</v>
      </c>
      <c r="L65" s="145" t="s">
        <v>340</v>
      </c>
      <c r="M65" s="145" t="s">
        <v>573</v>
      </c>
      <c r="N65" s="145" t="s">
        <v>339</v>
      </c>
      <c r="O65" s="145" t="s">
        <v>1210</v>
      </c>
      <c r="P65" s="146">
        <v>33805.82</v>
      </c>
      <c r="Q65" s="146">
        <v>1</v>
      </c>
      <c r="R65" s="146">
        <v>3786.32</v>
      </c>
      <c r="S65" s="151"/>
      <c r="T65" s="146">
        <v>1279.9970000000001</v>
      </c>
      <c r="U65" s="148">
        <v>6.4999999999999997E-4</v>
      </c>
      <c r="V65" s="148">
        <v>5.9800000000000001E-3</v>
      </c>
      <c r="W65" s="149">
        <v>1.2199999999999999E-3</v>
      </c>
      <c r="X65" s="196"/>
    </row>
    <row r="66" spans="1:24" x14ac:dyDescent="0.2">
      <c r="A66" s="144" t="s">
        <v>1205</v>
      </c>
      <c r="B66" s="145" t="s">
        <v>1205</v>
      </c>
      <c r="C66" s="145" t="s">
        <v>2343</v>
      </c>
      <c r="D66" s="145" t="s">
        <v>2344</v>
      </c>
      <c r="E66" s="145" t="s">
        <v>309</v>
      </c>
      <c r="F66" s="145" t="s">
        <v>2503</v>
      </c>
      <c r="G66" s="145" t="s">
        <v>2504</v>
      </c>
      <c r="H66" s="145" t="s">
        <v>321</v>
      </c>
      <c r="I66" s="145" t="s">
        <v>966</v>
      </c>
      <c r="J66" s="145" t="s">
        <v>204</v>
      </c>
      <c r="K66" s="145" t="s">
        <v>204</v>
      </c>
      <c r="L66" s="145" t="s">
        <v>340</v>
      </c>
      <c r="M66" s="145" t="s">
        <v>632</v>
      </c>
      <c r="N66" s="145" t="s">
        <v>339</v>
      </c>
      <c r="O66" s="145" t="s">
        <v>1210</v>
      </c>
      <c r="P66" s="146">
        <v>268473</v>
      </c>
      <c r="Q66" s="146">
        <v>1</v>
      </c>
      <c r="R66" s="146">
        <v>404.49</v>
      </c>
      <c r="S66" s="151"/>
      <c r="T66" s="146">
        <v>1085.9459999999999</v>
      </c>
      <c r="U66" s="148">
        <v>9.7999999999999997E-4</v>
      </c>
      <c r="V66" s="148">
        <v>5.0699999999999999E-3</v>
      </c>
      <c r="W66" s="149">
        <v>1.0300000000000001E-3</v>
      </c>
      <c r="X66" s="196"/>
    </row>
    <row r="67" spans="1:24" x14ac:dyDescent="0.2">
      <c r="A67" s="144" t="s">
        <v>1205</v>
      </c>
      <c r="B67" s="145" t="s">
        <v>1205</v>
      </c>
      <c r="C67" s="145" t="s">
        <v>2343</v>
      </c>
      <c r="D67" s="145" t="s">
        <v>2344</v>
      </c>
      <c r="E67" s="145" t="s">
        <v>309</v>
      </c>
      <c r="F67" s="145" t="s">
        <v>2527</v>
      </c>
      <c r="G67" s="145" t="s">
        <v>2528</v>
      </c>
      <c r="H67" s="145" t="s">
        <v>321</v>
      </c>
      <c r="I67" s="145" t="s">
        <v>966</v>
      </c>
      <c r="J67" s="145" t="s">
        <v>204</v>
      </c>
      <c r="K67" s="145" t="s">
        <v>204</v>
      </c>
      <c r="L67" s="145" t="s">
        <v>340</v>
      </c>
      <c r="M67" s="145" t="s">
        <v>573</v>
      </c>
      <c r="N67" s="145" t="s">
        <v>339</v>
      </c>
      <c r="O67" s="145" t="s">
        <v>1210</v>
      </c>
      <c r="P67" s="146">
        <v>197150</v>
      </c>
      <c r="Q67" s="146">
        <v>1</v>
      </c>
      <c r="R67" s="146">
        <v>382.31</v>
      </c>
      <c r="S67" s="151"/>
      <c r="T67" s="146">
        <v>753.72400000000005</v>
      </c>
      <c r="U67" s="148">
        <v>8.0999999999999996E-4</v>
      </c>
      <c r="V67" s="148">
        <v>3.5200000000000001E-3</v>
      </c>
      <c r="W67" s="149">
        <v>7.2000000000000005E-4</v>
      </c>
      <c r="X67" s="196"/>
    </row>
    <row r="68" spans="1:24" x14ac:dyDescent="0.2">
      <c r="A68" s="144" t="s">
        <v>1205</v>
      </c>
      <c r="B68" s="145" t="s">
        <v>1205</v>
      </c>
      <c r="C68" s="145" t="s">
        <v>2347</v>
      </c>
      <c r="D68" s="145" t="s">
        <v>2348</v>
      </c>
      <c r="E68" s="145" t="s">
        <v>309</v>
      </c>
      <c r="F68" s="145" t="s">
        <v>2529</v>
      </c>
      <c r="G68" s="145" t="s">
        <v>2530</v>
      </c>
      <c r="H68" s="145" t="s">
        <v>321</v>
      </c>
      <c r="I68" s="145" t="s">
        <v>965</v>
      </c>
      <c r="J68" s="145" t="s">
        <v>204</v>
      </c>
      <c r="K68" s="145" t="s">
        <v>224</v>
      </c>
      <c r="L68" s="145" t="s">
        <v>340</v>
      </c>
      <c r="M68" s="145" t="s">
        <v>698</v>
      </c>
      <c r="N68" s="145" t="s">
        <v>339</v>
      </c>
      <c r="O68" s="145" t="s">
        <v>1210</v>
      </c>
      <c r="P68" s="146">
        <v>4557</v>
      </c>
      <c r="Q68" s="146">
        <v>1</v>
      </c>
      <c r="R68" s="146">
        <v>15170</v>
      </c>
      <c r="S68" s="151"/>
      <c r="T68" s="146">
        <v>691.29700000000003</v>
      </c>
      <c r="U68" s="148">
        <v>5.5999999999999995E-4</v>
      </c>
      <c r="V68" s="148">
        <v>3.2299999999999998E-3</v>
      </c>
      <c r="W68" s="149">
        <v>6.6E-4</v>
      </c>
      <c r="X68" s="196"/>
    </row>
    <row r="69" spans="1:24" x14ac:dyDescent="0.2">
      <c r="A69" s="144" t="s">
        <v>1205</v>
      </c>
      <c r="B69" s="145" t="s">
        <v>1205</v>
      </c>
      <c r="C69" s="145" t="s">
        <v>2347</v>
      </c>
      <c r="D69" s="145" t="s">
        <v>2348</v>
      </c>
      <c r="E69" s="145" t="s">
        <v>309</v>
      </c>
      <c r="F69" s="145" t="s">
        <v>2531</v>
      </c>
      <c r="G69" s="145" t="s">
        <v>2532</v>
      </c>
      <c r="H69" s="145" t="s">
        <v>321</v>
      </c>
      <c r="I69" s="145" t="s">
        <v>965</v>
      </c>
      <c r="J69" s="145" t="s">
        <v>204</v>
      </c>
      <c r="K69" s="145" t="s">
        <v>224</v>
      </c>
      <c r="L69" s="145" t="s">
        <v>340</v>
      </c>
      <c r="M69" s="145" t="s">
        <v>708</v>
      </c>
      <c r="N69" s="145" t="s">
        <v>339</v>
      </c>
      <c r="O69" s="145" t="s">
        <v>1210</v>
      </c>
      <c r="P69" s="146">
        <v>3410</v>
      </c>
      <c r="Q69" s="146">
        <v>1</v>
      </c>
      <c r="R69" s="146">
        <v>16530</v>
      </c>
      <c r="S69" s="151"/>
      <c r="T69" s="146">
        <v>563.673</v>
      </c>
      <c r="U69" s="148">
        <v>5.1000000000000004E-4</v>
      </c>
      <c r="V69" s="148">
        <v>2.63E-3</v>
      </c>
      <c r="W69" s="149">
        <v>5.4000000000000001E-4</v>
      </c>
      <c r="X69" s="196"/>
    </row>
    <row r="70" spans="1:24" x14ac:dyDescent="0.2">
      <c r="A70" s="144" t="s">
        <v>1205</v>
      </c>
      <c r="B70" s="145" t="s">
        <v>1205</v>
      </c>
      <c r="C70" s="145" t="s">
        <v>2347</v>
      </c>
      <c r="D70" s="145" t="s">
        <v>2348</v>
      </c>
      <c r="E70" s="145" t="s">
        <v>309</v>
      </c>
      <c r="F70" s="145" t="s">
        <v>2533</v>
      </c>
      <c r="G70" s="145" t="s">
        <v>2534</v>
      </c>
      <c r="H70" s="145" t="s">
        <v>321</v>
      </c>
      <c r="I70" s="145" t="s">
        <v>964</v>
      </c>
      <c r="J70" s="145" t="s">
        <v>204</v>
      </c>
      <c r="K70" s="145" t="s">
        <v>204</v>
      </c>
      <c r="L70" s="145" t="s">
        <v>340</v>
      </c>
      <c r="M70" s="145" t="s">
        <v>577</v>
      </c>
      <c r="N70" s="145" t="s">
        <v>339</v>
      </c>
      <c r="O70" s="145" t="s">
        <v>1210</v>
      </c>
      <c r="P70" s="146">
        <v>1894</v>
      </c>
      <c r="Q70" s="146">
        <v>1</v>
      </c>
      <c r="R70" s="146">
        <v>22890</v>
      </c>
      <c r="S70" s="151"/>
      <c r="T70" s="146">
        <v>433.53699999999998</v>
      </c>
      <c r="U70" s="148">
        <v>6.0000000000000002E-5</v>
      </c>
      <c r="V70" s="148">
        <v>2.0300000000000001E-3</v>
      </c>
      <c r="W70" s="149">
        <v>4.0999999999999999E-4</v>
      </c>
      <c r="X70" s="196"/>
    </row>
    <row r="71" spans="1:24" x14ac:dyDescent="0.2">
      <c r="A71" s="144" t="s">
        <v>1205</v>
      </c>
      <c r="B71" s="145" t="s">
        <v>1205</v>
      </c>
      <c r="C71" s="145" t="s">
        <v>2351</v>
      </c>
      <c r="D71" s="145" t="s">
        <v>2352</v>
      </c>
      <c r="E71" s="145" t="s">
        <v>309</v>
      </c>
      <c r="F71" s="145" t="s">
        <v>2535</v>
      </c>
      <c r="G71" s="145" t="s">
        <v>2536</v>
      </c>
      <c r="H71" s="145" t="s">
        <v>321</v>
      </c>
      <c r="I71" s="145" t="s">
        <v>964</v>
      </c>
      <c r="J71" s="145" t="s">
        <v>204</v>
      </c>
      <c r="K71" s="145" t="s">
        <v>204</v>
      </c>
      <c r="L71" s="145" t="s">
        <v>340</v>
      </c>
      <c r="M71" s="145" t="s">
        <v>577</v>
      </c>
      <c r="N71" s="145" t="s">
        <v>339</v>
      </c>
      <c r="O71" s="145" t="s">
        <v>1210</v>
      </c>
      <c r="P71" s="146">
        <v>2583</v>
      </c>
      <c r="Q71" s="146">
        <v>1</v>
      </c>
      <c r="R71" s="146">
        <v>3593</v>
      </c>
      <c r="S71" s="151"/>
      <c r="T71" s="146">
        <v>92.807000000000002</v>
      </c>
      <c r="U71" s="148">
        <v>4.0000000000000003E-5</v>
      </c>
      <c r="V71" s="148">
        <v>4.2999999999999999E-4</v>
      </c>
      <c r="W71" s="149">
        <v>9.0000000000000006E-5</v>
      </c>
      <c r="X71" s="196"/>
    </row>
    <row r="72" spans="1:24" x14ac:dyDescent="0.2">
      <c r="A72" s="144" t="s">
        <v>1205</v>
      </c>
      <c r="B72" s="145" t="s">
        <v>1205</v>
      </c>
      <c r="C72" s="145" t="s">
        <v>2380</v>
      </c>
      <c r="D72" s="145" t="s">
        <v>2381</v>
      </c>
      <c r="E72" s="145" t="s">
        <v>313</v>
      </c>
      <c r="F72" s="145" t="s">
        <v>2382</v>
      </c>
      <c r="G72" s="145" t="s">
        <v>2383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597</v>
      </c>
      <c r="N72" s="145" t="s">
        <v>339</v>
      </c>
      <c r="O72" s="145" t="s">
        <v>1211</v>
      </c>
      <c r="P72" s="146">
        <v>11368</v>
      </c>
      <c r="Q72" s="146">
        <v>3.718</v>
      </c>
      <c r="R72" s="146">
        <v>46892</v>
      </c>
      <c r="S72" s="146">
        <v>8.1359999999999992</v>
      </c>
      <c r="T72" s="146">
        <v>19849.727999999999</v>
      </c>
      <c r="U72" s="148">
        <v>2.0000000000000002E-5</v>
      </c>
      <c r="V72" s="148">
        <v>9.2789999999999997E-2</v>
      </c>
      <c r="W72" s="149">
        <v>1.8890000000000001E-2</v>
      </c>
      <c r="X72" s="196"/>
    </row>
    <row r="73" spans="1:24" x14ac:dyDescent="0.2">
      <c r="A73" s="144" t="s">
        <v>1205</v>
      </c>
      <c r="B73" s="145" t="s">
        <v>1205</v>
      </c>
      <c r="C73" s="145" t="s">
        <v>2373</v>
      </c>
      <c r="D73" s="145" t="s">
        <v>2374</v>
      </c>
      <c r="E73" s="145" t="s">
        <v>313</v>
      </c>
      <c r="F73" s="145" t="s">
        <v>2375</v>
      </c>
      <c r="G73" s="145" t="s">
        <v>2376</v>
      </c>
      <c r="H73" s="145" t="s">
        <v>321</v>
      </c>
      <c r="I73" s="145" t="s">
        <v>965</v>
      </c>
      <c r="J73" s="145" t="s">
        <v>205</v>
      </c>
      <c r="K73" s="145" t="s">
        <v>224</v>
      </c>
      <c r="L73" s="145" t="s">
        <v>344</v>
      </c>
      <c r="M73" s="145" t="s">
        <v>604</v>
      </c>
      <c r="N73" s="145" t="s">
        <v>339</v>
      </c>
      <c r="O73" s="145" t="s">
        <v>1211</v>
      </c>
      <c r="P73" s="146">
        <v>7991</v>
      </c>
      <c r="Q73" s="146">
        <v>3.718</v>
      </c>
      <c r="R73" s="146">
        <v>55939</v>
      </c>
      <c r="S73" s="146">
        <v>13.548999999999999</v>
      </c>
      <c r="T73" s="146">
        <v>16670.152999999998</v>
      </c>
      <c r="U73" s="148">
        <v>1.0000000000000001E-5</v>
      </c>
      <c r="V73" s="148">
        <v>7.7960000000000002E-2</v>
      </c>
      <c r="W73" s="149">
        <v>1.5869999999999999E-2</v>
      </c>
      <c r="X73" s="196"/>
    </row>
    <row r="74" spans="1:24" x14ac:dyDescent="0.2">
      <c r="A74" s="144" t="s">
        <v>1205</v>
      </c>
      <c r="B74" s="145" t="s">
        <v>1205</v>
      </c>
      <c r="C74" s="145" t="s">
        <v>2394</v>
      </c>
      <c r="D74" s="145" t="s">
        <v>2395</v>
      </c>
      <c r="E74" s="145" t="s">
        <v>313</v>
      </c>
      <c r="F74" s="145" t="s">
        <v>2394</v>
      </c>
      <c r="G74" s="145" t="s">
        <v>2396</v>
      </c>
      <c r="H74" s="145" t="s">
        <v>321</v>
      </c>
      <c r="I74" s="145" t="s">
        <v>967</v>
      </c>
      <c r="J74" s="145" t="s">
        <v>205</v>
      </c>
      <c r="K74" s="145" t="s">
        <v>224</v>
      </c>
      <c r="L74" s="145" t="s">
        <v>380</v>
      </c>
      <c r="M74" s="145" t="s">
        <v>592</v>
      </c>
      <c r="N74" s="145" t="s">
        <v>339</v>
      </c>
      <c r="O74" s="145" t="s">
        <v>1211</v>
      </c>
      <c r="P74" s="146">
        <v>639725</v>
      </c>
      <c r="Q74" s="146">
        <v>3.718</v>
      </c>
      <c r="R74" s="146">
        <v>597.45000000000005</v>
      </c>
      <c r="S74" s="151"/>
      <c r="T74" s="146">
        <v>14210.334000000001</v>
      </c>
      <c r="U74" s="148">
        <v>9.5E-4</v>
      </c>
      <c r="V74" s="148">
        <v>6.6400000000000001E-2</v>
      </c>
      <c r="W74" s="149">
        <v>1.3520000000000001E-2</v>
      </c>
      <c r="X74" s="196"/>
    </row>
    <row r="75" spans="1:24" x14ac:dyDescent="0.2">
      <c r="A75" s="144" t="s">
        <v>1205</v>
      </c>
      <c r="B75" s="145" t="s">
        <v>1205</v>
      </c>
      <c r="C75" s="145" t="s">
        <v>2391</v>
      </c>
      <c r="D75" s="145" t="s">
        <v>2392</v>
      </c>
      <c r="E75" s="145" t="s">
        <v>313</v>
      </c>
      <c r="F75" s="145" t="s">
        <v>2391</v>
      </c>
      <c r="G75" s="145" t="s">
        <v>2393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344</v>
      </c>
      <c r="M75" s="145" t="s">
        <v>586</v>
      </c>
      <c r="N75" s="145" t="s">
        <v>339</v>
      </c>
      <c r="O75" s="145" t="s">
        <v>1211</v>
      </c>
      <c r="P75" s="146">
        <v>71207</v>
      </c>
      <c r="Q75" s="146">
        <v>3.718</v>
      </c>
      <c r="R75" s="146">
        <v>4981</v>
      </c>
      <c r="S75" s="151"/>
      <c r="T75" s="146">
        <v>13187.079</v>
      </c>
      <c r="U75" s="148">
        <v>6.9999999999999994E-5</v>
      </c>
      <c r="V75" s="148">
        <v>6.1620000000000001E-2</v>
      </c>
      <c r="W75" s="149">
        <v>1.2540000000000001E-2</v>
      </c>
      <c r="X75" s="196"/>
    </row>
    <row r="76" spans="1:24" x14ac:dyDescent="0.2">
      <c r="A76" s="144" t="s">
        <v>1205</v>
      </c>
      <c r="B76" s="145" t="s">
        <v>1205</v>
      </c>
      <c r="C76" s="145" t="s">
        <v>2377</v>
      </c>
      <c r="D76" s="145" t="s">
        <v>2378</v>
      </c>
      <c r="E76" s="145" t="s">
        <v>313</v>
      </c>
      <c r="F76" s="145" t="s">
        <v>2377</v>
      </c>
      <c r="G76" s="145" t="s">
        <v>2379</v>
      </c>
      <c r="H76" s="145" t="s">
        <v>321</v>
      </c>
      <c r="I76" s="145" t="s">
        <v>965</v>
      </c>
      <c r="J76" s="145" t="s">
        <v>205</v>
      </c>
      <c r="K76" s="145" t="s">
        <v>224</v>
      </c>
      <c r="L76" s="145" t="s">
        <v>344</v>
      </c>
      <c r="M76" s="145" t="s">
        <v>604</v>
      </c>
      <c r="N76" s="145" t="s">
        <v>339</v>
      </c>
      <c r="O76" s="145" t="s">
        <v>1211</v>
      </c>
      <c r="P76" s="146">
        <v>5595</v>
      </c>
      <c r="Q76" s="146">
        <v>3.718</v>
      </c>
      <c r="R76" s="146">
        <v>51391</v>
      </c>
      <c r="S76" s="146">
        <v>10.138999999999999</v>
      </c>
      <c r="T76" s="146">
        <v>10728.159</v>
      </c>
      <c r="U76" s="148">
        <v>1.0000000000000001E-5</v>
      </c>
      <c r="V76" s="148">
        <v>5.0180000000000002E-2</v>
      </c>
      <c r="W76" s="149">
        <v>1.021E-2</v>
      </c>
      <c r="X76" s="196"/>
    </row>
    <row r="77" spans="1:24" x14ac:dyDescent="0.2">
      <c r="A77" s="144" t="s">
        <v>1205</v>
      </c>
      <c r="B77" s="145" t="s">
        <v>1205</v>
      </c>
      <c r="C77" s="145" t="s">
        <v>2403</v>
      </c>
      <c r="D77" s="145" t="s">
        <v>2404</v>
      </c>
      <c r="E77" s="145" t="s">
        <v>313</v>
      </c>
      <c r="F77" s="145" t="s">
        <v>2405</v>
      </c>
      <c r="G77" s="145" t="s">
        <v>2406</v>
      </c>
      <c r="H77" s="145" t="s">
        <v>321</v>
      </c>
      <c r="I77" s="145" t="s">
        <v>965</v>
      </c>
      <c r="J77" s="145" t="s">
        <v>205</v>
      </c>
      <c r="K77" s="145" t="s">
        <v>224</v>
      </c>
      <c r="L77" s="145" t="s">
        <v>344</v>
      </c>
      <c r="M77" s="145" t="s">
        <v>583</v>
      </c>
      <c r="N77" s="145" t="s">
        <v>339</v>
      </c>
      <c r="O77" s="145" t="s">
        <v>1211</v>
      </c>
      <c r="P77" s="146">
        <v>15000</v>
      </c>
      <c r="Q77" s="146">
        <v>3.718</v>
      </c>
      <c r="R77" s="146">
        <v>13107</v>
      </c>
      <c r="S77" s="151"/>
      <c r="T77" s="146">
        <v>7309.7740000000003</v>
      </c>
      <c r="U77" s="148">
        <v>1E-4</v>
      </c>
      <c r="V77" s="148">
        <v>3.4160000000000003E-2</v>
      </c>
      <c r="W77" s="149">
        <v>6.9499999999999996E-3</v>
      </c>
      <c r="X77" s="196"/>
    </row>
    <row r="78" spans="1:24" x14ac:dyDescent="0.2">
      <c r="A78" s="144" t="s">
        <v>1205</v>
      </c>
      <c r="B78" s="145" t="s">
        <v>1205</v>
      </c>
      <c r="C78" s="145" t="s">
        <v>2421</v>
      </c>
      <c r="D78" s="145" t="s">
        <v>2422</v>
      </c>
      <c r="E78" s="145" t="s">
        <v>313</v>
      </c>
      <c r="F78" s="145" t="s">
        <v>2423</v>
      </c>
      <c r="G78" s="145" t="s">
        <v>2424</v>
      </c>
      <c r="H78" s="145" t="s">
        <v>321</v>
      </c>
      <c r="I78" s="145" t="s">
        <v>965</v>
      </c>
      <c r="J78" s="145" t="s">
        <v>205</v>
      </c>
      <c r="K78" s="145" t="s">
        <v>224</v>
      </c>
      <c r="L78" s="145" t="s">
        <v>344</v>
      </c>
      <c r="M78" s="145" t="s">
        <v>580</v>
      </c>
      <c r="N78" s="145" t="s">
        <v>339</v>
      </c>
      <c r="O78" s="145" t="s">
        <v>1211</v>
      </c>
      <c r="P78" s="146">
        <v>40185</v>
      </c>
      <c r="Q78" s="146">
        <v>3.718</v>
      </c>
      <c r="R78" s="146">
        <v>4371</v>
      </c>
      <c r="S78" s="151"/>
      <c r="T78" s="146">
        <v>6530.616</v>
      </c>
      <c r="U78" s="148">
        <v>5.4000000000000001E-4</v>
      </c>
      <c r="V78" s="148">
        <v>3.0509999999999999E-2</v>
      </c>
      <c r="W78" s="149">
        <v>6.2100000000000002E-3</v>
      </c>
      <c r="X78" s="196"/>
    </row>
    <row r="79" spans="1:24" x14ac:dyDescent="0.2">
      <c r="A79" s="144" t="s">
        <v>1205</v>
      </c>
      <c r="B79" s="145" t="s">
        <v>1205</v>
      </c>
      <c r="C79" s="145" t="s">
        <v>2425</v>
      </c>
      <c r="D79" s="145" t="s">
        <v>2426</v>
      </c>
      <c r="E79" s="145" t="s">
        <v>313</v>
      </c>
      <c r="F79" s="145" t="s">
        <v>2427</v>
      </c>
      <c r="G79" s="145" t="s">
        <v>2428</v>
      </c>
      <c r="H79" s="145" t="s">
        <v>321</v>
      </c>
      <c r="I79" s="145" t="s">
        <v>965</v>
      </c>
      <c r="J79" s="145" t="s">
        <v>205</v>
      </c>
      <c r="K79" s="145" t="s">
        <v>224</v>
      </c>
      <c r="L79" s="145" t="s">
        <v>344</v>
      </c>
      <c r="M79" s="145" t="s">
        <v>612</v>
      </c>
      <c r="N79" s="145" t="s">
        <v>339</v>
      </c>
      <c r="O79" s="145" t="s">
        <v>1211</v>
      </c>
      <c r="P79" s="146">
        <v>16865</v>
      </c>
      <c r="Q79" s="146">
        <v>3.718</v>
      </c>
      <c r="R79" s="146">
        <v>8899</v>
      </c>
      <c r="S79" s="151"/>
      <c r="T79" s="146">
        <v>5580.0349999999999</v>
      </c>
      <c r="U79" s="148">
        <v>1.8000000000000001E-4</v>
      </c>
      <c r="V79" s="148">
        <v>2.6069999999999999E-2</v>
      </c>
      <c r="W79" s="149">
        <v>5.3099999999999996E-3</v>
      </c>
      <c r="X79" s="196"/>
    </row>
    <row r="80" spans="1:24" x14ac:dyDescent="0.2">
      <c r="A80" s="144" t="s">
        <v>1205</v>
      </c>
      <c r="B80" s="145" t="s">
        <v>1205</v>
      </c>
      <c r="C80" s="145" t="s">
        <v>2400</v>
      </c>
      <c r="D80" s="145" t="s">
        <v>2401</v>
      </c>
      <c r="E80" s="145" t="s">
        <v>313</v>
      </c>
      <c r="F80" s="145" t="s">
        <v>2400</v>
      </c>
      <c r="G80" s="145" t="s">
        <v>2402</v>
      </c>
      <c r="H80" s="145" t="s">
        <v>321</v>
      </c>
      <c r="I80" s="145" t="s">
        <v>965</v>
      </c>
      <c r="J80" s="145" t="s">
        <v>205</v>
      </c>
      <c r="K80" s="145" t="s">
        <v>268</v>
      </c>
      <c r="L80" s="145" t="s">
        <v>344</v>
      </c>
      <c r="M80" s="145" t="s">
        <v>707</v>
      </c>
      <c r="N80" s="145" t="s">
        <v>339</v>
      </c>
      <c r="O80" s="145" t="s">
        <v>1211</v>
      </c>
      <c r="P80" s="146">
        <v>18668</v>
      </c>
      <c r="Q80" s="146">
        <v>3.718</v>
      </c>
      <c r="R80" s="146">
        <v>7400</v>
      </c>
      <c r="S80" s="151"/>
      <c r="T80" s="146">
        <v>5136.1639999999998</v>
      </c>
      <c r="U80" s="148">
        <v>4.6999999999999999E-4</v>
      </c>
      <c r="V80" s="148">
        <v>2.4E-2</v>
      </c>
      <c r="W80" s="149">
        <v>4.8900000000000002E-3</v>
      </c>
      <c r="X80" s="196"/>
    </row>
    <row r="81" spans="1:24" x14ac:dyDescent="0.2">
      <c r="A81" s="144" t="s">
        <v>1205</v>
      </c>
      <c r="B81" s="145" t="s">
        <v>1205</v>
      </c>
      <c r="C81" s="145" t="s">
        <v>2436</v>
      </c>
      <c r="D81" s="145" t="s">
        <v>2437</v>
      </c>
      <c r="E81" s="145" t="s">
        <v>313</v>
      </c>
      <c r="F81" s="145" t="s">
        <v>2436</v>
      </c>
      <c r="G81" s="145" t="s">
        <v>2438</v>
      </c>
      <c r="H81" s="145" t="s">
        <v>321</v>
      </c>
      <c r="I81" s="145" t="s">
        <v>965</v>
      </c>
      <c r="J81" s="145" t="s">
        <v>205</v>
      </c>
      <c r="K81" s="145" t="s">
        <v>224</v>
      </c>
      <c r="L81" s="145" t="s">
        <v>344</v>
      </c>
      <c r="M81" s="145" t="s">
        <v>589</v>
      </c>
      <c r="N81" s="145" t="s">
        <v>339</v>
      </c>
      <c r="O81" s="145" t="s">
        <v>1211</v>
      </c>
      <c r="P81" s="146">
        <v>9399</v>
      </c>
      <c r="Q81" s="146">
        <v>3.718</v>
      </c>
      <c r="R81" s="146">
        <v>14601</v>
      </c>
      <c r="S81" s="151"/>
      <c r="T81" s="146">
        <v>5102.3900000000003</v>
      </c>
      <c r="U81" s="148">
        <v>4.0000000000000003E-5</v>
      </c>
      <c r="V81" s="148">
        <v>2.384E-2</v>
      </c>
      <c r="W81" s="149">
        <v>4.8500000000000001E-3</v>
      </c>
      <c r="X81" s="196"/>
    </row>
    <row r="82" spans="1:24" x14ac:dyDescent="0.2">
      <c r="A82" s="144" t="s">
        <v>1205</v>
      </c>
      <c r="B82" s="145" t="s">
        <v>1205</v>
      </c>
      <c r="C82" s="145" t="s">
        <v>2537</v>
      </c>
      <c r="D82" s="145" t="s">
        <v>2538</v>
      </c>
      <c r="E82" s="145" t="s">
        <v>313</v>
      </c>
      <c r="F82" s="145" t="s">
        <v>2539</v>
      </c>
      <c r="G82" s="145" t="s">
        <v>2540</v>
      </c>
      <c r="H82" s="145" t="s">
        <v>321</v>
      </c>
      <c r="I82" s="145" t="s">
        <v>965</v>
      </c>
      <c r="J82" s="145" t="s">
        <v>205</v>
      </c>
      <c r="K82" s="145" t="s">
        <v>224</v>
      </c>
      <c r="L82" s="145" t="s">
        <v>364</v>
      </c>
      <c r="M82" s="145" t="s">
        <v>604</v>
      </c>
      <c r="N82" s="145" t="s">
        <v>339</v>
      </c>
      <c r="O82" s="145" t="s">
        <v>1212</v>
      </c>
      <c r="P82" s="146">
        <v>3411</v>
      </c>
      <c r="Q82" s="146">
        <v>4.0220000000000002</v>
      </c>
      <c r="R82" s="146">
        <v>39730</v>
      </c>
      <c r="S82" s="151"/>
      <c r="T82" s="146">
        <v>5040.0630000000001</v>
      </c>
      <c r="U82" s="148">
        <v>1.2E-4</v>
      </c>
      <c r="V82" s="148">
        <v>2.3550000000000001E-2</v>
      </c>
      <c r="W82" s="149">
        <v>4.79E-3</v>
      </c>
      <c r="X82" s="196"/>
    </row>
    <row r="83" spans="1:24" x14ac:dyDescent="0.2">
      <c r="A83" s="144" t="s">
        <v>1205</v>
      </c>
      <c r="B83" s="145" t="s">
        <v>1205</v>
      </c>
      <c r="C83" s="145" t="s">
        <v>2485</v>
      </c>
      <c r="D83" s="145" t="s">
        <v>2486</v>
      </c>
      <c r="E83" s="145" t="s">
        <v>313</v>
      </c>
      <c r="F83" s="145" t="s">
        <v>2485</v>
      </c>
      <c r="G83" s="145" t="s">
        <v>2487</v>
      </c>
      <c r="H83" s="145" t="s">
        <v>321</v>
      </c>
      <c r="I83" s="145" t="s">
        <v>967</v>
      </c>
      <c r="J83" s="145" t="s">
        <v>205</v>
      </c>
      <c r="K83" s="145" t="s">
        <v>233</v>
      </c>
      <c r="L83" s="145" t="s">
        <v>380</v>
      </c>
      <c r="M83" s="145" t="s">
        <v>677</v>
      </c>
      <c r="N83" s="145" t="s">
        <v>339</v>
      </c>
      <c r="O83" s="145" t="s">
        <v>1211</v>
      </c>
      <c r="P83" s="146">
        <v>13915</v>
      </c>
      <c r="Q83" s="146">
        <v>3.718</v>
      </c>
      <c r="R83" s="146">
        <v>9483</v>
      </c>
      <c r="S83" s="151"/>
      <c r="T83" s="146">
        <v>4906.1220000000003</v>
      </c>
      <c r="U83" s="148">
        <v>4.0999999999999999E-4</v>
      </c>
      <c r="V83" s="148">
        <v>2.2919999999999999E-2</v>
      </c>
      <c r="W83" s="149">
        <v>4.6699999999999997E-3</v>
      </c>
      <c r="X83" s="196"/>
    </row>
    <row r="84" spans="1:24" x14ac:dyDescent="0.2">
      <c r="A84" s="144" t="s">
        <v>1205</v>
      </c>
      <c r="B84" s="145" t="s">
        <v>1205</v>
      </c>
      <c r="C84" s="145" t="s">
        <v>2386</v>
      </c>
      <c r="D84" s="145" t="s">
        <v>2541</v>
      </c>
      <c r="E84" s="145" t="s">
        <v>313</v>
      </c>
      <c r="F84" s="145" t="s">
        <v>2386</v>
      </c>
      <c r="G84" s="145" t="s">
        <v>2542</v>
      </c>
      <c r="H84" s="145" t="s">
        <v>321</v>
      </c>
      <c r="I84" s="145" t="s">
        <v>965</v>
      </c>
      <c r="J84" s="145" t="s">
        <v>205</v>
      </c>
      <c r="K84" s="145" t="s">
        <v>224</v>
      </c>
      <c r="L84" s="145" t="s">
        <v>344</v>
      </c>
      <c r="M84" s="145" t="s">
        <v>604</v>
      </c>
      <c r="N84" s="145" t="s">
        <v>339</v>
      </c>
      <c r="O84" s="145" t="s">
        <v>1211</v>
      </c>
      <c r="P84" s="146">
        <v>25244</v>
      </c>
      <c r="Q84" s="146">
        <v>3.718</v>
      </c>
      <c r="R84" s="146">
        <v>4893</v>
      </c>
      <c r="S84" s="151"/>
      <c r="T84" s="146">
        <v>4592.4319999999998</v>
      </c>
      <c r="U84" s="148">
        <v>1.231E-2</v>
      </c>
      <c r="V84" s="148">
        <v>2.146E-2</v>
      </c>
      <c r="W84" s="149">
        <v>4.3699999999999998E-3</v>
      </c>
      <c r="X84" s="196"/>
    </row>
    <row r="85" spans="1:24" x14ac:dyDescent="0.2">
      <c r="A85" s="144" t="s">
        <v>1205</v>
      </c>
      <c r="B85" s="145" t="s">
        <v>1205</v>
      </c>
      <c r="C85" s="145" t="s">
        <v>2429</v>
      </c>
      <c r="D85" s="145" t="s">
        <v>2430</v>
      </c>
      <c r="E85" s="145" t="s">
        <v>313</v>
      </c>
      <c r="F85" s="145" t="s">
        <v>2429</v>
      </c>
      <c r="G85" s="145" t="s">
        <v>2431</v>
      </c>
      <c r="H85" s="145" t="s">
        <v>321</v>
      </c>
      <c r="I85" s="145" t="s">
        <v>965</v>
      </c>
      <c r="J85" s="145" t="s">
        <v>205</v>
      </c>
      <c r="K85" s="145" t="s">
        <v>268</v>
      </c>
      <c r="L85" s="145" t="s">
        <v>344</v>
      </c>
      <c r="M85" s="145" t="s">
        <v>588</v>
      </c>
      <c r="N85" s="145" t="s">
        <v>339</v>
      </c>
      <c r="O85" s="145" t="s">
        <v>1211</v>
      </c>
      <c r="P85" s="146">
        <v>34387</v>
      </c>
      <c r="Q85" s="146">
        <v>3.718</v>
      </c>
      <c r="R85" s="146">
        <v>3491</v>
      </c>
      <c r="S85" s="151"/>
      <c r="T85" s="146">
        <v>4463.2740000000003</v>
      </c>
      <c r="U85" s="148">
        <v>1.9000000000000001E-4</v>
      </c>
      <c r="V85" s="148">
        <v>2.086E-2</v>
      </c>
      <c r="W85" s="149">
        <v>4.2500000000000003E-3</v>
      </c>
      <c r="X85" s="196"/>
    </row>
    <row r="86" spans="1:24" x14ac:dyDescent="0.2">
      <c r="A86" s="144" t="s">
        <v>1205</v>
      </c>
      <c r="B86" s="145" t="s">
        <v>1205</v>
      </c>
      <c r="C86" s="145" t="s">
        <v>2543</v>
      </c>
      <c r="D86" s="145" t="s">
        <v>2544</v>
      </c>
      <c r="E86" s="145" t="s">
        <v>313</v>
      </c>
      <c r="F86" s="145" t="s">
        <v>2543</v>
      </c>
      <c r="G86" s="145" t="s">
        <v>2545</v>
      </c>
      <c r="H86" s="145" t="s">
        <v>321</v>
      </c>
      <c r="I86" s="145" t="s">
        <v>965</v>
      </c>
      <c r="J86" s="145" t="s">
        <v>205</v>
      </c>
      <c r="K86" s="145" t="s">
        <v>293</v>
      </c>
      <c r="L86" s="145" t="s">
        <v>364</v>
      </c>
      <c r="M86" s="145" t="s">
        <v>584</v>
      </c>
      <c r="N86" s="145" t="s">
        <v>339</v>
      </c>
      <c r="O86" s="145" t="s">
        <v>1212</v>
      </c>
      <c r="P86" s="146">
        <v>63877</v>
      </c>
      <c r="Q86" s="146">
        <v>4.0220000000000002</v>
      </c>
      <c r="R86" s="146">
        <v>1652.8</v>
      </c>
      <c r="S86" s="151"/>
      <c r="T86" s="146">
        <v>4246.1570000000002</v>
      </c>
      <c r="U86" s="148">
        <v>2.2200000000000002E-3</v>
      </c>
      <c r="V86" s="148">
        <v>1.984E-2</v>
      </c>
      <c r="W86" s="149">
        <v>4.0400000000000002E-3</v>
      </c>
      <c r="X86" s="196"/>
    </row>
    <row r="87" spans="1:24" x14ac:dyDescent="0.2">
      <c r="A87" s="144" t="s">
        <v>1205</v>
      </c>
      <c r="B87" s="145" t="s">
        <v>1205</v>
      </c>
      <c r="C87" s="145" t="s">
        <v>2546</v>
      </c>
      <c r="D87" s="145" t="s">
        <v>2547</v>
      </c>
      <c r="E87" s="145" t="s">
        <v>313</v>
      </c>
      <c r="F87" s="145" t="s">
        <v>2546</v>
      </c>
      <c r="G87" s="145" t="s">
        <v>2548</v>
      </c>
      <c r="H87" s="145" t="s">
        <v>321</v>
      </c>
      <c r="I87" s="145" t="s">
        <v>965</v>
      </c>
      <c r="J87" s="145" t="s">
        <v>205</v>
      </c>
      <c r="K87" s="145" t="s">
        <v>224</v>
      </c>
      <c r="L87" s="145" t="s">
        <v>344</v>
      </c>
      <c r="M87" s="145" t="s">
        <v>703</v>
      </c>
      <c r="N87" s="145" t="s">
        <v>339</v>
      </c>
      <c r="O87" s="145" t="s">
        <v>1211</v>
      </c>
      <c r="P87" s="146">
        <v>27847</v>
      </c>
      <c r="Q87" s="146">
        <v>3.718</v>
      </c>
      <c r="R87" s="146">
        <v>3773</v>
      </c>
      <c r="S87" s="151"/>
      <c r="T87" s="146">
        <v>3906.3809999999999</v>
      </c>
      <c r="U87" s="148">
        <v>1.2999999999999999E-4</v>
      </c>
      <c r="V87" s="148">
        <v>1.8249999999999999E-2</v>
      </c>
      <c r="W87" s="149">
        <v>3.7200000000000002E-3</v>
      </c>
      <c r="X87" s="196"/>
    </row>
    <row r="88" spans="1:24" x14ac:dyDescent="0.2">
      <c r="A88" s="144" t="s">
        <v>1205</v>
      </c>
      <c r="B88" s="145" t="s">
        <v>1205</v>
      </c>
      <c r="C88" s="145" t="s">
        <v>2432</v>
      </c>
      <c r="D88" s="145" t="s">
        <v>2433</v>
      </c>
      <c r="E88" s="145" t="s">
        <v>313</v>
      </c>
      <c r="F88" s="145" t="s">
        <v>2434</v>
      </c>
      <c r="G88" s="145" t="s">
        <v>2435</v>
      </c>
      <c r="H88" s="145" t="s">
        <v>321</v>
      </c>
      <c r="I88" s="145" t="s">
        <v>965</v>
      </c>
      <c r="J88" s="145" t="s">
        <v>205</v>
      </c>
      <c r="K88" s="145" t="s">
        <v>268</v>
      </c>
      <c r="L88" s="145" t="s">
        <v>344</v>
      </c>
      <c r="M88" s="145" t="s">
        <v>588</v>
      </c>
      <c r="N88" s="145" t="s">
        <v>339</v>
      </c>
      <c r="O88" s="145" t="s">
        <v>1211</v>
      </c>
      <c r="P88" s="146">
        <v>19277</v>
      </c>
      <c r="Q88" s="146">
        <v>3.718</v>
      </c>
      <c r="R88" s="146">
        <v>5440</v>
      </c>
      <c r="S88" s="151"/>
      <c r="T88" s="146">
        <v>3898.951</v>
      </c>
      <c r="U88" s="148">
        <v>1.7000000000000001E-4</v>
      </c>
      <c r="V88" s="148">
        <v>1.822E-2</v>
      </c>
      <c r="W88" s="149">
        <v>3.7100000000000002E-3</v>
      </c>
      <c r="X88" s="196"/>
    </row>
    <row r="89" spans="1:24" x14ac:dyDescent="0.2">
      <c r="A89" s="144" t="s">
        <v>1205</v>
      </c>
      <c r="B89" s="145" t="s">
        <v>1205</v>
      </c>
      <c r="C89" s="145" t="s">
        <v>2460</v>
      </c>
      <c r="D89" s="145" t="s">
        <v>2378</v>
      </c>
      <c r="E89" s="145" t="s">
        <v>313</v>
      </c>
      <c r="F89" s="145" t="s">
        <v>2460</v>
      </c>
      <c r="G89" s="145" t="s">
        <v>2461</v>
      </c>
      <c r="H89" s="145" t="s">
        <v>321</v>
      </c>
      <c r="I89" s="145" t="s">
        <v>965</v>
      </c>
      <c r="J89" s="145" t="s">
        <v>205</v>
      </c>
      <c r="K89" s="145" t="s">
        <v>224</v>
      </c>
      <c r="L89" s="145" t="s">
        <v>344</v>
      </c>
      <c r="M89" s="145" t="s">
        <v>708</v>
      </c>
      <c r="N89" s="145" t="s">
        <v>339</v>
      </c>
      <c r="O89" s="145" t="s">
        <v>1211</v>
      </c>
      <c r="P89" s="146">
        <v>10286</v>
      </c>
      <c r="Q89" s="146">
        <v>3.718</v>
      </c>
      <c r="R89" s="146">
        <v>9870</v>
      </c>
      <c r="S89" s="151"/>
      <c r="T89" s="146">
        <v>3774.6179999999999</v>
      </c>
      <c r="U89" s="148">
        <v>4.4999999999999999E-4</v>
      </c>
      <c r="V89" s="148">
        <v>1.7639999999999999E-2</v>
      </c>
      <c r="W89" s="149">
        <v>3.5899999999999999E-3</v>
      </c>
      <c r="X89" s="196"/>
    </row>
    <row r="90" spans="1:24" x14ac:dyDescent="0.2">
      <c r="A90" s="144" t="s">
        <v>1205</v>
      </c>
      <c r="B90" s="145" t="s">
        <v>1205</v>
      </c>
      <c r="C90" s="145" t="s">
        <v>2465</v>
      </c>
      <c r="D90" s="145" t="s">
        <v>2466</v>
      </c>
      <c r="E90" s="145" t="s">
        <v>313</v>
      </c>
      <c r="F90" s="145" t="s">
        <v>2465</v>
      </c>
      <c r="G90" s="145" t="s">
        <v>2467</v>
      </c>
      <c r="H90" s="145" t="s">
        <v>321</v>
      </c>
      <c r="I90" s="145" t="s">
        <v>965</v>
      </c>
      <c r="J90" s="145" t="s">
        <v>205</v>
      </c>
      <c r="K90" s="145" t="s">
        <v>224</v>
      </c>
      <c r="L90" s="145" t="s">
        <v>344</v>
      </c>
      <c r="M90" s="145" t="s">
        <v>708</v>
      </c>
      <c r="N90" s="145" t="s">
        <v>339</v>
      </c>
      <c r="O90" s="145" t="s">
        <v>1211</v>
      </c>
      <c r="P90" s="146">
        <v>9964</v>
      </c>
      <c r="Q90" s="146">
        <v>3.718</v>
      </c>
      <c r="R90" s="146">
        <v>9645</v>
      </c>
      <c r="S90" s="151"/>
      <c r="T90" s="146">
        <v>3573.1010000000001</v>
      </c>
      <c r="U90" s="148">
        <v>5.0000000000000002E-5</v>
      </c>
      <c r="V90" s="148">
        <v>1.67E-2</v>
      </c>
      <c r="W90" s="149">
        <v>3.3999999999999998E-3</v>
      </c>
      <c r="X90" s="196"/>
    </row>
    <row r="91" spans="1:24" x14ac:dyDescent="0.2">
      <c r="A91" s="144" t="s">
        <v>1205</v>
      </c>
      <c r="B91" s="145" t="s">
        <v>1205</v>
      </c>
      <c r="C91" s="145" t="s">
        <v>2468</v>
      </c>
      <c r="D91" s="145" t="s">
        <v>2469</v>
      </c>
      <c r="E91" s="145" t="s">
        <v>313</v>
      </c>
      <c r="F91" s="145" t="s">
        <v>2468</v>
      </c>
      <c r="G91" s="145" t="s">
        <v>2470</v>
      </c>
      <c r="H91" s="145" t="s">
        <v>321</v>
      </c>
      <c r="I91" s="145" t="s">
        <v>965</v>
      </c>
      <c r="J91" s="145" t="s">
        <v>205</v>
      </c>
      <c r="K91" s="145" t="s">
        <v>246</v>
      </c>
      <c r="L91" s="145" t="s">
        <v>370</v>
      </c>
      <c r="M91" s="145" t="s">
        <v>707</v>
      </c>
      <c r="N91" s="145" t="s">
        <v>339</v>
      </c>
      <c r="O91" s="145" t="s">
        <v>1213</v>
      </c>
      <c r="P91" s="146">
        <v>646885</v>
      </c>
      <c r="Q91" s="146">
        <v>0.47799999999999998</v>
      </c>
      <c r="R91" s="146">
        <v>1129</v>
      </c>
      <c r="S91" s="151"/>
      <c r="T91" s="146">
        <v>3490.2620000000002</v>
      </c>
      <c r="U91" s="148">
        <v>4.4900000000000001E-3</v>
      </c>
      <c r="V91" s="148">
        <v>1.6310000000000002E-2</v>
      </c>
      <c r="W91" s="149">
        <v>3.32E-3</v>
      </c>
      <c r="X91" s="196"/>
    </row>
    <row r="92" spans="1:24" x14ac:dyDescent="0.2">
      <c r="A92" s="144" t="s">
        <v>1205</v>
      </c>
      <c r="B92" s="145" t="s">
        <v>1205</v>
      </c>
      <c r="C92" s="145" t="s">
        <v>2452</v>
      </c>
      <c r="D92" s="145" t="s">
        <v>2453</v>
      </c>
      <c r="E92" s="145" t="s">
        <v>313</v>
      </c>
      <c r="F92" s="145" t="s">
        <v>2454</v>
      </c>
      <c r="G92" s="145" t="s">
        <v>2455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703</v>
      </c>
      <c r="N92" s="145" t="s">
        <v>339</v>
      </c>
      <c r="O92" s="145" t="s">
        <v>1211</v>
      </c>
      <c r="P92" s="146">
        <v>7086</v>
      </c>
      <c r="Q92" s="146">
        <v>3.718</v>
      </c>
      <c r="R92" s="146">
        <v>11655</v>
      </c>
      <c r="S92" s="151"/>
      <c r="T92" s="146">
        <v>3070.5970000000002</v>
      </c>
      <c r="U92" s="148">
        <v>1.8000000000000001E-4</v>
      </c>
      <c r="V92" s="148">
        <v>1.435E-2</v>
      </c>
      <c r="W92" s="149">
        <v>2.9199999999999999E-3</v>
      </c>
      <c r="X92" s="196"/>
    </row>
    <row r="93" spans="1:24" x14ac:dyDescent="0.2">
      <c r="A93" s="144" t="s">
        <v>1205</v>
      </c>
      <c r="B93" s="145" t="s">
        <v>1205</v>
      </c>
      <c r="C93" s="145" t="s">
        <v>2407</v>
      </c>
      <c r="D93" s="145" t="s">
        <v>2408</v>
      </c>
      <c r="E93" s="145" t="s">
        <v>313</v>
      </c>
      <c r="F93" s="145" t="s">
        <v>2407</v>
      </c>
      <c r="G93" s="145" t="s">
        <v>2409</v>
      </c>
      <c r="H93" s="145" t="s">
        <v>321</v>
      </c>
      <c r="I93" s="145" t="s">
        <v>965</v>
      </c>
      <c r="J93" s="145" t="s">
        <v>205</v>
      </c>
      <c r="K93" s="145" t="s">
        <v>253</v>
      </c>
      <c r="L93" s="145" t="s">
        <v>314</v>
      </c>
      <c r="M93" s="145" t="s">
        <v>610</v>
      </c>
      <c r="N93" s="145" t="s">
        <v>339</v>
      </c>
      <c r="O93" s="145" t="s">
        <v>1212</v>
      </c>
      <c r="P93" s="146">
        <v>3008</v>
      </c>
      <c r="Q93" s="146">
        <v>4.0220000000000002</v>
      </c>
      <c r="R93" s="146">
        <v>25113</v>
      </c>
      <c r="S93" s="151"/>
      <c r="T93" s="146">
        <v>3038.1390000000001</v>
      </c>
      <c r="U93" s="148">
        <v>8.0000000000000007E-5</v>
      </c>
      <c r="V93" s="148">
        <v>1.4200000000000001E-2</v>
      </c>
      <c r="W93" s="149">
        <v>2.8900000000000002E-3</v>
      </c>
      <c r="X93" s="196"/>
    </row>
    <row r="94" spans="1:24" x14ac:dyDescent="0.2">
      <c r="A94" s="144" t="s">
        <v>1205</v>
      </c>
      <c r="B94" s="145" t="s">
        <v>1205</v>
      </c>
      <c r="C94" s="145" t="s">
        <v>2397</v>
      </c>
      <c r="D94" s="145" t="s">
        <v>2398</v>
      </c>
      <c r="E94" s="145" t="s">
        <v>313</v>
      </c>
      <c r="F94" s="145" t="s">
        <v>2397</v>
      </c>
      <c r="G94" s="145" t="s">
        <v>2399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344</v>
      </c>
      <c r="M94" s="145" t="s">
        <v>596</v>
      </c>
      <c r="N94" s="145" t="s">
        <v>339</v>
      </c>
      <c r="O94" s="145" t="s">
        <v>1211</v>
      </c>
      <c r="P94" s="146">
        <v>26118</v>
      </c>
      <c r="Q94" s="146">
        <v>3.718</v>
      </c>
      <c r="R94" s="146">
        <v>3087</v>
      </c>
      <c r="S94" s="151"/>
      <c r="T94" s="146">
        <v>2997.6849999999999</v>
      </c>
      <c r="U94" s="148">
        <v>2.2000000000000001E-4</v>
      </c>
      <c r="V94" s="148">
        <v>1.401E-2</v>
      </c>
      <c r="W94" s="149">
        <v>2.8500000000000001E-3</v>
      </c>
      <c r="X94" s="196"/>
    </row>
    <row r="95" spans="1:24" x14ac:dyDescent="0.2">
      <c r="A95" s="144" t="s">
        <v>1205</v>
      </c>
      <c r="B95" s="145" t="s">
        <v>1205</v>
      </c>
      <c r="C95" s="145" t="s">
        <v>2413</v>
      </c>
      <c r="D95" s="145" t="s">
        <v>2414</v>
      </c>
      <c r="E95" s="145" t="s">
        <v>313</v>
      </c>
      <c r="F95" s="145" t="s">
        <v>2415</v>
      </c>
      <c r="G95" s="145" t="s">
        <v>2416</v>
      </c>
      <c r="H95" s="145" t="s">
        <v>321</v>
      </c>
      <c r="I95" s="145" t="s">
        <v>965</v>
      </c>
      <c r="J95" s="145" t="s">
        <v>205</v>
      </c>
      <c r="K95" s="145" t="s">
        <v>224</v>
      </c>
      <c r="L95" s="145" t="s">
        <v>344</v>
      </c>
      <c r="M95" s="145" t="s">
        <v>708</v>
      </c>
      <c r="N95" s="145" t="s">
        <v>339</v>
      </c>
      <c r="O95" s="145" t="s">
        <v>1211</v>
      </c>
      <c r="P95" s="146">
        <v>1891</v>
      </c>
      <c r="Q95" s="146">
        <v>3.718</v>
      </c>
      <c r="R95" s="146">
        <v>41988</v>
      </c>
      <c r="S95" s="146">
        <v>1.514</v>
      </c>
      <c r="T95" s="146">
        <v>2957.6959999999999</v>
      </c>
      <c r="U95" s="148">
        <v>2.0000000000000002E-5</v>
      </c>
      <c r="V95" s="148">
        <v>1.383E-2</v>
      </c>
      <c r="W95" s="149">
        <v>2.81E-3</v>
      </c>
      <c r="X95" s="196"/>
    </row>
    <row r="96" spans="1:24" x14ac:dyDescent="0.2">
      <c r="A96" s="144" t="s">
        <v>1205</v>
      </c>
      <c r="B96" s="145" t="s">
        <v>1205</v>
      </c>
      <c r="C96" s="145" t="s">
        <v>2443</v>
      </c>
      <c r="D96" s="145" t="s">
        <v>2444</v>
      </c>
      <c r="E96" s="145" t="s">
        <v>313</v>
      </c>
      <c r="F96" s="145" t="s">
        <v>2443</v>
      </c>
      <c r="G96" s="145" t="s">
        <v>2445</v>
      </c>
      <c r="H96" s="145" t="s">
        <v>321</v>
      </c>
      <c r="I96" s="145" t="s">
        <v>965</v>
      </c>
      <c r="J96" s="145" t="s">
        <v>205</v>
      </c>
      <c r="K96" s="145" t="s">
        <v>224</v>
      </c>
      <c r="L96" s="145" t="s">
        <v>344</v>
      </c>
      <c r="M96" s="145" t="s">
        <v>586</v>
      </c>
      <c r="N96" s="145" t="s">
        <v>339</v>
      </c>
      <c r="O96" s="145" t="s">
        <v>1211</v>
      </c>
      <c r="P96" s="146">
        <v>5620</v>
      </c>
      <c r="Q96" s="146">
        <v>3.718</v>
      </c>
      <c r="R96" s="146">
        <v>14011</v>
      </c>
      <c r="S96" s="151"/>
      <c r="T96" s="146">
        <v>2927.6210000000001</v>
      </c>
      <c r="U96" s="148">
        <v>1.3699999999999999E-3</v>
      </c>
      <c r="V96" s="148">
        <v>1.3679999999999999E-2</v>
      </c>
      <c r="W96" s="149">
        <v>2.7799999999999999E-3</v>
      </c>
      <c r="X96" s="196"/>
    </row>
    <row r="97" spans="1:24" x14ac:dyDescent="0.2">
      <c r="A97" s="144" t="s">
        <v>1205</v>
      </c>
      <c r="B97" s="145" t="s">
        <v>1205</v>
      </c>
      <c r="C97" s="145" t="s">
        <v>2388</v>
      </c>
      <c r="D97" s="145" t="s">
        <v>2389</v>
      </c>
      <c r="E97" s="145" t="s">
        <v>313</v>
      </c>
      <c r="F97" s="145" t="s">
        <v>2388</v>
      </c>
      <c r="G97" s="145" t="s">
        <v>2390</v>
      </c>
      <c r="H97" s="145" t="s">
        <v>321</v>
      </c>
      <c r="I97" s="145" t="s">
        <v>965</v>
      </c>
      <c r="J97" s="145" t="s">
        <v>205</v>
      </c>
      <c r="K97" s="145" t="s">
        <v>224</v>
      </c>
      <c r="L97" s="145" t="s">
        <v>344</v>
      </c>
      <c r="M97" s="145" t="s">
        <v>611</v>
      </c>
      <c r="N97" s="145" t="s">
        <v>339</v>
      </c>
      <c r="O97" s="145" t="s">
        <v>1211</v>
      </c>
      <c r="P97" s="146">
        <v>3672</v>
      </c>
      <c r="Q97" s="146">
        <v>3.718</v>
      </c>
      <c r="R97" s="146">
        <v>20648</v>
      </c>
      <c r="S97" s="151"/>
      <c r="T97" s="146">
        <v>2818.9670000000001</v>
      </c>
      <c r="U97" s="148">
        <v>1.0000000000000001E-5</v>
      </c>
      <c r="V97" s="148">
        <v>1.3169999999999999E-2</v>
      </c>
      <c r="W97" s="149">
        <v>2.6800000000000001E-3</v>
      </c>
      <c r="X97" s="196"/>
    </row>
    <row r="98" spans="1:24" x14ac:dyDescent="0.2">
      <c r="A98" s="144" t="s">
        <v>1205</v>
      </c>
      <c r="B98" s="145" t="s">
        <v>1205</v>
      </c>
      <c r="C98" s="145" t="s">
        <v>2549</v>
      </c>
      <c r="D98" s="145" t="s">
        <v>2550</v>
      </c>
      <c r="E98" s="145" t="s">
        <v>313</v>
      </c>
      <c r="F98" s="145" t="s">
        <v>2549</v>
      </c>
      <c r="G98" s="145" t="s">
        <v>2551</v>
      </c>
      <c r="H98" s="145" t="s">
        <v>321</v>
      </c>
      <c r="I98" s="145" t="s">
        <v>965</v>
      </c>
      <c r="J98" s="145" t="s">
        <v>205</v>
      </c>
      <c r="K98" s="145" t="s">
        <v>224</v>
      </c>
      <c r="L98" s="145" t="s">
        <v>344</v>
      </c>
      <c r="M98" s="145" t="s">
        <v>708</v>
      </c>
      <c r="N98" s="145" t="s">
        <v>339</v>
      </c>
      <c r="O98" s="145" t="s">
        <v>1211</v>
      </c>
      <c r="P98" s="146">
        <v>5873</v>
      </c>
      <c r="Q98" s="146">
        <v>3.718</v>
      </c>
      <c r="R98" s="146">
        <v>12617</v>
      </c>
      <c r="S98" s="151"/>
      <c r="T98" s="146">
        <v>2755.0250000000001</v>
      </c>
      <c r="U98" s="148">
        <v>1.49E-3</v>
      </c>
      <c r="V98" s="148">
        <v>1.2869999999999999E-2</v>
      </c>
      <c r="W98" s="149">
        <v>2.6199999999999999E-3</v>
      </c>
      <c r="X98" s="196"/>
    </row>
    <row r="99" spans="1:24" x14ac:dyDescent="0.2">
      <c r="A99" s="144" t="s">
        <v>1205</v>
      </c>
      <c r="B99" s="145" t="s">
        <v>1205</v>
      </c>
      <c r="C99" s="145" t="s">
        <v>2477</v>
      </c>
      <c r="D99" s="145" t="s">
        <v>2478</v>
      </c>
      <c r="E99" s="145" t="s">
        <v>313</v>
      </c>
      <c r="F99" s="145" t="s">
        <v>2479</v>
      </c>
      <c r="G99" s="145" t="s">
        <v>2480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344</v>
      </c>
      <c r="M99" s="145" t="s">
        <v>611</v>
      </c>
      <c r="N99" s="145" t="s">
        <v>339</v>
      </c>
      <c r="O99" s="145" t="s">
        <v>1211</v>
      </c>
      <c r="P99" s="146">
        <v>3437</v>
      </c>
      <c r="Q99" s="146">
        <v>3.718</v>
      </c>
      <c r="R99" s="146">
        <v>21147</v>
      </c>
      <c r="S99" s="151"/>
      <c r="T99" s="146">
        <v>2702.326</v>
      </c>
      <c r="U99" s="148">
        <v>4.0000000000000003E-5</v>
      </c>
      <c r="V99" s="148">
        <v>1.2630000000000001E-2</v>
      </c>
      <c r="W99" s="149">
        <v>2.5699999999999998E-3</v>
      </c>
      <c r="X99" s="196"/>
    </row>
    <row r="100" spans="1:24" x14ac:dyDescent="0.2">
      <c r="A100" s="144" t="s">
        <v>1205</v>
      </c>
      <c r="B100" s="145" t="s">
        <v>1205</v>
      </c>
      <c r="C100" s="145" t="s">
        <v>2446</v>
      </c>
      <c r="D100" s="145" t="s">
        <v>2447</v>
      </c>
      <c r="E100" s="145" t="s">
        <v>313</v>
      </c>
      <c r="F100" s="145" t="s">
        <v>2446</v>
      </c>
      <c r="G100" s="145" t="s">
        <v>2448</v>
      </c>
      <c r="H100" s="145" t="s">
        <v>321</v>
      </c>
      <c r="I100" s="145" t="s">
        <v>965</v>
      </c>
      <c r="J100" s="145" t="s">
        <v>205</v>
      </c>
      <c r="K100" s="145" t="s">
        <v>224</v>
      </c>
      <c r="L100" s="145" t="s">
        <v>344</v>
      </c>
      <c r="M100" s="145" t="s">
        <v>708</v>
      </c>
      <c r="N100" s="145" t="s">
        <v>339</v>
      </c>
      <c r="O100" s="145" t="s">
        <v>1211</v>
      </c>
      <c r="P100" s="146">
        <v>3654</v>
      </c>
      <c r="Q100" s="146">
        <v>3.718</v>
      </c>
      <c r="R100" s="146">
        <v>19746</v>
      </c>
      <c r="S100" s="151"/>
      <c r="T100" s="146">
        <v>2682.607</v>
      </c>
      <c r="U100" s="148">
        <v>4.0000000000000003E-5</v>
      </c>
      <c r="V100" s="148">
        <v>1.2529999999999999E-2</v>
      </c>
      <c r="W100" s="149">
        <v>2.5500000000000002E-3</v>
      </c>
      <c r="X100" s="196"/>
    </row>
    <row r="101" spans="1:24" x14ac:dyDescent="0.2">
      <c r="A101" s="144" t="s">
        <v>1205</v>
      </c>
      <c r="B101" s="145" t="s">
        <v>1205</v>
      </c>
      <c r="C101" s="145" t="s">
        <v>2552</v>
      </c>
      <c r="D101" s="145" t="s">
        <v>2553</v>
      </c>
      <c r="E101" s="145" t="s">
        <v>313</v>
      </c>
      <c r="F101" s="145" t="s">
        <v>2552</v>
      </c>
      <c r="G101" s="145" t="s">
        <v>2554</v>
      </c>
      <c r="H101" s="145" t="s">
        <v>321</v>
      </c>
      <c r="I101" s="145" t="s">
        <v>965</v>
      </c>
      <c r="J101" s="145" t="s">
        <v>205</v>
      </c>
      <c r="K101" s="145" t="s">
        <v>293</v>
      </c>
      <c r="L101" s="145" t="s">
        <v>368</v>
      </c>
      <c r="M101" s="145" t="s">
        <v>610</v>
      </c>
      <c r="N101" s="145" t="s">
        <v>339</v>
      </c>
      <c r="O101" s="145" t="s">
        <v>1212</v>
      </c>
      <c r="P101" s="146">
        <v>6891</v>
      </c>
      <c r="Q101" s="146">
        <v>4.0220000000000002</v>
      </c>
      <c r="R101" s="146">
        <v>9391</v>
      </c>
      <c r="S101" s="151"/>
      <c r="T101" s="146">
        <v>2602.7069999999999</v>
      </c>
      <c r="U101" s="148">
        <v>3.64E-3</v>
      </c>
      <c r="V101" s="148">
        <v>1.2160000000000001E-2</v>
      </c>
      <c r="W101" s="149">
        <v>2.48E-3</v>
      </c>
      <c r="X101" s="196"/>
    </row>
    <row r="102" spans="1:24" x14ac:dyDescent="0.2">
      <c r="A102" s="144" t="s">
        <v>1205</v>
      </c>
      <c r="B102" s="145" t="s">
        <v>1205</v>
      </c>
      <c r="C102" s="145" t="s">
        <v>2417</v>
      </c>
      <c r="D102" s="145" t="s">
        <v>2418</v>
      </c>
      <c r="E102" s="145" t="s">
        <v>313</v>
      </c>
      <c r="F102" s="145" t="s">
        <v>2419</v>
      </c>
      <c r="G102" s="145" t="s">
        <v>2420</v>
      </c>
      <c r="H102" s="145" t="s">
        <v>321</v>
      </c>
      <c r="I102" s="145" t="s">
        <v>965</v>
      </c>
      <c r="J102" s="145" t="s">
        <v>205</v>
      </c>
      <c r="K102" s="145" t="s">
        <v>224</v>
      </c>
      <c r="L102" s="145" t="s">
        <v>344</v>
      </c>
      <c r="M102" s="145" t="s">
        <v>597</v>
      </c>
      <c r="N102" s="145" t="s">
        <v>339</v>
      </c>
      <c r="O102" s="145" t="s">
        <v>1211</v>
      </c>
      <c r="P102" s="146">
        <v>3564</v>
      </c>
      <c r="Q102" s="146">
        <v>3.718</v>
      </c>
      <c r="R102" s="146">
        <v>17356</v>
      </c>
      <c r="S102" s="151"/>
      <c r="T102" s="146">
        <v>2299.835</v>
      </c>
      <c r="U102" s="148">
        <v>1.8000000000000001E-4</v>
      </c>
      <c r="V102" s="148">
        <v>1.0749999999999999E-2</v>
      </c>
      <c r="W102" s="149">
        <v>2.1900000000000001E-3</v>
      </c>
      <c r="X102" s="196"/>
    </row>
    <row r="103" spans="1:24" x14ac:dyDescent="0.2">
      <c r="A103" s="144" t="s">
        <v>1205</v>
      </c>
      <c r="B103" s="145" t="s">
        <v>1205</v>
      </c>
      <c r="C103" s="145" t="s">
        <v>2555</v>
      </c>
      <c r="D103" s="145" t="s">
        <v>2556</v>
      </c>
      <c r="E103" s="145" t="s">
        <v>313</v>
      </c>
      <c r="F103" s="145" t="s">
        <v>2555</v>
      </c>
      <c r="G103" s="145" t="s">
        <v>2557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344</v>
      </c>
      <c r="M103" s="145" t="s">
        <v>708</v>
      </c>
      <c r="N103" s="145" t="s">
        <v>339</v>
      </c>
      <c r="O103" s="145" t="s">
        <v>1211</v>
      </c>
      <c r="P103" s="146">
        <v>6375</v>
      </c>
      <c r="Q103" s="146">
        <v>3.718</v>
      </c>
      <c r="R103" s="146">
        <v>9690</v>
      </c>
      <c r="S103" s="151"/>
      <c r="T103" s="146">
        <v>2296.748</v>
      </c>
      <c r="U103" s="148">
        <v>3.6000000000000002E-4</v>
      </c>
      <c r="V103" s="148">
        <v>1.073E-2</v>
      </c>
      <c r="W103" s="149">
        <v>2.1800000000000001E-3</v>
      </c>
      <c r="X103" s="196"/>
    </row>
    <row r="104" spans="1:24" x14ac:dyDescent="0.2">
      <c r="A104" s="144" t="s">
        <v>1205</v>
      </c>
      <c r="B104" s="145" t="s">
        <v>1205</v>
      </c>
      <c r="C104" s="145" t="s">
        <v>2462</v>
      </c>
      <c r="D104" s="145" t="s">
        <v>2463</v>
      </c>
      <c r="E104" s="145" t="s">
        <v>314</v>
      </c>
      <c r="F104" s="145" t="s">
        <v>2462</v>
      </c>
      <c r="G104" s="145" t="s">
        <v>2464</v>
      </c>
      <c r="H104" s="145" t="s">
        <v>321</v>
      </c>
      <c r="I104" s="145" t="s">
        <v>965</v>
      </c>
      <c r="J104" s="145" t="s">
        <v>205</v>
      </c>
      <c r="K104" s="145" t="s">
        <v>232</v>
      </c>
      <c r="L104" s="145" t="s">
        <v>344</v>
      </c>
      <c r="M104" s="145" t="s">
        <v>596</v>
      </c>
      <c r="N104" s="145" t="s">
        <v>339</v>
      </c>
      <c r="O104" s="145" t="s">
        <v>1211</v>
      </c>
      <c r="P104" s="146">
        <v>23535</v>
      </c>
      <c r="Q104" s="146">
        <v>3.718</v>
      </c>
      <c r="R104" s="146">
        <v>2585</v>
      </c>
      <c r="S104" s="151"/>
      <c r="T104" s="146">
        <v>2261.9560000000001</v>
      </c>
      <c r="U104" s="148">
        <v>1.3999999999999999E-4</v>
      </c>
      <c r="V104" s="148">
        <v>1.057E-2</v>
      </c>
      <c r="W104" s="149">
        <v>2.15E-3</v>
      </c>
      <c r="X104" s="196"/>
    </row>
    <row r="105" spans="1:24" x14ac:dyDescent="0.2">
      <c r="A105" s="144" t="s">
        <v>1205</v>
      </c>
      <c r="B105" s="145" t="s">
        <v>1205</v>
      </c>
      <c r="C105" s="145" t="s">
        <v>2558</v>
      </c>
      <c r="D105" s="145" t="s">
        <v>2559</v>
      </c>
      <c r="E105" s="145" t="s">
        <v>313</v>
      </c>
      <c r="F105" s="145" t="s">
        <v>2558</v>
      </c>
      <c r="G105" s="145" t="s">
        <v>2560</v>
      </c>
      <c r="H105" s="145" t="s">
        <v>321</v>
      </c>
      <c r="I105" s="145" t="s">
        <v>965</v>
      </c>
      <c r="J105" s="145" t="s">
        <v>205</v>
      </c>
      <c r="K105" s="145" t="s">
        <v>224</v>
      </c>
      <c r="L105" s="145" t="s">
        <v>344</v>
      </c>
      <c r="M105" s="145" t="s">
        <v>708</v>
      </c>
      <c r="N105" s="145" t="s">
        <v>339</v>
      </c>
      <c r="O105" s="145" t="s">
        <v>1211</v>
      </c>
      <c r="P105" s="146">
        <v>7496</v>
      </c>
      <c r="Q105" s="146">
        <v>3.718</v>
      </c>
      <c r="R105" s="146">
        <v>7885</v>
      </c>
      <c r="S105" s="151"/>
      <c r="T105" s="146">
        <v>2197.56</v>
      </c>
      <c r="U105" s="148">
        <v>3.0000000000000001E-5</v>
      </c>
      <c r="V105" s="148">
        <v>1.027E-2</v>
      </c>
      <c r="W105" s="149">
        <v>2.0899999999999998E-3</v>
      </c>
      <c r="X105" s="196"/>
    </row>
    <row r="106" spans="1:24" x14ac:dyDescent="0.2">
      <c r="A106" s="144" t="s">
        <v>1205</v>
      </c>
      <c r="B106" s="145" t="s">
        <v>1205</v>
      </c>
      <c r="C106" s="145" t="s">
        <v>2439</v>
      </c>
      <c r="D106" s="145" t="s">
        <v>2440</v>
      </c>
      <c r="E106" s="145" t="s">
        <v>313</v>
      </c>
      <c r="F106" s="145" t="s">
        <v>2441</v>
      </c>
      <c r="G106" s="145" t="s">
        <v>2442</v>
      </c>
      <c r="H106" s="145" t="s">
        <v>321</v>
      </c>
      <c r="I106" s="145" t="s">
        <v>965</v>
      </c>
      <c r="J106" s="145" t="s">
        <v>205</v>
      </c>
      <c r="K106" s="145" t="s">
        <v>224</v>
      </c>
      <c r="L106" s="145" t="s">
        <v>344</v>
      </c>
      <c r="M106" s="145" t="s">
        <v>602</v>
      </c>
      <c r="N106" s="145" t="s">
        <v>339</v>
      </c>
      <c r="O106" s="145" t="s">
        <v>1211</v>
      </c>
      <c r="P106" s="146">
        <v>2778</v>
      </c>
      <c r="Q106" s="146">
        <v>3.718</v>
      </c>
      <c r="R106" s="146">
        <v>19949</v>
      </c>
      <c r="S106" s="151"/>
      <c r="T106" s="146">
        <v>2060.453</v>
      </c>
      <c r="U106" s="148">
        <v>1.0000000000000001E-5</v>
      </c>
      <c r="V106" s="148">
        <v>9.6299999999999997E-3</v>
      </c>
      <c r="W106" s="149">
        <v>1.9599999999999999E-3</v>
      </c>
      <c r="X106" s="196"/>
    </row>
    <row r="107" spans="1:24" x14ac:dyDescent="0.2">
      <c r="A107" s="144" t="s">
        <v>1205</v>
      </c>
      <c r="B107" s="145" t="s">
        <v>1205</v>
      </c>
      <c r="C107" s="145" t="s">
        <v>2471</v>
      </c>
      <c r="D107" s="145" t="s">
        <v>2472</v>
      </c>
      <c r="E107" s="145" t="s">
        <v>313</v>
      </c>
      <c r="F107" s="145" t="s">
        <v>2471</v>
      </c>
      <c r="G107" s="145" t="s">
        <v>2473</v>
      </c>
      <c r="H107" s="145" t="s">
        <v>321</v>
      </c>
      <c r="I107" s="145" t="s">
        <v>965</v>
      </c>
      <c r="J107" s="145" t="s">
        <v>205</v>
      </c>
      <c r="K107" s="145" t="s">
        <v>238</v>
      </c>
      <c r="L107" s="145" t="s">
        <v>374</v>
      </c>
      <c r="M107" s="145" t="s">
        <v>594</v>
      </c>
      <c r="N107" s="145" t="s">
        <v>339</v>
      </c>
      <c r="O107" s="145" t="s">
        <v>1212</v>
      </c>
      <c r="P107" s="146">
        <v>11104</v>
      </c>
      <c r="Q107" s="146">
        <v>4.0220000000000002</v>
      </c>
      <c r="R107" s="146">
        <v>4558.5</v>
      </c>
      <c r="S107" s="151"/>
      <c r="T107" s="146">
        <v>2035.789</v>
      </c>
      <c r="U107" s="148">
        <v>1.1999999999999999E-3</v>
      </c>
      <c r="V107" s="148">
        <v>9.5099999999999994E-3</v>
      </c>
      <c r="W107" s="149">
        <v>1.9400000000000001E-3</v>
      </c>
      <c r="X107" s="196"/>
    </row>
    <row r="108" spans="1:24" x14ac:dyDescent="0.2">
      <c r="A108" s="144" t="s">
        <v>1205</v>
      </c>
      <c r="B108" s="145" t="s">
        <v>1205</v>
      </c>
      <c r="C108" s="145" t="s">
        <v>2490</v>
      </c>
      <c r="D108" s="145" t="s">
        <v>2491</v>
      </c>
      <c r="E108" s="145" t="s">
        <v>313</v>
      </c>
      <c r="F108" s="145" t="s">
        <v>2492</v>
      </c>
      <c r="G108" s="145" t="s">
        <v>2493</v>
      </c>
      <c r="H108" s="145" t="s">
        <v>321</v>
      </c>
      <c r="I108" s="145" t="s">
        <v>965</v>
      </c>
      <c r="J108" s="145" t="s">
        <v>205</v>
      </c>
      <c r="K108" s="145" t="s">
        <v>224</v>
      </c>
      <c r="L108" s="145" t="s">
        <v>344</v>
      </c>
      <c r="M108" s="145" t="s">
        <v>708</v>
      </c>
      <c r="N108" s="145" t="s">
        <v>339</v>
      </c>
      <c r="O108" s="145" t="s">
        <v>1211</v>
      </c>
      <c r="P108" s="146">
        <v>12487</v>
      </c>
      <c r="Q108" s="146">
        <v>3.718</v>
      </c>
      <c r="R108" s="146">
        <v>4185</v>
      </c>
      <c r="S108" s="151"/>
      <c r="T108" s="146">
        <v>1942.9559999999999</v>
      </c>
      <c r="U108" s="148">
        <v>6.9999999999999994E-5</v>
      </c>
      <c r="V108" s="148">
        <v>9.0799999999999995E-3</v>
      </c>
      <c r="W108" s="149">
        <v>1.8500000000000001E-3</v>
      </c>
      <c r="X108" s="196"/>
    </row>
    <row r="109" spans="1:24" x14ac:dyDescent="0.2">
      <c r="A109" s="144" t="s">
        <v>1205</v>
      </c>
      <c r="B109" s="145" t="s">
        <v>1205</v>
      </c>
      <c r="C109" s="145" t="s">
        <v>2474</v>
      </c>
      <c r="D109" s="145" t="s">
        <v>2475</v>
      </c>
      <c r="E109" s="145" t="s">
        <v>313</v>
      </c>
      <c r="F109" s="145" t="s">
        <v>2474</v>
      </c>
      <c r="G109" s="145" t="s">
        <v>2476</v>
      </c>
      <c r="H109" s="145" t="s">
        <v>321</v>
      </c>
      <c r="I109" s="145" t="s">
        <v>965</v>
      </c>
      <c r="J109" s="145" t="s">
        <v>205</v>
      </c>
      <c r="K109" s="145" t="s">
        <v>224</v>
      </c>
      <c r="L109" s="145" t="s">
        <v>344</v>
      </c>
      <c r="M109" s="145" t="s">
        <v>597</v>
      </c>
      <c r="N109" s="145" t="s">
        <v>339</v>
      </c>
      <c r="O109" s="145" t="s">
        <v>1211</v>
      </c>
      <c r="P109" s="146">
        <v>4518</v>
      </c>
      <c r="Q109" s="146">
        <v>3.718</v>
      </c>
      <c r="R109" s="146">
        <v>11313</v>
      </c>
      <c r="S109" s="151"/>
      <c r="T109" s="146">
        <v>1900.3489999999999</v>
      </c>
      <c r="U109" s="148">
        <v>2.5999999999999998E-4</v>
      </c>
      <c r="V109" s="148">
        <v>8.8800000000000007E-3</v>
      </c>
      <c r="W109" s="149">
        <v>1.81E-3</v>
      </c>
      <c r="X109" s="196"/>
    </row>
    <row r="110" spans="1:24" x14ac:dyDescent="0.2">
      <c r="A110" s="144" t="s">
        <v>1205</v>
      </c>
      <c r="B110" s="145" t="s">
        <v>1205</v>
      </c>
      <c r="C110" s="145" t="s">
        <v>2561</v>
      </c>
      <c r="D110" s="145" t="s">
        <v>2562</v>
      </c>
      <c r="E110" s="145" t="s">
        <v>313</v>
      </c>
      <c r="F110" s="145" t="s">
        <v>2561</v>
      </c>
      <c r="G110" s="145" t="s">
        <v>2563</v>
      </c>
      <c r="H110" s="145" t="s">
        <v>321</v>
      </c>
      <c r="I110" s="145" t="s">
        <v>965</v>
      </c>
      <c r="J110" s="145" t="s">
        <v>205</v>
      </c>
      <c r="K110" s="145" t="s">
        <v>224</v>
      </c>
      <c r="L110" s="145" t="s">
        <v>344</v>
      </c>
      <c r="M110" s="145" t="s">
        <v>583</v>
      </c>
      <c r="N110" s="145" t="s">
        <v>339</v>
      </c>
      <c r="O110" s="145" t="s">
        <v>1211</v>
      </c>
      <c r="P110" s="146">
        <v>7448</v>
      </c>
      <c r="Q110" s="146">
        <v>3.718</v>
      </c>
      <c r="R110" s="146">
        <v>6821</v>
      </c>
      <c r="S110" s="146">
        <v>0.55900000000000005</v>
      </c>
      <c r="T110" s="146">
        <v>1890.925</v>
      </c>
      <c r="U110" s="148">
        <v>2.0000000000000001E-4</v>
      </c>
      <c r="V110" s="148">
        <v>8.8400000000000006E-3</v>
      </c>
      <c r="W110" s="149">
        <v>1.8E-3</v>
      </c>
      <c r="X110" s="196"/>
    </row>
    <row r="111" spans="1:24" x14ac:dyDescent="0.2">
      <c r="A111" s="144" t="s">
        <v>1205</v>
      </c>
      <c r="B111" s="145" t="s">
        <v>1205</v>
      </c>
      <c r="C111" s="145" t="s">
        <v>2481</v>
      </c>
      <c r="D111" s="145" t="s">
        <v>2482</v>
      </c>
      <c r="E111" s="145" t="s">
        <v>313</v>
      </c>
      <c r="F111" s="145" t="s">
        <v>2483</v>
      </c>
      <c r="G111" s="145" t="s">
        <v>2484</v>
      </c>
      <c r="H111" s="145" t="s">
        <v>321</v>
      </c>
      <c r="I111" s="145" t="s">
        <v>965</v>
      </c>
      <c r="J111" s="145" t="s">
        <v>205</v>
      </c>
      <c r="K111" s="145" t="s">
        <v>224</v>
      </c>
      <c r="L111" s="145" t="s">
        <v>344</v>
      </c>
      <c r="M111" s="145" t="s">
        <v>707</v>
      </c>
      <c r="N111" s="145" t="s">
        <v>339</v>
      </c>
      <c r="O111" s="145" t="s">
        <v>1211</v>
      </c>
      <c r="P111" s="146">
        <v>10097</v>
      </c>
      <c r="Q111" s="146">
        <v>3.718</v>
      </c>
      <c r="R111" s="146">
        <v>4748</v>
      </c>
      <c r="S111" s="151"/>
      <c r="T111" s="146">
        <v>1782.43</v>
      </c>
      <c r="U111" s="148">
        <v>1E-4</v>
      </c>
      <c r="V111" s="148">
        <v>8.3300000000000006E-3</v>
      </c>
      <c r="W111" s="149">
        <v>1.6999999999999999E-3</v>
      </c>
      <c r="X111" s="196"/>
    </row>
    <row r="112" spans="1:24" x14ac:dyDescent="0.2">
      <c r="A112" s="144" t="s">
        <v>1205</v>
      </c>
      <c r="B112" s="145" t="s">
        <v>1205</v>
      </c>
      <c r="C112" s="145" t="s">
        <v>2351</v>
      </c>
      <c r="D112" s="145" t="s">
        <v>2352</v>
      </c>
      <c r="E112" s="145" t="s">
        <v>309</v>
      </c>
      <c r="F112" s="145" t="s">
        <v>2564</v>
      </c>
      <c r="G112" s="145" t="s">
        <v>2565</v>
      </c>
      <c r="H112" s="145" t="s">
        <v>321</v>
      </c>
      <c r="I112" s="145" t="s">
        <v>965</v>
      </c>
      <c r="J112" s="145" t="s">
        <v>205</v>
      </c>
      <c r="K112" s="145" t="s">
        <v>224</v>
      </c>
      <c r="L112" s="145" t="s">
        <v>340</v>
      </c>
      <c r="M112" s="145" t="s">
        <v>708</v>
      </c>
      <c r="N112" s="145" t="s">
        <v>339</v>
      </c>
      <c r="O112" s="145" t="s">
        <v>1210</v>
      </c>
      <c r="P112" s="146">
        <v>66443</v>
      </c>
      <c r="Q112" s="146">
        <v>1</v>
      </c>
      <c r="R112" s="146">
        <v>2578</v>
      </c>
      <c r="S112" s="151"/>
      <c r="T112" s="146">
        <v>1712.9010000000001</v>
      </c>
      <c r="U112" s="148">
        <v>1.022E-2</v>
      </c>
      <c r="V112" s="148">
        <v>8.0000000000000002E-3</v>
      </c>
      <c r="W112" s="149">
        <v>1.6299999999999999E-3</v>
      </c>
      <c r="X112" s="196"/>
    </row>
    <row r="113" spans="1:24" x14ac:dyDescent="0.2">
      <c r="A113" s="144" t="s">
        <v>1205</v>
      </c>
      <c r="B113" s="145" t="s">
        <v>1205</v>
      </c>
      <c r="C113" s="145" t="s">
        <v>2566</v>
      </c>
      <c r="D113" s="145" t="s">
        <v>2567</v>
      </c>
      <c r="E113" s="145" t="s">
        <v>313</v>
      </c>
      <c r="F113" s="145" t="s">
        <v>2566</v>
      </c>
      <c r="G113" s="145" t="s">
        <v>2568</v>
      </c>
      <c r="H113" s="145" t="s">
        <v>321</v>
      </c>
      <c r="I113" s="145" t="s">
        <v>965</v>
      </c>
      <c r="J113" s="145" t="s">
        <v>205</v>
      </c>
      <c r="K113" s="145" t="s">
        <v>224</v>
      </c>
      <c r="L113" s="145" t="s">
        <v>344</v>
      </c>
      <c r="M113" s="145" t="s">
        <v>708</v>
      </c>
      <c r="N113" s="145" t="s">
        <v>339</v>
      </c>
      <c r="O113" s="145" t="s">
        <v>1211</v>
      </c>
      <c r="P113" s="146">
        <v>4525</v>
      </c>
      <c r="Q113" s="146">
        <v>3.718</v>
      </c>
      <c r="R113" s="146">
        <v>9521</v>
      </c>
      <c r="S113" s="151"/>
      <c r="T113" s="146">
        <v>1601.808</v>
      </c>
      <c r="U113" s="148">
        <v>1.8000000000000001E-4</v>
      </c>
      <c r="V113" s="148">
        <v>7.4799999999999997E-3</v>
      </c>
      <c r="W113" s="149">
        <v>1.5200000000000001E-3</v>
      </c>
      <c r="X113" s="196"/>
    </row>
    <row r="114" spans="1:24" x14ac:dyDescent="0.2">
      <c r="A114" s="144" t="s">
        <v>1205</v>
      </c>
      <c r="B114" s="145" t="s">
        <v>1205</v>
      </c>
      <c r="C114" s="145" t="s">
        <v>2569</v>
      </c>
      <c r="D114" s="145" t="s">
        <v>2570</v>
      </c>
      <c r="E114" s="145" t="s">
        <v>313</v>
      </c>
      <c r="F114" s="145" t="s">
        <v>2569</v>
      </c>
      <c r="G114" s="145" t="s">
        <v>2571</v>
      </c>
      <c r="H114" s="145" t="s">
        <v>321</v>
      </c>
      <c r="I114" s="145" t="s">
        <v>965</v>
      </c>
      <c r="J114" s="145" t="s">
        <v>205</v>
      </c>
      <c r="K114" s="145" t="s">
        <v>224</v>
      </c>
      <c r="L114" s="145" t="s">
        <v>344</v>
      </c>
      <c r="M114" s="145" t="s">
        <v>735</v>
      </c>
      <c r="N114" s="145" t="s">
        <v>339</v>
      </c>
      <c r="O114" s="145" t="s">
        <v>1211</v>
      </c>
      <c r="P114" s="146">
        <v>21070</v>
      </c>
      <c r="Q114" s="146">
        <v>3.718</v>
      </c>
      <c r="R114" s="146">
        <v>1817.5</v>
      </c>
      <c r="S114" s="151"/>
      <c r="T114" s="146">
        <v>1423.798</v>
      </c>
      <c r="U114" s="148">
        <v>7.9000000000000001E-4</v>
      </c>
      <c r="V114" s="148">
        <v>6.6499999999999997E-3</v>
      </c>
      <c r="W114" s="149">
        <v>1.3500000000000001E-3</v>
      </c>
      <c r="X114" s="196"/>
    </row>
    <row r="115" spans="1:24" x14ac:dyDescent="0.2">
      <c r="A115" s="144" t="s">
        <v>1205</v>
      </c>
      <c r="B115" s="145" t="s">
        <v>1205</v>
      </c>
      <c r="C115" s="145" t="s">
        <v>2481</v>
      </c>
      <c r="D115" s="145" t="s">
        <v>2482</v>
      </c>
      <c r="E115" s="145" t="s">
        <v>313</v>
      </c>
      <c r="F115" s="145" t="s">
        <v>2488</v>
      </c>
      <c r="G115" s="145" t="s">
        <v>2489</v>
      </c>
      <c r="H115" s="145" t="s">
        <v>321</v>
      </c>
      <c r="I115" s="145" t="s">
        <v>965</v>
      </c>
      <c r="J115" s="145" t="s">
        <v>205</v>
      </c>
      <c r="K115" s="145" t="s">
        <v>224</v>
      </c>
      <c r="L115" s="145" t="s">
        <v>344</v>
      </c>
      <c r="M115" s="145" t="s">
        <v>708</v>
      </c>
      <c r="N115" s="145" t="s">
        <v>339</v>
      </c>
      <c r="O115" s="145" t="s">
        <v>1211</v>
      </c>
      <c r="P115" s="146">
        <v>4755</v>
      </c>
      <c r="Q115" s="146">
        <v>3.718</v>
      </c>
      <c r="R115" s="146">
        <v>6019</v>
      </c>
      <c r="S115" s="151"/>
      <c r="T115" s="146">
        <v>1064.104</v>
      </c>
      <c r="U115" s="148">
        <v>6.0000000000000002E-5</v>
      </c>
      <c r="V115" s="148">
        <v>4.9699999999999996E-3</v>
      </c>
      <c r="W115" s="149">
        <v>1.01E-3</v>
      </c>
      <c r="X115" s="196"/>
    </row>
    <row r="116" spans="1:24" x14ac:dyDescent="0.2">
      <c r="A116" s="144" t="s">
        <v>1205</v>
      </c>
      <c r="B116" s="145" t="s">
        <v>1205</v>
      </c>
      <c r="C116" s="145" t="s">
        <v>2498</v>
      </c>
      <c r="D116" s="145" t="s">
        <v>2499</v>
      </c>
      <c r="E116" s="145" t="s">
        <v>313</v>
      </c>
      <c r="F116" s="145" t="s">
        <v>2498</v>
      </c>
      <c r="G116" s="145" t="s">
        <v>2500</v>
      </c>
      <c r="H116" s="145" t="s">
        <v>321</v>
      </c>
      <c r="I116" s="145" t="s">
        <v>965</v>
      </c>
      <c r="J116" s="145" t="s">
        <v>205</v>
      </c>
      <c r="K116" s="145" t="s">
        <v>224</v>
      </c>
      <c r="L116" s="145" t="s">
        <v>344</v>
      </c>
      <c r="M116" s="145" t="s">
        <v>703</v>
      </c>
      <c r="N116" s="145" t="s">
        <v>339</v>
      </c>
      <c r="O116" s="145" t="s">
        <v>1211</v>
      </c>
      <c r="P116" s="146">
        <v>7814</v>
      </c>
      <c r="Q116" s="146">
        <v>3.718</v>
      </c>
      <c r="R116" s="146">
        <v>3046</v>
      </c>
      <c r="S116" s="151"/>
      <c r="T116" s="146">
        <v>884.93799999999999</v>
      </c>
      <c r="U116" s="148">
        <v>3.3E-4</v>
      </c>
      <c r="V116" s="148">
        <v>4.13E-3</v>
      </c>
      <c r="W116" s="149">
        <v>8.4000000000000003E-4</v>
      </c>
      <c r="X116" s="196"/>
    </row>
    <row r="117" spans="1:24" x14ac:dyDescent="0.2">
      <c r="A117" s="144" t="s">
        <v>1217</v>
      </c>
      <c r="B117" s="145" t="s">
        <v>1218</v>
      </c>
      <c r="C117" s="145" t="s">
        <v>2351</v>
      </c>
      <c r="D117" s="145" t="s">
        <v>2352</v>
      </c>
      <c r="E117" s="145" t="s">
        <v>309</v>
      </c>
      <c r="F117" s="145" t="s">
        <v>2353</v>
      </c>
      <c r="G117" s="145" t="s">
        <v>2354</v>
      </c>
      <c r="H117" s="145" t="s">
        <v>321</v>
      </c>
      <c r="I117" s="145" t="s">
        <v>966</v>
      </c>
      <c r="J117" s="145" t="s">
        <v>204</v>
      </c>
      <c r="K117" s="145" t="s">
        <v>204</v>
      </c>
      <c r="L117" s="145" t="s">
        <v>340</v>
      </c>
      <c r="M117" s="145" t="s">
        <v>576</v>
      </c>
      <c r="N117" s="145" t="s">
        <v>339</v>
      </c>
      <c r="O117" s="145" t="s">
        <v>1210</v>
      </c>
      <c r="P117" s="146">
        <v>12292637</v>
      </c>
      <c r="Q117" s="146">
        <v>1</v>
      </c>
      <c r="R117" s="146">
        <v>476</v>
      </c>
      <c r="S117" s="151"/>
      <c r="T117" s="146">
        <v>58512.951999999997</v>
      </c>
      <c r="U117" s="148">
        <v>0.30731999999999998</v>
      </c>
      <c r="V117" s="148">
        <v>7.3169999999999999E-2</v>
      </c>
      <c r="W117" s="149">
        <v>4.616E-2</v>
      </c>
      <c r="X117" s="196"/>
    </row>
    <row r="118" spans="1:24" x14ac:dyDescent="0.2">
      <c r="A118" s="144" t="s">
        <v>1217</v>
      </c>
      <c r="B118" s="145" t="s">
        <v>1218</v>
      </c>
      <c r="C118" s="145" t="s">
        <v>2347</v>
      </c>
      <c r="D118" s="145" t="s">
        <v>2348</v>
      </c>
      <c r="E118" s="145" t="s">
        <v>309</v>
      </c>
      <c r="F118" s="145" t="s">
        <v>2349</v>
      </c>
      <c r="G118" s="145" t="s">
        <v>2350</v>
      </c>
      <c r="H118" s="145" t="s">
        <v>321</v>
      </c>
      <c r="I118" s="145" t="s">
        <v>964</v>
      </c>
      <c r="J118" s="145" t="s">
        <v>204</v>
      </c>
      <c r="K118" s="145" t="s">
        <v>204</v>
      </c>
      <c r="L118" s="145" t="s">
        <v>340</v>
      </c>
      <c r="M118" s="145" t="s">
        <v>572</v>
      </c>
      <c r="N118" s="145" t="s">
        <v>339</v>
      </c>
      <c r="O118" s="145" t="s">
        <v>1210</v>
      </c>
      <c r="P118" s="146">
        <v>211423</v>
      </c>
      <c r="Q118" s="146">
        <v>1</v>
      </c>
      <c r="R118" s="146">
        <v>23790</v>
      </c>
      <c r="S118" s="151"/>
      <c r="T118" s="146">
        <v>50297.531999999999</v>
      </c>
      <c r="U118" s="148">
        <v>0.10068000000000001</v>
      </c>
      <c r="V118" s="148">
        <v>6.2899999999999998E-2</v>
      </c>
      <c r="W118" s="149">
        <v>3.968E-2</v>
      </c>
      <c r="X118" s="196"/>
    </row>
    <row r="119" spans="1:24" x14ac:dyDescent="0.2">
      <c r="A119" s="144" t="s">
        <v>1217</v>
      </c>
      <c r="B119" s="145" t="s">
        <v>1218</v>
      </c>
      <c r="C119" s="145" t="s">
        <v>2361</v>
      </c>
      <c r="D119" s="145" t="s">
        <v>2362</v>
      </c>
      <c r="E119" s="145" t="s">
        <v>309</v>
      </c>
      <c r="F119" s="145" t="s">
        <v>2363</v>
      </c>
      <c r="G119" s="145" t="s">
        <v>2364</v>
      </c>
      <c r="H119" s="145" t="s">
        <v>321</v>
      </c>
      <c r="I119" s="145" t="s">
        <v>964</v>
      </c>
      <c r="J119" s="145" t="s">
        <v>204</v>
      </c>
      <c r="K119" s="145" t="s">
        <v>204</v>
      </c>
      <c r="L119" s="145" t="s">
        <v>340</v>
      </c>
      <c r="M119" s="145" t="s">
        <v>572</v>
      </c>
      <c r="N119" s="145" t="s">
        <v>339</v>
      </c>
      <c r="O119" s="145" t="s">
        <v>1210</v>
      </c>
      <c r="P119" s="146">
        <v>2054221</v>
      </c>
      <c r="Q119" s="146">
        <v>1</v>
      </c>
      <c r="R119" s="146">
        <v>2388</v>
      </c>
      <c r="S119" s="151"/>
      <c r="T119" s="146">
        <v>49054.796999999999</v>
      </c>
      <c r="U119" s="148">
        <v>0.1007</v>
      </c>
      <c r="V119" s="148">
        <v>6.1350000000000002E-2</v>
      </c>
      <c r="W119" s="149">
        <v>3.8699999999999998E-2</v>
      </c>
      <c r="X119" s="196"/>
    </row>
    <row r="120" spans="1:24" x14ac:dyDescent="0.2">
      <c r="A120" s="144" t="s">
        <v>1217</v>
      </c>
      <c r="B120" s="145" t="s">
        <v>1218</v>
      </c>
      <c r="C120" s="145" t="s">
        <v>2343</v>
      </c>
      <c r="D120" s="145" t="s">
        <v>2344</v>
      </c>
      <c r="E120" s="145" t="s">
        <v>309</v>
      </c>
      <c r="F120" s="145" t="s">
        <v>2345</v>
      </c>
      <c r="G120" s="145" t="s">
        <v>2346</v>
      </c>
      <c r="H120" s="145" t="s">
        <v>321</v>
      </c>
      <c r="I120" s="145" t="s">
        <v>964</v>
      </c>
      <c r="J120" s="145" t="s">
        <v>204</v>
      </c>
      <c r="K120" s="145" t="s">
        <v>204</v>
      </c>
      <c r="L120" s="145" t="s">
        <v>340</v>
      </c>
      <c r="M120" s="145" t="s">
        <v>572</v>
      </c>
      <c r="N120" s="145" t="s">
        <v>339</v>
      </c>
      <c r="O120" s="145" t="s">
        <v>1210</v>
      </c>
      <c r="P120" s="146">
        <v>1769096</v>
      </c>
      <c r="Q120" s="146">
        <v>1</v>
      </c>
      <c r="R120" s="146">
        <v>2392</v>
      </c>
      <c r="S120" s="151"/>
      <c r="T120" s="146">
        <v>42316.775999999998</v>
      </c>
      <c r="U120" s="148">
        <v>9.3109999999999998E-2</v>
      </c>
      <c r="V120" s="148">
        <v>5.2920000000000002E-2</v>
      </c>
      <c r="W120" s="149">
        <v>3.338E-2</v>
      </c>
      <c r="X120" s="196"/>
    </row>
    <row r="121" spans="1:24" x14ac:dyDescent="0.2">
      <c r="A121" s="144" t="s">
        <v>1217</v>
      </c>
      <c r="B121" s="145" t="s">
        <v>1218</v>
      </c>
      <c r="C121" s="145" t="s">
        <v>2351</v>
      </c>
      <c r="D121" s="145" t="s">
        <v>2352</v>
      </c>
      <c r="E121" s="145" t="s">
        <v>309</v>
      </c>
      <c r="F121" s="145" t="s">
        <v>2357</v>
      </c>
      <c r="G121" s="145" t="s">
        <v>2358</v>
      </c>
      <c r="H121" s="145" t="s">
        <v>321</v>
      </c>
      <c r="I121" s="145" t="s">
        <v>966</v>
      </c>
      <c r="J121" s="145" t="s">
        <v>204</v>
      </c>
      <c r="K121" s="145" t="s">
        <v>204</v>
      </c>
      <c r="L121" s="145" t="s">
        <v>340</v>
      </c>
      <c r="M121" s="145" t="s">
        <v>632</v>
      </c>
      <c r="N121" s="145" t="s">
        <v>339</v>
      </c>
      <c r="O121" s="145" t="s">
        <v>1210</v>
      </c>
      <c r="P121" s="146">
        <v>8733682</v>
      </c>
      <c r="Q121" s="146">
        <v>1</v>
      </c>
      <c r="R121" s="146">
        <v>469.88</v>
      </c>
      <c r="S121" s="151"/>
      <c r="T121" s="146">
        <v>41037.824999999997</v>
      </c>
      <c r="U121" s="148">
        <v>0.24695</v>
      </c>
      <c r="V121" s="148">
        <v>5.1319999999999998E-2</v>
      </c>
      <c r="W121" s="149">
        <v>3.2370000000000003E-2</v>
      </c>
      <c r="X121" s="196"/>
    </row>
    <row r="122" spans="1:24" x14ac:dyDescent="0.2">
      <c r="A122" s="144" t="s">
        <v>1217</v>
      </c>
      <c r="B122" s="145" t="s">
        <v>1218</v>
      </c>
      <c r="C122" s="145" t="s">
        <v>2347</v>
      </c>
      <c r="D122" s="145" t="s">
        <v>2348</v>
      </c>
      <c r="E122" s="145" t="s">
        <v>309</v>
      </c>
      <c r="F122" s="145" t="s">
        <v>2367</v>
      </c>
      <c r="G122" s="145" t="s">
        <v>2368</v>
      </c>
      <c r="H122" s="145" t="s">
        <v>321</v>
      </c>
      <c r="I122" s="145" t="s">
        <v>966</v>
      </c>
      <c r="J122" s="145" t="s">
        <v>204</v>
      </c>
      <c r="K122" s="145" t="s">
        <v>204</v>
      </c>
      <c r="L122" s="145" t="s">
        <v>340</v>
      </c>
      <c r="M122" s="145" t="s">
        <v>576</v>
      </c>
      <c r="N122" s="145" t="s">
        <v>339</v>
      </c>
      <c r="O122" s="145" t="s">
        <v>1210</v>
      </c>
      <c r="P122" s="146">
        <v>29716498</v>
      </c>
      <c r="Q122" s="146">
        <v>1</v>
      </c>
      <c r="R122" s="146">
        <v>114</v>
      </c>
      <c r="S122" s="151"/>
      <c r="T122" s="146">
        <v>33876.807999999997</v>
      </c>
      <c r="U122" s="148">
        <v>7.4289999999999995E-2</v>
      </c>
      <c r="V122" s="148">
        <v>4.2360000000000002E-2</v>
      </c>
      <c r="W122" s="149">
        <v>2.673E-2</v>
      </c>
      <c r="X122" s="196"/>
    </row>
    <row r="123" spans="1:24" x14ac:dyDescent="0.2">
      <c r="A123" s="144" t="s">
        <v>1217</v>
      </c>
      <c r="B123" s="145" t="s">
        <v>1218</v>
      </c>
      <c r="C123" s="145" t="s">
        <v>2343</v>
      </c>
      <c r="D123" s="145" t="s">
        <v>2344</v>
      </c>
      <c r="E123" s="145" t="s">
        <v>309</v>
      </c>
      <c r="F123" s="145" t="s">
        <v>2355</v>
      </c>
      <c r="G123" s="145" t="s">
        <v>2356</v>
      </c>
      <c r="H123" s="145" t="s">
        <v>321</v>
      </c>
      <c r="I123" s="145" t="s">
        <v>966</v>
      </c>
      <c r="J123" s="145" t="s">
        <v>204</v>
      </c>
      <c r="K123" s="145" t="s">
        <v>204</v>
      </c>
      <c r="L123" s="145" t="s">
        <v>340</v>
      </c>
      <c r="M123" s="145" t="s">
        <v>576</v>
      </c>
      <c r="N123" s="145" t="s">
        <v>339</v>
      </c>
      <c r="O123" s="145" t="s">
        <v>1210</v>
      </c>
      <c r="P123" s="146">
        <v>8610742</v>
      </c>
      <c r="Q123" s="146">
        <v>1</v>
      </c>
      <c r="R123" s="146">
        <v>383.5</v>
      </c>
      <c r="S123" s="151"/>
      <c r="T123" s="146">
        <v>33022.196000000004</v>
      </c>
      <c r="U123" s="148">
        <v>6.7479999999999998E-2</v>
      </c>
      <c r="V123" s="148">
        <v>4.1300000000000003E-2</v>
      </c>
      <c r="W123" s="149">
        <v>2.605E-2</v>
      </c>
      <c r="X123" s="196"/>
    </row>
    <row r="124" spans="1:24" x14ac:dyDescent="0.2">
      <c r="A124" s="144" t="s">
        <v>1217</v>
      </c>
      <c r="B124" s="145" t="s">
        <v>1218</v>
      </c>
      <c r="C124" s="145" t="s">
        <v>2343</v>
      </c>
      <c r="D124" s="145" t="s">
        <v>2344</v>
      </c>
      <c r="E124" s="145" t="s">
        <v>309</v>
      </c>
      <c r="F124" s="145" t="s">
        <v>2369</v>
      </c>
      <c r="G124" s="145" t="s">
        <v>2370</v>
      </c>
      <c r="H124" s="145" t="s">
        <v>321</v>
      </c>
      <c r="I124" s="145" t="s">
        <v>966</v>
      </c>
      <c r="J124" s="145" t="s">
        <v>204</v>
      </c>
      <c r="K124" s="145" t="s">
        <v>204</v>
      </c>
      <c r="L124" s="145" t="s">
        <v>340</v>
      </c>
      <c r="M124" s="145" t="s">
        <v>632</v>
      </c>
      <c r="N124" s="145" t="s">
        <v>339</v>
      </c>
      <c r="O124" s="145" t="s">
        <v>1210</v>
      </c>
      <c r="P124" s="146">
        <v>7079847</v>
      </c>
      <c r="Q124" s="146">
        <v>1</v>
      </c>
      <c r="R124" s="146">
        <v>404.46</v>
      </c>
      <c r="S124" s="151"/>
      <c r="T124" s="146">
        <v>28635.149000000001</v>
      </c>
      <c r="U124" s="148">
        <v>9.4399999999999998E-2</v>
      </c>
      <c r="V124" s="148">
        <v>3.5810000000000002E-2</v>
      </c>
      <c r="W124" s="149">
        <v>2.2589999999999999E-2</v>
      </c>
      <c r="X124" s="196"/>
    </row>
    <row r="125" spans="1:24" x14ac:dyDescent="0.2">
      <c r="A125" s="144" t="s">
        <v>1217</v>
      </c>
      <c r="B125" s="145" t="s">
        <v>1218</v>
      </c>
      <c r="C125" s="145" t="s">
        <v>2351</v>
      </c>
      <c r="D125" s="145" t="s">
        <v>2352</v>
      </c>
      <c r="E125" s="145" t="s">
        <v>309</v>
      </c>
      <c r="F125" s="145" t="s">
        <v>2365</v>
      </c>
      <c r="G125" s="145" t="s">
        <v>2366</v>
      </c>
      <c r="H125" s="145" t="s">
        <v>321</v>
      </c>
      <c r="I125" s="145" t="s">
        <v>964</v>
      </c>
      <c r="J125" s="145" t="s">
        <v>204</v>
      </c>
      <c r="K125" s="145" t="s">
        <v>204</v>
      </c>
      <c r="L125" s="145" t="s">
        <v>340</v>
      </c>
      <c r="M125" s="145" t="s">
        <v>572</v>
      </c>
      <c r="N125" s="145" t="s">
        <v>339</v>
      </c>
      <c r="O125" s="145" t="s">
        <v>1210</v>
      </c>
      <c r="P125" s="146">
        <v>579073</v>
      </c>
      <c r="Q125" s="146">
        <v>1</v>
      </c>
      <c r="R125" s="146">
        <v>3756</v>
      </c>
      <c r="S125" s="151"/>
      <c r="T125" s="146">
        <v>21749.982</v>
      </c>
      <c r="U125" s="148">
        <v>6.4339999999999994E-2</v>
      </c>
      <c r="V125" s="148">
        <v>2.7199999999999998E-2</v>
      </c>
      <c r="W125" s="149">
        <v>1.7160000000000002E-2</v>
      </c>
      <c r="X125" s="196"/>
    </row>
    <row r="126" spans="1:24" x14ac:dyDescent="0.2">
      <c r="A126" s="144" t="s">
        <v>1217</v>
      </c>
      <c r="B126" s="145" t="s">
        <v>1218</v>
      </c>
      <c r="C126" s="145" t="s">
        <v>2343</v>
      </c>
      <c r="D126" s="145" t="s">
        <v>2344</v>
      </c>
      <c r="E126" s="145" t="s">
        <v>309</v>
      </c>
      <c r="F126" s="145" t="s">
        <v>2572</v>
      </c>
      <c r="G126" s="145" t="s">
        <v>2573</v>
      </c>
      <c r="H126" s="145" t="s">
        <v>321</v>
      </c>
      <c r="I126" s="145" t="s">
        <v>965</v>
      </c>
      <c r="J126" s="145" t="s">
        <v>204</v>
      </c>
      <c r="K126" s="145" t="s">
        <v>224</v>
      </c>
      <c r="L126" s="145" t="s">
        <v>340</v>
      </c>
      <c r="M126" s="145" t="s">
        <v>605</v>
      </c>
      <c r="N126" s="145" t="s">
        <v>339</v>
      </c>
      <c r="O126" s="145" t="s">
        <v>1210</v>
      </c>
      <c r="P126" s="146">
        <v>312782</v>
      </c>
      <c r="Q126" s="146">
        <v>1</v>
      </c>
      <c r="R126" s="146">
        <v>5366</v>
      </c>
      <c r="S126" s="151"/>
      <c r="T126" s="146">
        <v>16783.882000000001</v>
      </c>
      <c r="U126" s="148">
        <v>2.5699999999999998E-3</v>
      </c>
      <c r="V126" s="148">
        <v>2.0990000000000002E-2</v>
      </c>
      <c r="W126" s="149">
        <v>1.324E-2</v>
      </c>
      <c r="X126" s="196"/>
    </row>
    <row r="127" spans="1:24" x14ac:dyDescent="0.2">
      <c r="A127" s="144" t="s">
        <v>1217</v>
      </c>
      <c r="B127" s="145" t="s">
        <v>1218</v>
      </c>
      <c r="C127" s="145" t="s">
        <v>2347</v>
      </c>
      <c r="D127" s="145" t="s">
        <v>2348</v>
      </c>
      <c r="E127" s="145" t="s">
        <v>309</v>
      </c>
      <c r="F127" s="145" t="s">
        <v>2359</v>
      </c>
      <c r="G127" s="145" t="s">
        <v>2360</v>
      </c>
      <c r="H127" s="145" t="s">
        <v>321</v>
      </c>
      <c r="I127" s="145" t="s">
        <v>966</v>
      </c>
      <c r="J127" s="145" t="s">
        <v>204</v>
      </c>
      <c r="K127" s="145" t="s">
        <v>204</v>
      </c>
      <c r="L127" s="145" t="s">
        <v>340</v>
      </c>
      <c r="M127" s="145" t="s">
        <v>632</v>
      </c>
      <c r="N127" s="145" t="s">
        <v>339</v>
      </c>
      <c r="O127" s="145" t="s">
        <v>1210</v>
      </c>
      <c r="P127" s="146">
        <v>400716.07</v>
      </c>
      <c r="Q127" s="146">
        <v>1</v>
      </c>
      <c r="R127" s="146">
        <v>4032.21</v>
      </c>
      <c r="S127" s="151"/>
      <c r="T127" s="146">
        <v>16157.713</v>
      </c>
      <c r="U127" s="148">
        <v>4.5569999999999999E-2</v>
      </c>
      <c r="V127" s="148">
        <v>2.0209999999999999E-2</v>
      </c>
      <c r="W127" s="149">
        <v>1.2749999999999999E-2</v>
      </c>
      <c r="X127" s="196"/>
    </row>
    <row r="128" spans="1:24" x14ac:dyDescent="0.2">
      <c r="A128" s="144" t="s">
        <v>1217</v>
      </c>
      <c r="B128" s="145" t="s">
        <v>1218</v>
      </c>
      <c r="C128" s="145" t="s">
        <v>2347</v>
      </c>
      <c r="D128" s="145" t="s">
        <v>2348</v>
      </c>
      <c r="E128" s="145" t="s">
        <v>309</v>
      </c>
      <c r="F128" s="145" t="s">
        <v>2574</v>
      </c>
      <c r="G128" s="145" t="s">
        <v>2575</v>
      </c>
      <c r="H128" s="145" t="s">
        <v>321</v>
      </c>
      <c r="I128" s="145" t="s">
        <v>965</v>
      </c>
      <c r="J128" s="145" t="s">
        <v>204</v>
      </c>
      <c r="K128" s="145" t="s">
        <v>224</v>
      </c>
      <c r="L128" s="145" t="s">
        <v>340</v>
      </c>
      <c r="M128" s="145" t="s">
        <v>611</v>
      </c>
      <c r="N128" s="145" t="s">
        <v>339</v>
      </c>
      <c r="O128" s="145" t="s">
        <v>1210</v>
      </c>
      <c r="P128" s="146">
        <v>116274</v>
      </c>
      <c r="Q128" s="146">
        <v>1</v>
      </c>
      <c r="R128" s="146">
        <v>7918</v>
      </c>
      <c r="S128" s="151"/>
      <c r="T128" s="146">
        <v>9206.5750000000007</v>
      </c>
      <c r="U128" s="148">
        <v>8.3700000000000007E-3</v>
      </c>
      <c r="V128" s="148">
        <v>1.1509999999999999E-2</v>
      </c>
      <c r="W128" s="149">
        <v>7.26E-3</v>
      </c>
      <c r="X128" s="196"/>
    </row>
    <row r="129" spans="1:24" x14ac:dyDescent="0.2">
      <c r="A129" s="144" t="s">
        <v>1217</v>
      </c>
      <c r="B129" s="145" t="s">
        <v>1218</v>
      </c>
      <c r="C129" s="145" t="s">
        <v>2343</v>
      </c>
      <c r="D129" s="145" t="s">
        <v>2344</v>
      </c>
      <c r="E129" s="145" t="s">
        <v>309</v>
      </c>
      <c r="F129" s="145" t="s">
        <v>2576</v>
      </c>
      <c r="G129" s="145" t="s">
        <v>2577</v>
      </c>
      <c r="H129" s="145" t="s">
        <v>321</v>
      </c>
      <c r="I129" s="145" t="s">
        <v>965</v>
      </c>
      <c r="J129" s="145" t="s">
        <v>204</v>
      </c>
      <c r="K129" s="145" t="s">
        <v>224</v>
      </c>
      <c r="L129" s="145" t="s">
        <v>340</v>
      </c>
      <c r="M129" s="145" t="s">
        <v>597</v>
      </c>
      <c r="N129" s="145" t="s">
        <v>339</v>
      </c>
      <c r="O129" s="145" t="s">
        <v>1210</v>
      </c>
      <c r="P129" s="146">
        <v>106189</v>
      </c>
      <c r="Q129" s="146">
        <v>1</v>
      </c>
      <c r="R129" s="146">
        <v>7512</v>
      </c>
      <c r="S129" s="151"/>
      <c r="T129" s="146">
        <v>7976.9179999999997</v>
      </c>
      <c r="U129" s="148">
        <v>1.07E-3</v>
      </c>
      <c r="V129" s="148">
        <v>9.9799999999999993E-3</v>
      </c>
      <c r="W129" s="149">
        <v>6.2899999999999996E-3</v>
      </c>
      <c r="X129" s="196"/>
    </row>
    <row r="130" spans="1:24" x14ac:dyDescent="0.2">
      <c r="A130" s="144" t="s">
        <v>1217</v>
      </c>
      <c r="B130" s="145" t="s">
        <v>1218</v>
      </c>
      <c r="C130" s="145" t="s">
        <v>2347</v>
      </c>
      <c r="D130" s="145" t="s">
        <v>2348</v>
      </c>
      <c r="E130" s="145" t="s">
        <v>309</v>
      </c>
      <c r="F130" s="145" t="s">
        <v>2578</v>
      </c>
      <c r="G130" s="145" t="s">
        <v>2579</v>
      </c>
      <c r="H130" s="145" t="s">
        <v>321</v>
      </c>
      <c r="I130" s="145" t="s">
        <v>965</v>
      </c>
      <c r="J130" s="145" t="s">
        <v>204</v>
      </c>
      <c r="K130" s="145" t="s">
        <v>238</v>
      </c>
      <c r="L130" s="145" t="s">
        <v>340</v>
      </c>
      <c r="M130" s="145" t="s">
        <v>581</v>
      </c>
      <c r="N130" s="145" t="s">
        <v>339</v>
      </c>
      <c r="O130" s="145" t="s">
        <v>1210</v>
      </c>
      <c r="P130" s="146">
        <v>15393</v>
      </c>
      <c r="Q130" s="146">
        <v>1</v>
      </c>
      <c r="R130" s="146">
        <v>7710</v>
      </c>
      <c r="S130" s="151"/>
      <c r="T130" s="146">
        <v>1186.8</v>
      </c>
      <c r="U130" s="148">
        <v>1.09E-3</v>
      </c>
      <c r="V130" s="148">
        <v>1.48E-3</v>
      </c>
      <c r="W130" s="149">
        <v>9.3999999999999997E-4</v>
      </c>
      <c r="X130" s="196"/>
    </row>
    <row r="131" spans="1:24" x14ac:dyDescent="0.2">
      <c r="A131" s="144" t="s">
        <v>1217</v>
      </c>
      <c r="B131" s="145" t="s">
        <v>1218</v>
      </c>
      <c r="C131" s="145" t="s">
        <v>2343</v>
      </c>
      <c r="D131" s="145" t="s">
        <v>2344</v>
      </c>
      <c r="E131" s="145" t="s">
        <v>309</v>
      </c>
      <c r="F131" s="145" t="s">
        <v>2580</v>
      </c>
      <c r="G131" s="145" t="s">
        <v>2581</v>
      </c>
      <c r="H131" s="145" t="s">
        <v>321</v>
      </c>
      <c r="I131" s="145" t="s">
        <v>965</v>
      </c>
      <c r="J131" s="145" t="s">
        <v>204</v>
      </c>
      <c r="K131" s="145" t="s">
        <v>224</v>
      </c>
      <c r="L131" s="145" t="s">
        <v>340</v>
      </c>
      <c r="M131" s="145" t="s">
        <v>604</v>
      </c>
      <c r="N131" s="145" t="s">
        <v>339</v>
      </c>
      <c r="O131" s="145" t="s">
        <v>1210</v>
      </c>
      <c r="P131" s="146">
        <v>48542</v>
      </c>
      <c r="Q131" s="146">
        <v>1</v>
      </c>
      <c r="R131" s="146">
        <v>2404</v>
      </c>
      <c r="S131" s="151"/>
      <c r="T131" s="146">
        <v>1166.95</v>
      </c>
      <c r="U131" s="148">
        <v>1.2999999999999999E-4</v>
      </c>
      <c r="V131" s="148">
        <v>1.4599999999999999E-3</v>
      </c>
      <c r="W131" s="149">
        <v>9.2000000000000003E-4</v>
      </c>
      <c r="X131" s="196"/>
    </row>
    <row r="132" spans="1:24" x14ac:dyDescent="0.2">
      <c r="A132" s="144" t="s">
        <v>1217</v>
      </c>
      <c r="B132" s="145" t="s">
        <v>1218</v>
      </c>
      <c r="C132" s="145" t="s">
        <v>2343</v>
      </c>
      <c r="D132" s="145" t="s">
        <v>2344</v>
      </c>
      <c r="E132" s="145" t="s">
        <v>309</v>
      </c>
      <c r="F132" s="145" t="s">
        <v>2371</v>
      </c>
      <c r="G132" s="145" t="s">
        <v>2372</v>
      </c>
      <c r="H132" s="145" t="s">
        <v>321</v>
      </c>
      <c r="I132" s="145" t="s">
        <v>964</v>
      </c>
      <c r="J132" s="145" t="s">
        <v>204</v>
      </c>
      <c r="K132" s="145" t="s">
        <v>204</v>
      </c>
      <c r="L132" s="145" t="s">
        <v>340</v>
      </c>
      <c r="M132" s="145" t="s">
        <v>593</v>
      </c>
      <c r="N132" s="145" t="s">
        <v>339</v>
      </c>
      <c r="O132" s="145" t="s">
        <v>1210</v>
      </c>
      <c r="P132" s="146">
        <v>26603</v>
      </c>
      <c r="Q132" s="146">
        <v>1</v>
      </c>
      <c r="R132" s="146">
        <v>2407</v>
      </c>
      <c r="S132" s="151"/>
      <c r="T132" s="146">
        <v>640.33399999999995</v>
      </c>
      <c r="U132" s="148">
        <v>1.6800000000000001E-3</v>
      </c>
      <c r="V132" s="148">
        <v>8.0000000000000004E-4</v>
      </c>
      <c r="W132" s="149">
        <v>5.1000000000000004E-4</v>
      </c>
      <c r="X132" s="196"/>
    </row>
    <row r="133" spans="1:24" x14ac:dyDescent="0.2">
      <c r="A133" s="144" t="s">
        <v>1217</v>
      </c>
      <c r="B133" s="145" t="s">
        <v>1218</v>
      </c>
      <c r="C133" s="145" t="s">
        <v>2347</v>
      </c>
      <c r="D133" s="145" t="s">
        <v>2348</v>
      </c>
      <c r="E133" s="145" t="s">
        <v>309</v>
      </c>
      <c r="F133" s="145" t="s">
        <v>2582</v>
      </c>
      <c r="G133" s="145" t="s">
        <v>2583</v>
      </c>
      <c r="H133" s="145" t="s">
        <v>321</v>
      </c>
      <c r="I133" s="145" t="s">
        <v>965</v>
      </c>
      <c r="J133" s="145" t="s">
        <v>204</v>
      </c>
      <c r="K133" s="145" t="s">
        <v>232</v>
      </c>
      <c r="L133" s="145" t="s">
        <v>340</v>
      </c>
      <c r="M133" s="145" t="s">
        <v>591</v>
      </c>
      <c r="N133" s="145" t="s">
        <v>339</v>
      </c>
      <c r="O133" s="145" t="s">
        <v>1210</v>
      </c>
      <c r="P133" s="146">
        <v>8141</v>
      </c>
      <c r="Q133" s="146">
        <v>1</v>
      </c>
      <c r="R133" s="146">
        <v>7176</v>
      </c>
      <c r="S133" s="151"/>
      <c r="T133" s="146">
        <v>584.19799999999998</v>
      </c>
      <c r="U133" s="148">
        <v>1.07E-3</v>
      </c>
      <c r="V133" s="148">
        <v>7.2999999999999996E-4</v>
      </c>
      <c r="W133" s="149">
        <v>4.6000000000000001E-4</v>
      </c>
      <c r="X133" s="196"/>
    </row>
    <row r="134" spans="1:24" x14ac:dyDescent="0.2">
      <c r="A134" s="144" t="s">
        <v>1217</v>
      </c>
      <c r="B134" s="145" t="s">
        <v>1218</v>
      </c>
      <c r="C134" s="145" t="s">
        <v>2373</v>
      </c>
      <c r="D134" s="145" t="s">
        <v>2374</v>
      </c>
      <c r="E134" s="145" t="s">
        <v>313</v>
      </c>
      <c r="F134" s="145" t="s">
        <v>2375</v>
      </c>
      <c r="G134" s="145" t="s">
        <v>2376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604</v>
      </c>
      <c r="N134" s="145" t="s">
        <v>339</v>
      </c>
      <c r="O134" s="145" t="s">
        <v>1211</v>
      </c>
      <c r="P134" s="146">
        <v>45109</v>
      </c>
      <c r="Q134" s="146">
        <v>3.718</v>
      </c>
      <c r="R134" s="146">
        <v>55939</v>
      </c>
      <c r="S134" s="146">
        <v>76.483000000000004</v>
      </c>
      <c r="T134" s="146">
        <v>94102.604999999996</v>
      </c>
      <c r="U134" s="148">
        <v>4.0000000000000003E-5</v>
      </c>
      <c r="V134" s="148">
        <v>0.11778</v>
      </c>
      <c r="W134" s="149">
        <v>7.4300000000000005E-2</v>
      </c>
      <c r="X134" s="196"/>
    </row>
    <row r="135" spans="1:24" x14ac:dyDescent="0.2">
      <c r="A135" s="144" t="s">
        <v>1217</v>
      </c>
      <c r="B135" s="145" t="s">
        <v>1218</v>
      </c>
      <c r="C135" s="145" t="s">
        <v>2377</v>
      </c>
      <c r="D135" s="145" t="s">
        <v>2378</v>
      </c>
      <c r="E135" s="145" t="s">
        <v>313</v>
      </c>
      <c r="F135" s="145" t="s">
        <v>2377</v>
      </c>
      <c r="G135" s="145" t="s">
        <v>2379</v>
      </c>
      <c r="H135" s="145" t="s">
        <v>321</v>
      </c>
      <c r="I135" s="145" t="s">
        <v>965</v>
      </c>
      <c r="J135" s="145" t="s">
        <v>205</v>
      </c>
      <c r="K135" s="145" t="s">
        <v>224</v>
      </c>
      <c r="L135" s="145" t="s">
        <v>344</v>
      </c>
      <c r="M135" s="145" t="s">
        <v>604</v>
      </c>
      <c r="N135" s="145" t="s">
        <v>339</v>
      </c>
      <c r="O135" s="145" t="s">
        <v>1211</v>
      </c>
      <c r="P135" s="146">
        <v>42731</v>
      </c>
      <c r="Q135" s="146">
        <v>3.718</v>
      </c>
      <c r="R135" s="146">
        <v>51391</v>
      </c>
      <c r="S135" s="146">
        <v>77.433000000000007</v>
      </c>
      <c r="T135" s="146">
        <v>81934.759999999995</v>
      </c>
      <c r="U135" s="148">
        <v>4.0000000000000003E-5</v>
      </c>
      <c r="V135" s="148">
        <v>0.10256</v>
      </c>
      <c r="W135" s="149">
        <v>6.4699999999999994E-2</v>
      </c>
      <c r="X135" s="196"/>
    </row>
    <row r="136" spans="1:24" x14ac:dyDescent="0.2">
      <c r="A136" s="144" t="s">
        <v>1217</v>
      </c>
      <c r="B136" s="145" t="s">
        <v>1218</v>
      </c>
      <c r="C136" s="145" t="s">
        <v>2380</v>
      </c>
      <c r="D136" s="145" t="s">
        <v>2381</v>
      </c>
      <c r="E136" s="145" t="s">
        <v>313</v>
      </c>
      <c r="F136" s="145" t="s">
        <v>2382</v>
      </c>
      <c r="G136" s="145" t="s">
        <v>2383</v>
      </c>
      <c r="H136" s="145" t="s">
        <v>321</v>
      </c>
      <c r="I136" s="145" t="s">
        <v>965</v>
      </c>
      <c r="J136" s="145" t="s">
        <v>205</v>
      </c>
      <c r="K136" s="145" t="s">
        <v>224</v>
      </c>
      <c r="L136" s="145" t="s">
        <v>344</v>
      </c>
      <c r="M136" s="145" t="s">
        <v>597</v>
      </c>
      <c r="N136" s="145" t="s">
        <v>339</v>
      </c>
      <c r="O136" s="145" t="s">
        <v>1211</v>
      </c>
      <c r="P136" s="146">
        <v>28547</v>
      </c>
      <c r="Q136" s="146">
        <v>3.718</v>
      </c>
      <c r="R136" s="146">
        <v>46892</v>
      </c>
      <c r="S136" s="146">
        <v>20.431000000000001</v>
      </c>
      <c r="T136" s="146">
        <v>49846.076000000001</v>
      </c>
      <c r="U136" s="148">
        <v>5.0000000000000002E-5</v>
      </c>
      <c r="V136" s="148">
        <v>6.2359999999999999E-2</v>
      </c>
      <c r="W136" s="149">
        <v>3.934E-2</v>
      </c>
      <c r="X136" s="196"/>
    </row>
    <row r="137" spans="1:24" x14ac:dyDescent="0.2">
      <c r="A137" s="144" t="s">
        <v>1217</v>
      </c>
      <c r="B137" s="145" t="s">
        <v>1218</v>
      </c>
      <c r="C137" s="145" t="s">
        <v>2394</v>
      </c>
      <c r="D137" s="145" t="s">
        <v>2395</v>
      </c>
      <c r="E137" s="145" t="s">
        <v>313</v>
      </c>
      <c r="F137" s="145" t="s">
        <v>2394</v>
      </c>
      <c r="G137" s="145" t="s">
        <v>2396</v>
      </c>
      <c r="H137" s="145" t="s">
        <v>321</v>
      </c>
      <c r="I137" s="145" t="s">
        <v>967</v>
      </c>
      <c r="J137" s="145" t="s">
        <v>205</v>
      </c>
      <c r="K137" s="145" t="s">
        <v>224</v>
      </c>
      <c r="L137" s="145" t="s">
        <v>380</v>
      </c>
      <c r="M137" s="145" t="s">
        <v>592</v>
      </c>
      <c r="N137" s="145" t="s">
        <v>339</v>
      </c>
      <c r="O137" s="145" t="s">
        <v>1211</v>
      </c>
      <c r="P137" s="146">
        <v>716870</v>
      </c>
      <c r="Q137" s="146">
        <v>3.718</v>
      </c>
      <c r="R137" s="146">
        <v>597.45000000000005</v>
      </c>
      <c r="S137" s="151"/>
      <c r="T137" s="146">
        <v>15923.97</v>
      </c>
      <c r="U137" s="148">
        <v>1.07E-3</v>
      </c>
      <c r="V137" s="148">
        <v>1.9910000000000001E-2</v>
      </c>
      <c r="W137" s="149">
        <v>1.256E-2</v>
      </c>
      <c r="X137" s="196"/>
    </row>
    <row r="138" spans="1:24" x14ac:dyDescent="0.2">
      <c r="A138" s="144" t="s">
        <v>1217</v>
      </c>
      <c r="B138" s="145" t="s">
        <v>1218</v>
      </c>
      <c r="C138" s="145" t="s">
        <v>2391</v>
      </c>
      <c r="D138" s="145" t="s">
        <v>2392</v>
      </c>
      <c r="E138" s="145" t="s">
        <v>313</v>
      </c>
      <c r="F138" s="145" t="s">
        <v>2391</v>
      </c>
      <c r="G138" s="145" t="s">
        <v>2393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344</v>
      </c>
      <c r="M138" s="145" t="s">
        <v>586</v>
      </c>
      <c r="N138" s="145" t="s">
        <v>339</v>
      </c>
      <c r="O138" s="145" t="s">
        <v>1211</v>
      </c>
      <c r="P138" s="146">
        <v>76454</v>
      </c>
      <c r="Q138" s="146">
        <v>3.718</v>
      </c>
      <c r="R138" s="146">
        <v>4981</v>
      </c>
      <c r="S138" s="151"/>
      <c r="T138" s="146">
        <v>14158.79</v>
      </c>
      <c r="U138" s="148">
        <v>8.0000000000000007E-5</v>
      </c>
      <c r="V138" s="148">
        <v>1.771E-2</v>
      </c>
      <c r="W138" s="149">
        <v>1.1169999999999999E-2</v>
      </c>
      <c r="X138" s="196"/>
    </row>
    <row r="139" spans="1:24" x14ac:dyDescent="0.2">
      <c r="A139" s="144" t="s">
        <v>1217</v>
      </c>
      <c r="B139" s="145" t="s">
        <v>1218</v>
      </c>
      <c r="C139" s="145" t="s">
        <v>2384</v>
      </c>
      <c r="D139" s="145" t="s">
        <v>2385</v>
      </c>
      <c r="E139" s="145" t="s">
        <v>313</v>
      </c>
      <c r="F139" s="145" t="s">
        <v>2386</v>
      </c>
      <c r="G139" s="145" t="s">
        <v>2387</v>
      </c>
      <c r="H139" s="145" t="s">
        <v>321</v>
      </c>
      <c r="I139" s="145" t="s">
        <v>965</v>
      </c>
      <c r="J139" s="145" t="s">
        <v>205</v>
      </c>
      <c r="K139" s="145" t="s">
        <v>224</v>
      </c>
      <c r="L139" s="145" t="s">
        <v>344</v>
      </c>
      <c r="M139" s="145" t="s">
        <v>604</v>
      </c>
      <c r="N139" s="145" t="s">
        <v>339</v>
      </c>
      <c r="O139" s="145" t="s">
        <v>1211</v>
      </c>
      <c r="P139" s="146">
        <v>19251</v>
      </c>
      <c r="Q139" s="146">
        <v>3.718</v>
      </c>
      <c r="R139" s="146">
        <v>17323</v>
      </c>
      <c r="S139" s="151"/>
      <c r="T139" s="146">
        <v>12398.975</v>
      </c>
      <c r="U139" s="148">
        <v>5.0000000000000002E-5</v>
      </c>
      <c r="V139" s="148">
        <v>1.5509999999999999E-2</v>
      </c>
      <c r="W139" s="149">
        <v>9.7800000000000005E-3</v>
      </c>
      <c r="X139" s="196"/>
    </row>
    <row r="140" spans="1:24" x14ac:dyDescent="0.2">
      <c r="A140" s="144" t="s">
        <v>1217</v>
      </c>
      <c r="B140" s="145" t="s">
        <v>1218</v>
      </c>
      <c r="C140" s="145" t="s">
        <v>2397</v>
      </c>
      <c r="D140" s="145" t="s">
        <v>2398</v>
      </c>
      <c r="E140" s="145" t="s">
        <v>313</v>
      </c>
      <c r="F140" s="145" t="s">
        <v>2397</v>
      </c>
      <c r="G140" s="145" t="s">
        <v>2399</v>
      </c>
      <c r="H140" s="145" t="s">
        <v>321</v>
      </c>
      <c r="I140" s="145" t="s">
        <v>965</v>
      </c>
      <c r="J140" s="145" t="s">
        <v>205</v>
      </c>
      <c r="K140" s="145" t="s">
        <v>224</v>
      </c>
      <c r="L140" s="145" t="s">
        <v>344</v>
      </c>
      <c r="M140" s="145" t="s">
        <v>596</v>
      </c>
      <c r="N140" s="145" t="s">
        <v>339</v>
      </c>
      <c r="O140" s="145" t="s">
        <v>1211</v>
      </c>
      <c r="P140" s="146">
        <v>102099</v>
      </c>
      <c r="Q140" s="146">
        <v>3.718</v>
      </c>
      <c r="R140" s="146">
        <v>3087</v>
      </c>
      <c r="S140" s="151"/>
      <c r="T140" s="146">
        <v>11718.378000000001</v>
      </c>
      <c r="U140" s="148">
        <v>8.7000000000000001E-4</v>
      </c>
      <c r="V140" s="148">
        <v>1.465E-2</v>
      </c>
      <c r="W140" s="149">
        <v>9.2399999999999999E-3</v>
      </c>
      <c r="X140" s="196"/>
    </row>
    <row r="141" spans="1:24" x14ac:dyDescent="0.2">
      <c r="A141" s="144" t="s">
        <v>1217</v>
      </c>
      <c r="B141" s="145" t="s">
        <v>1218</v>
      </c>
      <c r="C141" s="145" t="s">
        <v>2403</v>
      </c>
      <c r="D141" s="145" t="s">
        <v>2404</v>
      </c>
      <c r="E141" s="145" t="s">
        <v>313</v>
      </c>
      <c r="F141" s="145" t="s">
        <v>2405</v>
      </c>
      <c r="G141" s="145" t="s">
        <v>2406</v>
      </c>
      <c r="H141" s="145" t="s">
        <v>321</v>
      </c>
      <c r="I141" s="145" t="s">
        <v>965</v>
      </c>
      <c r="J141" s="145" t="s">
        <v>205</v>
      </c>
      <c r="K141" s="145" t="s">
        <v>224</v>
      </c>
      <c r="L141" s="145" t="s">
        <v>344</v>
      </c>
      <c r="M141" s="145" t="s">
        <v>583</v>
      </c>
      <c r="N141" s="145" t="s">
        <v>339</v>
      </c>
      <c r="O141" s="145" t="s">
        <v>1211</v>
      </c>
      <c r="P141" s="146">
        <v>18114</v>
      </c>
      <c r="Q141" s="146">
        <v>3.718</v>
      </c>
      <c r="R141" s="146">
        <v>13107</v>
      </c>
      <c r="S141" s="151"/>
      <c r="T141" s="146">
        <v>8827.2829999999994</v>
      </c>
      <c r="U141" s="148">
        <v>1.2E-4</v>
      </c>
      <c r="V141" s="148">
        <v>1.1039999999999999E-2</v>
      </c>
      <c r="W141" s="149">
        <v>6.96E-3</v>
      </c>
      <c r="X141" s="196"/>
    </row>
    <row r="142" spans="1:24" x14ac:dyDescent="0.2">
      <c r="A142" s="144" t="s">
        <v>1217</v>
      </c>
      <c r="B142" s="145" t="s">
        <v>1218</v>
      </c>
      <c r="C142" s="145" t="s">
        <v>2400</v>
      </c>
      <c r="D142" s="145" t="s">
        <v>2401</v>
      </c>
      <c r="E142" s="145" t="s">
        <v>313</v>
      </c>
      <c r="F142" s="145" t="s">
        <v>2400</v>
      </c>
      <c r="G142" s="145" t="s">
        <v>2402</v>
      </c>
      <c r="H142" s="145" t="s">
        <v>321</v>
      </c>
      <c r="I142" s="145" t="s">
        <v>965</v>
      </c>
      <c r="J142" s="145" t="s">
        <v>205</v>
      </c>
      <c r="K142" s="145" t="s">
        <v>268</v>
      </c>
      <c r="L142" s="145" t="s">
        <v>344</v>
      </c>
      <c r="M142" s="145" t="s">
        <v>707</v>
      </c>
      <c r="N142" s="145" t="s">
        <v>339</v>
      </c>
      <c r="O142" s="145" t="s">
        <v>1211</v>
      </c>
      <c r="P142" s="146">
        <v>27415</v>
      </c>
      <c r="Q142" s="146">
        <v>3.718</v>
      </c>
      <c r="R142" s="146">
        <v>7400</v>
      </c>
      <c r="S142" s="151"/>
      <c r="T142" s="146">
        <v>7542.7439999999997</v>
      </c>
      <c r="U142" s="148">
        <v>6.8999999999999997E-4</v>
      </c>
      <c r="V142" s="148">
        <v>9.4299999999999991E-3</v>
      </c>
      <c r="W142" s="149">
        <v>5.9500000000000004E-3</v>
      </c>
      <c r="X142" s="196"/>
    </row>
    <row r="143" spans="1:24" x14ac:dyDescent="0.2">
      <c r="A143" s="144" t="s">
        <v>1217</v>
      </c>
      <c r="B143" s="145" t="s">
        <v>1218</v>
      </c>
      <c r="C143" s="145" t="s">
        <v>2413</v>
      </c>
      <c r="D143" s="145" t="s">
        <v>2414</v>
      </c>
      <c r="E143" s="145" t="s">
        <v>313</v>
      </c>
      <c r="F143" s="145" t="s">
        <v>2415</v>
      </c>
      <c r="G143" s="145" t="s">
        <v>2416</v>
      </c>
      <c r="H143" s="145" t="s">
        <v>321</v>
      </c>
      <c r="I143" s="145" t="s">
        <v>965</v>
      </c>
      <c r="J143" s="145" t="s">
        <v>205</v>
      </c>
      <c r="K143" s="145" t="s">
        <v>224</v>
      </c>
      <c r="L143" s="145" t="s">
        <v>344</v>
      </c>
      <c r="M143" s="145" t="s">
        <v>708</v>
      </c>
      <c r="N143" s="145" t="s">
        <v>339</v>
      </c>
      <c r="O143" s="145" t="s">
        <v>1211</v>
      </c>
      <c r="P143" s="146">
        <v>4817</v>
      </c>
      <c r="Q143" s="146">
        <v>3.718</v>
      </c>
      <c r="R143" s="146">
        <v>41988</v>
      </c>
      <c r="S143" s="146">
        <v>3.8570000000000002</v>
      </c>
      <c r="T143" s="146">
        <v>7534.2259999999997</v>
      </c>
      <c r="U143" s="148">
        <v>5.0000000000000002E-5</v>
      </c>
      <c r="V143" s="148">
        <v>9.4299999999999991E-3</v>
      </c>
      <c r="W143" s="149">
        <v>5.9500000000000004E-3</v>
      </c>
      <c r="X143" s="196"/>
    </row>
    <row r="144" spans="1:24" x14ac:dyDescent="0.2">
      <c r="A144" s="144" t="s">
        <v>1217</v>
      </c>
      <c r="B144" s="145" t="s">
        <v>1218</v>
      </c>
      <c r="C144" s="145" t="s">
        <v>2388</v>
      </c>
      <c r="D144" s="145" t="s">
        <v>2389</v>
      </c>
      <c r="E144" s="145" t="s">
        <v>313</v>
      </c>
      <c r="F144" s="145" t="s">
        <v>2388</v>
      </c>
      <c r="G144" s="145" t="s">
        <v>2390</v>
      </c>
      <c r="H144" s="145" t="s">
        <v>321</v>
      </c>
      <c r="I144" s="145" t="s">
        <v>965</v>
      </c>
      <c r="J144" s="145" t="s">
        <v>205</v>
      </c>
      <c r="K144" s="145" t="s">
        <v>224</v>
      </c>
      <c r="L144" s="145" t="s">
        <v>344</v>
      </c>
      <c r="M144" s="145" t="s">
        <v>611</v>
      </c>
      <c r="N144" s="145" t="s">
        <v>339</v>
      </c>
      <c r="O144" s="145" t="s">
        <v>1211</v>
      </c>
      <c r="P144" s="146">
        <v>8873</v>
      </c>
      <c r="Q144" s="146">
        <v>3.718</v>
      </c>
      <c r="R144" s="146">
        <v>20648</v>
      </c>
      <c r="S144" s="151"/>
      <c r="T144" s="146">
        <v>6811.7370000000001</v>
      </c>
      <c r="U144" s="148">
        <v>3.0000000000000001E-5</v>
      </c>
      <c r="V144" s="148">
        <v>8.5199999999999998E-3</v>
      </c>
      <c r="W144" s="149">
        <v>5.3699999999999998E-3</v>
      </c>
      <c r="X144" s="196"/>
    </row>
    <row r="145" spans="1:24" x14ac:dyDescent="0.2">
      <c r="A145" s="144" t="s">
        <v>1217</v>
      </c>
      <c r="B145" s="145" t="s">
        <v>1218</v>
      </c>
      <c r="C145" s="145" t="s">
        <v>2410</v>
      </c>
      <c r="D145" s="145" t="s">
        <v>2411</v>
      </c>
      <c r="E145" s="145" t="s">
        <v>313</v>
      </c>
      <c r="F145" s="145" t="s">
        <v>2410</v>
      </c>
      <c r="G145" s="145" t="s">
        <v>2412</v>
      </c>
      <c r="H145" s="145" t="s">
        <v>321</v>
      </c>
      <c r="I145" s="145" t="s">
        <v>965</v>
      </c>
      <c r="J145" s="145" t="s">
        <v>205</v>
      </c>
      <c r="K145" s="145" t="s">
        <v>251</v>
      </c>
      <c r="L145" s="145" t="s">
        <v>344</v>
      </c>
      <c r="M145" s="145" t="s">
        <v>599</v>
      </c>
      <c r="N145" s="145" t="s">
        <v>339</v>
      </c>
      <c r="O145" s="145" t="s">
        <v>1211</v>
      </c>
      <c r="P145" s="146">
        <v>23277</v>
      </c>
      <c r="Q145" s="146">
        <v>3.718</v>
      </c>
      <c r="R145" s="146">
        <v>6856</v>
      </c>
      <c r="S145" s="151"/>
      <c r="T145" s="146">
        <v>5933.4489999999996</v>
      </c>
      <c r="U145" s="148">
        <v>1.2E-4</v>
      </c>
      <c r="V145" s="148">
        <v>7.4200000000000004E-3</v>
      </c>
      <c r="W145" s="149">
        <v>4.6800000000000001E-3</v>
      </c>
      <c r="X145" s="196"/>
    </row>
    <row r="146" spans="1:24" x14ac:dyDescent="0.2">
      <c r="A146" s="144" t="s">
        <v>1217</v>
      </c>
      <c r="B146" s="145" t="s">
        <v>1218</v>
      </c>
      <c r="C146" s="145" t="s">
        <v>2421</v>
      </c>
      <c r="D146" s="145" t="s">
        <v>2422</v>
      </c>
      <c r="E146" s="145" t="s">
        <v>313</v>
      </c>
      <c r="F146" s="145" t="s">
        <v>2423</v>
      </c>
      <c r="G146" s="145" t="s">
        <v>2424</v>
      </c>
      <c r="H146" s="145" t="s">
        <v>321</v>
      </c>
      <c r="I146" s="145" t="s">
        <v>965</v>
      </c>
      <c r="J146" s="145" t="s">
        <v>205</v>
      </c>
      <c r="K146" s="145" t="s">
        <v>224</v>
      </c>
      <c r="L146" s="145" t="s">
        <v>344</v>
      </c>
      <c r="M146" s="145" t="s">
        <v>580</v>
      </c>
      <c r="N146" s="145" t="s">
        <v>339</v>
      </c>
      <c r="O146" s="145" t="s">
        <v>1211</v>
      </c>
      <c r="P146" s="146">
        <v>32661</v>
      </c>
      <c r="Q146" s="146">
        <v>3.718</v>
      </c>
      <c r="R146" s="146">
        <v>4371</v>
      </c>
      <c r="S146" s="151"/>
      <c r="T146" s="146">
        <v>5307.8630000000003</v>
      </c>
      <c r="U146" s="148">
        <v>4.4000000000000002E-4</v>
      </c>
      <c r="V146" s="148">
        <v>6.6400000000000001E-3</v>
      </c>
      <c r="W146" s="149">
        <v>4.1900000000000001E-3</v>
      </c>
      <c r="X146" s="196"/>
    </row>
    <row r="147" spans="1:24" x14ac:dyDescent="0.2">
      <c r="A147" s="144" t="s">
        <v>1217</v>
      </c>
      <c r="B147" s="145" t="s">
        <v>1218</v>
      </c>
      <c r="C147" s="145" t="s">
        <v>2429</v>
      </c>
      <c r="D147" s="145" t="s">
        <v>2430</v>
      </c>
      <c r="E147" s="145" t="s">
        <v>313</v>
      </c>
      <c r="F147" s="145" t="s">
        <v>2429</v>
      </c>
      <c r="G147" s="145" t="s">
        <v>2431</v>
      </c>
      <c r="H147" s="145" t="s">
        <v>321</v>
      </c>
      <c r="I147" s="145" t="s">
        <v>965</v>
      </c>
      <c r="J147" s="145" t="s">
        <v>205</v>
      </c>
      <c r="K147" s="145" t="s">
        <v>268</v>
      </c>
      <c r="L147" s="145" t="s">
        <v>344</v>
      </c>
      <c r="M147" s="145" t="s">
        <v>588</v>
      </c>
      <c r="N147" s="145" t="s">
        <v>339</v>
      </c>
      <c r="O147" s="145" t="s">
        <v>1211</v>
      </c>
      <c r="P147" s="146">
        <v>38696</v>
      </c>
      <c r="Q147" s="146">
        <v>3.718</v>
      </c>
      <c r="R147" s="146">
        <v>3491</v>
      </c>
      <c r="S147" s="151"/>
      <c r="T147" s="146">
        <v>5022.5619999999999</v>
      </c>
      <c r="U147" s="148">
        <v>2.1000000000000001E-4</v>
      </c>
      <c r="V147" s="148">
        <v>6.28E-3</v>
      </c>
      <c r="W147" s="149">
        <v>3.96E-3</v>
      </c>
      <c r="X147" s="196"/>
    </row>
    <row r="148" spans="1:24" x14ac:dyDescent="0.2">
      <c r="A148" s="144" t="s">
        <v>1217</v>
      </c>
      <c r="B148" s="145" t="s">
        <v>1218</v>
      </c>
      <c r="C148" s="145" t="s">
        <v>2425</v>
      </c>
      <c r="D148" s="145" t="s">
        <v>2426</v>
      </c>
      <c r="E148" s="145" t="s">
        <v>313</v>
      </c>
      <c r="F148" s="145" t="s">
        <v>2427</v>
      </c>
      <c r="G148" s="145" t="s">
        <v>2428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344</v>
      </c>
      <c r="M148" s="145" t="s">
        <v>612</v>
      </c>
      <c r="N148" s="145" t="s">
        <v>339</v>
      </c>
      <c r="O148" s="145" t="s">
        <v>1211</v>
      </c>
      <c r="P148" s="146">
        <v>14280</v>
      </c>
      <c r="Q148" s="146">
        <v>3.718</v>
      </c>
      <c r="R148" s="146">
        <v>8899</v>
      </c>
      <c r="S148" s="151"/>
      <c r="T148" s="146">
        <v>4724.75</v>
      </c>
      <c r="U148" s="148">
        <v>1.4999999999999999E-4</v>
      </c>
      <c r="V148" s="148">
        <v>5.9100000000000003E-3</v>
      </c>
      <c r="W148" s="149">
        <v>3.7299999999999998E-3</v>
      </c>
      <c r="X148" s="196"/>
    </row>
    <row r="149" spans="1:24" x14ac:dyDescent="0.2">
      <c r="A149" s="144" t="s">
        <v>1217</v>
      </c>
      <c r="B149" s="145" t="s">
        <v>1218</v>
      </c>
      <c r="C149" s="145" t="s">
        <v>2439</v>
      </c>
      <c r="D149" s="145" t="s">
        <v>2440</v>
      </c>
      <c r="E149" s="145" t="s">
        <v>313</v>
      </c>
      <c r="F149" s="145" t="s">
        <v>2441</v>
      </c>
      <c r="G149" s="145" t="s">
        <v>2442</v>
      </c>
      <c r="H149" s="145" t="s">
        <v>321</v>
      </c>
      <c r="I149" s="145" t="s">
        <v>965</v>
      </c>
      <c r="J149" s="145" t="s">
        <v>205</v>
      </c>
      <c r="K149" s="145" t="s">
        <v>224</v>
      </c>
      <c r="L149" s="145" t="s">
        <v>344</v>
      </c>
      <c r="M149" s="145" t="s">
        <v>602</v>
      </c>
      <c r="N149" s="145" t="s">
        <v>339</v>
      </c>
      <c r="O149" s="145" t="s">
        <v>1211</v>
      </c>
      <c r="P149" s="146">
        <v>6171</v>
      </c>
      <c r="Q149" s="146">
        <v>3.718</v>
      </c>
      <c r="R149" s="146">
        <v>19949</v>
      </c>
      <c r="S149" s="151"/>
      <c r="T149" s="146">
        <v>4577.0540000000001</v>
      </c>
      <c r="U149" s="148">
        <v>2.0000000000000002E-5</v>
      </c>
      <c r="V149" s="148">
        <v>5.7200000000000003E-3</v>
      </c>
      <c r="W149" s="149">
        <v>3.6099999999999999E-3</v>
      </c>
      <c r="X149" s="196"/>
    </row>
    <row r="150" spans="1:24" x14ac:dyDescent="0.2">
      <c r="A150" s="144" t="s">
        <v>1217</v>
      </c>
      <c r="B150" s="145" t="s">
        <v>1218</v>
      </c>
      <c r="C150" s="145" t="s">
        <v>2436</v>
      </c>
      <c r="D150" s="145" t="s">
        <v>2437</v>
      </c>
      <c r="E150" s="145" t="s">
        <v>313</v>
      </c>
      <c r="F150" s="145" t="s">
        <v>2436</v>
      </c>
      <c r="G150" s="145" t="s">
        <v>2438</v>
      </c>
      <c r="H150" s="145" t="s">
        <v>321</v>
      </c>
      <c r="I150" s="145" t="s">
        <v>965</v>
      </c>
      <c r="J150" s="145" t="s">
        <v>205</v>
      </c>
      <c r="K150" s="145" t="s">
        <v>224</v>
      </c>
      <c r="L150" s="145" t="s">
        <v>344</v>
      </c>
      <c r="M150" s="145" t="s">
        <v>589</v>
      </c>
      <c r="N150" s="145" t="s">
        <v>339</v>
      </c>
      <c r="O150" s="145" t="s">
        <v>1211</v>
      </c>
      <c r="P150" s="146">
        <v>8026</v>
      </c>
      <c r="Q150" s="146">
        <v>3.718</v>
      </c>
      <c r="R150" s="146">
        <v>14601</v>
      </c>
      <c r="S150" s="151"/>
      <c r="T150" s="146">
        <v>4357.0360000000001</v>
      </c>
      <c r="U150" s="148">
        <v>3.0000000000000001E-5</v>
      </c>
      <c r="V150" s="148">
        <v>5.45E-3</v>
      </c>
      <c r="W150" s="149">
        <v>3.4399999999999999E-3</v>
      </c>
      <c r="X150" s="196"/>
    </row>
    <row r="151" spans="1:24" x14ac:dyDescent="0.2">
      <c r="A151" s="144" t="s">
        <v>1217</v>
      </c>
      <c r="B151" s="145" t="s">
        <v>1218</v>
      </c>
      <c r="C151" s="145" t="s">
        <v>2417</v>
      </c>
      <c r="D151" s="145" t="s">
        <v>2418</v>
      </c>
      <c r="E151" s="145" t="s">
        <v>313</v>
      </c>
      <c r="F151" s="145" t="s">
        <v>2419</v>
      </c>
      <c r="G151" s="145" t="s">
        <v>2420</v>
      </c>
      <c r="H151" s="145" t="s">
        <v>321</v>
      </c>
      <c r="I151" s="145" t="s">
        <v>965</v>
      </c>
      <c r="J151" s="145" t="s">
        <v>205</v>
      </c>
      <c r="K151" s="145" t="s">
        <v>224</v>
      </c>
      <c r="L151" s="145" t="s">
        <v>344</v>
      </c>
      <c r="M151" s="145" t="s">
        <v>597</v>
      </c>
      <c r="N151" s="145" t="s">
        <v>339</v>
      </c>
      <c r="O151" s="145" t="s">
        <v>1211</v>
      </c>
      <c r="P151" s="146">
        <v>6241</v>
      </c>
      <c r="Q151" s="146">
        <v>3.718</v>
      </c>
      <c r="R151" s="146">
        <v>17356</v>
      </c>
      <c r="S151" s="151"/>
      <c r="T151" s="146">
        <v>4027.2930000000001</v>
      </c>
      <c r="U151" s="148">
        <v>3.1E-4</v>
      </c>
      <c r="V151" s="148">
        <v>5.0400000000000002E-3</v>
      </c>
      <c r="W151" s="149">
        <v>3.1800000000000001E-3</v>
      </c>
      <c r="X151" s="196"/>
    </row>
    <row r="152" spans="1:24" x14ac:dyDescent="0.2">
      <c r="A152" s="144" t="s">
        <v>1217</v>
      </c>
      <c r="B152" s="145" t="s">
        <v>1218</v>
      </c>
      <c r="C152" s="145" t="s">
        <v>2432</v>
      </c>
      <c r="D152" s="145" t="s">
        <v>2433</v>
      </c>
      <c r="E152" s="145" t="s">
        <v>313</v>
      </c>
      <c r="F152" s="145" t="s">
        <v>2434</v>
      </c>
      <c r="G152" s="145" t="s">
        <v>2435</v>
      </c>
      <c r="H152" s="145" t="s">
        <v>321</v>
      </c>
      <c r="I152" s="145" t="s">
        <v>965</v>
      </c>
      <c r="J152" s="145" t="s">
        <v>205</v>
      </c>
      <c r="K152" s="145" t="s">
        <v>268</v>
      </c>
      <c r="L152" s="145" t="s">
        <v>344</v>
      </c>
      <c r="M152" s="145" t="s">
        <v>588</v>
      </c>
      <c r="N152" s="145" t="s">
        <v>339</v>
      </c>
      <c r="O152" s="145" t="s">
        <v>1211</v>
      </c>
      <c r="P152" s="146">
        <v>19118</v>
      </c>
      <c r="Q152" s="146">
        <v>3.718</v>
      </c>
      <c r="R152" s="146">
        <v>5440</v>
      </c>
      <c r="S152" s="151"/>
      <c r="T152" s="146">
        <v>3866.7910000000002</v>
      </c>
      <c r="U152" s="148">
        <v>1.7000000000000001E-4</v>
      </c>
      <c r="V152" s="148">
        <v>4.8399999999999997E-3</v>
      </c>
      <c r="W152" s="149">
        <v>3.0500000000000002E-3</v>
      </c>
      <c r="X152" s="196"/>
    </row>
    <row r="153" spans="1:24" x14ac:dyDescent="0.2">
      <c r="A153" s="144" t="s">
        <v>1217</v>
      </c>
      <c r="B153" s="145" t="s">
        <v>1218</v>
      </c>
      <c r="C153" s="145" t="s">
        <v>2443</v>
      </c>
      <c r="D153" s="145" t="s">
        <v>2444</v>
      </c>
      <c r="E153" s="145" t="s">
        <v>313</v>
      </c>
      <c r="F153" s="145" t="s">
        <v>2443</v>
      </c>
      <c r="G153" s="145" t="s">
        <v>2445</v>
      </c>
      <c r="H153" s="145" t="s">
        <v>321</v>
      </c>
      <c r="I153" s="145" t="s">
        <v>965</v>
      </c>
      <c r="J153" s="145" t="s">
        <v>205</v>
      </c>
      <c r="K153" s="145" t="s">
        <v>224</v>
      </c>
      <c r="L153" s="145" t="s">
        <v>344</v>
      </c>
      <c r="M153" s="145" t="s">
        <v>586</v>
      </c>
      <c r="N153" s="145" t="s">
        <v>339</v>
      </c>
      <c r="O153" s="145" t="s">
        <v>1211</v>
      </c>
      <c r="P153" s="146">
        <v>6659</v>
      </c>
      <c r="Q153" s="146">
        <v>3.718</v>
      </c>
      <c r="R153" s="146">
        <v>14011</v>
      </c>
      <c r="S153" s="151"/>
      <c r="T153" s="146">
        <v>3468.866</v>
      </c>
      <c r="U153" s="148">
        <v>1.6199999999999999E-3</v>
      </c>
      <c r="V153" s="148">
        <v>4.3400000000000001E-3</v>
      </c>
      <c r="W153" s="149">
        <v>2.7399999999999998E-3</v>
      </c>
      <c r="X153" s="196"/>
    </row>
    <row r="154" spans="1:24" x14ac:dyDescent="0.2">
      <c r="A154" s="144" t="s">
        <v>1217</v>
      </c>
      <c r="B154" s="145" t="s">
        <v>1218</v>
      </c>
      <c r="C154" s="145" t="s">
        <v>2446</v>
      </c>
      <c r="D154" s="145" t="s">
        <v>2447</v>
      </c>
      <c r="E154" s="145" t="s">
        <v>313</v>
      </c>
      <c r="F154" s="145" t="s">
        <v>2446</v>
      </c>
      <c r="G154" s="145" t="s">
        <v>2448</v>
      </c>
      <c r="H154" s="145" t="s">
        <v>321</v>
      </c>
      <c r="I154" s="145" t="s">
        <v>965</v>
      </c>
      <c r="J154" s="145" t="s">
        <v>205</v>
      </c>
      <c r="K154" s="145" t="s">
        <v>224</v>
      </c>
      <c r="L154" s="145" t="s">
        <v>344</v>
      </c>
      <c r="M154" s="145" t="s">
        <v>708</v>
      </c>
      <c r="N154" s="145" t="s">
        <v>339</v>
      </c>
      <c r="O154" s="145" t="s">
        <v>1211</v>
      </c>
      <c r="P154" s="146">
        <v>4664</v>
      </c>
      <c r="Q154" s="146">
        <v>3.718</v>
      </c>
      <c r="R154" s="146">
        <v>19746</v>
      </c>
      <c r="S154" s="151"/>
      <c r="T154" s="146">
        <v>3424.105</v>
      </c>
      <c r="U154" s="148">
        <v>5.0000000000000002E-5</v>
      </c>
      <c r="V154" s="148">
        <v>4.28E-3</v>
      </c>
      <c r="W154" s="149">
        <v>2.7000000000000001E-3</v>
      </c>
      <c r="X154" s="196"/>
    </row>
    <row r="155" spans="1:24" x14ac:dyDescent="0.2">
      <c r="A155" s="144" t="s">
        <v>1217</v>
      </c>
      <c r="B155" s="145" t="s">
        <v>1218</v>
      </c>
      <c r="C155" s="145" t="s">
        <v>2449</v>
      </c>
      <c r="D155" s="145" t="s">
        <v>2450</v>
      </c>
      <c r="E155" s="145" t="s">
        <v>313</v>
      </c>
      <c r="F155" s="145" t="s">
        <v>2449</v>
      </c>
      <c r="G155" s="145" t="s">
        <v>2451</v>
      </c>
      <c r="H155" s="145" t="s">
        <v>321</v>
      </c>
      <c r="I155" s="145" t="s">
        <v>965</v>
      </c>
      <c r="J155" s="145" t="s">
        <v>205</v>
      </c>
      <c r="K155" s="145" t="s">
        <v>244</v>
      </c>
      <c r="L155" s="145" t="s">
        <v>344</v>
      </c>
      <c r="M155" s="145" t="s">
        <v>580</v>
      </c>
      <c r="N155" s="145" t="s">
        <v>339</v>
      </c>
      <c r="O155" s="145" t="s">
        <v>1211</v>
      </c>
      <c r="P155" s="146">
        <v>14576</v>
      </c>
      <c r="Q155" s="146">
        <v>3.718</v>
      </c>
      <c r="R155" s="146">
        <v>5148</v>
      </c>
      <c r="S155" s="151"/>
      <c r="T155" s="146">
        <v>2789.8850000000002</v>
      </c>
      <c r="U155" s="148">
        <v>8.0000000000000007E-5</v>
      </c>
      <c r="V155" s="148">
        <v>3.49E-3</v>
      </c>
      <c r="W155" s="149">
        <v>2.2000000000000001E-3</v>
      </c>
      <c r="X155" s="196"/>
    </row>
    <row r="156" spans="1:24" x14ac:dyDescent="0.2">
      <c r="A156" s="144" t="s">
        <v>1217</v>
      </c>
      <c r="B156" s="145" t="s">
        <v>1218</v>
      </c>
      <c r="C156" s="145" t="s">
        <v>2462</v>
      </c>
      <c r="D156" s="145" t="s">
        <v>2463</v>
      </c>
      <c r="E156" s="145" t="s">
        <v>314</v>
      </c>
      <c r="F156" s="145" t="s">
        <v>2462</v>
      </c>
      <c r="G156" s="145" t="s">
        <v>2464</v>
      </c>
      <c r="H156" s="145" t="s">
        <v>321</v>
      </c>
      <c r="I156" s="145" t="s">
        <v>965</v>
      </c>
      <c r="J156" s="145" t="s">
        <v>205</v>
      </c>
      <c r="K156" s="145" t="s">
        <v>232</v>
      </c>
      <c r="L156" s="145" t="s">
        <v>344</v>
      </c>
      <c r="M156" s="145" t="s">
        <v>596</v>
      </c>
      <c r="N156" s="145" t="s">
        <v>339</v>
      </c>
      <c r="O156" s="145" t="s">
        <v>1211</v>
      </c>
      <c r="P156" s="146">
        <v>27675</v>
      </c>
      <c r="Q156" s="146">
        <v>3.718</v>
      </c>
      <c r="R156" s="146">
        <v>2585</v>
      </c>
      <c r="S156" s="151"/>
      <c r="T156" s="146">
        <v>2659.8530000000001</v>
      </c>
      <c r="U156" s="148">
        <v>1.6000000000000001E-4</v>
      </c>
      <c r="V156" s="148">
        <v>3.3300000000000001E-3</v>
      </c>
      <c r="W156" s="149">
        <v>2.0999999999999999E-3</v>
      </c>
      <c r="X156" s="196"/>
    </row>
    <row r="157" spans="1:24" x14ac:dyDescent="0.2">
      <c r="A157" s="144" t="s">
        <v>1217</v>
      </c>
      <c r="B157" s="145" t="s">
        <v>1218</v>
      </c>
      <c r="C157" s="145" t="s">
        <v>2452</v>
      </c>
      <c r="D157" s="145" t="s">
        <v>2453</v>
      </c>
      <c r="E157" s="145" t="s">
        <v>313</v>
      </c>
      <c r="F157" s="145" t="s">
        <v>2454</v>
      </c>
      <c r="G157" s="145" t="s">
        <v>2455</v>
      </c>
      <c r="H157" s="145" t="s">
        <v>321</v>
      </c>
      <c r="I157" s="145" t="s">
        <v>965</v>
      </c>
      <c r="J157" s="145" t="s">
        <v>205</v>
      </c>
      <c r="K157" s="145" t="s">
        <v>224</v>
      </c>
      <c r="L157" s="145" t="s">
        <v>344</v>
      </c>
      <c r="M157" s="145" t="s">
        <v>703</v>
      </c>
      <c r="N157" s="145" t="s">
        <v>339</v>
      </c>
      <c r="O157" s="145" t="s">
        <v>1211</v>
      </c>
      <c r="P157" s="146">
        <v>5918</v>
      </c>
      <c r="Q157" s="146">
        <v>3.718</v>
      </c>
      <c r="R157" s="146">
        <v>11655</v>
      </c>
      <c r="S157" s="151"/>
      <c r="T157" s="146">
        <v>2564.4639999999999</v>
      </c>
      <c r="U157" s="148">
        <v>1.4999999999999999E-4</v>
      </c>
      <c r="V157" s="148">
        <v>3.2100000000000002E-3</v>
      </c>
      <c r="W157" s="149">
        <v>2.0200000000000001E-3</v>
      </c>
      <c r="X157" s="196"/>
    </row>
    <row r="158" spans="1:24" x14ac:dyDescent="0.2">
      <c r="A158" s="144" t="s">
        <v>1217</v>
      </c>
      <c r="B158" s="145" t="s">
        <v>1218</v>
      </c>
      <c r="C158" s="145" t="s">
        <v>2407</v>
      </c>
      <c r="D158" s="145" t="s">
        <v>2408</v>
      </c>
      <c r="E158" s="145" t="s">
        <v>313</v>
      </c>
      <c r="F158" s="145" t="s">
        <v>2407</v>
      </c>
      <c r="G158" s="145" t="s">
        <v>2409</v>
      </c>
      <c r="H158" s="145" t="s">
        <v>321</v>
      </c>
      <c r="I158" s="145" t="s">
        <v>965</v>
      </c>
      <c r="J158" s="145" t="s">
        <v>205</v>
      </c>
      <c r="K158" s="145" t="s">
        <v>253</v>
      </c>
      <c r="L158" s="145" t="s">
        <v>314</v>
      </c>
      <c r="M158" s="145" t="s">
        <v>610</v>
      </c>
      <c r="N158" s="145" t="s">
        <v>339</v>
      </c>
      <c r="O158" s="145" t="s">
        <v>1212</v>
      </c>
      <c r="P158" s="146">
        <v>2522</v>
      </c>
      <c r="Q158" s="146">
        <v>4.0220000000000002</v>
      </c>
      <c r="R158" s="146">
        <v>25113</v>
      </c>
      <c r="S158" s="151"/>
      <c r="T158" s="146">
        <v>2547.27</v>
      </c>
      <c r="U158" s="148">
        <v>6.9999999999999994E-5</v>
      </c>
      <c r="V158" s="148">
        <v>3.1900000000000001E-3</v>
      </c>
      <c r="W158" s="149">
        <v>2.0100000000000001E-3</v>
      </c>
      <c r="X158" s="196"/>
    </row>
    <row r="159" spans="1:24" x14ac:dyDescent="0.2">
      <c r="A159" s="144" t="s">
        <v>1217</v>
      </c>
      <c r="B159" s="145" t="s">
        <v>1218</v>
      </c>
      <c r="C159" s="145" t="s">
        <v>2471</v>
      </c>
      <c r="D159" s="145" t="s">
        <v>2472</v>
      </c>
      <c r="E159" s="145" t="s">
        <v>313</v>
      </c>
      <c r="F159" s="145" t="s">
        <v>2471</v>
      </c>
      <c r="G159" s="145" t="s">
        <v>2473</v>
      </c>
      <c r="H159" s="145" t="s">
        <v>321</v>
      </c>
      <c r="I159" s="145" t="s">
        <v>965</v>
      </c>
      <c r="J159" s="145" t="s">
        <v>205</v>
      </c>
      <c r="K159" s="145" t="s">
        <v>238</v>
      </c>
      <c r="L159" s="145" t="s">
        <v>374</v>
      </c>
      <c r="M159" s="145" t="s">
        <v>594</v>
      </c>
      <c r="N159" s="145" t="s">
        <v>339</v>
      </c>
      <c r="O159" s="145" t="s">
        <v>1212</v>
      </c>
      <c r="P159" s="146">
        <v>13618</v>
      </c>
      <c r="Q159" s="146">
        <v>4.0220000000000002</v>
      </c>
      <c r="R159" s="146">
        <v>4558.5</v>
      </c>
      <c r="S159" s="151"/>
      <c r="T159" s="146">
        <v>2496.701</v>
      </c>
      <c r="U159" s="148">
        <v>1.48E-3</v>
      </c>
      <c r="V159" s="148">
        <v>3.1199999999999999E-3</v>
      </c>
      <c r="W159" s="149">
        <v>1.97E-3</v>
      </c>
      <c r="X159" s="196"/>
    </row>
    <row r="160" spans="1:24" x14ac:dyDescent="0.2">
      <c r="A160" s="144" t="s">
        <v>1217</v>
      </c>
      <c r="B160" s="145" t="s">
        <v>1218</v>
      </c>
      <c r="C160" s="145" t="s">
        <v>2460</v>
      </c>
      <c r="D160" s="145" t="s">
        <v>2378</v>
      </c>
      <c r="E160" s="145" t="s">
        <v>313</v>
      </c>
      <c r="F160" s="145" t="s">
        <v>2460</v>
      </c>
      <c r="G160" s="145" t="s">
        <v>2461</v>
      </c>
      <c r="H160" s="145" t="s">
        <v>321</v>
      </c>
      <c r="I160" s="145" t="s">
        <v>965</v>
      </c>
      <c r="J160" s="145" t="s">
        <v>205</v>
      </c>
      <c r="K160" s="145" t="s">
        <v>224</v>
      </c>
      <c r="L160" s="145" t="s">
        <v>344</v>
      </c>
      <c r="M160" s="145" t="s">
        <v>708</v>
      </c>
      <c r="N160" s="145" t="s">
        <v>339</v>
      </c>
      <c r="O160" s="145" t="s">
        <v>1211</v>
      </c>
      <c r="P160" s="146">
        <v>5898</v>
      </c>
      <c r="Q160" s="146">
        <v>3.718</v>
      </c>
      <c r="R160" s="146">
        <v>9870</v>
      </c>
      <c r="S160" s="151"/>
      <c r="T160" s="146">
        <v>2164.3690000000001</v>
      </c>
      <c r="U160" s="148">
        <v>2.5999999999999998E-4</v>
      </c>
      <c r="V160" s="148">
        <v>2.7100000000000002E-3</v>
      </c>
      <c r="W160" s="149">
        <v>1.7099999999999999E-3</v>
      </c>
      <c r="X160" s="196"/>
    </row>
    <row r="161" spans="1:24" x14ac:dyDescent="0.2">
      <c r="A161" s="144" t="s">
        <v>1217</v>
      </c>
      <c r="B161" s="145" t="s">
        <v>1218</v>
      </c>
      <c r="C161" s="145" t="s">
        <v>2474</v>
      </c>
      <c r="D161" s="145" t="s">
        <v>2475</v>
      </c>
      <c r="E161" s="145" t="s">
        <v>313</v>
      </c>
      <c r="F161" s="145" t="s">
        <v>2474</v>
      </c>
      <c r="G161" s="145" t="s">
        <v>2476</v>
      </c>
      <c r="H161" s="145" t="s">
        <v>321</v>
      </c>
      <c r="I161" s="145" t="s">
        <v>965</v>
      </c>
      <c r="J161" s="145" t="s">
        <v>205</v>
      </c>
      <c r="K161" s="145" t="s">
        <v>224</v>
      </c>
      <c r="L161" s="145" t="s">
        <v>344</v>
      </c>
      <c r="M161" s="145" t="s">
        <v>597</v>
      </c>
      <c r="N161" s="145" t="s">
        <v>339</v>
      </c>
      <c r="O161" s="145" t="s">
        <v>1211</v>
      </c>
      <c r="P161" s="146">
        <v>5106</v>
      </c>
      <c r="Q161" s="146">
        <v>3.718</v>
      </c>
      <c r="R161" s="146">
        <v>11313</v>
      </c>
      <c r="S161" s="151"/>
      <c r="T161" s="146">
        <v>2147.672</v>
      </c>
      <c r="U161" s="148">
        <v>2.9999999999999997E-4</v>
      </c>
      <c r="V161" s="148">
        <v>2.6900000000000001E-3</v>
      </c>
      <c r="W161" s="149">
        <v>1.6900000000000001E-3</v>
      </c>
      <c r="X161" s="196"/>
    </row>
    <row r="162" spans="1:24" x14ac:dyDescent="0.2">
      <c r="A162" s="144" t="s">
        <v>1217</v>
      </c>
      <c r="B162" s="145" t="s">
        <v>1218</v>
      </c>
      <c r="C162" s="145" t="s">
        <v>2456</v>
      </c>
      <c r="D162" s="145" t="s">
        <v>2457</v>
      </c>
      <c r="E162" s="145" t="s">
        <v>313</v>
      </c>
      <c r="F162" s="145" t="s">
        <v>2458</v>
      </c>
      <c r="G162" s="145" t="s">
        <v>2459</v>
      </c>
      <c r="H162" s="145" t="s">
        <v>321</v>
      </c>
      <c r="I162" s="145" t="s">
        <v>965</v>
      </c>
      <c r="J162" s="145" t="s">
        <v>205</v>
      </c>
      <c r="K162" s="145" t="s">
        <v>238</v>
      </c>
      <c r="L162" s="145" t="s">
        <v>368</v>
      </c>
      <c r="M162" s="145" t="s">
        <v>581</v>
      </c>
      <c r="N162" s="145" t="s">
        <v>339</v>
      </c>
      <c r="O162" s="145" t="s">
        <v>1212</v>
      </c>
      <c r="P162" s="146">
        <v>2866</v>
      </c>
      <c r="Q162" s="146">
        <v>4.0220000000000002</v>
      </c>
      <c r="R162" s="146">
        <v>18438</v>
      </c>
      <c r="S162" s="151"/>
      <c r="T162" s="146">
        <v>2125.3049999999998</v>
      </c>
      <c r="U162" s="148">
        <v>6.9999999999999994E-5</v>
      </c>
      <c r="V162" s="148">
        <v>2.66E-3</v>
      </c>
      <c r="W162" s="149">
        <v>1.6800000000000001E-3</v>
      </c>
      <c r="X162" s="196"/>
    </row>
    <row r="163" spans="1:24" x14ac:dyDescent="0.2">
      <c r="A163" s="144" t="s">
        <v>1217</v>
      </c>
      <c r="B163" s="145" t="s">
        <v>1218</v>
      </c>
      <c r="C163" s="145" t="s">
        <v>2465</v>
      </c>
      <c r="D163" s="145" t="s">
        <v>2466</v>
      </c>
      <c r="E163" s="145" t="s">
        <v>313</v>
      </c>
      <c r="F163" s="145" t="s">
        <v>2465</v>
      </c>
      <c r="G163" s="145" t="s">
        <v>2467</v>
      </c>
      <c r="H163" s="145" t="s">
        <v>321</v>
      </c>
      <c r="I163" s="145" t="s">
        <v>965</v>
      </c>
      <c r="J163" s="145" t="s">
        <v>205</v>
      </c>
      <c r="K163" s="145" t="s">
        <v>224</v>
      </c>
      <c r="L163" s="145" t="s">
        <v>344</v>
      </c>
      <c r="M163" s="145" t="s">
        <v>708</v>
      </c>
      <c r="N163" s="145" t="s">
        <v>339</v>
      </c>
      <c r="O163" s="145" t="s">
        <v>1211</v>
      </c>
      <c r="P163" s="146">
        <v>5880</v>
      </c>
      <c r="Q163" s="146">
        <v>3.718</v>
      </c>
      <c r="R163" s="146">
        <v>9645</v>
      </c>
      <c r="S163" s="151"/>
      <c r="T163" s="146">
        <v>2108.5740000000001</v>
      </c>
      <c r="U163" s="148">
        <v>3.0000000000000001E-5</v>
      </c>
      <c r="V163" s="148">
        <v>2.64E-3</v>
      </c>
      <c r="W163" s="149">
        <v>1.66E-3</v>
      </c>
      <c r="X163" s="196"/>
    </row>
    <row r="164" spans="1:24" x14ac:dyDescent="0.2">
      <c r="A164" s="144" t="s">
        <v>1217</v>
      </c>
      <c r="B164" s="145" t="s">
        <v>1218</v>
      </c>
      <c r="C164" s="145" t="s">
        <v>2468</v>
      </c>
      <c r="D164" s="145" t="s">
        <v>2469</v>
      </c>
      <c r="E164" s="145" t="s">
        <v>313</v>
      </c>
      <c r="F164" s="145" t="s">
        <v>2468</v>
      </c>
      <c r="G164" s="145" t="s">
        <v>2470</v>
      </c>
      <c r="H164" s="145" t="s">
        <v>321</v>
      </c>
      <c r="I164" s="145" t="s">
        <v>965</v>
      </c>
      <c r="J164" s="145" t="s">
        <v>205</v>
      </c>
      <c r="K164" s="145" t="s">
        <v>246</v>
      </c>
      <c r="L164" s="145" t="s">
        <v>370</v>
      </c>
      <c r="M164" s="145" t="s">
        <v>707</v>
      </c>
      <c r="N164" s="145" t="s">
        <v>339</v>
      </c>
      <c r="O164" s="145" t="s">
        <v>1213</v>
      </c>
      <c r="P164" s="146">
        <v>382065</v>
      </c>
      <c r="Q164" s="146">
        <v>0.47799999999999998</v>
      </c>
      <c r="R164" s="146">
        <v>1129</v>
      </c>
      <c r="S164" s="151"/>
      <c r="T164" s="146">
        <v>2061.4279999999999</v>
      </c>
      <c r="U164" s="148">
        <v>2.65E-3</v>
      </c>
      <c r="V164" s="148">
        <v>2.5799999999999998E-3</v>
      </c>
      <c r="W164" s="149">
        <v>1.6299999999999999E-3</v>
      </c>
      <c r="X164" s="196"/>
    </row>
    <row r="165" spans="1:24" x14ac:dyDescent="0.2">
      <c r="A165" s="144" t="s">
        <v>1217</v>
      </c>
      <c r="B165" s="145" t="s">
        <v>1218</v>
      </c>
      <c r="C165" s="145" t="s">
        <v>2477</v>
      </c>
      <c r="D165" s="145" t="s">
        <v>2478</v>
      </c>
      <c r="E165" s="145" t="s">
        <v>313</v>
      </c>
      <c r="F165" s="145" t="s">
        <v>2479</v>
      </c>
      <c r="G165" s="145" t="s">
        <v>2480</v>
      </c>
      <c r="H165" s="145" t="s">
        <v>321</v>
      </c>
      <c r="I165" s="145" t="s">
        <v>965</v>
      </c>
      <c r="J165" s="145" t="s">
        <v>205</v>
      </c>
      <c r="K165" s="145" t="s">
        <v>224</v>
      </c>
      <c r="L165" s="145" t="s">
        <v>344</v>
      </c>
      <c r="M165" s="145" t="s">
        <v>611</v>
      </c>
      <c r="N165" s="145" t="s">
        <v>339</v>
      </c>
      <c r="O165" s="145" t="s">
        <v>1211</v>
      </c>
      <c r="P165" s="146">
        <v>2231</v>
      </c>
      <c r="Q165" s="146">
        <v>3.718</v>
      </c>
      <c r="R165" s="146">
        <v>21147</v>
      </c>
      <c r="S165" s="151"/>
      <c r="T165" s="146">
        <v>1754.114</v>
      </c>
      <c r="U165" s="148">
        <v>2.0000000000000002E-5</v>
      </c>
      <c r="V165" s="148">
        <v>2.1900000000000001E-3</v>
      </c>
      <c r="W165" s="149">
        <v>1.3799999999999999E-3</v>
      </c>
      <c r="X165" s="196"/>
    </row>
    <row r="166" spans="1:24" x14ac:dyDescent="0.2">
      <c r="A166" s="144" t="s">
        <v>1217</v>
      </c>
      <c r="B166" s="145" t="s">
        <v>1218</v>
      </c>
      <c r="C166" s="145" t="s">
        <v>2490</v>
      </c>
      <c r="D166" s="145" t="s">
        <v>2491</v>
      </c>
      <c r="E166" s="145" t="s">
        <v>313</v>
      </c>
      <c r="F166" s="145" t="s">
        <v>2492</v>
      </c>
      <c r="G166" s="145" t="s">
        <v>2493</v>
      </c>
      <c r="H166" s="145" t="s">
        <v>321</v>
      </c>
      <c r="I166" s="145" t="s">
        <v>965</v>
      </c>
      <c r="J166" s="145" t="s">
        <v>205</v>
      </c>
      <c r="K166" s="145" t="s">
        <v>224</v>
      </c>
      <c r="L166" s="145" t="s">
        <v>344</v>
      </c>
      <c r="M166" s="145" t="s">
        <v>708</v>
      </c>
      <c r="N166" s="145" t="s">
        <v>339</v>
      </c>
      <c r="O166" s="145" t="s">
        <v>1211</v>
      </c>
      <c r="P166" s="146">
        <v>11184</v>
      </c>
      <c r="Q166" s="146">
        <v>3.718</v>
      </c>
      <c r="R166" s="146">
        <v>4185</v>
      </c>
      <c r="S166" s="151"/>
      <c r="T166" s="146">
        <v>1740.211</v>
      </c>
      <c r="U166" s="148">
        <v>6.9999999999999994E-5</v>
      </c>
      <c r="V166" s="148">
        <v>2.1800000000000001E-3</v>
      </c>
      <c r="W166" s="149">
        <v>1.3699999999999999E-3</v>
      </c>
      <c r="X166" s="196"/>
    </row>
    <row r="167" spans="1:24" x14ac:dyDescent="0.2">
      <c r="A167" s="144" t="s">
        <v>1217</v>
      </c>
      <c r="B167" s="145" t="s">
        <v>1218</v>
      </c>
      <c r="C167" s="145" t="s">
        <v>2481</v>
      </c>
      <c r="D167" s="145" t="s">
        <v>2482</v>
      </c>
      <c r="E167" s="145" t="s">
        <v>313</v>
      </c>
      <c r="F167" s="145" t="s">
        <v>2483</v>
      </c>
      <c r="G167" s="145" t="s">
        <v>2484</v>
      </c>
      <c r="H167" s="145" t="s">
        <v>321</v>
      </c>
      <c r="I167" s="145" t="s">
        <v>965</v>
      </c>
      <c r="J167" s="145" t="s">
        <v>205</v>
      </c>
      <c r="K167" s="145" t="s">
        <v>224</v>
      </c>
      <c r="L167" s="145" t="s">
        <v>344</v>
      </c>
      <c r="M167" s="145" t="s">
        <v>707</v>
      </c>
      <c r="N167" s="145" t="s">
        <v>339</v>
      </c>
      <c r="O167" s="145" t="s">
        <v>1211</v>
      </c>
      <c r="P167" s="146">
        <v>8909</v>
      </c>
      <c r="Q167" s="146">
        <v>3.718</v>
      </c>
      <c r="R167" s="146">
        <v>4748</v>
      </c>
      <c r="S167" s="151"/>
      <c r="T167" s="146">
        <v>1572.711</v>
      </c>
      <c r="U167" s="148">
        <v>9.0000000000000006E-5</v>
      </c>
      <c r="V167" s="148">
        <v>1.97E-3</v>
      </c>
      <c r="W167" s="149">
        <v>1.24E-3</v>
      </c>
      <c r="X167" s="196"/>
    </row>
    <row r="168" spans="1:24" x14ac:dyDescent="0.2">
      <c r="A168" s="144" t="s">
        <v>1217</v>
      </c>
      <c r="B168" s="145" t="s">
        <v>1218</v>
      </c>
      <c r="C168" s="145" t="s">
        <v>2481</v>
      </c>
      <c r="D168" s="145" t="s">
        <v>2482</v>
      </c>
      <c r="E168" s="145" t="s">
        <v>313</v>
      </c>
      <c r="F168" s="145" t="s">
        <v>2488</v>
      </c>
      <c r="G168" s="145" t="s">
        <v>2489</v>
      </c>
      <c r="H168" s="145" t="s">
        <v>321</v>
      </c>
      <c r="I168" s="145" t="s">
        <v>965</v>
      </c>
      <c r="J168" s="145" t="s">
        <v>205</v>
      </c>
      <c r="K168" s="145" t="s">
        <v>224</v>
      </c>
      <c r="L168" s="145" t="s">
        <v>344</v>
      </c>
      <c r="M168" s="145" t="s">
        <v>708</v>
      </c>
      <c r="N168" s="145" t="s">
        <v>339</v>
      </c>
      <c r="O168" s="145" t="s">
        <v>1211</v>
      </c>
      <c r="P168" s="146">
        <v>5264</v>
      </c>
      <c r="Q168" s="146">
        <v>3.718</v>
      </c>
      <c r="R168" s="146">
        <v>6019</v>
      </c>
      <c r="S168" s="151"/>
      <c r="T168" s="146">
        <v>1178.0119999999999</v>
      </c>
      <c r="U168" s="148">
        <v>6.9999999999999994E-5</v>
      </c>
      <c r="V168" s="148">
        <v>1.47E-3</v>
      </c>
      <c r="W168" s="149">
        <v>9.3000000000000005E-4</v>
      </c>
      <c r="X168" s="196"/>
    </row>
    <row r="169" spans="1:24" x14ac:dyDescent="0.2">
      <c r="A169" s="144" t="s">
        <v>1217</v>
      </c>
      <c r="B169" s="145" t="s">
        <v>1218</v>
      </c>
      <c r="C169" s="145" t="s">
        <v>2485</v>
      </c>
      <c r="D169" s="145" t="s">
        <v>2486</v>
      </c>
      <c r="E169" s="145" t="s">
        <v>313</v>
      </c>
      <c r="F169" s="145" t="s">
        <v>2485</v>
      </c>
      <c r="G169" s="145" t="s">
        <v>2487</v>
      </c>
      <c r="H169" s="145" t="s">
        <v>321</v>
      </c>
      <c r="I169" s="145" t="s">
        <v>967</v>
      </c>
      <c r="J169" s="145" t="s">
        <v>205</v>
      </c>
      <c r="K169" s="145" t="s">
        <v>233</v>
      </c>
      <c r="L169" s="145" t="s">
        <v>380</v>
      </c>
      <c r="M169" s="145" t="s">
        <v>677</v>
      </c>
      <c r="N169" s="145" t="s">
        <v>339</v>
      </c>
      <c r="O169" s="145" t="s">
        <v>1211</v>
      </c>
      <c r="P169" s="146">
        <v>3200</v>
      </c>
      <c r="Q169" s="146">
        <v>3.718</v>
      </c>
      <c r="R169" s="146">
        <v>9483</v>
      </c>
      <c r="S169" s="151"/>
      <c r="T169" s="146">
        <v>1128.249</v>
      </c>
      <c r="U169" s="148">
        <v>9.0000000000000006E-5</v>
      </c>
      <c r="V169" s="148">
        <v>1.41E-3</v>
      </c>
      <c r="W169" s="149">
        <v>8.8999999999999995E-4</v>
      </c>
      <c r="X169" s="196"/>
    </row>
    <row r="170" spans="1:24" x14ac:dyDescent="0.2">
      <c r="A170" s="144" t="s">
        <v>1217</v>
      </c>
      <c r="B170" s="145" t="s">
        <v>1218</v>
      </c>
      <c r="C170" s="145" t="s">
        <v>2494</v>
      </c>
      <c r="D170" s="145" t="s">
        <v>2495</v>
      </c>
      <c r="E170" s="145" t="s">
        <v>313</v>
      </c>
      <c r="F170" s="145" t="s">
        <v>2496</v>
      </c>
      <c r="G170" s="145" t="s">
        <v>2497</v>
      </c>
      <c r="H170" s="145" t="s">
        <v>321</v>
      </c>
      <c r="I170" s="145" t="s">
        <v>965</v>
      </c>
      <c r="J170" s="145" t="s">
        <v>205</v>
      </c>
      <c r="K170" s="145" t="s">
        <v>268</v>
      </c>
      <c r="L170" s="145" t="s">
        <v>344</v>
      </c>
      <c r="M170" s="145" t="s">
        <v>588</v>
      </c>
      <c r="N170" s="145" t="s">
        <v>339</v>
      </c>
      <c r="O170" s="145" t="s">
        <v>1211</v>
      </c>
      <c r="P170" s="146">
        <v>5054</v>
      </c>
      <c r="Q170" s="146">
        <v>3.718</v>
      </c>
      <c r="R170" s="146">
        <v>3584</v>
      </c>
      <c r="S170" s="151"/>
      <c r="T170" s="146">
        <v>673.46100000000001</v>
      </c>
      <c r="U170" s="148">
        <v>2.0000000000000002E-5</v>
      </c>
      <c r="V170" s="148">
        <v>8.4000000000000003E-4</v>
      </c>
      <c r="W170" s="149">
        <v>5.2999999999999998E-4</v>
      </c>
      <c r="X170" s="196"/>
    </row>
    <row r="171" spans="1:24" x14ac:dyDescent="0.2">
      <c r="A171" s="144" t="s">
        <v>1217</v>
      </c>
      <c r="B171" s="145" t="s">
        <v>1218</v>
      </c>
      <c r="C171" s="145" t="s">
        <v>2498</v>
      </c>
      <c r="D171" s="145" t="s">
        <v>2499</v>
      </c>
      <c r="E171" s="145" t="s">
        <v>313</v>
      </c>
      <c r="F171" s="145" t="s">
        <v>2498</v>
      </c>
      <c r="G171" s="145" t="s">
        <v>2500</v>
      </c>
      <c r="H171" s="145" t="s">
        <v>321</v>
      </c>
      <c r="I171" s="145" t="s">
        <v>965</v>
      </c>
      <c r="J171" s="145" t="s">
        <v>205</v>
      </c>
      <c r="K171" s="145" t="s">
        <v>224</v>
      </c>
      <c r="L171" s="145" t="s">
        <v>344</v>
      </c>
      <c r="M171" s="145" t="s">
        <v>703</v>
      </c>
      <c r="N171" s="145" t="s">
        <v>339</v>
      </c>
      <c r="O171" s="145" t="s">
        <v>1211</v>
      </c>
      <c r="P171" s="146">
        <v>1948</v>
      </c>
      <c r="Q171" s="146">
        <v>3.718</v>
      </c>
      <c r="R171" s="146">
        <v>3046</v>
      </c>
      <c r="S171" s="151"/>
      <c r="T171" s="146">
        <v>220.61199999999999</v>
      </c>
      <c r="U171" s="148">
        <v>8.0000000000000007E-5</v>
      </c>
      <c r="V171" s="148">
        <v>2.7999999999999998E-4</v>
      </c>
      <c r="W171" s="149">
        <v>1.7000000000000001E-4</v>
      </c>
      <c r="X171" s="196"/>
    </row>
    <row r="172" spans="1:24" x14ac:dyDescent="0.2">
      <c r="A172" s="144" t="s">
        <v>1217</v>
      </c>
      <c r="B172" s="145" t="s">
        <v>1219</v>
      </c>
      <c r="C172" s="145" t="s">
        <v>2343</v>
      </c>
      <c r="D172" s="145" t="s">
        <v>2344</v>
      </c>
      <c r="E172" s="145" t="s">
        <v>309</v>
      </c>
      <c r="F172" s="145" t="s">
        <v>2503</v>
      </c>
      <c r="G172" s="145" t="s">
        <v>2504</v>
      </c>
      <c r="H172" s="145" t="s">
        <v>321</v>
      </c>
      <c r="I172" s="145" t="s">
        <v>966</v>
      </c>
      <c r="J172" s="145" t="s">
        <v>204</v>
      </c>
      <c r="K172" s="145" t="s">
        <v>204</v>
      </c>
      <c r="L172" s="145" t="s">
        <v>340</v>
      </c>
      <c r="M172" s="145" t="s">
        <v>632</v>
      </c>
      <c r="N172" s="145" t="s">
        <v>339</v>
      </c>
      <c r="O172" s="145" t="s">
        <v>1210</v>
      </c>
      <c r="P172" s="146">
        <v>209000</v>
      </c>
      <c r="Q172" s="146">
        <v>1</v>
      </c>
      <c r="R172" s="146">
        <v>404.49</v>
      </c>
      <c r="S172" s="151"/>
      <c r="T172" s="146">
        <v>845.38400000000001</v>
      </c>
      <c r="U172" s="148">
        <v>7.6999999999999996E-4</v>
      </c>
      <c r="V172" s="148">
        <v>0.35571000000000003</v>
      </c>
      <c r="W172" s="149">
        <v>8.09E-2</v>
      </c>
      <c r="X172" s="196"/>
    </row>
    <row r="173" spans="1:24" x14ac:dyDescent="0.2">
      <c r="A173" s="144" t="s">
        <v>1217</v>
      </c>
      <c r="B173" s="145" t="s">
        <v>1219</v>
      </c>
      <c r="C173" s="145" t="s">
        <v>2351</v>
      </c>
      <c r="D173" s="145" t="s">
        <v>2352</v>
      </c>
      <c r="E173" s="145" t="s">
        <v>309</v>
      </c>
      <c r="F173" s="145" t="s">
        <v>2501</v>
      </c>
      <c r="G173" s="145" t="s">
        <v>2502</v>
      </c>
      <c r="H173" s="145" t="s">
        <v>321</v>
      </c>
      <c r="I173" s="145" t="s">
        <v>966</v>
      </c>
      <c r="J173" s="145" t="s">
        <v>204</v>
      </c>
      <c r="K173" s="145" t="s">
        <v>204</v>
      </c>
      <c r="L173" s="145" t="s">
        <v>340</v>
      </c>
      <c r="M173" s="145" t="s">
        <v>576</v>
      </c>
      <c r="N173" s="145" t="s">
        <v>339</v>
      </c>
      <c r="O173" s="145" t="s">
        <v>1210</v>
      </c>
      <c r="P173" s="146">
        <v>136496</v>
      </c>
      <c r="Q173" s="146">
        <v>1</v>
      </c>
      <c r="R173" s="146">
        <v>475.88</v>
      </c>
      <c r="S173" s="151"/>
      <c r="T173" s="146">
        <v>649.55700000000002</v>
      </c>
      <c r="U173" s="148">
        <v>6.4999999999999997E-4</v>
      </c>
      <c r="V173" s="148">
        <v>0.27331</v>
      </c>
      <c r="W173" s="149">
        <v>6.216E-2</v>
      </c>
      <c r="X173" s="196"/>
    </row>
    <row r="174" spans="1:24" x14ac:dyDescent="0.2">
      <c r="A174" s="144" t="s">
        <v>1217</v>
      </c>
      <c r="B174" s="145" t="s">
        <v>1219</v>
      </c>
      <c r="C174" s="145" t="s">
        <v>2347</v>
      </c>
      <c r="D174" s="145" t="s">
        <v>2348</v>
      </c>
      <c r="E174" s="145" t="s">
        <v>309</v>
      </c>
      <c r="F174" s="145" t="s">
        <v>2505</v>
      </c>
      <c r="G174" s="145" t="s">
        <v>2506</v>
      </c>
      <c r="H174" s="145" t="s">
        <v>321</v>
      </c>
      <c r="I174" s="145" t="s">
        <v>966</v>
      </c>
      <c r="J174" s="145" t="s">
        <v>204</v>
      </c>
      <c r="K174" s="145" t="s">
        <v>204</v>
      </c>
      <c r="L174" s="145" t="s">
        <v>340</v>
      </c>
      <c r="M174" s="145" t="s">
        <v>634</v>
      </c>
      <c r="N174" s="145" t="s">
        <v>339</v>
      </c>
      <c r="O174" s="145" t="s">
        <v>1210</v>
      </c>
      <c r="P174" s="146">
        <v>10502</v>
      </c>
      <c r="Q174" s="146">
        <v>1</v>
      </c>
      <c r="R174" s="146">
        <v>4085.73</v>
      </c>
      <c r="S174" s="151"/>
      <c r="T174" s="146">
        <v>429.08300000000003</v>
      </c>
      <c r="U174" s="148">
        <v>2.7E-4</v>
      </c>
      <c r="V174" s="148">
        <v>0.18054000000000001</v>
      </c>
      <c r="W174" s="149">
        <v>4.1059999999999999E-2</v>
      </c>
      <c r="X174" s="196"/>
    </row>
    <row r="175" spans="1:24" x14ac:dyDescent="0.2">
      <c r="A175" s="144" t="s">
        <v>1217</v>
      </c>
      <c r="B175" s="145" t="s">
        <v>1219</v>
      </c>
      <c r="C175" s="145" t="s">
        <v>2347</v>
      </c>
      <c r="D175" s="145" t="s">
        <v>2348</v>
      </c>
      <c r="E175" s="145" t="s">
        <v>309</v>
      </c>
      <c r="F175" s="145" t="s">
        <v>2515</v>
      </c>
      <c r="G175" s="145" t="s">
        <v>2516</v>
      </c>
      <c r="H175" s="145" t="s">
        <v>321</v>
      </c>
      <c r="I175" s="145" t="s">
        <v>966</v>
      </c>
      <c r="J175" s="145" t="s">
        <v>204</v>
      </c>
      <c r="K175" s="145" t="s">
        <v>204</v>
      </c>
      <c r="L175" s="145" t="s">
        <v>340</v>
      </c>
      <c r="M175" s="145" t="s">
        <v>576</v>
      </c>
      <c r="N175" s="145" t="s">
        <v>339</v>
      </c>
      <c r="O175" s="145" t="s">
        <v>1210</v>
      </c>
      <c r="P175" s="146">
        <v>5414</v>
      </c>
      <c r="Q175" s="146">
        <v>1</v>
      </c>
      <c r="R175" s="146">
        <v>3719.02</v>
      </c>
      <c r="S175" s="151"/>
      <c r="T175" s="146">
        <v>201.34800000000001</v>
      </c>
      <c r="U175" s="148">
        <v>8.0000000000000007E-5</v>
      </c>
      <c r="V175" s="148">
        <v>8.4720000000000004E-2</v>
      </c>
      <c r="W175" s="149">
        <v>1.9269999999999999E-2</v>
      </c>
      <c r="X175" s="196"/>
    </row>
    <row r="176" spans="1:24" x14ac:dyDescent="0.2">
      <c r="A176" s="144" t="s">
        <v>1217</v>
      </c>
      <c r="B176" s="145" t="s">
        <v>1219</v>
      </c>
      <c r="C176" s="145" t="s">
        <v>2351</v>
      </c>
      <c r="D176" s="145" t="s">
        <v>2352</v>
      </c>
      <c r="E176" s="145" t="s">
        <v>309</v>
      </c>
      <c r="F176" s="145" t="s">
        <v>2519</v>
      </c>
      <c r="G176" s="145" t="s">
        <v>2520</v>
      </c>
      <c r="H176" s="145" t="s">
        <v>321</v>
      </c>
      <c r="I176" s="145" t="s">
        <v>966</v>
      </c>
      <c r="J176" s="145" t="s">
        <v>204</v>
      </c>
      <c r="K176" s="145" t="s">
        <v>204</v>
      </c>
      <c r="L176" s="145" t="s">
        <v>340</v>
      </c>
      <c r="M176" s="145" t="s">
        <v>632</v>
      </c>
      <c r="N176" s="145" t="s">
        <v>339</v>
      </c>
      <c r="O176" s="145" t="s">
        <v>1210</v>
      </c>
      <c r="P176" s="146">
        <v>38522</v>
      </c>
      <c r="Q176" s="146">
        <v>1</v>
      </c>
      <c r="R176" s="146">
        <v>470</v>
      </c>
      <c r="S176" s="151"/>
      <c r="T176" s="146">
        <v>181.053</v>
      </c>
      <c r="U176" s="148">
        <v>1.6000000000000001E-4</v>
      </c>
      <c r="V176" s="148">
        <v>7.6179999999999998E-2</v>
      </c>
      <c r="W176" s="149">
        <v>1.7330000000000002E-2</v>
      </c>
      <c r="X176" s="196"/>
    </row>
    <row r="177" spans="1:24" x14ac:dyDescent="0.2">
      <c r="A177" s="144" t="s">
        <v>1217</v>
      </c>
      <c r="B177" s="145" t="s">
        <v>1219</v>
      </c>
      <c r="C177" s="145" t="s">
        <v>2351</v>
      </c>
      <c r="D177" s="145" t="s">
        <v>2352</v>
      </c>
      <c r="E177" s="145" t="s">
        <v>309</v>
      </c>
      <c r="F177" s="145" t="s">
        <v>2584</v>
      </c>
      <c r="G177" s="145" t="s">
        <v>2585</v>
      </c>
      <c r="H177" s="145" t="s">
        <v>321</v>
      </c>
      <c r="I177" s="145" t="s">
        <v>966</v>
      </c>
      <c r="J177" s="145" t="s">
        <v>204</v>
      </c>
      <c r="K177" s="145" t="s">
        <v>204</v>
      </c>
      <c r="L177" s="145" t="s">
        <v>340</v>
      </c>
      <c r="M177" s="145" t="s">
        <v>634</v>
      </c>
      <c r="N177" s="145" t="s">
        <v>339</v>
      </c>
      <c r="O177" s="145" t="s">
        <v>1210</v>
      </c>
      <c r="P177" s="146">
        <v>3433</v>
      </c>
      <c r="Q177" s="146">
        <v>1</v>
      </c>
      <c r="R177" s="146">
        <v>327.06</v>
      </c>
      <c r="S177" s="151"/>
      <c r="T177" s="146">
        <v>11.228</v>
      </c>
      <c r="U177" s="148">
        <v>1.0000000000000001E-5</v>
      </c>
      <c r="V177" s="148">
        <v>4.7200000000000002E-3</v>
      </c>
      <c r="W177" s="149">
        <v>1.07E-3</v>
      </c>
      <c r="X177" s="196"/>
    </row>
    <row r="178" spans="1:24" x14ac:dyDescent="0.2">
      <c r="A178" s="144" t="s">
        <v>1217</v>
      </c>
      <c r="B178" s="145" t="s">
        <v>1219</v>
      </c>
      <c r="C178" s="145" t="s">
        <v>2347</v>
      </c>
      <c r="D178" s="145" t="s">
        <v>2348</v>
      </c>
      <c r="E178" s="145" t="s">
        <v>309</v>
      </c>
      <c r="F178" s="145" t="s">
        <v>2513</v>
      </c>
      <c r="G178" s="145" t="s">
        <v>2514</v>
      </c>
      <c r="H178" s="145" t="s">
        <v>321</v>
      </c>
      <c r="I178" s="145" t="s">
        <v>966</v>
      </c>
      <c r="J178" s="145" t="s">
        <v>204</v>
      </c>
      <c r="K178" s="145" t="s">
        <v>204</v>
      </c>
      <c r="L178" s="145" t="s">
        <v>340</v>
      </c>
      <c r="M178" s="145" t="s">
        <v>632</v>
      </c>
      <c r="N178" s="145" t="s">
        <v>339</v>
      </c>
      <c r="O178" s="145" t="s">
        <v>1210</v>
      </c>
      <c r="P178" s="146">
        <v>0.74</v>
      </c>
      <c r="Q178" s="146">
        <v>1</v>
      </c>
      <c r="R178" s="146">
        <v>4036.28</v>
      </c>
      <c r="S178" s="151"/>
      <c r="T178" s="146">
        <v>0.03</v>
      </c>
      <c r="U178" s="148">
        <v>0</v>
      </c>
      <c r="V178" s="148">
        <v>1.0000000000000001E-5</v>
      </c>
      <c r="W178" s="149">
        <v>0</v>
      </c>
      <c r="X178" s="196"/>
    </row>
    <row r="179" spans="1:24" x14ac:dyDescent="0.2">
      <c r="A179" s="144" t="s">
        <v>1217</v>
      </c>
      <c r="B179" s="145" t="s">
        <v>1219</v>
      </c>
      <c r="C179" s="145" t="s">
        <v>2394</v>
      </c>
      <c r="D179" s="145" t="s">
        <v>2395</v>
      </c>
      <c r="E179" s="145" t="s">
        <v>313</v>
      </c>
      <c r="F179" s="145" t="s">
        <v>2394</v>
      </c>
      <c r="G179" s="145" t="s">
        <v>2396</v>
      </c>
      <c r="H179" s="145" t="s">
        <v>321</v>
      </c>
      <c r="I179" s="145" t="s">
        <v>967</v>
      </c>
      <c r="J179" s="145" t="s">
        <v>205</v>
      </c>
      <c r="K179" s="145" t="s">
        <v>224</v>
      </c>
      <c r="L179" s="145" t="s">
        <v>380</v>
      </c>
      <c r="M179" s="145" t="s">
        <v>592</v>
      </c>
      <c r="N179" s="145" t="s">
        <v>339</v>
      </c>
      <c r="O179" s="145" t="s">
        <v>1211</v>
      </c>
      <c r="P179" s="146">
        <v>2654</v>
      </c>
      <c r="Q179" s="146">
        <v>3.718</v>
      </c>
      <c r="R179" s="146">
        <v>597.45000000000005</v>
      </c>
      <c r="S179" s="151"/>
      <c r="T179" s="146">
        <v>58.954000000000001</v>
      </c>
      <c r="U179" s="148">
        <v>0</v>
      </c>
      <c r="V179" s="148">
        <v>2.4809999999999999E-2</v>
      </c>
      <c r="W179" s="149">
        <v>5.64E-3</v>
      </c>
      <c r="X179" s="196"/>
    </row>
    <row r="180" spans="1:24" x14ac:dyDescent="0.2">
      <c r="A180" s="144" t="s">
        <v>1217</v>
      </c>
      <c r="B180" s="145" t="s">
        <v>1217</v>
      </c>
      <c r="C180" s="145" t="s">
        <v>2347</v>
      </c>
      <c r="D180" s="145" t="s">
        <v>2348</v>
      </c>
      <c r="E180" s="145" t="s">
        <v>309</v>
      </c>
      <c r="F180" s="145" t="s">
        <v>2521</v>
      </c>
      <c r="G180" s="145" t="s">
        <v>2522</v>
      </c>
      <c r="H180" s="145" t="s">
        <v>321</v>
      </c>
      <c r="I180" s="145" t="s">
        <v>965</v>
      </c>
      <c r="J180" s="145" t="s">
        <v>204</v>
      </c>
      <c r="K180" s="145" t="s">
        <v>244</v>
      </c>
      <c r="L180" s="145" t="s">
        <v>340</v>
      </c>
      <c r="M180" s="145" t="s">
        <v>580</v>
      </c>
      <c r="N180" s="145" t="s">
        <v>339</v>
      </c>
      <c r="O180" s="145" t="s">
        <v>1210</v>
      </c>
      <c r="P180" s="146">
        <v>488200</v>
      </c>
      <c r="Q180" s="146">
        <v>1</v>
      </c>
      <c r="R180" s="146">
        <v>9625</v>
      </c>
      <c r="S180" s="151"/>
      <c r="T180" s="146">
        <v>46989.25</v>
      </c>
      <c r="U180" s="148">
        <v>4.446E-2</v>
      </c>
      <c r="V180" s="148">
        <v>1.0290000000000001E-2</v>
      </c>
      <c r="W180" s="149">
        <v>1.9300000000000001E-3</v>
      </c>
      <c r="X180" s="196"/>
    </row>
    <row r="181" spans="1:24" x14ac:dyDescent="0.2">
      <c r="A181" s="144" t="s">
        <v>1217</v>
      </c>
      <c r="B181" s="145" t="s">
        <v>1217</v>
      </c>
      <c r="C181" s="145" t="s">
        <v>2347</v>
      </c>
      <c r="D181" s="145" t="s">
        <v>2348</v>
      </c>
      <c r="E181" s="145" t="s">
        <v>309</v>
      </c>
      <c r="F181" s="145" t="s">
        <v>2523</v>
      </c>
      <c r="G181" s="145" t="s">
        <v>2524</v>
      </c>
      <c r="H181" s="145" t="s">
        <v>321</v>
      </c>
      <c r="I181" s="145" t="s">
        <v>965</v>
      </c>
      <c r="J181" s="145" t="s">
        <v>204</v>
      </c>
      <c r="K181" s="145" t="s">
        <v>224</v>
      </c>
      <c r="L181" s="145" t="s">
        <v>340</v>
      </c>
      <c r="M181" s="145" t="s">
        <v>604</v>
      </c>
      <c r="N181" s="145" t="s">
        <v>339</v>
      </c>
      <c r="O181" s="145" t="s">
        <v>1210</v>
      </c>
      <c r="P181" s="146">
        <v>162230</v>
      </c>
      <c r="Q181" s="146">
        <v>1</v>
      </c>
      <c r="R181" s="146">
        <v>22550</v>
      </c>
      <c r="S181" s="151"/>
      <c r="T181" s="146">
        <v>36582.864999999998</v>
      </c>
      <c r="U181" s="148">
        <v>5.5300000000000002E-3</v>
      </c>
      <c r="V181" s="148">
        <v>8.0099999999999998E-3</v>
      </c>
      <c r="W181" s="149">
        <v>1.5E-3</v>
      </c>
      <c r="X181" s="196"/>
    </row>
    <row r="182" spans="1:24" x14ac:dyDescent="0.2">
      <c r="A182" s="144" t="s">
        <v>1217</v>
      </c>
      <c r="B182" s="145" t="s">
        <v>1217</v>
      </c>
      <c r="C182" s="145" t="s">
        <v>2347</v>
      </c>
      <c r="D182" s="145" t="s">
        <v>2348</v>
      </c>
      <c r="E182" s="145" t="s">
        <v>309</v>
      </c>
      <c r="F182" s="145" t="s">
        <v>2531</v>
      </c>
      <c r="G182" s="145" t="s">
        <v>2532</v>
      </c>
      <c r="H182" s="145" t="s">
        <v>321</v>
      </c>
      <c r="I182" s="145" t="s">
        <v>965</v>
      </c>
      <c r="J182" s="145" t="s">
        <v>204</v>
      </c>
      <c r="K182" s="145" t="s">
        <v>224</v>
      </c>
      <c r="L182" s="145" t="s">
        <v>340</v>
      </c>
      <c r="M182" s="145" t="s">
        <v>708</v>
      </c>
      <c r="N182" s="145" t="s">
        <v>339</v>
      </c>
      <c r="O182" s="145" t="s">
        <v>1210</v>
      </c>
      <c r="P182" s="146">
        <v>137344</v>
      </c>
      <c r="Q182" s="146">
        <v>1</v>
      </c>
      <c r="R182" s="146">
        <v>16530</v>
      </c>
      <c r="S182" s="151"/>
      <c r="T182" s="146">
        <v>22702.963</v>
      </c>
      <c r="U182" s="148">
        <v>2.0719999999999999E-2</v>
      </c>
      <c r="V182" s="148">
        <v>4.9699999999999996E-3</v>
      </c>
      <c r="W182" s="149">
        <v>9.3000000000000005E-4</v>
      </c>
      <c r="X182" s="196"/>
    </row>
    <row r="183" spans="1:24" x14ac:dyDescent="0.2">
      <c r="A183" s="144" t="s">
        <v>1217</v>
      </c>
      <c r="B183" s="145" t="s">
        <v>1217</v>
      </c>
      <c r="C183" s="145" t="s">
        <v>2347</v>
      </c>
      <c r="D183" s="145" t="s">
        <v>2348</v>
      </c>
      <c r="E183" s="145" t="s">
        <v>309</v>
      </c>
      <c r="F183" s="145" t="s">
        <v>2529</v>
      </c>
      <c r="G183" s="145" t="s">
        <v>2530</v>
      </c>
      <c r="H183" s="145" t="s">
        <v>321</v>
      </c>
      <c r="I183" s="145" t="s">
        <v>965</v>
      </c>
      <c r="J183" s="145" t="s">
        <v>204</v>
      </c>
      <c r="K183" s="145" t="s">
        <v>224</v>
      </c>
      <c r="L183" s="145" t="s">
        <v>340</v>
      </c>
      <c r="M183" s="145" t="s">
        <v>698</v>
      </c>
      <c r="N183" s="145" t="s">
        <v>339</v>
      </c>
      <c r="O183" s="145" t="s">
        <v>1210</v>
      </c>
      <c r="P183" s="146">
        <v>100548</v>
      </c>
      <c r="Q183" s="146">
        <v>1</v>
      </c>
      <c r="R183" s="146">
        <v>15170</v>
      </c>
      <c r="S183" s="151"/>
      <c r="T183" s="146">
        <v>15253.132</v>
      </c>
      <c r="U183" s="148">
        <v>1.2330000000000001E-2</v>
      </c>
      <c r="V183" s="148">
        <v>3.3400000000000001E-3</v>
      </c>
      <c r="W183" s="149">
        <v>6.3000000000000003E-4</v>
      </c>
      <c r="X183" s="196"/>
    </row>
    <row r="184" spans="1:24" x14ac:dyDescent="0.2">
      <c r="A184" s="144" t="s">
        <v>1217</v>
      </c>
      <c r="B184" s="145" t="s">
        <v>1217</v>
      </c>
      <c r="C184" s="145" t="s">
        <v>2347</v>
      </c>
      <c r="D184" s="145" t="s">
        <v>2348</v>
      </c>
      <c r="E184" s="145" t="s">
        <v>309</v>
      </c>
      <c r="F184" s="145" t="s">
        <v>2533</v>
      </c>
      <c r="G184" s="145" t="s">
        <v>2534</v>
      </c>
      <c r="H184" s="145" t="s">
        <v>321</v>
      </c>
      <c r="I184" s="145" t="s">
        <v>964</v>
      </c>
      <c r="J184" s="145" t="s">
        <v>204</v>
      </c>
      <c r="K184" s="145" t="s">
        <v>204</v>
      </c>
      <c r="L184" s="145" t="s">
        <v>340</v>
      </c>
      <c r="M184" s="145" t="s">
        <v>577</v>
      </c>
      <c r="N184" s="145" t="s">
        <v>339</v>
      </c>
      <c r="O184" s="145" t="s">
        <v>1210</v>
      </c>
      <c r="P184" s="146">
        <v>43790</v>
      </c>
      <c r="Q184" s="146">
        <v>1</v>
      </c>
      <c r="R184" s="146">
        <v>22890</v>
      </c>
      <c r="S184" s="151"/>
      <c r="T184" s="146">
        <v>10023.531000000001</v>
      </c>
      <c r="U184" s="148">
        <v>1.4499999999999999E-3</v>
      </c>
      <c r="V184" s="148">
        <v>2.1900000000000001E-3</v>
      </c>
      <c r="W184" s="149">
        <v>4.0999999999999999E-4</v>
      </c>
      <c r="X184" s="196"/>
    </row>
    <row r="185" spans="1:24" x14ac:dyDescent="0.2">
      <c r="A185" s="144" t="s">
        <v>1217</v>
      </c>
      <c r="B185" s="145" t="s">
        <v>1217</v>
      </c>
      <c r="C185" s="145" t="s">
        <v>2351</v>
      </c>
      <c r="D185" s="145" t="s">
        <v>2352</v>
      </c>
      <c r="E185" s="145" t="s">
        <v>309</v>
      </c>
      <c r="F185" s="145" t="s">
        <v>2535</v>
      </c>
      <c r="G185" s="145" t="s">
        <v>2536</v>
      </c>
      <c r="H185" s="145" t="s">
        <v>321</v>
      </c>
      <c r="I185" s="145" t="s">
        <v>964</v>
      </c>
      <c r="J185" s="145" t="s">
        <v>204</v>
      </c>
      <c r="K185" s="145" t="s">
        <v>204</v>
      </c>
      <c r="L185" s="145" t="s">
        <v>340</v>
      </c>
      <c r="M185" s="145" t="s">
        <v>577</v>
      </c>
      <c r="N185" s="145" t="s">
        <v>339</v>
      </c>
      <c r="O185" s="145" t="s">
        <v>1210</v>
      </c>
      <c r="P185" s="146">
        <v>59722</v>
      </c>
      <c r="Q185" s="146">
        <v>1</v>
      </c>
      <c r="R185" s="146">
        <v>3593</v>
      </c>
      <c r="S185" s="151"/>
      <c r="T185" s="146">
        <v>2145.8110000000001</v>
      </c>
      <c r="U185" s="148">
        <v>1E-3</v>
      </c>
      <c r="V185" s="148">
        <v>4.6999999999999999E-4</v>
      </c>
      <c r="W185" s="149">
        <v>9.0000000000000006E-5</v>
      </c>
      <c r="X185" s="196"/>
    </row>
    <row r="186" spans="1:24" x14ac:dyDescent="0.2">
      <c r="A186" s="144" t="s">
        <v>1217</v>
      </c>
      <c r="B186" s="145" t="s">
        <v>1217</v>
      </c>
      <c r="C186" s="145" t="s">
        <v>2373</v>
      </c>
      <c r="D186" s="145" t="s">
        <v>2374</v>
      </c>
      <c r="E186" s="145" t="s">
        <v>313</v>
      </c>
      <c r="F186" s="145" t="s">
        <v>2375</v>
      </c>
      <c r="G186" s="145" t="s">
        <v>2376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344</v>
      </c>
      <c r="M186" s="145" t="s">
        <v>604</v>
      </c>
      <c r="N186" s="145" t="s">
        <v>339</v>
      </c>
      <c r="O186" s="145" t="s">
        <v>1211</v>
      </c>
      <c r="P186" s="146">
        <v>193369</v>
      </c>
      <c r="Q186" s="146">
        <v>3.718</v>
      </c>
      <c r="R186" s="146">
        <v>55939</v>
      </c>
      <c r="S186" s="146">
        <v>327.86099999999999</v>
      </c>
      <c r="T186" s="146">
        <v>403390.158</v>
      </c>
      <c r="U186" s="148">
        <v>1.8000000000000001E-4</v>
      </c>
      <c r="V186" s="148">
        <v>8.8389999999999996E-2</v>
      </c>
      <c r="W186" s="149">
        <v>1.661E-2</v>
      </c>
      <c r="X186" s="196"/>
    </row>
    <row r="187" spans="1:24" x14ac:dyDescent="0.2">
      <c r="A187" s="144" t="s">
        <v>1217</v>
      </c>
      <c r="B187" s="145" t="s">
        <v>1217</v>
      </c>
      <c r="C187" s="145" t="s">
        <v>2380</v>
      </c>
      <c r="D187" s="145" t="s">
        <v>2381</v>
      </c>
      <c r="E187" s="145" t="s">
        <v>313</v>
      </c>
      <c r="F187" s="145" t="s">
        <v>2382</v>
      </c>
      <c r="G187" s="145" t="s">
        <v>2383</v>
      </c>
      <c r="H187" s="145" t="s">
        <v>321</v>
      </c>
      <c r="I187" s="145" t="s">
        <v>965</v>
      </c>
      <c r="J187" s="145" t="s">
        <v>205</v>
      </c>
      <c r="K187" s="145" t="s">
        <v>224</v>
      </c>
      <c r="L187" s="145" t="s">
        <v>344</v>
      </c>
      <c r="M187" s="145" t="s">
        <v>597</v>
      </c>
      <c r="N187" s="145" t="s">
        <v>339</v>
      </c>
      <c r="O187" s="145" t="s">
        <v>1211</v>
      </c>
      <c r="P187" s="146">
        <v>218320</v>
      </c>
      <c r="Q187" s="146">
        <v>3.718</v>
      </c>
      <c r="R187" s="146">
        <v>46892</v>
      </c>
      <c r="S187" s="146">
        <v>156.25399999999999</v>
      </c>
      <c r="T187" s="146">
        <v>381209.76799999998</v>
      </c>
      <c r="U187" s="148">
        <v>3.5E-4</v>
      </c>
      <c r="V187" s="148">
        <v>8.3500000000000005E-2</v>
      </c>
      <c r="W187" s="149">
        <v>1.5689999999999999E-2</v>
      </c>
      <c r="X187" s="196"/>
    </row>
    <row r="188" spans="1:24" x14ac:dyDescent="0.2">
      <c r="A188" s="144" t="s">
        <v>1217</v>
      </c>
      <c r="B188" s="145" t="s">
        <v>1217</v>
      </c>
      <c r="C188" s="145" t="s">
        <v>2394</v>
      </c>
      <c r="D188" s="145" t="s">
        <v>2395</v>
      </c>
      <c r="E188" s="145" t="s">
        <v>313</v>
      </c>
      <c r="F188" s="145" t="s">
        <v>2394</v>
      </c>
      <c r="G188" s="145" t="s">
        <v>2396</v>
      </c>
      <c r="H188" s="145" t="s">
        <v>321</v>
      </c>
      <c r="I188" s="145" t="s">
        <v>967</v>
      </c>
      <c r="J188" s="145" t="s">
        <v>205</v>
      </c>
      <c r="K188" s="145" t="s">
        <v>224</v>
      </c>
      <c r="L188" s="145" t="s">
        <v>380</v>
      </c>
      <c r="M188" s="145" t="s">
        <v>592</v>
      </c>
      <c r="N188" s="145" t="s">
        <v>339</v>
      </c>
      <c r="O188" s="145" t="s">
        <v>1211</v>
      </c>
      <c r="P188" s="146">
        <v>15083723</v>
      </c>
      <c r="Q188" s="146">
        <v>3.718</v>
      </c>
      <c r="R188" s="146">
        <v>597.45000000000005</v>
      </c>
      <c r="S188" s="151"/>
      <c r="T188" s="146">
        <v>335057.62</v>
      </c>
      <c r="U188" s="148">
        <v>2.2419999999999999E-2</v>
      </c>
      <c r="V188" s="148">
        <v>7.3359999999999995E-2</v>
      </c>
      <c r="W188" s="149">
        <v>1.3780000000000001E-2</v>
      </c>
      <c r="X188" s="196"/>
    </row>
    <row r="189" spans="1:24" x14ac:dyDescent="0.2">
      <c r="A189" s="144" t="s">
        <v>1217</v>
      </c>
      <c r="B189" s="145" t="s">
        <v>1217</v>
      </c>
      <c r="C189" s="145" t="s">
        <v>2391</v>
      </c>
      <c r="D189" s="145" t="s">
        <v>2392</v>
      </c>
      <c r="E189" s="145" t="s">
        <v>313</v>
      </c>
      <c r="F189" s="145" t="s">
        <v>2391</v>
      </c>
      <c r="G189" s="145" t="s">
        <v>2393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586</v>
      </c>
      <c r="N189" s="145" t="s">
        <v>339</v>
      </c>
      <c r="O189" s="145" t="s">
        <v>1211</v>
      </c>
      <c r="P189" s="146">
        <v>1467986</v>
      </c>
      <c r="Q189" s="146">
        <v>3.718</v>
      </c>
      <c r="R189" s="146">
        <v>4981</v>
      </c>
      <c r="S189" s="151"/>
      <c r="T189" s="146">
        <v>271861.58299999998</v>
      </c>
      <c r="U189" s="148">
        <v>1.47E-3</v>
      </c>
      <c r="V189" s="148">
        <v>5.9520000000000003E-2</v>
      </c>
      <c r="W189" s="149">
        <v>1.1180000000000001E-2</v>
      </c>
      <c r="X189" s="196"/>
    </row>
    <row r="190" spans="1:24" x14ac:dyDescent="0.2">
      <c r="A190" s="144" t="s">
        <v>1217</v>
      </c>
      <c r="B190" s="145" t="s">
        <v>1217</v>
      </c>
      <c r="C190" s="145" t="s">
        <v>2377</v>
      </c>
      <c r="D190" s="145" t="s">
        <v>2378</v>
      </c>
      <c r="E190" s="145" t="s">
        <v>313</v>
      </c>
      <c r="F190" s="145" t="s">
        <v>2377</v>
      </c>
      <c r="G190" s="145" t="s">
        <v>2379</v>
      </c>
      <c r="H190" s="145" t="s">
        <v>321</v>
      </c>
      <c r="I190" s="145" t="s">
        <v>965</v>
      </c>
      <c r="J190" s="145" t="s">
        <v>205</v>
      </c>
      <c r="K190" s="145" t="s">
        <v>224</v>
      </c>
      <c r="L190" s="145" t="s">
        <v>344</v>
      </c>
      <c r="M190" s="145" t="s">
        <v>604</v>
      </c>
      <c r="N190" s="145" t="s">
        <v>339</v>
      </c>
      <c r="O190" s="145" t="s">
        <v>1211</v>
      </c>
      <c r="P190" s="146">
        <v>121722</v>
      </c>
      <c r="Q190" s="146">
        <v>3.718</v>
      </c>
      <c r="R190" s="146">
        <v>51391</v>
      </c>
      <c r="S190" s="146">
        <v>220.572</v>
      </c>
      <c r="T190" s="146">
        <v>233396.429</v>
      </c>
      <c r="U190" s="148">
        <v>1.1E-4</v>
      </c>
      <c r="V190" s="148">
        <v>5.1150000000000001E-2</v>
      </c>
      <c r="W190" s="149">
        <v>9.6100000000000005E-3</v>
      </c>
      <c r="X190" s="196"/>
    </row>
    <row r="191" spans="1:24" x14ac:dyDescent="0.2">
      <c r="A191" s="144" t="s">
        <v>1217</v>
      </c>
      <c r="B191" s="145" t="s">
        <v>1217</v>
      </c>
      <c r="C191" s="145" t="s">
        <v>2403</v>
      </c>
      <c r="D191" s="145" t="s">
        <v>2404</v>
      </c>
      <c r="E191" s="145" t="s">
        <v>313</v>
      </c>
      <c r="F191" s="145" t="s">
        <v>2405</v>
      </c>
      <c r="G191" s="145" t="s">
        <v>2406</v>
      </c>
      <c r="H191" s="145" t="s">
        <v>321</v>
      </c>
      <c r="I191" s="145" t="s">
        <v>965</v>
      </c>
      <c r="J191" s="145" t="s">
        <v>205</v>
      </c>
      <c r="K191" s="145" t="s">
        <v>224</v>
      </c>
      <c r="L191" s="145" t="s">
        <v>344</v>
      </c>
      <c r="M191" s="145" t="s">
        <v>583</v>
      </c>
      <c r="N191" s="145" t="s">
        <v>339</v>
      </c>
      <c r="O191" s="145" t="s">
        <v>1211</v>
      </c>
      <c r="P191" s="146">
        <v>329135</v>
      </c>
      <c r="Q191" s="146">
        <v>3.718</v>
      </c>
      <c r="R191" s="146">
        <v>13107</v>
      </c>
      <c r="S191" s="151"/>
      <c r="T191" s="146">
        <v>160393.49600000001</v>
      </c>
      <c r="U191" s="148">
        <v>2.0999999999999999E-3</v>
      </c>
      <c r="V191" s="148">
        <v>3.5119999999999998E-2</v>
      </c>
      <c r="W191" s="149">
        <v>6.6E-3</v>
      </c>
      <c r="X191" s="196"/>
    </row>
    <row r="192" spans="1:24" x14ac:dyDescent="0.2">
      <c r="A192" s="144" t="s">
        <v>1217</v>
      </c>
      <c r="B192" s="145" t="s">
        <v>1217</v>
      </c>
      <c r="C192" s="145" t="s">
        <v>2421</v>
      </c>
      <c r="D192" s="145" t="s">
        <v>2422</v>
      </c>
      <c r="E192" s="145" t="s">
        <v>313</v>
      </c>
      <c r="F192" s="145" t="s">
        <v>2423</v>
      </c>
      <c r="G192" s="145" t="s">
        <v>2424</v>
      </c>
      <c r="H192" s="145" t="s">
        <v>321</v>
      </c>
      <c r="I192" s="145" t="s">
        <v>965</v>
      </c>
      <c r="J192" s="145" t="s">
        <v>205</v>
      </c>
      <c r="K192" s="145" t="s">
        <v>224</v>
      </c>
      <c r="L192" s="145" t="s">
        <v>344</v>
      </c>
      <c r="M192" s="145" t="s">
        <v>580</v>
      </c>
      <c r="N192" s="145" t="s">
        <v>339</v>
      </c>
      <c r="O192" s="145" t="s">
        <v>1211</v>
      </c>
      <c r="P192" s="146">
        <v>905223</v>
      </c>
      <c r="Q192" s="146">
        <v>3.718</v>
      </c>
      <c r="R192" s="146">
        <v>4371</v>
      </c>
      <c r="S192" s="151"/>
      <c r="T192" s="146">
        <v>147111.21100000001</v>
      </c>
      <c r="U192" s="148">
        <v>1.223E-2</v>
      </c>
      <c r="V192" s="148">
        <v>3.2210000000000003E-2</v>
      </c>
      <c r="W192" s="149">
        <v>6.0499999999999998E-3</v>
      </c>
      <c r="X192" s="196"/>
    </row>
    <row r="193" spans="1:24" x14ac:dyDescent="0.2">
      <c r="A193" s="144" t="s">
        <v>1217</v>
      </c>
      <c r="B193" s="145" t="s">
        <v>1217</v>
      </c>
      <c r="C193" s="145" t="s">
        <v>2425</v>
      </c>
      <c r="D193" s="145" t="s">
        <v>2426</v>
      </c>
      <c r="E193" s="145" t="s">
        <v>313</v>
      </c>
      <c r="F193" s="145" t="s">
        <v>2427</v>
      </c>
      <c r="G193" s="145" t="s">
        <v>2428</v>
      </c>
      <c r="H193" s="145" t="s">
        <v>321</v>
      </c>
      <c r="I193" s="145" t="s">
        <v>965</v>
      </c>
      <c r="J193" s="145" t="s">
        <v>205</v>
      </c>
      <c r="K193" s="145" t="s">
        <v>224</v>
      </c>
      <c r="L193" s="145" t="s">
        <v>344</v>
      </c>
      <c r="M193" s="145" t="s">
        <v>612</v>
      </c>
      <c r="N193" s="145" t="s">
        <v>339</v>
      </c>
      <c r="O193" s="145" t="s">
        <v>1211</v>
      </c>
      <c r="P193" s="146">
        <v>381765</v>
      </c>
      <c r="Q193" s="146">
        <v>3.718</v>
      </c>
      <c r="R193" s="146">
        <v>8899</v>
      </c>
      <c r="S193" s="151"/>
      <c r="T193" s="146">
        <v>126312.60799999999</v>
      </c>
      <c r="U193" s="148">
        <v>4.1000000000000003E-3</v>
      </c>
      <c r="V193" s="148">
        <v>2.7660000000000001E-2</v>
      </c>
      <c r="W193" s="149">
        <v>5.1999999999999998E-3</v>
      </c>
      <c r="X193" s="196"/>
    </row>
    <row r="194" spans="1:24" x14ac:dyDescent="0.2">
      <c r="A194" s="144" t="s">
        <v>1217</v>
      </c>
      <c r="B194" s="145" t="s">
        <v>1217</v>
      </c>
      <c r="C194" s="145" t="s">
        <v>2485</v>
      </c>
      <c r="D194" s="145" t="s">
        <v>2486</v>
      </c>
      <c r="E194" s="145" t="s">
        <v>313</v>
      </c>
      <c r="F194" s="145" t="s">
        <v>2485</v>
      </c>
      <c r="G194" s="145" t="s">
        <v>2487</v>
      </c>
      <c r="H194" s="145" t="s">
        <v>321</v>
      </c>
      <c r="I194" s="145" t="s">
        <v>967</v>
      </c>
      <c r="J194" s="145" t="s">
        <v>205</v>
      </c>
      <c r="K194" s="145" t="s">
        <v>233</v>
      </c>
      <c r="L194" s="145" t="s">
        <v>380</v>
      </c>
      <c r="M194" s="145" t="s">
        <v>677</v>
      </c>
      <c r="N194" s="145" t="s">
        <v>339</v>
      </c>
      <c r="O194" s="145" t="s">
        <v>1211</v>
      </c>
      <c r="P194" s="146">
        <v>308003</v>
      </c>
      <c r="Q194" s="146">
        <v>3.718</v>
      </c>
      <c r="R194" s="146">
        <v>9483</v>
      </c>
      <c r="S194" s="151"/>
      <c r="T194" s="146">
        <v>108595.06299999999</v>
      </c>
      <c r="U194" s="148">
        <v>9.1400000000000006E-3</v>
      </c>
      <c r="V194" s="148">
        <v>2.3779999999999999E-2</v>
      </c>
      <c r="W194" s="149">
        <v>4.47E-3</v>
      </c>
      <c r="X194" s="196"/>
    </row>
    <row r="195" spans="1:24" x14ac:dyDescent="0.2">
      <c r="A195" s="144" t="s">
        <v>1217</v>
      </c>
      <c r="B195" s="145" t="s">
        <v>1217</v>
      </c>
      <c r="C195" s="145" t="s">
        <v>2436</v>
      </c>
      <c r="D195" s="145" t="s">
        <v>2437</v>
      </c>
      <c r="E195" s="145" t="s">
        <v>313</v>
      </c>
      <c r="F195" s="145" t="s">
        <v>2436</v>
      </c>
      <c r="G195" s="145" t="s">
        <v>2438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589</v>
      </c>
      <c r="N195" s="145" t="s">
        <v>339</v>
      </c>
      <c r="O195" s="145" t="s">
        <v>1211</v>
      </c>
      <c r="P195" s="146">
        <v>192927</v>
      </c>
      <c r="Q195" s="146">
        <v>3.718</v>
      </c>
      <c r="R195" s="146">
        <v>14601</v>
      </c>
      <c r="S195" s="151"/>
      <c r="T195" s="146">
        <v>104733.351</v>
      </c>
      <c r="U195" s="148">
        <v>7.2999999999999996E-4</v>
      </c>
      <c r="V195" s="148">
        <v>2.2929999999999999E-2</v>
      </c>
      <c r="W195" s="149">
        <v>4.3099999999999996E-3</v>
      </c>
      <c r="X195" s="196"/>
    </row>
    <row r="196" spans="1:24" x14ac:dyDescent="0.2">
      <c r="A196" s="144" t="s">
        <v>1217</v>
      </c>
      <c r="B196" s="145" t="s">
        <v>1217</v>
      </c>
      <c r="C196" s="145" t="s">
        <v>2432</v>
      </c>
      <c r="D196" s="145" t="s">
        <v>2433</v>
      </c>
      <c r="E196" s="145" t="s">
        <v>313</v>
      </c>
      <c r="F196" s="145" t="s">
        <v>2434</v>
      </c>
      <c r="G196" s="145" t="s">
        <v>2435</v>
      </c>
      <c r="H196" s="145" t="s">
        <v>321</v>
      </c>
      <c r="I196" s="145" t="s">
        <v>965</v>
      </c>
      <c r="J196" s="145" t="s">
        <v>205</v>
      </c>
      <c r="K196" s="145" t="s">
        <v>268</v>
      </c>
      <c r="L196" s="145" t="s">
        <v>344</v>
      </c>
      <c r="M196" s="145" t="s">
        <v>588</v>
      </c>
      <c r="N196" s="145" t="s">
        <v>339</v>
      </c>
      <c r="O196" s="145" t="s">
        <v>1211</v>
      </c>
      <c r="P196" s="146">
        <v>514895</v>
      </c>
      <c r="Q196" s="146">
        <v>3.718</v>
      </c>
      <c r="R196" s="146">
        <v>5440</v>
      </c>
      <c r="S196" s="151"/>
      <c r="T196" s="146">
        <v>104142.251</v>
      </c>
      <c r="U196" s="148">
        <v>4.45E-3</v>
      </c>
      <c r="V196" s="148">
        <v>2.2800000000000001E-2</v>
      </c>
      <c r="W196" s="149">
        <v>4.28E-3</v>
      </c>
      <c r="X196" s="196"/>
    </row>
    <row r="197" spans="1:24" x14ac:dyDescent="0.2">
      <c r="A197" s="144" t="s">
        <v>1217</v>
      </c>
      <c r="B197" s="145" t="s">
        <v>1217</v>
      </c>
      <c r="C197" s="145" t="s">
        <v>2429</v>
      </c>
      <c r="D197" s="145" t="s">
        <v>2430</v>
      </c>
      <c r="E197" s="145" t="s">
        <v>313</v>
      </c>
      <c r="F197" s="145" t="s">
        <v>2429</v>
      </c>
      <c r="G197" s="145" t="s">
        <v>2431</v>
      </c>
      <c r="H197" s="145" t="s">
        <v>321</v>
      </c>
      <c r="I197" s="145" t="s">
        <v>965</v>
      </c>
      <c r="J197" s="145" t="s">
        <v>205</v>
      </c>
      <c r="K197" s="145" t="s">
        <v>268</v>
      </c>
      <c r="L197" s="145" t="s">
        <v>344</v>
      </c>
      <c r="M197" s="145" t="s">
        <v>588</v>
      </c>
      <c r="N197" s="145" t="s">
        <v>339</v>
      </c>
      <c r="O197" s="145" t="s">
        <v>1211</v>
      </c>
      <c r="P197" s="146">
        <v>799291</v>
      </c>
      <c r="Q197" s="146">
        <v>3.718</v>
      </c>
      <c r="R197" s="146">
        <v>3491</v>
      </c>
      <c r="S197" s="151"/>
      <c r="T197" s="146">
        <v>103744.27899999999</v>
      </c>
      <c r="U197" s="148">
        <v>4.3400000000000001E-3</v>
      </c>
      <c r="V197" s="148">
        <v>2.2710000000000001E-2</v>
      </c>
      <c r="W197" s="149">
        <v>4.2700000000000004E-3</v>
      </c>
      <c r="X197" s="196"/>
    </row>
    <row r="198" spans="1:24" x14ac:dyDescent="0.2">
      <c r="A198" s="144" t="s">
        <v>1217</v>
      </c>
      <c r="B198" s="145" t="s">
        <v>1217</v>
      </c>
      <c r="C198" s="145" t="s">
        <v>2386</v>
      </c>
      <c r="D198" s="145" t="s">
        <v>2541</v>
      </c>
      <c r="E198" s="145" t="s">
        <v>313</v>
      </c>
      <c r="F198" s="145" t="s">
        <v>2386</v>
      </c>
      <c r="G198" s="145" t="s">
        <v>2542</v>
      </c>
      <c r="H198" s="145" t="s">
        <v>321</v>
      </c>
      <c r="I198" s="145" t="s">
        <v>965</v>
      </c>
      <c r="J198" s="145" t="s">
        <v>205</v>
      </c>
      <c r="K198" s="145" t="s">
        <v>224</v>
      </c>
      <c r="L198" s="145" t="s">
        <v>344</v>
      </c>
      <c r="M198" s="145" t="s">
        <v>604</v>
      </c>
      <c r="N198" s="145" t="s">
        <v>339</v>
      </c>
      <c r="O198" s="145" t="s">
        <v>1211</v>
      </c>
      <c r="P198" s="146">
        <v>565882</v>
      </c>
      <c r="Q198" s="146">
        <v>3.718</v>
      </c>
      <c r="R198" s="146">
        <v>4893</v>
      </c>
      <c r="S198" s="151"/>
      <c r="T198" s="146">
        <v>102946.238</v>
      </c>
      <c r="U198" s="148">
        <v>0.27604000000000001</v>
      </c>
      <c r="V198" s="148">
        <v>2.2540000000000001E-2</v>
      </c>
      <c r="W198" s="149">
        <v>4.2399999999999998E-3</v>
      </c>
      <c r="X198" s="196"/>
    </row>
    <row r="199" spans="1:24" x14ac:dyDescent="0.2">
      <c r="A199" s="144" t="s">
        <v>1217</v>
      </c>
      <c r="B199" s="145" t="s">
        <v>1217</v>
      </c>
      <c r="C199" s="145" t="s">
        <v>2543</v>
      </c>
      <c r="D199" s="145" t="s">
        <v>2544</v>
      </c>
      <c r="E199" s="145" t="s">
        <v>313</v>
      </c>
      <c r="F199" s="145" t="s">
        <v>2543</v>
      </c>
      <c r="G199" s="145" t="s">
        <v>2545</v>
      </c>
      <c r="H199" s="145" t="s">
        <v>321</v>
      </c>
      <c r="I199" s="145" t="s">
        <v>965</v>
      </c>
      <c r="J199" s="145" t="s">
        <v>205</v>
      </c>
      <c r="K199" s="145" t="s">
        <v>293</v>
      </c>
      <c r="L199" s="145" t="s">
        <v>364</v>
      </c>
      <c r="M199" s="145" t="s">
        <v>584</v>
      </c>
      <c r="N199" s="145" t="s">
        <v>339</v>
      </c>
      <c r="O199" s="145" t="s">
        <v>1212</v>
      </c>
      <c r="P199" s="146">
        <v>1444453</v>
      </c>
      <c r="Q199" s="146">
        <v>4.0220000000000002</v>
      </c>
      <c r="R199" s="146">
        <v>1652.8</v>
      </c>
      <c r="S199" s="151"/>
      <c r="T199" s="146">
        <v>96018.516000000003</v>
      </c>
      <c r="U199" s="148">
        <v>5.0110000000000002E-2</v>
      </c>
      <c r="V199" s="148">
        <v>2.102E-2</v>
      </c>
      <c r="W199" s="149">
        <v>3.9500000000000004E-3</v>
      </c>
      <c r="X199" s="196"/>
    </row>
    <row r="200" spans="1:24" x14ac:dyDescent="0.2">
      <c r="A200" s="144" t="s">
        <v>1217</v>
      </c>
      <c r="B200" s="145" t="s">
        <v>1217</v>
      </c>
      <c r="C200" s="145" t="s">
        <v>2400</v>
      </c>
      <c r="D200" s="145" t="s">
        <v>2401</v>
      </c>
      <c r="E200" s="145" t="s">
        <v>313</v>
      </c>
      <c r="F200" s="145" t="s">
        <v>2400</v>
      </c>
      <c r="G200" s="145" t="s">
        <v>2402</v>
      </c>
      <c r="H200" s="145" t="s">
        <v>321</v>
      </c>
      <c r="I200" s="145" t="s">
        <v>965</v>
      </c>
      <c r="J200" s="145" t="s">
        <v>205</v>
      </c>
      <c r="K200" s="145" t="s">
        <v>268</v>
      </c>
      <c r="L200" s="145" t="s">
        <v>344</v>
      </c>
      <c r="M200" s="145" t="s">
        <v>707</v>
      </c>
      <c r="N200" s="145" t="s">
        <v>339</v>
      </c>
      <c r="O200" s="145" t="s">
        <v>1211</v>
      </c>
      <c r="P200" s="146">
        <v>336536</v>
      </c>
      <c r="Q200" s="146">
        <v>3.718</v>
      </c>
      <c r="R200" s="146">
        <v>7400</v>
      </c>
      <c r="S200" s="151"/>
      <c r="T200" s="146">
        <v>92591.823000000004</v>
      </c>
      <c r="U200" s="148">
        <v>8.5000000000000006E-3</v>
      </c>
      <c r="V200" s="148">
        <v>2.027E-2</v>
      </c>
      <c r="W200" s="149">
        <v>3.81E-3</v>
      </c>
      <c r="X200" s="196"/>
    </row>
    <row r="201" spans="1:24" x14ac:dyDescent="0.2">
      <c r="A201" s="144" t="s">
        <v>1217</v>
      </c>
      <c r="B201" s="145" t="s">
        <v>1217</v>
      </c>
      <c r="C201" s="145" t="s">
        <v>2537</v>
      </c>
      <c r="D201" s="145" t="s">
        <v>2538</v>
      </c>
      <c r="E201" s="145" t="s">
        <v>313</v>
      </c>
      <c r="F201" s="145" t="s">
        <v>2539</v>
      </c>
      <c r="G201" s="145" t="s">
        <v>2540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364</v>
      </c>
      <c r="M201" s="145" t="s">
        <v>604</v>
      </c>
      <c r="N201" s="145" t="s">
        <v>339</v>
      </c>
      <c r="O201" s="145" t="s">
        <v>1212</v>
      </c>
      <c r="P201" s="146">
        <v>61639</v>
      </c>
      <c r="Q201" s="146">
        <v>4.0220000000000002</v>
      </c>
      <c r="R201" s="146">
        <v>39730</v>
      </c>
      <c r="S201" s="151"/>
      <c r="T201" s="146">
        <v>91082.875</v>
      </c>
      <c r="U201" s="148">
        <v>2.0899999999999998E-3</v>
      </c>
      <c r="V201" s="148">
        <v>1.9939999999999999E-2</v>
      </c>
      <c r="W201" s="149">
        <v>3.7499999999999999E-3</v>
      </c>
      <c r="X201" s="196"/>
    </row>
    <row r="202" spans="1:24" x14ac:dyDescent="0.2">
      <c r="A202" s="144" t="s">
        <v>1217</v>
      </c>
      <c r="B202" s="145" t="s">
        <v>1217</v>
      </c>
      <c r="C202" s="145" t="s">
        <v>2546</v>
      </c>
      <c r="D202" s="145" t="s">
        <v>2547</v>
      </c>
      <c r="E202" s="145" t="s">
        <v>313</v>
      </c>
      <c r="F202" s="145" t="s">
        <v>2546</v>
      </c>
      <c r="G202" s="145" t="s">
        <v>2548</v>
      </c>
      <c r="H202" s="145" t="s">
        <v>321</v>
      </c>
      <c r="I202" s="145" t="s">
        <v>965</v>
      </c>
      <c r="J202" s="145" t="s">
        <v>205</v>
      </c>
      <c r="K202" s="145" t="s">
        <v>224</v>
      </c>
      <c r="L202" s="145" t="s">
        <v>344</v>
      </c>
      <c r="M202" s="145" t="s">
        <v>703</v>
      </c>
      <c r="N202" s="145" t="s">
        <v>339</v>
      </c>
      <c r="O202" s="145" t="s">
        <v>1211</v>
      </c>
      <c r="P202" s="146">
        <v>619923</v>
      </c>
      <c r="Q202" s="146">
        <v>3.718</v>
      </c>
      <c r="R202" s="146">
        <v>3773</v>
      </c>
      <c r="S202" s="151"/>
      <c r="T202" s="146">
        <v>86962.884999999995</v>
      </c>
      <c r="U202" s="148">
        <v>2.9199999999999999E-3</v>
      </c>
      <c r="V202" s="148">
        <v>1.9040000000000001E-2</v>
      </c>
      <c r="W202" s="149">
        <v>3.5799999999999998E-3</v>
      </c>
      <c r="X202" s="196"/>
    </row>
    <row r="203" spans="1:24" x14ac:dyDescent="0.2">
      <c r="A203" s="144" t="s">
        <v>1217</v>
      </c>
      <c r="B203" s="145" t="s">
        <v>1217</v>
      </c>
      <c r="C203" s="145" t="s">
        <v>2460</v>
      </c>
      <c r="D203" s="145" t="s">
        <v>2378</v>
      </c>
      <c r="E203" s="145" t="s">
        <v>313</v>
      </c>
      <c r="F203" s="145" t="s">
        <v>2460</v>
      </c>
      <c r="G203" s="145" t="s">
        <v>2461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344</v>
      </c>
      <c r="M203" s="145" t="s">
        <v>708</v>
      </c>
      <c r="N203" s="145" t="s">
        <v>339</v>
      </c>
      <c r="O203" s="145" t="s">
        <v>1211</v>
      </c>
      <c r="P203" s="146">
        <v>227416</v>
      </c>
      <c r="Q203" s="146">
        <v>3.718</v>
      </c>
      <c r="R203" s="146">
        <v>9870</v>
      </c>
      <c r="S203" s="151"/>
      <c r="T203" s="146">
        <v>83454.076000000001</v>
      </c>
      <c r="U203" s="148">
        <v>1.0059999999999999E-2</v>
      </c>
      <c r="V203" s="148">
        <v>1.8270000000000002E-2</v>
      </c>
      <c r="W203" s="149">
        <v>3.4299999999999999E-3</v>
      </c>
      <c r="X203" s="196"/>
    </row>
    <row r="204" spans="1:24" x14ac:dyDescent="0.2">
      <c r="A204" s="144" t="s">
        <v>1217</v>
      </c>
      <c r="B204" s="145" t="s">
        <v>1217</v>
      </c>
      <c r="C204" s="145" t="s">
        <v>2465</v>
      </c>
      <c r="D204" s="145" t="s">
        <v>2466</v>
      </c>
      <c r="E204" s="145" t="s">
        <v>313</v>
      </c>
      <c r="F204" s="145" t="s">
        <v>2465</v>
      </c>
      <c r="G204" s="145" t="s">
        <v>2467</v>
      </c>
      <c r="H204" s="145" t="s">
        <v>321</v>
      </c>
      <c r="I204" s="145" t="s">
        <v>965</v>
      </c>
      <c r="J204" s="145" t="s">
        <v>205</v>
      </c>
      <c r="K204" s="145" t="s">
        <v>224</v>
      </c>
      <c r="L204" s="145" t="s">
        <v>344</v>
      </c>
      <c r="M204" s="145" t="s">
        <v>708</v>
      </c>
      <c r="N204" s="145" t="s">
        <v>339</v>
      </c>
      <c r="O204" s="145" t="s">
        <v>1211</v>
      </c>
      <c r="P204" s="146">
        <v>224139</v>
      </c>
      <c r="Q204" s="146">
        <v>3.718</v>
      </c>
      <c r="R204" s="146">
        <v>9645</v>
      </c>
      <c r="S204" s="151"/>
      <c r="T204" s="146">
        <v>80376.491999999998</v>
      </c>
      <c r="U204" s="148">
        <v>1.08E-3</v>
      </c>
      <c r="V204" s="148">
        <v>1.7600000000000001E-2</v>
      </c>
      <c r="W204" s="149">
        <v>3.31E-3</v>
      </c>
      <c r="X204" s="196"/>
    </row>
    <row r="205" spans="1:24" x14ac:dyDescent="0.2">
      <c r="A205" s="144" t="s">
        <v>1217</v>
      </c>
      <c r="B205" s="145" t="s">
        <v>1217</v>
      </c>
      <c r="C205" s="145" t="s">
        <v>2468</v>
      </c>
      <c r="D205" s="145" t="s">
        <v>2469</v>
      </c>
      <c r="E205" s="145" t="s">
        <v>313</v>
      </c>
      <c r="F205" s="145" t="s">
        <v>2468</v>
      </c>
      <c r="G205" s="145" t="s">
        <v>2470</v>
      </c>
      <c r="H205" s="145" t="s">
        <v>321</v>
      </c>
      <c r="I205" s="145" t="s">
        <v>965</v>
      </c>
      <c r="J205" s="145" t="s">
        <v>205</v>
      </c>
      <c r="K205" s="145" t="s">
        <v>246</v>
      </c>
      <c r="L205" s="145" t="s">
        <v>370</v>
      </c>
      <c r="M205" s="145" t="s">
        <v>707</v>
      </c>
      <c r="N205" s="145" t="s">
        <v>339</v>
      </c>
      <c r="O205" s="145" t="s">
        <v>1213</v>
      </c>
      <c r="P205" s="146">
        <v>14280420</v>
      </c>
      <c r="Q205" s="146">
        <v>0.47799999999999998</v>
      </c>
      <c r="R205" s="146">
        <v>1129</v>
      </c>
      <c r="S205" s="151"/>
      <c r="T205" s="146">
        <v>77049.877999999997</v>
      </c>
      <c r="U205" s="148">
        <v>9.9169999999999994E-2</v>
      </c>
      <c r="V205" s="148">
        <v>1.687E-2</v>
      </c>
      <c r="W205" s="149">
        <v>3.1700000000000001E-3</v>
      </c>
      <c r="X205" s="196"/>
    </row>
    <row r="206" spans="1:24" x14ac:dyDescent="0.2">
      <c r="A206" s="144" t="s">
        <v>1217</v>
      </c>
      <c r="B206" s="145" t="s">
        <v>1217</v>
      </c>
      <c r="C206" s="145" t="s">
        <v>2397</v>
      </c>
      <c r="D206" s="145" t="s">
        <v>2398</v>
      </c>
      <c r="E206" s="145" t="s">
        <v>313</v>
      </c>
      <c r="F206" s="145" t="s">
        <v>2397</v>
      </c>
      <c r="G206" s="145" t="s">
        <v>2399</v>
      </c>
      <c r="H206" s="145" t="s">
        <v>321</v>
      </c>
      <c r="I206" s="145" t="s">
        <v>965</v>
      </c>
      <c r="J206" s="145" t="s">
        <v>205</v>
      </c>
      <c r="K206" s="145" t="s">
        <v>224</v>
      </c>
      <c r="L206" s="145" t="s">
        <v>344</v>
      </c>
      <c r="M206" s="145" t="s">
        <v>596</v>
      </c>
      <c r="N206" s="145" t="s">
        <v>339</v>
      </c>
      <c r="O206" s="145" t="s">
        <v>1211</v>
      </c>
      <c r="P206" s="146">
        <v>582535</v>
      </c>
      <c r="Q206" s="146">
        <v>3.718</v>
      </c>
      <c r="R206" s="146">
        <v>3087</v>
      </c>
      <c r="S206" s="151"/>
      <c r="T206" s="146">
        <v>66860.256999999998</v>
      </c>
      <c r="U206" s="148">
        <v>4.9699999999999996E-3</v>
      </c>
      <c r="V206" s="148">
        <v>1.464E-2</v>
      </c>
      <c r="W206" s="149">
        <v>2.7499999999999998E-3</v>
      </c>
      <c r="X206" s="196"/>
    </row>
    <row r="207" spans="1:24" x14ac:dyDescent="0.2">
      <c r="A207" s="144" t="s">
        <v>1217</v>
      </c>
      <c r="B207" s="145" t="s">
        <v>1217</v>
      </c>
      <c r="C207" s="145" t="s">
        <v>2452</v>
      </c>
      <c r="D207" s="145" t="s">
        <v>2453</v>
      </c>
      <c r="E207" s="145" t="s">
        <v>313</v>
      </c>
      <c r="F207" s="145" t="s">
        <v>2454</v>
      </c>
      <c r="G207" s="145" t="s">
        <v>2455</v>
      </c>
      <c r="H207" s="145" t="s">
        <v>321</v>
      </c>
      <c r="I207" s="145" t="s">
        <v>965</v>
      </c>
      <c r="J207" s="145" t="s">
        <v>205</v>
      </c>
      <c r="K207" s="145" t="s">
        <v>224</v>
      </c>
      <c r="L207" s="145" t="s">
        <v>344</v>
      </c>
      <c r="M207" s="145" t="s">
        <v>703</v>
      </c>
      <c r="N207" s="145" t="s">
        <v>339</v>
      </c>
      <c r="O207" s="145" t="s">
        <v>1211</v>
      </c>
      <c r="P207" s="146">
        <v>152994</v>
      </c>
      <c r="Q207" s="146">
        <v>3.718</v>
      </c>
      <c r="R207" s="146">
        <v>11655</v>
      </c>
      <c r="S207" s="151"/>
      <c r="T207" s="146">
        <v>66297.334000000003</v>
      </c>
      <c r="U207" s="148">
        <v>3.9300000000000003E-3</v>
      </c>
      <c r="V207" s="148">
        <v>1.452E-2</v>
      </c>
      <c r="W207" s="149">
        <v>2.7299999999999998E-3</v>
      </c>
      <c r="X207" s="196"/>
    </row>
    <row r="208" spans="1:24" x14ac:dyDescent="0.2">
      <c r="A208" s="144" t="s">
        <v>1217</v>
      </c>
      <c r="B208" s="145" t="s">
        <v>1217</v>
      </c>
      <c r="C208" s="145" t="s">
        <v>2413</v>
      </c>
      <c r="D208" s="145" t="s">
        <v>2414</v>
      </c>
      <c r="E208" s="145" t="s">
        <v>313</v>
      </c>
      <c r="F208" s="145" t="s">
        <v>2415</v>
      </c>
      <c r="G208" s="145" t="s">
        <v>2416</v>
      </c>
      <c r="H208" s="145" t="s">
        <v>321</v>
      </c>
      <c r="I208" s="145" t="s">
        <v>965</v>
      </c>
      <c r="J208" s="145" t="s">
        <v>205</v>
      </c>
      <c r="K208" s="145" t="s">
        <v>224</v>
      </c>
      <c r="L208" s="145" t="s">
        <v>344</v>
      </c>
      <c r="M208" s="145" t="s">
        <v>708</v>
      </c>
      <c r="N208" s="145" t="s">
        <v>339</v>
      </c>
      <c r="O208" s="145" t="s">
        <v>1211</v>
      </c>
      <c r="P208" s="146">
        <v>41616</v>
      </c>
      <c r="Q208" s="146">
        <v>3.718</v>
      </c>
      <c r="R208" s="146">
        <v>41988</v>
      </c>
      <c r="S208" s="146">
        <v>33.323</v>
      </c>
      <c r="T208" s="146">
        <v>65091.207999999999</v>
      </c>
      <c r="U208" s="148">
        <v>4.6999999999999999E-4</v>
      </c>
      <c r="V208" s="148">
        <v>1.426E-2</v>
      </c>
      <c r="W208" s="149">
        <v>2.6800000000000001E-3</v>
      </c>
      <c r="X208" s="196"/>
    </row>
    <row r="209" spans="1:24" x14ac:dyDescent="0.2">
      <c r="A209" s="144" t="s">
        <v>1217</v>
      </c>
      <c r="B209" s="145" t="s">
        <v>1217</v>
      </c>
      <c r="C209" s="145" t="s">
        <v>2407</v>
      </c>
      <c r="D209" s="145" t="s">
        <v>2408</v>
      </c>
      <c r="E209" s="145" t="s">
        <v>313</v>
      </c>
      <c r="F209" s="145" t="s">
        <v>2407</v>
      </c>
      <c r="G209" s="145" t="s">
        <v>2409</v>
      </c>
      <c r="H209" s="145" t="s">
        <v>321</v>
      </c>
      <c r="I209" s="145" t="s">
        <v>965</v>
      </c>
      <c r="J209" s="145" t="s">
        <v>205</v>
      </c>
      <c r="K209" s="145" t="s">
        <v>253</v>
      </c>
      <c r="L209" s="145" t="s">
        <v>314</v>
      </c>
      <c r="M209" s="145" t="s">
        <v>610</v>
      </c>
      <c r="N209" s="145" t="s">
        <v>339</v>
      </c>
      <c r="O209" s="145" t="s">
        <v>1212</v>
      </c>
      <c r="P209" s="146">
        <v>64388</v>
      </c>
      <c r="Q209" s="146">
        <v>4.0220000000000002</v>
      </c>
      <c r="R209" s="146">
        <v>25113</v>
      </c>
      <c r="S209" s="151"/>
      <c r="T209" s="146">
        <v>65033.150999999998</v>
      </c>
      <c r="U209" s="148">
        <v>1.8E-3</v>
      </c>
      <c r="V209" s="148">
        <v>1.4239999999999999E-2</v>
      </c>
      <c r="W209" s="149">
        <v>2.6800000000000001E-3</v>
      </c>
      <c r="X209" s="196"/>
    </row>
    <row r="210" spans="1:24" x14ac:dyDescent="0.2">
      <c r="A210" s="144" t="s">
        <v>1217</v>
      </c>
      <c r="B210" s="145" t="s">
        <v>1217</v>
      </c>
      <c r="C210" s="145" t="s">
        <v>2549</v>
      </c>
      <c r="D210" s="145" t="s">
        <v>2550</v>
      </c>
      <c r="E210" s="145" t="s">
        <v>313</v>
      </c>
      <c r="F210" s="145" t="s">
        <v>2549</v>
      </c>
      <c r="G210" s="145" t="s">
        <v>2551</v>
      </c>
      <c r="H210" s="145" t="s">
        <v>321</v>
      </c>
      <c r="I210" s="145" t="s">
        <v>965</v>
      </c>
      <c r="J210" s="145" t="s">
        <v>205</v>
      </c>
      <c r="K210" s="145" t="s">
        <v>224</v>
      </c>
      <c r="L210" s="145" t="s">
        <v>344</v>
      </c>
      <c r="M210" s="145" t="s">
        <v>708</v>
      </c>
      <c r="N210" s="145" t="s">
        <v>339</v>
      </c>
      <c r="O210" s="145" t="s">
        <v>1211</v>
      </c>
      <c r="P210" s="146">
        <v>132290</v>
      </c>
      <c r="Q210" s="146">
        <v>3.718</v>
      </c>
      <c r="R210" s="146">
        <v>12617</v>
      </c>
      <c r="S210" s="151"/>
      <c r="T210" s="146">
        <v>62057.247000000003</v>
      </c>
      <c r="U210" s="148">
        <v>3.3489999999999999E-2</v>
      </c>
      <c r="V210" s="148">
        <v>1.359E-2</v>
      </c>
      <c r="W210" s="149">
        <v>2.5500000000000002E-3</v>
      </c>
      <c r="X210" s="196"/>
    </row>
    <row r="211" spans="1:24" x14ac:dyDescent="0.2">
      <c r="A211" s="144" t="s">
        <v>1217</v>
      </c>
      <c r="B211" s="145" t="s">
        <v>1217</v>
      </c>
      <c r="C211" s="145" t="s">
        <v>2388</v>
      </c>
      <c r="D211" s="145" t="s">
        <v>2389</v>
      </c>
      <c r="E211" s="145" t="s">
        <v>313</v>
      </c>
      <c r="F211" s="145" t="s">
        <v>2388</v>
      </c>
      <c r="G211" s="145" t="s">
        <v>2390</v>
      </c>
      <c r="H211" s="145" t="s">
        <v>321</v>
      </c>
      <c r="I211" s="145" t="s">
        <v>965</v>
      </c>
      <c r="J211" s="145" t="s">
        <v>205</v>
      </c>
      <c r="K211" s="145" t="s">
        <v>224</v>
      </c>
      <c r="L211" s="145" t="s">
        <v>344</v>
      </c>
      <c r="M211" s="145" t="s">
        <v>611</v>
      </c>
      <c r="N211" s="145" t="s">
        <v>339</v>
      </c>
      <c r="O211" s="145" t="s">
        <v>1211</v>
      </c>
      <c r="P211" s="146">
        <v>80528</v>
      </c>
      <c r="Q211" s="146">
        <v>3.718</v>
      </c>
      <c r="R211" s="146">
        <v>20648</v>
      </c>
      <c r="S211" s="151"/>
      <c r="T211" s="146">
        <v>61820.752999999997</v>
      </c>
      <c r="U211" s="148">
        <v>2.5999999999999998E-4</v>
      </c>
      <c r="V211" s="148">
        <v>1.354E-2</v>
      </c>
      <c r="W211" s="149">
        <v>2.5400000000000002E-3</v>
      </c>
      <c r="X211" s="196"/>
    </row>
    <row r="212" spans="1:24" x14ac:dyDescent="0.2">
      <c r="A212" s="144" t="s">
        <v>1217</v>
      </c>
      <c r="B212" s="145" t="s">
        <v>1217</v>
      </c>
      <c r="C212" s="145" t="s">
        <v>2443</v>
      </c>
      <c r="D212" s="145" t="s">
        <v>2444</v>
      </c>
      <c r="E212" s="145" t="s">
        <v>313</v>
      </c>
      <c r="F212" s="145" t="s">
        <v>2443</v>
      </c>
      <c r="G212" s="145" t="s">
        <v>2445</v>
      </c>
      <c r="H212" s="145" t="s">
        <v>321</v>
      </c>
      <c r="I212" s="145" t="s">
        <v>965</v>
      </c>
      <c r="J212" s="145" t="s">
        <v>205</v>
      </c>
      <c r="K212" s="145" t="s">
        <v>224</v>
      </c>
      <c r="L212" s="145" t="s">
        <v>344</v>
      </c>
      <c r="M212" s="145" t="s">
        <v>586</v>
      </c>
      <c r="N212" s="145" t="s">
        <v>339</v>
      </c>
      <c r="O212" s="145" t="s">
        <v>1211</v>
      </c>
      <c r="P212" s="146">
        <v>117816</v>
      </c>
      <c r="Q212" s="146">
        <v>3.718</v>
      </c>
      <c r="R212" s="146">
        <v>14011</v>
      </c>
      <c r="S212" s="151"/>
      <c r="T212" s="146">
        <v>61373.769</v>
      </c>
      <c r="U212" s="148">
        <v>2.8740000000000002E-2</v>
      </c>
      <c r="V212" s="148">
        <v>1.3440000000000001E-2</v>
      </c>
      <c r="W212" s="149">
        <v>2.5200000000000001E-3</v>
      </c>
      <c r="X212" s="196"/>
    </row>
    <row r="213" spans="1:24" x14ac:dyDescent="0.2">
      <c r="A213" s="144" t="s">
        <v>1217</v>
      </c>
      <c r="B213" s="145" t="s">
        <v>1217</v>
      </c>
      <c r="C213" s="145" t="s">
        <v>2446</v>
      </c>
      <c r="D213" s="145" t="s">
        <v>2447</v>
      </c>
      <c r="E213" s="145" t="s">
        <v>313</v>
      </c>
      <c r="F213" s="145" t="s">
        <v>2446</v>
      </c>
      <c r="G213" s="145" t="s">
        <v>2448</v>
      </c>
      <c r="H213" s="145" t="s">
        <v>321</v>
      </c>
      <c r="I213" s="145" t="s">
        <v>965</v>
      </c>
      <c r="J213" s="145" t="s">
        <v>205</v>
      </c>
      <c r="K213" s="145" t="s">
        <v>224</v>
      </c>
      <c r="L213" s="145" t="s">
        <v>344</v>
      </c>
      <c r="M213" s="145" t="s">
        <v>708</v>
      </c>
      <c r="N213" s="145" t="s">
        <v>339</v>
      </c>
      <c r="O213" s="145" t="s">
        <v>1211</v>
      </c>
      <c r="P213" s="146">
        <v>81912</v>
      </c>
      <c r="Q213" s="146">
        <v>3.718</v>
      </c>
      <c r="R213" s="146">
        <v>19746</v>
      </c>
      <c r="S213" s="151"/>
      <c r="T213" s="146">
        <v>60136.209000000003</v>
      </c>
      <c r="U213" s="148">
        <v>8.0000000000000004E-4</v>
      </c>
      <c r="V213" s="148">
        <v>1.3169999999999999E-2</v>
      </c>
      <c r="W213" s="149">
        <v>2.47E-3</v>
      </c>
      <c r="X213" s="196"/>
    </row>
    <row r="214" spans="1:24" x14ac:dyDescent="0.2">
      <c r="A214" s="144" t="s">
        <v>1217</v>
      </c>
      <c r="B214" s="145" t="s">
        <v>1217</v>
      </c>
      <c r="C214" s="145" t="s">
        <v>2477</v>
      </c>
      <c r="D214" s="145" t="s">
        <v>2478</v>
      </c>
      <c r="E214" s="145" t="s">
        <v>313</v>
      </c>
      <c r="F214" s="145" t="s">
        <v>2479</v>
      </c>
      <c r="G214" s="145" t="s">
        <v>2480</v>
      </c>
      <c r="H214" s="145" t="s">
        <v>321</v>
      </c>
      <c r="I214" s="145" t="s">
        <v>965</v>
      </c>
      <c r="J214" s="145" t="s">
        <v>205</v>
      </c>
      <c r="K214" s="145" t="s">
        <v>224</v>
      </c>
      <c r="L214" s="145" t="s">
        <v>344</v>
      </c>
      <c r="M214" s="145" t="s">
        <v>611</v>
      </c>
      <c r="N214" s="145" t="s">
        <v>339</v>
      </c>
      <c r="O214" s="145" t="s">
        <v>1211</v>
      </c>
      <c r="P214" s="146">
        <v>74453</v>
      </c>
      <c r="Q214" s="146">
        <v>3.718</v>
      </c>
      <c r="R214" s="146">
        <v>21147</v>
      </c>
      <c r="S214" s="151"/>
      <c r="T214" s="146">
        <v>58538.332999999999</v>
      </c>
      <c r="U214" s="148">
        <v>7.7999999999999999E-4</v>
      </c>
      <c r="V214" s="148">
        <v>1.282E-2</v>
      </c>
      <c r="W214" s="149">
        <v>2.4099999999999998E-3</v>
      </c>
      <c r="X214" s="196"/>
    </row>
    <row r="215" spans="1:24" x14ac:dyDescent="0.2">
      <c r="A215" s="144" t="s">
        <v>1217</v>
      </c>
      <c r="B215" s="145" t="s">
        <v>1217</v>
      </c>
      <c r="C215" s="145" t="s">
        <v>2552</v>
      </c>
      <c r="D215" s="145" t="s">
        <v>2553</v>
      </c>
      <c r="E215" s="145" t="s">
        <v>313</v>
      </c>
      <c r="F215" s="145" t="s">
        <v>2552</v>
      </c>
      <c r="G215" s="145" t="s">
        <v>2554</v>
      </c>
      <c r="H215" s="145" t="s">
        <v>321</v>
      </c>
      <c r="I215" s="145" t="s">
        <v>965</v>
      </c>
      <c r="J215" s="145" t="s">
        <v>205</v>
      </c>
      <c r="K215" s="145" t="s">
        <v>293</v>
      </c>
      <c r="L215" s="145" t="s">
        <v>368</v>
      </c>
      <c r="M215" s="145" t="s">
        <v>610</v>
      </c>
      <c r="N215" s="145" t="s">
        <v>339</v>
      </c>
      <c r="O215" s="145" t="s">
        <v>1212</v>
      </c>
      <c r="P215" s="146">
        <v>152709</v>
      </c>
      <c r="Q215" s="146">
        <v>4.0220000000000002</v>
      </c>
      <c r="R215" s="146">
        <v>9391</v>
      </c>
      <c r="S215" s="151"/>
      <c r="T215" s="146">
        <v>57677.675000000003</v>
      </c>
      <c r="U215" s="148">
        <v>8.0589999999999995E-2</v>
      </c>
      <c r="V215" s="148">
        <v>1.2630000000000001E-2</v>
      </c>
      <c r="W215" s="149">
        <v>2.3700000000000001E-3</v>
      </c>
      <c r="X215" s="196"/>
    </row>
    <row r="216" spans="1:24" x14ac:dyDescent="0.2">
      <c r="A216" s="144" t="s">
        <v>1217</v>
      </c>
      <c r="B216" s="145" t="s">
        <v>1217</v>
      </c>
      <c r="C216" s="145" t="s">
        <v>2462</v>
      </c>
      <c r="D216" s="145" t="s">
        <v>2463</v>
      </c>
      <c r="E216" s="145" t="s">
        <v>314</v>
      </c>
      <c r="F216" s="145" t="s">
        <v>2462</v>
      </c>
      <c r="G216" s="145" t="s">
        <v>2464</v>
      </c>
      <c r="H216" s="145" t="s">
        <v>321</v>
      </c>
      <c r="I216" s="145" t="s">
        <v>965</v>
      </c>
      <c r="J216" s="145" t="s">
        <v>205</v>
      </c>
      <c r="K216" s="145" t="s">
        <v>232</v>
      </c>
      <c r="L216" s="145" t="s">
        <v>344</v>
      </c>
      <c r="M216" s="145" t="s">
        <v>596</v>
      </c>
      <c r="N216" s="145" t="s">
        <v>339</v>
      </c>
      <c r="O216" s="145" t="s">
        <v>1211</v>
      </c>
      <c r="P216" s="146">
        <v>540390</v>
      </c>
      <c r="Q216" s="146">
        <v>3.718</v>
      </c>
      <c r="R216" s="146">
        <v>2585</v>
      </c>
      <c r="S216" s="151"/>
      <c r="T216" s="146">
        <v>51937.044999999998</v>
      </c>
      <c r="U216" s="148">
        <v>3.2000000000000002E-3</v>
      </c>
      <c r="V216" s="148">
        <v>1.137E-2</v>
      </c>
      <c r="W216" s="149">
        <v>2.14E-3</v>
      </c>
      <c r="X216" s="196"/>
    </row>
    <row r="217" spans="1:24" x14ac:dyDescent="0.2">
      <c r="A217" s="144" t="s">
        <v>1217</v>
      </c>
      <c r="B217" s="145" t="s">
        <v>1217</v>
      </c>
      <c r="C217" s="145" t="s">
        <v>2555</v>
      </c>
      <c r="D217" s="145" t="s">
        <v>2556</v>
      </c>
      <c r="E217" s="145" t="s">
        <v>313</v>
      </c>
      <c r="F217" s="145" t="s">
        <v>2555</v>
      </c>
      <c r="G217" s="145" t="s">
        <v>2557</v>
      </c>
      <c r="H217" s="145" t="s">
        <v>321</v>
      </c>
      <c r="I217" s="145" t="s">
        <v>965</v>
      </c>
      <c r="J217" s="145" t="s">
        <v>205</v>
      </c>
      <c r="K217" s="145" t="s">
        <v>224</v>
      </c>
      <c r="L217" s="145" t="s">
        <v>344</v>
      </c>
      <c r="M217" s="145" t="s">
        <v>708</v>
      </c>
      <c r="N217" s="145" t="s">
        <v>339</v>
      </c>
      <c r="O217" s="145" t="s">
        <v>1211</v>
      </c>
      <c r="P217" s="146">
        <v>141129</v>
      </c>
      <c r="Q217" s="146">
        <v>3.718</v>
      </c>
      <c r="R217" s="146">
        <v>9690</v>
      </c>
      <c r="S217" s="151"/>
      <c r="T217" s="146">
        <v>50845.137999999999</v>
      </c>
      <c r="U217" s="148">
        <v>8.0000000000000002E-3</v>
      </c>
      <c r="V217" s="148">
        <v>1.1129999999999999E-2</v>
      </c>
      <c r="W217" s="149">
        <v>2.0899999999999998E-3</v>
      </c>
      <c r="X217" s="196"/>
    </row>
    <row r="218" spans="1:24" x14ac:dyDescent="0.2">
      <c r="A218" s="144" t="s">
        <v>1217</v>
      </c>
      <c r="B218" s="145" t="s">
        <v>1217</v>
      </c>
      <c r="C218" s="145" t="s">
        <v>2558</v>
      </c>
      <c r="D218" s="145" t="s">
        <v>2559</v>
      </c>
      <c r="E218" s="145" t="s">
        <v>313</v>
      </c>
      <c r="F218" s="145" t="s">
        <v>2558</v>
      </c>
      <c r="G218" s="145" t="s">
        <v>2560</v>
      </c>
      <c r="H218" s="145" t="s">
        <v>321</v>
      </c>
      <c r="I218" s="145" t="s">
        <v>965</v>
      </c>
      <c r="J218" s="145" t="s">
        <v>205</v>
      </c>
      <c r="K218" s="145" t="s">
        <v>224</v>
      </c>
      <c r="L218" s="145" t="s">
        <v>344</v>
      </c>
      <c r="M218" s="145" t="s">
        <v>708</v>
      </c>
      <c r="N218" s="145" t="s">
        <v>339</v>
      </c>
      <c r="O218" s="145" t="s">
        <v>1211</v>
      </c>
      <c r="P218" s="146">
        <v>169960</v>
      </c>
      <c r="Q218" s="146">
        <v>3.718</v>
      </c>
      <c r="R218" s="146">
        <v>7885</v>
      </c>
      <c r="S218" s="151"/>
      <c r="T218" s="146">
        <v>49826.203999999998</v>
      </c>
      <c r="U218" s="148">
        <v>7.7999999999999999E-4</v>
      </c>
      <c r="V218" s="148">
        <v>1.091E-2</v>
      </c>
      <c r="W218" s="149">
        <v>2.0500000000000002E-3</v>
      </c>
      <c r="X218" s="196"/>
    </row>
    <row r="219" spans="1:24" x14ac:dyDescent="0.2">
      <c r="A219" s="144" t="s">
        <v>1217</v>
      </c>
      <c r="B219" s="145" t="s">
        <v>1217</v>
      </c>
      <c r="C219" s="145" t="s">
        <v>2417</v>
      </c>
      <c r="D219" s="145" t="s">
        <v>2418</v>
      </c>
      <c r="E219" s="145" t="s">
        <v>313</v>
      </c>
      <c r="F219" s="145" t="s">
        <v>2419</v>
      </c>
      <c r="G219" s="145" t="s">
        <v>2420</v>
      </c>
      <c r="H219" s="145" t="s">
        <v>321</v>
      </c>
      <c r="I219" s="145" t="s">
        <v>965</v>
      </c>
      <c r="J219" s="145" t="s">
        <v>205</v>
      </c>
      <c r="K219" s="145" t="s">
        <v>224</v>
      </c>
      <c r="L219" s="145" t="s">
        <v>344</v>
      </c>
      <c r="M219" s="145" t="s">
        <v>597</v>
      </c>
      <c r="N219" s="145" t="s">
        <v>339</v>
      </c>
      <c r="O219" s="145" t="s">
        <v>1211</v>
      </c>
      <c r="P219" s="146">
        <v>76510</v>
      </c>
      <c r="Q219" s="146">
        <v>3.718</v>
      </c>
      <c r="R219" s="146">
        <v>17356</v>
      </c>
      <c r="S219" s="151"/>
      <c r="T219" s="146">
        <v>49371.603000000003</v>
      </c>
      <c r="U219" s="148">
        <v>3.7799999999999999E-3</v>
      </c>
      <c r="V219" s="148">
        <v>1.081E-2</v>
      </c>
      <c r="W219" s="149">
        <v>2.0300000000000001E-3</v>
      </c>
      <c r="X219" s="196"/>
    </row>
    <row r="220" spans="1:24" x14ac:dyDescent="0.2">
      <c r="A220" s="144" t="s">
        <v>1217</v>
      </c>
      <c r="B220" s="145" t="s">
        <v>1217</v>
      </c>
      <c r="C220" s="145" t="s">
        <v>2471</v>
      </c>
      <c r="D220" s="145" t="s">
        <v>2472</v>
      </c>
      <c r="E220" s="145" t="s">
        <v>313</v>
      </c>
      <c r="F220" s="145" t="s">
        <v>2471</v>
      </c>
      <c r="G220" s="145" t="s">
        <v>2473</v>
      </c>
      <c r="H220" s="145" t="s">
        <v>321</v>
      </c>
      <c r="I220" s="145" t="s">
        <v>965</v>
      </c>
      <c r="J220" s="145" t="s">
        <v>205</v>
      </c>
      <c r="K220" s="145" t="s">
        <v>238</v>
      </c>
      <c r="L220" s="145" t="s">
        <v>374</v>
      </c>
      <c r="M220" s="145" t="s">
        <v>594</v>
      </c>
      <c r="N220" s="145" t="s">
        <v>339</v>
      </c>
      <c r="O220" s="145" t="s">
        <v>1212</v>
      </c>
      <c r="P220" s="146">
        <v>256654</v>
      </c>
      <c r="Q220" s="146">
        <v>4.0220000000000002</v>
      </c>
      <c r="R220" s="146">
        <v>4558.5</v>
      </c>
      <c r="S220" s="151"/>
      <c r="T220" s="146">
        <v>47054.510999999999</v>
      </c>
      <c r="U220" s="148">
        <v>2.7820000000000001E-2</v>
      </c>
      <c r="V220" s="148">
        <v>1.03E-2</v>
      </c>
      <c r="W220" s="149">
        <v>1.9400000000000001E-3</v>
      </c>
      <c r="X220" s="196"/>
    </row>
    <row r="221" spans="1:24" x14ac:dyDescent="0.2">
      <c r="A221" s="144" t="s">
        <v>1217</v>
      </c>
      <c r="B221" s="145" t="s">
        <v>1217</v>
      </c>
      <c r="C221" s="145" t="s">
        <v>2439</v>
      </c>
      <c r="D221" s="145" t="s">
        <v>2440</v>
      </c>
      <c r="E221" s="145" t="s">
        <v>313</v>
      </c>
      <c r="F221" s="145" t="s">
        <v>2441</v>
      </c>
      <c r="G221" s="145" t="s">
        <v>2442</v>
      </c>
      <c r="H221" s="145" t="s">
        <v>321</v>
      </c>
      <c r="I221" s="145" t="s">
        <v>965</v>
      </c>
      <c r="J221" s="145" t="s">
        <v>205</v>
      </c>
      <c r="K221" s="145" t="s">
        <v>224</v>
      </c>
      <c r="L221" s="145" t="s">
        <v>344</v>
      </c>
      <c r="M221" s="145" t="s">
        <v>602</v>
      </c>
      <c r="N221" s="145" t="s">
        <v>339</v>
      </c>
      <c r="O221" s="145" t="s">
        <v>1211</v>
      </c>
      <c r="P221" s="146">
        <v>62635</v>
      </c>
      <c r="Q221" s="146">
        <v>3.718</v>
      </c>
      <c r="R221" s="146">
        <v>19949</v>
      </c>
      <c r="S221" s="151"/>
      <c r="T221" s="146">
        <v>46456.618999999999</v>
      </c>
      <c r="U221" s="148">
        <v>1.9000000000000001E-4</v>
      </c>
      <c r="V221" s="148">
        <v>1.017E-2</v>
      </c>
      <c r="W221" s="149">
        <v>1.91E-3</v>
      </c>
      <c r="X221" s="196"/>
    </row>
    <row r="222" spans="1:24" x14ac:dyDescent="0.2">
      <c r="A222" s="144" t="s">
        <v>1217</v>
      </c>
      <c r="B222" s="145" t="s">
        <v>1217</v>
      </c>
      <c r="C222" s="145" t="s">
        <v>2490</v>
      </c>
      <c r="D222" s="145" t="s">
        <v>2491</v>
      </c>
      <c r="E222" s="145" t="s">
        <v>313</v>
      </c>
      <c r="F222" s="145" t="s">
        <v>2492</v>
      </c>
      <c r="G222" s="145" t="s">
        <v>2493</v>
      </c>
      <c r="H222" s="145" t="s">
        <v>321</v>
      </c>
      <c r="I222" s="145" t="s">
        <v>965</v>
      </c>
      <c r="J222" s="145" t="s">
        <v>205</v>
      </c>
      <c r="K222" s="145" t="s">
        <v>224</v>
      </c>
      <c r="L222" s="145" t="s">
        <v>344</v>
      </c>
      <c r="M222" s="145" t="s">
        <v>708</v>
      </c>
      <c r="N222" s="145" t="s">
        <v>339</v>
      </c>
      <c r="O222" s="145" t="s">
        <v>1211</v>
      </c>
      <c r="P222" s="146">
        <v>279279</v>
      </c>
      <c r="Q222" s="146">
        <v>3.718</v>
      </c>
      <c r="R222" s="146">
        <v>4185</v>
      </c>
      <c r="S222" s="151"/>
      <c r="T222" s="146">
        <v>43455.338000000003</v>
      </c>
      <c r="U222" s="148">
        <v>1.64E-3</v>
      </c>
      <c r="V222" s="148">
        <v>9.5099999999999994E-3</v>
      </c>
      <c r="W222" s="149">
        <v>1.7899999999999999E-3</v>
      </c>
      <c r="X222" s="196"/>
    </row>
    <row r="223" spans="1:24" x14ac:dyDescent="0.2">
      <c r="A223" s="144" t="s">
        <v>1217</v>
      </c>
      <c r="B223" s="145" t="s">
        <v>1217</v>
      </c>
      <c r="C223" s="145" t="s">
        <v>2561</v>
      </c>
      <c r="D223" s="145" t="s">
        <v>2562</v>
      </c>
      <c r="E223" s="145" t="s">
        <v>313</v>
      </c>
      <c r="F223" s="145" t="s">
        <v>2561</v>
      </c>
      <c r="G223" s="145" t="s">
        <v>2563</v>
      </c>
      <c r="H223" s="145" t="s">
        <v>321</v>
      </c>
      <c r="I223" s="145" t="s">
        <v>965</v>
      </c>
      <c r="J223" s="145" t="s">
        <v>205</v>
      </c>
      <c r="K223" s="145" t="s">
        <v>224</v>
      </c>
      <c r="L223" s="145" t="s">
        <v>344</v>
      </c>
      <c r="M223" s="145" t="s">
        <v>583</v>
      </c>
      <c r="N223" s="145" t="s">
        <v>339</v>
      </c>
      <c r="O223" s="145" t="s">
        <v>1211</v>
      </c>
      <c r="P223" s="146">
        <v>170240</v>
      </c>
      <c r="Q223" s="146">
        <v>3.718</v>
      </c>
      <c r="R223" s="146">
        <v>6821</v>
      </c>
      <c r="S223" s="146">
        <v>12.768000000000001</v>
      </c>
      <c r="T223" s="146">
        <v>43221.148999999998</v>
      </c>
      <c r="U223" s="148">
        <v>4.5300000000000002E-3</v>
      </c>
      <c r="V223" s="148">
        <v>9.4699999999999993E-3</v>
      </c>
      <c r="W223" s="149">
        <v>1.7799999999999999E-3</v>
      </c>
      <c r="X223" s="196"/>
    </row>
    <row r="224" spans="1:24" x14ac:dyDescent="0.2">
      <c r="A224" s="144" t="s">
        <v>1217</v>
      </c>
      <c r="B224" s="145" t="s">
        <v>1217</v>
      </c>
      <c r="C224" s="145" t="s">
        <v>2474</v>
      </c>
      <c r="D224" s="145" t="s">
        <v>2475</v>
      </c>
      <c r="E224" s="145" t="s">
        <v>313</v>
      </c>
      <c r="F224" s="145" t="s">
        <v>2474</v>
      </c>
      <c r="G224" s="145" t="s">
        <v>2476</v>
      </c>
      <c r="H224" s="145" t="s">
        <v>321</v>
      </c>
      <c r="I224" s="145" t="s">
        <v>965</v>
      </c>
      <c r="J224" s="145" t="s">
        <v>205</v>
      </c>
      <c r="K224" s="145" t="s">
        <v>224</v>
      </c>
      <c r="L224" s="145" t="s">
        <v>344</v>
      </c>
      <c r="M224" s="145" t="s">
        <v>597</v>
      </c>
      <c r="N224" s="145" t="s">
        <v>339</v>
      </c>
      <c r="O224" s="145" t="s">
        <v>1211</v>
      </c>
      <c r="P224" s="146">
        <v>101869</v>
      </c>
      <c r="Q224" s="146">
        <v>3.718</v>
      </c>
      <c r="R224" s="146">
        <v>11313</v>
      </c>
      <c r="S224" s="151"/>
      <c r="T224" s="146">
        <v>42847.868000000002</v>
      </c>
      <c r="U224" s="148">
        <v>5.96E-3</v>
      </c>
      <c r="V224" s="148">
        <v>9.3799999999999994E-3</v>
      </c>
      <c r="W224" s="149">
        <v>1.7600000000000001E-3</v>
      </c>
      <c r="X224" s="196"/>
    </row>
    <row r="225" spans="1:24" x14ac:dyDescent="0.2">
      <c r="A225" s="144" t="s">
        <v>1217</v>
      </c>
      <c r="B225" s="145" t="s">
        <v>1217</v>
      </c>
      <c r="C225" s="145" t="s">
        <v>2481</v>
      </c>
      <c r="D225" s="145" t="s">
        <v>2482</v>
      </c>
      <c r="E225" s="145" t="s">
        <v>313</v>
      </c>
      <c r="F225" s="145" t="s">
        <v>2483</v>
      </c>
      <c r="G225" s="145" t="s">
        <v>2484</v>
      </c>
      <c r="H225" s="145" t="s">
        <v>321</v>
      </c>
      <c r="I225" s="145" t="s">
        <v>965</v>
      </c>
      <c r="J225" s="145" t="s">
        <v>205</v>
      </c>
      <c r="K225" s="145" t="s">
        <v>224</v>
      </c>
      <c r="L225" s="145" t="s">
        <v>344</v>
      </c>
      <c r="M225" s="145" t="s">
        <v>707</v>
      </c>
      <c r="N225" s="145" t="s">
        <v>339</v>
      </c>
      <c r="O225" s="145" t="s">
        <v>1211</v>
      </c>
      <c r="P225" s="146">
        <v>225697</v>
      </c>
      <c r="Q225" s="146">
        <v>3.718</v>
      </c>
      <c r="R225" s="146">
        <v>4748</v>
      </c>
      <c r="S225" s="151"/>
      <c r="T225" s="146">
        <v>39842.436000000002</v>
      </c>
      <c r="U225" s="148">
        <v>2.2300000000000002E-3</v>
      </c>
      <c r="V225" s="148">
        <v>8.7200000000000003E-3</v>
      </c>
      <c r="W225" s="149">
        <v>1.64E-3</v>
      </c>
      <c r="X225" s="196"/>
    </row>
    <row r="226" spans="1:24" x14ac:dyDescent="0.2">
      <c r="A226" s="144" t="s">
        <v>1217</v>
      </c>
      <c r="B226" s="145" t="s">
        <v>1217</v>
      </c>
      <c r="C226" s="145" t="s">
        <v>2351</v>
      </c>
      <c r="D226" s="145" t="s">
        <v>2352</v>
      </c>
      <c r="E226" s="145" t="s">
        <v>309</v>
      </c>
      <c r="F226" s="145" t="s">
        <v>2564</v>
      </c>
      <c r="G226" s="145" t="s">
        <v>2565</v>
      </c>
      <c r="H226" s="145" t="s">
        <v>321</v>
      </c>
      <c r="I226" s="145" t="s">
        <v>965</v>
      </c>
      <c r="J226" s="145" t="s">
        <v>205</v>
      </c>
      <c r="K226" s="145" t="s">
        <v>224</v>
      </c>
      <c r="L226" s="145" t="s">
        <v>340</v>
      </c>
      <c r="M226" s="145" t="s">
        <v>708</v>
      </c>
      <c r="N226" s="145" t="s">
        <v>339</v>
      </c>
      <c r="O226" s="145" t="s">
        <v>1210</v>
      </c>
      <c r="P226" s="146">
        <v>1503760</v>
      </c>
      <c r="Q226" s="146">
        <v>1</v>
      </c>
      <c r="R226" s="146">
        <v>2578</v>
      </c>
      <c r="S226" s="151"/>
      <c r="T226" s="146">
        <v>38766.932999999997</v>
      </c>
      <c r="U226" s="148">
        <v>0.23135</v>
      </c>
      <c r="V226" s="148">
        <v>8.4899999999999993E-3</v>
      </c>
      <c r="W226" s="149">
        <v>1.5900000000000001E-3</v>
      </c>
      <c r="X226" s="196"/>
    </row>
    <row r="227" spans="1:24" x14ac:dyDescent="0.2">
      <c r="A227" s="144" t="s">
        <v>1217</v>
      </c>
      <c r="B227" s="145" t="s">
        <v>1217</v>
      </c>
      <c r="C227" s="145" t="s">
        <v>2566</v>
      </c>
      <c r="D227" s="145" t="s">
        <v>2567</v>
      </c>
      <c r="E227" s="145" t="s">
        <v>313</v>
      </c>
      <c r="F227" s="145" t="s">
        <v>2566</v>
      </c>
      <c r="G227" s="145" t="s">
        <v>2568</v>
      </c>
      <c r="H227" s="145" t="s">
        <v>321</v>
      </c>
      <c r="I227" s="145" t="s">
        <v>965</v>
      </c>
      <c r="J227" s="145" t="s">
        <v>205</v>
      </c>
      <c r="K227" s="145" t="s">
        <v>224</v>
      </c>
      <c r="L227" s="145" t="s">
        <v>344</v>
      </c>
      <c r="M227" s="145" t="s">
        <v>708</v>
      </c>
      <c r="N227" s="145" t="s">
        <v>339</v>
      </c>
      <c r="O227" s="145" t="s">
        <v>1211</v>
      </c>
      <c r="P227" s="146">
        <v>104295</v>
      </c>
      <c r="Q227" s="146">
        <v>3.718</v>
      </c>
      <c r="R227" s="146">
        <v>9521</v>
      </c>
      <c r="S227" s="151"/>
      <c r="T227" s="146">
        <v>36919.468000000001</v>
      </c>
      <c r="U227" s="148">
        <v>4.0800000000000003E-3</v>
      </c>
      <c r="V227" s="148">
        <v>8.0800000000000004E-3</v>
      </c>
      <c r="W227" s="149">
        <v>1.5200000000000001E-3</v>
      </c>
      <c r="X227" s="196"/>
    </row>
    <row r="228" spans="1:24" x14ac:dyDescent="0.2">
      <c r="A228" s="144" t="s">
        <v>1217</v>
      </c>
      <c r="B228" s="145" t="s">
        <v>1217</v>
      </c>
      <c r="C228" s="145" t="s">
        <v>2569</v>
      </c>
      <c r="D228" s="145" t="s">
        <v>2570</v>
      </c>
      <c r="E228" s="145" t="s">
        <v>313</v>
      </c>
      <c r="F228" s="145" t="s">
        <v>2569</v>
      </c>
      <c r="G228" s="145" t="s">
        <v>2571</v>
      </c>
      <c r="H228" s="145" t="s">
        <v>321</v>
      </c>
      <c r="I228" s="145" t="s">
        <v>965</v>
      </c>
      <c r="J228" s="145" t="s">
        <v>205</v>
      </c>
      <c r="K228" s="145" t="s">
        <v>224</v>
      </c>
      <c r="L228" s="145" t="s">
        <v>344</v>
      </c>
      <c r="M228" s="145" t="s">
        <v>735</v>
      </c>
      <c r="N228" s="145" t="s">
        <v>339</v>
      </c>
      <c r="O228" s="145" t="s">
        <v>1211</v>
      </c>
      <c r="P228" s="146">
        <v>474078</v>
      </c>
      <c r="Q228" s="146">
        <v>3.718</v>
      </c>
      <c r="R228" s="146">
        <v>1817.5</v>
      </c>
      <c r="S228" s="151"/>
      <c r="T228" s="146">
        <v>32035.654999999999</v>
      </c>
      <c r="U228" s="148">
        <v>1.7760000000000001E-2</v>
      </c>
      <c r="V228" s="148">
        <v>7.0099999999999997E-3</v>
      </c>
      <c r="W228" s="149">
        <v>1.32E-3</v>
      </c>
      <c r="X228" s="196"/>
    </row>
    <row r="229" spans="1:24" x14ac:dyDescent="0.2">
      <c r="A229" s="144" t="s">
        <v>1217</v>
      </c>
      <c r="B229" s="145" t="s">
        <v>1217</v>
      </c>
      <c r="C229" s="145" t="s">
        <v>2481</v>
      </c>
      <c r="D229" s="145" t="s">
        <v>2482</v>
      </c>
      <c r="E229" s="145" t="s">
        <v>313</v>
      </c>
      <c r="F229" s="145" t="s">
        <v>2488</v>
      </c>
      <c r="G229" s="145" t="s">
        <v>2489</v>
      </c>
      <c r="H229" s="145" t="s">
        <v>321</v>
      </c>
      <c r="I229" s="145" t="s">
        <v>965</v>
      </c>
      <c r="J229" s="145" t="s">
        <v>205</v>
      </c>
      <c r="K229" s="145" t="s">
        <v>224</v>
      </c>
      <c r="L229" s="145" t="s">
        <v>344</v>
      </c>
      <c r="M229" s="145" t="s">
        <v>708</v>
      </c>
      <c r="N229" s="145" t="s">
        <v>339</v>
      </c>
      <c r="O229" s="145" t="s">
        <v>1211</v>
      </c>
      <c r="P229" s="146">
        <v>115981</v>
      </c>
      <c r="Q229" s="146">
        <v>3.718</v>
      </c>
      <c r="R229" s="146">
        <v>6019</v>
      </c>
      <c r="S229" s="151"/>
      <c r="T229" s="146">
        <v>25954.973000000002</v>
      </c>
      <c r="U229" s="148">
        <v>1.5399999999999999E-3</v>
      </c>
      <c r="V229" s="148">
        <v>5.6800000000000002E-3</v>
      </c>
      <c r="W229" s="149">
        <v>1.07E-3</v>
      </c>
      <c r="X229" s="196"/>
    </row>
    <row r="230" spans="1:24" x14ac:dyDescent="0.2">
      <c r="A230" s="152" t="s">
        <v>1217</v>
      </c>
      <c r="B230" s="153" t="s">
        <v>1217</v>
      </c>
      <c r="C230" s="153" t="s">
        <v>2498</v>
      </c>
      <c r="D230" s="153" t="s">
        <v>2499</v>
      </c>
      <c r="E230" s="153" t="s">
        <v>313</v>
      </c>
      <c r="F230" s="153" t="s">
        <v>2498</v>
      </c>
      <c r="G230" s="153" t="s">
        <v>2500</v>
      </c>
      <c r="H230" s="153" t="s">
        <v>321</v>
      </c>
      <c r="I230" s="153" t="s">
        <v>965</v>
      </c>
      <c r="J230" s="153" t="s">
        <v>205</v>
      </c>
      <c r="K230" s="153" t="s">
        <v>224</v>
      </c>
      <c r="L230" s="153" t="s">
        <v>344</v>
      </c>
      <c r="M230" s="153" t="s">
        <v>703</v>
      </c>
      <c r="N230" s="153" t="s">
        <v>339</v>
      </c>
      <c r="O230" s="153" t="s">
        <v>1211</v>
      </c>
      <c r="P230" s="154">
        <v>174901</v>
      </c>
      <c r="Q230" s="154">
        <v>3.718</v>
      </c>
      <c r="R230" s="154">
        <v>3046</v>
      </c>
      <c r="S230" s="155"/>
      <c r="T230" s="154">
        <v>19807.587</v>
      </c>
      <c r="U230" s="156">
        <v>7.3099999999999997E-3</v>
      </c>
      <c r="V230" s="156">
        <v>4.3400000000000001E-3</v>
      </c>
      <c r="W230" s="157">
        <v>8.0999999999999996E-4</v>
      </c>
      <c r="X230" s="196"/>
    </row>
    <row r="231" spans="1:24" x14ac:dyDescent="0.2">
      <c r="A231" s="196" t="s">
        <v>3461</v>
      </c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</row>
    <row r="232" spans="1:24" x14ac:dyDescent="0.2">
      <c r="A232" s="2" t="s">
        <v>3460</v>
      </c>
    </row>
    <row r="233" spans="1:24" x14ac:dyDescent="0.2">
      <c r="A233" s="1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31:W231"/>
    <mergeCell ref="X2:X23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9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3471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199" t="s">
        <v>3462</v>
      </c>
    </row>
    <row r="3" spans="1:24" x14ac:dyDescent="0.2">
      <c r="A3" s="144" t="s">
        <v>1205</v>
      </c>
      <c r="B3" s="145" t="s">
        <v>1206</v>
      </c>
      <c r="C3" s="145" t="s">
        <v>2586</v>
      </c>
      <c r="D3" s="145" t="s">
        <v>2587</v>
      </c>
      <c r="E3" s="145" t="s">
        <v>313</v>
      </c>
      <c r="F3" s="145" t="s">
        <v>2588</v>
      </c>
      <c r="G3" s="145" t="s">
        <v>2589</v>
      </c>
      <c r="H3" s="145" t="s">
        <v>321</v>
      </c>
      <c r="I3" s="145" t="s">
        <v>969</v>
      </c>
      <c r="J3" s="145" t="s">
        <v>205</v>
      </c>
      <c r="K3" s="145" t="s">
        <v>291</v>
      </c>
      <c r="L3" s="145" t="s">
        <v>325</v>
      </c>
      <c r="M3" s="145" t="s">
        <v>314</v>
      </c>
      <c r="N3" s="145" t="s">
        <v>678</v>
      </c>
      <c r="O3" s="145" t="s">
        <v>339</v>
      </c>
      <c r="P3" s="145" t="s">
        <v>1211</v>
      </c>
      <c r="Q3" s="146">
        <v>27.05</v>
      </c>
      <c r="R3" s="146">
        <v>3.718</v>
      </c>
      <c r="S3" s="146">
        <v>139288</v>
      </c>
      <c r="T3" s="146">
        <v>140.08500000000001</v>
      </c>
      <c r="U3" s="158"/>
      <c r="V3" s="148">
        <v>0.43728</v>
      </c>
      <c r="W3" s="149">
        <v>4.4099999999999999E-3</v>
      </c>
      <c r="X3" s="199"/>
    </row>
    <row r="4" spans="1:24" x14ac:dyDescent="0.2">
      <c r="A4" s="144" t="s">
        <v>1205</v>
      </c>
      <c r="B4" s="145" t="s">
        <v>1206</v>
      </c>
      <c r="C4" s="145" t="s">
        <v>2590</v>
      </c>
      <c r="D4" s="145" t="s">
        <v>2591</v>
      </c>
      <c r="E4" s="145" t="s">
        <v>313</v>
      </c>
      <c r="F4" s="145" t="s">
        <v>2590</v>
      </c>
      <c r="G4" s="145" t="s">
        <v>2592</v>
      </c>
      <c r="H4" s="145" t="s">
        <v>321</v>
      </c>
      <c r="I4" s="145" t="s">
        <v>917</v>
      </c>
      <c r="J4" s="145" t="s">
        <v>205</v>
      </c>
      <c r="K4" s="145" t="s">
        <v>244</v>
      </c>
      <c r="L4" s="145" t="s">
        <v>325</v>
      </c>
      <c r="M4" s="145" t="s">
        <v>314</v>
      </c>
      <c r="N4" s="145" t="s">
        <v>580</v>
      </c>
      <c r="O4" s="145" t="s">
        <v>339</v>
      </c>
      <c r="P4" s="145" t="s">
        <v>1211</v>
      </c>
      <c r="Q4" s="146">
        <v>1997</v>
      </c>
      <c r="R4" s="146">
        <v>3.718</v>
      </c>
      <c r="S4" s="146">
        <v>1372.39</v>
      </c>
      <c r="T4" s="146">
        <v>101.898</v>
      </c>
      <c r="U4" s="148">
        <v>2.3000000000000001E-4</v>
      </c>
      <c r="V4" s="148">
        <v>0.31807999999999997</v>
      </c>
      <c r="W4" s="149">
        <v>3.2100000000000002E-3</v>
      </c>
      <c r="X4" s="199"/>
    </row>
    <row r="5" spans="1:24" x14ac:dyDescent="0.2">
      <c r="A5" s="144" t="s">
        <v>1205</v>
      </c>
      <c r="B5" s="145" t="s">
        <v>1206</v>
      </c>
      <c r="C5" s="145" t="s">
        <v>2593</v>
      </c>
      <c r="D5" s="145" t="s">
        <v>2594</v>
      </c>
      <c r="E5" s="145" t="s">
        <v>313</v>
      </c>
      <c r="F5" s="145" t="s">
        <v>2593</v>
      </c>
      <c r="G5" s="145" t="s">
        <v>2595</v>
      </c>
      <c r="H5" s="145" t="s">
        <v>321</v>
      </c>
      <c r="I5" s="145" t="s">
        <v>917</v>
      </c>
      <c r="J5" s="145" t="s">
        <v>205</v>
      </c>
      <c r="K5" s="145" t="s">
        <v>238</v>
      </c>
      <c r="L5" s="145" t="s">
        <v>325</v>
      </c>
      <c r="M5" s="145" t="s">
        <v>314</v>
      </c>
      <c r="N5" s="145" t="s">
        <v>706</v>
      </c>
      <c r="O5" s="145" t="s">
        <v>339</v>
      </c>
      <c r="P5" s="145" t="s">
        <v>1212</v>
      </c>
      <c r="Q5" s="146">
        <v>57.75</v>
      </c>
      <c r="R5" s="146">
        <v>4.0220000000000002</v>
      </c>
      <c r="S5" s="146">
        <v>22207</v>
      </c>
      <c r="T5" s="146">
        <v>51.579000000000001</v>
      </c>
      <c r="U5" s="148">
        <v>1.0499999999999999E-3</v>
      </c>
      <c r="V5" s="148">
        <v>0.16100999999999999</v>
      </c>
      <c r="W5" s="149">
        <v>1.6199999999999999E-3</v>
      </c>
      <c r="X5" s="199"/>
    </row>
    <row r="6" spans="1:24" x14ac:dyDescent="0.2">
      <c r="A6" s="144" t="s">
        <v>1205</v>
      </c>
      <c r="B6" s="145" t="s">
        <v>1206</v>
      </c>
      <c r="C6" s="145" t="s">
        <v>2596</v>
      </c>
      <c r="D6" s="145" t="s">
        <v>2597</v>
      </c>
      <c r="E6" s="145" t="s">
        <v>313</v>
      </c>
      <c r="F6" s="145" t="s">
        <v>2596</v>
      </c>
      <c r="G6" s="145" t="s">
        <v>2598</v>
      </c>
      <c r="H6" s="145" t="s">
        <v>321</v>
      </c>
      <c r="I6" s="145" t="s">
        <v>917</v>
      </c>
      <c r="J6" s="145" t="s">
        <v>205</v>
      </c>
      <c r="K6" s="145" t="s">
        <v>251</v>
      </c>
      <c r="L6" s="145" t="s">
        <v>325</v>
      </c>
      <c r="M6" s="145" t="s">
        <v>314</v>
      </c>
      <c r="N6" s="145" t="s">
        <v>599</v>
      </c>
      <c r="O6" s="145" t="s">
        <v>339</v>
      </c>
      <c r="P6" s="145" t="s">
        <v>1211</v>
      </c>
      <c r="Q6" s="146">
        <v>32.46</v>
      </c>
      <c r="R6" s="146">
        <v>3.718</v>
      </c>
      <c r="S6" s="146">
        <v>22199.119999999999</v>
      </c>
      <c r="T6" s="146">
        <v>26.791</v>
      </c>
      <c r="U6" s="158"/>
      <c r="V6" s="148">
        <v>8.3629999999999996E-2</v>
      </c>
      <c r="W6" s="149">
        <v>8.4000000000000003E-4</v>
      </c>
      <c r="X6" s="199"/>
    </row>
    <row r="7" spans="1:24" x14ac:dyDescent="0.2">
      <c r="A7" s="144" t="s">
        <v>1205</v>
      </c>
      <c r="B7" s="145" t="s">
        <v>1214</v>
      </c>
      <c r="C7" s="145" t="s">
        <v>2586</v>
      </c>
      <c r="D7" s="145" t="s">
        <v>2587</v>
      </c>
      <c r="E7" s="145" t="s">
        <v>313</v>
      </c>
      <c r="F7" s="145" t="s">
        <v>2588</v>
      </c>
      <c r="G7" s="145" t="s">
        <v>2589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1211</v>
      </c>
      <c r="Q7" s="146">
        <v>4.57</v>
      </c>
      <c r="R7" s="146">
        <v>3.718</v>
      </c>
      <c r="S7" s="146">
        <v>139288</v>
      </c>
      <c r="T7" s="146">
        <v>23.667000000000002</v>
      </c>
      <c r="U7" s="158"/>
      <c r="V7" s="148">
        <v>1</v>
      </c>
      <c r="W7" s="149">
        <v>1.095E-2</v>
      </c>
      <c r="X7" s="199"/>
    </row>
    <row r="8" spans="1:24" x14ac:dyDescent="0.2">
      <c r="A8" s="144" t="s">
        <v>1205</v>
      </c>
      <c r="B8" s="145" t="s">
        <v>1205</v>
      </c>
      <c r="C8" s="145" t="s">
        <v>2599</v>
      </c>
      <c r="D8" s="145" t="s">
        <v>2600</v>
      </c>
      <c r="E8" s="145" t="s">
        <v>309</v>
      </c>
      <c r="F8" s="145" t="s">
        <v>2601</v>
      </c>
      <c r="G8" s="145" t="s">
        <v>2602</v>
      </c>
      <c r="H8" s="145" t="s">
        <v>321</v>
      </c>
      <c r="I8" s="145" t="s">
        <v>917</v>
      </c>
      <c r="J8" s="145" t="s">
        <v>204</v>
      </c>
      <c r="K8" s="145" t="s">
        <v>291</v>
      </c>
      <c r="L8" s="145" t="s">
        <v>325</v>
      </c>
      <c r="M8" s="145" t="s">
        <v>340</v>
      </c>
      <c r="N8" s="145" t="s">
        <v>698</v>
      </c>
      <c r="O8" s="145" t="s">
        <v>339</v>
      </c>
      <c r="P8" s="145" t="s">
        <v>1210</v>
      </c>
      <c r="Q8" s="146">
        <v>1157463.47</v>
      </c>
      <c r="R8" s="146">
        <v>1</v>
      </c>
      <c r="S8" s="146">
        <v>69.400000000000006</v>
      </c>
      <c r="T8" s="146">
        <v>803.28</v>
      </c>
      <c r="U8" s="148">
        <v>3.16E-3</v>
      </c>
      <c r="V8" s="148">
        <v>2.1739999999999999E-2</v>
      </c>
      <c r="W8" s="149">
        <v>7.6000000000000004E-4</v>
      </c>
      <c r="X8" s="199"/>
    </row>
    <row r="9" spans="1:24" x14ac:dyDescent="0.2">
      <c r="A9" s="144" t="s">
        <v>1205</v>
      </c>
      <c r="B9" s="145" t="s">
        <v>1205</v>
      </c>
      <c r="C9" s="145" t="s">
        <v>2586</v>
      </c>
      <c r="D9" s="145" t="s">
        <v>2587</v>
      </c>
      <c r="E9" s="145" t="s">
        <v>313</v>
      </c>
      <c r="F9" s="145" t="s">
        <v>2588</v>
      </c>
      <c r="G9" s="145" t="s">
        <v>2589</v>
      </c>
      <c r="H9" s="145" t="s">
        <v>321</v>
      </c>
      <c r="I9" s="145" t="s">
        <v>969</v>
      </c>
      <c r="J9" s="145" t="s">
        <v>205</v>
      </c>
      <c r="K9" s="145" t="s">
        <v>291</v>
      </c>
      <c r="L9" s="145" t="s">
        <v>325</v>
      </c>
      <c r="M9" s="145" t="s">
        <v>314</v>
      </c>
      <c r="N9" s="145" t="s">
        <v>678</v>
      </c>
      <c r="O9" s="145" t="s">
        <v>339</v>
      </c>
      <c r="P9" s="145" t="s">
        <v>1211</v>
      </c>
      <c r="Q9" s="146">
        <v>1459.7</v>
      </c>
      <c r="R9" s="146">
        <v>3.718</v>
      </c>
      <c r="S9" s="146">
        <v>139288</v>
      </c>
      <c r="T9" s="146">
        <v>7559.3890000000001</v>
      </c>
      <c r="U9" s="158"/>
      <c r="V9" s="148">
        <v>0.20462</v>
      </c>
      <c r="W9" s="149">
        <v>7.1900000000000002E-3</v>
      </c>
      <c r="X9" s="199"/>
    </row>
    <row r="10" spans="1:24" x14ac:dyDescent="0.2">
      <c r="A10" s="144" t="s">
        <v>1205</v>
      </c>
      <c r="B10" s="145" t="s">
        <v>1205</v>
      </c>
      <c r="C10" s="145" t="s">
        <v>2590</v>
      </c>
      <c r="D10" s="145" t="s">
        <v>2591</v>
      </c>
      <c r="E10" s="145" t="s">
        <v>313</v>
      </c>
      <c r="F10" s="145" t="s">
        <v>2590</v>
      </c>
      <c r="G10" s="145" t="s">
        <v>2592</v>
      </c>
      <c r="H10" s="145" t="s">
        <v>321</v>
      </c>
      <c r="I10" s="145" t="s">
        <v>917</v>
      </c>
      <c r="J10" s="145" t="s">
        <v>205</v>
      </c>
      <c r="K10" s="145" t="s">
        <v>244</v>
      </c>
      <c r="L10" s="145" t="s">
        <v>325</v>
      </c>
      <c r="M10" s="145" t="s">
        <v>314</v>
      </c>
      <c r="N10" s="145" t="s">
        <v>580</v>
      </c>
      <c r="O10" s="145" t="s">
        <v>339</v>
      </c>
      <c r="P10" s="145" t="s">
        <v>1211</v>
      </c>
      <c r="Q10" s="146">
        <v>139686.32999999999</v>
      </c>
      <c r="R10" s="146">
        <v>3.718</v>
      </c>
      <c r="S10" s="146">
        <v>1372.39</v>
      </c>
      <c r="T10" s="146">
        <v>7127.5590000000002</v>
      </c>
      <c r="U10" s="148">
        <v>1.5779999999999999E-2</v>
      </c>
      <c r="V10" s="148">
        <v>0.19292999999999999</v>
      </c>
      <c r="W10" s="149">
        <v>6.7799999999999996E-3</v>
      </c>
      <c r="X10" s="199"/>
    </row>
    <row r="11" spans="1:24" x14ac:dyDescent="0.2">
      <c r="A11" s="144" t="s">
        <v>1205</v>
      </c>
      <c r="B11" s="145" t="s">
        <v>1205</v>
      </c>
      <c r="C11" s="145" t="s">
        <v>2603</v>
      </c>
      <c r="D11" s="145" t="s">
        <v>2604</v>
      </c>
      <c r="E11" s="145" t="s">
        <v>313</v>
      </c>
      <c r="F11" s="145" t="s">
        <v>2603</v>
      </c>
      <c r="G11" s="145" t="s">
        <v>2605</v>
      </c>
      <c r="H11" s="145" t="s">
        <v>321</v>
      </c>
      <c r="I11" s="145" t="s">
        <v>917</v>
      </c>
      <c r="J11" s="145" t="s">
        <v>205</v>
      </c>
      <c r="K11" s="145" t="s">
        <v>233</v>
      </c>
      <c r="L11" s="145" t="s">
        <v>325</v>
      </c>
      <c r="M11" s="145" t="s">
        <v>380</v>
      </c>
      <c r="N11" s="145" t="s">
        <v>587</v>
      </c>
      <c r="O11" s="145" t="s">
        <v>339</v>
      </c>
      <c r="P11" s="145" t="s">
        <v>1215</v>
      </c>
      <c r="Q11" s="146">
        <v>83412.479999999996</v>
      </c>
      <c r="R11" s="146">
        <v>4.8109999999999999</v>
      </c>
      <c r="S11" s="146">
        <v>1082.53</v>
      </c>
      <c r="T11" s="146">
        <v>4343.9849999999997</v>
      </c>
      <c r="U11" s="148">
        <v>5.0000000000000001E-4</v>
      </c>
      <c r="V11" s="148">
        <v>0.11759</v>
      </c>
      <c r="W11" s="149">
        <v>4.13E-3</v>
      </c>
      <c r="X11" s="199"/>
    </row>
    <row r="12" spans="1:24" x14ac:dyDescent="0.2">
      <c r="A12" s="144" t="s">
        <v>1205</v>
      </c>
      <c r="B12" s="145" t="s">
        <v>1205</v>
      </c>
      <c r="C12" s="145" t="s">
        <v>2593</v>
      </c>
      <c r="D12" s="145" t="s">
        <v>2594</v>
      </c>
      <c r="E12" s="145" t="s">
        <v>313</v>
      </c>
      <c r="F12" s="145" t="s">
        <v>2593</v>
      </c>
      <c r="G12" s="145" t="s">
        <v>2595</v>
      </c>
      <c r="H12" s="145" t="s">
        <v>321</v>
      </c>
      <c r="I12" s="145" t="s">
        <v>917</v>
      </c>
      <c r="J12" s="145" t="s">
        <v>205</v>
      </c>
      <c r="K12" s="145" t="s">
        <v>238</v>
      </c>
      <c r="L12" s="145" t="s">
        <v>325</v>
      </c>
      <c r="M12" s="145" t="s">
        <v>314</v>
      </c>
      <c r="N12" s="145" t="s">
        <v>706</v>
      </c>
      <c r="O12" s="145" t="s">
        <v>339</v>
      </c>
      <c r="P12" s="145" t="s">
        <v>1212</v>
      </c>
      <c r="Q12" s="146">
        <v>3449.26</v>
      </c>
      <c r="R12" s="146">
        <v>4.0220000000000002</v>
      </c>
      <c r="S12" s="146">
        <v>22207</v>
      </c>
      <c r="T12" s="146">
        <v>3080.6840000000002</v>
      </c>
      <c r="U12" s="148">
        <v>6.2710000000000002E-2</v>
      </c>
      <c r="V12" s="148">
        <v>8.3390000000000006E-2</v>
      </c>
      <c r="W12" s="149">
        <v>2.9299999999999999E-3</v>
      </c>
      <c r="X12" s="199"/>
    </row>
    <row r="13" spans="1:24" x14ac:dyDescent="0.2">
      <c r="A13" s="144" t="s">
        <v>1205</v>
      </c>
      <c r="B13" s="145" t="s">
        <v>1205</v>
      </c>
      <c r="C13" s="145" t="s">
        <v>2606</v>
      </c>
      <c r="D13" s="145" t="s">
        <v>2607</v>
      </c>
      <c r="E13" s="145" t="s">
        <v>313</v>
      </c>
      <c r="F13" s="145" t="s">
        <v>2606</v>
      </c>
      <c r="G13" s="145" t="s">
        <v>2608</v>
      </c>
      <c r="H13" s="145" t="s">
        <v>321</v>
      </c>
      <c r="I13" s="145" t="s">
        <v>917</v>
      </c>
      <c r="J13" s="145" t="s">
        <v>205</v>
      </c>
      <c r="K13" s="145" t="s">
        <v>220</v>
      </c>
      <c r="L13" s="145" t="s">
        <v>325</v>
      </c>
      <c r="M13" s="145" t="s">
        <v>314</v>
      </c>
      <c r="N13" s="145" t="s">
        <v>706</v>
      </c>
      <c r="O13" s="145" t="s">
        <v>339</v>
      </c>
      <c r="P13" s="145" t="s">
        <v>1212</v>
      </c>
      <c r="Q13" s="146">
        <v>16812.87</v>
      </c>
      <c r="R13" s="146">
        <v>4.0220000000000002</v>
      </c>
      <c r="S13" s="146">
        <v>4551</v>
      </c>
      <c r="T13" s="146">
        <v>3077.3719999999998</v>
      </c>
      <c r="U13" s="148">
        <v>3.2000000000000003E-4</v>
      </c>
      <c r="V13" s="148">
        <v>8.3299999999999999E-2</v>
      </c>
      <c r="W13" s="149">
        <v>2.9299999999999999E-3</v>
      </c>
      <c r="X13" s="199"/>
    </row>
    <row r="14" spans="1:24" x14ac:dyDescent="0.2">
      <c r="A14" s="144" t="s">
        <v>1205</v>
      </c>
      <c r="B14" s="145" t="s">
        <v>1205</v>
      </c>
      <c r="C14" s="145" t="s">
        <v>2609</v>
      </c>
      <c r="D14" s="145" t="s">
        <v>2610</v>
      </c>
      <c r="E14" s="145" t="s">
        <v>313</v>
      </c>
      <c r="F14" s="145" t="s">
        <v>2609</v>
      </c>
      <c r="G14" s="145" t="s">
        <v>2611</v>
      </c>
      <c r="H14" s="145" t="s">
        <v>321</v>
      </c>
      <c r="I14" s="145" t="s">
        <v>917</v>
      </c>
      <c r="J14" s="145" t="s">
        <v>205</v>
      </c>
      <c r="K14" s="145" t="s">
        <v>281</v>
      </c>
      <c r="L14" s="145" t="s">
        <v>325</v>
      </c>
      <c r="M14" s="145" t="s">
        <v>314</v>
      </c>
      <c r="N14" s="145" t="s">
        <v>708</v>
      </c>
      <c r="O14" s="145" t="s">
        <v>339</v>
      </c>
      <c r="P14" s="145" t="s">
        <v>1211</v>
      </c>
      <c r="Q14" s="146">
        <v>77164.47</v>
      </c>
      <c r="R14" s="146">
        <v>3.718</v>
      </c>
      <c r="S14" s="146">
        <v>880.3</v>
      </c>
      <c r="T14" s="146">
        <v>2525.5590000000002</v>
      </c>
      <c r="U14" s="148">
        <v>3.15E-3</v>
      </c>
      <c r="V14" s="148">
        <v>6.8360000000000004E-2</v>
      </c>
      <c r="W14" s="149">
        <v>2.3999999999999998E-3</v>
      </c>
      <c r="X14" s="199"/>
    </row>
    <row r="15" spans="1:24" x14ac:dyDescent="0.2">
      <c r="A15" s="144" t="s">
        <v>1205</v>
      </c>
      <c r="B15" s="145" t="s">
        <v>1205</v>
      </c>
      <c r="C15" s="145" t="s">
        <v>2612</v>
      </c>
      <c r="D15" s="145" t="s">
        <v>2613</v>
      </c>
      <c r="E15" s="145" t="s">
        <v>313</v>
      </c>
      <c r="F15" s="145" t="s">
        <v>2612</v>
      </c>
      <c r="G15" s="145" t="s">
        <v>2614</v>
      </c>
      <c r="H15" s="145" t="s">
        <v>321</v>
      </c>
      <c r="I15" s="145" t="s">
        <v>969</v>
      </c>
      <c r="J15" s="145" t="s">
        <v>205</v>
      </c>
      <c r="K15" s="145" t="s">
        <v>253</v>
      </c>
      <c r="L15" s="145" t="s">
        <v>325</v>
      </c>
      <c r="M15" s="145" t="s">
        <v>314</v>
      </c>
      <c r="N15" s="145" t="s">
        <v>678</v>
      </c>
      <c r="O15" s="145" t="s">
        <v>339</v>
      </c>
      <c r="P15" s="145" t="s">
        <v>1211</v>
      </c>
      <c r="Q15" s="146">
        <v>3034.82</v>
      </c>
      <c r="R15" s="146">
        <v>3.718</v>
      </c>
      <c r="S15" s="146">
        <v>18676</v>
      </c>
      <c r="T15" s="146">
        <v>2107.299</v>
      </c>
      <c r="U15" s="148">
        <v>3.6000000000000002E-4</v>
      </c>
      <c r="V15" s="148">
        <v>5.704E-2</v>
      </c>
      <c r="W15" s="149">
        <v>2E-3</v>
      </c>
      <c r="X15" s="199"/>
    </row>
    <row r="16" spans="1:24" x14ac:dyDescent="0.2">
      <c r="A16" s="144" t="s">
        <v>1205</v>
      </c>
      <c r="B16" s="145" t="s">
        <v>1205</v>
      </c>
      <c r="C16" s="145" t="s">
        <v>2615</v>
      </c>
      <c r="D16" s="145" t="s">
        <v>2616</v>
      </c>
      <c r="E16" s="145" t="s">
        <v>313</v>
      </c>
      <c r="F16" s="145" t="s">
        <v>2617</v>
      </c>
      <c r="G16" s="145" t="s">
        <v>2618</v>
      </c>
      <c r="H16" s="145" t="s">
        <v>321</v>
      </c>
      <c r="I16" s="145" t="s">
        <v>917</v>
      </c>
      <c r="J16" s="145" t="s">
        <v>205</v>
      </c>
      <c r="K16" s="145" t="s">
        <v>224</v>
      </c>
      <c r="L16" s="145" t="s">
        <v>325</v>
      </c>
      <c r="M16" s="145" t="s">
        <v>380</v>
      </c>
      <c r="N16" s="145" t="s">
        <v>735</v>
      </c>
      <c r="O16" s="145" t="s">
        <v>339</v>
      </c>
      <c r="P16" s="145" t="s">
        <v>1211</v>
      </c>
      <c r="Q16" s="146">
        <v>13819.4</v>
      </c>
      <c r="R16" s="146">
        <v>3.718</v>
      </c>
      <c r="S16" s="146">
        <v>3742</v>
      </c>
      <c r="T16" s="146">
        <v>1922.6590000000001</v>
      </c>
      <c r="U16" s="158"/>
      <c r="V16" s="148">
        <v>5.2040000000000003E-2</v>
      </c>
      <c r="W16" s="149">
        <v>1.83E-3</v>
      </c>
      <c r="X16" s="199"/>
    </row>
    <row r="17" spans="1:24" x14ac:dyDescent="0.2">
      <c r="A17" s="144" t="s">
        <v>1205</v>
      </c>
      <c r="B17" s="145" t="s">
        <v>1205</v>
      </c>
      <c r="C17" s="145" t="s">
        <v>2619</v>
      </c>
      <c r="D17" s="145" t="s">
        <v>2620</v>
      </c>
      <c r="E17" s="145" t="s">
        <v>313</v>
      </c>
      <c r="F17" s="145" t="s">
        <v>2619</v>
      </c>
      <c r="G17" s="145" t="s">
        <v>2621</v>
      </c>
      <c r="H17" s="145" t="s">
        <v>321</v>
      </c>
      <c r="I17" s="145" t="s">
        <v>917</v>
      </c>
      <c r="J17" s="145" t="s">
        <v>205</v>
      </c>
      <c r="K17" s="145" t="s">
        <v>224</v>
      </c>
      <c r="L17" s="145" t="s">
        <v>325</v>
      </c>
      <c r="M17" s="145" t="s">
        <v>380</v>
      </c>
      <c r="N17" s="145" t="s">
        <v>735</v>
      </c>
      <c r="O17" s="145" t="s">
        <v>339</v>
      </c>
      <c r="P17" s="145" t="s">
        <v>1211</v>
      </c>
      <c r="Q17" s="146">
        <v>287903</v>
      </c>
      <c r="R17" s="146">
        <v>3.718</v>
      </c>
      <c r="S17" s="146">
        <v>157.75</v>
      </c>
      <c r="T17" s="146">
        <v>1688.5930000000001</v>
      </c>
      <c r="U17" s="148">
        <v>9.5E-4</v>
      </c>
      <c r="V17" s="148">
        <v>4.5710000000000001E-2</v>
      </c>
      <c r="W17" s="149">
        <v>1.6100000000000001E-3</v>
      </c>
      <c r="X17" s="199"/>
    </row>
    <row r="18" spans="1:24" x14ac:dyDescent="0.2">
      <c r="A18" s="144" t="s">
        <v>1205</v>
      </c>
      <c r="B18" s="145" t="s">
        <v>1205</v>
      </c>
      <c r="C18" s="145" t="s">
        <v>2596</v>
      </c>
      <c r="D18" s="145" t="s">
        <v>2597</v>
      </c>
      <c r="E18" s="145" t="s">
        <v>313</v>
      </c>
      <c r="F18" s="145" t="s">
        <v>2596</v>
      </c>
      <c r="G18" s="145" t="s">
        <v>2598</v>
      </c>
      <c r="H18" s="145" t="s">
        <v>321</v>
      </c>
      <c r="I18" s="145" t="s">
        <v>917</v>
      </c>
      <c r="J18" s="145" t="s">
        <v>205</v>
      </c>
      <c r="K18" s="145" t="s">
        <v>251</v>
      </c>
      <c r="L18" s="145" t="s">
        <v>325</v>
      </c>
      <c r="M18" s="145" t="s">
        <v>314</v>
      </c>
      <c r="N18" s="145" t="s">
        <v>599</v>
      </c>
      <c r="O18" s="145" t="s">
        <v>339</v>
      </c>
      <c r="P18" s="145" t="s">
        <v>1211</v>
      </c>
      <c r="Q18" s="146">
        <v>1686.01</v>
      </c>
      <c r="R18" s="146">
        <v>3.718</v>
      </c>
      <c r="S18" s="146">
        <v>22199.119999999999</v>
      </c>
      <c r="T18" s="146">
        <v>1391.5709999999999</v>
      </c>
      <c r="U18" s="158"/>
      <c r="V18" s="148">
        <v>3.7670000000000002E-2</v>
      </c>
      <c r="W18" s="149">
        <v>1.32E-3</v>
      </c>
      <c r="X18" s="199"/>
    </row>
    <row r="19" spans="1:24" x14ac:dyDescent="0.2">
      <c r="A19" s="144" t="s">
        <v>1205</v>
      </c>
      <c r="B19" s="145" t="s">
        <v>1205</v>
      </c>
      <c r="C19" s="145" t="s">
        <v>2622</v>
      </c>
      <c r="D19" s="145" t="s">
        <v>2623</v>
      </c>
      <c r="E19" s="145" t="s">
        <v>313</v>
      </c>
      <c r="F19" s="145" t="s">
        <v>2622</v>
      </c>
      <c r="G19" s="145" t="s">
        <v>2624</v>
      </c>
      <c r="H19" s="145" t="s">
        <v>321</v>
      </c>
      <c r="I19" s="145" t="s">
        <v>917</v>
      </c>
      <c r="J19" s="145" t="s">
        <v>205</v>
      </c>
      <c r="K19" s="145" t="s">
        <v>268</v>
      </c>
      <c r="L19" s="145" t="s">
        <v>325</v>
      </c>
      <c r="M19" s="145" t="s">
        <v>314</v>
      </c>
      <c r="N19" s="145" t="s">
        <v>588</v>
      </c>
      <c r="O19" s="145" t="s">
        <v>339</v>
      </c>
      <c r="P19" s="145" t="s">
        <v>1211</v>
      </c>
      <c r="Q19" s="146">
        <v>3424</v>
      </c>
      <c r="R19" s="146">
        <v>3.718</v>
      </c>
      <c r="S19" s="146">
        <v>10331.6</v>
      </c>
      <c r="T19" s="146">
        <v>1315.2570000000001</v>
      </c>
      <c r="U19" s="148">
        <v>1.39E-3</v>
      </c>
      <c r="V19" s="148">
        <v>3.56E-2</v>
      </c>
      <c r="W19" s="149">
        <v>1.25E-3</v>
      </c>
      <c r="X19" s="199"/>
    </row>
    <row r="20" spans="1:24" x14ac:dyDescent="0.2">
      <c r="A20" s="144" t="s">
        <v>1217</v>
      </c>
      <c r="B20" s="145" t="s">
        <v>1218</v>
      </c>
      <c r="C20" s="145" t="s">
        <v>2586</v>
      </c>
      <c r="D20" s="145" t="s">
        <v>2587</v>
      </c>
      <c r="E20" s="145" t="s">
        <v>313</v>
      </c>
      <c r="F20" s="145" t="s">
        <v>2588</v>
      </c>
      <c r="G20" s="145" t="s">
        <v>2589</v>
      </c>
      <c r="H20" s="145" t="s">
        <v>321</v>
      </c>
      <c r="I20" s="145" t="s">
        <v>969</v>
      </c>
      <c r="J20" s="145" t="s">
        <v>205</v>
      </c>
      <c r="K20" s="145" t="s">
        <v>291</v>
      </c>
      <c r="L20" s="145" t="s">
        <v>325</v>
      </c>
      <c r="M20" s="145" t="s">
        <v>314</v>
      </c>
      <c r="N20" s="145" t="s">
        <v>678</v>
      </c>
      <c r="O20" s="145" t="s">
        <v>339</v>
      </c>
      <c r="P20" s="145" t="s">
        <v>1211</v>
      </c>
      <c r="Q20" s="146">
        <v>856.51</v>
      </c>
      <c r="R20" s="146">
        <v>3.718</v>
      </c>
      <c r="S20" s="146">
        <v>139288</v>
      </c>
      <c r="T20" s="146">
        <v>4435.6319999999996</v>
      </c>
      <c r="U20" s="158"/>
      <c r="V20" s="148">
        <v>0.42160999999999998</v>
      </c>
      <c r="W20" s="149">
        <v>3.5000000000000001E-3</v>
      </c>
      <c r="X20" s="199"/>
    </row>
    <row r="21" spans="1:24" x14ac:dyDescent="0.2">
      <c r="A21" s="144" t="s">
        <v>1217</v>
      </c>
      <c r="B21" s="145" t="s">
        <v>1218</v>
      </c>
      <c r="C21" s="145" t="s">
        <v>2590</v>
      </c>
      <c r="D21" s="145" t="s">
        <v>2591</v>
      </c>
      <c r="E21" s="145" t="s">
        <v>313</v>
      </c>
      <c r="F21" s="145" t="s">
        <v>2590</v>
      </c>
      <c r="G21" s="145" t="s">
        <v>2592</v>
      </c>
      <c r="H21" s="145" t="s">
        <v>321</v>
      </c>
      <c r="I21" s="145" t="s">
        <v>917</v>
      </c>
      <c r="J21" s="145" t="s">
        <v>205</v>
      </c>
      <c r="K21" s="145" t="s">
        <v>244</v>
      </c>
      <c r="L21" s="145" t="s">
        <v>325</v>
      </c>
      <c r="M21" s="145" t="s">
        <v>314</v>
      </c>
      <c r="N21" s="145" t="s">
        <v>580</v>
      </c>
      <c r="O21" s="145" t="s">
        <v>339</v>
      </c>
      <c r="P21" s="145" t="s">
        <v>1211</v>
      </c>
      <c r="Q21" s="146">
        <v>72619.98</v>
      </c>
      <c r="R21" s="146">
        <v>3.718</v>
      </c>
      <c r="S21" s="146">
        <v>1372.39</v>
      </c>
      <c r="T21" s="146">
        <v>3705.4679999999998</v>
      </c>
      <c r="U21" s="148">
        <v>8.2000000000000007E-3</v>
      </c>
      <c r="V21" s="148">
        <v>0.35221000000000002</v>
      </c>
      <c r="W21" s="149">
        <v>2.9199999999999999E-3</v>
      </c>
      <c r="X21" s="199"/>
    </row>
    <row r="22" spans="1:24" x14ac:dyDescent="0.2">
      <c r="A22" s="144" t="s">
        <v>1217</v>
      </c>
      <c r="B22" s="145" t="s">
        <v>1218</v>
      </c>
      <c r="C22" s="145" t="s">
        <v>2593</v>
      </c>
      <c r="D22" s="145" t="s">
        <v>2594</v>
      </c>
      <c r="E22" s="145" t="s">
        <v>313</v>
      </c>
      <c r="F22" s="145" t="s">
        <v>2593</v>
      </c>
      <c r="G22" s="145" t="s">
        <v>2595</v>
      </c>
      <c r="H22" s="145" t="s">
        <v>321</v>
      </c>
      <c r="I22" s="145" t="s">
        <v>917</v>
      </c>
      <c r="J22" s="145" t="s">
        <v>205</v>
      </c>
      <c r="K22" s="145" t="s">
        <v>238</v>
      </c>
      <c r="L22" s="145" t="s">
        <v>325</v>
      </c>
      <c r="M22" s="145" t="s">
        <v>314</v>
      </c>
      <c r="N22" s="145" t="s">
        <v>706</v>
      </c>
      <c r="O22" s="145" t="s">
        <v>339</v>
      </c>
      <c r="P22" s="145" t="s">
        <v>1212</v>
      </c>
      <c r="Q22" s="146">
        <v>1727.73</v>
      </c>
      <c r="R22" s="146">
        <v>4.0220000000000002</v>
      </c>
      <c r="S22" s="146">
        <v>22207</v>
      </c>
      <c r="T22" s="146">
        <v>1543.1110000000001</v>
      </c>
      <c r="U22" s="148">
        <v>3.141E-2</v>
      </c>
      <c r="V22" s="148">
        <v>0.14668</v>
      </c>
      <c r="W22" s="149">
        <v>1.2199999999999999E-3</v>
      </c>
      <c r="X22" s="199"/>
    </row>
    <row r="23" spans="1:24" x14ac:dyDescent="0.2">
      <c r="A23" s="144" t="s">
        <v>1217</v>
      </c>
      <c r="B23" s="145" t="s">
        <v>1218</v>
      </c>
      <c r="C23" s="145" t="s">
        <v>2596</v>
      </c>
      <c r="D23" s="145" t="s">
        <v>2597</v>
      </c>
      <c r="E23" s="145" t="s">
        <v>313</v>
      </c>
      <c r="F23" s="145" t="s">
        <v>2596</v>
      </c>
      <c r="G23" s="145" t="s">
        <v>2598</v>
      </c>
      <c r="H23" s="145" t="s">
        <v>321</v>
      </c>
      <c r="I23" s="145" t="s">
        <v>917</v>
      </c>
      <c r="J23" s="145" t="s">
        <v>205</v>
      </c>
      <c r="K23" s="145" t="s">
        <v>251</v>
      </c>
      <c r="L23" s="145" t="s">
        <v>325</v>
      </c>
      <c r="M23" s="145" t="s">
        <v>314</v>
      </c>
      <c r="N23" s="145" t="s">
        <v>599</v>
      </c>
      <c r="O23" s="145" t="s">
        <v>339</v>
      </c>
      <c r="P23" s="145" t="s">
        <v>1211</v>
      </c>
      <c r="Q23" s="146">
        <v>1013.35</v>
      </c>
      <c r="R23" s="146">
        <v>3.718</v>
      </c>
      <c r="S23" s="146">
        <v>22199.119999999999</v>
      </c>
      <c r="T23" s="146">
        <v>836.38199999999995</v>
      </c>
      <c r="U23" s="159"/>
      <c r="V23" s="148">
        <v>7.9500000000000001E-2</v>
      </c>
      <c r="W23" s="149">
        <v>6.6E-4</v>
      </c>
      <c r="X23" s="199"/>
    </row>
    <row r="24" spans="1:24" x14ac:dyDescent="0.2">
      <c r="A24" s="144" t="s">
        <v>1217</v>
      </c>
      <c r="B24" s="145" t="s">
        <v>1219</v>
      </c>
      <c r="C24" s="145" t="s">
        <v>2586</v>
      </c>
      <c r="D24" s="145" t="s">
        <v>2587</v>
      </c>
      <c r="E24" s="145" t="s">
        <v>313</v>
      </c>
      <c r="F24" s="145" t="s">
        <v>2588</v>
      </c>
      <c r="G24" s="145" t="s">
        <v>2589</v>
      </c>
      <c r="H24" s="145" t="s">
        <v>321</v>
      </c>
      <c r="I24" s="145" t="s">
        <v>969</v>
      </c>
      <c r="J24" s="145" t="s">
        <v>205</v>
      </c>
      <c r="K24" s="145" t="s">
        <v>291</v>
      </c>
      <c r="L24" s="145" t="s">
        <v>325</v>
      </c>
      <c r="M24" s="145" t="s">
        <v>314</v>
      </c>
      <c r="N24" s="145" t="s">
        <v>678</v>
      </c>
      <c r="O24" s="145" t="s">
        <v>339</v>
      </c>
      <c r="P24" s="145" t="s">
        <v>1211</v>
      </c>
      <c r="Q24" s="146">
        <v>28.31</v>
      </c>
      <c r="R24" s="146">
        <v>3.718</v>
      </c>
      <c r="S24" s="146">
        <v>139288</v>
      </c>
      <c r="T24" s="146">
        <v>146.61000000000001</v>
      </c>
      <c r="U24" s="159"/>
      <c r="V24" s="148">
        <v>1</v>
      </c>
      <c r="W24" s="149">
        <v>1.4030000000000001E-2</v>
      </c>
      <c r="X24" s="199"/>
    </row>
    <row r="25" spans="1:24" x14ac:dyDescent="0.2">
      <c r="A25" s="144" t="s">
        <v>1217</v>
      </c>
      <c r="B25" s="145" t="s">
        <v>1217</v>
      </c>
      <c r="C25" s="145" t="s">
        <v>2599</v>
      </c>
      <c r="D25" s="145" t="s">
        <v>2600</v>
      </c>
      <c r="E25" s="145" t="s">
        <v>309</v>
      </c>
      <c r="F25" s="145" t="s">
        <v>2601</v>
      </c>
      <c r="G25" s="145" t="s">
        <v>2602</v>
      </c>
      <c r="H25" s="145" t="s">
        <v>321</v>
      </c>
      <c r="I25" s="145" t="s">
        <v>917</v>
      </c>
      <c r="J25" s="145" t="s">
        <v>204</v>
      </c>
      <c r="K25" s="145" t="s">
        <v>291</v>
      </c>
      <c r="L25" s="145" t="s">
        <v>325</v>
      </c>
      <c r="M25" s="145" t="s">
        <v>340</v>
      </c>
      <c r="N25" s="145" t="s">
        <v>698</v>
      </c>
      <c r="O25" s="145" t="s">
        <v>339</v>
      </c>
      <c r="P25" s="145" t="s">
        <v>1210</v>
      </c>
      <c r="Q25" s="146">
        <v>27322427.710000001</v>
      </c>
      <c r="R25" s="146">
        <v>1</v>
      </c>
      <c r="S25" s="146">
        <v>69.400000000000006</v>
      </c>
      <c r="T25" s="146">
        <v>18961.764999999999</v>
      </c>
      <c r="U25" s="148">
        <v>7.46E-2</v>
      </c>
      <c r="V25" s="148">
        <v>2.2550000000000001E-2</v>
      </c>
      <c r="W25" s="149">
        <v>7.7999999999999999E-4</v>
      </c>
      <c r="X25" s="199"/>
    </row>
    <row r="26" spans="1:24" x14ac:dyDescent="0.2">
      <c r="A26" s="144" t="s">
        <v>1217</v>
      </c>
      <c r="B26" s="145" t="s">
        <v>1217</v>
      </c>
      <c r="C26" s="145" t="s">
        <v>2586</v>
      </c>
      <c r="D26" s="145" t="s">
        <v>2587</v>
      </c>
      <c r="E26" s="145" t="s">
        <v>313</v>
      </c>
      <c r="F26" s="145" t="s">
        <v>2588</v>
      </c>
      <c r="G26" s="145" t="s">
        <v>2589</v>
      </c>
      <c r="H26" s="145" t="s">
        <v>321</v>
      </c>
      <c r="I26" s="145" t="s">
        <v>969</v>
      </c>
      <c r="J26" s="145" t="s">
        <v>205</v>
      </c>
      <c r="K26" s="145" t="s">
        <v>291</v>
      </c>
      <c r="L26" s="145" t="s">
        <v>325</v>
      </c>
      <c r="M26" s="145" t="s">
        <v>314</v>
      </c>
      <c r="N26" s="145" t="s">
        <v>678</v>
      </c>
      <c r="O26" s="145" t="s">
        <v>339</v>
      </c>
      <c r="P26" s="145" t="s">
        <v>1211</v>
      </c>
      <c r="Q26" s="146">
        <v>33385.51</v>
      </c>
      <c r="R26" s="146">
        <v>3.718</v>
      </c>
      <c r="S26" s="146">
        <v>139288</v>
      </c>
      <c r="T26" s="146">
        <v>172894.47</v>
      </c>
      <c r="U26" s="159"/>
      <c r="V26" s="148">
        <v>0.20563999999999999</v>
      </c>
      <c r="W26" s="149">
        <v>7.11E-3</v>
      </c>
      <c r="X26" s="199"/>
    </row>
    <row r="27" spans="1:24" x14ac:dyDescent="0.2">
      <c r="A27" s="144" t="s">
        <v>1217</v>
      </c>
      <c r="B27" s="145" t="s">
        <v>1217</v>
      </c>
      <c r="C27" s="145" t="s">
        <v>2590</v>
      </c>
      <c r="D27" s="145" t="s">
        <v>2591</v>
      </c>
      <c r="E27" s="145" t="s">
        <v>313</v>
      </c>
      <c r="F27" s="145" t="s">
        <v>2590</v>
      </c>
      <c r="G27" s="145" t="s">
        <v>2592</v>
      </c>
      <c r="H27" s="145" t="s">
        <v>321</v>
      </c>
      <c r="I27" s="145" t="s">
        <v>917</v>
      </c>
      <c r="J27" s="145" t="s">
        <v>205</v>
      </c>
      <c r="K27" s="145" t="s">
        <v>244</v>
      </c>
      <c r="L27" s="145" t="s">
        <v>325</v>
      </c>
      <c r="M27" s="145" t="s">
        <v>314</v>
      </c>
      <c r="N27" s="145" t="s">
        <v>580</v>
      </c>
      <c r="O27" s="145" t="s">
        <v>339</v>
      </c>
      <c r="P27" s="145" t="s">
        <v>1211</v>
      </c>
      <c r="Q27" s="146">
        <v>3211361.55</v>
      </c>
      <c r="R27" s="146">
        <v>3.718</v>
      </c>
      <c r="S27" s="146">
        <v>1372.39</v>
      </c>
      <c r="T27" s="146">
        <v>163861.201</v>
      </c>
      <c r="U27" s="148">
        <v>0.36270000000000002</v>
      </c>
      <c r="V27" s="148">
        <v>0.19489999999999999</v>
      </c>
      <c r="W27" s="149">
        <v>6.7400000000000003E-3</v>
      </c>
      <c r="X27" s="199"/>
    </row>
    <row r="28" spans="1:24" x14ac:dyDescent="0.2">
      <c r="A28" s="144" t="s">
        <v>1217</v>
      </c>
      <c r="B28" s="145" t="s">
        <v>1217</v>
      </c>
      <c r="C28" s="145" t="s">
        <v>2603</v>
      </c>
      <c r="D28" s="145" t="s">
        <v>2604</v>
      </c>
      <c r="E28" s="145" t="s">
        <v>313</v>
      </c>
      <c r="F28" s="145" t="s">
        <v>2603</v>
      </c>
      <c r="G28" s="145" t="s">
        <v>2605</v>
      </c>
      <c r="H28" s="145" t="s">
        <v>321</v>
      </c>
      <c r="I28" s="145" t="s">
        <v>917</v>
      </c>
      <c r="J28" s="145" t="s">
        <v>205</v>
      </c>
      <c r="K28" s="145" t="s">
        <v>233</v>
      </c>
      <c r="L28" s="145" t="s">
        <v>325</v>
      </c>
      <c r="M28" s="145" t="s">
        <v>380</v>
      </c>
      <c r="N28" s="145" t="s">
        <v>587</v>
      </c>
      <c r="O28" s="145" t="s">
        <v>339</v>
      </c>
      <c r="P28" s="145" t="s">
        <v>1215</v>
      </c>
      <c r="Q28" s="146">
        <v>1861370.01</v>
      </c>
      <c r="R28" s="146">
        <v>4.8109999999999999</v>
      </c>
      <c r="S28" s="146">
        <v>1082.53</v>
      </c>
      <c r="T28" s="146">
        <v>96937.085000000006</v>
      </c>
      <c r="U28" s="148">
        <v>1.1270000000000001E-2</v>
      </c>
      <c r="V28" s="148">
        <v>0.1153</v>
      </c>
      <c r="W28" s="149">
        <v>3.9899999999999996E-3</v>
      </c>
      <c r="X28" s="199"/>
    </row>
    <row r="29" spans="1:24" x14ac:dyDescent="0.2">
      <c r="A29" s="144" t="s">
        <v>1217</v>
      </c>
      <c r="B29" s="145" t="s">
        <v>1217</v>
      </c>
      <c r="C29" s="145" t="s">
        <v>2593</v>
      </c>
      <c r="D29" s="145" t="s">
        <v>2594</v>
      </c>
      <c r="E29" s="145" t="s">
        <v>313</v>
      </c>
      <c r="F29" s="145" t="s">
        <v>2593</v>
      </c>
      <c r="G29" s="145" t="s">
        <v>2595</v>
      </c>
      <c r="H29" s="145" t="s">
        <v>321</v>
      </c>
      <c r="I29" s="145" t="s">
        <v>917</v>
      </c>
      <c r="J29" s="145" t="s">
        <v>205</v>
      </c>
      <c r="K29" s="145" t="s">
        <v>238</v>
      </c>
      <c r="L29" s="145" t="s">
        <v>325</v>
      </c>
      <c r="M29" s="145" t="s">
        <v>314</v>
      </c>
      <c r="N29" s="145" t="s">
        <v>706</v>
      </c>
      <c r="O29" s="145" t="s">
        <v>339</v>
      </c>
      <c r="P29" s="145" t="s">
        <v>1212</v>
      </c>
      <c r="Q29" s="146">
        <v>79049.22</v>
      </c>
      <c r="R29" s="146">
        <v>4.0220000000000002</v>
      </c>
      <c r="S29" s="146">
        <v>22207</v>
      </c>
      <c r="T29" s="146">
        <v>70602.284</v>
      </c>
      <c r="U29" s="148">
        <v>1.43726</v>
      </c>
      <c r="V29" s="148">
        <v>8.3970000000000003E-2</v>
      </c>
      <c r="W29" s="149">
        <v>2.8999999999999998E-3</v>
      </c>
      <c r="X29" s="199"/>
    </row>
    <row r="30" spans="1:24" x14ac:dyDescent="0.2">
      <c r="A30" s="144" t="s">
        <v>1217</v>
      </c>
      <c r="B30" s="145" t="s">
        <v>1217</v>
      </c>
      <c r="C30" s="145" t="s">
        <v>2606</v>
      </c>
      <c r="D30" s="145" t="s">
        <v>2607</v>
      </c>
      <c r="E30" s="145" t="s">
        <v>313</v>
      </c>
      <c r="F30" s="145" t="s">
        <v>2606</v>
      </c>
      <c r="G30" s="145" t="s">
        <v>2608</v>
      </c>
      <c r="H30" s="145" t="s">
        <v>321</v>
      </c>
      <c r="I30" s="145" t="s">
        <v>917</v>
      </c>
      <c r="J30" s="145" t="s">
        <v>205</v>
      </c>
      <c r="K30" s="145" t="s">
        <v>220</v>
      </c>
      <c r="L30" s="145" t="s">
        <v>325</v>
      </c>
      <c r="M30" s="145" t="s">
        <v>314</v>
      </c>
      <c r="N30" s="145" t="s">
        <v>706</v>
      </c>
      <c r="O30" s="145" t="s">
        <v>339</v>
      </c>
      <c r="P30" s="145" t="s">
        <v>1212</v>
      </c>
      <c r="Q30" s="146">
        <v>370333.36</v>
      </c>
      <c r="R30" s="146">
        <v>4.0220000000000002</v>
      </c>
      <c r="S30" s="146">
        <v>4551</v>
      </c>
      <c r="T30" s="146">
        <v>67784.585000000006</v>
      </c>
      <c r="U30" s="148">
        <v>6.96E-3</v>
      </c>
      <c r="V30" s="148">
        <v>8.0619999999999997E-2</v>
      </c>
      <c r="W30" s="149">
        <v>2.7899999999999999E-3</v>
      </c>
      <c r="X30" s="199"/>
    </row>
    <row r="31" spans="1:24" x14ac:dyDescent="0.2">
      <c r="A31" s="144" t="s">
        <v>1217</v>
      </c>
      <c r="B31" s="145" t="s">
        <v>1217</v>
      </c>
      <c r="C31" s="145" t="s">
        <v>2609</v>
      </c>
      <c r="D31" s="145" t="s">
        <v>2610</v>
      </c>
      <c r="E31" s="145" t="s">
        <v>313</v>
      </c>
      <c r="F31" s="145" t="s">
        <v>2609</v>
      </c>
      <c r="G31" s="145" t="s">
        <v>2611</v>
      </c>
      <c r="H31" s="145" t="s">
        <v>321</v>
      </c>
      <c r="I31" s="145" t="s">
        <v>917</v>
      </c>
      <c r="J31" s="145" t="s">
        <v>205</v>
      </c>
      <c r="K31" s="145" t="s">
        <v>281</v>
      </c>
      <c r="L31" s="145" t="s">
        <v>325</v>
      </c>
      <c r="M31" s="145" t="s">
        <v>314</v>
      </c>
      <c r="N31" s="145" t="s">
        <v>708</v>
      </c>
      <c r="O31" s="145" t="s">
        <v>339</v>
      </c>
      <c r="P31" s="145" t="s">
        <v>1211</v>
      </c>
      <c r="Q31" s="146">
        <v>1737968.54</v>
      </c>
      <c r="R31" s="146">
        <v>3.718</v>
      </c>
      <c r="S31" s="146">
        <v>880.3</v>
      </c>
      <c r="T31" s="146">
        <v>56882.934999999998</v>
      </c>
      <c r="U31" s="148">
        <v>7.0879999999999999E-2</v>
      </c>
      <c r="V31" s="148">
        <v>6.7659999999999998E-2</v>
      </c>
      <c r="W31" s="149">
        <v>2.3400000000000001E-3</v>
      </c>
      <c r="X31" s="199"/>
    </row>
    <row r="32" spans="1:24" x14ac:dyDescent="0.2">
      <c r="A32" s="144" t="s">
        <v>1217</v>
      </c>
      <c r="B32" s="145" t="s">
        <v>1217</v>
      </c>
      <c r="C32" s="145" t="s">
        <v>2612</v>
      </c>
      <c r="D32" s="145" t="s">
        <v>2613</v>
      </c>
      <c r="E32" s="145" t="s">
        <v>313</v>
      </c>
      <c r="F32" s="145" t="s">
        <v>2612</v>
      </c>
      <c r="G32" s="145" t="s">
        <v>2614</v>
      </c>
      <c r="H32" s="145" t="s">
        <v>321</v>
      </c>
      <c r="I32" s="145" t="s">
        <v>969</v>
      </c>
      <c r="J32" s="145" t="s">
        <v>205</v>
      </c>
      <c r="K32" s="145" t="s">
        <v>253</v>
      </c>
      <c r="L32" s="145" t="s">
        <v>325</v>
      </c>
      <c r="M32" s="145" t="s">
        <v>314</v>
      </c>
      <c r="N32" s="145" t="s">
        <v>678</v>
      </c>
      <c r="O32" s="145" t="s">
        <v>339</v>
      </c>
      <c r="P32" s="145" t="s">
        <v>1211</v>
      </c>
      <c r="Q32" s="146">
        <v>69524.91</v>
      </c>
      <c r="R32" s="146">
        <v>3.718</v>
      </c>
      <c r="S32" s="146">
        <v>18676</v>
      </c>
      <c r="T32" s="146">
        <v>48276.267999999996</v>
      </c>
      <c r="U32" s="148">
        <v>8.3499999999999998E-3</v>
      </c>
      <c r="V32" s="148">
        <v>5.7419999999999999E-2</v>
      </c>
      <c r="W32" s="149">
        <v>1.99E-3</v>
      </c>
      <c r="X32" s="199"/>
    </row>
    <row r="33" spans="1:24" x14ac:dyDescent="0.2">
      <c r="A33" s="144" t="s">
        <v>1217</v>
      </c>
      <c r="B33" s="145" t="s">
        <v>1217</v>
      </c>
      <c r="C33" s="145" t="s">
        <v>2615</v>
      </c>
      <c r="D33" s="145" t="s">
        <v>2616</v>
      </c>
      <c r="E33" s="145" t="s">
        <v>313</v>
      </c>
      <c r="F33" s="145" t="s">
        <v>2617</v>
      </c>
      <c r="G33" s="145" t="s">
        <v>2618</v>
      </c>
      <c r="H33" s="145" t="s">
        <v>321</v>
      </c>
      <c r="I33" s="145" t="s">
        <v>917</v>
      </c>
      <c r="J33" s="145" t="s">
        <v>205</v>
      </c>
      <c r="K33" s="145" t="s">
        <v>224</v>
      </c>
      <c r="L33" s="145" t="s">
        <v>325</v>
      </c>
      <c r="M33" s="145" t="s">
        <v>380</v>
      </c>
      <c r="N33" s="145" t="s">
        <v>735</v>
      </c>
      <c r="O33" s="145" t="s">
        <v>339</v>
      </c>
      <c r="P33" s="145" t="s">
        <v>1211</v>
      </c>
      <c r="Q33" s="146">
        <v>315871.92</v>
      </c>
      <c r="R33" s="146">
        <v>3.718</v>
      </c>
      <c r="S33" s="146">
        <v>3742</v>
      </c>
      <c r="T33" s="146">
        <v>43946.49</v>
      </c>
      <c r="U33" s="159"/>
      <c r="V33" s="148">
        <v>5.2269999999999997E-2</v>
      </c>
      <c r="W33" s="149">
        <v>1.81E-3</v>
      </c>
      <c r="X33" s="199"/>
    </row>
    <row r="34" spans="1:24" x14ac:dyDescent="0.2">
      <c r="A34" s="144" t="s">
        <v>1217</v>
      </c>
      <c r="B34" s="145" t="s">
        <v>1217</v>
      </c>
      <c r="C34" s="145" t="s">
        <v>2619</v>
      </c>
      <c r="D34" s="145" t="s">
        <v>2620</v>
      </c>
      <c r="E34" s="145" t="s">
        <v>313</v>
      </c>
      <c r="F34" s="145" t="s">
        <v>2619</v>
      </c>
      <c r="G34" s="145" t="s">
        <v>2621</v>
      </c>
      <c r="H34" s="145" t="s">
        <v>321</v>
      </c>
      <c r="I34" s="145" t="s">
        <v>917</v>
      </c>
      <c r="J34" s="145" t="s">
        <v>205</v>
      </c>
      <c r="K34" s="145" t="s">
        <v>224</v>
      </c>
      <c r="L34" s="145" t="s">
        <v>325</v>
      </c>
      <c r="M34" s="145" t="s">
        <v>380</v>
      </c>
      <c r="N34" s="145" t="s">
        <v>735</v>
      </c>
      <c r="O34" s="145" t="s">
        <v>339</v>
      </c>
      <c r="P34" s="145" t="s">
        <v>1211</v>
      </c>
      <c r="Q34" s="146">
        <v>6580632.8399999999</v>
      </c>
      <c r="R34" s="146">
        <v>3.718</v>
      </c>
      <c r="S34" s="146">
        <v>157.75</v>
      </c>
      <c r="T34" s="146">
        <v>38596.366000000002</v>
      </c>
      <c r="U34" s="148">
        <v>2.162E-2</v>
      </c>
      <c r="V34" s="148">
        <v>4.5909999999999999E-2</v>
      </c>
      <c r="W34" s="149">
        <v>1.5900000000000001E-3</v>
      </c>
      <c r="X34" s="199"/>
    </row>
    <row r="35" spans="1:24" x14ac:dyDescent="0.2">
      <c r="A35" s="144" t="s">
        <v>1217</v>
      </c>
      <c r="B35" s="145" t="s">
        <v>1217</v>
      </c>
      <c r="C35" s="145" t="s">
        <v>2596</v>
      </c>
      <c r="D35" s="145" t="s">
        <v>2597</v>
      </c>
      <c r="E35" s="145" t="s">
        <v>313</v>
      </c>
      <c r="F35" s="145" t="s">
        <v>2596</v>
      </c>
      <c r="G35" s="145" t="s">
        <v>2598</v>
      </c>
      <c r="H35" s="145" t="s">
        <v>321</v>
      </c>
      <c r="I35" s="145" t="s">
        <v>917</v>
      </c>
      <c r="J35" s="145" t="s">
        <v>205</v>
      </c>
      <c r="K35" s="145" t="s">
        <v>251</v>
      </c>
      <c r="L35" s="145" t="s">
        <v>325</v>
      </c>
      <c r="M35" s="145" t="s">
        <v>314</v>
      </c>
      <c r="N35" s="145" t="s">
        <v>599</v>
      </c>
      <c r="O35" s="145" t="s">
        <v>339</v>
      </c>
      <c r="P35" s="145" t="s">
        <v>1211</v>
      </c>
      <c r="Q35" s="146">
        <v>39679.07</v>
      </c>
      <c r="R35" s="146">
        <v>3.718</v>
      </c>
      <c r="S35" s="146">
        <v>22199.119999999999</v>
      </c>
      <c r="T35" s="146">
        <v>32749.647000000001</v>
      </c>
      <c r="U35" s="159"/>
      <c r="V35" s="148">
        <v>3.8949999999999999E-2</v>
      </c>
      <c r="W35" s="149">
        <v>1.3500000000000001E-3</v>
      </c>
      <c r="X35" s="199"/>
    </row>
    <row r="36" spans="1:24" x14ac:dyDescent="0.2">
      <c r="A36" s="152" t="s">
        <v>1217</v>
      </c>
      <c r="B36" s="153" t="s">
        <v>1217</v>
      </c>
      <c r="C36" s="153" t="s">
        <v>2622</v>
      </c>
      <c r="D36" s="153" t="s">
        <v>2623</v>
      </c>
      <c r="E36" s="153" t="s">
        <v>313</v>
      </c>
      <c r="F36" s="153" t="s">
        <v>2622</v>
      </c>
      <c r="G36" s="153" t="s">
        <v>2624</v>
      </c>
      <c r="H36" s="153" t="s">
        <v>321</v>
      </c>
      <c r="I36" s="153" t="s">
        <v>917</v>
      </c>
      <c r="J36" s="153" t="s">
        <v>205</v>
      </c>
      <c r="K36" s="153" t="s">
        <v>268</v>
      </c>
      <c r="L36" s="153" t="s">
        <v>325</v>
      </c>
      <c r="M36" s="153" t="s">
        <v>314</v>
      </c>
      <c r="N36" s="153" t="s">
        <v>588</v>
      </c>
      <c r="O36" s="153" t="s">
        <v>339</v>
      </c>
      <c r="P36" s="153" t="s">
        <v>1211</v>
      </c>
      <c r="Q36" s="154">
        <v>76204</v>
      </c>
      <c r="R36" s="154">
        <v>3.718</v>
      </c>
      <c r="S36" s="154">
        <v>10331.6</v>
      </c>
      <c r="T36" s="154">
        <v>29272.157999999999</v>
      </c>
      <c r="U36" s="156">
        <v>3.099E-2</v>
      </c>
      <c r="V36" s="156">
        <v>3.4819999999999997E-2</v>
      </c>
      <c r="W36" s="157">
        <v>1.1999999999999999E-3</v>
      </c>
      <c r="X36" s="199"/>
    </row>
    <row r="37" spans="1:24" x14ac:dyDescent="0.2">
      <c r="A37" s="199" t="s">
        <v>3461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</row>
    <row r="38" spans="1:24" x14ac:dyDescent="0.2">
      <c r="A38" s="4" t="s">
        <v>3460</v>
      </c>
    </row>
    <row r="39" spans="1:24" x14ac:dyDescent="0.2">
      <c r="A39" s="2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7:W37"/>
    <mergeCell ref="X2:X36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3472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196" t="s">
        <v>3462</v>
      </c>
    </row>
    <row r="3" spans="1:26" x14ac:dyDescent="0.2">
      <c r="A3" s="144" t="s">
        <v>1205</v>
      </c>
      <c r="B3" s="145" t="s">
        <v>1205</v>
      </c>
      <c r="C3" s="145" t="s">
        <v>1581</v>
      </c>
      <c r="D3" s="145" t="s">
        <v>1582</v>
      </c>
      <c r="E3" s="145" t="s">
        <v>309</v>
      </c>
      <c r="F3" s="145" t="s">
        <v>2625</v>
      </c>
      <c r="G3" s="145" t="s">
        <v>2626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1936</v>
      </c>
      <c r="N3" s="145" t="s">
        <v>464</v>
      </c>
      <c r="O3" s="145" t="s">
        <v>2627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2533</v>
      </c>
      <c r="U3" s="146">
        <v>1</v>
      </c>
      <c r="V3" s="146">
        <v>3573</v>
      </c>
      <c r="W3" s="146">
        <v>90.504000000000005</v>
      </c>
      <c r="X3" s="148">
        <v>0.59367999999999999</v>
      </c>
      <c r="Y3" s="149">
        <v>9.0000000000000006E-5</v>
      </c>
      <c r="Z3" s="196"/>
    </row>
    <row r="4" spans="1:26" x14ac:dyDescent="0.2">
      <c r="A4" s="144" t="s">
        <v>1205</v>
      </c>
      <c r="B4" s="145" t="s">
        <v>1205</v>
      </c>
      <c r="C4" s="145" t="s">
        <v>2156</v>
      </c>
      <c r="D4" s="145" t="s">
        <v>2157</v>
      </c>
      <c r="E4" s="145" t="s">
        <v>309</v>
      </c>
      <c r="F4" s="145" t="s">
        <v>2628</v>
      </c>
      <c r="G4" s="145" t="s">
        <v>2629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2159</v>
      </c>
      <c r="N4" s="145" t="s">
        <v>473</v>
      </c>
      <c r="O4" s="145" t="s">
        <v>2630</v>
      </c>
      <c r="P4" s="145" t="s">
        <v>339</v>
      </c>
      <c r="Q4" s="145" t="s">
        <v>1210</v>
      </c>
      <c r="R4" s="146">
        <v>285</v>
      </c>
      <c r="S4" s="146">
        <v>1</v>
      </c>
      <c r="T4" s="146">
        <v>117950</v>
      </c>
      <c r="U4" s="146">
        <v>1</v>
      </c>
      <c r="V4" s="146">
        <v>52.1</v>
      </c>
      <c r="W4" s="146">
        <v>61.451999999999998</v>
      </c>
      <c r="X4" s="148">
        <v>0.40310000000000001</v>
      </c>
      <c r="Y4" s="149">
        <v>6.0000000000000002E-5</v>
      </c>
      <c r="Z4" s="196"/>
    </row>
    <row r="5" spans="1:26" x14ac:dyDescent="0.2">
      <c r="A5" s="144" t="s">
        <v>1205</v>
      </c>
      <c r="B5" s="145" t="s">
        <v>1205</v>
      </c>
      <c r="C5" s="145" t="s">
        <v>2631</v>
      </c>
      <c r="D5" s="145" t="s">
        <v>2632</v>
      </c>
      <c r="E5" s="145" t="s">
        <v>309</v>
      </c>
      <c r="F5" s="145" t="s">
        <v>2633</v>
      </c>
      <c r="G5" s="145" t="s">
        <v>2634</v>
      </c>
      <c r="H5" s="145" t="s">
        <v>321</v>
      </c>
      <c r="I5" s="145" t="s">
        <v>204</v>
      </c>
      <c r="J5" s="145" t="s">
        <v>204</v>
      </c>
      <c r="K5" s="145" t="s">
        <v>325</v>
      </c>
      <c r="L5" s="145" t="s">
        <v>340</v>
      </c>
      <c r="M5" s="145" t="s">
        <v>2635</v>
      </c>
      <c r="N5" s="145" t="s">
        <v>480</v>
      </c>
      <c r="O5" s="145" t="s">
        <v>2636</v>
      </c>
      <c r="P5" s="145" t="s">
        <v>339</v>
      </c>
      <c r="Q5" s="145" t="s">
        <v>1210</v>
      </c>
      <c r="R5" s="146">
        <v>1415</v>
      </c>
      <c r="S5" s="146">
        <v>1</v>
      </c>
      <c r="T5" s="146">
        <v>10220</v>
      </c>
      <c r="U5" s="146">
        <v>1</v>
      </c>
      <c r="V5" s="146">
        <v>4.8</v>
      </c>
      <c r="W5" s="146">
        <v>0.49099999999999999</v>
      </c>
      <c r="X5" s="148">
        <v>3.2200000000000002E-3</v>
      </c>
      <c r="Y5" s="149">
        <v>0</v>
      </c>
      <c r="Z5" s="196"/>
    </row>
    <row r="6" spans="1:26" x14ac:dyDescent="0.2">
      <c r="A6" s="144" t="s">
        <v>1217</v>
      </c>
      <c r="B6" s="145" t="s">
        <v>1217</v>
      </c>
      <c r="C6" s="145" t="s">
        <v>1581</v>
      </c>
      <c r="D6" s="145" t="s">
        <v>1582</v>
      </c>
      <c r="E6" s="145" t="s">
        <v>309</v>
      </c>
      <c r="F6" s="145" t="s">
        <v>2625</v>
      </c>
      <c r="G6" s="145" t="s">
        <v>2626</v>
      </c>
      <c r="H6" s="145" t="s">
        <v>321</v>
      </c>
      <c r="I6" s="145" t="s">
        <v>204</v>
      </c>
      <c r="J6" s="145" t="s">
        <v>204</v>
      </c>
      <c r="K6" s="145" t="s">
        <v>325</v>
      </c>
      <c r="L6" s="145" t="s">
        <v>340</v>
      </c>
      <c r="M6" s="145" t="s">
        <v>1936</v>
      </c>
      <c r="N6" s="145" t="s">
        <v>464</v>
      </c>
      <c r="O6" s="145" t="s">
        <v>2627</v>
      </c>
      <c r="P6" s="145" t="s">
        <v>339</v>
      </c>
      <c r="Q6" s="145" t="s">
        <v>1210</v>
      </c>
      <c r="R6" s="146">
        <v>58000</v>
      </c>
      <c r="S6" s="146">
        <v>1</v>
      </c>
      <c r="T6" s="146">
        <v>57001</v>
      </c>
      <c r="U6" s="146">
        <v>1</v>
      </c>
      <c r="V6" s="146">
        <v>3573</v>
      </c>
      <c r="W6" s="146">
        <v>2036.646</v>
      </c>
      <c r="X6" s="148">
        <v>0.59924999999999995</v>
      </c>
      <c r="Y6" s="149">
        <v>8.0000000000000007E-5</v>
      </c>
      <c r="Z6" s="196"/>
    </row>
    <row r="7" spans="1:26" x14ac:dyDescent="0.2">
      <c r="A7" s="144" t="s">
        <v>1217</v>
      </c>
      <c r="B7" s="145" t="s">
        <v>1217</v>
      </c>
      <c r="C7" s="145" t="s">
        <v>2156</v>
      </c>
      <c r="D7" s="145" t="s">
        <v>2157</v>
      </c>
      <c r="E7" s="145" t="s">
        <v>309</v>
      </c>
      <c r="F7" s="145" t="s">
        <v>2628</v>
      </c>
      <c r="G7" s="145" t="s">
        <v>2629</v>
      </c>
      <c r="H7" s="145" t="s">
        <v>321</v>
      </c>
      <c r="I7" s="145" t="s">
        <v>204</v>
      </c>
      <c r="J7" s="145" t="s">
        <v>204</v>
      </c>
      <c r="K7" s="145" t="s">
        <v>325</v>
      </c>
      <c r="L7" s="145" t="s">
        <v>340</v>
      </c>
      <c r="M7" s="145" t="s">
        <v>2159</v>
      </c>
      <c r="N7" s="145" t="s">
        <v>473</v>
      </c>
      <c r="O7" s="145" t="s">
        <v>2630</v>
      </c>
      <c r="P7" s="145" t="s">
        <v>339</v>
      </c>
      <c r="Q7" s="145" t="s">
        <v>1210</v>
      </c>
      <c r="R7" s="146">
        <v>285</v>
      </c>
      <c r="S7" s="146">
        <v>1</v>
      </c>
      <c r="T7" s="146">
        <v>2593500</v>
      </c>
      <c r="U7" s="146">
        <v>1</v>
      </c>
      <c r="V7" s="146">
        <v>52.1</v>
      </c>
      <c r="W7" s="146">
        <v>1351.2139999999999</v>
      </c>
      <c r="X7" s="148">
        <v>0.39756999999999998</v>
      </c>
      <c r="Y7" s="149">
        <v>6.0000000000000002E-5</v>
      </c>
      <c r="Z7" s="196"/>
    </row>
    <row r="8" spans="1:26" x14ac:dyDescent="0.2">
      <c r="A8" s="144" t="s">
        <v>1217</v>
      </c>
      <c r="B8" s="145" t="s">
        <v>1217</v>
      </c>
      <c r="C8" s="145" t="s">
        <v>2631</v>
      </c>
      <c r="D8" s="145" t="s">
        <v>2632</v>
      </c>
      <c r="E8" s="145" t="s">
        <v>309</v>
      </c>
      <c r="F8" s="145" t="s">
        <v>2633</v>
      </c>
      <c r="G8" s="145" t="s">
        <v>2634</v>
      </c>
      <c r="H8" s="145" t="s">
        <v>321</v>
      </c>
      <c r="I8" s="145" t="s">
        <v>204</v>
      </c>
      <c r="J8" s="145" t="s">
        <v>204</v>
      </c>
      <c r="K8" s="145" t="s">
        <v>325</v>
      </c>
      <c r="L8" s="145" t="s">
        <v>340</v>
      </c>
      <c r="M8" s="145" t="s">
        <v>2635</v>
      </c>
      <c r="N8" s="145" t="s">
        <v>480</v>
      </c>
      <c r="O8" s="145" t="s">
        <v>2636</v>
      </c>
      <c r="P8" s="145" t="s">
        <v>339</v>
      </c>
      <c r="Q8" s="145" t="s">
        <v>1210</v>
      </c>
      <c r="R8" s="146">
        <v>1415</v>
      </c>
      <c r="S8" s="146">
        <v>1</v>
      </c>
      <c r="T8" s="146">
        <v>225497</v>
      </c>
      <c r="U8" s="146">
        <v>1</v>
      </c>
      <c r="V8" s="146">
        <v>4.8</v>
      </c>
      <c r="W8" s="146">
        <v>10.824</v>
      </c>
      <c r="X8" s="148">
        <v>3.1800000000000001E-3</v>
      </c>
      <c r="Y8" s="149">
        <v>0</v>
      </c>
      <c r="Z8" s="196"/>
    </row>
    <row r="9" spans="1:26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58"/>
      <c r="I9" s="158"/>
      <c r="J9" s="158"/>
      <c r="K9" s="161"/>
      <c r="L9" s="158"/>
      <c r="M9" s="161"/>
      <c r="N9" s="161"/>
      <c r="O9" s="161"/>
      <c r="P9" s="161"/>
      <c r="Q9" s="158"/>
      <c r="R9" s="158"/>
      <c r="S9" s="158"/>
      <c r="T9" s="161"/>
      <c r="U9" s="161"/>
      <c r="V9" s="161"/>
      <c r="W9" s="161"/>
      <c r="X9" s="161"/>
      <c r="Y9" s="166"/>
      <c r="Z9" s="196"/>
    </row>
    <row r="10" spans="1:26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58"/>
      <c r="I10" s="158"/>
      <c r="J10" s="158"/>
      <c r="K10" s="161"/>
      <c r="L10" s="158"/>
      <c r="M10" s="161"/>
      <c r="N10" s="161"/>
      <c r="O10" s="161"/>
      <c r="P10" s="161"/>
      <c r="Q10" s="158"/>
      <c r="R10" s="158"/>
      <c r="S10" s="158"/>
      <c r="T10" s="161"/>
      <c r="U10" s="161"/>
      <c r="V10" s="161"/>
      <c r="W10" s="161"/>
      <c r="X10" s="161"/>
      <c r="Y10" s="166"/>
      <c r="Z10" s="196"/>
    </row>
    <row r="11" spans="1:26" x14ac:dyDescent="0.2">
      <c r="A11" s="144" t="s">
        <v>1217</v>
      </c>
      <c r="B11" s="145" t="s">
        <v>1218</v>
      </c>
      <c r="C11" s="161"/>
      <c r="D11" s="161"/>
      <c r="E11" s="158"/>
      <c r="F11" s="161"/>
      <c r="G11" s="161"/>
      <c r="H11" s="158"/>
      <c r="I11" s="158"/>
      <c r="J11" s="158"/>
      <c r="K11" s="161"/>
      <c r="L11" s="158"/>
      <c r="M11" s="161"/>
      <c r="N11" s="161"/>
      <c r="O11" s="161"/>
      <c r="P11" s="161"/>
      <c r="Q11" s="158"/>
      <c r="R11" s="158"/>
      <c r="S11" s="158"/>
      <c r="T11" s="161"/>
      <c r="U11" s="161"/>
      <c r="V11" s="161"/>
      <c r="W11" s="161"/>
      <c r="X11" s="161"/>
      <c r="Y11" s="166"/>
      <c r="Z11" s="196"/>
    </row>
    <row r="12" spans="1:26" x14ac:dyDescent="0.2">
      <c r="A12" s="152" t="s">
        <v>1217</v>
      </c>
      <c r="B12" s="153" t="s">
        <v>1219</v>
      </c>
      <c r="C12" s="164"/>
      <c r="D12" s="164"/>
      <c r="E12" s="163"/>
      <c r="F12" s="164"/>
      <c r="G12" s="164"/>
      <c r="H12" s="163"/>
      <c r="I12" s="163"/>
      <c r="J12" s="163"/>
      <c r="K12" s="164"/>
      <c r="L12" s="163"/>
      <c r="M12" s="164"/>
      <c r="N12" s="164"/>
      <c r="O12" s="164"/>
      <c r="P12" s="164"/>
      <c r="Q12" s="163"/>
      <c r="R12" s="163"/>
      <c r="S12" s="163"/>
      <c r="T12" s="164"/>
      <c r="U12" s="164"/>
      <c r="V12" s="164"/>
      <c r="W12" s="164"/>
      <c r="X12" s="164"/>
      <c r="Y12" s="167"/>
      <c r="Z12" s="196"/>
    </row>
    <row r="13" spans="1:26" x14ac:dyDescent="0.2">
      <c r="A13" s="201" t="s">
        <v>3461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</row>
    <row r="14" spans="1:26" x14ac:dyDescent="0.2">
      <c r="A14" s="97" t="s">
        <v>3460</v>
      </c>
      <c r="B14" s="97"/>
      <c r="C14" s="97"/>
      <c r="D14" s="97"/>
      <c r="E14" s="14"/>
      <c r="F14" s="97"/>
      <c r="G14" s="97"/>
      <c r="H14" s="14"/>
      <c r="I14" s="14"/>
      <c r="J14" s="14"/>
      <c r="K14" s="97"/>
      <c r="L14" s="14"/>
      <c r="M14" s="97"/>
      <c r="N14" s="97"/>
      <c r="O14" s="97"/>
      <c r="P14" s="97"/>
      <c r="Q14" s="14"/>
      <c r="R14" s="14"/>
      <c r="S14" s="14"/>
      <c r="T14" s="97"/>
      <c r="U14" s="97"/>
      <c r="V14" s="97"/>
      <c r="W14" s="97"/>
      <c r="X14" s="97"/>
      <c r="Y14" s="97"/>
    </row>
    <row r="15" spans="1:26" x14ac:dyDescent="0.2">
      <c r="A15" s="202"/>
      <c r="B15" s="97"/>
      <c r="C15" s="97"/>
      <c r="D15" s="97"/>
      <c r="E15" s="14"/>
      <c r="F15" s="97"/>
      <c r="G15" s="97"/>
      <c r="H15" s="14"/>
      <c r="I15" s="14"/>
      <c r="J15" s="14"/>
      <c r="K15" s="97"/>
      <c r="L15" s="14"/>
      <c r="M15" s="97"/>
      <c r="N15" s="97"/>
      <c r="O15" s="97"/>
      <c r="P15" s="97"/>
      <c r="Q15" s="14"/>
      <c r="R15" s="14"/>
      <c r="S15" s="14"/>
      <c r="T15" s="97"/>
      <c r="U15" s="97"/>
      <c r="V15" s="97"/>
      <c r="W15" s="97"/>
      <c r="X15" s="97"/>
      <c r="Y15" s="97"/>
    </row>
    <row r="16" spans="1:26" x14ac:dyDescent="0.2">
      <c r="A16" s="97"/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Y13"/>
    <mergeCell ref="Z2:Z12"/>
  </mergeCells>
  <dataValidations count="8">
    <dataValidation type="list" allowBlank="1" showInputMessage="1" showErrorMessage="1" sqref="I3:I12 I14:I21">
      <formula1>israel_abroad</formula1>
    </dataValidation>
    <dataValidation type="list" allowBlank="1" showInputMessage="1" showErrorMessage="1" sqref="N3:N12 N14:N21">
      <formula1>Industry_sectors</formula1>
    </dataValidation>
    <dataValidation type="list" allowBlank="1" showInputMessage="1" showErrorMessage="1" sqref="P3:P12 P14:P21">
      <formula1>Holding_interest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K3:K12 K14:K21">
      <formula1>tradeable_status_warrants</formula1>
    </dataValidation>
    <dataValidation type="list" allowBlank="1" showInputMessage="1" showErrorMessage="1" sqref="L3:L12 L14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3473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196" t="s">
        <v>3462</v>
      </c>
    </row>
    <row r="3" spans="1:25" x14ac:dyDescent="0.2">
      <c r="A3" s="144" t="s">
        <v>1205</v>
      </c>
      <c r="B3" s="145" t="s">
        <v>1205</v>
      </c>
      <c r="C3" s="145" t="s">
        <v>2637</v>
      </c>
      <c r="D3" s="145" t="s">
        <v>2638</v>
      </c>
      <c r="E3" s="145" t="s">
        <v>309</v>
      </c>
      <c r="F3" s="145" t="s">
        <v>2639</v>
      </c>
      <c r="G3" s="145" t="s">
        <v>2640</v>
      </c>
      <c r="H3" s="145" t="s">
        <v>321</v>
      </c>
      <c r="I3" s="145" t="s">
        <v>971</v>
      </c>
      <c r="J3" s="145" t="s">
        <v>204</v>
      </c>
      <c r="K3" s="145" t="s">
        <v>204</v>
      </c>
      <c r="L3" s="145" t="s">
        <v>340</v>
      </c>
      <c r="M3" s="145" t="s">
        <v>314</v>
      </c>
      <c r="N3" s="145" t="s">
        <v>747</v>
      </c>
      <c r="O3" s="145" t="s">
        <v>2641</v>
      </c>
      <c r="P3" s="145" t="s">
        <v>339</v>
      </c>
      <c r="Q3" s="145" t="s">
        <v>1210</v>
      </c>
      <c r="R3" s="146">
        <v>2440</v>
      </c>
      <c r="S3" s="146">
        <v>130</v>
      </c>
      <c r="T3" s="146">
        <v>1</v>
      </c>
      <c r="U3" s="146">
        <v>24850000</v>
      </c>
      <c r="V3" s="146">
        <v>323.05</v>
      </c>
      <c r="W3" s="148">
        <v>2.7734399999999999</v>
      </c>
      <c r="X3" s="149">
        <v>3.1E-4</v>
      </c>
      <c r="Y3" s="196"/>
    </row>
    <row r="4" spans="1:25" x14ac:dyDescent="0.2">
      <c r="A4" s="144" t="s">
        <v>1205</v>
      </c>
      <c r="B4" s="145" t="s">
        <v>1205</v>
      </c>
      <c r="C4" s="145" t="s">
        <v>2637</v>
      </c>
      <c r="D4" s="145" t="s">
        <v>2638</v>
      </c>
      <c r="E4" s="145" t="s">
        <v>309</v>
      </c>
      <c r="F4" s="145" t="s">
        <v>2642</v>
      </c>
      <c r="G4" s="145" t="s">
        <v>2643</v>
      </c>
      <c r="H4" s="145" t="s">
        <v>321</v>
      </c>
      <c r="I4" s="145" t="s">
        <v>971</v>
      </c>
      <c r="J4" s="145" t="s">
        <v>204</v>
      </c>
      <c r="K4" s="145" t="s">
        <v>204</v>
      </c>
      <c r="L4" s="145" t="s">
        <v>340</v>
      </c>
      <c r="M4" s="145" t="s">
        <v>314</v>
      </c>
      <c r="N4" s="145" t="s">
        <v>747</v>
      </c>
      <c r="O4" s="145" t="s">
        <v>2641</v>
      </c>
      <c r="P4" s="145" t="s">
        <v>339</v>
      </c>
      <c r="Q4" s="145" t="s">
        <v>1210</v>
      </c>
      <c r="R4" s="146">
        <v>2440</v>
      </c>
      <c r="S4" s="146">
        <v>-130</v>
      </c>
      <c r="T4" s="146">
        <v>1</v>
      </c>
      <c r="U4" s="146">
        <v>15890000</v>
      </c>
      <c r="V4" s="146">
        <v>-206.57</v>
      </c>
      <c r="W4" s="148">
        <v>-1.7734399999999999</v>
      </c>
      <c r="X4" s="149">
        <v>-2.0000000000000001E-4</v>
      </c>
      <c r="Y4" s="196"/>
    </row>
    <row r="5" spans="1:25" x14ac:dyDescent="0.2">
      <c r="A5" s="144" t="s">
        <v>1217</v>
      </c>
      <c r="B5" s="145" t="s">
        <v>1217</v>
      </c>
      <c r="C5" s="145" t="s">
        <v>2637</v>
      </c>
      <c r="D5" s="145" t="s">
        <v>2638</v>
      </c>
      <c r="E5" s="145" t="s">
        <v>309</v>
      </c>
      <c r="F5" s="145" t="s">
        <v>2639</v>
      </c>
      <c r="G5" s="145" t="s">
        <v>2640</v>
      </c>
      <c r="H5" s="145" t="s">
        <v>321</v>
      </c>
      <c r="I5" s="145" t="s">
        <v>971</v>
      </c>
      <c r="J5" s="145" t="s">
        <v>204</v>
      </c>
      <c r="K5" s="145" t="s">
        <v>204</v>
      </c>
      <c r="L5" s="145" t="s">
        <v>340</v>
      </c>
      <c r="M5" s="145" t="s">
        <v>314</v>
      </c>
      <c r="N5" s="145" t="s">
        <v>747</v>
      </c>
      <c r="O5" s="145" t="s">
        <v>2641</v>
      </c>
      <c r="P5" s="145" t="s">
        <v>339</v>
      </c>
      <c r="Q5" s="145" t="s">
        <v>1210</v>
      </c>
      <c r="R5" s="146">
        <v>2440</v>
      </c>
      <c r="S5" s="146">
        <v>2761</v>
      </c>
      <c r="T5" s="146">
        <v>1</v>
      </c>
      <c r="U5" s="146">
        <v>24850000</v>
      </c>
      <c r="V5" s="146">
        <v>6861.085</v>
      </c>
      <c r="W5" s="148">
        <v>2.7734399999999999</v>
      </c>
      <c r="X5" s="149">
        <v>2.7999999999999998E-4</v>
      </c>
      <c r="Y5" s="196"/>
    </row>
    <row r="6" spans="1:25" x14ac:dyDescent="0.2">
      <c r="A6" s="144" t="s">
        <v>1217</v>
      </c>
      <c r="B6" s="145" t="s">
        <v>1217</v>
      </c>
      <c r="C6" s="145" t="s">
        <v>2637</v>
      </c>
      <c r="D6" s="145" t="s">
        <v>2638</v>
      </c>
      <c r="E6" s="145" t="s">
        <v>309</v>
      </c>
      <c r="F6" s="145" t="s">
        <v>2642</v>
      </c>
      <c r="G6" s="145" t="s">
        <v>2643</v>
      </c>
      <c r="H6" s="145" t="s">
        <v>321</v>
      </c>
      <c r="I6" s="145" t="s">
        <v>971</v>
      </c>
      <c r="J6" s="145" t="s">
        <v>204</v>
      </c>
      <c r="K6" s="145" t="s">
        <v>204</v>
      </c>
      <c r="L6" s="145" t="s">
        <v>340</v>
      </c>
      <c r="M6" s="145" t="s">
        <v>314</v>
      </c>
      <c r="N6" s="145" t="s">
        <v>747</v>
      </c>
      <c r="O6" s="145" t="s">
        <v>2641</v>
      </c>
      <c r="P6" s="145" t="s">
        <v>339</v>
      </c>
      <c r="Q6" s="145" t="s">
        <v>1210</v>
      </c>
      <c r="R6" s="146">
        <v>2440</v>
      </c>
      <c r="S6" s="146">
        <v>-2761</v>
      </c>
      <c r="T6" s="146">
        <v>1</v>
      </c>
      <c r="U6" s="146">
        <v>15890000</v>
      </c>
      <c r="V6" s="146">
        <v>-4387.2290000000003</v>
      </c>
      <c r="W6" s="148">
        <v>-1.7734399999999999</v>
      </c>
      <c r="X6" s="149">
        <v>-1.8000000000000001E-4</v>
      </c>
      <c r="Y6" s="196"/>
    </row>
    <row r="7" spans="1:25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196"/>
    </row>
    <row r="8" spans="1:25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58"/>
      <c r="I8" s="161"/>
      <c r="J8" s="158"/>
      <c r="K8" s="158"/>
      <c r="L8" s="158"/>
      <c r="M8" s="161"/>
      <c r="N8" s="161"/>
      <c r="O8" s="161"/>
      <c r="P8" s="161"/>
      <c r="Q8" s="158"/>
      <c r="R8" s="158"/>
      <c r="S8" s="161"/>
      <c r="T8" s="161"/>
      <c r="U8" s="161"/>
      <c r="V8" s="161"/>
      <c r="W8" s="161"/>
      <c r="X8" s="166"/>
      <c r="Y8" s="196"/>
    </row>
    <row r="9" spans="1:25" x14ac:dyDescent="0.2">
      <c r="A9" s="144" t="s">
        <v>1217</v>
      </c>
      <c r="B9" s="145" t="s">
        <v>1218</v>
      </c>
      <c r="C9" s="161"/>
      <c r="D9" s="161"/>
      <c r="E9" s="158"/>
      <c r="F9" s="161"/>
      <c r="G9" s="161"/>
      <c r="H9" s="158"/>
      <c r="I9" s="161"/>
      <c r="J9" s="158"/>
      <c r="K9" s="158"/>
      <c r="L9" s="158"/>
      <c r="M9" s="161"/>
      <c r="N9" s="161"/>
      <c r="O9" s="161"/>
      <c r="P9" s="161"/>
      <c r="Q9" s="158"/>
      <c r="R9" s="158"/>
      <c r="S9" s="161"/>
      <c r="T9" s="161"/>
      <c r="U9" s="161"/>
      <c r="V9" s="161"/>
      <c r="W9" s="161"/>
      <c r="X9" s="166"/>
      <c r="Y9" s="196"/>
    </row>
    <row r="10" spans="1:25" x14ac:dyDescent="0.2">
      <c r="A10" s="152" t="s">
        <v>1217</v>
      </c>
      <c r="B10" s="153" t="s">
        <v>1219</v>
      </c>
      <c r="C10" s="164"/>
      <c r="D10" s="164"/>
      <c r="E10" s="163"/>
      <c r="F10" s="164"/>
      <c r="G10" s="164"/>
      <c r="H10" s="163"/>
      <c r="I10" s="164"/>
      <c r="J10" s="163"/>
      <c r="K10" s="163"/>
      <c r="L10" s="163"/>
      <c r="M10" s="164"/>
      <c r="N10" s="164"/>
      <c r="O10" s="164"/>
      <c r="P10" s="164"/>
      <c r="Q10" s="163"/>
      <c r="R10" s="163"/>
      <c r="S10" s="164"/>
      <c r="T10" s="164"/>
      <c r="U10" s="164"/>
      <c r="V10" s="164"/>
      <c r="W10" s="164"/>
      <c r="X10" s="167"/>
      <c r="Y10" s="196"/>
    </row>
    <row r="11" spans="1:25" x14ac:dyDescent="0.2">
      <c r="A11" s="201" t="s">
        <v>3461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</row>
    <row r="12" spans="1:25" x14ac:dyDescent="0.2">
      <c r="A12" s="97" t="s">
        <v>3460</v>
      </c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202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3474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196" t="s">
        <v>3462</v>
      </c>
    </row>
    <row r="3" spans="1:21" x14ac:dyDescent="0.2">
      <c r="A3" s="144" t="s">
        <v>1205</v>
      </c>
      <c r="B3" s="145" t="s">
        <v>1205</v>
      </c>
      <c r="C3" s="145" t="s">
        <v>1895</v>
      </c>
      <c r="D3" s="145" t="s">
        <v>1896</v>
      </c>
      <c r="E3" s="145" t="s">
        <v>309</v>
      </c>
      <c r="F3" s="145" t="s">
        <v>2644</v>
      </c>
      <c r="G3" s="145" t="s">
        <v>2645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314</v>
      </c>
      <c r="M3" s="145" t="s">
        <v>339</v>
      </c>
      <c r="N3" s="145" t="s">
        <v>1211</v>
      </c>
      <c r="O3" s="146">
        <v>-2473109.36</v>
      </c>
      <c r="P3" s="146">
        <v>3.718</v>
      </c>
      <c r="Q3" s="146">
        <v>100</v>
      </c>
      <c r="R3" s="146">
        <v>-9195.0210000000006</v>
      </c>
      <c r="S3" s="148">
        <v>45.512300000000003</v>
      </c>
      <c r="T3" s="149">
        <v>-8.7500000000000008E-3</v>
      </c>
      <c r="U3" s="196"/>
    </row>
    <row r="4" spans="1:21" x14ac:dyDescent="0.2">
      <c r="A4" s="144" t="s">
        <v>1205</v>
      </c>
      <c r="B4" s="145" t="s">
        <v>1205</v>
      </c>
      <c r="C4" s="145" t="s">
        <v>1895</v>
      </c>
      <c r="D4" s="145" t="s">
        <v>1896</v>
      </c>
      <c r="E4" s="145" t="s">
        <v>309</v>
      </c>
      <c r="F4" s="145" t="s">
        <v>2646</v>
      </c>
      <c r="G4" s="145" t="s">
        <v>2647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314</v>
      </c>
      <c r="M4" s="145" t="s">
        <v>339</v>
      </c>
      <c r="N4" s="145" t="s">
        <v>1211</v>
      </c>
      <c r="O4" s="146">
        <v>-6239915</v>
      </c>
      <c r="P4" s="146">
        <v>3.718</v>
      </c>
      <c r="Q4" s="146">
        <v>100</v>
      </c>
      <c r="R4" s="146">
        <v>-23200.004000000001</v>
      </c>
      <c r="S4" s="148">
        <v>114.83232</v>
      </c>
      <c r="T4" s="149">
        <v>-2.2069999999999999E-2</v>
      </c>
      <c r="U4" s="196"/>
    </row>
    <row r="5" spans="1:21" x14ac:dyDescent="0.2">
      <c r="A5" s="144" t="s">
        <v>1205</v>
      </c>
      <c r="B5" s="145" t="s">
        <v>1205</v>
      </c>
      <c r="C5" s="145" t="s">
        <v>1895</v>
      </c>
      <c r="D5" s="145" t="s">
        <v>1896</v>
      </c>
      <c r="E5" s="145" t="s">
        <v>309</v>
      </c>
      <c r="F5" s="145" t="s">
        <v>2648</v>
      </c>
      <c r="G5" s="145" t="s">
        <v>2649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314</v>
      </c>
      <c r="M5" s="145" t="s">
        <v>339</v>
      </c>
      <c r="N5" s="145" t="s">
        <v>1211</v>
      </c>
      <c r="O5" s="146">
        <v>-6291280</v>
      </c>
      <c r="P5" s="146">
        <v>3.718</v>
      </c>
      <c r="Q5" s="146">
        <v>100</v>
      </c>
      <c r="R5" s="146">
        <v>-23390.978999999999</v>
      </c>
      <c r="S5" s="148">
        <v>115.77759</v>
      </c>
      <c r="T5" s="149">
        <v>-2.2249999999999999E-2</v>
      </c>
      <c r="U5" s="196"/>
    </row>
    <row r="6" spans="1:21" x14ac:dyDescent="0.2">
      <c r="A6" s="144" t="s">
        <v>1205</v>
      </c>
      <c r="B6" s="145" t="s">
        <v>1205</v>
      </c>
      <c r="C6" s="145" t="s">
        <v>2650</v>
      </c>
      <c r="D6" s="145" t="s">
        <v>2651</v>
      </c>
      <c r="E6" s="145" t="s">
        <v>314</v>
      </c>
      <c r="F6" s="145" t="s">
        <v>2652</v>
      </c>
      <c r="G6" s="145" t="s">
        <v>2653</v>
      </c>
      <c r="H6" s="145" t="s">
        <v>312</v>
      </c>
      <c r="I6" s="145" t="s">
        <v>205</v>
      </c>
      <c r="J6" s="145" t="s">
        <v>224</v>
      </c>
      <c r="K6" s="145" t="s">
        <v>344</v>
      </c>
      <c r="L6" s="145" t="s">
        <v>747</v>
      </c>
      <c r="M6" s="145" t="s">
        <v>339</v>
      </c>
      <c r="N6" s="145" t="s">
        <v>1211</v>
      </c>
      <c r="O6" s="146">
        <v>16</v>
      </c>
      <c r="P6" s="146">
        <v>3.718</v>
      </c>
      <c r="Q6" s="146">
        <v>38879000</v>
      </c>
      <c r="R6" s="146">
        <v>23128.34</v>
      </c>
      <c r="S6" s="148">
        <v>-114.47761</v>
      </c>
      <c r="T6" s="149">
        <v>2.1999999999999999E-2</v>
      </c>
      <c r="U6" s="196"/>
    </row>
    <row r="7" spans="1:21" x14ac:dyDescent="0.2">
      <c r="A7" s="144" t="s">
        <v>1205</v>
      </c>
      <c r="B7" s="145" t="s">
        <v>1205</v>
      </c>
      <c r="C7" s="145" t="s">
        <v>2654</v>
      </c>
      <c r="D7" s="145" t="s">
        <v>2655</v>
      </c>
      <c r="E7" s="145" t="s">
        <v>314</v>
      </c>
      <c r="F7" s="145" t="s">
        <v>2656</v>
      </c>
      <c r="G7" s="145" t="s">
        <v>2657</v>
      </c>
      <c r="H7" s="145" t="s">
        <v>312</v>
      </c>
      <c r="I7" s="145" t="s">
        <v>205</v>
      </c>
      <c r="J7" s="145" t="s">
        <v>224</v>
      </c>
      <c r="K7" s="145" t="s">
        <v>344</v>
      </c>
      <c r="L7" s="145" t="s">
        <v>747</v>
      </c>
      <c r="M7" s="145" t="s">
        <v>339</v>
      </c>
      <c r="N7" s="145" t="s">
        <v>1211</v>
      </c>
      <c r="O7" s="146">
        <v>22</v>
      </c>
      <c r="P7" s="146">
        <v>3.718</v>
      </c>
      <c r="Q7" s="146">
        <v>28266250</v>
      </c>
      <c r="R7" s="146">
        <v>23120.662</v>
      </c>
      <c r="S7" s="148">
        <v>-114.43961</v>
      </c>
      <c r="T7" s="149">
        <v>2.1989999999999999E-2</v>
      </c>
      <c r="U7" s="196"/>
    </row>
    <row r="8" spans="1:21" x14ac:dyDescent="0.2">
      <c r="A8" s="144" t="s">
        <v>1205</v>
      </c>
      <c r="B8" s="145" t="s">
        <v>1205</v>
      </c>
      <c r="C8" s="145" t="s">
        <v>2658</v>
      </c>
      <c r="D8" s="145" t="s">
        <v>2659</v>
      </c>
      <c r="E8" s="145" t="s">
        <v>314</v>
      </c>
      <c r="F8" s="145" t="s">
        <v>2660</v>
      </c>
      <c r="G8" s="145" t="s">
        <v>2661</v>
      </c>
      <c r="H8" s="145" t="s">
        <v>312</v>
      </c>
      <c r="I8" s="145" t="s">
        <v>205</v>
      </c>
      <c r="J8" s="145" t="s">
        <v>224</v>
      </c>
      <c r="K8" s="145" t="s">
        <v>344</v>
      </c>
      <c r="L8" s="145" t="s">
        <v>747</v>
      </c>
      <c r="M8" s="145" t="s">
        <v>339</v>
      </c>
      <c r="N8" s="145" t="s">
        <v>1211</v>
      </c>
      <c r="O8" s="146">
        <v>22</v>
      </c>
      <c r="P8" s="146">
        <v>3.718</v>
      </c>
      <c r="Q8" s="146">
        <v>11412499.966</v>
      </c>
      <c r="R8" s="146">
        <v>9334.9680000000008</v>
      </c>
      <c r="S8" s="148">
        <v>-46.204999999999998</v>
      </c>
      <c r="T8" s="149">
        <v>8.8800000000000007E-3</v>
      </c>
      <c r="U8" s="196"/>
    </row>
    <row r="9" spans="1:21" x14ac:dyDescent="0.2">
      <c r="A9" s="144" t="s">
        <v>1217</v>
      </c>
      <c r="B9" s="145" t="s">
        <v>1218</v>
      </c>
      <c r="C9" s="145" t="s">
        <v>1895</v>
      </c>
      <c r="D9" s="145" t="s">
        <v>1896</v>
      </c>
      <c r="E9" s="145" t="s">
        <v>309</v>
      </c>
      <c r="F9" s="145" t="s">
        <v>2644</v>
      </c>
      <c r="G9" s="145" t="s">
        <v>2645</v>
      </c>
      <c r="H9" s="145" t="s">
        <v>312</v>
      </c>
      <c r="I9" s="145" t="s">
        <v>204</v>
      </c>
      <c r="J9" s="145" t="s">
        <v>204</v>
      </c>
      <c r="K9" s="145" t="s">
        <v>314</v>
      </c>
      <c r="L9" s="145" t="s">
        <v>314</v>
      </c>
      <c r="M9" s="145" t="s">
        <v>339</v>
      </c>
      <c r="N9" s="145" t="s">
        <v>1211</v>
      </c>
      <c r="O9" s="146">
        <v>-786953.12</v>
      </c>
      <c r="P9" s="146">
        <v>3.718</v>
      </c>
      <c r="Q9" s="146">
        <v>100</v>
      </c>
      <c r="R9" s="146">
        <v>-2925.8919999999998</v>
      </c>
      <c r="S9" s="148">
        <v>-66.009150000000005</v>
      </c>
      <c r="T9" s="149">
        <v>-2.31E-3</v>
      </c>
      <c r="U9" s="196"/>
    </row>
    <row r="10" spans="1:21" x14ac:dyDescent="0.2">
      <c r="A10" s="144" t="s">
        <v>1217</v>
      </c>
      <c r="B10" s="145" t="s">
        <v>1218</v>
      </c>
      <c r="C10" s="145" t="s">
        <v>2658</v>
      </c>
      <c r="D10" s="145" t="s">
        <v>2659</v>
      </c>
      <c r="E10" s="145" t="s">
        <v>314</v>
      </c>
      <c r="F10" s="145" t="s">
        <v>2660</v>
      </c>
      <c r="G10" s="145" t="s">
        <v>2661</v>
      </c>
      <c r="H10" s="145" t="s">
        <v>312</v>
      </c>
      <c r="I10" s="145" t="s">
        <v>205</v>
      </c>
      <c r="J10" s="145" t="s">
        <v>224</v>
      </c>
      <c r="K10" s="145" t="s">
        <v>344</v>
      </c>
      <c r="L10" s="145" t="s">
        <v>747</v>
      </c>
      <c r="M10" s="145" t="s">
        <v>339</v>
      </c>
      <c r="N10" s="145" t="s">
        <v>1211</v>
      </c>
      <c r="O10" s="146">
        <v>7</v>
      </c>
      <c r="P10" s="146">
        <v>3.718</v>
      </c>
      <c r="Q10" s="146">
        <v>11412499.966</v>
      </c>
      <c r="R10" s="146">
        <v>2970.2170000000001</v>
      </c>
      <c r="S10" s="148">
        <v>67.009150000000005</v>
      </c>
      <c r="T10" s="149">
        <v>2.3400000000000001E-3</v>
      </c>
      <c r="U10" s="196"/>
    </row>
    <row r="11" spans="1:21" x14ac:dyDescent="0.2">
      <c r="A11" s="144" t="s">
        <v>1217</v>
      </c>
      <c r="B11" s="145" t="s">
        <v>1217</v>
      </c>
      <c r="C11" s="145" t="s">
        <v>1895</v>
      </c>
      <c r="D11" s="145" t="s">
        <v>1896</v>
      </c>
      <c r="E11" s="145" t="s">
        <v>309</v>
      </c>
      <c r="F11" s="145" t="s">
        <v>2644</v>
      </c>
      <c r="G11" s="145" t="s">
        <v>2645</v>
      </c>
      <c r="H11" s="145" t="s">
        <v>312</v>
      </c>
      <c r="I11" s="145" t="s">
        <v>204</v>
      </c>
      <c r="J11" s="145" t="s">
        <v>204</v>
      </c>
      <c r="K11" s="145" t="s">
        <v>314</v>
      </c>
      <c r="L11" s="145" t="s">
        <v>314</v>
      </c>
      <c r="M11" s="145" t="s">
        <v>339</v>
      </c>
      <c r="N11" s="145" t="s">
        <v>1211</v>
      </c>
      <c r="O11" s="146">
        <v>-55869788.82</v>
      </c>
      <c r="P11" s="146">
        <v>3.718</v>
      </c>
      <c r="Q11" s="146">
        <v>100</v>
      </c>
      <c r="R11" s="146">
        <v>-207723.875</v>
      </c>
      <c r="S11" s="148">
        <v>36.354309999999998</v>
      </c>
      <c r="T11" s="149">
        <v>-8.5500000000000003E-3</v>
      </c>
      <c r="U11" s="196"/>
    </row>
    <row r="12" spans="1:21" x14ac:dyDescent="0.2">
      <c r="A12" s="144" t="s">
        <v>1217</v>
      </c>
      <c r="B12" s="145" t="s">
        <v>1217</v>
      </c>
      <c r="C12" s="145" t="s">
        <v>1895</v>
      </c>
      <c r="D12" s="145" t="s">
        <v>1896</v>
      </c>
      <c r="E12" s="145" t="s">
        <v>309</v>
      </c>
      <c r="F12" s="145" t="s">
        <v>2648</v>
      </c>
      <c r="G12" s="145" t="s">
        <v>2649</v>
      </c>
      <c r="H12" s="145" t="s">
        <v>312</v>
      </c>
      <c r="I12" s="145" t="s">
        <v>204</v>
      </c>
      <c r="J12" s="145" t="s">
        <v>204</v>
      </c>
      <c r="K12" s="145" t="s">
        <v>314</v>
      </c>
      <c r="L12" s="145" t="s">
        <v>314</v>
      </c>
      <c r="M12" s="145" t="s">
        <v>339</v>
      </c>
      <c r="N12" s="145" t="s">
        <v>1211</v>
      </c>
      <c r="O12" s="146">
        <v>-156879572</v>
      </c>
      <c r="P12" s="146">
        <v>3.718</v>
      </c>
      <c r="Q12" s="146">
        <v>100</v>
      </c>
      <c r="R12" s="146">
        <v>-583278.24899999995</v>
      </c>
      <c r="S12" s="148">
        <v>102.08109</v>
      </c>
      <c r="T12" s="149">
        <v>-2.4E-2</v>
      </c>
      <c r="U12" s="196"/>
    </row>
    <row r="13" spans="1:21" x14ac:dyDescent="0.2">
      <c r="A13" s="144" t="s">
        <v>1217</v>
      </c>
      <c r="B13" s="145" t="s">
        <v>1217</v>
      </c>
      <c r="C13" s="145" t="s">
        <v>1895</v>
      </c>
      <c r="D13" s="145" t="s">
        <v>1896</v>
      </c>
      <c r="E13" s="145" t="s">
        <v>309</v>
      </c>
      <c r="F13" s="145" t="s">
        <v>2646</v>
      </c>
      <c r="G13" s="145" t="s">
        <v>2647</v>
      </c>
      <c r="H13" s="145" t="s">
        <v>312</v>
      </c>
      <c r="I13" s="145" t="s">
        <v>204</v>
      </c>
      <c r="J13" s="145" t="s">
        <v>204</v>
      </c>
      <c r="K13" s="145" t="s">
        <v>314</v>
      </c>
      <c r="L13" s="145" t="s">
        <v>314</v>
      </c>
      <c r="M13" s="145" t="s">
        <v>339</v>
      </c>
      <c r="N13" s="145" t="s">
        <v>1211</v>
      </c>
      <c r="O13" s="146">
        <v>-188322687.5</v>
      </c>
      <c r="P13" s="146">
        <v>3.718</v>
      </c>
      <c r="Q13" s="146">
        <v>100</v>
      </c>
      <c r="R13" s="146">
        <v>-700183.75199999998</v>
      </c>
      <c r="S13" s="148">
        <v>122.54103000000001</v>
      </c>
      <c r="T13" s="149">
        <v>-2.8799999999999999E-2</v>
      </c>
      <c r="U13" s="196"/>
    </row>
    <row r="14" spans="1:21" x14ac:dyDescent="0.2">
      <c r="A14" s="144" t="s">
        <v>1217</v>
      </c>
      <c r="B14" s="145" t="s">
        <v>1217</v>
      </c>
      <c r="C14" s="145" t="s">
        <v>2654</v>
      </c>
      <c r="D14" s="145" t="s">
        <v>2655</v>
      </c>
      <c r="E14" s="145" t="s">
        <v>314</v>
      </c>
      <c r="F14" s="145" t="s">
        <v>2656</v>
      </c>
      <c r="G14" s="145" t="s">
        <v>2657</v>
      </c>
      <c r="H14" s="145" t="s">
        <v>312</v>
      </c>
      <c r="I14" s="145" t="s">
        <v>205</v>
      </c>
      <c r="J14" s="145" t="s">
        <v>224</v>
      </c>
      <c r="K14" s="145" t="s">
        <v>344</v>
      </c>
      <c r="L14" s="145" t="s">
        <v>747</v>
      </c>
      <c r="M14" s="145" t="s">
        <v>339</v>
      </c>
      <c r="N14" s="145" t="s">
        <v>1211</v>
      </c>
      <c r="O14" s="146">
        <v>664</v>
      </c>
      <c r="P14" s="146">
        <v>3.718</v>
      </c>
      <c r="Q14" s="146">
        <v>28266250</v>
      </c>
      <c r="R14" s="146">
        <v>697823.61199999996</v>
      </c>
      <c r="S14" s="148">
        <v>-122.12797999999999</v>
      </c>
      <c r="T14" s="149">
        <v>2.8709999999999999E-2</v>
      </c>
      <c r="U14" s="196"/>
    </row>
    <row r="15" spans="1:21" x14ac:dyDescent="0.2">
      <c r="A15" s="144" t="s">
        <v>1217</v>
      </c>
      <c r="B15" s="145" t="s">
        <v>1217</v>
      </c>
      <c r="C15" s="145" t="s">
        <v>2650</v>
      </c>
      <c r="D15" s="145" t="s">
        <v>2651</v>
      </c>
      <c r="E15" s="145" t="s">
        <v>314</v>
      </c>
      <c r="F15" s="145" t="s">
        <v>2652</v>
      </c>
      <c r="G15" s="145" t="s">
        <v>2653</v>
      </c>
      <c r="H15" s="145" t="s">
        <v>312</v>
      </c>
      <c r="I15" s="145" t="s">
        <v>205</v>
      </c>
      <c r="J15" s="145" t="s">
        <v>224</v>
      </c>
      <c r="K15" s="145" t="s">
        <v>344</v>
      </c>
      <c r="L15" s="145" t="s">
        <v>747</v>
      </c>
      <c r="M15" s="145" t="s">
        <v>339</v>
      </c>
      <c r="N15" s="145" t="s">
        <v>1211</v>
      </c>
      <c r="O15" s="146">
        <v>399</v>
      </c>
      <c r="P15" s="146">
        <v>3.718</v>
      </c>
      <c r="Q15" s="146">
        <v>38879000</v>
      </c>
      <c r="R15" s="146">
        <v>576762.96699999995</v>
      </c>
      <c r="S15" s="148">
        <v>-100.94083000000001</v>
      </c>
      <c r="T15" s="149">
        <v>2.3730000000000001E-2</v>
      </c>
      <c r="U15" s="196"/>
    </row>
    <row r="16" spans="1:21" x14ac:dyDescent="0.2">
      <c r="A16" s="144" t="s">
        <v>1217</v>
      </c>
      <c r="B16" s="145" t="s">
        <v>1217</v>
      </c>
      <c r="C16" s="145" t="s">
        <v>2658</v>
      </c>
      <c r="D16" s="145" t="s">
        <v>2659</v>
      </c>
      <c r="E16" s="145" t="s">
        <v>314</v>
      </c>
      <c r="F16" s="145" t="s">
        <v>2660</v>
      </c>
      <c r="G16" s="145" t="s">
        <v>2661</v>
      </c>
      <c r="H16" s="145" t="s">
        <v>312</v>
      </c>
      <c r="I16" s="145" t="s">
        <v>205</v>
      </c>
      <c r="J16" s="145" t="s">
        <v>224</v>
      </c>
      <c r="K16" s="145" t="s">
        <v>344</v>
      </c>
      <c r="L16" s="145" t="s">
        <v>747</v>
      </c>
      <c r="M16" s="145" t="s">
        <v>339</v>
      </c>
      <c r="N16" s="145" t="s">
        <v>1211</v>
      </c>
      <c r="O16" s="146">
        <v>497</v>
      </c>
      <c r="P16" s="146">
        <v>3.718</v>
      </c>
      <c r="Q16" s="146">
        <v>11412499.966</v>
      </c>
      <c r="R16" s="146">
        <v>210885.42499999999</v>
      </c>
      <c r="S16" s="148">
        <v>-36.907620000000001</v>
      </c>
      <c r="T16" s="149">
        <v>8.6800000000000002E-3</v>
      </c>
      <c r="U16" s="196"/>
    </row>
    <row r="17" spans="1:21" x14ac:dyDescent="0.2">
      <c r="A17" s="144" t="s">
        <v>1205</v>
      </c>
      <c r="B17" s="145" t="s">
        <v>1206</v>
      </c>
      <c r="C17" s="150"/>
      <c r="D17" s="150"/>
      <c r="E17" s="158"/>
      <c r="F17" s="161"/>
      <c r="G17" s="161"/>
      <c r="H17" s="158"/>
      <c r="I17" s="158"/>
      <c r="J17" s="158"/>
      <c r="K17" s="158"/>
      <c r="L17" s="161"/>
      <c r="M17" s="161"/>
      <c r="N17" s="158"/>
      <c r="O17" s="161"/>
      <c r="P17" s="161"/>
      <c r="Q17" s="161"/>
      <c r="R17" s="161"/>
      <c r="S17" s="161"/>
      <c r="T17" s="166"/>
      <c r="U17" s="196"/>
    </row>
    <row r="18" spans="1:21" x14ac:dyDescent="0.2">
      <c r="A18" s="144" t="s">
        <v>1205</v>
      </c>
      <c r="B18" s="145" t="s">
        <v>1214</v>
      </c>
      <c r="C18" s="150"/>
      <c r="D18" s="150"/>
      <c r="E18" s="158"/>
      <c r="F18" s="161"/>
      <c r="G18" s="161"/>
      <c r="H18" s="158"/>
      <c r="I18" s="158"/>
      <c r="J18" s="158"/>
      <c r="K18" s="158"/>
      <c r="L18" s="161"/>
      <c r="M18" s="161"/>
      <c r="N18" s="158"/>
      <c r="O18" s="161"/>
      <c r="P18" s="161"/>
      <c r="Q18" s="161"/>
      <c r="R18" s="161"/>
      <c r="S18" s="161"/>
      <c r="T18" s="166"/>
      <c r="U18" s="196"/>
    </row>
    <row r="19" spans="1:21" x14ac:dyDescent="0.2">
      <c r="A19" s="152" t="s">
        <v>1217</v>
      </c>
      <c r="B19" s="153" t="s">
        <v>1219</v>
      </c>
      <c r="C19" s="168"/>
      <c r="D19" s="168"/>
      <c r="E19" s="163"/>
      <c r="F19" s="164"/>
      <c r="G19" s="164"/>
      <c r="H19" s="163"/>
      <c r="I19" s="163"/>
      <c r="J19" s="163"/>
      <c r="K19" s="163"/>
      <c r="L19" s="164"/>
      <c r="M19" s="164"/>
      <c r="N19" s="163"/>
      <c r="O19" s="164"/>
      <c r="P19" s="164"/>
      <c r="Q19" s="164"/>
      <c r="R19" s="164"/>
      <c r="S19" s="164"/>
      <c r="T19" s="167"/>
      <c r="U19" s="196"/>
    </row>
    <row r="20" spans="1:21" x14ac:dyDescent="0.2">
      <c r="A20" s="201" t="s">
        <v>3461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</row>
    <row r="21" spans="1:21" x14ac:dyDescent="0.2">
      <c r="A21" s="96" t="s">
        <v>3460</v>
      </c>
      <c r="B21" s="96"/>
      <c r="C21" s="96"/>
      <c r="D21" s="96"/>
      <c r="E21" s="14"/>
      <c r="F21" s="96"/>
      <c r="G21" s="96"/>
      <c r="H21" s="14"/>
      <c r="I21" s="96"/>
      <c r="J21" s="14"/>
      <c r="K21" s="14"/>
      <c r="L21" s="97"/>
      <c r="M21" s="97"/>
      <c r="N21" s="96"/>
      <c r="O21" s="96"/>
      <c r="P21" s="96"/>
      <c r="Q21" s="96"/>
      <c r="R21" s="96"/>
      <c r="S21" s="96"/>
      <c r="T21" s="96"/>
    </row>
    <row r="22" spans="1:21" x14ac:dyDescent="0.2">
      <c r="A22" s="98"/>
      <c r="B22" s="96"/>
      <c r="C22" s="96"/>
      <c r="D22" s="96"/>
      <c r="E22"/>
      <c r="F22" s="96"/>
      <c r="G22" s="96"/>
      <c r="H22" s="4"/>
      <c r="I22" s="96"/>
      <c r="J22" s="96"/>
      <c r="K22" s="4"/>
      <c r="L22" s="96"/>
      <c r="M22" s="96"/>
      <c r="N22" s="96"/>
      <c r="O22" s="96"/>
      <c r="P22" s="96"/>
      <c r="Q22" s="96"/>
      <c r="R22" s="96"/>
      <c r="S22" s="96"/>
      <c r="T22" s="96"/>
    </row>
    <row r="23" spans="1:21" x14ac:dyDescent="0.2">
      <c r="A23" s="96"/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0:T20"/>
    <mergeCell ref="U2:U19"/>
  </mergeCells>
  <dataValidations count="7">
    <dataValidation type="list" allowBlank="1" showInputMessage="1" showErrorMessage="1" sqref="I3:I19">
      <formula1>israel_abroad</formula1>
    </dataValidation>
    <dataValidation type="list" allowBlank="1" showInputMessage="1" showErrorMessage="1" sqref="M3:M19 M21">
      <formula1>Holding_interest</formula1>
    </dataValidation>
    <dataValidation type="list" allowBlank="1" showInputMessage="1" showErrorMessage="1" sqref="L3:L19 L21">
      <formula1>Underlying_Asset</formula1>
    </dataValidation>
    <dataValidation type="list" allowBlank="1" showInputMessage="1" showErrorMessage="1" sqref="J3:J19 J21">
      <formula1>Country_list</formula1>
    </dataValidation>
    <dataValidation type="list" allowBlank="1" showInputMessage="1" showErrorMessage="1" sqref="E3:E19 E21">
      <formula1>Issuer_Type_TFunds</formula1>
    </dataValidation>
    <dataValidation type="list" allowBlank="1" showInputMessage="1" showErrorMessage="1" sqref="H3:H19 H21">
      <formula1>Security_ID_Number_Type</formula1>
    </dataValidation>
    <dataValidation type="list" allowBlank="1" showInputMessage="1" showErrorMessage="1" sqref="K3:K19 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3475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196" t="s">
        <v>3462</v>
      </c>
    </row>
    <row r="3" spans="1:29" x14ac:dyDescent="0.2">
      <c r="A3" s="144" t="s">
        <v>1205</v>
      </c>
      <c r="B3" s="145" t="s">
        <v>1206</v>
      </c>
      <c r="C3" s="145" t="s">
        <v>2662</v>
      </c>
      <c r="D3" s="145" t="s">
        <v>2663</v>
      </c>
      <c r="E3" s="145" t="s">
        <v>309</v>
      </c>
      <c r="F3" s="145" t="s">
        <v>2664</v>
      </c>
      <c r="G3" s="145" t="s">
        <v>2665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3.29</v>
      </c>
      <c r="Q3" s="148">
        <v>5.0000000000000001E-4</v>
      </c>
      <c r="R3" s="148">
        <v>2.4899999999999999E-2</v>
      </c>
      <c r="S3" s="145" t="s">
        <v>1330</v>
      </c>
      <c r="T3" s="145" t="s">
        <v>413</v>
      </c>
      <c r="U3" s="145" t="s">
        <v>407</v>
      </c>
      <c r="V3" s="145" t="s">
        <v>1210</v>
      </c>
      <c r="W3" s="146">
        <v>71685.53</v>
      </c>
      <c r="X3" s="146">
        <v>1</v>
      </c>
      <c r="Y3" s="146">
        <v>106.03</v>
      </c>
      <c r="Z3" s="146">
        <v>76.007999999999996</v>
      </c>
      <c r="AA3" s="148">
        <v>1</v>
      </c>
      <c r="AB3" s="149">
        <v>2.3900000000000002E-3</v>
      </c>
      <c r="AC3" s="196"/>
    </row>
    <row r="4" spans="1:29" x14ac:dyDescent="0.2">
      <c r="A4" s="144" t="s">
        <v>1205</v>
      </c>
      <c r="B4" s="145" t="s">
        <v>1214</v>
      </c>
      <c r="C4" s="145" t="s">
        <v>2662</v>
      </c>
      <c r="D4" s="145" t="s">
        <v>2663</v>
      </c>
      <c r="E4" s="145" t="s">
        <v>309</v>
      </c>
      <c r="F4" s="145" t="s">
        <v>2664</v>
      </c>
      <c r="G4" s="145" t="s">
        <v>2665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3.29</v>
      </c>
      <c r="Q4" s="148">
        <v>5.0000000000000001E-4</v>
      </c>
      <c r="R4" s="148">
        <v>2.4899999999999999E-2</v>
      </c>
      <c r="S4" s="145" t="s">
        <v>1330</v>
      </c>
      <c r="T4" s="145" t="s">
        <v>413</v>
      </c>
      <c r="U4" s="145" t="s">
        <v>407</v>
      </c>
      <c r="V4" s="145" t="s">
        <v>1210</v>
      </c>
      <c r="W4" s="146">
        <v>11375.49</v>
      </c>
      <c r="X4" s="146">
        <v>1</v>
      </c>
      <c r="Y4" s="146">
        <v>106.03</v>
      </c>
      <c r="Z4" s="146">
        <v>12.061</v>
      </c>
      <c r="AA4" s="148">
        <v>1</v>
      </c>
      <c r="AB4" s="149">
        <v>5.5799999999999999E-3</v>
      </c>
      <c r="AC4" s="196"/>
    </row>
    <row r="5" spans="1:29" x14ac:dyDescent="0.2">
      <c r="A5" s="144" t="s">
        <v>1205</v>
      </c>
      <c r="B5" s="145" t="s">
        <v>1205</v>
      </c>
      <c r="C5" s="145" t="s">
        <v>2662</v>
      </c>
      <c r="D5" s="145" t="s">
        <v>2663</v>
      </c>
      <c r="E5" s="145" t="s">
        <v>309</v>
      </c>
      <c r="F5" s="145" t="s">
        <v>2664</v>
      </c>
      <c r="G5" s="145" t="s">
        <v>2665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3.29</v>
      </c>
      <c r="Q5" s="148">
        <v>5.0000000000000001E-4</v>
      </c>
      <c r="R5" s="148">
        <v>2.4899999999999999E-2</v>
      </c>
      <c r="S5" s="145" t="s">
        <v>1330</v>
      </c>
      <c r="T5" s="145" t="s">
        <v>413</v>
      </c>
      <c r="U5" s="145" t="s">
        <v>407</v>
      </c>
      <c r="V5" s="145" t="s">
        <v>1210</v>
      </c>
      <c r="W5" s="146">
        <v>4223357.8899999997</v>
      </c>
      <c r="X5" s="146">
        <v>1</v>
      </c>
      <c r="Y5" s="146">
        <v>106.03</v>
      </c>
      <c r="Z5" s="146">
        <v>4478.0259999999998</v>
      </c>
      <c r="AA5" s="148">
        <v>0.78041000000000005</v>
      </c>
      <c r="AB5" s="149">
        <v>4.2599999999999999E-3</v>
      </c>
      <c r="AC5" s="196"/>
    </row>
    <row r="6" spans="1:29" x14ac:dyDescent="0.2">
      <c r="A6" s="144" t="s">
        <v>1205</v>
      </c>
      <c r="B6" s="145" t="s">
        <v>1205</v>
      </c>
      <c r="C6" s="145" t="s">
        <v>2666</v>
      </c>
      <c r="D6" s="145" t="s">
        <v>2667</v>
      </c>
      <c r="E6" s="145" t="s">
        <v>309</v>
      </c>
      <c r="F6" s="145" t="s">
        <v>2668</v>
      </c>
      <c r="G6" s="145" t="s">
        <v>2669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9.0500000000000007</v>
      </c>
      <c r="Q6" s="148">
        <v>7.2999999999999995E-2</v>
      </c>
      <c r="R6" s="148">
        <v>5.7669999999999999E-2</v>
      </c>
      <c r="S6" s="145" t="s">
        <v>1330</v>
      </c>
      <c r="T6" s="145" t="s">
        <v>413</v>
      </c>
      <c r="U6" s="145" t="s">
        <v>407</v>
      </c>
      <c r="V6" s="145" t="s">
        <v>1210</v>
      </c>
      <c r="W6" s="146">
        <v>830352.22</v>
      </c>
      <c r="X6" s="146">
        <v>1</v>
      </c>
      <c r="Y6" s="146">
        <v>115.99</v>
      </c>
      <c r="Z6" s="146">
        <v>963.12599999999998</v>
      </c>
      <c r="AA6" s="148">
        <v>0.16785</v>
      </c>
      <c r="AB6" s="149">
        <v>9.2000000000000003E-4</v>
      </c>
      <c r="AC6" s="196"/>
    </row>
    <row r="7" spans="1:29" x14ac:dyDescent="0.2">
      <c r="A7" s="144" t="s">
        <v>1205</v>
      </c>
      <c r="B7" s="145" t="s">
        <v>1205</v>
      </c>
      <c r="C7" s="145" t="s">
        <v>2662</v>
      </c>
      <c r="D7" s="145" t="s">
        <v>2663</v>
      </c>
      <c r="E7" s="145" t="s">
        <v>309</v>
      </c>
      <c r="F7" s="145" t="s">
        <v>2670</v>
      </c>
      <c r="G7" s="145" t="s">
        <v>2671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1.01</v>
      </c>
      <c r="Q7" s="148">
        <v>5.4949999999999999E-2</v>
      </c>
      <c r="R7" s="148">
        <v>6.0170000000000001E-2</v>
      </c>
      <c r="S7" s="145" t="s">
        <v>1330</v>
      </c>
      <c r="T7" s="145" t="s">
        <v>413</v>
      </c>
      <c r="U7" s="145" t="s">
        <v>407</v>
      </c>
      <c r="V7" s="145" t="s">
        <v>1210</v>
      </c>
      <c r="W7" s="146">
        <v>274108</v>
      </c>
      <c r="X7" s="146">
        <v>1</v>
      </c>
      <c r="Y7" s="146">
        <v>108.32</v>
      </c>
      <c r="Z7" s="146">
        <v>296.91399999999999</v>
      </c>
      <c r="AA7" s="148">
        <v>5.1740000000000001E-2</v>
      </c>
      <c r="AB7" s="149">
        <v>2.7999999999999998E-4</v>
      </c>
      <c r="AC7" s="196"/>
    </row>
    <row r="8" spans="1:29" x14ac:dyDescent="0.2">
      <c r="A8" s="144" t="s">
        <v>1217</v>
      </c>
      <c r="B8" s="145" t="s">
        <v>1218</v>
      </c>
      <c r="C8" s="145" t="s">
        <v>2662</v>
      </c>
      <c r="D8" s="145" t="s">
        <v>2663</v>
      </c>
      <c r="E8" s="145" t="s">
        <v>309</v>
      </c>
      <c r="F8" s="145" t="s">
        <v>2664</v>
      </c>
      <c r="G8" s="145" t="s">
        <v>2665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3.29</v>
      </c>
      <c r="Q8" s="148">
        <v>5.0000000000000001E-4</v>
      </c>
      <c r="R8" s="148">
        <v>2.4899999999999999E-2</v>
      </c>
      <c r="S8" s="145" t="s">
        <v>1330</v>
      </c>
      <c r="T8" s="145" t="s">
        <v>413</v>
      </c>
      <c r="U8" s="145" t="s">
        <v>407</v>
      </c>
      <c r="V8" s="145" t="s">
        <v>1210</v>
      </c>
      <c r="W8" s="146">
        <v>3145557.28</v>
      </c>
      <c r="X8" s="146">
        <v>1</v>
      </c>
      <c r="Y8" s="146">
        <v>106.03</v>
      </c>
      <c r="Z8" s="146">
        <v>3335.2339999999999</v>
      </c>
      <c r="AA8" s="148">
        <v>1</v>
      </c>
      <c r="AB8" s="149">
        <v>2.63E-3</v>
      </c>
      <c r="AC8" s="196"/>
    </row>
    <row r="9" spans="1:29" x14ac:dyDescent="0.2">
      <c r="A9" s="144" t="s">
        <v>1217</v>
      </c>
      <c r="B9" s="145" t="s">
        <v>1219</v>
      </c>
      <c r="C9" s="145" t="s">
        <v>2662</v>
      </c>
      <c r="D9" s="145" t="s">
        <v>2663</v>
      </c>
      <c r="E9" s="145" t="s">
        <v>309</v>
      </c>
      <c r="F9" s="145" t="s">
        <v>2664</v>
      </c>
      <c r="G9" s="145" t="s">
        <v>2665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3.29</v>
      </c>
      <c r="Q9" s="148">
        <v>5.0000000000000001E-4</v>
      </c>
      <c r="R9" s="148">
        <v>2.4899999999999999E-2</v>
      </c>
      <c r="S9" s="145" t="s">
        <v>1330</v>
      </c>
      <c r="T9" s="145" t="s">
        <v>413</v>
      </c>
      <c r="U9" s="145" t="s">
        <v>407</v>
      </c>
      <c r="V9" s="145" t="s">
        <v>1210</v>
      </c>
      <c r="W9" s="146">
        <v>102278.47</v>
      </c>
      <c r="X9" s="146">
        <v>1</v>
      </c>
      <c r="Y9" s="146">
        <v>106.03</v>
      </c>
      <c r="Z9" s="146">
        <v>108.446</v>
      </c>
      <c r="AA9" s="148">
        <v>1</v>
      </c>
      <c r="AB9" s="149">
        <v>1.038E-2</v>
      </c>
      <c r="AC9" s="196"/>
    </row>
    <row r="10" spans="1:29" x14ac:dyDescent="0.2">
      <c r="A10" s="144" t="s">
        <v>1217</v>
      </c>
      <c r="B10" s="145" t="s">
        <v>1217</v>
      </c>
      <c r="C10" s="145" t="s">
        <v>2662</v>
      </c>
      <c r="D10" s="145" t="s">
        <v>2663</v>
      </c>
      <c r="E10" s="145" t="s">
        <v>309</v>
      </c>
      <c r="F10" s="145" t="s">
        <v>2664</v>
      </c>
      <c r="G10" s="145" t="s">
        <v>2665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3.29</v>
      </c>
      <c r="Q10" s="148">
        <v>5.0000000000000001E-4</v>
      </c>
      <c r="R10" s="148">
        <v>2.4899999999999999E-2</v>
      </c>
      <c r="S10" s="145" t="s">
        <v>1330</v>
      </c>
      <c r="T10" s="145" t="s">
        <v>413</v>
      </c>
      <c r="U10" s="145" t="s">
        <v>407</v>
      </c>
      <c r="V10" s="145" t="s">
        <v>1210</v>
      </c>
      <c r="W10" s="146">
        <v>97641466.609999999</v>
      </c>
      <c r="X10" s="146">
        <v>1</v>
      </c>
      <c r="Y10" s="146">
        <v>106.03</v>
      </c>
      <c r="Z10" s="146">
        <v>103529.247</v>
      </c>
      <c r="AA10" s="148">
        <v>0.78339000000000003</v>
      </c>
      <c r="AB10" s="149">
        <v>4.2599999999999999E-3</v>
      </c>
      <c r="AC10" s="196"/>
    </row>
    <row r="11" spans="1:29" x14ac:dyDescent="0.2">
      <c r="A11" s="144" t="s">
        <v>1217</v>
      </c>
      <c r="B11" s="145" t="s">
        <v>1217</v>
      </c>
      <c r="C11" s="145" t="s">
        <v>2666</v>
      </c>
      <c r="D11" s="145" t="s">
        <v>2667</v>
      </c>
      <c r="E11" s="145" t="s">
        <v>309</v>
      </c>
      <c r="F11" s="145" t="s">
        <v>2668</v>
      </c>
      <c r="G11" s="145" t="s">
        <v>2669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9.0500000000000007</v>
      </c>
      <c r="Q11" s="148">
        <v>7.2999999999999995E-2</v>
      </c>
      <c r="R11" s="148">
        <v>5.7669999999999999E-2</v>
      </c>
      <c r="S11" s="145" t="s">
        <v>1330</v>
      </c>
      <c r="T11" s="145" t="s">
        <v>413</v>
      </c>
      <c r="U11" s="145" t="s">
        <v>407</v>
      </c>
      <c r="V11" s="145" t="s">
        <v>1210</v>
      </c>
      <c r="W11" s="146">
        <v>19020490.149999999</v>
      </c>
      <c r="X11" s="146">
        <v>1</v>
      </c>
      <c r="Y11" s="146">
        <v>115.99</v>
      </c>
      <c r="Z11" s="146">
        <v>22061.866999999998</v>
      </c>
      <c r="AA11" s="148">
        <v>0.16694000000000001</v>
      </c>
      <c r="AB11" s="149">
        <v>9.1E-4</v>
      </c>
      <c r="AC11" s="196"/>
    </row>
    <row r="12" spans="1:29" x14ac:dyDescent="0.2">
      <c r="A12" s="152" t="s">
        <v>1217</v>
      </c>
      <c r="B12" s="153" t="s">
        <v>1217</v>
      </c>
      <c r="C12" s="153" t="s">
        <v>2662</v>
      </c>
      <c r="D12" s="153" t="s">
        <v>2663</v>
      </c>
      <c r="E12" s="153" t="s">
        <v>309</v>
      </c>
      <c r="F12" s="153" t="s">
        <v>2670</v>
      </c>
      <c r="G12" s="153" t="s">
        <v>2671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1.01</v>
      </c>
      <c r="Q12" s="156">
        <v>5.4949999999999999E-2</v>
      </c>
      <c r="R12" s="156">
        <v>6.0170000000000001E-2</v>
      </c>
      <c r="S12" s="153" t="s">
        <v>1330</v>
      </c>
      <c r="T12" s="153" t="s">
        <v>413</v>
      </c>
      <c r="U12" s="153" t="s">
        <v>407</v>
      </c>
      <c r="V12" s="153" t="s">
        <v>1210</v>
      </c>
      <c r="W12" s="154">
        <v>6060110</v>
      </c>
      <c r="X12" s="154">
        <v>1</v>
      </c>
      <c r="Y12" s="154">
        <v>108.32</v>
      </c>
      <c r="Z12" s="154">
        <v>6564.3109999999997</v>
      </c>
      <c r="AA12" s="156">
        <v>4.9669999999999999E-2</v>
      </c>
      <c r="AB12" s="157">
        <v>2.7E-4</v>
      </c>
      <c r="AC12" s="196"/>
    </row>
    <row r="13" spans="1:29" x14ac:dyDescent="0.2">
      <c r="A13" s="201" t="s">
        <v>3461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</row>
    <row r="14" spans="1:29" x14ac:dyDescent="0.2">
      <c r="A14" s="97" t="s">
        <v>3460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202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3476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03" t="s">
        <v>3462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03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03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03"/>
    </row>
    <row r="6" spans="1:27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03"/>
      <c r="AA6" s="97"/>
    </row>
    <row r="7" spans="1:27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03"/>
    </row>
    <row r="8" spans="1:27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03"/>
    </row>
    <row r="9" spans="1:27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</row>
    <row r="10" spans="1:27" x14ac:dyDescent="0.2">
      <c r="A10" s="97" t="s">
        <v>3460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202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3477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196" t="s">
        <v>3462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196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196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196"/>
    </row>
    <row r="6" spans="1:19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196"/>
    </row>
    <row r="7" spans="1:19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196"/>
    </row>
    <row r="8" spans="1:19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196"/>
    </row>
    <row r="9" spans="1:19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96"/>
    </row>
    <row r="10" spans="1:19" x14ac:dyDescent="0.2">
      <c r="A10" s="97" t="s">
        <v>3460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202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3478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196" t="s">
        <v>3462</v>
      </c>
    </row>
    <row r="3" spans="1:8" x14ac:dyDescent="0.2">
      <c r="A3" s="144" t="s">
        <v>1205</v>
      </c>
      <c r="B3" s="145" t="s">
        <v>1206</v>
      </c>
      <c r="C3" s="161"/>
      <c r="D3" s="169"/>
      <c r="E3" s="145"/>
      <c r="F3" s="145"/>
      <c r="G3" s="166"/>
      <c r="H3" s="196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196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196"/>
    </row>
    <row r="6" spans="1:8" x14ac:dyDescent="0.2">
      <c r="A6" s="144" t="s">
        <v>1217</v>
      </c>
      <c r="B6" s="145" t="s">
        <v>1218</v>
      </c>
      <c r="C6" s="161"/>
      <c r="D6" s="145"/>
      <c r="E6" s="145"/>
      <c r="F6" s="145"/>
      <c r="G6" s="166"/>
      <c r="H6" s="196"/>
    </row>
    <row r="7" spans="1:8" x14ac:dyDescent="0.2">
      <c r="A7" s="144" t="s">
        <v>1217</v>
      </c>
      <c r="B7" s="145" t="s">
        <v>1219</v>
      </c>
      <c r="C7" s="161"/>
      <c r="D7" s="145"/>
      <c r="E7" s="145"/>
      <c r="F7" s="145"/>
      <c r="G7" s="166"/>
      <c r="H7" s="196"/>
    </row>
    <row r="8" spans="1:8" x14ac:dyDescent="0.2">
      <c r="A8" s="152" t="s">
        <v>1217</v>
      </c>
      <c r="B8" s="153" t="s">
        <v>1217</v>
      </c>
      <c r="C8" s="164"/>
      <c r="D8" s="153"/>
      <c r="E8" s="153"/>
      <c r="F8" s="153"/>
      <c r="G8" s="167"/>
      <c r="H8" s="196"/>
    </row>
    <row r="9" spans="1:8" x14ac:dyDescent="0.2">
      <c r="A9" s="201" t="s">
        <v>3461</v>
      </c>
      <c r="B9" s="201"/>
      <c r="C9" s="201"/>
      <c r="D9" s="201"/>
      <c r="E9" s="201"/>
      <c r="F9" s="201"/>
      <c r="G9" s="201"/>
      <c r="H9" s="96"/>
    </row>
    <row r="10" spans="1:8" x14ac:dyDescent="0.2">
      <c r="A10" s="97" t="s">
        <v>3460</v>
      </c>
      <c r="B10" s="97"/>
      <c r="C10" s="97"/>
      <c r="G10" s="97"/>
      <c r="H10" s="96"/>
    </row>
    <row r="11" spans="1:8" x14ac:dyDescent="0.2">
      <c r="A11" s="202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3479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03" t="s">
        <v>3462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0"/>
      <c r="AO3" s="203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0"/>
      <c r="AO4" s="203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0"/>
      <c r="AO5" s="203"/>
    </row>
    <row r="6" spans="1:41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0"/>
      <c r="AO6" s="203"/>
    </row>
    <row r="7" spans="1:41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0"/>
      <c r="AO7" s="203"/>
    </row>
    <row r="8" spans="1:41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1"/>
      <c r="AO8" s="203"/>
    </row>
    <row r="9" spans="1:41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</row>
    <row r="10" spans="1:41" x14ac:dyDescent="0.2">
      <c r="A10" s="97" t="s">
        <v>3460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202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3480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196" t="s">
        <v>3462</v>
      </c>
    </row>
    <row r="3" spans="1:39" x14ac:dyDescent="0.2">
      <c r="A3" s="144" t="s">
        <v>1205</v>
      </c>
      <c r="B3" s="145" t="s">
        <v>1214</v>
      </c>
      <c r="C3" s="145" t="s">
        <v>2672</v>
      </c>
      <c r="D3" s="145" t="s">
        <v>2673</v>
      </c>
      <c r="E3" s="145" t="s">
        <v>309</v>
      </c>
      <c r="F3" s="145" t="s">
        <v>2674</v>
      </c>
      <c r="G3" s="145" t="s">
        <v>2675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2676</v>
      </c>
      <c r="P3" s="145" t="s">
        <v>2677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2678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2">
        <v>45657</v>
      </c>
      <c r="AC3" s="173">
        <v>45657</v>
      </c>
      <c r="AD3" s="146">
        <v>264.3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196"/>
    </row>
    <row r="4" spans="1:39" x14ac:dyDescent="0.2">
      <c r="A4" s="144" t="s">
        <v>1205</v>
      </c>
      <c r="B4" s="145" t="s">
        <v>1205</v>
      </c>
      <c r="C4" s="145" t="s">
        <v>2679</v>
      </c>
      <c r="D4" s="145" t="s">
        <v>2680</v>
      </c>
      <c r="E4" s="145" t="s">
        <v>309</v>
      </c>
      <c r="F4" s="145" t="s">
        <v>2681</v>
      </c>
      <c r="G4" s="145" t="s">
        <v>2682</v>
      </c>
      <c r="H4" s="145" t="s">
        <v>321</v>
      </c>
      <c r="I4" s="145" t="s">
        <v>951</v>
      </c>
      <c r="J4" s="145" t="s">
        <v>204</v>
      </c>
      <c r="K4" s="145" t="s">
        <v>204</v>
      </c>
      <c r="L4" s="145" t="s">
        <v>314</v>
      </c>
      <c r="M4" s="145" t="s">
        <v>464</v>
      </c>
      <c r="N4" s="145" t="s">
        <v>339</v>
      </c>
      <c r="O4" s="145" t="s">
        <v>2683</v>
      </c>
      <c r="P4" s="145" t="s">
        <v>1406</v>
      </c>
      <c r="Q4" s="145" t="s">
        <v>415</v>
      </c>
      <c r="R4" s="145" t="s">
        <v>407</v>
      </c>
      <c r="S4" s="145" t="s">
        <v>1210</v>
      </c>
      <c r="T4" s="146">
        <v>1.21</v>
      </c>
      <c r="U4" s="145" t="s">
        <v>1384</v>
      </c>
      <c r="V4" s="148">
        <v>4.9200000000000001E-2</v>
      </c>
      <c r="W4" s="148">
        <v>3.1E-2</v>
      </c>
      <c r="X4" s="145" t="s">
        <v>412</v>
      </c>
      <c r="Y4" s="158"/>
      <c r="Z4" s="145" t="s">
        <v>886</v>
      </c>
      <c r="AA4" s="145" t="s">
        <v>889</v>
      </c>
      <c r="AB4" s="172">
        <v>45747</v>
      </c>
      <c r="AC4" s="173">
        <v>45747</v>
      </c>
      <c r="AD4" s="146">
        <v>506078.83</v>
      </c>
      <c r="AE4" s="146">
        <v>1</v>
      </c>
      <c r="AF4" s="146">
        <v>97.94</v>
      </c>
      <c r="AG4" s="146">
        <v>495.654</v>
      </c>
      <c r="AH4" s="161"/>
      <c r="AI4" s="161"/>
      <c r="AJ4" s="161"/>
      <c r="AK4" s="148">
        <v>0.51178999999999997</v>
      </c>
      <c r="AL4" s="149">
        <v>4.6999999999999999E-4</v>
      </c>
      <c r="AM4" s="196"/>
    </row>
    <row r="5" spans="1:39" x14ac:dyDescent="0.2">
      <c r="A5" s="144" t="s">
        <v>1205</v>
      </c>
      <c r="B5" s="145" t="s">
        <v>1205</v>
      </c>
      <c r="C5" s="145" t="s">
        <v>1716</v>
      </c>
      <c r="D5" s="145" t="s">
        <v>1717</v>
      </c>
      <c r="E5" s="145" t="s">
        <v>309</v>
      </c>
      <c r="F5" s="145" t="s">
        <v>2684</v>
      </c>
      <c r="G5" s="145" t="s">
        <v>2685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314</v>
      </c>
      <c r="M5" s="145" t="s">
        <v>477</v>
      </c>
      <c r="N5" s="145" t="s">
        <v>339</v>
      </c>
      <c r="O5" s="145" t="s">
        <v>2686</v>
      </c>
      <c r="P5" s="145" t="s">
        <v>1330</v>
      </c>
      <c r="Q5" s="145" t="s">
        <v>413</v>
      </c>
      <c r="R5" s="145" t="s">
        <v>407</v>
      </c>
      <c r="S5" s="145" t="s">
        <v>1210</v>
      </c>
      <c r="T5" s="146">
        <v>9.0299999999999994</v>
      </c>
      <c r="U5" s="145" t="s">
        <v>2687</v>
      </c>
      <c r="V5" s="148">
        <v>3.3300000000000003E-2</v>
      </c>
      <c r="W5" s="148">
        <v>4.1000000000000002E-2</v>
      </c>
      <c r="X5" s="145" t="s">
        <v>412</v>
      </c>
      <c r="Y5" s="158"/>
      <c r="Z5" s="145" t="s">
        <v>886</v>
      </c>
      <c r="AA5" s="145" t="s">
        <v>889</v>
      </c>
      <c r="AB5" s="172">
        <v>45747</v>
      </c>
      <c r="AC5" s="172">
        <v>45747</v>
      </c>
      <c r="AD5" s="146">
        <v>359273</v>
      </c>
      <c r="AE5" s="146">
        <v>1</v>
      </c>
      <c r="AF5" s="146">
        <v>131.6</v>
      </c>
      <c r="AG5" s="146">
        <v>472.803</v>
      </c>
      <c r="AH5" s="161"/>
      <c r="AI5" s="161"/>
      <c r="AJ5" s="161"/>
      <c r="AK5" s="148">
        <v>0.48820000000000002</v>
      </c>
      <c r="AL5" s="149">
        <v>4.4999999999999999E-4</v>
      </c>
      <c r="AM5" s="196"/>
    </row>
    <row r="6" spans="1:39" x14ac:dyDescent="0.2">
      <c r="A6" s="144" t="s">
        <v>1205</v>
      </c>
      <c r="B6" s="145" t="s">
        <v>1205</v>
      </c>
      <c r="C6" s="145" t="s">
        <v>2672</v>
      </c>
      <c r="D6" s="145" t="s">
        <v>2673</v>
      </c>
      <c r="E6" s="145" t="s">
        <v>309</v>
      </c>
      <c r="F6" s="145" t="s">
        <v>2674</v>
      </c>
      <c r="G6" s="145" t="s">
        <v>2675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465</v>
      </c>
      <c r="N6" s="145" t="s">
        <v>339</v>
      </c>
      <c r="O6" s="145" t="s">
        <v>2676</v>
      </c>
      <c r="P6" s="145" t="s">
        <v>2677</v>
      </c>
      <c r="Q6" s="145" t="s">
        <v>415</v>
      </c>
      <c r="R6" s="145" t="s">
        <v>407</v>
      </c>
      <c r="S6" s="145" t="s">
        <v>1210</v>
      </c>
      <c r="T6" s="146">
        <v>0.01</v>
      </c>
      <c r="U6" s="145" t="s">
        <v>2678</v>
      </c>
      <c r="V6" s="148">
        <v>1E-4</v>
      </c>
      <c r="W6" s="148">
        <v>0.03</v>
      </c>
      <c r="X6" s="145" t="s">
        <v>412</v>
      </c>
      <c r="Y6" s="158"/>
      <c r="Z6" s="145" t="s">
        <v>884</v>
      </c>
      <c r="AA6" s="145" t="s">
        <v>888</v>
      </c>
      <c r="AB6" s="172">
        <v>45657</v>
      </c>
      <c r="AC6" s="173">
        <v>45657</v>
      </c>
      <c r="AD6" s="146">
        <v>68679</v>
      </c>
      <c r="AE6" s="146">
        <v>1</v>
      </c>
      <c r="AF6" s="146">
        <v>0.01</v>
      </c>
      <c r="AG6" s="146">
        <v>7.0000000000000001E-3</v>
      </c>
      <c r="AH6" s="145"/>
      <c r="AI6" s="145"/>
      <c r="AJ6" s="161"/>
      <c r="AK6" s="148">
        <v>1.0000000000000001E-5</v>
      </c>
      <c r="AL6" s="149">
        <v>0</v>
      </c>
      <c r="AM6" s="196"/>
    </row>
    <row r="7" spans="1:39" x14ac:dyDescent="0.2">
      <c r="A7" s="144" t="s">
        <v>1205</v>
      </c>
      <c r="B7" s="145" t="s">
        <v>1205</v>
      </c>
      <c r="C7" s="145" t="s">
        <v>2688</v>
      </c>
      <c r="D7" s="145" t="s">
        <v>2689</v>
      </c>
      <c r="E7" s="145" t="s">
        <v>309</v>
      </c>
      <c r="F7" s="145" t="s">
        <v>2690</v>
      </c>
      <c r="G7" s="145" t="s">
        <v>2691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314</v>
      </c>
      <c r="M7" s="145" t="s">
        <v>451</v>
      </c>
      <c r="N7" s="145" t="s">
        <v>339</v>
      </c>
      <c r="O7" s="145" t="s">
        <v>2692</v>
      </c>
      <c r="P7" s="161" t="s">
        <v>410</v>
      </c>
      <c r="Q7" s="145" t="s">
        <v>410</v>
      </c>
      <c r="R7" s="161" t="s">
        <v>410</v>
      </c>
      <c r="S7" s="145" t="s">
        <v>1210</v>
      </c>
      <c r="T7" s="146">
        <v>0.25</v>
      </c>
      <c r="U7" s="145" t="s">
        <v>2693</v>
      </c>
      <c r="V7" s="148">
        <v>2.1899999999999999E-2</v>
      </c>
      <c r="W7" s="148">
        <v>5.1470000000000002E-2</v>
      </c>
      <c r="X7" s="145" t="s">
        <v>412</v>
      </c>
      <c r="Y7" s="158"/>
      <c r="Z7" s="145" t="s">
        <v>884</v>
      </c>
      <c r="AA7" s="145" t="s">
        <v>888</v>
      </c>
      <c r="AB7" s="172">
        <v>45657</v>
      </c>
      <c r="AC7" s="173">
        <v>45657</v>
      </c>
      <c r="AD7" s="146">
        <v>93803.81</v>
      </c>
      <c r="AE7" s="146">
        <v>1</v>
      </c>
      <c r="AF7" s="146">
        <v>0</v>
      </c>
      <c r="AG7" s="146">
        <v>0</v>
      </c>
      <c r="AH7" s="145"/>
      <c r="AI7" s="145"/>
      <c r="AJ7" s="161"/>
      <c r="AK7" s="148">
        <v>0</v>
      </c>
      <c r="AL7" s="149">
        <v>0</v>
      </c>
      <c r="AM7" s="196"/>
    </row>
    <row r="8" spans="1:39" x14ac:dyDescent="0.2">
      <c r="A8" s="144" t="s">
        <v>1205</v>
      </c>
      <c r="B8" s="145" t="s">
        <v>1205</v>
      </c>
      <c r="C8" s="145" t="s">
        <v>2694</v>
      </c>
      <c r="D8" s="145" t="s">
        <v>2695</v>
      </c>
      <c r="E8" s="145" t="s">
        <v>309</v>
      </c>
      <c r="F8" s="145" t="s">
        <v>2696</v>
      </c>
      <c r="G8" s="145" t="s">
        <v>2697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61"/>
      <c r="N8" s="145" t="s">
        <v>339</v>
      </c>
      <c r="O8" s="145" t="s">
        <v>2698</v>
      </c>
      <c r="P8" s="161"/>
      <c r="Q8" s="145" t="s">
        <v>410</v>
      </c>
      <c r="R8" s="161"/>
      <c r="S8" s="145" t="s">
        <v>1210</v>
      </c>
      <c r="T8" s="146">
        <v>0.01</v>
      </c>
      <c r="U8" s="145" t="s">
        <v>2699</v>
      </c>
      <c r="V8" s="148">
        <v>1E-4</v>
      </c>
      <c r="W8" s="148">
        <v>0.03</v>
      </c>
      <c r="X8" s="145" t="s">
        <v>412</v>
      </c>
      <c r="Y8" s="158"/>
      <c r="Z8" s="145" t="s">
        <v>884</v>
      </c>
      <c r="AA8" s="145" t="s">
        <v>888</v>
      </c>
      <c r="AB8" s="172">
        <v>45657</v>
      </c>
      <c r="AC8" s="173">
        <v>45657</v>
      </c>
      <c r="AD8" s="146">
        <v>6646.11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50"/>
      <c r="AL8" s="174"/>
      <c r="AM8" s="196"/>
    </row>
    <row r="9" spans="1:39" x14ac:dyDescent="0.2">
      <c r="A9" s="144" t="s">
        <v>1205</v>
      </c>
      <c r="B9" s="145" t="s">
        <v>1205</v>
      </c>
      <c r="C9" s="145" t="s">
        <v>2694</v>
      </c>
      <c r="D9" s="145" t="s">
        <v>2695</v>
      </c>
      <c r="E9" s="145" t="s">
        <v>309</v>
      </c>
      <c r="F9" s="145" t="s">
        <v>2700</v>
      </c>
      <c r="G9" s="145" t="s">
        <v>2701</v>
      </c>
      <c r="H9" s="145" t="s">
        <v>312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61"/>
      <c r="N9" s="145" t="s">
        <v>339</v>
      </c>
      <c r="O9" s="145" t="s">
        <v>2702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2699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2">
        <v>42915</v>
      </c>
      <c r="AC9" s="173">
        <v>42915</v>
      </c>
      <c r="AD9" s="146">
        <v>6687.23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4"/>
      <c r="AM9" s="196"/>
    </row>
    <row r="10" spans="1:39" x14ac:dyDescent="0.2">
      <c r="A10" s="144" t="s">
        <v>1205</v>
      </c>
      <c r="B10" s="145" t="s">
        <v>1205</v>
      </c>
      <c r="C10" s="145" t="s">
        <v>2703</v>
      </c>
      <c r="D10" s="145" t="s">
        <v>2704</v>
      </c>
      <c r="E10" s="145" t="s">
        <v>313</v>
      </c>
      <c r="F10" s="145" t="s">
        <v>2705</v>
      </c>
      <c r="G10" s="145" t="s">
        <v>2706</v>
      </c>
      <c r="H10" s="145" t="s">
        <v>321</v>
      </c>
      <c r="I10" s="145" t="s">
        <v>755</v>
      </c>
      <c r="J10" s="145" t="s">
        <v>205</v>
      </c>
      <c r="K10" s="145" t="s">
        <v>224</v>
      </c>
      <c r="L10" s="145" t="s">
        <v>314</v>
      </c>
      <c r="M10" s="145" t="s">
        <v>539</v>
      </c>
      <c r="N10" s="145" t="s">
        <v>339</v>
      </c>
      <c r="O10" s="145" t="s">
        <v>2707</v>
      </c>
      <c r="P10" s="161"/>
      <c r="Q10" s="145" t="s">
        <v>410</v>
      </c>
      <c r="R10" s="145" t="s">
        <v>410</v>
      </c>
      <c r="S10" s="145" t="s">
        <v>1211</v>
      </c>
      <c r="T10" s="146">
        <v>0.01</v>
      </c>
      <c r="U10" s="145" t="s">
        <v>2708</v>
      </c>
      <c r="V10" s="148">
        <v>1E-4</v>
      </c>
      <c r="W10" s="145" t="s">
        <v>1234</v>
      </c>
      <c r="X10" s="145" t="s">
        <v>412</v>
      </c>
      <c r="Y10" s="158"/>
      <c r="Z10" s="145" t="s">
        <v>884</v>
      </c>
      <c r="AA10" s="145" t="s">
        <v>888</v>
      </c>
      <c r="AB10" s="172">
        <v>45657</v>
      </c>
      <c r="AC10" s="173">
        <v>45657</v>
      </c>
      <c r="AD10" s="146">
        <v>133500</v>
      </c>
      <c r="AE10" s="146">
        <v>3.718</v>
      </c>
      <c r="AF10" s="146">
        <v>0</v>
      </c>
      <c r="AG10" s="146">
        <v>0</v>
      </c>
      <c r="AH10" s="161"/>
      <c r="AI10" s="161"/>
      <c r="AJ10" s="161"/>
      <c r="AK10" s="148">
        <v>0</v>
      </c>
      <c r="AL10" s="149">
        <v>0</v>
      </c>
      <c r="AM10" s="196"/>
    </row>
    <row r="11" spans="1:39" x14ac:dyDescent="0.2">
      <c r="A11" s="144" t="s">
        <v>1217</v>
      </c>
      <c r="B11" s="145" t="s">
        <v>1219</v>
      </c>
      <c r="C11" s="145" t="s">
        <v>2672</v>
      </c>
      <c r="D11" s="145" t="s">
        <v>2673</v>
      </c>
      <c r="E11" s="145" t="s">
        <v>309</v>
      </c>
      <c r="F11" s="145" t="s">
        <v>2674</v>
      </c>
      <c r="G11" s="145" t="s">
        <v>2675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314</v>
      </c>
      <c r="M11" s="145" t="s">
        <v>465</v>
      </c>
      <c r="N11" s="145" t="s">
        <v>339</v>
      </c>
      <c r="O11" s="145" t="s">
        <v>2676</v>
      </c>
      <c r="P11" s="145" t="s">
        <v>2677</v>
      </c>
      <c r="Q11" s="145" t="s">
        <v>415</v>
      </c>
      <c r="R11" s="145" t="s">
        <v>407</v>
      </c>
      <c r="S11" s="145" t="s">
        <v>1210</v>
      </c>
      <c r="T11" s="146">
        <v>0.01</v>
      </c>
      <c r="U11" s="145" t="s">
        <v>2678</v>
      </c>
      <c r="V11" s="148">
        <v>1E-4</v>
      </c>
      <c r="W11" s="148">
        <v>0.03</v>
      </c>
      <c r="X11" s="145" t="s">
        <v>412</v>
      </c>
      <c r="Y11" s="158"/>
      <c r="Z11" s="145" t="s">
        <v>884</v>
      </c>
      <c r="AA11" s="145" t="s">
        <v>888</v>
      </c>
      <c r="AB11" s="172">
        <v>45657</v>
      </c>
      <c r="AC11" s="173">
        <v>45657</v>
      </c>
      <c r="AD11" s="146">
        <v>1704.6</v>
      </c>
      <c r="AE11" s="146">
        <v>1</v>
      </c>
      <c r="AF11" s="146">
        <v>0.01</v>
      </c>
      <c r="AG11" s="146">
        <v>0</v>
      </c>
      <c r="AH11" s="161"/>
      <c r="AI11" s="161"/>
      <c r="AJ11" s="161"/>
      <c r="AK11" s="148">
        <v>1</v>
      </c>
      <c r="AL11" s="149">
        <v>0</v>
      </c>
      <c r="AM11" s="196"/>
    </row>
    <row r="12" spans="1:39" x14ac:dyDescent="0.2">
      <c r="A12" s="144" t="s">
        <v>1217</v>
      </c>
      <c r="B12" s="145" t="s">
        <v>1217</v>
      </c>
      <c r="C12" s="145" t="s">
        <v>1716</v>
      </c>
      <c r="D12" s="145" t="s">
        <v>1717</v>
      </c>
      <c r="E12" s="145" t="s">
        <v>309</v>
      </c>
      <c r="F12" s="145" t="s">
        <v>2684</v>
      </c>
      <c r="G12" s="145" t="s">
        <v>2685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314</v>
      </c>
      <c r="M12" s="145" t="s">
        <v>477</v>
      </c>
      <c r="N12" s="145" t="s">
        <v>339</v>
      </c>
      <c r="O12" s="145" t="s">
        <v>2686</v>
      </c>
      <c r="P12" s="145" t="s">
        <v>1330</v>
      </c>
      <c r="Q12" s="145" t="s">
        <v>413</v>
      </c>
      <c r="R12" s="145" t="s">
        <v>407</v>
      </c>
      <c r="S12" s="145" t="s">
        <v>1210</v>
      </c>
      <c r="T12" s="146">
        <v>9.0299999999999994</v>
      </c>
      <c r="U12" s="145" t="s">
        <v>2687</v>
      </c>
      <c r="V12" s="148">
        <v>3.3300000000000003E-2</v>
      </c>
      <c r="W12" s="148">
        <v>4.1000000000000002E-2</v>
      </c>
      <c r="X12" s="145" t="s">
        <v>412</v>
      </c>
      <c r="Y12" s="158"/>
      <c r="Z12" s="145" t="s">
        <v>886</v>
      </c>
      <c r="AA12" s="145" t="s">
        <v>889</v>
      </c>
      <c r="AB12" s="172">
        <v>45747</v>
      </c>
      <c r="AC12" s="173">
        <v>45747</v>
      </c>
      <c r="AD12" s="146">
        <v>9687280.2400000002</v>
      </c>
      <c r="AE12" s="146">
        <v>1</v>
      </c>
      <c r="AF12" s="146">
        <v>131.6</v>
      </c>
      <c r="AG12" s="146">
        <v>12748.460999999999</v>
      </c>
      <c r="AH12" s="161"/>
      <c r="AI12" s="161"/>
      <c r="AJ12" s="161"/>
      <c r="AK12" s="148">
        <v>0.51485000000000003</v>
      </c>
      <c r="AL12" s="149">
        <v>5.1999999999999995E-4</v>
      </c>
      <c r="AM12" s="196"/>
    </row>
    <row r="13" spans="1:39" x14ac:dyDescent="0.2">
      <c r="A13" s="144" t="s">
        <v>1217</v>
      </c>
      <c r="B13" s="145" t="s">
        <v>1217</v>
      </c>
      <c r="C13" s="145" t="s">
        <v>2679</v>
      </c>
      <c r="D13" s="145" t="s">
        <v>2680</v>
      </c>
      <c r="E13" s="145" t="s">
        <v>309</v>
      </c>
      <c r="F13" s="145" t="s">
        <v>2681</v>
      </c>
      <c r="G13" s="145" t="s">
        <v>2682</v>
      </c>
      <c r="H13" s="145" t="s">
        <v>321</v>
      </c>
      <c r="I13" s="145" t="s">
        <v>951</v>
      </c>
      <c r="J13" s="145" t="s">
        <v>204</v>
      </c>
      <c r="K13" s="145" t="s">
        <v>204</v>
      </c>
      <c r="L13" s="145" t="s">
        <v>314</v>
      </c>
      <c r="M13" s="145" t="s">
        <v>464</v>
      </c>
      <c r="N13" s="145" t="s">
        <v>339</v>
      </c>
      <c r="O13" s="145" t="s">
        <v>2683</v>
      </c>
      <c r="P13" s="145" t="s">
        <v>1406</v>
      </c>
      <c r="Q13" s="145" t="s">
        <v>415</v>
      </c>
      <c r="R13" s="145" t="s">
        <v>407</v>
      </c>
      <c r="S13" s="145" t="s">
        <v>1210</v>
      </c>
      <c r="T13" s="146">
        <v>1.21</v>
      </c>
      <c r="U13" s="145" t="s">
        <v>1384</v>
      </c>
      <c r="V13" s="148">
        <v>4.9200000000000001E-2</v>
      </c>
      <c r="W13" s="148">
        <v>3.1E-2</v>
      </c>
      <c r="X13" s="145" t="s">
        <v>412</v>
      </c>
      <c r="Y13" s="158"/>
      <c r="Z13" s="145" t="s">
        <v>886</v>
      </c>
      <c r="AA13" s="145" t="s">
        <v>889</v>
      </c>
      <c r="AB13" s="172">
        <v>45747</v>
      </c>
      <c r="AC13" s="173">
        <v>45747</v>
      </c>
      <c r="AD13" s="146">
        <v>11618269.73</v>
      </c>
      <c r="AE13" s="146">
        <v>1</v>
      </c>
      <c r="AF13" s="146">
        <v>97.94</v>
      </c>
      <c r="AG13" s="146">
        <v>11378.933000000001</v>
      </c>
      <c r="AH13" s="161"/>
      <c r="AI13" s="161"/>
      <c r="AJ13" s="161"/>
      <c r="AK13" s="148">
        <v>0.45954</v>
      </c>
      <c r="AL13" s="149">
        <v>4.6999999999999999E-4</v>
      </c>
      <c r="AM13" s="196"/>
    </row>
    <row r="14" spans="1:39" x14ac:dyDescent="0.2">
      <c r="A14" s="144" t="s">
        <v>1217</v>
      </c>
      <c r="B14" s="145" t="s">
        <v>1217</v>
      </c>
      <c r="C14" s="145" t="s">
        <v>2709</v>
      </c>
      <c r="D14" s="145" t="s">
        <v>2710</v>
      </c>
      <c r="E14" s="145" t="s">
        <v>309</v>
      </c>
      <c r="F14" s="145" t="s">
        <v>2711</v>
      </c>
      <c r="G14" s="145" t="s">
        <v>2712</v>
      </c>
      <c r="H14" s="145" t="s">
        <v>321</v>
      </c>
      <c r="I14" s="145" t="s">
        <v>755</v>
      </c>
      <c r="J14" s="145" t="s">
        <v>204</v>
      </c>
      <c r="K14" s="145" t="s">
        <v>204</v>
      </c>
      <c r="L14" s="145" t="s">
        <v>314</v>
      </c>
      <c r="M14" s="145" t="s">
        <v>451</v>
      </c>
      <c r="N14" s="145" t="s">
        <v>339</v>
      </c>
      <c r="O14" s="145" t="s">
        <v>2713</v>
      </c>
      <c r="P14" s="145" t="s">
        <v>1594</v>
      </c>
      <c r="Q14" s="145" t="s">
        <v>415</v>
      </c>
      <c r="R14" s="145" t="s">
        <v>407</v>
      </c>
      <c r="S14" s="145" t="s">
        <v>1211</v>
      </c>
      <c r="T14" s="146">
        <v>1.23</v>
      </c>
      <c r="U14" s="145" t="s">
        <v>2714</v>
      </c>
      <c r="V14" s="148">
        <v>5.0099999999999999E-2</v>
      </c>
      <c r="W14" s="148">
        <v>7.9699999999999993E-2</v>
      </c>
      <c r="X14" s="145" t="s">
        <v>412</v>
      </c>
      <c r="Y14" s="158"/>
      <c r="Z14" s="145" t="s">
        <v>886</v>
      </c>
      <c r="AA14" s="145" t="s">
        <v>889</v>
      </c>
      <c r="AB14" s="172">
        <v>45747</v>
      </c>
      <c r="AC14" s="173">
        <v>45747</v>
      </c>
      <c r="AD14" s="146">
        <v>161443.22</v>
      </c>
      <c r="AE14" s="146">
        <v>3.718</v>
      </c>
      <c r="AF14" s="146">
        <v>105.63</v>
      </c>
      <c r="AG14" s="146">
        <v>634.04</v>
      </c>
      <c r="AH14" s="161"/>
      <c r="AI14" s="161"/>
      <c r="AJ14" s="161"/>
      <c r="AK14" s="148">
        <v>2.5610000000000001E-2</v>
      </c>
      <c r="AL14" s="149">
        <v>3.0000000000000001E-5</v>
      </c>
      <c r="AM14" s="196"/>
    </row>
    <row r="15" spans="1:39" x14ac:dyDescent="0.2">
      <c r="A15" s="144" t="s">
        <v>1217</v>
      </c>
      <c r="B15" s="145" t="s">
        <v>1217</v>
      </c>
      <c r="C15" s="145" t="s">
        <v>2672</v>
      </c>
      <c r="D15" s="145" t="s">
        <v>2673</v>
      </c>
      <c r="E15" s="145" t="s">
        <v>309</v>
      </c>
      <c r="F15" s="145" t="s">
        <v>2674</v>
      </c>
      <c r="G15" s="145" t="s">
        <v>2675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465</v>
      </c>
      <c r="N15" s="145" t="s">
        <v>339</v>
      </c>
      <c r="O15" s="145" t="s">
        <v>2676</v>
      </c>
      <c r="P15" s="145" t="s">
        <v>2677</v>
      </c>
      <c r="Q15" s="145" t="s">
        <v>415</v>
      </c>
      <c r="R15" s="145" t="s">
        <v>407</v>
      </c>
      <c r="S15" s="145" t="s">
        <v>1210</v>
      </c>
      <c r="T15" s="146">
        <v>0.01</v>
      </c>
      <c r="U15" s="145" t="s">
        <v>2678</v>
      </c>
      <c r="V15" s="148">
        <v>1E-4</v>
      </c>
      <c r="W15" s="148">
        <v>0.03</v>
      </c>
      <c r="X15" s="145" t="s">
        <v>412</v>
      </c>
      <c r="Y15" s="158"/>
      <c r="Z15" s="145" t="s">
        <v>884</v>
      </c>
      <c r="AA15" s="145" t="s">
        <v>888</v>
      </c>
      <c r="AB15" s="172">
        <v>45657</v>
      </c>
      <c r="AC15" s="173">
        <v>45657</v>
      </c>
      <c r="AD15" s="146">
        <v>2364431.6</v>
      </c>
      <c r="AE15" s="146">
        <v>1</v>
      </c>
      <c r="AF15" s="146">
        <v>0.01</v>
      </c>
      <c r="AG15" s="146">
        <v>0.23599999999999999</v>
      </c>
      <c r="AH15" s="161"/>
      <c r="AI15" s="161"/>
      <c r="AJ15" s="161"/>
      <c r="AK15" s="148">
        <v>1.0000000000000001E-5</v>
      </c>
      <c r="AL15" s="149">
        <v>0</v>
      </c>
      <c r="AM15" s="196"/>
    </row>
    <row r="16" spans="1:39" x14ac:dyDescent="0.2">
      <c r="A16" s="144" t="s">
        <v>1217</v>
      </c>
      <c r="B16" s="145" t="s">
        <v>1217</v>
      </c>
      <c r="C16" s="145" t="s">
        <v>2688</v>
      </c>
      <c r="D16" s="145" t="s">
        <v>2689</v>
      </c>
      <c r="E16" s="145" t="s">
        <v>309</v>
      </c>
      <c r="F16" s="145" t="s">
        <v>2690</v>
      </c>
      <c r="G16" s="145" t="s">
        <v>2691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314</v>
      </c>
      <c r="M16" s="145" t="s">
        <v>451</v>
      </c>
      <c r="N16" s="145" t="s">
        <v>339</v>
      </c>
      <c r="O16" s="145" t="s">
        <v>2692</v>
      </c>
      <c r="P16" s="161" t="s">
        <v>410</v>
      </c>
      <c r="Q16" s="145" t="s">
        <v>410</v>
      </c>
      <c r="R16" s="161" t="s">
        <v>410</v>
      </c>
      <c r="S16" s="145" t="s">
        <v>1210</v>
      </c>
      <c r="T16" s="146">
        <v>0.25</v>
      </c>
      <c r="U16" s="145" t="s">
        <v>2693</v>
      </c>
      <c r="V16" s="148">
        <v>2.1899999999999999E-2</v>
      </c>
      <c r="W16" s="148">
        <v>5.1470000000000002E-2</v>
      </c>
      <c r="X16" s="145" t="s">
        <v>412</v>
      </c>
      <c r="Y16" s="158"/>
      <c r="Z16" s="145" t="s">
        <v>884</v>
      </c>
      <c r="AA16" s="145" t="s">
        <v>888</v>
      </c>
      <c r="AB16" s="172">
        <v>45657</v>
      </c>
      <c r="AC16" s="173">
        <v>45657</v>
      </c>
      <c r="AD16" s="146">
        <v>4577619.5999999996</v>
      </c>
      <c r="AE16" s="146">
        <v>1</v>
      </c>
      <c r="AF16" s="146">
        <v>0</v>
      </c>
      <c r="AG16" s="146">
        <v>0</v>
      </c>
      <c r="AH16" s="161"/>
      <c r="AI16" s="161"/>
      <c r="AJ16" s="161"/>
      <c r="AK16" s="148">
        <v>0</v>
      </c>
      <c r="AL16" s="149">
        <v>0</v>
      </c>
      <c r="AM16" s="196"/>
    </row>
    <row r="17" spans="1:39" x14ac:dyDescent="0.2">
      <c r="A17" s="144" t="s">
        <v>1205</v>
      </c>
      <c r="B17" s="145" t="s">
        <v>1206</v>
      </c>
      <c r="C17" s="161"/>
      <c r="D17" s="161"/>
      <c r="E17" s="158"/>
      <c r="F17" s="161"/>
      <c r="G17" s="161"/>
      <c r="H17" s="161"/>
      <c r="I17" s="161"/>
      <c r="J17" s="158"/>
      <c r="K17" s="158"/>
      <c r="L17" s="161"/>
      <c r="M17" s="161"/>
      <c r="N17" s="161"/>
      <c r="O17" s="161"/>
      <c r="P17" s="161"/>
      <c r="Q17" s="161"/>
      <c r="R17" s="161"/>
      <c r="S17" s="158"/>
      <c r="T17" s="161"/>
      <c r="U17" s="161"/>
      <c r="V17" s="161"/>
      <c r="W17" s="145"/>
      <c r="X17" s="158"/>
      <c r="Y17" s="158"/>
      <c r="Z17" s="161"/>
      <c r="AA17" s="161"/>
      <c r="AB17" s="150"/>
      <c r="AC17" s="161"/>
      <c r="AD17" s="161"/>
      <c r="AE17" s="161"/>
      <c r="AF17" s="161"/>
      <c r="AG17" s="161"/>
      <c r="AH17" s="161"/>
      <c r="AI17" s="161"/>
      <c r="AJ17" s="161"/>
      <c r="AK17" s="150"/>
      <c r="AL17" s="174"/>
      <c r="AM17" s="196"/>
    </row>
    <row r="18" spans="1:39" x14ac:dyDescent="0.2">
      <c r="A18" s="152" t="s">
        <v>1217</v>
      </c>
      <c r="B18" s="153" t="s">
        <v>1218</v>
      </c>
      <c r="C18" s="164"/>
      <c r="D18" s="164"/>
      <c r="E18" s="163"/>
      <c r="F18" s="164"/>
      <c r="G18" s="164"/>
      <c r="H18" s="164"/>
      <c r="I18" s="164"/>
      <c r="J18" s="163"/>
      <c r="K18" s="163"/>
      <c r="L18" s="164"/>
      <c r="M18" s="164"/>
      <c r="N18" s="164"/>
      <c r="O18" s="164"/>
      <c r="P18" s="164"/>
      <c r="Q18" s="164"/>
      <c r="R18" s="164"/>
      <c r="S18" s="163"/>
      <c r="T18" s="164"/>
      <c r="U18" s="164"/>
      <c r="V18" s="164"/>
      <c r="W18" s="153"/>
      <c r="X18" s="163"/>
      <c r="Y18" s="163"/>
      <c r="Z18" s="164"/>
      <c r="AA18" s="164"/>
      <c r="AB18" s="168"/>
      <c r="AC18" s="164"/>
      <c r="AD18" s="164"/>
      <c r="AE18" s="164"/>
      <c r="AF18" s="164"/>
      <c r="AG18" s="164"/>
      <c r="AH18" s="164"/>
      <c r="AI18" s="164"/>
      <c r="AJ18" s="164"/>
      <c r="AK18" s="155"/>
      <c r="AL18" s="175"/>
      <c r="AM18" s="196"/>
    </row>
    <row r="19" spans="1:39" x14ac:dyDescent="0.2">
      <c r="A19" s="201" t="s">
        <v>3461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</row>
    <row r="20" spans="1:39" x14ac:dyDescent="0.2">
      <c r="A20" s="97" t="s">
        <v>3460</v>
      </c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97"/>
      <c r="S20" s="14"/>
      <c r="T20" s="97"/>
      <c r="U20" s="97"/>
      <c r="V20" s="97"/>
      <c r="W20"/>
      <c r="X20" s="14"/>
      <c r="Y20" s="14"/>
      <c r="Z20" s="97"/>
      <c r="AA20" s="97"/>
      <c r="AB20" s="96"/>
      <c r="AC20" s="97"/>
      <c r="AD20" s="97"/>
      <c r="AE20" s="97"/>
      <c r="AF20" s="97"/>
      <c r="AG20" s="97"/>
      <c r="AH20" s="97"/>
      <c r="AI20" s="97"/>
      <c r="AJ20" s="97"/>
    </row>
    <row r="21" spans="1:39" x14ac:dyDescent="0.2">
      <c r="A21" s="98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7"/>
      <c r="O21" s="96"/>
      <c r="P21" s="96"/>
      <c r="Q21" s="97"/>
      <c r="R21" s="97"/>
      <c r="S21" s="96"/>
      <c r="T21" s="96"/>
      <c r="U21" s="96"/>
      <c r="V21" s="96"/>
      <c r="W21"/>
      <c r="X21" s="14"/>
      <c r="Y21" s="14"/>
      <c r="Z21" s="96"/>
      <c r="AA21" s="97"/>
      <c r="AB21" s="96"/>
      <c r="AC21" s="96"/>
      <c r="AD21" s="96"/>
      <c r="AE21" s="96"/>
      <c r="AF21" s="96"/>
      <c r="AG21" s="96"/>
      <c r="AH21" s="96"/>
      <c r="AI21" s="96"/>
      <c r="AJ21" s="97"/>
    </row>
    <row r="22" spans="1:39" customFormat="1" x14ac:dyDescent="0.2">
      <c r="L22" s="96"/>
      <c r="X22" s="4"/>
    </row>
    <row r="23" spans="1:39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6">
    <dataValidation type="list" allowBlank="1" showInputMessage="1" showErrorMessage="1" sqref="J3:J18 J20:J21">
      <formula1>israel_abroad</formula1>
    </dataValidation>
    <dataValidation type="list" allowBlank="1" showInputMessage="1" showErrorMessage="1" sqref="N3:N18 N20:N21">
      <formula1>Holding_interest</formula1>
    </dataValidation>
    <dataValidation type="list" allowBlank="1" showInputMessage="1" showErrorMessage="1" sqref="K3:K18 K20:K21">
      <formula1>Country_list</formula1>
    </dataValidation>
    <dataValidation type="list" allowBlank="1" showInputMessage="1" showErrorMessage="1" sqref="E4:E18 E20:E21">
      <formula1>Issuer_Number_Type_2</formula1>
    </dataValidation>
    <dataValidation type="list" allowBlank="1" showInputMessage="1" showErrorMessage="1" sqref="Q3:Q18 Q20:Q21">
      <formula1>Rating_Agency</formula1>
    </dataValidation>
    <dataValidation type="list" allowBlank="1" showInputMessage="1" showErrorMessage="1" sqref="P5 R3:R18 R20:R21">
      <formula1>What_is_rated</formula1>
    </dataValidation>
    <dataValidation type="list" allowBlank="1" showInputMessage="1" showErrorMessage="1" sqref="V5 X3:X18 X20:X21">
      <formula1>Subordination_Risk</formula1>
    </dataValidation>
    <dataValidation type="list" allowBlank="1" showInputMessage="1" showErrorMessage="1" sqref="Z3:Z18 Z20">
      <formula1>Valuation</formula1>
    </dataValidation>
    <dataValidation type="list" allowBlank="1" showInputMessage="1" showErrorMessage="1" sqref="AA3:AA18 AA20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8 Y20:Y21">
      <formula1>Yes_No_Bad_Debt</formula1>
    </dataValidation>
    <dataValidation type="list" allowBlank="1" showInputMessage="1" showErrorMessage="1" sqref="H3:H18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8 AJ20:AJ21">
      <formula1>In_the_books</formula1>
    </dataValidation>
    <dataValidation type="list" allowBlank="1" showInputMessage="1" showErrorMessage="1" sqref="M3:M18 M20:M21">
      <formula1>Industry_Sector</formula1>
    </dataValidation>
    <dataValidation type="list" allowBlank="1" showInputMessage="1" showErrorMessage="1" sqref="L3:L18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I3:I18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3481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196" t="s">
        <v>3462</v>
      </c>
    </row>
    <row r="3" spans="1:27" x14ac:dyDescent="0.2">
      <c r="A3" s="144" t="s">
        <v>1205</v>
      </c>
      <c r="B3" s="145" t="s">
        <v>1205</v>
      </c>
      <c r="C3" s="145" t="s">
        <v>2715</v>
      </c>
      <c r="D3" s="145" t="s">
        <v>2716</v>
      </c>
      <c r="E3" s="145" t="s">
        <v>309</v>
      </c>
      <c r="F3" s="145" t="s">
        <v>2717</v>
      </c>
      <c r="G3" s="145" t="s">
        <v>2718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2698</v>
      </c>
      <c r="P3" s="145" t="s">
        <v>1210</v>
      </c>
      <c r="Q3" s="145" t="s">
        <v>887</v>
      </c>
      <c r="R3" s="145" t="s">
        <v>889</v>
      </c>
      <c r="S3" s="173">
        <v>45657</v>
      </c>
      <c r="T3" s="173">
        <v>45657</v>
      </c>
      <c r="U3" s="146">
        <v>400</v>
      </c>
      <c r="V3" s="146">
        <v>1</v>
      </c>
      <c r="W3" s="146">
        <v>0</v>
      </c>
      <c r="X3" s="146">
        <v>0</v>
      </c>
      <c r="Y3" s="161"/>
      <c r="Z3" s="166"/>
      <c r="AA3" s="196"/>
    </row>
    <row r="4" spans="1:27" x14ac:dyDescent="0.2">
      <c r="A4" s="144" t="s">
        <v>1205</v>
      </c>
      <c r="B4" s="145" t="s">
        <v>1205</v>
      </c>
      <c r="C4" s="145" t="s">
        <v>2719</v>
      </c>
      <c r="D4" s="145" t="s">
        <v>1568</v>
      </c>
      <c r="E4" s="145" t="s">
        <v>309</v>
      </c>
      <c r="F4" s="145" t="s">
        <v>2720</v>
      </c>
      <c r="G4" s="145" t="s">
        <v>2721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2722</v>
      </c>
      <c r="P4" s="145" t="s">
        <v>1210</v>
      </c>
      <c r="Q4" s="145" t="s">
        <v>885</v>
      </c>
      <c r="R4" s="145" t="s">
        <v>889</v>
      </c>
      <c r="S4" s="173">
        <v>45719</v>
      </c>
      <c r="T4" s="173">
        <v>45719</v>
      </c>
      <c r="U4" s="146">
        <v>2435642.2200000002</v>
      </c>
      <c r="V4" s="146">
        <v>1</v>
      </c>
      <c r="W4" s="146">
        <v>797.35900000000004</v>
      </c>
      <c r="X4" s="146">
        <v>19420.803</v>
      </c>
      <c r="Y4" s="148">
        <v>0.32702999999999999</v>
      </c>
      <c r="Z4" s="149">
        <v>1.847E-2</v>
      </c>
      <c r="AA4" s="196"/>
    </row>
    <row r="5" spans="1:27" x14ac:dyDescent="0.2">
      <c r="A5" s="144" t="s">
        <v>1205</v>
      </c>
      <c r="B5" s="145" t="s">
        <v>1205</v>
      </c>
      <c r="C5" s="145" t="s">
        <v>2723</v>
      </c>
      <c r="D5" s="145" t="s">
        <v>2724</v>
      </c>
      <c r="E5" s="145" t="s">
        <v>309</v>
      </c>
      <c r="F5" s="145" t="s">
        <v>2723</v>
      </c>
      <c r="G5" s="145" t="s">
        <v>2725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485</v>
      </c>
      <c r="N5" s="145" t="s">
        <v>339</v>
      </c>
      <c r="O5" s="145" t="s">
        <v>2726</v>
      </c>
      <c r="P5" s="145" t="s">
        <v>1210</v>
      </c>
      <c r="Q5" s="145" t="s">
        <v>885</v>
      </c>
      <c r="R5" s="145" t="s">
        <v>889</v>
      </c>
      <c r="S5" s="173">
        <v>45747</v>
      </c>
      <c r="T5" s="173">
        <v>45747</v>
      </c>
      <c r="U5" s="146">
        <v>12035897.02</v>
      </c>
      <c r="V5" s="146">
        <v>1</v>
      </c>
      <c r="W5" s="146">
        <v>128.44499999999999</v>
      </c>
      <c r="X5" s="146">
        <v>15459.46</v>
      </c>
      <c r="Y5" s="148">
        <v>0.26032</v>
      </c>
      <c r="Z5" s="149">
        <v>1.4710000000000001E-2</v>
      </c>
      <c r="AA5" s="196"/>
    </row>
    <row r="6" spans="1:27" x14ac:dyDescent="0.2">
      <c r="A6" s="144" t="s">
        <v>1205</v>
      </c>
      <c r="B6" s="145" t="s">
        <v>1205</v>
      </c>
      <c r="C6" s="145" t="s">
        <v>2727</v>
      </c>
      <c r="D6" s="145" t="s">
        <v>2728</v>
      </c>
      <c r="E6" s="145" t="s">
        <v>309</v>
      </c>
      <c r="F6" s="145" t="s">
        <v>2729</v>
      </c>
      <c r="G6" s="145" t="s">
        <v>2730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463</v>
      </c>
      <c r="N6" s="145" t="s">
        <v>339</v>
      </c>
      <c r="O6" s="145" t="s">
        <v>2731</v>
      </c>
      <c r="P6" s="145" t="s">
        <v>1210</v>
      </c>
      <c r="Q6" s="145" t="s">
        <v>885</v>
      </c>
      <c r="R6" s="145" t="s">
        <v>889</v>
      </c>
      <c r="S6" s="173">
        <v>45747</v>
      </c>
      <c r="T6" s="173">
        <v>45747</v>
      </c>
      <c r="U6" s="146">
        <v>2963823</v>
      </c>
      <c r="V6" s="146">
        <v>1</v>
      </c>
      <c r="W6" s="146">
        <v>336.72399999999999</v>
      </c>
      <c r="X6" s="146">
        <v>9979.8889999999992</v>
      </c>
      <c r="Y6" s="148">
        <v>0.16805</v>
      </c>
      <c r="Z6" s="149">
        <v>9.4900000000000002E-3</v>
      </c>
      <c r="AA6" s="196"/>
    </row>
    <row r="7" spans="1:27" x14ac:dyDescent="0.2">
      <c r="A7" s="144" t="s">
        <v>1205</v>
      </c>
      <c r="B7" s="145" t="s">
        <v>1205</v>
      </c>
      <c r="C7" s="145" t="s">
        <v>2732</v>
      </c>
      <c r="D7" s="145" t="s">
        <v>2733</v>
      </c>
      <c r="E7" s="145" t="s">
        <v>314</v>
      </c>
      <c r="F7" s="145" t="s">
        <v>2734</v>
      </c>
      <c r="G7" s="145" t="s">
        <v>2735</v>
      </c>
      <c r="H7" s="145" t="s">
        <v>312</v>
      </c>
      <c r="I7" s="145" t="s">
        <v>765</v>
      </c>
      <c r="J7" s="145" t="s">
        <v>204</v>
      </c>
      <c r="K7" s="145" t="s">
        <v>238</v>
      </c>
      <c r="L7" s="145" t="s">
        <v>314</v>
      </c>
      <c r="M7" s="145" t="s">
        <v>568</v>
      </c>
      <c r="N7" s="145" t="s">
        <v>339</v>
      </c>
      <c r="O7" s="145" t="s">
        <v>2736</v>
      </c>
      <c r="P7" s="145" t="s">
        <v>1212</v>
      </c>
      <c r="Q7" s="145" t="s">
        <v>885</v>
      </c>
      <c r="R7" s="145" t="s">
        <v>889</v>
      </c>
      <c r="S7" s="173">
        <v>45531</v>
      </c>
      <c r="T7" s="173">
        <v>45531</v>
      </c>
      <c r="U7" s="146">
        <v>923621.42</v>
      </c>
      <c r="V7" s="146">
        <v>4.0220000000000002</v>
      </c>
      <c r="W7" s="146">
        <v>136.078</v>
      </c>
      <c r="X7" s="146">
        <v>5054.9179999999997</v>
      </c>
      <c r="Y7" s="148">
        <v>8.5120000000000001E-2</v>
      </c>
      <c r="Z7" s="149">
        <v>4.81E-3</v>
      </c>
      <c r="AA7" s="196"/>
    </row>
    <row r="8" spans="1:27" x14ac:dyDescent="0.2">
      <c r="A8" s="144" t="s">
        <v>1205</v>
      </c>
      <c r="B8" s="145" t="s">
        <v>1205</v>
      </c>
      <c r="C8" s="145" t="s">
        <v>2737</v>
      </c>
      <c r="D8" s="145" t="s">
        <v>2738</v>
      </c>
      <c r="E8" s="145" t="s">
        <v>309</v>
      </c>
      <c r="F8" s="145" t="s">
        <v>2739</v>
      </c>
      <c r="G8" s="145" t="s">
        <v>2740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455</v>
      </c>
      <c r="N8" s="145" t="s">
        <v>339</v>
      </c>
      <c r="O8" s="145" t="s">
        <v>2741</v>
      </c>
      <c r="P8" s="145" t="s">
        <v>1211</v>
      </c>
      <c r="Q8" s="145" t="s">
        <v>885</v>
      </c>
      <c r="R8" s="145" t="s">
        <v>889</v>
      </c>
      <c r="S8" s="173">
        <v>45439</v>
      </c>
      <c r="T8" s="173">
        <v>45439</v>
      </c>
      <c r="U8" s="146">
        <v>66817</v>
      </c>
      <c r="V8" s="146">
        <v>3.718</v>
      </c>
      <c r="W8" s="146">
        <v>8.1110000000000007</v>
      </c>
      <c r="X8" s="146">
        <v>2014.93</v>
      </c>
      <c r="Y8" s="148">
        <v>3.3930000000000002E-2</v>
      </c>
      <c r="Z8" s="149">
        <v>1.92E-3</v>
      </c>
      <c r="AA8" s="196"/>
    </row>
    <row r="9" spans="1:27" x14ac:dyDescent="0.2">
      <c r="A9" s="144" t="s">
        <v>1205</v>
      </c>
      <c r="B9" s="145" t="s">
        <v>1205</v>
      </c>
      <c r="C9" s="145" t="s">
        <v>2742</v>
      </c>
      <c r="D9" s="145" t="s">
        <v>2743</v>
      </c>
      <c r="E9" s="145" t="s">
        <v>312</v>
      </c>
      <c r="F9" s="145" t="s">
        <v>2744</v>
      </c>
      <c r="G9" s="145" t="s">
        <v>2745</v>
      </c>
      <c r="H9" s="145" t="s">
        <v>312</v>
      </c>
      <c r="I9" s="145" t="s">
        <v>765</v>
      </c>
      <c r="J9" s="145" t="s">
        <v>204</v>
      </c>
      <c r="K9" s="145" t="s">
        <v>204</v>
      </c>
      <c r="L9" s="145" t="s">
        <v>314</v>
      </c>
      <c r="M9" s="145" t="s">
        <v>447</v>
      </c>
      <c r="N9" s="145" t="s">
        <v>339</v>
      </c>
      <c r="O9" s="145" t="s">
        <v>2746</v>
      </c>
      <c r="P9" s="145" t="s">
        <v>1210</v>
      </c>
      <c r="Q9" s="145" t="s">
        <v>885</v>
      </c>
      <c r="R9" s="145" t="s">
        <v>889</v>
      </c>
      <c r="S9" s="173">
        <v>45533</v>
      </c>
      <c r="T9" s="173">
        <v>45533</v>
      </c>
      <c r="U9" s="146">
        <v>1833816</v>
      </c>
      <c r="V9" s="146">
        <v>1</v>
      </c>
      <c r="W9" s="146">
        <v>99.158000000000001</v>
      </c>
      <c r="X9" s="146">
        <v>1818.3679999999999</v>
      </c>
      <c r="Y9" s="148">
        <v>3.0620000000000001E-2</v>
      </c>
      <c r="Z9" s="149">
        <v>1.73E-3</v>
      </c>
      <c r="AA9" s="196"/>
    </row>
    <row r="10" spans="1:27" x14ac:dyDescent="0.2">
      <c r="A10" s="144" t="s">
        <v>1205</v>
      </c>
      <c r="B10" s="145" t="s">
        <v>1205</v>
      </c>
      <c r="C10" s="145" t="s">
        <v>2747</v>
      </c>
      <c r="D10" s="145" t="s">
        <v>2748</v>
      </c>
      <c r="E10" s="145" t="s">
        <v>309</v>
      </c>
      <c r="F10" s="145" t="s">
        <v>2749</v>
      </c>
      <c r="G10" s="145" t="s">
        <v>2750</v>
      </c>
      <c r="H10" s="145" t="s">
        <v>312</v>
      </c>
      <c r="I10" s="145" t="s">
        <v>765</v>
      </c>
      <c r="J10" s="145" t="s">
        <v>204</v>
      </c>
      <c r="K10" s="145" t="s">
        <v>224</v>
      </c>
      <c r="L10" s="145" t="s">
        <v>314</v>
      </c>
      <c r="M10" s="145" t="s">
        <v>444</v>
      </c>
      <c r="N10" s="145" t="s">
        <v>339</v>
      </c>
      <c r="O10" s="145" t="s">
        <v>2751</v>
      </c>
      <c r="P10" s="145" t="s">
        <v>1211</v>
      </c>
      <c r="Q10" s="145" t="s">
        <v>885</v>
      </c>
      <c r="R10" s="145" t="s">
        <v>889</v>
      </c>
      <c r="S10" s="173">
        <v>45727</v>
      </c>
      <c r="T10" s="173">
        <v>45727</v>
      </c>
      <c r="U10" s="146">
        <v>287997.34000000003</v>
      </c>
      <c r="V10" s="146">
        <v>3.718</v>
      </c>
      <c r="W10" s="146">
        <v>100</v>
      </c>
      <c r="X10" s="146">
        <v>1070.7739999999999</v>
      </c>
      <c r="Y10" s="148">
        <v>1.8030000000000001E-2</v>
      </c>
      <c r="Z10" s="149">
        <v>1.0200000000000001E-3</v>
      </c>
      <c r="AA10" s="196"/>
    </row>
    <row r="11" spans="1:27" x14ac:dyDescent="0.2">
      <c r="A11" s="144" t="s">
        <v>1205</v>
      </c>
      <c r="B11" s="145" t="s">
        <v>1205</v>
      </c>
      <c r="C11" s="145" t="s">
        <v>2752</v>
      </c>
      <c r="D11" s="145" t="s">
        <v>2753</v>
      </c>
      <c r="E11" s="145" t="s">
        <v>314</v>
      </c>
      <c r="F11" s="145" t="s">
        <v>2754</v>
      </c>
      <c r="G11" s="145" t="s">
        <v>2755</v>
      </c>
      <c r="H11" s="145" t="s">
        <v>312</v>
      </c>
      <c r="I11" s="145" t="s">
        <v>765</v>
      </c>
      <c r="J11" s="145" t="s">
        <v>204</v>
      </c>
      <c r="K11" s="145" t="s">
        <v>296</v>
      </c>
      <c r="L11" s="145" t="s">
        <v>314</v>
      </c>
      <c r="M11" s="145" t="s">
        <v>546</v>
      </c>
      <c r="N11" s="145" t="s">
        <v>339</v>
      </c>
      <c r="O11" s="145" t="s">
        <v>2756</v>
      </c>
      <c r="P11" s="145" t="s">
        <v>1211</v>
      </c>
      <c r="Q11" s="145" t="s">
        <v>885</v>
      </c>
      <c r="R11" s="145" t="s">
        <v>889</v>
      </c>
      <c r="S11" s="173">
        <v>45729</v>
      </c>
      <c r="T11" s="173">
        <v>45729</v>
      </c>
      <c r="U11" s="146">
        <v>88669.27</v>
      </c>
      <c r="V11" s="146">
        <v>3.718</v>
      </c>
      <c r="W11" s="146">
        <v>310.35000000000002</v>
      </c>
      <c r="X11" s="146">
        <v>1023.139</v>
      </c>
      <c r="Y11" s="148">
        <v>1.7229999999999999E-2</v>
      </c>
      <c r="Z11" s="149">
        <v>9.7000000000000005E-4</v>
      </c>
      <c r="AA11" s="196"/>
    </row>
    <row r="12" spans="1:27" x14ac:dyDescent="0.2">
      <c r="A12" s="144" t="s">
        <v>1205</v>
      </c>
      <c r="B12" s="145" t="s">
        <v>1205</v>
      </c>
      <c r="C12" s="145" t="s">
        <v>2727</v>
      </c>
      <c r="D12" s="145" t="s">
        <v>2728</v>
      </c>
      <c r="E12" s="145" t="s">
        <v>309</v>
      </c>
      <c r="F12" s="145" t="s">
        <v>2757</v>
      </c>
      <c r="G12" s="145" t="s">
        <v>2758</v>
      </c>
      <c r="H12" s="145" t="s">
        <v>312</v>
      </c>
      <c r="I12" s="145" t="s">
        <v>765</v>
      </c>
      <c r="J12" s="145" t="s">
        <v>204</v>
      </c>
      <c r="K12" s="145" t="s">
        <v>204</v>
      </c>
      <c r="L12" s="145" t="s">
        <v>314</v>
      </c>
      <c r="M12" s="145" t="s">
        <v>463</v>
      </c>
      <c r="N12" s="145" t="s">
        <v>339</v>
      </c>
      <c r="O12" s="145" t="s">
        <v>2759</v>
      </c>
      <c r="P12" s="145" t="s">
        <v>1210</v>
      </c>
      <c r="Q12" s="145" t="s">
        <v>885</v>
      </c>
      <c r="R12" s="145" t="s">
        <v>889</v>
      </c>
      <c r="S12" s="173">
        <v>45747</v>
      </c>
      <c r="T12" s="173">
        <v>45747</v>
      </c>
      <c r="U12" s="146">
        <v>658822.34</v>
      </c>
      <c r="V12" s="146">
        <v>1</v>
      </c>
      <c r="W12" s="146">
        <v>142.346</v>
      </c>
      <c r="X12" s="146">
        <v>937.81</v>
      </c>
      <c r="Y12" s="148">
        <v>1.5789999999999998E-2</v>
      </c>
      <c r="Z12" s="149">
        <v>8.8999999999999995E-4</v>
      </c>
      <c r="AA12" s="196"/>
    </row>
    <row r="13" spans="1:27" x14ac:dyDescent="0.2">
      <c r="A13" s="144" t="s">
        <v>1205</v>
      </c>
      <c r="B13" s="145" t="s">
        <v>1205</v>
      </c>
      <c r="C13" s="145" t="s">
        <v>2760</v>
      </c>
      <c r="D13" s="145" t="s">
        <v>2761</v>
      </c>
      <c r="E13" s="145" t="s">
        <v>314</v>
      </c>
      <c r="F13" s="145" t="s">
        <v>2760</v>
      </c>
      <c r="G13" s="145" t="s">
        <v>2762</v>
      </c>
      <c r="H13" s="145" t="s">
        <v>312</v>
      </c>
      <c r="I13" s="145" t="s">
        <v>765</v>
      </c>
      <c r="J13" s="145" t="s">
        <v>204</v>
      </c>
      <c r="K13" s="145" t="s">
        <v>204</v>
      </c>
      <c r="L13" s="145" t="s">
        <v>314</v>
      </c>
      <c r="M13" s="145" t="s">
        <v>485</v>
      </c>
      <c r="N13" s="145" t="s">
        <v>339</v>
      </c>
      <c r="O13" s="145" t="s">
        <v>2763</v>
      </c>
      <c r="P13" s="145" t="s">
        <v>1210</v>
      </c>
      <c r="Q13" s="145" t="s">
        <v>885</v>
      </c>
      <c r="R13" s="145" t="s">
        <v>889</v>
      </c>
      <c r="S13" s="173">
        <v>45714</v>
      </c>
      <c r="T13" s="173">
        <v>45714</v>
      </c>
      <c r="U13" s="146">
        <v>906277</v>
      </c>
      <c r="V13" s="146">
        <v>1</v>
      </c>
      <c r="W13" s="146">
        <v>87.852000000000004</v>
      </c>
      <c r="X13" s="146">
        <v>796.18600000000004</v>
      </c>
      <c r="Y13" s="148">
        <v>1.341E-2</v>
      </c>
      <c r="Z13" s="149">
        <v>7.6000000000000004E-4</v>
      </c>
      <c r="AA13" s="196"/>
    </row>
    <row r="14" spans="1:27" x14ac:dyDescent="0.2">
      <c r="A14" s="144" t="s">
        <v>1205</v>
      </c>
      <c r="B14" s="145" t="s">
        <v>1205</v>
      </c>
      <c r="C14" s="145" t="s">
        <v>2764</v>
      </c>
      <c r="D14" s="145" t="s">
        <v>2765</v>
      </c>
      <c r="E14" s="145" t="s">
        <v>314</v>
      </c>
      <c r="F14" s="145" t="s">
        <v>2764</v>
      </c>
      <c r="G14" s="145" t="s">
        <v>2766</v>
      </c>
      <c r="H14" s="145" t="s">
        <v>312</v>
      </c>
      <c r="I14" s="145" t="s">
        <v>765</v>
      </c>
      <c r="J14" s="145" t="s">
        <v>204</v>
      </c>
      <c r="K14" s="145" t="s">
        <v>224</v>
      </c>
      <c r="L14" s="145" t="s">
        <v>314</v>
      </c>
      <c r="M14" s="145" t="s">
        <v>533</v>
      </c>
      <c r="N14" s="145" t="s">
        <v>339</v>
      </c>
      <c r="O14" s="145" t="s">
        <v>2767</v>
      </c>
      <c r="P14" s="145" t="s">
        <v>1211</v>
      </c>
      <c r="Q14" s="145" t="s">
        <v>885</v>
      </c>
      <c r="R14" s="145" t="s">
        <v>889</v>
      </c>
      <c r="S14" s="173">
        <v>45699</v>
      </c>
      <c r="T14" s="173">
        <v>45699</v>
      </c>
      <c r="U14" s="146">
        <v>6036.56</v>
      </c>
      <c r="V14" s="146">
        <v>3.718</v>
      </c>
      <c r="W14" s="146">
        <v>27.35</v>
      </c>
      <c r="X14" s="146">
        <v>613.83699999999999</v>
      </c>
      <c r="Y14" s="148">
        <v>1.034E-2</v>
      </c>
      <c r="Z14" s="149">
        <v>5.8E-4</v>
      </c>
      <c r="AA14" s="196"/>
    </row>
    <row r="15" spans="1:27" x14ac:dyDescent="0.2">
      <c r="A15" s="144" t="s">
        <v>1205</v>
      </c>
      <c r="B15" s="145" t="s">
        <v>1205</v>
      </c>
      <c r="C15" s="145" t="s">
        <v>2768</v>
      </c>
      <c r="D15" s="145" t="s">
        <v>2769</v>
      </c>
      <c r="E15" s="145" t="s">
        <v>314</v>
      </c>
      <c r="F15" s="145" t="s">
        <v>2770</v>
      </c>
      <c r="G15" s="145" t="s">
        <v>2771</v>
      </c>
      <c r="H15" s="145" t="s">
        <v>312</v>
      </c>
      <c r="I15" s="145" t="s">
        <v>765</v>
      </c>
      <c r="J15" s="145" t="s">
        <v>204</v>
      </c>
      <c r="K15" s="145" t="s">
        <v>204</v>
      </c>
      <c r="L15" s="145" t="s">
        <v>314</v>
      </c>
      <c r="M15" s="145" t="s">
        <v>444</v>
      </c>
      <c r="N15" s="145" t="s">
        <v>339</v>
      </c>
      <c r="O15" s="145" t="s">
        <v>2772</v>
      </c>
      <c r="P15" s="145" t="s">
        <v>1211</v>
      </c>
      <c r="Q15" s="145" t="s">
        <v>885</v>
      </c>
      <c r="R15" s="145" t="s">
        <v>889</v>
      </c>
      <c r="S15" s="173">
        <v>45250</v>
      </c>
      <c r="T15" s="173">
        <v>45250</v>
      </c>
      <c r="U15" s="146">
        <v>274.20999999999998</v>
      </c>
      <c r="V15" s="146">
        <v>3.718</v>
      </c>
      <c r="W15" s="146">
        <v>359.5</v>
      </c>
      <c r="X15" s="146">
        <v>366.51499999999999</v>
      </c>
      <c r="Y15" s="148">
        <v>6.1700000000000001E-3</v>
      </c>
      <c r="Z15" s="149">
        <v>3.5E-4</v>
      </c>
      <c r="AA15" s="196"/>
    </row>
    <row r="16" spans="1:27" x14ac:dyDescent="0.2">
      <c r="A16" s="144" t="s">
        <v>1205</v>
      </c>
      <c r="B16" s="145" t="s">
        <v>1205</v>
      </c>
      <c r="C16" s="145" t="s">
        <v>2768</v>
      </c>
      <c r="D16" s="145" t="s">
        <v>2769</v>
      </c>
      <c r="E16" s="145" t="s">
        <v>314</v>
      </c>
      <c r="F16" s="145" t="s">
        <v>2773</v>
      </c>
      <c r="G16" s="145" t="s">
        <v>2774</v>
      </c>
      <c r="H16" s="145" t="s">
        <v>312</v>
      </c>
      <c r="I16" s="145" t="s">
        <v>765</v>
      </c>
      <c r="J16" s="145" t="s">
        <v>204</v>
      </c>
      <c r="K16" s="145" t="s">
        <v>204</v>
      </c>
      <c r="L16" s="145" t="s">
        <v>314</v>
      </c>
      <c r="M16" s="145" t="s">
        <v>444</v>
      </c>
      <c r="N16" s="145" t="s">
        <v>339</v>
      </c>
      <c r="O16" s="145" t="s">
        <v>2775</v>
      </c>
      <c r="P16" s="145" t="s">
        <v>1211</v>
      </c>
      <c r="Q16" s="145" t="s">
        <v>885</v>
      </c>
      <c r="R16" s="145" t="s">
        <v>889</v>
      </c>
      <c r="S16" s="173">
        <v>45250</v>
      </c>
      <c r="T16" s="173">
        <v>45250</v>
      </c>
      <c r="U16" s="146">
        <v>217.35</v>
      </c>
      <c r="V16" s="146">
        <v>3.718</v>
      </c>
      <c r="W16" s="146">
        <v>38650</v>
      </c>
      <c r="X16" s="146">
        <v>312.33300000000003</v>
      </c>
      <c r="Y16" s="148">
        <v>5.2599999999999999E-3</v>
      </c>
      <c r="Z16" s="149">
        <v>2.9999999999999997E-4</v>
      </c>
      <c r="AA16" s="196"/>
    </row>
    <row r="17" spans="1:27" x14ac:dyDescent="0.2">
      <c r="A17" s="144" t="s">
        <v>1205</v>
      </c>
      <c r="B17" s="145" t="s">
        <v>1205</v>
      </c>
      <c r="C17" s="145" t="s">
        <v>2776</v>
      </c>
      <c r="D17" s="145" t="s">
        <v>2777</v>
      </c>
      <c r="E17" s="145" t="s">
        <v>314</v>
      </c>
      <c r="F17" s="145" t="s">
        <v>2778</v>
      </c>
      <c r="G17" s="145" t="s">
        <v>2779</v>
      </c>
      <c r="H17" s="145" t="s">
        <v>312</v>
      </c>
      <c r="I17" s="145" t="s">
        <v>765</v>
      </c>
      <c r="J17" s="145" t="s">
        <v>204</v>
      </c>
      <c r="K17" s="145" t="s">
        <v>224</v>
      </c>
      <c r="L17" s="145" t="s">
        <v>314</v>
      </c>
      <c r="M17" s="145" t="s">
        <v>546</v>
      </c>
      <c r="N17" s="145" t="s">
        <v>339</v>
      </c>
      <c r="O17" s="145" t="s">
        <v>2780</v>
      </c>
      <c r="P17" s="145" t="s">
        <v>1211</v>
      </c>
      <c r="Q17" s="145" t="s">
        <v>885</v>
      </c>
      <c r="R17" s="145" t="s">
        <v>889</v>
      </c>
      <c r="S17" s="173">
        <v>45439</v>
      </c>
      <c r="T17" s="173">
        <v>45439</v>
      </c>
      <c r="U17" s="146">
        <v>16191</v>
      </c>
      <c r="V17" s="146">
        <v>3.718</v>
      </c>
      <c r="W17" s="146">
        <v>420</v>
      </c>
      <c r="X17" s="146">
        <v>252.83199999999999</v>
      </c>
      <c r="Y17" s="148">
        <v>4.2599999999999999E-3</v>
      </c>
      <c r="Z17" s="149">
        <v>2.4000000000000001E-4</v>
      </c>
      <c r="AA17" s="196"/>
    </row>
    <row r="18" spans="1:27" x14ac:dyDescent="0.2">
      <c r="A18" s="144" t="s">
        <v>1205</v>
      </c>
      <c r="B18" s="145" t="s">
        <v>1205</v>
      </c>
      <c r="C18" s="145" t="s">
        <v>1994</v>
      </c>
      <c r="D18" s="145" t="s">
        <v>1995</v>
      </c>
      <c r="E18" s="145" t="s">
        <v>309</v>
      </c>
      <c r="F18" s="145" t="s">
        <v>2781</v>
      </c>
      <c r="G18" s="145" t="s">
        <v>2782</v>
      </c>
      <c r="H18" s="145" t="s">
        <v>312</v>
      </c>
      <c r="I18" s="145" t="s">
        <v>765</v>
      </c>
      <c r="J18" s="145" t="s">
        <v>204</v>
      </c>
      <c r="K18" s="145" t="s">
        <v>204</v>
      </c>
      <c r="L18" s="145" t="s">
        <v>314</v>
      </c>
      <c r="M18" s="145" t="s">
        <v>451</v>
      </c>
      <c r="N18" s="145" t="s">
        <v>339</v>
      </c>
      <c r="O18" s="145" t="s">
        <v>2783</v>
      </c>
      <c r="P18" s="145" t="s">
        <v>1210</v>
      </c>
      <c r="Q18" s="145" t="s">
        <v>885</v>
      </c>
      <c r="R18" s="145" t="s">
        <v>889</v>
      </c>
      <c r="S18" s="173">
        <v>45707</v>
      </c>
      <c r="T18" s="173">
        <v>45707</v>
      </c>
      <c r="U18" s="146">
        <v>3798</v>
      </c>
      <c r="V18" s="146">
        <v>1</v>
      </c>
      <c r="W18" s="146">
        <v>2533.5259999999998</v>
      </c>
      <c r="X18" s="146">
        <v>96.222999999999999</v>
      </c>
      <c r="Y18" s="148">
        <v>1.6199999999999999E-3</v>
      </c>
      <c r="Z18" s="149">
        <v>9.0000000000000006E-5</v>
      </c>
      <c r="AA18" s="196"/>
    </row>
    <row r="19" spans="1:27" x14ac:dyDescent="0.2">
      <c r="A19" s="144" t="s">
        <v>1205</v>
      </c>
      <c r="B19" s="145" t="s">
        <v>1205</v>
      </c>
      <c r="C19" s="145" t="s">
        <v>2768</v>
      </c>
      <c r="D19" s="145" t="s">
        <v>2769</v>
      </c>
      <c r="E19" s="145" t="s">
        <v>314</v>
      </c>
      <c r="F19" s="145" t="s">
        <v>2784</v>
      </c>
      <c r="G19" s="145" t="s">
        <v>2785</v>
      </c>
      <c r="H19" s="145" t="s">
        <v>312</v>
      </c>
      <c r="I19" s="145" t="s">
        <v>765</v>
      </c>
      <c r="J19" s="145" t="s">
        <v>204</v>
      </c>
      <c r="K19" s="145" t="s">
        <v>204</v>
      </c>
      <c r="L19" s="145" t="s">
        <v>314</v>
      </c>
      <c r="M19" s="145" t="s">
        <v>444</v>
      </c>
      <c r="N19" s="145" t="s">
        <v>339</v>
      </c>
      <c r="O19" s="145" t="s">
        <v>2786</v>
      </c>
      <c r="P19" s="145" t="s">
        <v>1211</v>
      </c>
      <c r="Q19" s="145" t="s">
        <v>885</v>
      </c>
      <c r="R19" s="145" t="s">
        <v>889</v>
      </c>
      <c r="S19" s="173">
        <v>45250</v>
      </c>
      <c r="T19" s="173">
        <v>45250</v>
      </c>
      <c r="U19" s="146">
        <v>70</v>
      </c>
      <c r="V19" s="146">
        <v>3.718</v>
      </c>
      <c r="W19" s="146">
        <v>363</v>
      </c>
      <c r="X19" s="146">
        <v>94.474000000000004</v>
      </c>
      <c r="Y19" s="148">
        <v>1.5900000000000001E-3</v>
      </c>
      <c r="Z19" s="149">
        <v>9.0000000000000006E-5</v>
      </c>
      <c r="AA19" s="196"/>
    </row>
    <row r="20" spans="1:27" x14ac:dyDescent="0.2">
      <c r="A20" s="144" t="s">
        <v>1205</v>
      </c>
      <c r="B20" s="145" t="s">
        <v>1205</v>
      </c>
      <c r="C20" s="145" t="s">
        <v>2787</v>
      </c>
      <c r="D20" s="145" t="s">
        <v>2788</v>
      </c>
      <c r="E20" s="145" t="s">
        <v>309</v>
      </c>
      <c r="F20" s="145" t="s">
        <v>2787</v>
      </c>
      <c r="G20" s="145" t="s">
        <v>2789</v>
      </c>
      <c r="H20" s="145" t="s">
        <v>312</v>
      </c>
      <c r="I20" s="145" t="s">
        <v>765</v>
      </c>
      <c r="J20" s="145" t="s">
        <v>204</v>
      </c>
      <c r="K20" s="145" t="s">
        <v>296</v>
      </c>
      <c r="L20" s="145" t="s">
        <v>314</v>
      </c>
      <c r="M20" s="145" t="s">
        <v>449</v>
      </c>
      <c r="N20" s="145" t="s">
        <v>339</v>
      </c>
      <c r="O20" s="145" t="s">
        <v>2790</v>
      </c>
      <c r="P20" s="145" t="s">
        <v>1211</v>
      </c>
      <c r="Q20" s="145" t="s">
        <v>885</v>
      </c>
      <c r="R20" s="145" t="s">
        <v>889</v>
      </c>
      <c r="S20" s="173">
        <v>45565</v>
      </c>
      <c r="T20" s="173">
        <v>45565</v>
      </c>
      <c r="U20" s="146">
        <v>94800</v>
      </c>
      <c r="V20" s="146">
        <v>3.718</v>
      </c>
      <c r="W20" s="146">
        <v>12.5</v>
      </c>
      <c r="X20" s="146">
        <v>44.058</v>
      </c>
      <c r="Y20" s="148">
        <v>7.3999999999999999E-4</v>
      </c>
      <c r="Z20" s="149">
        <v>4.0000000000000003E-5</v>
      </c>
      <c r="AA20" s="196"/>
    </row>
    <row r="21" spans="1:27" x14ac:dyDescent="0.2">
      <c r="A21" s="144" t="s">
        <v>1205</v>
      </c>
      <c r="B21" s="145" t="s">
        <v>1205</v>
      </c>
      <c r="C21" s="145" t="s">
        <v>2791</v>
      </c>
      <c r="D21" s="145" t="s">
        <v>2792</v>
      </c>
      <c r="E21" s="145" t="s">
        <v>309</v>
      </c>
      <c r="F21" s="145" t="s">
        <v>2793</v>
      </c>
      <c r="G21" s="145" t="s">
        <v>2794</v>
      </c>
      <c r="H21" s="145" t="s">
        <v>312</v>
      </c>
      <c r="I21" s="145" t="s">
        <v>765</v>
      </c>
      <c r="J21" s="145" t="s">
        <v>204</v>
      </c>
      <c r="K21" s="145" t="s">
        <v>204</v>
      </c>
      <c r="L21" s="145" t="s">
        <v>314</v>
      </c>
      <c r="M21" s="145" t="s">
        <v>449</v>
      </c>
      <c r="N21" s="145" t="s">
        <v>339</v>
      </c>
      <c r="O21" s="145" t="s">
        <v>2746</v>
      </c>
      <c r="P21" s="145" t="s">
        <v>1211</v>
      </c>
      <c r="Q21" s="145" t="s">
        <v>884</v>
      </c>
      <c r="R21" s="145" t="s">
        <v>888</v>
      </c>
      <c r="S21" s="172">
        <v>45657</v>
      </c>
      <c r="T21" s="172">
        <v>45657</v>
      </c>
      <c r="U21" s="146">
        <v>130304</v>
      </c>
      <c r="V21" s="146">
        <v>3.718</v>
      </c>
      <c r="W21" s="146">
        <v>0</v>
      </c>
      <c r="X21" s="146">
        <v>0</v>
      </c>
      <c r="Y21" s="148">
        <v>0</v>
      </c>
      <c r="Z21" s="149">
        <v>0</v>
      </c>
      <c r="AA21" s="196"/>
    </row>
    <row r="22" spans="1:27" customFormat="1" x14ac:dyDescent="0.2">
      <c r="A22" s="144" t="s">
        <v>1205</v>
      </c>
      <c r="B22" s="145" t="s">
        <v>1205</v>
      </c>
      <c r="C22" s="145" t="s">
        <v>2737</v>
      </c>
      <c r="D22" s="145" t="s">
        <v>2738</v>
      </c>
      <c r="E22" s="145" t="s">
        <v>309</v>
      </c>
      <c r="F22" s="145" t="s">
        <v>2795</v>
      </c>
      <c r="G22" s="145" t="s">
        <v>2796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455</v>
      </c>
      <c r="N22" s="145" t="s">
        <v>339</v>
      </c>
      <c r="O22" s="145" t="s">
        <v>2797</v>
      </c>
      <c r="P22" s="145" t="s">
        <v>1211</v>
      </c>
      <c r="Q22" s="145" t="s">
        <v>887</v>
      </c>
      <c r="R22" s="145" t="s">
        <v>889</v>
      </c>
      <c r="S22" s="176">
        <v>45657</v>
      </c>
      <c r="T22" s="176">
        <v>45657</v>
      </c>
      <c r="U22" s="146">
        <v>66817</v>
      </c>
      <c r="V22" s="146">
        <v>3.718</v>
      </c>
      <c r="W22" s="146">
        <v>0</v>
      </c>
      <c r="X22" s="146">
        <v>0</v>
      </c>
      <c r="Y22" s="148">
        <v>0</v>
      </c>
      <c r="Z22" s="149">
        <v>0</v>
      </c>
      <c r="AA22" s="196"/>
    </row>
    <row r="23" spans="1:27" x14ac:dyDescent="0.2">
      <c r="A23" s="144" t="s">
        <v>1205</v>
      </c>
      <c r="B23" s="145" t="s">
        <v>1205</v>
      </c>
      <c r="C23" s="145" t="s">
        <v>2719</v>
      </c>
      <c r="D23" s="145" t="s">
        <v>1568</v>
      </c>
      <c r="E23" s="145" t="s">
        <v>309</v>
      </c>
      <c r="F23" s="145" t="s">
        <v>2798</v>
      </c>
      <c r="G23" s="145" t="s">
        <v>2799</v>
      </c>
      <c r="H23" s="145" t="s">
        <v>312</v>
      </c>
      <c r="I23" s="145" t="s">
        <v>765</v>
      </c>
      <c r="J23" s="145" t="s">
        <v>204</v>
      </c>
      <c r="K23" s="145" t="s">
        <v>204</v>
      </c>
      <c r="L23" s="145" t="s">
        <v>314</v>
      </c>
      <c r="M23" s="145" t="s">
        <v>455</v>
      </c>
      <c r="N23" s="145" t="s">
        <v>339</v>
      </c>
      <c r="O23" s="145" t="s">
        <v>2800</v>
      </c>
      <c r="P23" s="145" t="s">
        <v>1210</v>
      </c>
      <c r="Q23" s="145" t="s">
        <v>884</v>
      </c>
      <c r="R23" s="145" t="s">
        <v>888</v>
      </c>
      <c r="S23" s="177">
        <v>45657</v>
      </c>
      <c r="T23" s="177">
        <v>45657</v>
      </c>
      <c r="U23" s="146">
        <v>416769.5</v>
      </c>
      <c r="V23" s="146">
        <v>1</v>
      </c>
      <c r="W23" s="146">
        <v>0</v>
      </c>
      <c r="X23" s="146">
        <v>0</v>
      </c>
      <c r="Y23" s="148">
        <v>0</v>
      </c>
      <c r="Z23" s="149">
        <v>0</v>
      </c>
      <c r="AA23" s="196"/>
    </row>
    <row r="24" spans="1:27" x14ac:dyDescent="0.2">
      <c r="A24" s="144" t="s">
        <v>1205</v>
      </c>
      <c r="B24" s="145" t="s">
        <v>1205</v>
      </c>
      <c r="C24" s="145" t="s">
        <v>2801</v>
      </c>
      <c r="D24" s="145" t="s">
        <v>2802</v>
      </c>
      <c r="E24" s="145" t="s">
        <v>309</v>
      </c>
      <c r="F24" s="145" t="s">
        <v>2803</v>
      </c>
      <c r="G24" s="145" t="s">
        <v>2804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485</v>
      </c>
      <c r="N24" s="145" t="s">
        <v>339</v>
      </c>
      <c r="O24" s="145" t="s">
        <v>2805</v>
      </c>
      <c r="P24" s="145" t="s">
        <v>1210</v>
      </c>
      <c r="Q24" s="145" t="s">
        <v>884</v>
      </c>
      <c r="R24" s="145" t="s">
        <v>888</v>
      </c>
      <c r="S24" s="177">
        <v>45657</v>
      </c>
      <c r="T24" s="177">
        <v>45657</v>
      </c>
      <c r="U24" s="146">
        <v>18</v>
      </c>
      <c r="V24" s="146">
        <v>1</v>
      </c>
      <c r="W24" s="146">
        <v>0</v>
      </c>
      <c r="X24" s="146">
        <v>0</v>
      </c>
      <c r="Y24" s="148">
        <v>0</v>
      </c>
      <c r="Z24" s="149">
        <v>0</v>
      </c>
      <c r="AA24" s="196"/>
    </row>
    <row r="25" spans="1:27" x14ac:dyDescent="0.2">
      <c r="A25" s="144" t="s">
        <v>1205</v>
      </c>
      <c r="B25" s="145" t="s">
        <v>1205</v>
      </c>
      <c r="C25" s="145" t="s">
        <v>2806</v>
      </c>
      <c r="D25" s="145" t="s">
        <v>2807</v>
      </c>
      <c r="E25" s="145" t="s">
        <v>314</v>
      </c>
      <c r="F25" s="145" t="s">
        <v>2808</v>
      </c>
      <c r="G25" s="145" t="s">
        <v>2809</v>
      </c>
      <c r="H25" s="145" t="s">
        <v>312</v>
      </c>
      <c r="I25" s="145" t="s">
        <v>765</v>
      </c>
      <c r="J25" s="145" t="s">
        <v>204</v>
      </c>
      <c r="K25" s="145" t="s">
        <v>204</v>
      </c>
      <c r="L25" s="145" t="s">
        <v>314</v>
      </c>
      <c r="M25" s="145" t="s">
        <v>455</v>
      </c>
      <c r="N25" s="145" t="s">
        <v>339</v>
      </c>
      <c r="O25" s="145" t="s">
        <v>2698</v>
      </c>
      <c r="P25" s="145" t="s">
        <v>1210</v>
      </c>
      <c r="Q25" s="145" t="s">
        <v>887</v>
      </c>
      <c r="R25" s="145" t="s">
        <v>889</v>
      </c>
      <c r="S25" s="177">
        <v>40069</v>
      </c>
      <c r="T25" s="177">
        <v>40069</v>
      </c>
      <c r="U25" s="146">
        <v>1797.76</v>
      </c>
      <c r="V25" s="146">
        <v>1</v>
      </c>
      <c r="W25" s="146">
        <v>1E-3</v>
      </c>
      <c r="X25" s="146">
        <v>0</v>
      </c>
      <c r="Y25" s="148">
        <v>0</v>
      </c>
      <c r="Z25" s="149">
        <v>0</v>
      </c>
      <c r="AA25" s="196"/>
    </row>
    <row r="26" spans="1:27" x14ac:dyDescent="0.2">
      <c r="A26" s="144" t="s">
        <v>1205</v>
      </c>
      <c r="B26" s="145" t="s">
        <v>1205</v>
      </c>
      <c r="C26" s="145" t="s">
        <v>2688</v>
      </c>
      <c r="D26" s="145" t="s">
        <v>2689</v>
      </c>
      <c r="E26" s="145" t="s">
        <v>309</v>
      </c>
      <c r="F26" s="145" t="s">
        <v>2810</v>
      </c>
      <c r="G26" s="145" t="s">
        <v>2811</v>
      </c>
      <c r="H26" s="145" t="s">
        <v>312</v>
      </c>
      <c r="I26" s="145" t="s">
        <v>765</v>
      </c>
      <c r="J26" s="145" t="s">
        <v>204</v>
      </c>
      <c r="K26" s="145" t="s">
        <v>204</v>
      </c>
      <c r="L26" s="145" t="s">
        <v>314</v>
      </c>
      <c r="M26" s="145" t="s">
        <v>451</v>
      </c>
      <c r="N26" s="145" t="s">
        <v>339</v>
      </c>
      <c r="O26" s="145" t="s">
        <v>2812</v>
      </c>
      <c r="P26" s="145" t="s">
        <v>1210</v>
      </c>
      <c r="Q26" s="145" t="s">
        <v>887</v>
      </c>
      <c r="R26" s="145" t="s">
        <v>889</v>
      </c>
      <c r="S26" s="177">
        <v>45657</v>
      </c>
      <c r="T26" s="177">
        <v>45657</v>
      </c>
      <c r="U26" s="146">
        <v>7585.61</v>
      </c>
      <c r="V26" s="146">
        <v>1</v>
      </c>
      <c r="W26" s="146">
        <v>0</v>
      </c>
      <c r="X26" s="146">
        <v>0</v>
      </c>
      <c r="Y26" s="151"/>
      <c r="Z26" s="178"/>
      <c r="AA26" s="196"/>
    </row>
    <row r="27" spans="1:27" x14ac:dyDescent="0.2">
      <c r="A27" s="144" t="s">
        <v>1205</v>
      </c>
      <c r="B27" s="145" t="s">
        <v>1205</v>
      </c>
      <c r="C27" s="145" t="s">
        <v>2319</v>
      </c>
      <c r="D27" s="145" t="s">
        <v>2320</v>
      </c>
      <c r="E27" s="145" t="s">
        <v>313</v>
      </c>
      <c r="F27" s="145" t="s">
        <v>2813</v>
      </c>
      <c r="G27" s="145" t="s">
        <v>2814</v>
      </c>
      <c r="H27" s="145" t="s">
        <v>312</v>
      </c>
      <c r="I27" s="145" t="s">
        <v>765</v>
      </c>
      <c r="J27" s="145" t="s">
        <v>205</v>
      </c>
      <c r="K27" s="145" t="s">
        <v>224</v>
      </c>
      <c r="L27" s="145" t="s">
        <v>314</v>
      </c>
      <c r="M27" s="145" t="s">
        <v>489</v>
      </c>
      <c r="N27" s="145" t="s">
        <v>339</v>
      </c>
      <c r="O27" s="145" t="s">
        <v>2815</v>
      </c>
      <c r="P27" s="145" t="s">
        <v>1211</v>
      </c>
      <c r="Q27" s="145" t="s">
        <v>887</v>
      </c>
      <c r="R27" s="145" t="s">
        <v>889</v>
      </c>
      <c r="S27" s="177">
        <v>45747</v>
      </c>
      <c r="T27" s="177">
        <v>45747</v>
      </c>
      <c r="U27" s="146">
        <v>13467</v>
      </c>
      <c r="V27" s="146">
        <v>3.718</v>
      </c>
      <c r="W27" s="146">
        <v>0.59</v>
      </c>
      <c r="X27" s="146">
        <v>29.541</v>
      </c>
      <c r="Y27" s="148">
        <v>5.0000000000000001E-4</v>
      </c>
      <c r="Z27" s="149">
        <v>3.0000000000000001E-5</v>
      </c>
      <c r="AA27" s="196"/>
    </row>
    <row r="28" spans="1:27" x14ac:dyDescent="0.2">
      <c r="A28" s="144" t="s">
        <v>1217</v>
      </c>
      <c r="B28" s="145" t="s">
        <v>1217</v>
      </c>
      <c r="C28" s="145" t="s">
        <v>2719</v>
      </c>
      <c r="D28" s="145" t="s">
        <v>1568</v>
      </c>
      <c r="E28" s="145" t="s">
        <v>309</v>
      </c>
      <c r="F28" s="145" t="s">
        <v>2720</v>
      </c>
      <c r="G28" s="145" t="s">
        <v>2721</v>
      </c>
      <c r="H28" s="145" t="s">
        <v>312</v>
      </c>
      <c r="I28" s="145" t="s">
        <v>765</v>
      </c>
      <c r="J28" s="145" t="s">
        <v>204</v>
      </c>
      <c r="K28" s="145" t="s">
        <v>204</v>
      </c>
      <c r="L28" s="145" t="s">
        <v>314</v>
      </c>
      <c r="M28" s="145" t="s">
        <v>455</v>
      </c>
      <c r="N28" s="145" t="s">
        <v>339</v>
      </c>
      <c r="O28" s="145" t="s">
        <v>2722</v>
      </c>
      <c r="P28" s="145" t="s">
        <v>1210</v>
      </c>
      <c r="Q28" s="145" t="s">
        <v>885</v>
      </c>
      <c r="R28" s="145" t="s">
        <v>889</v>
      </c>
      <c r="S28" s="177">
        <v>45719</v>
      </c>
      <c r="T28" s="177">
        <v>45719</v>
      </c>
      <c r="U28" s="146">
        <v>55337826.020000003</v>
      </c>
      <c r="V28" s="146">
        <v>1</v>
      </c>
      <c r="W28" s="146">
        <v>797.35900000000004</v>
      </c>
      <c r="X28" s="146">
        <v>441240.91499999998</v>
      </c>
      <c r="Y28" s="148">
        <v>0.29299999999999998</v>
      </c>
      <c r="Z28" s="149">
        <v>1.8149999999999999E-2</v>
      </c>
      <c r="AA28" s="196"/>
    </row>
    <row r="29" spans="1:27" x14ac:dyDescent="0.2">
      <c r="A29" s="144" t="s">
        <v>1217</v>
      </c>
      <c r="B29" s="145" t="s">
        <v>1217</v>
      </c>
      <c r="C29" s="145" t="s">
        <v>2723</v>
      </c>
      <c r="D29" s="145" t="s">
        <v>2724</v>
      </c>
      <c r="E29" s="145" t="s">
        <v>309</v>
      </c>
      <c r="F29" s="145" t="s">
        <v>2723</v>
      </c>
      <c r="G29" s="145" t="s">
        <v>2725</v>
      </c>
      <c r="H29" s="145" t="s">
        <v>312</v>
      </c>
      <c r="I29" s="145" t="s">
        <v>765</v>
      </c>
      <c r="J29" s="145" t="s">
        <v>204</v>
      </c>
      <c r="K29" s="145" t="s">
        <v>204</v>
      </c>
      <c r="L29" s="145" t="s">
        <v>314</v>
      </c>
      <c r="M29" s="145" t="s">
        <v>485</v>
      </c>
      <c r="N29" s="145" t="s">
        <v>339</v>
      </c>
      <c r="O29" s="145" t="s">
        <v>2726</v>
      </c>
      <c r="P29" s="145" t="s">
        <v>1210</v>
      </c>
      <c r="Q29" s="145" t="s">
        <v>885</v>
      </c>
      <c r="R29" s="145" t="s">
        <v>889</v>
      </c>
      <c r="S29" s="177">
        <v>45747</v>
      </c>
      <c r="T29" s="177">
        <v>45747</v>
      </c>
      <c r="U29" s="146">
        <v>286880932.60000002</v>
      </c>
      <c r="V29" s="146">
        <v>1</v>
      </c>
      <c r="W29" s="146">
        <v>128.44499999999999</v>
      </c>
      <c r="X29" s="146">
        <v>368483.06599999999</v>
      </c>
      <c r="Y29" s="148">
        <v>0.24468999999999999</v>
      </c>
      <c r="Z29" s="149">
        <v>1.516E-2</v>
      </c>
      <c r="AA29" s="196"/>
    </row>
    <row r="30" spans="1:27" x14ac:dyDescent="0.2">
      <c r="A30" s="144" t="s">
        <v>1217</v>
      </c>
      <c r="B30" s="145" t="s">
        <v>1217</v>
      </c>
      <c r="C30" s="145" t="s">
        <v>2727</v>
      </c>
      <c r="D30" s="145" t="s">
        <v>2728</v>
      </c>
      <c r="E30" s="145" t="s">
        <v>309</v>
      </c>
      <c r="F30" s="145" t="s">
        <v>2729</v>
      </c>
      <c r="G30" s="145" t="s">
        <v>2730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463</v>
      </c>
      <c r="N30" s="145" t="s">
        <v>339</v>
      </c>
      <c r="O30" s="145" t="s">
        <v>2731</v>
      </c>
      <c r="P30" s="145" t="s">
        <v>1210</v>
      </c>
      <c r="Q30" s="145" t="s">
        <v>885</v>
      </c>
      <c r="R30" s="145" t="s">
        <v>889</v>
      </c>
      <c r="S30" s="177">
        <v>45747</v>
      </c>
      <c r="T30" s="177">
        <v>45747</v>
      </c>
      <c r="U30" s="146">
        <v>71974415</v>
      </c>
      <c r="V30" s="146">
        <v>1</v>
      </c>
      <c r="W30" s="146">
        <v>336.72399999999999</v>
      </c>
      <c r="X30" s="146">
        <v>242354.769</v>
      </c>
      <c r="Y30" s="148">
        <v>0.16092999999999999</v>
      </c>
      <c r="Z30" s="149">
        <v>9.9699999999999997E-3</v>
      </c>
      <c r="AA30" s="196"/>
    </row>
    <row r="31" spans="1:27" x14ac:dyDescent="0.2">
      <c r="A31" s="144" t="s">
        <v>1217</v>
      </c>
      <c r="B31" s="145" t="s">
        <v>1217</v>
      </c>
      <c r="C31" s="145" t="s">
        <v>2732</v>
      </c>
      <c r="D31" s="145" t="s">
        <v>2733</v>
      </c>
      <c r="E31" s="145" t="s">
        <v>314</v>
      </c>
      <c r="F31" s="145" t="s">
        <v>2734</v>
      </c>
      <c r="G31" s="145" t="s">
        <v>2735</v>
      </c>
      <c r="H31" s="145" t="s">
        <v>312</v>
      </c>
      <c r="I31" s="145" t="s">
        <v>765</v>
      </c>
      <c r="J31" s="145" t="s">
        <v>204</v>
      </c>
      <c r="K31" s="145" t="s">
        <v>238</v>
      </c>
      <c r="L31" s="145" t="s">
        <v>314</v>
      </c>
      <c r="M31" s="145" t="s">
        <v>568</v>
      </c>
      <c r="N31" s="145" t="s">
        <v>339</v>
      </c>
      <c r="O31" s="145" t="s">
        <v>2736</v>
      </c>
      <c r="P31" s="145" t="s">
        <v>1212</v>
      </c>
      <c r="Q31" s="145" t="s">
        <v>885</v>
      </c>
      <c r="R31" s="145" t="s">
        <v>889</v>
      </c>
      <c r="S31" s="177">
        <v>45531</v>
      </c>
      <c r="T31" s="177">
        <v>45531</v>
      </c>
      <c r="U31" s="146">
        <v>21653144.16</v>
      </c>
      <c r="V31" s="146">
        <v>4.0220000000000002</v>
      </c>
      <c r="W31" s="146">
        <v>136.078</v>
      </c>
      <c r="X31" s="146">
        <v>118506.21</v>
      </c>
      <c r="Y31" s="148">
        <v>7.8689999999999996E-2</v>
      </c>
      <c r="Z31" s="149">
        <v>4.8799999999999998E-3</v>
      </c>
      <c r="AA31" s="196"/>
    </row>
    <row r="32" spans="1:27" x14ac:dyDescent="0.2">
      <c r="A32" s="144" t="s">
        <v>1217</v>
      </c>
      <c r="B32" s="145" t="s">
        <v>1217</v>
      </c>
      <c r="C32" s="145" t="s">
        <v>2737</v>
      </c>
      <c r="D32" s="145" t="s">
        <v>2738</v>
      </c>
      <c r="E32" s="145" t="s">
        <v>309</v>
      </c>
      <c r="F32" s="145" t="s">
        <v>2739</v>
      </c>
      <c r="G32" s="145" t="s">
        <v>2740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455</v>
      </c>
      <c r="N32" s="145" t="s">
        <v>339</v>
      </c>
      <c r="O32" s="145" t="s">
        <v>2741</v>
      </c>
      <c r="P32" s="145" t="s">
        <v>1211</v>
      </c>
      <c r="Q32" s="145" t="s">
        <v>885</v>
      </c>
      <c r="R32" s="145" t="s">
        <v>889</v>
      </c>
      <c r="S32" s="177">
        <v>45439</v>
      </c>
      <c r="T32" s="177">
        <v>45439</v>
      </c>
      <c r="U32" s="146">
        <v>1594386</v>
      </c>
      <c r="V32" s="146">
        <v>3.718</v>
      </c>
      <c r="W32" s="146">
        <v>8.1110000000000007</v>
      </c>
      <c r="X32" s="146">
        <v>48080.232000000004</v>
      </c>
      <c r="Y32" s="148">
        <v>3.193E-2</v>
      </c>
      <c r="Z32" s="149">
        <v>1.98E-3</v>
      </c>
      <c r="AA32" s="196"/>
    </row>
    <row r="33" spans="1:27" x14ac:dyDescent="0.2">
      <c r="A33" s="144" t="s">
        <v>1217</v>
      </c>
      <c r="B33" s="145" t="s">
        <v>1217</v>
      </c>
      <c r="C33" s="145" t="s">
        <v>2816</v>
      </c>
      <c r="D33" s="145" t="s">
        <v>2817</v>
      </c>
      <c r="E33" s="145" t="s">
        <v>309</v>
      </c>
      <c r="F33" s="145" t="s">
        <v>2818</v>
      </c>
      <c r="G33" s="145" t="s">
        <v>2819</v>
      </c>
      <c r="H33" s="145" t="s">
        <v>312</v>
      </c>
      <c r="I33" s="145" t="s">
        <v>765</v>
      </c>
      <c r="J33" s="145" t="s">
        <v>204</v>
      </c>
      <c r="K33" s="145" t="s">
        <v>204</v>
      </c>
      <c r="L33" s="145" t="s">
        <v>314</v>
      </c>
      <c r="M33" s="145" t="s">
        <v>477</v>
      </c>
      <c r="N33" s="145" t="s">
        <v>339</v>
      </c>
      <c r="O33" s="145" t="s">
        <v>2820</v>
      </c>
      <c r="P33" s="145" t="s">
        <v>1210</v>
      </c>
      <c r="Q33" s="145" t="s">
        <v>885</v>
      </c>
      <c r="R33" s="145" t="s">
        <v>889</v>
      </c>
      <c r="S33" s="177">
        <v>45727</v>
      </c>
      <c r="T33" s="177">
        <v>45727</v>
      </c>
      <c r="U33" s="146">
        <v>33552394</v>
      </c>
      <c r="V33" s="146">
        <v>1</v>
      </c>
      <c r="W33" s="146">
        <v>130.56700000000001</v>
      </c>
      <c r="X33" s="146">
        <v>43808.321000000004</v>
      </c>
      <c r="Y33" s="148">
        <v>2.9090000000000001E-2</v>
      </c>
      <c r="Z33" s="149">
        <v>1.8E-3</v>
      </c>
      <c r="AA33" s="196"/>
    </row>
    <row r="34" spans="1:27" x14ac:dyDescent="0.2">
      <c r="A34" s="144" t="s">
        <v>1217</v>
      </c>
      <c r="B34" s="145" t="s">
        <v>1217</v>
      </c>
      <c r="C34" s="145" t="s">
        <v>2742</v>
      </c>
      <c r="D34" s="145" t="s">
        <v>2743</v>
      </c>
      <c r="E34" s="145" t="s">
        <v>312</v>
      </c>
      <c r="F34" s="145" t="s">
        <v>2744</v>
      </c>
      <c r="G34" s="145" t="s">
        <v>2745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447</v>
      </c>
      <c r="N34" s="145" t="s">
        <v>339</v>
      </c>
      <c r="O34" s="145" t="s">
        <v>2746</v>
      </c>
      <c r="P34" s="145" t="s">
        <v>1210</v>
      </c>
      <c r="Q34" s="145" t="s">
        <v>885</v>
      </c>
      <c r="R34" s="145" t="s">
        <v>889</v>
      </c>
      <c r="S34" s="177">
        <v>45533</v>
      </c>
      <c r="T34" s="177">
        <v>45533</v>
      </c>
      <c r="U34" s="146">
        <v>40387752</v>
      </c>
      <c r="V34" s="146">
        <v>1</v>
      </c>
      <c r="W34" s="146">
        <v>99.158000000000001</v>
      </c>
      <c r="X34" s="146">
        <v>40047.525999999998</v>
      </c>
      <c r="Y34" s="148">
        <v>2.6589999999999999E-2</v>
      </c>
      <c r="Z34" s="149">
        <v>1.65E-3</v>
      </c>
      <c r="AA34" s="196"/>
    </row>
    <row r="35" spans="1:27" x14ac:dyDescent="0.2">
      <c r="A35" s="144" t="s">
        <v>1217</v>
      </c>
      <c r="B35" s="145" t="s">
        <v>1217</v>
      </c>
      <c r="C35" s="145" t="s">
        <v>2816</v>
      </c>
      <c r="D35" s="145" t="s">
        <v>2817</v>
      </c>
      <c r="E35" s="145" t="s">
        <v>309</v>
      </c>
      <c r="F35" s="145" t="s">
        <v>2821</v>
      </c>
      <c r="G35" s="145" t="s">
        <v>2822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477</v>
      </c>
      <c r="N35" s="145" t="s">
        <v>339</v>
      </c>
      <c r="O35" s="145" t="s">
        <v>2823</v>
      </c>
      <c r="P35" s="145" t="s">
        <v>1210</v>
      </c>
      <c r="Q35" s="145" t="s">
        <v>885</v>
      </c>
      <c r="R35" s="145" t="s">
        <v>889</v>
      </c>
      <c r="S35" s="177">
        <v>45727</v>
      </c>
      <c r="T35" s="177">
        <v>45727</v>
      </c>
      <c r="U35" s="146">
        <v>30034970</v>
      </c>
      <c r="V35" s="146">
        <v>1</v>
      </c>
      <c r="W35" s="146">
        <v>127.741</v>
      </c>
      <c r="X35" s="146">
        <v>38366.881000000001</v>
      </c>
      <c r="Y35" s="148">
        <v>2.5479999999999999E-2</v>
      </c>
      <c r="Z35" s="149">
        <v>1.58E-3</v>
      </c>
      <c r="AA35" s="196"/>
    </row>
    <row r="36" spans="1:27" x14ac:dyDescent="0.2">
      <c r="A36" s="144" t="s">
        <v>1217</v>
      </c>
      <c r="B36" s="145" t="s">
        <v>1217</v>
      </c>
      <c r="C36" s="145" t="s">
        <v>2824</v>
      </c>
      <c r="D36" s="145" t="s">
        <v>2825</v>
      </c>
      <c r="E36" s="145" t="s">
        <v>309</v>
      </c>
      <c r="F36" s="145" t="s">
        <v>2826</v>
      </c>
      <c r="G36" s="145" t="s">
        <v>2827</v>
      </c>
      <c r="H36" s="145" t="s">
        <v>312</v>
      </c>
      <c r="I36" s="145" t="s">
        <v>765</v>
      </c>
      <c r="J36" s="145" t="s">
        <v>204</v>
      </c>
      <c r="K36" s="145" t="s">
        <v>204</v>
      </c>
      <c r="L36" s="145" t="s">
        <v>314</v>
      </c>
      <c r="M36" s="145" t="s">
        <v>485</v>
      </c>
      <c r="N36" s="145" t="s">
        <v>339</v>
      </c>
      <c r="O36" s="145" t="s">
        <v>2828</v>
      </c>
      <c r="P36" s="145" t="s">
        <v>1210</v>
      </c>
      <c r="Q36" s="145" t="s">
        <v>885</v>
      </c>
      <c r="R36" s="145" t="s">
        <v>889</v>
      </c>
      <c r="S36" s="177">
        <v>45719</v>
      </c>
      <c r="T36" s="177">
        <v>45719</v>
      </c>
      <c r="U36" s="146">
        <v>27243693</v>
      </c>
      <c r="V36" s="146">
        <v>1</v>
      </c>
      <c r="W36" s="146">
        <v>115.38</v>
      </c>
      <c r="X36" s="146">
        <v>31433.664000000001</v>
      </c>
      <c r="Y36" s="148">
        <v>2.087E-2</v>
      </c>
      <c r="Z36" s="149">
        <v>1.2899999999999999E-3</v>
      </c>
      <c r="AA36" s="196"/>
    </row>
    <row r="37" spans="1:27" x14ac:dyDescent="0.2">
      <c r="A37" s="144" t="s">
        <v>1217</v>
      </c>
      <c r="B37" s="145" t="s">
        <v>1217</v>
      </c>
      <c r="C37" s="145" t="s">
        <v>2747</v>
      </c>
      <c r="D37" s="145" t="s">
        <v>2748</v>
      </c>
      <c r="E37" s="145" t="s">
        <v>309</v>
      </c>
      <c r="F37" s="145" t="s">
        <v>2749</v>
      </c>
      <c r="G37" s="145" t="s">
        <v>2750</v>
      </c>
      <c r="H37" s="145" t="s">
        <v>312</v>
      </c>
      <c r="I37" s="145" t="s">
        <v>765</v>
      </c>
      <c r="J37" s="145" t="s">
        <v>204</v>
      </c>
      <c r="K37" s="145" t="s">
        <v>224</v>
      </c>
      <c r="L37" s="145" t="s">
        <v>314</v>
      </c>
      <c r="M37" s="145" t="s">
        <v>444</v>
      </c>
      <c r="N37" s="145" t="s">
        <v>339</v>
      </c>
      <c r="O37" s="145" t="s">
        <v>2751</v>
      </c>
      <c r="P37" s="145" t="s">
        <v>1211</v>
      </c>
      <c r="Q37" s="145" t="s">
        <v>885</v>
      </c>
      <c r="R37" s="145" t="s">
        <v>889</v>
      </c>
      <c r="S37" s="177">
        <v>45727</v>
      </c>
      <c r="T37" s="177">
        <v>45727</v>
      </c>
      <c r="U37" s="146">
        <v>6310793.9900000002</v>
      </c>
      <c r="V37" s="146">
        <v>3.718</v>
      </c>
      <c r="W37" s="146">
        <v>100</v>
      </c>
      <c r="X37" s="146">
        <v>23463.531999999999</v>
      </c>
      <c r="Y37" s="148">
        <v>1.558E-2</v>
      </c>
      <c r="Z37" s="149">
        <v>9.7000000000000005E-4</v>
      </c>
      <c r="AA37" s="196"/>
    </row>
    <row r="38" spans="1:27" x14ac:dyDescent="0.2">
      <c r="A38" s="144" t="s">
        <v>1217</v>
      </c>
      <c r="B38" s="145" t="s">
        <v>1217</v>
      </c>
      <c r="C38" s="145" t="s">
        <v>2727</v>
      </c>
      <c r="D38" s="145" t="s">
        <v>2728</v>
      </c>
      <c r="E38" s="145" t="s">
        <v>309</v>
      </c>
      <c r="F38" s="145" t="s">
        <v>2757</v>
      </c>
      <c r="G38" s="145" t="s">
        <v>2758</v>
      </c>
      <c r="H38" s="145" t="s">
        <v>312</v>
      </c>
      <c r="I38" s="145" t="s">
        <v>765</v>
      </c>
      <c r="J38" s="145" t="s">
        <v>204</v>
      </c>
      <c r="K38" s="145" t="s">
        <v>204</v>
      </c>
      <c r="L38" s="145" t="s">
        <v>314</v>
      </c>
      <c r="M38" s="145" t="s">
        <v>463</v>
      </c>
      <c r="N38" s="145" t="s">
        <v>339</v>
      </c>
      <c r="O38" s="145" t="s">
        <v>2759</v>
      </c>
      <c r="P38" s="145" t="s">
        <v>1210</v>
      </c>
      <c r="Q38" s="145" t="s">
        <v>885</v>
      </c>
      <c r="R38" s="145" t="s">
        <v>889</v>
      </c>
      <c r="S38" s="177">
        <v>45747</v>
      </c>
      <c r="T38" s="177">
        <v>45747</v>
      </c>
      <c r="U38" s="146">
        <v>15999048.359999999</v>
      </c>
      <c r="V38" s="146">
        <v>1</v>
      </c>
      <c r="W38" s="146">
        <v>142.346</v>
      </c>
      <c r="X38" s="146">
        <v>22774.069</v>
      </c>
      <c r="Y38" s="148">
        <v>1.512E-2</v>
      </c>
      <c r="Z38" s="149">
        <v>9.3999999999999997E-4</v>
      </c>
      <c r="AA38" s="196"/>
    </row>
    <row r="39" spans="1:27" x14ac:dyDescent="0.2">
      <c r="A39" s="144" t="s">
        <v>1217</v>
      </c>
      <c r="B39" s="145" t="s">
        <v>1217</v>
      </c>
      <c r="C39" s="145" t="s">
        <v>2752</v>
      </c>
      <c r="D39" s="145" t="s">
        <v>2753</v>
      </c>
      <c r="E39" s="145" t="s">
        <v>314</v>
      </c>
      <c r="F39" s="145" t="s">
        <v>2754</v>
      </c>
      <c r="G39" s="145" t="s">
        <v>2755</v>
      </c>
      <c r="H39" s="145" t="s">
        <v>312</v>
      </c>
      <c r="I39" s="145" t="s">
        <v>765</v>
      </c>
      <c r="J39" s="145" t="s">
        <v>204</v>
      </c>
      <c r="K39" s="145" t="s">
        <v>296</v>
      </c>
      <c r="L39" s="145" t="s">
        <v>314</v>
      </c>
      <c r="M39" s="145" t="s">
        <v>546</v>
      </c>
      <c r="N39" s="145" t="s">
        <v>339</v>
      </c>
      <c r="O39" s="145" t="s">
        <v>2756</v>
      </c>
      <c r="P39" s="145" t="s">
        <v>1211</v>
      </c>
      <c r="Q39" s="145" t="s">
        <v>885</v>
      </c>
      <c r="R39" s="145" t="s">
        <v>889</v>
      </c>
      <c r="S39" s="177">
        <v>45729</v>
      </c>
      <c r="T39" s="177">
        <v>45729</v>
      </c>
      <c r="U39" s="146">
        <v>1960736.77</v>
      </c>
      <c r="V39" s="146">
        <v>3.718</v>
      </c>
      <c r="W39" s="146">
        <v>310.35000000000002</v>
      </c>
      <c r="X39" s="146">
        <v>22624.603999999999</v>
      </c>
      <c r="Y39" s="148">
        <v>1.502E-2</v>
      </c>
      <c r="Z39" s="149">
        <v>9.3000000000000005E-4</v>
      </c>
      <c r="AA39" s="196"/>
    </row>
    <row r="40" spans="1:27" x14ac:dyDescent="0.2">
      <c r="A40" s="144" t="s">
        <v>1217</v>
      </c>
      <c r="B40" s="145" t="s">
        <v>1217</v>
      </c>
      <c r="C40" s="145" t="s">
        <v>2760</v>
      </c>
      <c r="D40" s="145" t="s">
        <v>2761</v>
      </c>
      <c r="E40" s="145" t="s">
        <v>314</v>
      </c>
      <c r="F40" s="145" t="s">
        <v>2760</v>
      </c>
      <c r="G40" s="145" t="s">
        <v>2762</v>
      </c>
      <c r="H40" s="145" t="s">
        <v>312</v>
      </c>
      <c r="I40" s="145" t="s">
        <v>765</v>
      </c>
      <c r="J40" s="145" t="s">
        <v>204</v>
      </c>
      <c r="K40" s="145" t="s">
        <v>204</v>
      </c>
      <c r="L40" s="145" t="s">
        <v>314</v>
      </c>
      <c r="M40" s="145" t="s">
        <v>485</v>
      </c>
      <c r="N40" s="145" t="s">
        <v>339</v>
      </c>
      <c r="O40" s="145" t="s">
        <v>2763</v>
      </c>
      <c r="P40" s="145" t="s">
        <v>1210</v>
      </c>
      <c r="Q40" s="145" t="s">
        <v>885</v>
      </c>
      <c r="R40" s="145" t="s">
        <v>889</v>
      </c>
      <c r="S40" s="177">
        <v>45714</v>
      </c>
      <c r="T40" s="177">
        <v>45714</v>
      </c>
      <c r="U40" s="146">
        <v>21868771</v>
      </c>
      <c r="V40" s="146">
        <v>1</v>
      </c>
      <c r="W40" s="146">
        <v>87.852000000000004</v>
      </c>
      <c r="X40" s="146">
        <v>19212.240000000002</v>
      </c>
      <c r="Y40" s="148">
        <v>1.2760000000000001E-2</v>
      </c>
      <c r="Z40" s="149">
        <v>7.9000000000000001E-4</v>
      </c>
      <c r="AA40" s="196"/>
    </row>
    <row r="41" spans="1:27" x14ac:dyDescent="0.2">
      <c r="A41" s="144" t="s">
        <v>1217</v>
      </c>
      <c r="B41" s="145" t="s">
        <v>1217</v>
      </c>
      <c r="C41" s="145" t="s">
        <v>2764</v>
      </c>
      <c r="D41" s="145" t="s">
        <v>2765</v>
      </c>
      <c r="E41" s="145" t="s">
        <v>314</v>
      </c>
      <c r="F41" s="145" t="s">
        <v>2764</v>
      </c>
      <c r="G41" s="145" t="s">
        <v>2766</v>
      </c>
      <c r="H41" s="145" t="s">
        <v>312</v>
      </c>
      <c r="I41" s="145" t="s">
        <v>765</v>
      </c>
      <c r="J41" s="145" t="s">
        <v>204</v>
      </c>
      <c r="K41" s="145" t="s">
        <v>224</v>
      </c>
      <c r="L41" s="145" t="s">
        <v>314</v>
      </c>
      <c r="M41" s="145" t="s">
        <v>533</v>
      </c>
      <c r="N41" s="145" t="s">
        <v>339</v>
      </c>
      <c r="O41" s="145" t="s">
        <v>2767</v>
      </c>
      <c r="P41" s="145" t="s">
        <v>1211</v>
      </c>
      <c r="Q41" s="145" t="s">
        <v>885</v>
      </c>
      <c r="R41" s="145" t="s">
        <v>889</v>
      </c>
      <c r="S41" s="177">
        <v>45699</v>
      </c>
      <c r="T41" s="177">
        <v>45699</v>
      </c>
      <c r="U41" s="146">
        <v>162952.67000000001</v>
      </c>
      <c r="V41" s="146">
        <v>3.718</v>
      </c>
      <c r="W41" s="146">
        <v>27.35</v>
      </c>
      <c r="X41" s="146">
        <v>16570.096000000001</v>
      </c>
      <c r="Y41" s="148">
        <v>1.0999999999999999E-2</v>
      </c>
      <c r="Z41" s="149">
        <v>6.8000000000000005E-4</v>
      </c>
      <c r="AA41" s="196"/>
    </row>
    <row r="42" spans="1:27" x14ac:dyDescent="0.2">
      <c r="A42" s="144" t="s">
        <v>1217</v>
      </c>
      <c r="B42" s="145" t="s">
        <v>1217</v>
      </c>
      <c r="C42" s="145" t="s">
        <v>2768</v>
      </c>
      <c r="D42" s="145" t="s">
        <v>2769</v>
      </c>
      <c r="E42" s="145" t="s">
        <v>314</v>
      </c>
      <c r="F42" s="145" t="s">
        <v>2770</v>
      </c>
      <c r="G42" s="145" t="s">
        <v>2771</v>
      </c>
      <c r="H42" s="145" t="s">
        <v>312</v>
      </c>
      <c r="I42" s="145" t="s">
        <v>765</v>
      </c>
      <c r="J42" s="145" t="s">
        <v>204</v>
      </c>
      <c r="K42" s="145" t="s">
        <v>204</v>
      </c>
      <c r="L42" s="145" t="s">
        <v>314</v>
      </c>
      <c r="M42" s="145" t="s">
        <v>444</v>
      </c>
      <c r="N42" s="145" t="s">
        <v>339</v>
      </c>
      <c r="O42" s="145" t="s">
        <v>2772</v>
      </c>
      <c r="P42" s="145" t="s">
        <v>1211</v>
      </c>
      <c r="Q42" s="145" t="s">
        <v>885</v>
      </c>
      <c r="R42" s="145" t="s">
        <v>889</v>
      </c>
      <c r="S42" s="177">
        <v>45250</v>
      </c>
      <c r="T42" s="177">
        <v>45250</v>
      </c>
      <c r="U42" s="146">
        <v>6791.77</v>
      </c>
      <c r="V42" s="146">
        <v>3.718</v>
      </c>
      <c r="W42" s="146">
        <v>359.5</v>
      </c>
      <c r="X42" s="146">
        <v>9078.0220000000008</v>
      </c>
      <c r="Y42" s="148">
        <v>6.0299999999999998E-3</v>
      </c>
      <c r="Z42" s="149">
        <v>3.6999999999999999E-4</v>
      </c>
      <c r="AA42" s="196"/>
    </row>
    <row r="43" spans="1:27" x14ac:dyDescent="0.2">
      <c r="A43" s="144" t="s">
        <v>1217</v>
      </c>
      <c r="B43" s="145" t="s">
        <v>1217</v>
      </c>
      <c r="C43" s="145" t="s">
        <v>2768</v>
      </c>
      <c r="D43" s="145" t="s">
        <v>2769</v>
      </c>
      <c r="E43" s="145" t="s">
        <v>314</v>
      </c>
      <c r="F43" s="145" t="s">
        <v>2773</v>
      </c>
      <c r="G43" s="145" t="s">
        <v>2774</v>
      </c>
      <c r="H43" s="145" t="s">
        <v>312</v>
      </c>
      <c r="I43" s="145" t="s">
        <v>765</v>
      </c>
      <c r="J43" s="145" t="s">
        <v>204</v>
      </c>
      <c r="K43" s="145" t="s">
        <v>204</v>
      </c>
      <c r="L43" s="145" t="s">
        <v>314</v>
      </c>
      <c r="M43" s="145" t="s">
        <v>444</v>
      </c>
      <c r="N43" s="145" t="s">
        <v>339</v>
      </c>
      <c r="O43" s="145" t="s">
        <v>2775</v>
      </c>
      <c r="P43" s="145" t="s">
        <v>1211</v>
      </c>
      <c r="Q43" s="145" t="s">
        <v>885</v>
      </c>
      <c r="R43" s="145" t="s">
        <v>889</v>
      </c>
      <c r="S43" s="177">
        <v>45250</v>
      </c>
      <c r="T43" s="177">
        <v>45250</v>
      </c>
      <c r="U43" s="146">
        <v>5396.59</v>
      </c>
      <c r="V43" s="146">
        <v>3.718</v>
      </c>
      <c r="W43" s="146">
        <v>38650</v>
      </c>
      <c r="X43" s="146">
        <v>7754.9380000000001</v>
      </c>
      <c r="Y43" s="148">
        <v>5.1500000000000001E-3</v>
      </c>
      <c r="Z43" s="149">
        <v>3.2000000000000003E-4</v>
      </c>
      <c r="AA43" s="196"/>
    </row>
    <row r="44" spans="1:27" x14ac:dyDescent="0.2">
      <c r="A44" s="144" t="s">
        <v>1217</v>
      </c>
      <c r="B44" s="145" t="s">
        <v>1217</v>
      </c>
      <c r="C44" s="145" t="s">
        <v>2776</v>
      </c>
      <c r="D44" s="145" t="s">
        <v>2777</v>
      </c>
      <c r="E44" s="145" t="s">
        <v>314</v>
      </c>
      <c r="F44" s="145" t="s">
        <v>2778</v>
      </c>
      <c r="G44" s="145" t="s">
        <v>2779</v>
      </c>
      <c r="H44" s="145" t="s">
        <v>312</v>
      </c>
      <c r="I44" s="145" t="s">
        <v>765</v>
      </c>
      <c r="J44" s="145" t="s">
        <v>204</v>
      </c>
      <c r="K44" s="145" t="s">
        <v>224</v>
      </c>
      <c r="L44" s="145" t="s">
        <v>314</v>
      </c>
      <c r="M44" s="145" t="s">
        <v>546</v>
      </c>
      <c r="N44" s="145" t="s">
        <v>339</v>
      </c>
      <c r="O44" s="145" t="s">
        <v>2780</v>
      </c>
      <c r="P44" s="145" t="s">
        <v>1211</v>
      </c>
      <c r="Q44" s="145" t="s">
        <v>885</v>
      </c>
      <c r="R44" s="145" t="s">
        <v>889</v>
      </c>
      <c r="S44" s="177">
        <v>45439</v>
      </c>
      <c r="T44" s="177">
        <v>45439</v>
      </c>
      <c r="U44" s="146">
        <v>388585</v>
      </c>
      <c r="V44" s="146">
        <v>3.718</v>
      </c>
      <c r="W44" s="146">
        <v>420</v>
      </c>
      <c r="X44" s="146">
        <v>6067.9880000000003</v>
      </c>
      <c r="Y44" s="148">
        <v>4.0299999999999997E-3</v>
      </c>
      <c r="Z44" s="149">
        <v>2.5000000000000001E-4</v>
      </c>
      <c r="AA44" s="196"/>
    </row>
    <row r="45" spans="1:27" x14ac:dyDescent="0.2">
      <c r="A45" s="144" t="s">
        <v>1217</v>
      </c>
      <c r="B45" s="145" t="s">
        <v>1217</v>
      </c>
      <c r="C45" s="145" t="s">
        <v>1994</v>
      </c>
      <c r="D45" s="145" t="s">
        <v>1995</v>
      </c>
      <c r="E45" s="145" t="s">
        <v>309</v>
      </c>
      <c r="F45" s="145" t="s">
        <v>2781</v>
      </c>
      <c r="G45" s="145" t="s">
        <v>2782</v>
      </c>
      <c r="H45" s="145" t="s">
        <v>312</v>
      </c>
      <c r="I45" s="145" t="s">
        <v>765</v>
      </c>
      <c r="J45" s="145" t="s">
        <v>204</v>
      </c>
      <c r="K45" s="145" t="s">
        <v>204</v>
      </c>
      <c r="L45" s="145" t="s">
        <v>314</v>
      </c>
      <c r="M45" s="145" t="s">
        <v>451</v>
      </c>
      <c r="N45" s="145" t="s">
        <v>339</v>
      </c>
      <c r="O45" s="145" t="s">
        <v>2783</v>
      </c>
      <c r="P45" s="145" t="s">
        <v>1210</v>
      </c>
      <c r="Q45" s="145" t="s">
        <v>885</v>
      </c>
      <c r="R45" s="145" t="s">
        <v>889</v>
      </c>
      <c r="S45" s="177">
        <v>45707</v>
      </c>
      <c r="T45" s="177">
        <v>45707</v>
      </c>
      <c r="U45" s="146">
        <v>89873</v>
      </c>
      <c r="V45" s="146">
        <v>1</v>
      </c>
      <c r="W45" s="146">
        <v>2533.5259999999998</v>
      </c>
      <c r="X45" s="146">
        <v>2276.9560000000001</v>
      </c>
      <c r="Y45" s="148">
        <v>1.5100000000000001E-3</v>
      </c>
      <c r="Z45" s="149">
        <v>9.0000000000000006E-5</v>
      </c>
      <c r="AA45" s="196"/>
    </row>
    <row r="46" spans="1:27" x14ac:dyDescent="0.2">
      <c r="A46" s="144" t="s">
        <v>1217</v>
      </c>
      <c r="B46" s="145" t="s">
        <v>1217</v>
      </c>
      <c r="C46" s="145" t="s">
        <v>2768</v>
      </c>
      <c r="D46" s="145" t="s">
        <v>2769</v>
      </c>
      <c r="E46" s="145" t="s">
        <v>314</v>
      </c>
      <c r="F46" s="145" t="s">
        <v>2784</v>
      </c>
      <c r="G46" s="145" t="s">
        <v>2785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444</v>
      </c>
      <c r="N46" s="145" t="s">
        <v>339</v>
      </c>
      <c r="O46" s="145" t="s">
        <v>2786</v>
      </c>
      <c r="P46" s="145" t="s">
        <v>1211</v>
      </c>
      <c r="Q46" s="145" t="s">
        <v>885</v>
      </c>
      <c r="R46" s="145" t="s">
        <v>889</v>
      </c>
      <c r="S46" s="177">
        <v>45250</v>
      </c>
      <c r="T46" s="177">
        <v>45250</v>
      </c>
      <c r="U46" s="146">
        <v>1547</v>
      </c>
      <c r="V46" s="146">
        <v>3.718</v>
      </c>
      <c r="W46" s="146">
        <v>363</v>
      </c>
      <c r="X46" s="146">
        <v>2087.884</v>
      </c>
      <c r="Y46" s="148">
        <v>1.39E-3</v>
      </c>
      <c r="Z46" s="149">
        <v>9.0000000000000006E-5</v>
      </c>
      <c r="AA46" s="196"/>
    </row>
    <row r="47" spans="1:27" x14ac:dyDescent="0.2">
      <c r="A47" s="144" t="s">
        <v>1217</v>
      </c>
      <c r="B47" s="145" t="s">
        <v>1217</v>
      </c>
      <c r="C47" s="145" t="s">
        <v>2787</v>
      </c>
      <c r="D47" s="145" t="s">
        <v>2788</v>
      </c>
      <c r="E47" s="145" t="s">
        <v>309</v>
      </c>
      <c r="F47" s="145" t="s">
        <v>2787</v>
      </c>
      <c r="G47" s="145" t="s">
        <v>2789</v>
      </c>
      <c r="H47" s="145" t="s">
        <v>312</v>
      </c>
      <c r="I47" s="145" t="s">
        <v>765</v>
      </c>
      <c r="J47" s="145" t="s">
        <v>204</v>
      </c>
      <c r="K47" s="145" t="s">
        <v>296</v>
      </c>
      <c r="L47" s="145" t="s">
        <v>314</v>
      </c>
      <c r="M47" s="145" t="s">
        <v>449</v>
      </c>
      <c r="N47" s="145" t="s">
        <v>339</v>
      </c>
      <c r="O47" s="145" t="s">
        <v>2790</v>
      </c>
      <c r="P47" s="145" t="s">
        <v>1211</v>
      </c>
      <c r="Q47" s="145" t="s">
        <v>885</v>
      </c>
      <c r="R47" s="145" t="s">
        <v>889</v>
      </c>
      <c r="S47" s="177">
        <v>45565</v>
      </c>
      <c r="T47" s="177">
        <v>45565</v>
      </c>
      <c r="U47" s="146">
        <v>2259600</v>
      </c>
      <c r="V47" s="146">
        <v>3.718</v>
      </c>
      <c r="W47" s="146">
        <v>12.5</v>
      </c>
      <c r="X47" s="146">
        <v>1050.1489999999999</v>
      </c>
      <c r="Y47" s="148">
        <v>6.9999999999999999E-4</v>
      </c>
      <c r="Z47" s="149">
        <v>4.0000000000000003E-5</v>
      </c>
      <c r="AA47" s="196"/>
    </row>
    <row r="48" spans="1:27" x14ac:dyDescent="0.2">
      <c r="A48" s="144" t="s">
        <v>1217</v>
      </c>
      <c r="B48" s="145" t="s">
        <v>1217</v>
      </c>
      <c r="C48" s="145" t="s">
        <v>2791</v>
      </c>
      <c r="D48" s="145" t="s">
        <v>2792</v>
      </c>
      <c r="E48" s="145" t="s">
        <v>309</v>
      </c>
      <c r="F48" s="145" t="s">
        <v>2793</v>
      </c>
      <c r="G48" s="145" t="s">
        <v>2794</v>
      </c>
      <c r="H48" s="145" t="s">
        <v>312</v>
      </c>
      <c r="I48" s="145" t="s">
        <v>765</v>
      </c>
      <c r="J48" s="145" t="s">
        <v>204</v>
      </c>
      <c r="K48" s="145" t="s">
        <v>204</v>
      </c>
      <c r="L48" s="145" t="s">
        <v>314</v>
      </c>
      <c r="M48" s="145" t="s">
        <v>449</v>
      </c>
      <c r="N48" s="145" t="s">
        <v>339</v>
      </c>
      <c r="O48" s="145" t="s">
        <v>2746</v>
      </c>
      <c r="P48" s="145" t="s">
        <v>1211</v>
      </c>
      <c r="Q48" s="145" t="s">
        <v>884</v>
      </c>
      <c r="R48" s="145" t="s">
        <v>888</v>
      </c>
      <c r="S48" s="177">
        <v>45657</v>
      </c>
      <c r="T48" s="177">
        <v>45657</v>
      </c>
      <c r="U48" s="146">
        <v>2906786</v>
      </c>
      <c r="V48" s="146">
        <v>3.718</v>
      </c>
      <c r="W48" s="146">
        <v>0</v>
      </c>
      <c r="X48" s="146">
        <v>1.0999999999999999E-2</v>
      </c>
      <c r="Y48" s="148">
        <v>0</v>
      </c>
      <c r="Z48" s="149">
        <v>0</v>
      </c>
      <c r="AA48" s="196"/>
    </row>
    <row r="49" spans="1:27" x14ac:dyDescent="0.2">
      <c r="A49" s="144" t="s">
        <v>1217</v>
      </c>
      <c r="B49" s="145" t="s">
        <v>1217</v>
      </c>
      <c r="C49" s="145" t="s">
        <v>2737</v>
      </c>
      <c r="D49" s="145" t="s">
        <v>2738</v>
      </c>
      <c r="E49" s="145" t="s">
        <v>309</v>
      </c>
      <c r="F49" s="145" t="s">
        <v>2795</v>
      </c>
      <c r="G49" s="145" t="s">
        <v>2796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455</v>
      </c>
      <c r="N49" s="145" t="s">
        <v>339</v>
      </c>
      <c r="O49" s="145" t="s">
        <v>2797</v>
      </c>
      <c r="P49" s="145" t="s">
        <v>1211</v>
      </c>
      <c r="Q49" s="145" t="s">
        <v>887</v>
      </c>
      <c r="R49" s="145" t="s">
        <v>889</v>
      </c>
      <c r="S49" s="177">
        <v>45657</v>
      </c>
      <c r="T49" s="177">
        <v>45657</v>
      </c>
      <c r="U49" s="146">
        <v>1594386</v>
      </c>
      <c r="V49" s="146">
        <v>3.718</v>
      </c>
      <c r="W49" s="146">
        <v>0</v>
      </c>
      <c r="X49" s="146">
        <v>6.0000000000000001E-3</v>
      </c>
      <c r="Y49" s="148">
        <v>0</v>
      </c>
      <c r="Z49" s="149">
        <v>0</v>
      </c>
      <c r="AA49" s="196"/>
    </row>
    <row r="50" spans="1:27" x14ac:dyDescent="0.2">
      <c r="A50" s="144" t="s">
        <v>1217</v>
      </c>
      <c r="B50" s="145" t="s">
        <v>1217</v>
      </c>
      <c r="C50" s="145" t="s">
        <v>2719</v>
      </c>
      <c r="D50" s="145" t="s">
        <v>1568</v>
      </c>
      <c r="E50" s="145" t="s">
        <v>309</v>
      </c>
      <c r="F50" s="145" t="s">
        <v>2798</v>
      </c>
      <c r="G50" s="145" t="s">
        <v>2799</v>
      </c>
      <c r="H50" s="145" t="s">
        <v>312</v>
      </c>
      <c r="I50" s="145" t="s">
        <v>765</v>
      </c>
      <c r="J50" s="145" t="s">
        <v>204</v>
      </c>
      <c r="K50" s="145" t="s">
        <v>204</v>
      </c>
      <c r="L50" s="145" t="s">
        <v>314</v>
      </c>
      <c r="M50" s="145" t="s">
        <v>455</v>
      </c>
      <c r="N50" s="145" t="s">
        <v>339</v>
      </c>
      <c r="O50" s="145" t="s">
        <v>2800</v>
      </c>
      <c r="P50" s="145" t="s">
        <v>1210</v>
      </c>
      <c r="Q50" s="145" t="s">
        <v>884</v>
      </c>
      <c r="R50" s="145" t="s">
        <v>888</v>
      </c>
      <c r="S50" s="177">
        <v>45657</v>
      </c>
      <c r="T50" s="177">
        <v>45657</v>
      </c>
      <c r="U50" s="146">
        <v>10301776.810000001</v>
      </c>
      <c r="V50" s="146">
        <v>1</v>
      </c>
      <c r="W50" s="146">
        <v>0</v>
      </c>
      <c r="X50" s="146">
        <v>1E-3</v>
      </c>
      <c r="Y50" s="148">
        <v>0</v>
      </c>
      <c r="Z50" s="149">
        <v>0</v>
      </c>
      <c r="AA50" s="196"/>
    </row>
    <row r="51" spans="1:27" x14ac:dyDescent="0.2">
      <c r="A51" s="144" t="s">
        <v>1217</v>
      </c>
      <c r="B51" s="145" t="s">
        <v>1217</v>
      </c>
      <c r="C51" s="145" t="s">
        <v>2801</v>
      </c>
      <c r="D51" s="145" t="s">
        <v>2802</v>
      </c>
      <c r="E51" s="145" t="s">
        <v>309</v>
      </c>
      <c r="F51" s="145" t="s">
        <v>2803</v>
      </c>
      <c r="G51" s="145" t="s">
        <v>2804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485</v>
      </c>
      <c r="N51" s="145" t="s">
        <v>339</v>
      </c>
      <c r="O51" s="145" t="s">
        <v>2805</v>
      </c>
      <c r="P51" s="145" t="s">
        <v>1210</v>
      </c>
      <c r="Q51" s="145" t="s">
        <v>884</v>
      </c>
      <c r="R51" s="145" t="s">
        <v>888</v>
      </c>
      <c r="S51" s="177">
        <v>45657</v>
      </c>
      <c r="T51" s="177">
        <v>45657</v>
      </c>
      <c r="U51" s="146">
        <v>446</v>
      </c>
      <c r="V51" s="146">
        <v>1</v>
      </c>
      <c r="W51" s="146">
        <v>0</v>
      </c>
      <c r="X51" s="146">
        <v>0</v>
      </c>
      <c r="Y51" s="148">
        <v>0</v>
      </c>
      <c r="Z51" s="149">
        <v>0</v>
      </c>
      <c r="AA51" s="196"/>
    </row>
    <row r="52" spans="1:27" x14ac:dyDescent="0.2">
      <c r="A52" s="144" t="s">
        <v>1217</v>
      </c>
      <c r="B52" s="145" t="s">
        <v>1217</v>
      </c>
      <c r="C52" s="145" t="s">
        <v>2806</v>
      </c>
      <c r="D52" s="145" t="s">
        <v>2807</v>
      </c>
      <c r="E52" s="145" t="s">
        <v>314</v>
      </c>
      <c r="F52" s="145" t="s">
        <v>2808</v>
      </c>
      <c r="G52" s="145" t="s">
        <v>2809</v>
      </c>
      <c r="H52" s="145" t="s">
        <v>312</v>
      </c>
      <c r="I52" s="145" t="s">
        <v>765</v>
      </c>
      <c r="J52" s="145" t="s">
        <v>204</v>
      </c>
      <c r="K52" s="145" t="s">
        <v>204</v>
      </c>
      <c r="L52" s="145" t="s">
        <v>314</v>
      </c>
      <c r="M52" s="145" t="s">
        <v>455</v>
      </c>
      <c r="N52" s="145" t="s">
        <v>339</v>
      </c>
      <c r="O52" s="151"/>
      <c r="P52" s="145" t="s">
        <v>1210</v>
      </c>
      <c r="Q52" s="145" t="s">
        <v>887</v>
      </c>
      <c r="R52" s="145" t="s">
        <v>889</v>
      </c>
      <c r="S52" s="177">
        <v>40069</v>
      </c>
      <c r="T52" s="177">
        <v>40069</v>
      </c>
      <c r="U52" s="146">
        <v>28850</v>
      </c>
      <c r="V52" s="146">
        <v>1</v>
      </c>
      <c r="W52" s="146">
        <v>1E-3</v>
      </c>
      <c r="X52" s="146">
        <v>0</v>
      </c>
      <c r="Y52" s="148">
        <v>0</v>
      </c>
      <c r="Z52" s="149">
        <v>0</v>
      </c>
      <c r="AA52" s="196"/>
    </row>
    <row r="53" spans="1:27" x14ac:dyDescent="0.2">
      <c r="A53" s="144" t="s">
        <v>1217</v>
      </c>
      <c r="B53" s="145" t="s">
        <v>1217</v>
      </c>
      <c r="C53" s="145" t="s">
        <v>2829</v>
      </c>
      <c r="D53" s="145" t="s">
        <v>2830</v>
      </c>
      <c r="E53" s="145" t="s">
        <v>314</v>
      </c>
      <c r="F53" s="145" t="s">
        <v>2831</v>
      </c>
      <c r="G53" s="145" t="s">
        <v>2832</v>
      </c>
      <c r="H53" s="145" t="s">
        <v>312</v>
      </c>
      <c r="I53" s="145" t="s">
        <v>765</v>
      </c>
      <c r="J53" s="145" t="s">
        <v>204</v>
      </c>
      <c r="K53" s="145" t="s">
        <v>204</v>
      </c>
      <c r="L53" s="145" t="s">
        <v>314</v>
      </c>
      <c r="M53" s="145" t="s">
        <v>455</v>
      </c>
      <c r="N53" s="145" t="s">
        <v>339</v>
      </c>
      <c r="O53" s="145" t="s">
        <v>2833</v>
      </c>
      <c r="P53" s="145" t="s">
        <v>1210</v>
      </c>
      <c r="Q53" s="145" t="s">
        <v>887</v>
      </c>
      <c r="R53" s="145" t="s">
        <v>889</v>
      </c>
      <c r="S53" s="177">
        <v>43132</v>
      </c>
      <c r="T53" s="177">
        <v>43132</v>
      </c>
      <c r="U53" s="146">
        <v>58700</v>
      </c>
      <c r="V53" s="146">
        <v>1</v>
      </c>
      <c r="W53" s="146">
        <v>0</v>
      </c>
      <c r="X53" s="146">
        <v>0</v>
      </c>
      <c r="Y53" s="148">
        <v>0</v>
      </c>
      <c r="Z53" s="149">
        <v>0</v>
      </c>
      <c r="AA53" s="196"/>
    </row>
    <row r="54" spans="1:27" x14ac:dyDescent="0.2">
      <c r="A54" s="144" t="s">
        <v>1217</v>
      </c>
      <c r="B54" s="145" t="s">
        <v>1217</v>
      </c>
      <c r="C54" s="145" t="s">
        <v>2688</v>
      </c>
      <c r="D54" s="145" t="s">
        <v>2689</v>
      </c>
      <c r="E54" s="145" t="s">
        <v>309</v>
      </c>
      <c r="F54" s="145" t="s">
        <v>2810</v>
      </c>
      <c r="G54" s="145" t="s">
        <v>2811</v>
      </c>
      <c r="H54" s="145" t="s">
        <v>312</v>
      </c>
      <c r="I54" s="145" t="s">
        <v>765</v>
      </c>
      <c r="J54" s="145" t="s">
        <v>204</v>
      </c>
      <c r="K54" s="145" t="s">
        <v>204</v>
      </c>
      <c r="L54" s="145" t="s">
        <v>314</v>
      </c>
      <c r="M54" s="145" t="s">
        <v>451</v>
      </c>
      <c r="N54" s="145" t="s">
        <v>339</v>
      </c>
      <c r="O54" s="145" t="s">
        <v>2812</v>
      </c>
      <c r="P54" s="145" t="s">
        <v>1210</v>
      </c>
      <c r="Q54" s="145" t="s">
        <v>887</v>
      </c>
      <c r="R54" s="145" t="s">
        <v>889</v>
      </c>
      <c r="S54" s="177">
        <v>45657</v>
      </c>
      <c r="T54" s="177">
        <v>45657</v>
      </c>
      <c r="U54" s="146">
        <v>370177.99</v>
      </c>
      <c r="V54" s="146">
        <v>1</v>
      </c>
      <c r="W54" s="146">
        <v>0</v>
      </c>
      <c r="X54" s="146">
        <v>0</v>
      </c>
      <c r="Y54" s="151"/>
      <c r="Z54" s="178"/>
      <c r="AA54" s="196"/>
    </row>
    <row r="55" spans="1:27" x14ac:dyDescent="0.2">
      <c r="A55" s="144" t="s">
        <v>1217</v>
      </c>
      <c r="B55" s="145" t="s">
        <v>1217</v>
      </c>
      <c r="C55" s="145" t="s">
        <v>2319</v>
      </c>
      <c r="D55" s="145" t="s">
        <v>2320</v>
      </c>
      <c r="E55" s="145" t="s">
        <v>313</v>
      </c>
      <c r="F55" s="145" t="s">
        <v>2813</v>
      </c>
      <c r="G55" s="145" t="s">
        <v>2814</v>
      </c>
      <c r="H55" s="145" t="s">
        <v>312</v>
      </c>
      <c r="I55" s="145" t="s">
        <v>765</v>
      </c>
      <c r="J55" s="145" t="s">
        <v>205</v>
      </c>
      <c r="K55" s="145" t="s">
        <v>224</v>
      </c>
      <c r="L55" s="145" t="s">
        <v>314</v>
      </c>
      <c r="M55" s="145" t="s">
        <v>489</v>
      </c>
      <c r="N55" s="145" t="s">
        <v>339</v>
      </c>
      <c r="O55" s="145" t="s">
        <v>2815</v>
      </c>
      <c r="P55" s="145" t="s">
        <v>1211</v>
      </c>
      <c r="Q55" s="145" t="s">
        <v>887</v>
      </c>
      <c r="R55" s="145" t="s">
        <v>889</v>
      </c>
      <c r="S55" s="177">
        <v>45747</v>
      </c>
      <c r="T55" s="177">
        <v>45747</v>
      </c>
      <c r="U55" s="146">
        <v>298270</v>
      </c>
      <c r="V55" s="146">
        <v>3.718</v>
      </c>
      <c r="W55" s="146">
        <v>0.59</v>
      </c>
      <c r="X55" s="146">
        <v>654.29100000000005</v>
      </c>
      <c r="Y55" s="148">
        <v>4.2999999999999999E-4</v>
      </c>
      <c r="Z55" s="149">
        <v>3.0000000000000001E-5</v>
      </c>
      <c r="AA55" s="196"/>
    </row>
    <row r="56" spans="1:27" x14ac:dyDescent="0.2">
      <c r="A56" s="144" t="s">
        <v>1205</v>
      </c>
      <c r="B56" s="145" t="s">
        <v>1206</v>
      </c>
      <c r="C56" s="151"/>
      <c r="D56" s="151"/>
      <c r="E56" s="159"/>
      <c r="F56" s="151"/>
      <c r="G56" s="151"/>
      <c r="H56" s="151"/>
      <c r="I56" s="151"/>
      <c r="J56" s="151"/>
      <c r="K56" s="151"/>
      <c r="L56" s="159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78"/>
      <c r="AA56" s="196"/>
    </row>
    <row r="57" spans="1:27" x14ac:dyDescent="0.2">
      <c r="A57" s="144" t="s">
        <v>1205</v>
      </c>
      <c r="B57" s="145" t="s">
        <v>1214</v>
      </c>
      <c r="C57" s="151"/>
      <c r="D57" s="151"/>
      <c r="E57" s="159"/>
      <c r="F57" s="151"/>
      <c r="G57" s="151"/>
      <c r="H57" s="151"/>
      <c r="I57" s="151"/>
      <c r="J57" s="151"/>
      <c r="K57" s="151"/>
      <c r="L57" s="159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78"/>
      <c r="AA57" s="196"/>
    </row>
    <row r="58" spans="1:27" x14ac:dyDescent="0.2">
      <c r="A58" s="144" t="s">
        <v>1217</v>
      </c>
      <c r="B58" s="145" t="s">
        <v>1218</v>
      </c>
      <c r="C58" s="151"/>
      <c r="D58" s="151"/>
      <c r="E58" s="159"/>
      <c r="F58" s="151"/>
      <c r="G58" s="151"/>
      <c r="H58" s="151"/>
      <c r="I58" s="151"/>
      <c r="J58" s="151"/>
      <c r="K58" s="151"/>
      <c r="L58" s="159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78"/>
      <c r="AA58" s="196"/>
    </row>
    <row r="59" spans="1:27" x14ac:dyDescent="0.2">
      <c r="A59" s="152" t="s">
        <v>1217</v>
      </c>
      <c r="B59" s="153" t="s">
        <v>1219</v>
      </c>
      <c r="C59" s="155"/>
      <c r="D59" s="155"/>
      <c r="E59" s="160"/>
      <c r="F59" s="155"/>
      <c r="G59" s="155"/>
      <c r="H59" s="155"/>
      <c r="I59" s="155"/>
      <c r="J59" s="155"/>
      <c r="K59" s="155"/>
      <c r="L59" s="160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75"/>
      <c r="AA59" s="196"/>
    </row>
    <row r="60" spans="1:27" x14ac:dyDescent="0.2">
      <c r="A60" s="196" t="s">
        <v>3461</v>
      </c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spans="1:27" x14ac:dyDescent="0.2">
      <c r="A61" s="2" t="s">
        <v>3460</v>
      </c>
    </row>
    <row r="62" spans="1:27" x14ac:dyDescent="0.2">
      <c r="A62" s="1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0:Z60"/>
    <mergeCell ref="AA2:AA59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9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3482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79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196" t="s">
        <v>3462</v>
      </c>
    </row>
    <row r="3" spans="1:27" x14ac:dyDescent="0.2">
      <c r="A3" s="144" t="s">
        <v>1205</v>
      </c>
      <c r="B3" s="145" t="s">
        <v>1205</v>
      </c>
      <c r="C3" s="145" t="s">
        <v>2834</v>
      </c>
      <c r="D3" s="161"/>
      <c r="E3" s="161"/>
      <c r="F3" s="145" t="s">
        <v>2835</v>
      </c>
      <c r="G3" s="145" t="s">
        <v>2836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6">
        <v>43033</v>
      </c>
      <c r="Q3" s="145" t="s">
        <v>1210</v>
      </c>
      <c r="R3" s="145" t="s">
        <v>885</v>
      </c>
      <c r="S3" s="145" t="s">
        <v>889</v>
      </c>
      <c r="T3" s="173">
        <v>45747</v>
      </c>
      <c r="U3" s="146">
        <v>1</v>
      </c>
      <c r="V3" s="180">
        <v>1823.413</v>
      </c>
      <c r="W3" s="146">
        <v>1823.413</v>
      </c>
      <c r="X3" s="161"/>
      <c r="Y3" s="148">
        <v>1.1690000000000001E-2</v>
      </c>
      <c r="Z3" s="149">
        <v>1.73E-3</v>
      </c>
      <c r="AA3" s="196"/>
    </row>
    <row r="4" spans="1:27" x14ac:dyDescent="0.2">
      <c r="A4" s="144" t="s">
        <v>1205</v>
      </c>
      <c r="B4" s="145" t="s">
        <v>1205</v>
      </c>
      <c r="C4" s="145" t="s">
        <v>2837</v>
      </c>
      <c r="D4" s="145"/>
      <c r="E4" s="161"/>
      <c r="F4" s="145" t="s">
        <v>2838</v>
      </c>
      <c r="G4" s="145" t="s">
        <v>2839</v>
      </c>
      <c r="H4" s="145" t="s">
        <v>312</v>
      </c>
      <c r="I4" s="145" t="s">
        <v>1000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6">
        <v>43116</v>
      </c>
      <c r="Q4" s="145" t="s">
        <v>1211</v>
      </c>
      <c r="R4" s="145" t="s">
        <v>885</v>
      </c>
      <c r="S4" s="145" t="s">
        <v>889</v>
      </c>
      <c r="T4" s="173">
        <v>45662</v>
      </c>
      <c r="U4" s="146">
        <v>3.718</v>
      </c>
      <c r="V4" s="180">
        <v>470.44997310381927</v>
      </c>
      <c r="W4" s="146">
        <v>1749.133</v>
      </c>
      <c r="X4" s="161"/>
      <c r="Y4" s="148">
        <v>1.1209999999999999E-2</v>
      </c>
      <c r="Z4" s="149">
        <v>1.66E-3</v>
      </c>
      <c r="AA4" s="196"/>
    </row>
    <row r="5" spans="1:27" x14ac:dyDescent="0.2">
      <c r="A5" s="144" t="s">
        <v>1205</v>
      </c>
      <c r="B5" s="145" t="s">
        <v>1205</v>
      </c>
      <c r="C5" s="145" t="s">
        <v>2840</v>
      </c>
      <c r="D5" s="145"/>
      <c r="E5" s="161"/>
      <c r="F5" s="145" t="s">
        <v>2841</v>
      </c>
      <c r="G5" s="145" t="s">
        <v>2842</v>
      </c>
      <c r="H5" s="145" t="s">
        <v>314</v>
      </c>
      <c r="I5" s="145" t="s">
        <v>1004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6">
        <v>43615</v>
      </c>
      <c r="Q5" s="145" t="s">
        <v>1210</v>
      </c>
      <c r="R5" s="145" t="s">
        <v>885</v>
      </c>
      <c r="S5" s="145" t="s">
        <v>889</v>
      </c>
      <c r="T5" s="173">
        <v>45746</v>
      </c>
      <c r="U5" s="146">
        <v>1</v>
      </c>
      <c r="V5" s="180">
        <v>2217.614</v>
      </c>
      <c r="W5" s="146">
        <v>2217.614</v>
      </c>
      <c r="X5" s="161"/>
      <c r="Y5" s="148">
        <v>1.422E-2</v>
      </c>
      <c r="Z5" s="149">
        <v>2.1099999999999999E-3</v>
      </c>
      <c r="AA5" s="196"/>
    </row>
    <row r="6" spans="1:27" x14ac:dyDescent="0.2">
      <c r="A6" s="144" t="s">
        <v>1205</v>
      </c>
      <c r="B6" s="145" t="s">
        <v>1205</v>
      </c>
      <c r="C6" s="145" t="s">
        <v>2843</v>
      </c>
      <c r="D6" s="145"/>
      <c r="E6" s="161"/>
      <c r="F6" s="145" t="s">
        <v>2844</v>
      </c>
      <c r="G6" s="145" t="s">
        <v>2845</v>
      </c>
      <c r="H6" s="145" t="s">
        <v>314</v>
      </c>
      <c r="I6" s="145" t="s">
        <v>1001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6">
        <v>42662</v>
      </c>
      <c r="Q6" s="145" t="s">
        <v>1211</v>
      </c>
      <c r="R6" s="145" t="s">
        <v>885</v>
      </c>
      <c r="S6" s="145" t="s">
        <v>889</v>
      </c>
      <c r="T6" s="173">
        <v>45746</v>
      </c>
      <c r="U6" s="146">
        <v>3.718</v>
      </c>
      <c r="V6" s="180">
        <v>593.1261430876815</v>
      </c>
      <c r="W6" s="146">
        <v>2205.2429999999999</v>
      </c>
      <c r="X6" s="161"/>
      <c r="Y6" s="148">
        <v>1.414E-2</v>
      </c>
      <c r="Z6" s="149">
        <v>2.0999999999999999E-3</v>
      </c>
      <c r="AA6" s="196"/>
    </row>
    <row r="7" spans="1:27" x14ac:dyDescent="0.2">
      <c r="A7" s="144" t="s">
        <v>1205</v>
      </c>
      <c r="B7" s="145" t="s">
        <v>1205</v>
      </c>
      <c r="C7" s="145" t="s">
        <v>2846</v>
      </c>
      <c r="D7" s="145"/>
      <c r="E7" s="161"/>
      <c r="F7" s="145" t="s">
        <v>2847</v>
      </c>
      <c r="G7" s="145" t="s">
        <v>2848</v>
      </c>
      <c r="H7" s="145" t="s">
        <v>314</v>
      </c>
      <c r="I7" s="145" t="s">
        <v>1002</v>
      </c>
      <c r="J7" s="161"/>
      <c r="K7" s="145" t="s">
        <v>204</v>
      </c>
      <c r="L7" s="161"/>
      <c r="M7" s="161"/>
      <c r="N7" s="145" t="s">
        <v>204</v>
      </c>
      <c r="O7" s="145" t="s">
        <v>339</v>
      </c>
      <c r="P7" s="176">
        <v>43038</v>
      </c>
      <c r="Q7" s="145" t="s">
        <v>1210</v>
      </c>
      <c r="R7" s="145" t="s">
        <v>885</v>
      </c>
      <c r="S7" s="145" t="s">
        <v>889</v>
      </c>
      <c r="T7" s="173">
        <v>45725</v>
      </c>
      <c r="U7" s="146">
        <v>1</v>
      </c>
      <c r="V7" s="180">
        <v>2019.1980000000001</v>
      </c>
      <c r="W7" s="146">
        <v>2019.1980000000001</v>
      </c>
      <c r="X7" s="161"/>
      <c r="Y7" s="148">
        <v>1.294E-2</v>
      </c>
      <c r="Z7" s="149">
        <v>1.92E-3</v>
      </c>
      <c r="AA7" s="196"/>
    </row>
    <row r="8" spans="1:27" x14ac:dyDescent="0.2">
      <c r="A8" s="144" t="s">
        <v>1205</v>
      </c>
      <c r="B8" s="145" t="s">
        <v>1205</v>
      </c>
      <c r="C8" s="145" t="s">
        <v>2849</v>
      </c>
      <c r="D8" s="145"/>
      <c r="E8" s="161"/>
      <c r="F8" s="145" t="s">
        <v>2850</v>
      </c>
      <c r="G8" s="145" t="s">
        <v>2851</v>
      </c>
      <c r="H8" s="145" t="s">
        <v>314</v>
      </c>
      <c r="I8" s="145" t="s">
        <v>1002</v>
      </c>
      <c r="J8" s="161"/>
      <c r="K8" s="145" t="s">
        <v>204</v>
      </c>
      <c r="L8" s="161"/>
      <c r="M8" s="161"/>
      <c r="N8" s="145" t="s">
        <v>217</v>
      </c>
      <c r="O8" s="145" t="s">
        <v>339</v>
      </c>
      <c r="P8" s="176">
        <v>42977</v>
      </c>
      <c r="Q8" s="145" t="s">
        <v>1210</v>
      </c>
      <c r="R8" s="145" t="s">
        <v>885</v>
      </c>
      <c r="S8" s="145" t="s">
        <v>889</v>
      </c>
      <c r="T8" s="173">
        <v>45727</v>
      </c>
      <c r="U8" s="146">
        <v>1</v>
      </c>
      <c r="V8" s="180">
        <v>1709.0940000000001</v>
      </c>
      <c r="W8" s="146">
        <v>1709.0940000000001</v>
      </c>
      <c r="X8" s="161"/>
      <c r="Y8" s="148">
        <v>1.0959999999999999E-2</v>
      </c>
      <c r="Z8" s="149">
        <v>1.6299999999999999E-3</v>
      </c>
      <c r="AA8" s="196"/>
    </row>
    <row r="9" spans="1:27" x14ac:dyDescent="0.2">
      <c r="A9" s="144" t="s">
        <v>1205</v>
      </c>
      <c r="B9" s="145" t="s">
        <v>1205</v>
      </c>
      <c r="C9" s="145" t="s">
        <v>2852</v>
      </c>
      <c r="D9" s="145"/>
      <c r="E9" s="161"/>
      <c r="F9" s="145" t="s">
        <v>2853</v>
      </c>
      <c r="G9" s="145" t="s">
        <v>2854</v>
      </c>
      <c r="H9" s="145" t="s">
        <v>314</v>
      </c>
      <c r="I9" s="145" t="s">
        <v>1003</v>
      </c>
      <c r="J9" s="161"/>
      <c r="K9" s="145" t="s">
        <v>204</v>
      </c>
      <c r="L9" s="161"/>
      <c r="M9" s="161"/>
      <c r="N9" s="145" t="s">
        <v>204</v>
      </c>
      <c r="O9" s="145" t="s">
        <v>339</v>
      </c>
      <c r="P9" s="176">
        <v>43802</v>
      </c>
      <c r="Q9" s="145" t="s">
        <v>1210</v>
      </c>
      <c r="R9" s="145" t="s">
        <v>885</v>
      </c>
      <c r="S9" s="145" t="s">
        <v>889</v>
      </c>
      <c r="T9" s="173">
        <v>45742</v>
      </c>
      <c r="U9" s="146">
        <v>1</v>
      </c>
      <c r="V9" s="180">
        <v>1530.1420000000001</v>
      </c>
      <c r="W9" s="146">
        <v>1530.1420000000001</v>
      </c>
      <c r="X9" s="161"/>
      <c r="Y9" s="148">
        <v>9.8099999999999993E-3</v>
      </c>
      <c r="Z9" s="149">
        <v>1.4599999999999999E-3</v>
      </c>
      <c r="AA9" s="196"/>
    </row>
    <row r="10" spans="1:27" x14ac:dyDescent="0.2">
      <c r="A10" s="144" t="s">
        <v>1205</v>
      </c>
      <c r="B10" s="145" t="s">
        <v>1205</v>
      </c>
      <c r="C10" s="145" t="s">
        <v>2855</v>
      </c>
      <c r="D10" s="145"/>
      <c r="E10" s="161"/>
      <c r="F10" s="145" t="s">
        <v>2856</v>
      </c>
      <c r="G10" s="145" t="s">
        <v>2857</v>
      </c>
      <c r="H10" s="145" t="s">
        <v>314</v>
      </c>
      <c r="I10" s="145" t="s">
        <v>1002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6">
        <v>42758</v>
      </c>
      <c r="Q10" s="145" t="s">
        <v>1210</v>
      </c>
      <c r="R10" s="145" t="s">
        <v>885</v>
      </c>
      <c r="S10" s="145" t="s">
        <v>889</v>
      </c>
      <c r="T10" s="173">
        <v>45722</v>
      </c>
      <c r="U10" s="146">
        <v>1</v>
      </c>
      <c r="V10" s="180">
        <v>1461.4690000000001</v>
      </c>
      <c r="W10" s="146">
        <v>1461.4690000000001</v>
      </c>
      <c r="X10" s="161"/>
      <c r="Y10" s="148">
        <v>9.3699999999999999E-3</v>
      </c>
      <c r="Z10" s="149">
        <v>1.39E-3</v>
      </c>
      <c r="AA10" s="196"/>
    </row>
    <row r="11" spans="1:27" x14ac:dyDescent="0.2">
      <c r="A11" s="144" t="s">
        <v>1205</v>
      </c>
      <c r="B11" s="145" t="s">
        <v>1205</v>
      </c>
      <c r="C11" s="145" t="s">
        <v>314</v>
      </c>
      <c r="D11" s="145"/>
      <c r="E11" s="161"/>
      <c r="F11" s="145" t="s">
        <v>2858</v>
      </c>
      <c r="G11" s="145" t="s">
        <v>2859</v>
      </c>
      <c r="H11" s="145" t="s">
        <v>314</v>
      </c>
      <c r="I11" s="145" t="s">
        <v>1005</v>
      </c>
      <c r="J11" s="161"/>
      <c r="K11" s="145" t="s">
        <v>204</v>
      </c>
      <c r="L11" s="161"/>
      <c r="M11" s="161"/>
      <c r="N11" s="145" t="s">
        <v>293</v>
      </c>
      <c r="O11" s="145" t="s">
        <v>339</v>
      </c>
      <c r="P11" s="176">
        <v>44026</v>
      </c>
      <c r="Q11" s="145" t="s">
        <v>1212</v>
      </c>
      <c r="R11" s="145" t="s">
        <v>885</v>
      </c>
      <c r="S11" s="145" t="s">
        <v>889</v>
      </c>
      <c r="T11" s="173">
        <v>45747</v>
      </c>
      <c r="U11" s="146">
        <v>4.0220000000000002</v>
      </c>
      <c r="V11" s="180">
        <v>359.03182496270512</v>
      </c>
      <c r="W11" s="146">
        <v>1444.0260000000001</v>
      </c>
      <c r="X11" s="148">
        <v>4.4000000000000003E-3</v>
      </c>
      <c r="Y11" s="148">
        <v>9.2599999999999991E-3</v>
      </c>
      <c r="Z11" s="149">
        <v>1.3699999999999999E-3</v>
      </c>
      <c r="AA11" s="196"/>
    </row>
    <row r="12" spans="1:27" x14ac:dyDescent="0.2">
      <c r="A12" s="144" t="s">
        <v>1205</v>
      </c>
      <c r="B12" s="145" t="s">
        <v>1205</v>
      </c>
      <c r="C12" s="145" t="s">
        <v>2860</v>
      </c>
      <c r="D12" s="145"/>
      <c r="E12" s="161"/>
      <c r="F12" s="145" t="s">
        <v>2861</v>
      </c>
      <c r="G12" s="145" t="s">
        <v>2862</v>
      </c>
      <c r="H12" s="145" t="s">
        <v>314</v>
      </c>
      <c r="I12" s="145" t="s">
        <v>1000</v>
      </c>
      <c r="J12" s="161"/>
      <c r="K12" s="145" t="s">
        <v>204</v>
      </c>
      <c r="L12" s="161"/>
      <c r="M12" s="161"/>
      <c r="N12" s="145" t="s">
        <v>204</v>
      </c>
      <c r="O12" s="145" t="s">
        <v>339</v>
      </c>
      <c r="P12" s="176">
        <v>42576</v>
      </c>
      <c r="Q12" s="145" t="s">
        <v>1211</v>
      </c>
      <c r="R12" s="145" t="s">
        <v>885</v>
      </c>
      <c r="S12" s="145" t="s">
        <v>889</v>
      </c>
      <c r="T12" s="173">
        <v>45715</v>
      </c>
      <c r="U12" s="146">
        <v>3.718</v>
      </c>
      <c r="V12" s="180">
        <v>375.82060247444861</v>
      </c>
      <c r="W12" s="146">
        <v>1397.3009999999999</v>
      </c>
      <c r="X12" s="161"/>
      <c r="Y12" s="148">
        <v>8.9599999999999992E-3</v>
      </c>
      <c r="Z12" s="149">
        <v>1.33E-3</v>
      </c>
      <c r="AA12" s="196"/>
    </row>
    <row r="13" spans="1:27" x14ac:dyDescent="0.2">
      <c r="A13" s="144" t="s">
        <v>1205</v>
      </c>
      <c r="B13" s="145" t="s">
        <v>1205</v>
      </c>
      <c r="C13" s="145" t="s">
        <v>2863</v>
      </c>
      <c r="D13" s="145"/>
      <c r="E13" s="161"/>
      <c r="F13" s="145" t="s">
        <v>2864</v>
      </c>
      <c r="G13" s="145" t="s">
        <v>2865</v>
      </c>
      <c r="H13" s="145" t="s">
        <v>314</v>
      </c>
      <c r="I13" s="145" t="s">
        <v>1000</v>
      </c>
      <c r="J13" s="161"/>
      <c r="K13" s="145" t="s">
        <v>204</v>
      </c>
      <c r="L13" s="161"/>
      <c r="M13" s="161"/>
      <c r="N13" s="145" t="s">
        <v>204</v>
      </c>
      <c r="O13" s="145" t="s">
        <v>339</v>
      </c>
      <c r="P13" s="176">
        <v>43664</v>
      </c>
      <c r="Q13" s="145" t="s">
        <v>1211</v>
      </c>
      <c r="R13" s="145" t="s">
        <v>885</v>
      </c>
      <c r="S13" s="145" t="s">
        <v>889</v>
      </c>
      <c r="T13" s="173">
        <v>45747</v>
      </c>
      <c r="U13" s="146">
        <v>3.718</v>
      </c>
      <c r="V13" s="180">
        <v>373.28348574502417</v>
      </c>
      <c r="W13" s="146">
        <v>1387.8679999999999</v>
      </c>
      <c r="X13" s="161"/>
      <c r="Y13" s="148">
        <v>8.8999999999999999E-3</v>
      </c>
      <c r="Z13" s="149">
        <v>1.32E-3</v>
      </c>
      <c r="AA13" s="196"/>
    </row>
    <row r="14" spans="1:27" x14ac:dyDescent="0.2">
      <c r="A14" s="144" t="s">
        <v>1205</v>
      </c>
      <c r="B14" s="145" t="s">
        <v>1205</v>
      </c>
      <c r="C14" s="145" t="s">
        <v>2866</v>
      </c>
      <c r="D14" s="145"/>
      <c r="E14" s="161"/>
      <c r="F14" s="145" t="s">
        <v>2867</v>
      </c>
      <c r="G14" s="145" t="s">
        <v>2868</v>
      </c>
      <c r="H14" s="145" t="s">
        <v>314</v>
      </c>
      <c r="I14" s="145" t="s">
        <v>1000</v>
      </c>
      <c r="J14" s="161"/>
      <c r="K14" s="145" t="s">
        <v>204</v>
      </c>
      <c r="L14" s="161"/>
      <c r="M14" s="161"/>
      <c r="N14" s="145" t="s">
        <v>204</v>
      </c>
      <c r="O14" s="145" t="s">
        <v>339</v>
      </c>
      <c r="P14" s="176">
        <v>44286</v>
      </c>
      <c r="Q14" s="145" t="s">
        <v>1211</v>
      </c>
      <c r="R14" s="145" t="s">
        <v>885</v>
      </c>
      <c r="S14" s="145" t="s">
        <v>889</v>
      </c>
      <c r="T14" s="173">
        <v>45734</v>
      </c>
      <c r="U14" s="146">
        <v>3.718</v>
      </c>
      <c r="V14" s="180">
        <v>365.81253362022591</v>
      </c>
      <c r="W14" s="146">
        <v>1360.0909999999999</v>
      </c>
      <c r="X14" s="148">
        <v>2.1000000000000001E-4</v>
      </c>
      <c r="Y14" s="148">
        <v>8.7200000000000003E-3</v>
      </c>
      <c r="Z14" s="149">
        <v>1.2899999999999999E-3</v>
      </c>
      <c r="AA14" s="196"/>
    </row>
    <row r="15" spans="1:27" x14ac:dyDescent="0.2">
      <c r="A15" s="144" t="s">
        <v>1205</v>
      </c>
      <c r="B15" s="145" t="s">
        <v>1205</v>
      </c>
      <c r="C15" s="145" t="s">
        <v>2869</v>
      </c>
      <c r="D15" s="145"/>
      <c r="E15" s="161"/>
      <c r="F15" s="145" t="s">
        <v>2870</v>
      </c>
      <c r="G15" s="145" t="s">
        <v>2871</v>
      </c>
      <c r="H15" s="145" t="s">
        <v>314</v>
      </c>
      <c r="I15" s="145" t="s">
        <v>1001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6">
        <v>44286</v>
      </c>
      <c r="Q15" s="145" t="s">
        <v>1210</v>
      </c>
      <c r="R15" s="145" t="s">
        <v>885</v>
      </c>
      <c r="S15" s="145" t="s">
        <v>889</v>
      </c>
      <c r="T15" s="173">
        <v>45729</v>
      </c>
      <c r="U15" s="146">
        <v>1</v>
      </c>
      <c r="V15" s="180">
        <v>1354.008</v>
      </c>
      <c r="W15" s="146">
        <v>1354.008</v>
      </c>
      <c r="X15" s="148">
        <v>5.6999999999999998E-4</v>
      </c>
      <c r="Y15" s="148">
        <v>8.6800000000000002E-3</v>
      </c>
      <c r="Z15" s="149">
        <v>1.2899999999999999E-3</v>
      </c>
      <c r="AA15" s="196"/>
    </row>
    <row r="16" spans="1:27" x14ac:dyDescent="0.2">
      <c r="A16" s="144" t="s">
        <v>1205</v>
      </c>
      <c r="B16" s="145" t="s">
        <v>1205</v>
      </c>
      <c r="C16" s="145" t="s">
        <v>2872</v>
      </c>
      <c r="D16" s="145"/>
      <c r="E16" s="161"/>
      <c r="F16" s="145" t="s">
        <v>2873</v>
      </c>
      <c r="G16" s="145" t="s">
        <v>2874</v>
      </c>
      <c r="H16" s="145" t="s">
        <v>314</v>
      </c>
      <c r="I16" s="145" t="s">
        <v>1005</v>
      </c>
      <c r="J16" s="161"/>
      <c r="K16" s="145" t="s">
        <v>204</v>
      </c>
      <c r="L16" s="161"/>
      <c r="M16" s="161"/>
      <c r="N16" s="145" t="s">
        <v>204</v>
      </c>
      <c r="O16" s="145" t="s">
        <v>339</v>
      </c>
      <c r="P16" s="176">
        <v>43327</v>
      </c>
      <c r="Q16" s="145" t="s">
        <v>1211</v>
      </c>
      <c r="R16" s="145" t="s">
        <v>885</v>
      </c>
      <c r="S16" s="145" t="s">
        <v>889</v>
      </c>
      <c r="T16" s="173">
        <v>45747</v>
      </c>
      <c r="U16" s="146">
        <v>3.718</v>
      </c>
      <c r="V16" s="180">
        <v>334.7993544916622</v>
      </c>
      <c r="W16" s="146">
        <v>1244.7840000000001</v>
      </c>
      <c r="X16" s="148">
        <v>2.2000000000000001E-3</v>
      </c>
      <c r="Y16" s="148">
        <v>7.9799999999999992E-3</v>
      </c>
      <c r="Z16" s="149">
        <v>1.1800000000000001E-3</v>
      </c>
      <c r="AA16" s="196"/>
    </row>
    <row r="17" spans="1:27" x14ac:dyDescent="0.2">
      <c r="A17" s="144" t="s">
        <v>1205</v>
      </c>
      <c r="B17" s="145" t="s">
        <v>1205</v>
      </c>
      <c r="C17" s="145" t="s">
        <v>314</v>
      </c>
      <c r="D17" s="145"/>
      <c r="E17" s="161"/>
      <c r="F17" s="145" t="s">
        <v>2875</v>
      </c>
      <c r="G17" s="145" t="s">
        <v>2876</v>
      </c>
      <c r="H17" s="145" t="s">
        <v>314</v>
      </c>
      <c r="I17" s="145" t="s">
        <v>1005</v>
      </c>
      <c r="J17" s="161"/>
      <c r="K17" s="145" t="s">
        <v>204</v>
      </c>
      <c r="L17" s="161"/>
      <c r="M17" s="161"/>
      <c r="N17" s="145" t="s">
        <v>224</v>
      </c>
      <c r="O17" s="145" t="s">
        <v>339</v>
      </c>
      <c r="P17" s="176">
        <v>44560</v>
      </c>
      <c r="Q17" s="145" t="s">
        <v>1211</v>
      </c>
      <c r="R17" s="145" t="s">
        <v>885</v>
      </c>
      <c r="S17" s="145" t="s">
        <v>889</v>
      </c>
      <c r="T17" s="173">
        <v>45721</v>
      </c>
      <c r="U17" s="146">
        <v>3.718</v>
      </c>
      <c r="V17" s="180">
        <v>330.95346960731575</v>
      </c>
      <c r="W17" s="146">
        <v>1230.4849999999999</v>
      </c>
      <c r="X17" s="148">
        <v>0</v>
      </c>
      <c r="Y17" s="148">
        <v>7.8899999999999994E-3</v>
      </c>
      <c r="Z17" s="149">
        <v>1.17E-3</v>
      </c>
      <c r="AA17" s="196"/>
    </row>
    <row r="18" spans="1:27" x14ac:dyDescent="0.2">
      <c r="A18" s="144" t="s">
        <v>1205</v>
      </c>
      <c r="B18" s="145" t="s">
        <v>1205</v>
      </c>
      <c r="C18" s="145" t="s">
        <v>2877</v>
      </c>
      <c r="D18" s="145"/>
      <c r="E18" s="161"/>
      <c r="F18" s="145" t="s">
        <v>2878</v>
      </c>
      <c r="G18" s="145" t="s">
        <v>2879</v>
      </c>
      <c r="H18" s="145" t="s">
        <v>314</v>
      </c>
      <c r="I18" s="145" t="s">
        <v>1000</v>
      </c>
      <c r="J18" s="161"/>
      <c r="K18" s="145" t="s">
        <v>204</v>
      </c>
      <c r="L18" s="161"/>
      <c r="M18" s="161"/>
      <c r="N18" s="145" t="s">
        <v>204</v>
      </c>
      <c r="O18" s="145" t="s">
        <v>339</v>
      </c>
      <c r="P18" s="176">
        <v>44636</v>
      </c>
      <c r="Q18" s="145" t="s">
        <v>1210</v>
      </c>
      <c r="R18" s="145" t="s">
        <v>885</v>
      </c>
      <c r="S18" s="145" t="s">
        <v>889</v>
      </c>
      <c r="T18" s="173">
        <v>45747</v>
      </c>
      <c r="U18" s="146">
        <v>1</v>
      </c>
      <c r="V18" s="180">
        <v>1122.557</v>
      </c>
      <c r="W18" s="146">
        <v>1122.557</v>
      </c>
      <c r="X18" s="148">
        <v>1.5399999999999999E-3</v>
      </c>
      <c r="Y18" s="148">
        <v>7.1999999999999998E-3</v>
      </c>
      <c r="Z18" s="149">
        <v>1.07E-3</v>
      </c>
      <c r="AA18" s="196"/>
    </row>
    <row r="19" spans="1:27" x14ac:dyDescent="0.2">
      <c r="A19" s="144" t="s">
        <v>1205</v>
      </c>
      <c r="B19" s="145" t="s">
        <v>1205</v>
      </c>
      <c r="C19" s="145" t="s">
        <v>2869</v>
      </c>
      <c r="D19" s="145"/>
      <c r="E19" s="161"/>
      <c r="F19" s="145" t="s">
        <v>2880</v>
      </c>
      <c r="G19" s="145" t="s">
        <v>2881</v>
      </c>
      <c r="H19" s="145" t="s">
        <v>314</v>
      </c>
      <c r="I19" s="145" t="s">
        <v>1001</v>
      </c>
      <c r="J19" s="161"/>
      <c r="K19" s="145" t="s">
        <v>204</v>
      </c>
      <c r="L19" s="161"/>
      <c r="M19" s="161"/>
      <c r="N19" s="145" t="s">
        <v>204</v>
      </c>
      <c r="O19" s="145" t="s">
        <v>339</v>
      </c>
      <c r="P19" s="176">
        <v>43611</v>
      </c>
      <c r="Q19" s="145" t="s">
        <v>1210</v>
      </c>
      <c r="R19" s="145" t="s">
        <v>885</v>
      </c>
      <c r="S19" s="145" t="s">
        <v>889</v>
      </c>
      <c r="T19" s="173">
        <v>45729</v>
      </c>
      <c r="U19" s="146">
        <v>1</v>
      </c>
      <c r="V19" s="180">
        <v>1095.5039999999999</v>
      </c>
      <c r="W19" s="146">
        <v>1095.5039999999999</v>
      </c>
      <c r="X19" s="148">
        <v>8.0000000000000004E-4</v>
      </c>
      <c r="Y19" s="148">
        <v>7.0200000000000002E-3</v>
      </c>
      <c r="Z19" s="149">
        <v>1.0399999999999999E-3</v>
      </c>
      <c r="AA19" s="196"/>
    </row>
    <row r="20" spans="1:27" x14ac:dyDescent="0.2">
      <c r="A20" s="144" t="s">
        <v>1205</v>
      </c>
      <c r="B20" s="145" t="s">
        <v>1205</v>
      </c>
      <c r="C20" s="145" t="s">
        <v>2882</v>
      </c>
      <c r="D20" s="145"/>
      <c r="E20" s="161"/>
      <c r="F20" s="145" t="s">
        <v>2883</v>
      </c>
      <c r="G20" s="145" t="s">
        <v>2884</v>
      </c>
      <c r="H20" s="145" t="s">
        <v>314</v>
      </c>
      <c r="I20" s="145" t="s">
        <v>1003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6">
        <v>44651</v>
      </c>
      <c r="Q20" s="145" t="s">
        <v>1210</v>
      </c>
      <c r="R20" s="145" t="s">
        <v>885</v>
      </c>
      <c r="S20" s="145" t="s">
        <v>889</v>
      </c>
      <c r="T20" s="173">
        <v>45736</v>
      </c>
      <c r="U20" s="146">
        <v>1</v>
      </c>
      <c r="V20" s="180">
        <v>1028.6400000000001</v>
      </c>
      <c r="W20" s="146">
        <v>1028.6400000000001</v>
      </c>
      <c r="X20" s="148">
        <v>4.7200000000000002E-3</v>
      </c>
      <c r="Y20" s="148">
        <v>6.5900000000000004E-3</v>
      </c>
      <c r="Z20" s="149">
        <v>9.7999999999999997E-4</v>
      </c>
      <c r="AA20" s="196"/>
    </row>
    <row r="21" spans="1:27" x14ac:dyDescent="0.2">
      <c r="A21" s="144" t="s">
        <v>1205</v>
      </c>
      <c r="B21" s="145" t="s">
        <v>1205</v>
      </c>
      <c r="C21" s="145" t="s">
        <v>2852</v>
      </c>
      <c r="D21" s="145"/>
      <c r="E21" s="161"/>
      <c r="F21" s="145" t="s">
        <v>2885</v>
      </c>
      <c r="G21" s="145" t="s">
        <v>2886</v>
      </c>
      <c r="H21" s="145" t="s">
        <v>314</v>
      </c>
      <c r="I21" s="145" t="s">
        <v>1003</v>
      </c>
      <c r="J21" s="161"/>
      <c r="K21" s="145" t="s">
        <v>204</v>
      </c>
      <c r="L21" s="161"/>
      <c r="M21" s="161"/>
      <c r="N21" s="145" t="s">
        <v>204</v>
      </c>
      <c r="O21" s="145" t="s">
        <v>339</v>
      </c>
      <c r="P21" s="176">
        <v>43130</v>
      </c>
      <c r="Q21" s="145" t="s">
        <v>1210</v>
      </c>
      <c r="R21" s="145" t="s">
        <v>885</v>
      </c>
      <c r="S21" s="145" t="s">
        <v>889</v>
      </c>
      <c r="T21" s="172">
        <v>45742</v>
      </c>
      <c r="U21" s="146">
        <v>1</v>
      </c>
      <c r="V21" s="180">
        <v>930.34900000000005</v>
      </c>
      <c r="W21" s="146">
        <v>930.34900000000005</v>
      </c>
      <c r="X21" s="150"/>
      <c r="Y21" s="148">
        <v>5.96E-3</v>
      </c>
      <c r="Z21" s="149">
        <v>8.8000000000000003E-4</v>
      </c>
      <c r="AA21" s="196"/>
    </row>
    <row r="22" spans="1:27" x14ac:dyDescent="0.2">
      <c r="A22" s="144" t="s">
        <v>1205</v>
      </c>
      <c r="B22" s="145" t="s">
        <v>1205</v>
      </c>
      <c r="C22" s="145" t="s">
        <v>2849</v>
      </c>
      <c r="D22" s="145"/>
      <c r="E22" s="150"/>
      <c r="F22" s="145" t="s">
        <v>2887</v>
      </c>
      <c r="G22" s="145" t="s">
        <v>2888</v>
      </c>
      <c r="H22" s="145" t="s">
        <v>314</v>
      </c>
      <c r="I22" s="145" t="s">
        <v>1002</v>
      </c>
      <c r="J22" s="150"/>
      <c r="K22" s="145" t="s">
        <v>204</v>
      </c>
      <c r="L22" s="150"/>
      <c r="M22" s="150"/>
      <c r="N22" s="145" t="s">
        <v>204</v>
      </c>
      <c r="O22" s="145" t="s">
        <v>339</v>
      </c>
      <c r="P22" s="176">
        <v>45378</v>
      </c>
      <c r="Q22" s="145" t="s">
        <v>1210</v>
      </c>
      <c r="R22" s="145" t="s">
        <v>885</v>
      </c>
      <c r="S22" s="145" t="s">
        <v>889</v>
      </c>
      <c r="T22" s="172">
        <v>45727</v>
      </c>
      <c r="U22" s="146">
        <v>1</v>
      </c>
      <c r="V22" s="180">
        <v>898.928</v>
      </c>
      <c r="W22" s="146">
        <v>898.928</v>
      </c>
      <c r="X22" s="148">
        <v>6.1900000000000002E-3</v>
      </c>
      <c r="Y22" s="148">
        <v>5.7600000000000004E-3</v>
      </c>
      <c r="Z22" s="149">
        <v>8.5999999999999998E-4</v>
      </c>
      <c r="AA22" s="196"/>
    </row>
    <row r="23" spans="1:27" x14ac:dyDescent="0.2">
      <c r="A23" s="144" t="s">
        <v>1205</v>
      </c>
      <c r="B23" s="145" t="s">
        <v>1205</v>
      </c>
      <c r="C23" s="145" t="s">
        <v>2889</v>
      </c>
      <c r="D23" s="145"/>
      <c r="E23" s="150"/>
      <c r="F23" s="145" t="s">
        <v>2890</v>
      </c>
      <c r="G23" s="145" t="s">
        <v>2891</v>
      </c>
      <c r="H23" s="145" t="s">
        <v>314</v>
      </c>
      <c r="I23" s="145" t="s">
        <v>1003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6">
        <v>44560</v>
      </c>
      <c r="Q23" s="145" t="s">
        <v>1210</v>
      </c>
      <c r="R23" s="145" t="s">
        <v>885</v>
      </c>
      <c r="S23" s="145" t="s">
        <v>889</v>
      </c>
      <c r="T23" s="172">
        <v>45747</v>
      </c>
      <c r="U23" s="146">
        <v>1</v>
      </c>
      <c r="V23" s="180">
        <v>885.03800000000001</v>
      </c>
      <c r="W23" s="146">
        <v>885.03800000000001</v>
      </c>
      <c r="X23" s="150"/>
      <c r="Y23" s="148">
        <v>5.6699999999999997E-3</v>
      </c>
      <c r="Z23" s="149">
        <v>8.4000000000000003E-4</v>
      </c>
      <c r="AA23" s="196"/>
    </row>
    <row r="24" spans="1:27" x14ac:dyDescent="0.2">
      <c r="A24" s="144" t="s">
        <v>1205</v>
      </c>
      <c r="B24" s="145" t="s">
        <v>1205</v>
      </c>
      <c r="C24" s="145" t="s">
        <v>2892</v>
      </c>
      <c r="D24" s="145"/>
      <c r="E24" s="150"/>
      <c r="F24" s="145" t="s">
        <v>2893</v>
      </c>
      <c r="G24" s="145" t="s">
        <v>2894</v>
      </c>
      <c r="H24" s="145" t="s">
        <v>314</v>
      </c>
      <c r="I24" s="145" t="s">
        <v>1004</v>
      </c>
      <c r="J24" s="150"/>
      <c r="K24" s="145" t="s">
        <v>204</v>
      </c>
      <c r="L24" s="150"/>
      <c r="M24" s="150"/>
      <c r="N24" s="145" t="s">
        <v>204</v>
      </c>
      <c r="O24" s="145" t="s">
        <v>339</v>
      </c>
      <c r="P24" s="176">
        <v>44722</v>
      </c>
      <c r="Q24" s="145" t="s">
        <v>1210</v>
      </c>
      <c r="R24" s="145" t="s">
        <v>885</v>
      </c>
      <c r="S24" s="145" t="s">
        <v>889</v>
      </c>
      <c r="T24" s="172">
        <v>45652</v>
      </c>
      <c r="U24" s="146">
        <v>1</v>
      </c>
      <c r="V24" s="180">
        <v>873.06399999999996</v>
      </c>
      <c r="W24" s="146">
        <v>873.06399999999996</v>
      </c>
      <c r="X24" s="148">
        <v>6.2E-4</v>
      </c>
      <c r="Y24" s="148">
        <v>5.5999999999999999E-3</v>
      </c>
      <c r="Z24" s="149">
        <v>8.3000000000000001E-4</v>
      </c>
      <c r="AA24" s="196"/>
    </row>
    <row r="25" spans="1:27" x14ac:dyDescent="0.2">
      <c r="A25" s="144" t="s">
        <v>1205</v>
      </c>
      <c r="B25" s="145" t="s">
        <v>1205</v>
      </c>
      <c r="C25" s="145" t="s">
        <v>2895</v>
      </c>
      <c r="D25" s="145"/>
      <c r="E25" s="150"/>
      <c r="F25" s="145" t="s">
        <v>2896</v>
      </c>
      <c r="G25" s="145" t="s">
        <v>2897</v>
      </c>
      <c r="H25" s="145" t="s">
        <v>314</v>
      </c>
      <c r="I25" s="145" t="s">
        <v>1000</v>
      </c>
      <c r="J25" s="150"/>
      <c r="K25" s="145" t="s">
        <v>204</v>
      </c>
      <c r="L25" s="150"/>
      <c r="M25" s="150"/>
      <c r="N25" s="145" t="s">
        <v>204</v>
      </c>
      <c r="O25" s="145" t="s">
        <v>339</v>
      </c>
      <c r="P25" s="176">
        <v>44560</v>
      </c>
      <c r="Q25" s="145" t="s">
        <v>1211</v>
      </c>
      <c r="R25" s="145" t="s">
        <v>885</v>
      </c>
      <c r="S25" s="145" t="s">
        <v>889</v>
      </c>
      <c r="T25" s="172">
        <v>45728</v>
      </c>
      <c r="U25" s="146">
        <v>3.718</v>
      </c>
      <c r="V25" s="180">
        <v>227.47848305540614</v>
      </c>
      <c r="W25" s="146">
        <v>845.76499999999999</v>
      </c>
      <c r="X25" s="148">
        <v>3.8999999999999999E-4</v>
      </c>
      <c r="Y25" s="148">
        <v>5.4200000000000003E-3</v>
      </c>
      <c r="Z25" s="149">
        <v>8.0000000000000004E-4</v>
      </c>
      <c r="AA25" s="196"/>
    </row>
    <row r="26" spans="1:27" x14ac:dyDescent="0.2">
      <c r="A26" s="144" t="s">
        <v>1205</v>
      </c>
      <c r="B26" s="145" t="s">
        <v>1205</v>
      </c>
      <c r="C26" s="145" t="s">
        <v>2898</v>
      </c>
      <c r="D26" s="145"/>
      <c r="E26" s="150"/>
      <c r="F26" s="145" t="s">
        <v>2899</v>
      </c>
      <c r="G26" s="145" t="s">
        <v>2900</v>
      </c>
      <c r="H26" s="145" t="s">
        <v>314</v>
      </c>
      <c r="I26" s="145" t="s">
        <v>1005</v>
      </c>
      <c r="J26" s="150"/>
      <c r="K26" s="145" t="s">
        <v>204</v>
      </c>
      <c r="L26" s="150"/>
      <c r="M26" s="150"/>
      <c r="N26" s="145" t="s">
        <v>224</v>
      </c>
      <c r="O26" s="145" t="s">
        <v>339</v>
      </c>
      <c r="P26" s="176">
        <v>44524</v>
      </c>
      <c r="Q26" s="145" t="s">
        <v>1211</v>
      </c>
      <c r="R26" s="145" t="s">
        <v>885</v>
      </c>
      <c r="S26" s="145" t="s">
        <v>889</v>
      </c>
      <c r="T26" s="172">
        <v>45670</v>
      </c>
      <c r="U26" s="146">
        <v>3.718</v>
      </c>
      <c r="V26" s="180">
        <v>225.39080150618614</v>
      </c>
      <c r="W26" s="146">
        <v>838.00300000000004</v>
      </c>
      <c r="X26" s="148">
        <v>2.1800000000000001E-3</v>
      </c>
      <c r="Y26" s="148">
        <v>5.3699999999999998E-3</v>
      </c>
      <c r="Z26" s="149">
        <v>8.0000000000000004E-4</v>
      </c>
      <c r="AA26" s="196"/>
    </row>
    <row r="27" spans="1:27" x14ac:dyDescent="0.2">
      <c r="A27" s="144" t="s">
        <v>1205</v>
      </c>
      <c r="B27" s="145" t="s">
        <v>1205</v>
      </c>
      <c r="C27" s="145" t="s">
        <v>2901</v>
      </c>
      <c r="D27" s="145"/>
      <c r="E27" s="150"/>
      <c r="F27" s="145" t="s">
        <v>2902</v>
      </c>
      <c r="G27" s="145" t="s">
        <v>2903</v>
      </c>
      <c r="H27" s="145" t="s">
        <v>314</v>
      </c>
      <c r="I27" s="145" t="s">
        <v>1005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6">
        <v>44633</v>
      </c>
      <c r="Q27" s="145" t="s">
        <v>1211</v>
      </c>
      <c r="R27" s="145" t="s">
        <v>885</v>
      </c>
      <c r="S27" s="145" t="s">
        <v>889</v>
      </c>
      <c r="T27" s="172">
        <v>45747</v>
      </c>
      <c r="U27" s="146">
        <v>3.718</v>
      </c>
      <c r="V27" s="180">
        <v>225.34776761699837</v>
      </c>
      <c r="W27" s="146">
        <v>837.84299999999996</v>
      </c>
      <c r="X27" s="148">
        <v>1.9300000000000001E-3</v>
      </c>
      <c r="Y27" s="148">
        <v>5.3699999999999998E-3</v>
      </c>
      <c r="Z27" s="149">
        <v>8.0000000000000004E-4</v>
      </c>
      <c r="AA27" s="196"/>
    </row>
    <row r="28" spans="1:27" x14ac:dyDescent="0.2">
      <c r="A28" s="144" t="s">
        <v>1205</v>
      </c>
      <c r="B28" s="145" t="s">
        <v>1205</v>
      </c>
      <c r="C28" s="145" t="s">
        <v>2904</v>
      </c>
      <c r="D28" s="145"/>
      <c r="E28" s="150"/>
      <c r="F28" s="145" t="s">
        <v>2905</v>
      </c>
      <c r="G28" s="145" t="s">
        <v>2906</v>
      </c>
      <c r="H28" s="145" t="s">
        <v>314</v>
      </c>
      <c r="I28" s="145" t="s">
        <v>1000</v>
      </c>
      <c r="J28" s="150"/>
      <c r="K28" s="145" t="s">
        <v>204</v>
      </c>
      <c r="L28" s="150"/>
      <c r="M28" s="150"/>
      <c r="N28" s="145" t="s">
        <v>224</v>
      </c>
      <c r="O28" s="145" t="s">
        <v>339</v>
      </c>
      <c r="P28" s="176">
        <v>45475</v>
      </c>
      <c r="Q28" s="145" t="s">
        <v>1211</v>
      </c>
      <c r="R28" s="145" t="s">
        <v>885</v>
      </c>
      <c r="S28" s="145" t="s">
        <v>889</v>
      </c>
      <c r="T28" s="172">
        <v>45657</v>
      </c>
      <c r="U28" s="146">
        <v>3.718</v>
      </c>
      <c r="V28" s="180">
        <v>219.11592253899946</v>
      </c>
      <c r="W28" s="146">
        <v>814.673</v>
      </c>
      <c r="X28" s="148">
        <v>0</v>
      </c>
      <c r="Y28" s="148">
        <v>5.2199999999999998E-3</v>
      </c>
      <c r="Z28" s="149">
        <v>7.6999999999999996E-4</v>
      </c>
      <c r="AA28" s="196"/>
    </row>
    <row r="29" spans="1:27" x14ac:dyDescent="0.2">
      <c r="A29" s="144" t="s">
        <v>1205</v>
      </c>
      <c r="B29" s="145" t="s">
        <v>1205</v>
      </c>
      <c r="C29" s="145" t="s">
        <v>2907</v>
      </c>
      <c r="D29" s="145"/>
      <c r="E29" s="150"/>
      <c r="F29" s="145" t="s">
        <v>2908</v>
      </c>
      <c r="G29" s="145" t="s">
        <v>2909</v>
      </c>
      <c r="H29" s="145" t="s">
        <v>314</v>
      </c>
      <c r="I29" s="145" t="s">
        <v>1000</v>
      </c>
      <c r="J29" s="150"/>
      <c r="K29" s="145" t="s">
        <v>204</v>
      </c>
      <c r="L29" s="150"/>
      <c r="M29" s="150"/>
      <c r="N29" s="145" t="s">
        <v>204</v>
      </c>
      <c r="O29" s="145" t="s">
        <v>339</v>
      </c>
      <c r="P29" s="176">
        <v>45215</v>
      </c>
      <c r="Q29" s="145" t="s">
        <v>1211</v>
      </c>
      <c r="R29" s="145" t="s">
        <v>885</v>
      </c>
      <c r="S29" s="145" t="s">
        <v>889</v>
      </c>
      <c r="T29" s="172">
        <v>45747</v>
      </c>
      <c r="U29" s="146">
        <v>3.718</v>
      </c>
      <c r="V29" s="180">
        <v>212.79666487358796</v>
      </c>
      <c r="W29" s="146">
        <v>791.178</v>
      </c>
      <c r="X29" s="148">
        <v>2.1000000000000001E-4</v>
      </c>
      <c r="Y29" s="148">
        <v>5.0699999999999999E-3</v>
      </c>
      <c r="Z29" s="149">
        <v>7.5000000000000002E-4</v>
      </c>
      <c r="AA29" s="196"/>
    </row>
    <row r="30" spans="1:27" x14ac:dyDescent="0.2">
      <c r="A30" s="144" t="s">
        <v>1205</v>
      </c>
      <c r="B30" s="145" t="s">
        <v>1205</v>
      </c>
      <c r="C30" s="145" t="s">
        <v>2910</v>
      </c>
      <c r="D30" s="145"/>
      <c r="E30" s="150"/>
      <c r="F30" s="145" t="s">
        <v>2911</v>
      </c>
      <c r="G30" s="145" t="s">
        <v>2912</v>
      </c>
      <c r="H30" s="145" t="s">
        <v>314</v>
      </c>
      <c r="I30" s="145" t="s">
        <v>1000</v>
      </c>
      <c r="J30" s="150"/>
      <c r="K30" s="145" t="s">
        <v>204</v>
      </c>
      <c r="L30" s="150"/>
      <c r="M30" s="150"/>
      <c r="N30" s="145" t="s">
        <v>204</v>
      </c>
      <c r="O30" s="145" t="s">
        <v>339</v>
      </c>
      <c r="P30" s="176">
        <v>41631</v>
      </c>
      <c r="Q30" s="145" t="s">
        <v>1211</v>
      </c>
      <c r="R30" s="145" t="s">
        <v>885</v>
      </c>
      <c r="S30" s="145" t="s">
        <v>889</v>
      </c>
      <c r="T30" s="172">
        <v>45744</v>
      </c>
      <c r="U30" s="146">
        <v>3.718</v>
      </c>
      <c r="V30" s="180">
        <v>209.1568047337278</v>
      </c>
      <c r="W30" s="146">
        <v>777.64499999999998</v>
      </c>
      <c r="X30" s="150"/>
      <c r="Y30" s="148">
        <v>4.9899999999999996E-3</v>
      </c>
      <c r="Z30" s="149">
        <v>7.3999999999999999E-4</v>
      </c>
      <c r="AA30" s="196"/>
    </row>
    <row r="31" spans="1:27" x14ac:dyDescent="0.2">
      <c r="A31" s="144" t="s">
        <v>1205</v>
      </c>
      <c r="B31" s="145" t="s">
        <v>1205</v>
      </c>
      <c r="C31" s="145" t="s">
        <v>2913</v>
      </c>
      <c r="D31" s="150"/>
      <c r="E31" s="150"/>
      <c r="F31" s="145" t="s">
        <v>2914</v>
      </c>
      <c r="G31" s="145" t="s">
        <v>2915</v>
      </c>
      <c r="H31" s="145" t="s">
        <v>314</v>
      </c>
      <c r="I31" s="145" t="s">
        <v>1000</v>
      </c>
      <c r="J31" s="150"/>
      <c r="K31" s="145" t="s">
        <v>204</v>
      </c>
      <c r="L31" s="150"/>
      <c r="M31" s="145"/>
      <c r="N31" s="145" t="s">
        <v>296</v>
      </c>
      <c r="O31" s="145" t="s">
        <v>339</v>
      </c>
      <c r="P31" s="176">
        <v>44633</v>
      </c>
      <c r="Q31" s="145" t="s">
        <v>1211</v>
      </c>
      <c r="R31" s="145" t="s">
        <v>885</v>
      </c>
      <c r="S31" s="145" t="s">
        <v>889</v>
      </c>
      <c r="T31" s="172">
        <v>45725</v>
      </c>
      <c r="U31" s="146">
        <v>3.718</v>
      </c>
      <c r="V31" s="180">
        <v>208.87869822485206</v>
      </c>
      <c r="W31" s="146">
        <v>776.61099999999999</v>
      </c>
      <c r="X31" s="150"/>
      <c r="Y31" s="148">
        <v>4.9800000000000001E-3</v>
      </c>
      <c r="Z31" s="149">
        <v>7.3999999999999999E-4</v>
      </c>
      <c r="AA31" s="196"/>
    </row>
    <row r="32" spans="1:27" x14ac:dyDescent="0.2">
      <c r="A32" s="144" t="s">
        <v>1205</v>
      </c>
      <c r="B32" s="145" t="s">
        <v>1205</v>
      </c>
      <c r="C32" s="145" t="s">
        <v>2916</v>
      </c>
      <c r="D32" s="150"/>
      <c r="E32" s="150"/>
      <c r="F32" s="145" t="s">
        <v>2917</v>
      </c>
      <c r="G32" s="145" t="s">
        <v>2918</v>
      </c>
      <c r="H32" s="145" t="s">
        <v>314</v>
      </c>
      <c r="I32" s="145" t="s">
        <v>1003</v>
      </c>
      <c r="J32" s="150"/>
      <c r="K32" s="145" t="s">
        <v>204</v>
      </c>
      <c r="L32" s="150"/>
      <c r="M32" s="150"/>
      <c r="N32" s="145" t="s">
        <v>204</v>
      </c>
      <c r="O32" s="145" t="s">
        <v>339</v>
      </c>
      <c r="P32" s="176">
        <v>45056</v>
      </c>
      <c r="Q32" s="145" t="s">
        <v>1210</v>
      </c>
      <c r="R32" s="145" t="s">
        <v>885</v>
      </c>
      <c r="S32" s="145" t="s">
        <v>889</v>
      </c>
      <c r="T32" s="172">
        <v>45707</v>
      </c>
      <c r="U32" s="146">
        <v>1</v>
      </c>
      <c r="V32" s="180">
        <v>776.58</v>
      </c>
      <c r="W32" s="146">
        <v>776.58</v>
      </c>
      <c r="X32" s="150"/>
      <c r="Y32" s="148">
        <v>4.9800000000000001E-3</v>
      </c>
      <c r="Z32" s="149">
        <v>7.3999999999999999E-4</v>
      </c>
      <c r="AA32" s="196"/>
    </row>
    <row r="33" spans="1:27" x14ac:dyDescent="0.2">
      <c r="A33" s="144" t="s">
        <v>1205</v>
      </c>
      <c r="B33" s="145" t="s">
        <v>1205</v>
      </c>
      <c r="C33" s="145" t="s">
        <v>2919</v>
      </c>
      <c r="D33" s="150"/>
      <c r="E33" s="150"/>
      <c r="F33" s="145" t="s">
        <v>2920</v>
      </c>
      <c r="G33" s="145" t="s">
        <v>2921</v>
      </c>
      <c r="H33" s="145" t="s">
        <v>314</v>
      </c>
      <c r="I33" s="145" t="s">
        <v>1000</v>
      </c>
      <c r="J33" s="150"/>
      <c r="K33" s="145" t="s">
        <v>204</v>
      </c>
      <c r="L33" s="150"/>
      <c r="M33" s="150"/>
      <c r="N33" s="145" t="s">
        <v>224</v>
      </c>
      <c r="O33" s="145" t="s">
        <v>339</v>
      </c>
      <c r="P33" s="176">
        <v>42209</v>
      </c>
      <c r="Q33" s="145" t="s">
        <v>1211</v>
      </c>
      <c r="R33" s="145" t="s">
        <v>885</v>
      </c>
      <c r="S33" s="145" t="s">
        <v>889</v>
      </c>
      <c r="T33" s="172">
        <v>45704</v>
      </c>
      <c r="U33" s="146">
        <v>3.718</v>
      </c>
      <c r="V33" s="180">
        <v>193.18854222700375</v>
      </c>
      <c r="W33" s="146">
        <v>718.27499999999998</v>
      </c>
      <c r="X33" s="150"/>
      <c r="Y33" s="148">
        <v>4.5999999999999999E-3</v>
      </c>
      <c r="Z33" s="149">
        <v>6.8000000000000005E-4</v>
      </c>
      <c r="AA33" s="196"/>
    </row>
    <row r="34" spans="1:27" x14ac:dyDescent="0.2">
      <c r="A34" s="144" t="s">
        <v>1205</v>
      </c>
      <c r="B34" s="145" t="s">
        <v>1205</v>
      </c>
      <c r="C34" s="145" t="s">
        <v>2922</v>
      </c>
      <c r="D34" s="151"/>
      <c r="E34" s="151"/>
      <c r="F34" s="145" t="s">
        <v>2922</v>
      </c>
      <c r="G34" s="145" t="s">
        <v>2923</v>
      </c>
      <c r="H34" s="145" t="s">
        <v>314</v>
      </c>
      <c r="I34" s="145" t="s">
        <v>1004</v>
      </c>
      <c r="J34" s="151"/>
      <c r="K34" s="145" t="s">
        <v>204</v>
      </c>
      <c r="L34" s="151"/>
      <c r="M34" s="151"/>
      <c r="N34" s="145" t="s">
        <v>204</v>
      </c>
      <c r="O34" s="145" t="s">
        <v>339</v>
      </c>
      <c r="P34" s="176">
        <v>44192</v>
      </c>
      <c r="Q34" s="145" t="s">
        <v>1210</v>
      </c>
      <c r="R34" s="145" t="s">
        <v>885</v>
      </c>
      <c r="S34" s="145" t="s">
        <v>889</v>
      </c>
      <c r="T34" s="177">
        <v>45742</v>
      </c>
      <c r="U34" s="146">
        <v>1</v>
      </c>
      <c r="V34" s="180">
        <v>710.23199999999997</v>
      </c>
      <c r="W34" s="146">
        <v>710.23199999999997</v>
      </c>
      <c r="X34" s="148">
        <v>1.74E-3</v>
      </c>
      <c r="Y34" s="148">
        <v>4.5500000000000002E-3</v>
      </c>
      <c r="Z34" s="149">
        <v>6.8000000000000005E-4</v>
      </c>
      <c r="AA34" s="196"/>
    </row>
    <row r="35" spans="1:27" x14ac:dyDescent="0.2">
      <c r="A35" s="144" t="s">
        <v>1205</v>
      </c>
      <c r="B35" s="145" t="s">
        <v>1205</v>
      </c>
      <c r="C35" s="145" t="s">
        <v>2924</v>
      </c>
      <c r="D35" s="151"/>
      <c r="E35" s="151"/>
      <c r="F35" s="145" t="s">
        <v>2925</v>
      </c>
      <c r="G35" s="145" t="s">
        <v>2926</v>
      </c>
      <c r="H35" s="145" t="s">
        <v>314</v>
      </c>
      <c r="I35" s="145" t="s">
        <v>1003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6">
        <v>43782</v>
      </c>
      <c r="Q35" s="145" t="s">
        <v>1210</v>
      </c>
      <c r="R35" s="145" t="s">
        <v>885</v>
      </c>
      <c r="S35" s="145" t="s">
        <v>889</v>
      </c>
      <c r="T35" s="177">
        <v>45744</v>
      </c>
      <c r="U35" s="146">
        <v>1</v>
      </c>
      <c r="V35" s="180">
        <v>687.25900000000001</v>
      </c>
      <c r="W35" s="146">
        <v>687.25900000000001</v>
      </c>
      <c r="X35" s="151"/>
      <c r="Y35" s="148">
        <v>4.4099999999999999E-3</v>
      </c>
      <c r="Z35" s="149">
        <v>6.4999999999999997E-4</v>
      </c>
      <c r="AA35" s="196"/>
    </row>
    <row r="36" spans="1:27" x14ac:dyDescent="0.2">
      <c r="A36" s="144" t="s">
        <v>1205</v>
      </c>
      <c r="B36" s="145" t="s">
        <v>1205</v>
      </c>
      <c r="C36" s="145" t="s">
        <v>2927</v>
      </c>
      <c r="D36" s="151"/>
      <c r="E36" s="151"/>
      <c r="F36" s="145" t="s">
        <v>2928</v>
      </c>
      <c r="G36" s="145" t="s">
        <v>2929</v>
      </c>
      <c r="H36" s="145" t="s">
        <v>314</v>
      </c>
      <c r="I36" s="145" t="s">
        <v>1005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6">
        <v>43194</v>
      </c>
      <c r="Q36" s="145" t="s">
        <v>1211</v>
      </c>
      <c r="R36" s="145" t="s">
        <v>885</v>
      </c>
      <c r="S36" s="145" t="s">
        <v>889</v>
      </c>
      <c r="T36" s="177">
        <v>45720</v>
      </c>
      <c r="U36" s="146">
        <v>3.718</v>
      </c>
      <c r="V36" s="180">
        <v>147.80069930069931</v>
      </c>
      <c r="W36" s="146">
        <v>549.52300000000002</v>
      </c>
      <c r="X36" s="148">
        <v>1.07E-3</v>
      </c>
      <c r="Y36" s="148">
        <v>3.5200000000000001E-3</v>
      </c>
      <c r="Z36" s="149">
        <v>5.1999999999999995E-4</v>
      </c>
      <c r="AA36" s="196"/>
    </row>
    <row r="37" spans="1:27" x14ac:dyDescent="0.2">
      <c r="A37" s="144" t="s">
        <v>1205</v>
      </c>
      <c r="B37" s="145" t="s">
        <v>1205</v>
      </c>
      <c r="C37" s="145" t="s">
        <v>2930</v>
      </c>
      <c r="D37" s="151"/>
      <c r="E37" s="151"/>
      <c r="F37" s="145" t="s">
        <v>2931</v>
      </c>
      <c r="G37" s="145" t="s">
        <v>2932</v>
      </c>
      <c r="H37" s="145" t="s">
        <v>314</v>
      </c>
      <c r="I37" s="145" t="s">
        <v>1003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6">
        <v>45034</v>
      </c>
      <c r="Q37" s="145" t="s">
        <v>1210</v>
      </c>
      <c r="R37" s="145" t="s">
        <v>885</v>
      </c>
      <c r="S37" s="145" t="s">
        <v>889</v>
      </c>
      <c r="T37" s="177">
        <v>45743</v>
      </c>
      <c r="U37" s="146">
        <v>1</v>
      </c>
      <c r="V37" s="180">
        <v>535.05899999999997</v>
      </c>
      <c r="W37" s="146">
        <v>535.05899999999997</v>
      </c>
      <c r="X37" s="148">
        <v>1.3999999999999999E-4</v>
      </c>
      <c r="Y37" s="148">
        <v>3.4299999999999999E-3</v>
      </c>
      <c r="Z37" s="149">
        <v>5.1000000000000004E-4</v>
      </c>
      <c r="AA37" s="196"/>
    </row>
    <row r="38" spans="1:27" x14ac:dyDescent="0.2">
      <c r="A38" s="144" t="s">
        <v>1205</v>
      </c>
      <c r="B38" s="145" t="s">
        <v>1205</v>
      </c>
      <c r="C38" s="145" t="s">
        <v>2933</v>
      </c>
      <c r="D38" s="151"/>
      <c r="E38" s="151"/>
      <c r="F38" s="145" t="s">
        <v>2934</v>
      </c>
      <c r="G38" s="145" t="s">
        <v>2935</v>
      </c>
      <c r="H38" s="145" t="s">
        <v>314</v>
      </c>
      <c r="I38" s="145" t="s">
        <v>1005</v>
      </c>
      <c r="J38" s="151"/>
      <c r="K38" s="145" t="s">
        <v>204</v>
      </c>
      <c r="L38" s="151"/>
      <c r="M38" s="151"/>
      <c r="N38" s="145" t="s">
        <v>204</v>
      </c>
      <c r="O38" s="145" t="s">
        <v>339</v>
      </c>
      <c r="P38" s="176">
        <v>44143</v>
      </c>
      <c r="Q38" s="145" t="s">
        <v>1211</v>
      </c>
      <c r="R38" s="145" t="s">
        <v>885</v>
      </c>
      <c r="S38" s="145" t="s">
        <v>889</v>
      </c>
      <c r="T38" s="177">
        <v>45746</v>
      </c>
      <c r="U38" s="146">
        <v>3.718</v>
      </c>
      <c r="V38" s="180">
        <v>134.89564281871972</v>
      </c>
      <c r="W38" s="146">
        <v>501.54199999999997</v>
      </c>
      <c r="X38" s="148">
        <v>4.4000000000000002E-4</v>
      </c>
      <c r="Y38" s="148">
        <v>3.2200000000000002E-3</v>
      </c>
      <c r="Z38" s="149">
        <v>4.8000000000000001E-4</v>
      </c>
      <c r="AA38" s="196"/>
    </row>
    <row r="39" spans="1:27" x14ac:dyDescent="0.2">
      <c r="A39" s="144" t="s">
        <v>1205</v>
      </c>
      <c r="B39" s="145" t="s">
        <v>1205</v>
      </c>
      <c r="C39" s="145" t="s">
        <v>2936</v>
      </c>
      <c r="D39" s="151"/>
      <c r="E39" s="151"/>
      <c r="F39" s="145" t="s">
        <v>2937</v>
      </c>
      <c r="G39" s="145" t="s">
        <v>2938</v>
      </c>
      <c r="H39" s="145" t="s">
        <v>314</v>
      </c>
      <c r="I39" s="145" t="s">
        <v>1000</v>
      </c>
      <c r="J39" s="151"/>
      <c r="K39" s="145" t="s">
        <v>204</v>
      </c>
      <c r="L39" s="151"/>
      <c r="M39" s="151"/>
      <c r="N39" s="145" t="s">
        <v>224</v>
      </c>
      <c r="O39" s="145" t="s">
        <v>339</v>
      </c>
      <c r="P39" s="176">
        <v>44938</v>
      </c>
      <c r="Q39" s="145" t="s">
        <v>1211</v>
      </c>
      <c r="R39" s="145" t="s">
        <v>885</v>
      </c>
      <c r="S39" s="145" t="s">
        <v>889</v>
      </c>
      <c r="T39" s="177">
        <v>45691</v>
      </c>
      <c r="U39" s="146">
        <v>3.718</v>
      </c>
      <c r="V39" s="180">
        <v>120.70683162990856</v>
      </c>
      <c r="W39" s="146">
        <v>448.78800000000001</v>
      </c>
      <c r="X39" s="148">
        <v>3.8000000000000002E-4</v>
      </c>
      <c r="Y39" s="148">
        <v>2.8800000000000002E-3</v>
      </c>
      <c r="Z39" s="149">
        <v>4.2999999999999999E-4</v>
      </c>
      <c r="AA39" s="196"/>
    </row>
    <row r="40" spans="1:27" x14ac:dyDescent="0.2">
      <c r="A40" s="144" t="s">
        <v>1205</v>
      </c>
      <c r="B40" s="145" t="s">
        <v>1205</v>
      </c>
      <c r="C40" s="145" t="s">
        <v>2939</v>
      </c>
      <c r="D40" s="151"/>
      <c r="E40" s="151"/>
      <c r="F40" s="145" t="s">
        <v>2940</v>
      </c>
      <c r="G40" s="145" t="s">
        <v>2941</v>
      </c>
      <c r="H40" s="145" t="s">
        <v>314</v>
      </c>
      <c r="I40" s="145" t="s">
        <v>1001</v>
      </c>
      <c r="J40" s="151"/>
      <c r="K40" s="145" t="s">
        <v>204</v>
      </c>
      <c r="L40" s="151"/>
      <c r="M40" s="151"/>
      <c r="N40" s="145" t="s">
        <v>204</v>
      </c>
      <c r="O40" s="145" t="s">
        <v>339</v>
      </c>
      <c r="P40" s="176">
        <v>43398</v>
      </c>
      <c r="Q40" s="145" t="s">
        <v>1210</v>
      </c>
      <c r="R40" s="145" t="s">
        <v>885</v>
      </c>
      <c r="S40" s="145" t="s">
        <v>889</v>
      </c>
      <c r="T40" s="177">
        <v>45714</v>
      </c>
      <c r="U40" s="146">
        <v>1</v>
      </c>
      <c r="V40" s="180">
        <v>434.61</v>
      </c>
      <c r="W40" s="146">
        <v>434.61</v>
      </c>
      <c r="X40" s="151"/>
      <c r="Y40" s="148">
        <v>2.7899999999999999E-3</v>
      </c>
      <c r="Z40" s="149">
        <v>4.0999999999999999E-4</v>
      </c>
      <c r="AA40" s="196"/>
    </row>
    <row r="41" spans="1:27" x14ac:dyDescent="0.2">
      <c r="A41" s="144" t="s">
        <v>1205</v>
      </c>
      <c r="B41" s="145" t="s">
        <v>1205</v>
      </c>
      <c r="C41" s="145" t="s">
        <v>2942</v>
      </c>
      <c r="D41" s="151"/>
      <c r="E41" s="151"/>
      <c r="F41" s="145" t="s">
        <v>2943</v>
      </c>
      <c r="G41" s="145" t="s">
        <v>2944</v>
      </c>
      <c r="H41" s="145" t="s">
        <v>314</v>
      </c>
      <c r="I41" s="145" t="s">
        <v>1005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6">
        <v>45504</v>
      </c>
      <c r="Q41" s="145" t="s">
        <v>1211</v>
      </c>
      <c r="R41" s="145" t="s">
        <v>885</v>
      </c>
      <c r="S41" s="145" t="s">
        <v>889</v>
      </c>
      <c r="T41" s="177">
        <v>45747</v>
      </c>
      <c r="U41" s="146">
        <v>3.718</v>
      </c>
      <c r="V41" s="180">
        <v>105.2533620225928</v>
      </c>
      <c r="W41" s="146">
        <v>391.33199999999999</v>
      </c>
      <c r="X41" s="151"/>
      <c r="Y41" s="148">
        <v>2.5100000000000001E-3</v>
      </c>
      <c r="Z41" s="149">
        <v>3.6999999999999999E-4</v>
      </c>
      <c r="AA41" s="196"/>
    </row>
    <row r="42" spans="1:27" x14ac:dyDescent="0.2">
      <c r="A42" s="144" t="s">
        <v>1205</v>
      </c>
      <c r="B42" s="145" t="s">
        <v>1205</v>
      </c>
      <c r="C42" s="145" t="s">
        <v>2945</v>
      </c>
      <c r="D42" s="151"/>
      <c r="E42" s="151"/>
      <c r="F42" s="145" t="s">
        <v>2946</v>
      </c>
      <c r="G42" s="145" t="s">
        <v>2947</v>
      </c>
      <c r="H42" s="145" t="s">
        <v>314</v>
      </c>
      <c r="I42" s="145" t="s">
        <v>1005</v>
      </c>
      <c r="J42" s="151"/>
      <c r="K42" s="145" t="s">
        <v>204</v>
      </c>
      <c r="L42" s="151"/>
      <c r="M42" s="151"/>
      <c r="N42" s="145" t="s">
        <v>204</v>
      </c>
      <c r="O42" s="145" t="s">
        <v>339</v>
      </c>
      <c r="P42" s="176">
        <v>41673</v>
      </c>
      <c r="Q42" s="145" t="s">
        <v>1211</v>
      </c>
      <c r="R42" s="145" t="s">
        <v>885</v>
      </c>
      <c r="S42" s="145" t="s">
        <v>889</v>
      </c>
      <c r="T42" s="177">
        <v>45747</v>
      </c>
      <c r="U42" s="146">
        <v>3.718</v>
      </c>
      <c r="V42" s="180">
        <v>102.22485207100591</v>
      </c>
      <c r="W42" s="146">
        <v>380.072</v>
      </c>
      <c r="X42" s="151"/>
      <c r="Y42" s="148">
        <v>2.4399999999999999E-3</v>
      </c>
      <c r="Z42" s="149">
        <v>3.6000000000000002E-4</v>
      </c>
      <c r="AA42" s="196"/>
    </row>
    <row r="43" spans="1:27" x14ac:dyDescent="0.2">
      <c r="A43" s="144" t="s">
        <v>1205</v>
      </c>
      <c r="B43" s="145" t="s">
        <v>1205</v>
      </c>
      <c r="C43" s="145" t="s">
        <v>2948</v>
      </c>
      <c r="D43" s="151"/>
      <c r="E43" s="151"/>
      <c r="F43" s="145" t="s">
        <v>2949</v>
      </c>
      <c r="G43" s="145" t="s">
        <v>2950</v>
      </c>
      <c r="H43" s="145" t="s">
        <v>314</v>
      </c>
      <c r="I43" s="145" t="s">
        <v>1000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6">
        <v>41148</v>
      </c>
      <c r="Q43" s="145" t="s">
        <v>1211</v>
      </c>
      <c r="R43" s="145" t="s">
        <v>885</v>
      </c>
      <c r="S43" s="145" t="s">
        <v>889</v>
      </c>
      <c r="T43" s="177">
        <v>45715</v>
      </c>
      <c r="U43" s="146">
        <v>3.718</v>
      </c>
      <c r="V43" s="180">
        <v>76.815223238300163</v>
      </c>
      <c r="W43" s="146">
        <v>285.59899999999999</v>
      </c>
      <c r="X43" s="151"/>
      <c r="Y43" s="148">
        <v>1.83E-3</v>
      </c>
      <c r="Z43" s="149">
        <v>2.7E-4</v>
      </c>
      <c r="AA43" s="196"/>
    </row>
    <row r="44" spans="1:27" x14ac:dyDescent="0.2">
      <c r="A44" s="144" t="s">
        <v>1205</v>
      </c>
      <c r="B44" s="145" t="s">
        <v>1205</v>
      </c>
      <c r="C44" s="145" t="s">
        <v>2951</v>
      </c>
      <c r="D44" s="151"/>
      <c r="E44" s="151"/>
      <c r="F44" s="145" t="s">
        <v>2952</v>
      </c>
      <c r="G44" s="145" t="s">
        <v>2953</v>
      </c>
      <c r="H44" s="145" t="s">
        <v>314</v>
      </c>
      <c r="I44" s="145" t="s">
        <v>1003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6">
        <v>42982</v>
      </c>
      <c r="Q44" s="145" t="s">
        <v>1210</v>
      </c>
      <c r="R44" s="145" t="s">
        <v>885</v>
      </c>
      <c r="S44" s="145" t="s">
        <v>889</v>
      </c>
      <c r="T44" s="177">
        <v>45747</v>
      </c>
      <c r="U44" s="146">
        <v>1</v>
      </c>
      <c r="V44" s="180">
        <v>186.24600000000001</v>
      </c>
      <c r="W44" s="146">
        <v>186.24600000000001</v>
      </c>
      <c r="X44" s="151"/>
      <c r="Y44" s="148">
        <v>1.1900000000000001E-3</v>
      </c>
      <c r="Z44" s="149">
        <v>1.8000000000000001E-4</v>
      </c>
      <c r="AA44" s="196"/>
    </row>
    <row r="45" spans="1:27" x14ac:dyDescent="0.2">
      <c r="A45" s="144" t="s">
        <v>1205</v>
      </c>
      <c r="B45" s="145" t="s">
        <v>1205</v>
      </c>
      <c r="C45" s="145" t="s">
        <v>2954</v>
      </c>
      <c r="D45" s="151"/>
      <c r="E45" s="151"/>
      <c r="F45" s="145" t="s">
        <v>2890</v>
      </c>
      <c r="G45" s="145" t="s">
        <v>2955</v>
      </c>
      <c r="H45" s="145" t="s">
        <v>314</v>
      </c>
      <c r="I45" s="145" t="s">
        <v>1003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6">
        <v>42572</v>
      </c>
      <c r="Q45" s="145" t="s">
        <v>1210</v>
      </c>
      <c r="R45" s="145" t="s">
        <v>885</v>
      </c>
      <c r="S45" s="145" t="s">
        <v>889</v>
      </c>
      <c r="T45" s="177">
        <v>45747</v>
      </c>
      <c r="U45" s="146">
        <v>1</v>
      </c>
      <c r="V45" s="180">
        <v>169.95500000000001</v>
      </c>
      <c r="W45" s="146">
        <v>169.95500000000001</v>
      </c>
      <c r="X45" s="151"/>
      <c r="Y45" s="148">
        <v>1.09E-3</v>
      </c>
      <c r="Z45" s="149">
        <v>1.6000000000000001E-4</v>
      </c>
      <c r="AA45" s="196"/>
    </row>
    <row r="46" spans="1:27" x14ac:dyDescent="0.2">
      <c r="A46" s="144" t="s">
        <v>1205</v>
      </c>
      <c r="B46" s="145" t="s">
        <v>1205</v>
      </c>
      <c r="C46" s="145" t="s">
        <v>2956</v>
      </c>
      <c r="D46" s="151"/>
      <c r="E46" s="151"/>
      <c r="F46" s="145" t="s">
        <v>2956</v>
      </c>
      <c r="G46" s="145" t="s">
        <v>2957</v>
      </c>
      <c r="H46" s="145" t="s">
        <v>314</v>
      </c>
      <c r="I46" s="145" t="s">
        <v>1001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6">
        <v>45576</v>
      </c>
      <c r="Q46" s="145" t="s">
        <v>1210</v>
      </c>
      <c r="R46" s="145" t="s">
        <v>885</v>
      </c>
      <c r="S46" s="145" t="s">
        <v>889</v>
      </c>
      <c r="T46" s="177">
        <v>45747</v>
      </c>
      <c r="U46" s="146">
        <v>1</v>
      </c>
      <c r="V46" s="180">
        <v>132.49100000000001</v>
      </c>
      <c r="W46" s="146">
        <v>132.49100000000001</v>
      </c>
      <c r="X46" s="148">
        <v>6.0000000000000002E-5</v>
      </c>
      <c r="Y46" s="148">
        <v>8.4999999999999995E-4</v>
      </c>
      <c r="Z46" s="149">
        <v>1.2999999999999999E-4</v>
      </c>
      <c r="AA46" s="196"/>
    </row>
    <row r="47" spans="1:27" x14ac:dyDescent="0.2">
      <c r="A47" s="144" t="s">
        <v>1205</v>
      </c>
      <c r="B47" s="145" t="s">
        <v>1205</v>
      </c>
      <c r="C47" s="145" t="s">
        <v>2958</v>
      </c>
      <c r="D47" s="151"/>
      <c r="E47" s="151"/>
      <c r="F47" s="145" t="s">
        <v>2959</v>
      </c>
      <c r="G47" s="145" t="s">
        <v>2960</v>
      </c>
      <c r="H47" s="145" t="s">
        <v>314</v>
      </c>
      <c r="I47" s="145" t="s">
        <v>1003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6">
        <v>42753</v>
      </c>
      <c r="Q47" s="145" t="s">
        <v>1210</v>
      </c>
      <c r="R47" s="145" t="s">
        <v>885</v>
      </c>
      <c r="S47" s="145" t="s">
        <v>889</v>
      </c>
      <c r="T47" s="177">
        <v>45691</v>
      </c>
      <c r="U47" s="146">
        <v>1</v>
      </c>
      <c r="V47" s="180">
        <v>122.03100000000001</v>
      </c>
      <c r="W47" s="146">
        <v>122.03100000000001</v>
      </c>
      <c r="X47" s="151"/>
      <c r="Y47" s="148">
        <v>7.7999999999999999E-4</v>
      </c>
      <c r="Z47" s="149">
        <v>1.2E-4</v>
      </c>
      <c r="AA47" s="196"/>
    </row>
    <row r="48" spans="1:27" x14ac:dyDescent="0.2">
      <c r="A48" s="144" t="s">
        <v>1205</v>
      </c>
      <c r="B48" s="145" t="s">
        <v>1205</v>
      </c>
      <c r="C48" s="145" t="s">
        <v>2840</v>
      </c>
      <c r="D48" s="151"/>
      <c r="E48" s="151"/>
      <c r="F48" s="145" t="s">
        <v>2961</v>
      </c>
      <c r="G48" s="145" t="s">
        <v>2962</v>
      </c>
      <c r="H48" s="145" t="s">
        <v>314</v>
      </c>
      <c r="I48" s="145" t="s">
        <v>1004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6">
        <v>45250</v>
      </c>
      <c r="Q48" s="145" t="s">
        <v>1210</v>
      </c>
      <c r="R48" s="145" t="s">
        <v>885</v>
      </c>
      <c r="S48" s="145" t="s">
        <v>889</v>
      </c>
      <c r="T48" s="177">
        <v>45747</v>
      </c>
      <c r="U48" s="146">
        <v>1</v>
      </c>
      <c r="V48" s="180">
        <v>75.606999999999999</v>
      </c>
      <c r="W48" s="146">
        <v>75.606999999999999</v>
      </c>
      <c r="X48" s="148">
        <v>9.0000000000000006E-5</v>
      </c>
      <c r="Y48" s="148">
        <v>4.8000000000000001E-4</v>
      </c>
      <c r="Z48" s="149">
        <v>6.9999999999999994E-5</v>
      </c>
      <c r="AA48" s="196"/>
    </row>
    <row r="49" spans="1:27" x14ac:dyDescent="0.2">
      <c r="A49" s="144" t="s">
        <v>1205</v>
      </c>
      <c r="B49" s="145" t="s">
        <v>1205</v>
      </c>
      <c r="C49" s="145" t="s">
        <v>2872</v>
      </c>
      <c r="D49" s="151"/>
      <c r="E49" s="151"/>
      <c r="F49" s="145" t="s">
        <v>2963</v>
      </c>
      <c r="G49" s="145" t="s">
        <v>2964</v>
      </c>
      <c r="H49" s="145" t="s">
        <v>314</v>
      </c>
      <c r="I49" s="145" t="s">
        <v>1005</v>
      </c>
      <c r="J49" s="151"/>
      <c r="K49" s="145" t="s">
        <v>204</v>
      </c>
      <c r="L49" s="151"/>
      <c r="M49" s="151"/>
      <c r="N49" s="145" t="s">
        <v>204</v>
      </c>
      <c r="O49" s="145" t="s">
        <v>339</v>
      </c>
      <c r="P49" s="176">
        <v>43642</v>
      </c>
      <c r="Q49" s="145" t="s">
        <v>1211</v>
      </c>
      <c r="R49" s="145" t="s">
        <v>885</v>
      </c>
      <c r="S49" s="145" t="s">
        <v>889</v>
      </c>
      <c r="T49" s="177">
        <v>45747</v>
      </c>
      <c r="U49" s="146">
        <v>3.718</v>
      </c>
      <c r="V49" s="180">
        <v>2.5632060247444861</v>
      </c>
      <c r="W49" s="146">
        <v>9.5299999999999994</v>
      </c>
      <c r="X49" s="151"/>
      <c r="Y49" s="148">
        <v>6.0000000000000002E-5</v>
      </c>
      <c r="Z49" s="149">
        <v>1.0000000000000001E-5</v>
      </c>
      <c r="AA49" s="196"/>
    </row>
    <row r="50" spans="1:27" x14ac:dyDescent="0.2">
      <c r="A50" s="144" t="s">
        <v>1205</v>
      </c>
      <c r="B50" s="145" t="s">
        <v>1205</v>
      </c>
      <c r="C50" s="145" t="s">
        <v>314</v>
      </c>
      <c r="D50" s="151"/>
      <c r="E50" s="151"/>
      <c r="F50" s="145" t="s">
        <v>2965</v>
      </c>
      <c r="G50" s="145" t="s">
        <v>2966</v>
      </c>
      <c r="H50" s="145" t="s">
        <v>314</v>
      </c>
      <c r="I50" s="145" t="s">
        <v>1005</v>
      </c>
      <c r="J50" s="151"/>
      <c r="K50" s="145" t="s">
        <v>204</v>
      </c>
      <c r="L50" s="151"/>
      <c r="M50" s="151"/>
      <c r="N50" s="145" t="s">
        <v>224</v>
      </c>
      <c r="O50" s="145" t="s">
        <v>339</v>
      </c>
      <c r="P50" s="176">
        <v>39387</v>
      </c>
      <c r="Q50" s="145" t="s">
        <v>1211</v>
      </c>
      <c r="R50" s="145" t="s">
        <v>885</v>
      </c>
      <c r="S50" s="145" t="s">
        <v>889</v>
      </c>
      <c r="T50" s="177">
        <v>45131</v>
      </c>
      <c r="U50" s="146">
        <v>3.718</v>
      </c>
      <c r="V50" s="180">
        <v>1.8558364712210866</v>
      </c>
      <c r="W50" s="146">
        <v>6.9</v>
      </c>
      <c r="X50" s="151"/>
      <c r="Y50" s="148">
        <v>4.0000000000000003E-5</v>
      </c>
      <c r="Z50" s="149">
        <v>1.0000000000000001E-5</v>
      </c>
      <c r="AA50" s="196"/>
    </row>
    <row r="51" spans="1:27" x14ac:dyDescent="0.2">
      <c r="A51" s="144" t="s">
        <v>1205</v>
      </c>
      <c r="B51" s="145" t="s">
        <v>1205</v>
      </c>
      <c r="C51" s="145" t="s">
        <v>2852</v>
      </c>
      <c r="D51" s="151"/>
      <c r="E51" s="151"/>
      <c r="F51" s="145" t="s">
        <v>2967</v>
      </c>
      <c r="G51" s="145" t="s">
        <v>2968</v>
      </c>
      <c r="H51" s="145" t="s">
        <v>314</v>
      </c>
      <c r="I51" s="145" t="s">
        <v>1003</v>
      </c>
      <c r="J51" s="151"/>
      <c r="K51" s="145" t="s">
        <v>204</v>
      </c>
      <c r="L51" s="151"/>
      <c r="M51" s="151"/>
      <c r="N51" s="145" t="s">
        <v>204</v>
      </c>
      <c r="O51" s="145" t="s">
        <v>339</v>
      </c>
      <c r="P51" s="176">
        <v>42019</v>
      </c>
      <c r="Q51" s="145" t="s">
        <v>1210</v>
      </c>
      <c r="R51" s="145" t="s">
        <v>885</v>
      </c>
      <c r="S51" s="145" t="s">
        <v>889</v>
      </c>
      <c r="T51" s="177">
        <v>45742</v>
      </c>
      <c r="U51" s="146">
        <v>1</v>
      </c>
      <c r="V51" s="180">
        <v>4.8730000000000002</v>
      </c>
      <c r="W51" s="146">
        <v>4.8730000000000002</v>
      </c>
      <c r="X51" s="151"/>
      <c r="Y51" s="148">
        <v>3.0000000000000001E-5</v>
      </c>
      <c r="Z51" s="149">
        <v>0</v>
      </c>
      <c r="AA51" s="196"/>
    </row>
    <row r="52" spans="1:27" x14ac:dyDescent="0.2">
      <c r="A52" s="144" t="s">
        <v>1205</v>
      </c>
      <c r="B52" s="145" t="s">
        <v>1205</v>
      </c>
      <c r="C52" s="145" t="s">
        <v>2969</v>
      </c>
      <c r="D52" s="151"/>
      <c r="E52" s="151"/>
      <c r="F52" s="145" t="s">
        <v>2970</v>
      </c>
      <c r="G52" s="145" t="s">
        <v>2971</v>
      </c>
      <c r="H52" s="145" t="s">
        <v>314</v>
      </c>
      <c r="I52" s="145" t="s">
        <v>1004</v>
      </c>
      <c r="J52" s="151"/>
      <c r="K52" s="145" t="s">
        <v>204</v>
      </c>
      <c r="L52" s="151"/>
      <c r="M52" s="151"/>
      <c r="N52" s="145" t="s">
        <v>204</v>
      </c>
      <c r="O52" s="145" t="s">
        <v>339</v>
      </c>
      <c r="P52" s="176">
        <v>41015</v>
      </c>
      <c r="Q52" s="145" t="s">
        <v>1211</v>
      </c>
      <c r="R52" s="145" t="s">
        <v>885</v>
      </c>
      <c r="S52" s="145" t="s">
        <v>889</v>
      </c>
      <c r="T52" s="177">
        <v>45382</v>
      </c>
      <c r="U52" s="146">
        <v>3.718</v>
      </c>
      <c r="V52" s="180">
        <v>0.16218396987627756</v>
      </c>
      <c r="W52" s="146">
        <v>0.60299999999999998</v>
      </c>
      <c r="X52" s="151"/>
      <c r="Y52" s="148">
        <v>0</v>
      </c>
      <c r="Z52" s="149">
        <v>0</v>
      </c>
      <c r="AA52" s="196"/>
    </row>
    <row r="53" spans="1:27" x14ac:dyDescent="0.2">
      <c r="A53" s="144" t="s">
        <v>1205</v>
      </c>
      <c r="B53" s="145" t="s">
        <v>1205</v>
      </c>
      <c r="C53" s="145" t="s">
        <v>2969</v>
      </c>
      <c r="D53" s="151"/>
      <c r="E53" s="151"/>
      <c r="F53" s="145" t="s">
        <v>2972</v>
      </c>
      <c r="G53" s="145" t="s">
        <v>2973</v>
      </c>
      <c r="H53" s="145" t="s">
        <v>314</v>
      </c>
      <c r="I53" s="145" t="s">
        <v>1004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6">
        <v>42061</v>
      </c>
      <c r="Q53" s="145" t="s">
        <v>1210</v>
      </c>
      <c r="R53" s="145" t="s">
        <v>885</v>
      </c>
      <c r="S53" s="145" t="s">
        <v>889</v>
      </c>
      <c r="T53" s="177">
        <v>45386</v>
      </c>
      <c r="U53" s="146">
        <v>1</v>
      </c>
      <c r="V53" s="180"/>
      <c r="W53" s="146">
        <v>0</v>
      </c>
      <c r="X53" s="151"/>
      <c r="Y53" s="148">
        <v>0</v>
      </c>
      <c r="Z53" s="149">
        <v>0</v>
      </c>
      <c r="AA53" s="196"/>
    </row>
    <row r="54" spans="1:27" x14ac:dyDescent="0.2">
      <c r="A54" s="144" t="s">
        <v>1205</v>
      </c>
      <c r="B54" s="145" t="s">
        <v>1205</v>
      </c>
      <c r="C54" s="145" t="s">
        <v>2974</v>
      </c>
      <c r="D54" s="151"/>
      <c r="E54" s="151"/>
      <c r="F54" s="145" t="s">
        <v>2975</v>
      </c>
      <c r="G54" s="145" t="s">
        <v>2976</v>
      </c>
      <c r="H54" s="145" t="s">
        <v>314</v>
      </c>
      <c r="I54" s="145" t="s">
        <v>1001</v>
      </c>
      <c r="J54" s="151"/>
      <c r="K54" s="145" t="s">
        <v>204</v>
      </c>
      <c r="L54" s="151"/>
      <c r="M54" s="151"/>
      <c r="N54" s="145" t="s">
        <v>204</v>
      </c>
      <c r="O54" s="145" t="s">
        <v>339</v>
      </c>
      <c r="P54" s="176">
        <v>39964</v>
      </c>
      <c r="Q54" s="145" t="s">
        <v>1211</v>
      </c>
      <c r="R54" s="145" t="s">
        <v>885</v>
      </c>
      <c r="S54" s="145" t="s">
        <v>889</v>
      </c>
      <c r="T54" s="177">
        <v>45466</v>
      </c>
      <c r="U54" s="146">
        <v>3.718</v>
      </c>
      <c r="V54" s="180"/>
      <c r="W54" s="146">
        <v>0</v>
      </c>
      <c r="X54" s="151"/>
      <c r="Y54" s="148">
        <v>0</v>
      </c>
      <c r="Z54" s="149">
        <v>0</v>
      </c>
      <c r="AA54" s="196"/>
    </row>
    <row r="55" spans="1:27" x14ac:dyDescent="0.2">
      <c r="A55" s="144" t="s">
        <v>1205</v>
      </c>
      <c r="B55" s="145" t="s">
        <v>1205</v>
      </c>
      <c r="C55" s="145" t="s">
        <v>2977</v>
      </c>
      <c r="D55" s="151"/>
      <c r="E55" s="151"/>
      <c r="F55" s="145" t="s">
        <v>2978</v>
      </c>
      <c r="G55" s="145" t="s">
        <v>2979</v>
      </c>
      <c r="H55" s="145" t="s">
        <v>314</v>
      </c>
      <c r="I55" s="145" t="s">
        <v>1000</v>
      </c>
      <c r="J55" s="151"/>
      <c r="K55" s="145" t="s">
        <v>205</v>
      </c>
      <c r="L55" s="151"/>
      <c r="M55" s="151"/>
      <c r="N55" s="145" t="s">
        <v>224</v>
      </c>
      <c r="O55" s="145" t="s">
        <v>339</v>
      </c>
      <c r="P55" s="176">
        <v>44679</v>
      </c>
      <c r="Q55" s="145" t="s">
        <v>1211</v>
      </c>
      <c r="R55" s="145" t="s">
        <v>885</v>
      </c>
      <c r="S55" s="145" t="s">
        <v>889</v>
      </c>
      <c r="T55" s="177">
        <v>45735</v>
      </c>
      <c r="U55" s="146">
        <v>3.718</v>
      </c>
      <c r="V55" s="180">
        <v>1133.6775147928995</v>
      </c>
      <c r="W55" s="146">
        <v>4215.0129999999999</v>
      </c>
      <c r="X55" s="148">
        <v>3.1E-4</v>
      </c>
      <c r="Y55" s="148">
        <v>2.7019999999999999E-2</v>
      </c>
      <c r="Z55" s="149">
        <v>4.0099999999999997E-3</v>
      </c>
      <c r="AA55" s="196"/>
    </row>
    <row r="56" spans="1:27" x14ac:dyDescent="0.2">
      <c r="A56" s="144" t="s">
        <v>1205</v>
      </c>
      <c r="B56" s="145" t="s">
        <v>1205</v>
      </c>
      <c r="C56" s="145" t="s">
        <v>314</v>
      </c>
      <c r="D56" s="151"/>
      <c r="E56" s="151"/>
      <c r="F56" s="145" t="s">
        <v>2980</v>
      </c>
      <c r="G56" s="145" t="s">
        <v>2981</v>
      </c>
      <c r="H56" s="145" t="s">
        <v>314</v>
      </c>
      <c r="I56" s="145" t="s">
        <v>1005</v>
      </c>
      <c r="J56" s="151"/>
      <c r="K56" s="145" t="s">
        <v>205</v>
      </c>
      <c r="L56" s="151"/>
      <c r="M56" s="151"/>
      <c r="N56" s="145" t="s">
        <v>224</v>
      </c>
      <c r="O56" s="145" t="s">
        <v>339</v>
      </c>
      <c r="P56" s="176">
        <v>43761</v>
      </c>
      <c r="Q56" s="145" t="s">
        <v>1211</v>
      </c>
      <c r="R56" s="145" t="s">
        <v>885</v>
      </c>
      <c r="S56" s="145" t="s">
        <v>889</v>
      </c>
      <c r="T56" s="177">
        <v>45747</v>
      </c>
      <c r="U56" s="146">
        <v>3.718</v>
      </c>
      <c r="V56" s="180">
        <v>943.56508875739655</v>
      </c>
      <c r="W56" s="146">
        <v>3508.1750000000002</v>
      </c>
      <c r="X56" s="148">
        <v>3.0000000000000001E-5</v>
      </c>
      <c r="Y56" s="148">
        <v>2.249E-2</v>
      </c>
      <c r="Z56" s="149">
        <v>3.3400000000000001E-3</v>
      </c>
      <c r="AA56" s="196"/>
    </row>
    <row r="57" spans="1:27" x14ac:dyDescent="0.2">
      <c r="A57" s="144" t="s">
        <v>1205</v>
      </c>
      <c r="B57" s="145" t="s">
        <v>1205</v>
      </c>
      <c r="C57" s="145" t="s">
        <v>2982</v>
      </c>
      <c r="D57" s="151"/>
      <c r="E57" s="151"/>
      <c r="F57" s="145" t="s">
        <v>2983</v>
      </c>
      <c r="G57" s="145" t="s">
        <v>2984</v>
      </c>
      <c r="H57" s="145" t="s">
        <v>314</v>
      </c>
      <c r="I57" s="145" t="s">
        <v>1004</v>
      </c>
      <c r="J57" s="151"/>
      <c r="K57" s="145" t="s">
        <v>205</v>
      </c>
      <c r="L57" s="151"/>
      <c r="M57" s="151"/>
      <c r="N57" s="145" t="s">
        <v>291</v>
      </c>
      <c r="O57" s="145" t="s">
        <v>339</v>
      </c>
      <c r="P57" s="176">
        <v>43727</v>
      </c>
      <c r="Q57" s="145" t="s">
        <v>1211</v>
      </c>
      <c r="R57" s="145" t="s">
        <v>885</v>
      </c>
      <c r="S57" s="145" t="s">
        <v>889</v>
      </c>
      <c r="T57" s="177">
        <v>45723</v>
      </c>
      <c r="U57" s="146">
        <v>3.718</v>
      </c>
      <c r="V57" s="180">
        <v>769.68746637977404</v>
      </c>
      <c r="W57" s="146">
        <v>2861.6979999999999</v>
      </c>
      <c r="X57" s="148">
        <v>3.0000000000000001E-5</v>
      </c>
      <c r="Y57" s="148">
        <v>1.8350000000000002E-2</v>
      </c>
      <c r="Z57" s="149">
        <v>2.7200000000000002E-3</v>
      </c>
      <c r="AA57" s="196"/>
    </row>
    <row r="58" spans="1:27" x14ac:dyDescent="0.2">
      <c r="A58" s="144" t="s">
        <v>1205</v>
      </c>
      <c r="B58" s="145" t="s">
        <v>1205</v>
      </c>
      <c r="C58" s="145" t="s">
        <v>2985</v>
      </c>
      <c r="D58" s="151"/>
      <c r="E58" s="151"/>
      <c r="F58" s="145" t="s">
        <v>2986</v>
      </c>
      <c r="G58" s="145" t="s">
        <v>2987</v>
      </c>
      <c r="H58" s="145" t="s">
        <v>314</v>
      </c>
      <c r="I58" s="145" t="s">
        <v>1000</v>
      </c>
      <c r="J58" s="151"/>
      <c r="K58" s="145" t="s">
        <v>205</v>
      </c>
      <c r="L58" s="151"/>
      <c r="M58" s="151"/>
      <c r="N58" s="145" t="s">
        <v>224</v>
      </c>
      <c r="O58" s="145" t="s">
        <v>339</v>
      </c>
      <c r="P58" s="176">
        <v>44742</v>
      </c>
      <c r="Q58" s="145" t="s">
        <v>1211</v>
      </c>
      <c r="R58" s="145" t="s">
        <v>885</v>
      </c>
      <c r="S58" s="145" t="s">
        <v>889</v>
      </c>
      <c r="T58" s="177">
        <v>45733</v>
      </c>
      <c r="U58" s="146">
        <v>3.718</v>
      </c>
      <c r="V58" s="180">
        <v>726.3396987627757</v>
      </c>
      <c r="W58" s="146">
        <v>2700.5309999999999</v>
      </c>
      <c r="X58" s="151"/>
      <c r="Y58" s="148">
        <v>1.7309999999999999E-2</v>
      </c>
      <c r="Z58" s="149">
        <v>2.5699999999999998E-3</v>
      </c>
      <c r="AA58" s="196"/>
    </row>
    <row r="59" spans="1:27" x14ac:dyDescent="0.2">
      <c r="A59" s="144" t="s">
        <v>1205</v>
      </c>
      <c r="B59" s="145" t="s">
        <v>1205</v>
      </c>
      <c r="C59" s="145" t="s">
        <v>2988</v>
      </c>
      <c r="D59" s="151"/>
      <c r="E59" s="151"/>
      <c r="F59" s="145" t="s">
        <v>2989</v>
      </c>
      <c r="G59" s="145" t="s">
        <v>2990</v>
      </c>
      <c r="H59" s="145" t="s">
        <v>314</v>
      </c>
      <c r="I59" s="145" t="s">
        <v>1000</v>
      </c>
      <c r="J59" s="151"/>
      <c r="K59" s="145" t="s">
        <v>205</v>
      </c>
      <c r="L59" s="151"/>
      <c r="M59" s="151"/>
      <c r="N59" s="145" t="s">
        <v>224</v>
      </c>
      <c r="O59" s="145" t="s">
        <v>339</v>
      </c>
      <c r="P59" s="176">
        <v>43843</v>
      </c>
      <c r="Q59" s="145" t="s">
        <v>1211</v>
      </c>
      <c r="R59" s="145" t="s">
        <v>885</v>
      </c>
      <c r="S59" s="145" t="s">
        <v>889</v>
      </c>
      <c r="T59" s="177">
        <v>45746</v>
      </c>
      <c r="U59" s="146">
        <v>3.718</v>
      </c>
      <c r="V59" s="180">
        <v>684.85825712748783</v>
      </c>
      <c r="W59" s="146">
        <v>2546.3029999999999</v>
      </c>
      <c r="X59" s="148">
        <v>9.0000000000000006E-5</v>
      </c>
      <c r="Y59" s="148">
        <v>1.6320000000000001E-2</v>
      </c>
      <c r="Z59" s="149">
        <v>2.4199999999999998E-3</v>
      </c>
      <c r="AA59" s="196"/>
    </row>
    <row r="60" spans="1:27" x14ac:dyDescent="0.2">
      <c r="A60" s="144" t="s">
        <v>1205</v>
      </c>
      <c r="B60" s="145" t="s">
        <v>1205</v>
      </c>
      <c r="C60" s="145" t="s">
        <v>2991</v>
      </c>
      <c r="D60" s="151"/>
      <c r="E60" s="151"/>
      <c r="F60" s="145" t="s">
        <v>2992</v>
      </c>
      <c r="G60" s="145" t="s">
        <v>2993</v>
      </c>
      <c r="H60" s="145" t="s">
        <v>314</v>
      </c>
      <c r="I60" s="145" t="s">
        <v>1004</v>
      </c>
      <c r="J60" s="151"/>
      <c r="K60" s="145" t="s">
        <v>205</v>
      </c>
      <c r="L60" s="151"/>
      <c r="M60" s="151"/>
      <c r="N60" s="145" t="s">
        <v>224</v>
      </c>
      <c r="O60" s="145" t="s">
        <v>339</v>
      </c>
      <c r="P60" s="176">
        <v>44392</v>
      </c>
      <c r="Q60" s="145" t="s">
        <v>1211</v>
      </c>
      <c r="R60" s="145" t="s">
        <v>885</v>
      </c>
      <c r="S60" s="145" t="s">
        <v>889</v>
      </c>
      <c r="T60" s="177">
        <v>45747</v>
      </c>
      <c r="U60" s="146">
        <v>3.718</v>
      </c>
      <c r="V60" s="180">
        <v>677.14174287251205</v>
      </c>
      <c r="W60" s="146">
        <v>2517.6129999999998</v>
      </c>
      <c r="X60" s="148">
        <v>3.4099999999999998E-3</v>
      </c>
      <c r="Y60" s="148">
        <v>1.6140000000000002E-2</v>
      </c>
      <c r="Z60" s="149">
        <v>2.3900000000000002E-3</v>
      </c>
      <c r="AA60" s="196"/>
    </row>
    <row r="61" spans="1:27" x14ac:dyDescent="0.2">
      <c r="A61" s="144" t="s">
        <v>1205</v>
      </c>
      <c r="B61" s="145" t="s">
        <v>1205</v>
      </c>
      <c r="C61" s="145" t="s">
        <v>2994</v>
      </c>
      <c r="D61" s="151"/>
      <c r="E61" s="151"/>
      <c r="F61" s="145" t="s">
        <v>2995</v>
      </c>
      <c r="G61" s="145" t="s">
        <v>2996</v>
      </c>
      <c r="H61" s="145" t="s">
        <v>314</v>
      </c>
      <c r="I61" s="145" t="s">
        <v>1004</v>
      </c>
      <c r="J61" s="151"/>
      <c r="K61" s="145" t="s">
        <v>205</v>
      </c>
      <c r="L61" s="151"/>
      <c r="M61" s="151"/>
      <c r="N61" s="145" t="s">
        <v>224</v>
      </c>
      <c r="O61" s="145" t="s">
        <v>339</v>
      </c>
      <c r="P61" s="176">
        <v>43565</v>
      </c>
      <c r="Q61" s="145" t="s">
        <v>1211</v>
      </c>
      <c r="R61" s="145" t="s">
        <v>885</v>
      </c>
      <c r="S61" s="145" t="s">
        <v>889</v>
      </c>
      <c r="T61" s="177">
        <v>45743</v>
      </c>
      <c r="U61" s="146">
        <v>3.718</v>
      </c>
      <c r="V61" s="180">
        <v>677.0938676707907</v>
      </c>
      <c r="W61" s="146">
        <v>2517.4349999999999</v>
      </c>
      <c r="X61" s="151"/>
      <c r="Y61" s="148">
        <v>1.6140000000000002E-2</v>
      </c>
      <c r="Z61" s="149">
        <v>2.3900000000000002E-3</v>
      </c>
      <c r="AA61" s="196"/>
    </row>
    <row r="62" spans="1:27" x14ac:dyDescent="0.2">
      <c r="A62" s="144" t="s">
        <v>1205</v>
      </c>
      <c r="B62" s="145" t="s">
        <v>1205</v>
      </c>
      <c r="C62" s="145" t="s">
        <v>2997</v>
      </c>
      <c r="D62" s="151"/>
      <c r="E62" s="151"/>
      <c r="F62" s="145" t="s">
        <v>2998</v>
      </c>
      <c r="G62" s="145" t="s">
        <v>2999</v>
      </c>
      <c r="H62" s="145" t="s">
        <v>314</v>
      </c>
      <c r="I62" s="145" t="s">
        <v>1005</v>
      </c>
      <c r="J62" s="151"/>
      <c r="K62" s="145" t="s">
        <v>205</v>
      </c>
      <c r="L62" s="151"/>
      <c r="M62" s="151"/>
      <c r="N62" s="145" t="s">
        <v>291</v>
      </c>
      <c r="O62" s="145" t="s">
        <v>339</v>
      </c>
      <c r="P62" s="176">
        <v>43340</v>
      </c>
      <c r="Q62" s="145" t="s">
        <v>1211</v>
      </c>
      <c r="R62" s="145" t="s">
        <v>885</v>
      </c>
      <c r="S62" s="145" t="s">
        <v>889</v>
      </c>
      <c r="T62" s="177">
        <v>45652</v>
      </c>
      <c r="U62" s="146">
        <v>3.718</v>
      </c>
      <c r="V62" s="180">
        <v>663.61161915008074</v>
      </c>
      <c r="W62" s="146">
        <v>2467.308</v>
      </c>
      <c r="X62" s="151"/>
      <c r="Y62" s="148">
        <v>1.5820000000000001E-2</v>
      </c>
      <c r="Z62" s="149">
        <v>2.3500000000000001E-3</v>
      </c>
      <c r="AA62" s="196"/>
    </row>
    <row r="63" spans="1:27" x14ac:dyDescent="0.2">
      <c r="A63" s="144" t="s">
        <v>1205</v>
      </c>
      <c r="B63" s="145" t="s">
        <v>1205</v>
      </c>
      <c r="C63" s="145" t="s">
        <v>3000</v>
      </c>
      <c r="D63" s="151"/>
      <c r="E63" s="151"/>
      <c r="F63" s="145" t="s">
        <v>3001</v>
      </c>
      <c r="G63" s="145" t="s">
        <v>3002</v>
      </c>
      <c r="H63" s="145" t="s">
        <v>314</v>
      </c>
      <c r="I63" s="145" t="s">
        <v>1000</v>
      </c>
      <c r="J63" s="151"/>
      <c r="K63" s="145" t="s">
        <v>205</v>
      </c>
      <c r="L63" s="151"/>
      <c r="M63" s="151"/>
      <c r="N63" s="145" t="s">
        <v>291</v>
      </c>
      <c r="O63" s="145" t="s">
        <v>339</v>
      </c>
      <c r="P63" s="176">
        <v>43207</v>
      </c>
      <c r="Q63" s="145" t="s">
        <v>1211</v>
      </c>
      <c r="R63" s="145" t="s">
        <v>885</v>
      </c>
      <c r="S63" s="145" t="s">
        <v>889</v>
      </c>
      <c r="T63" s="177">
        <v>45747</v>
      </c>
      <c r="U63" s="146">
        <v>3.718</v>
      </c>
      <c r="V63" s="180">
        <v>630.26976869284556</v>
      </c>
      <c r="W63" s="146">
        <v>2343.3429999999998</v>
      </c>
      <c r="X63" s="151"/>
      <c r="Y63" s="148">
        <v>1.502E-2</v>
      </c>
      <c r="Z63" s="149">
        <v>2.2300000000000002E-3</v>
      </c>
      <c r="AA63" s="196"/>
    </row>
    <row r="64" spans="1:27" x14ac:dyDescent="0.2">
      <c r="A64" s="144" t="s">
        <v>1205</v>
      </c>
      <c r="B64" s="145" t="s">
        <v>1205</v>
      </c>
      <c r="C64" s="145" t="s">
        <v>3003</v>
      </c>
      <c r="D64" s="151"/>
      <c r="E64" s="151"/>
      <c r="F64" s="145" t="s">
        <v>3004</v>
      </c>
      <c r="G64" s="145" t="s">
        <v>3005</v>
      </c>
      <c r="H64" s="145" t="s">
        <v>314</v>
      </c>
      <c r="I64" s="145" t="s">
        <v>1001</v>
      </c>
      <c r="J64" s="151"/>
      <c r="K64" s="145" t="s">
        <v>205</v>
      </c>
      <c r="L64" s="151"/>
      <c r="M64" s="151"/>
      <c r="N64" s="145" t="s">
        <v>204</v>
      </c>
      <c r="O64" s="145" t="s">
        <v>339</v>
      </c>
      <c r="P64" s="176">
        <v>44116</v>
      </c>
      <c r="Q64" s="145" t="s">
        <v>1211</v>
      </c>
      <c r="R64" s="145" t="s">
        <v>885</v>
      </c>
      <c r="S64" s="145" t="s">
        <v>889</v>
      </c>
      <c r="T64" s="177">
        <v>45743</v>
      </c>
      <c r="U64" s="146">
        <v>3.718</v>
      </c>
      <c r="V64" s="180">
        <v>617.58848843464227</v>
      </c>
      <c r="W64" s="146">
        <v>2296.194</v>
      </c>
      <c r="X64" s="148">
        <v>1.66E-3</v>
      </c>
      <c r="Y64" s="148">
        <v>1.472E-2</v>
      </c>
      <c r="Z64" s="149">
        <v>2.1800000000000001E-3</v>
      </c>
      <c r="AA64" s="196"/>
    </row>
    <row r="65" spans="1:27" x14ac:dyDescent="0.2">
      <c r="A65" s="144" t="s">
        <v>1205</v>
      </c>
      <c r="B65" s="145" t="s">
        <v>1205</v>
      </c>
      <c r="C65" s="145" t="s">
        <v>2904</v>
      </c>
      <c r="D65" s="151"/>
      <c r="E65" s="151"/>
      <c r="F65" s="145" t="s">
        <v>3006</v>
      </c>
      <c r="G65" s="145" t="s">
        <v>3007</v>
      </c>
      <c r="H65" s="145" t="s">
        <v>314</v>
      </c>
      <c r="I65" s="145" t="s">
        <v>1000</v>
      </c>
      <c r="J65" s="151"/>
      <c r="K65" s="145" t="s">
        <v>205</v>
      </c>
      <c r="L65" s="151"/>
      <c r="M65" s="151"/>
      <c r="N65" s="145" t="s">
        <v>224</v>
      </c>
      <c r="O65" s="145" t="s">
        <v>339</v>
      </c>
      <c r="P65" s="176">
        <v>44858</v>
      </c>
      <c r="Q65" s="145" t="s">
        <v>1211</v>
      </c>
      <c r="R65" s="145" t="s">
        <v>885</v>
      </c>
      <c r="S65" s="145" t="s">
        <v>889</v>
      </c>
      <c r="T65" s="177">
        <v>45686</v>
      </c>
      <c r="U65" s="146">
        <v>3.718</v>
      </c>
      <c r="V65" s="180">
        <v>608.57961269499731</v>
      </c>
      <c r="W65" s="146">
        <v>2262.6990000000001</v>
      </c>
      <c r="X65" s="148">
        <v>5.5999999999999995E-4</v>
      </c>
      <c r="Y65" s="148">
        <v>1.451E-2</v>
      </c>
      <c r="Z65" s="149">
        <v>2.15E-3</v>
      </c>
      <c r="AA65" s="196"/>
    </row>
    <row r="66" spans="1:27" x14ac:dyDescent="0.2">
      <c r="A66" s="144" t="s">
        <v>1205</v>
      </c>
      <c r="B66" s="145" t="s">
        <v>1205</v>
      </c>
      <c r="C66" s="145" t="s">
        <v>3008</v>
      </c>
      <c r="D66" s="151"/>
      <c r="E66" s="151"/>
      <c r="F66" s="145" t="s">
        <v>3009</v>
      </c>
      <c r="G66" s="145" t="s">
        <v>3010</v>
      </c>
      <c r="H66" s="145" t="s">
        <v>314</v>
      </c>
      <c r="I66" s="145" t="s">
        <v>1002</v>
      </c>
      <c r="J66" s="151"/>
      <c r="K66" s="145" t="s">
        <v>205</v>
      </c>
      <c r="L66" s="151"/>
      <c r="M66" s="151"/>
      <c r="N66" s="145" t="s">
        <v>204</v>
      </c>
      <c r="O66" s="145" t="s">
        <v>339</v>
      </c>
      <c r="P66" s="176">
        <v>43311</v>
      </c>
      <c r="Q66" s="145" t="s">
        <v>1211</v>
      </c>
      <c r="R66" s="145" t="s">
        <v>885</v>
      </c>
      <c r="S66" s="145" t="s">
        <v>889</v>
      </c>
      <c r="T66" s="177">
        <v>45726</v>
      </c>
      <c r="U66" s="146">
        <v>3.718</v>
      </c>
      <c r="V66" s="180">
        <v>575.16083916083915</v>
      </c>
      <c r="W66" s="146">
        <v>2138.4479999999999</v>
      </c>
      <c r="X66" s="148">
        <v>0</v>
      </c>
      <c r="Y66" s="148">
        <v>1.371E-2</v>
      </c>
      <c r="Z66" s="149">
        <v>2.0300000000000001E-3</v>
      </c>
      <c r="AA66" s="196"/>
    </row>
    <row r="67" spans="1:27" x14ac:dyDescent="0.2">
      <c r="A67" s="144" t="s">
        <v>1205</v>
      </c>
      <c r="B67" s="145" t="s">
        <v>1205</v>
      </c>
      <c r="C67" s="145" t="s">
        <v>2988</v>
      </c>
      <c r="D67" s="151"/>
      <c r="E67" s="151"/>
      <c r="F67" s="145" t="s">
        <v>3011</v>
      </c>
      <c r="G67" s="145" t="s">
        <v>3012</v>
      </c>
      <c r="H67" s="145" t="s">
        <v>314</v>
      </c>
      <c r="I67" s="145" t="s">
        <v>1003</v>
      </c>
      <c r="J67" s="151"/>
      <c r="K67" s="145" t="s">
        <v>205</v>
      </c>
      <c r="L67" s="151"/>
      <c r="M67" s="151"/>
      <c r="N67" s="145" t="s">
        <v>224</v>
      </c>
      <c r="O67" s="145" t="s">
        <v>339</v>
      </c>
      <c r="P67" s="176">
        <v>44453</v>
      </c>
      <c r="Q67" s="145" t="s">
        <v>1211</v>
      </c>
      <c r="R67" s="145" t="s">
        <v>885</v>
      </c>
      <c r="S67" s="145" t="s">
        <v>889</v>
      </c>
      <c r="T67" s="177">
        <v>45746</v>
      </c>
      <c r="U67" s="146">
        <v>3.718</v>
      </c>
      <c r="V67" s="180">
        <v>554.46987627756857</v>
      </c>
      <c r="W67" s="146">
        <v>2061.5189999999998</v>
      </c>
      <c r="X67" s="148">
        <v>1.1999999999999999E-3</v>
      </c>
      <c r="Y67" s="148">
        <v>1.3220000000000001E-2</v>
      </c>
      <c r="Z67" s="149">
        <v>1.9599999999999999E-3</v>
      </c>
      <c r="AA67" s="196"/>
    </row>
    <row r="68" spans="1:27" x14ac:dyDescent="0.2">
      <c r="A68" s="144" t="s">
        <v>1205</v>
      </c>
      <c r="B68" s="145" t="s">
        <v>1205</v>
      </c>
      <c r="C68" s="145" t="s">
        <v>3013</v>
      </c>
      <c r="D68" s="151"/>
      <c r="E68" s="151"/>
      <c r="F68" s="145" t="s">
        <v>3014</v>
      </c>
      <c r="G68" s="145" t="s">
        <v>3015</v>
      </c>
      <c r="H68" s="145" t="s">
        <v>314</v>
      </c>
      <c r="I68" s="145" t="s">
        <v>1000</v>
      </c>
      <c r="J68" s="151"/>
      <c r="K68" s="145" t="s">
        <v>205</v>
      </c>
      <c r="L68" s="151"/>
      <c r="M68" s="151"/>
      <c r="N68" s="145" t="s">
        <v>291</v>
      </c>
      <c r="O68" s="145" t="s">
        <v>339</v>
      </c>
      <c r="P68" s="176">
        <v>43914</v>
      </c>
      <c r="Q68" s="145" t="s">
        <v>1211</v>
      </c>
      <c r="R68" s="145" t="s">
        <v>885</v>
      </c>
      <c r="S68" s="145" t="s">
        <v>889</v>
      </c>
      <c r="T68" s="177">
        <v>45747</v>
      </c>
      <c r="U68" s="146">
        <v>3.718</v>
      </c>
      <c r="V68" s="180">
        <v>544.80016137708446</v>
      </c>
      <c r="W68" s="146">
        <v>2025.567</v>
      </c>
      <c r="X68" s="148">
        <v>5.0000000000000002E-5</v>
      </c>
      <c r="Y68" s="148">
        <v>1.299E-2</v>
      </c>
      <c r="Z68" s="149">
        <v>1.9300000000000001E-3</v>
      </c>
      <c r="AA68" s="196"/>
    </row>
    <row r="69" spans="1:27" x14ac:dyDescent="0.2">
      <c r="A69" s="144" t="s">
        <v>1205</v>
      </c>
      <c r="B69" s="145" t="s">
        <v>1205</v>
      </c>
      <c r="C69" s="145" t="s">
        <v>3016</v>
      </c>
      <c r="D69" s="151"/>
      <c r="E69" s="151"/>
      <c r="F69" s="145" t="s">
        <v>3017</v>
      </c>
      <c r="G69" s="145" t="s">
        <v>3018</v>
      </c>
      <c r="H69" s="145" t="s">
        <v>314</v>
      </c>
      <c r="I69" s="145" t="s">
        <v>1000</v>
      </c>
      <c r="J69" s="151"/>
      <c r="K69" s="145" t="s">
        <v>205</v>
      </c>
      <c r="L69" s="151"/>
      <c r="M69" s="151"/>
      <c r="N69" s="145" t="s">
        <v>299</v>
      </c>
      <c r="O69" s="145" t="s">
        <v>339</v>
      </c>
      <c r="P69" s="176">
        <v>44143</v>
      </c>
      <c r="Q69" s="145" t="s">
        <v>1212</v>
      </c>
      <c r="R69" s="145" t="s">
        <v>885</v>
      </c>
      <c r="S69" s="145" t="s">
        <v>889</v>
      </c>
      <c r="T69" s="177">
        <v>45701</v>
      </c>
      <c r="U69" s="146">
        <v>4.0220000000000002</v>
      </c>
      <c r="V69" s="180">
        <v>502.69368473396321</v>
      </c>
      <c r="W69" s="146">
        <v>2021.8340000000001</v>
      </c>
      <c r="X69" s="148">
        <v>8.0000000000000007E-5</v>
      </c>
      <c r="Y69" s="148">
        <v>1.2959999999999999E-2</v>
      </c>
      <c r="Z69" s="149">
        <v>1.92E-3</v>
      </c>
      <c r="AA69" s="196"/>
    </row>
    <row r="70" spans="1:27" x14ac:dyDescent="0.2">
      <c r="A70" s="144" t="s">
        <v>1205</v>
      </c>
      <c r="B70" s="145" t="s">
        <v>1205</v>
      </c>
      <c r="C70" s="145" t="s">
        <v>2904</v>
      </c>
      <c r="D70" s="151"/>
      <c r="E70" s="151"/>
      <c r="F70" s="145" t="s">
        <v>3019</v>
      </c>
      <c r="G70" s="145" t="s">
        <v>3020</v>
      </c>
      <c r="H70" s="145" t="s">
        <v>314</v>
      </c>
      <c r="I70" s="145" t="s">
        <v>1000</v>
      </c>
      <c r="J70" s="151"/>
      <c r="K70" s="145" t="s">
        <v>205</v>
      </c>
      <c r="L70" s="151"/>
      <c r="M70" s="151"/>
      <c r="N70" s="145" t="s">
        <v>224</v>
      </c>
      <c r="O70" s="145" t="s">
        <v>339</v>
      </c>
      <c r="P70" s="176">
        <v>43614</v>
      </c>
      <c r="Q70" s="145" t="s">
        <v>1211</v>
      </c>
      <c r="R70" s="145" t="s">
        <v>885</v>
      </c>
      <c r="S70" s="145" t="s">
        <v>889</v>
      </c>
      <c r="T70" s="177">
        <v>45702</v>
      </c>
      <c r="U70" s="146">
        <v>3.718</v>
      </c>
      <c r="V70" s="180">
        <v>543.63501882732646</v>
      </c>
      <c r="W70" s="146">
        <v>2021.2349999999999</v>
      </c>
      <c r="X70" s="148">
        <v>3.8999999999999999E-4</v>
      </c>
      <c r="Y70" s="148">
        <v>1.2959999999999999E-2</v>
      </c>
      <c r="Z70" s="149">
        <v>1.92E-3</v>
      </c>
      <c r="AA70" s="196"/>
    </row>
    <row r="71" spans="1:27" x14ac:dyDescent="0.2">
      <c r="A71" s="144" t="s">
        <v>1205</v>
      </c>
      <c r="B71" s="145" t="s">
        <v>1205</v>
      </c>
      <c r="C71" s="145" t="s">
        <v>3021</v>
      </c>
      <c r="D71" s="151"/>
      <c r="E71" s="151"/>
      <c r="F71" s="145" t="s">
        <v>3022</v>
      </c>
      <c r="G71" s="145" t="s">
        <v>3023</v>
      </c>
      <c r="H71" s="145" t="s">
        <v>314</v>
      </c>
      <c r="I71" s="145" t="s">
        <v>1000</v>
      </c>
      <c r="J71" s="151"/>
      <c r="K71" s="145" t="s">
        <v>205</v>
      </c>
      <c r="L71" s="151"/>
      <c r="M71" s="151"/>
      <c r="N71" s="145" t="s">
        <v>293</v>
      </c>
      <c r="O71" s="145" t="s">
        <v>339</v>
      </c>
      <c r="P71" s="176">
        <v>44143</v>
      </c>
      <c r="Q71" s="145" t="s">
        <v>1212</v>
      </c>
      <c r="R71" s="145" t="s">
        <v>885</v>
      </c>
      <c r="S71" s="145" t="s">
        <v>889</v>
      </c>
      <c r="T71" s="177">
        <v>45747</v>
      </c>
      <c r="U71" s="146">
        <v>4.0220000000000002</v>
      </c>
      <c r="V71" s="180">
        <v>484.88264545002488</v>
      </c>
      <c r="W71" s="146">
        <v>1950.1980000000001</v>
      </c>
      <c r="X71" s="148">
        <v>2.0000000000000002E-5</v>
      </c>
      <c r="Y71" s="148">
        <v>1.2500000000000001E-2</v>
      </c>
      <c r="Z71" s="149">
        <v>1.8600000000000001E-3</v>
      </c>
      <c r="AA71" s="196"/>
    </row>
    <row r="72" spans="1:27" x14ac:dyDescent="0.2">
      <c r="A72" s="144" t="s">
        <v>1205</v>
      </c>
      <c r="B72" s="145" t="s">
        <v>1205</v>
      </c>
      <c r="C72" s="145" t="s">
        <v>314</v>
      </c>
      <c r="D72" s="151"/>
      <c r="E72" s="151"/>
      <c r="F72" s="145" t="s">
        <v>3024</v>
      </c>
      <c r="G72" s="145" t="s">
        <v>3025</v>
      </c>
      <c r="H72" s="145" t="s">
        <v>314</v>
      </c>
      <c r="I72" s="145" t="s">
        <v>1005</v>
      </c>
      <c r="J72" s="151"/>
      <c r="K72" s="145" t="s">
        <v>205</v>
      </c>
      <c r="L72" s="151"/>
      <c r="M72" s="151"/>
      <c r="N72" s="145" t="s">
        <v>224</v>
      </c>
      <c r="O72" s="145" t="s">
        <v>339</v>
      </c>
      <c r="P72" s="176">
        <v>44742</v>
      </c>
      <c r="Q72" s="145" t="s">
        <v>1211</v>
      </c>
      <c r="R72" s="145" t="s">
        <v>885</v>
      </c>
      <c r="S72" s="145" t="s">
        <v>889</v>
      </c>
      <c r="T72" s="177">
        <v>45746</v>
      </c>
      <c r="U72" s="146">
        <v>3.718</v>
      </c>
      <c r="V72" s="180">
        <v>512.56401291016675</v>
      </c>
      <c r="W72" s="146">
        <v>1905.713</v>
      </c>
      <c r="X72" s="148">
        <v>9.0000000000000006E-5</v>
      </c>
      <c r="Y72" s="148">
        <v>1.222E-2</v>
      </c>
      <c r="Z72" s="149">
        <v>1.81E-3</v>
      </c>
      <c r="AA72" s="196"/>
    </row>
    <row r="73" spans="1:27" x14ac:dyDescent="0.2">
      <c r="A73" s="144" t="s">
        <v>1205</v>
      </c>
      <c r="B73" s="145" t="s">
        <v>1205</v>
      </c>
      <c r="C73" s="145" t="s">
        <v>3026</v>
      </c>
      <c r="D73" s="151"/>
      <c r="E73" s="151"/>
      <c r="F73" s="145" t="s">
        <v>3027</v>
      </c>
      <c r="G73" s="145" t="s">
        <v>3028</v>
      </c>
      <c r="H73" s="145" t="s">
        <v>314</v>
      </c>
      <c r="I73" s="145" t="s">
        <v>1003</v>
      </c>
      <c r="J73" s="151"/>
      <c r="K73" s="145" t="s">
        <v>205</v>
      </c>
      <c r="L73" s="151"/>
      <c r="M73" s="151"/>
      <c r="N73" s="145" t="s">
        <v>293</v>
      </c>
      <c r="O73" s="145" t="s">
        <v>339</v>
      </c>
      <c r="P73" s="176">
        <v>43495</v>
      </c>
      <c r="Q73" s="145" t="s">
        <v>1212</v>
      </c>
      <c r="R73" s="145" t="s">
        <v>885</v>
      </c>
      <c r="S73" s="145" t="s">
        <v>889</v>
      </c>
      <c r="T73" s="177">
        <v>45722</v>
      </c>
      <c r="U73" s="146">
        <v>4.0220000000000002</v>
      </c>
      <c r="V73" s="180">
        <v>466.78543013426156</v>
      </c>
      <c r="W73" s="146">
        <v>1877.4110000000001</v>
      </c>
      <c r="X73" s="151"/>
      <c r="Y73" s="148">
        <v>1.204E-2</v>
      </c>
      <c r="Z73" s="149">
        <v>1.7899999999999999E-3</v>
      </c>
      <c r="AA73" s="196"/>
    </row>
    <row r="74" spans="1:27" x14ac:dyDescent="0.2">
      <c r="A74" s="144" t="s">
        <v>1205</v>
      </c>
      <c r="B74" s="145" t="s">
        <v>1205</v>
      </c>
      <c r="C74" s="145" t="s">
        <v>3029</v>
      </c>
      <c r="D74" s="151"/>
      <c r="E74" s="151"/>
      <c r="F74" s="145" t="s">
        <v>3030</v>
      </c>
      <c r="G74" s="145" t="s">
        <v>3031</v>
      </c>
      <c r="H74" s="145" t="s">
        <v>314</v>
      </c>
      <c r="I74" s="145" t="s">
        <v>1000</v>
      </c>
      <c r="J74" s="151"/>
      <c r="K74" s="145" t="s">
        <v>205</v>
      </c>
      <c r="L74" s="151"/>
      <c r="M74" s="151"/>
      <c r="N74" s="145" t="s">
        <v>293</v>
      </c>
      <c r="O74" s="145" t="s">
        <v>339</v>
      </c>
      <c r="P74" s="176">
        <v>44315</v>
      </c>
      <c r="Q74" s="145" t="s">
        <v>1211</v>
      </c>
      <c r="R74" s="145" t="s">
        <v>885</v>
      </c>
      <c r="S74" s="145" t="s">
        <v>889</v>
      </c>
      <c r="T74" s="177">
        <v>45746</v>
      </c>
      <c r="U74" s="146">
        <v>3.718</v>
      </c>
      <c r="V74" s="180">
        <v>475.26546530392687</v>
      </c>
      <c r="W74" s="146">
        <v>1767.037</v>
      </c>
      <c r="X74" s="148">
        <v>2.5999999999999998E-4</v>
      </c>
      <c r="Y74" s="148">
        <v>1.133E-2</v>
      </c>
      <c r="Z74" s="149">
        <v>1.6800000000000001E-3</v>
      </c>
      <c r="AA74" s="196"/>
    </row>
    <row r="75" spans="1:27" x14ac:dyDescent="0.2">
      <c r="A75" s="144" t="s">
        <v>1205</v>
      </c>
      <c r="B75" s="145" t="s">
        <v>1205</v>
      </c>
      <c r="C75" s="145" t="s">
        <v>3032</v>
      </c>
      <c r="D75" s="151"/>
      <c r="E75" s="151"/>
      <c r="F75" s="145" t="s">
        <v>3033</v>
      </c>
      <c r="G75" s="145" t="s">
        <v>3034</v>
      </c>
      <c r="H75" s="145" t="s">
        <v>314</v>
      </c>
      <c r="I75" s="145" t="s">
        <v>1004</v>
      </c>
      <c r="J75" s="151"/>
      <c r="K75" s="145" t="s">
        <v>205</v>
      </c>
      <c r="L75" s="151"/>
      <c r="M75" s="151"/>
      <c r="N75" s="145" t="s">
        <v>293</v>
      </c>
      <c r="O75" s="145" t="s">
        <v>339</v>
      </c>
      <c r="P75" s="176">
        <v>43965</v>
      </c>
      <c r="Q75" s="145" t="s">
        <v>1212</v>
      </c>
      <c r="R75" s="145" t="s">
        <v>885</v>
      </c>
      <c r="S75" s="145" t="s">
        <v>889</v>
      </c>
      <c r="T75" s="177">
        <v>45746</v>
      </c>
      <c r="U75" s="146">
        <v>4.0220000000000002</v>
      </c>
      <c r="V75" s="180">
        <v>428.26603679761314</v>
      </c>
      <c r="W75" s="146">
        <v>1722.4860000000001</v>
      </c>
      <c r="X75" s="148">
        <v>1.0499999999999999E-3</v>
      </c>
      <c r="Y75" s="148">
        <v>1.1039999999999999E-2</v>
      </c>
      <c r="Z75" s="149">
        <v>1.64E-3</v>
      </c>
      <c r="AA75" s="196"/>
    </row>
    <row r="76" spans="1:27" x14ac:dyDescent="0.2">
      <c r="A76" s="144" t="s">
        <v>1205</v>
      </c>
      <c r="B76" s="145" t="s">
        <v>1205</v>
      </c>
      <c r="C76" s="145" t="s">
        <v>3035</v>
      </c>
      <c r="D76" s="151"/>
      <c r="E76" s="151"/>
      <c r="F76" s="145" t="s">
        <v>3036</v>
      </c>
      <c r="G76" s="145" t="s">
        <v>3037</v>
      </c>
      <c r="H76" s="145" t="s">
        <v>314</v>
      </c>
      <c r="I76" s="145" t="s">
        <v>1000</v>
      </c>
      <c r="J76" s="151"/>
      <c r="K76" s="145" t="s">
        <v>205</v>
      </c>
      <c r="L76" s="151"/>
      <c r="M76" s="151"/>
      <c r="N76" s="145" t="s">
        <v>224</v>
      </c>
      <c r="O76" s="145" t="s">
        <v>339</v>
      </c>
      <c r="P76" s="176">
        <v>43132</v>
      </c>
      <c r="Q76" s="145" t="s">
        <v>1211</v>
      </c>
      <c r="R76" s="145" t="s">
        <v>885</v>
      </c>
      <c r="S76" s="145" t="s">
        <v>889</v>
      </c>
      <c r="T76" s="177">
        <v>45747</v>
      </c>
      <c r="U76" s="146">
        <v>3.718</v>
      </c>
      <c r="V76" s="180">
        <v>460.18181818181819</v>
      </c>
      <c r="W76" s="146">
        <v>1710.9559999999999</v>
      </c>
      <c r="X76" s="151"/>
      <c r="Y76" s="148">
        <v>1.0970000000000001E-2</v>
      </c>
      <c r="Z76" s="149">
        <v>1.6299999999999999E-3</v>
      </c>
      <c r="AA76" s="196"/>
    </row>
    <row r="77" spans="1:27" x14ac:dyDescent="0.2">
      <c r="A77" s="144" t="s">
        <v>1205</v>
      </c>
      <c r="B77" s="145" t="s">
        <v>1205</v>
      </c>
      <c r="C77" s="145" t="s">
        <v>3038</v>
      </c>
      <c r="D77" s="151"/>
      <c r="E77" s="151"/>
      <c r="F77" s="145" t="s">
        <v>3039</v>
      </c>
      <c r="G77" s="145" t="s">
        <v>3040</v>
      </c>
      <c r="H77" s="145" t="s">
        <v>314</v>
      </c>
      <c r="I77" s="145" t="s">
        <v>1003</v>
      </c>
      <c r="J77" s="151"/>
      <c r="K77" s="145" t="s">
        <v>205</v>
      </c>
      <c r="L77" s="151"/>
      <c r="M77" s="151"/>
      <c r="N77" s="145" t="s">
        <v>293</v>
      </c>
      <c r="O77" s="145" t="s">
        <v>339</v>
      </c>
      <c r="P77" s="176">
        <v>44427</v>
      </c>
      <c r="Q77" s="145" t="s">
        <v>1212</v>
      </c>
      <c r="R77" s="145" t="s">
        <v>885</v>
      </c>
      <c r="S77" s="145" t="s">
        <v>889</v>
      </c>
      <c r="T77" s="177">
        <v>45704</v>
      </c>
      <c r="U77" s="146">
        <v>4.0220000000000002</v>
      </c>
      <c r="V77" s="180">
        <v>415.67901541521633</v>
      </c>
      <c r="W77" s="146">
        <v>1671.8610000000001</v>
      </c>
      <c r="X77" s="148">
        <v>4.0999999999999999E-4</v>
      </c>
      <c r="Y77" s="148">
        <v>1.072E-2</v>
      </c>
      <c r="Z77" s="149">
        <v>1.5900000000000001E-3</v>
      </c>
      <c r="AA77" s="196"/>
    </row>
    <row r="78" spans="1:27" x14ac:dyDescent="0.2">
      <c r="A78" s="144" t="s">
        <v>1205</v>
      </c>
      <c r="B78" s="145" t="s">
        <v>1205</v>
      </c>
      <c r="C78" s="145" t="s">
        <v>3041</v>
      </c>
      <c r="D78" s="151"/>
      <c r="E78" s="151"/>
      <c r="F78" s="145" t="s">
        <v>3042</v>
      </c>
      <c r="G78" s="145" t="s">
        <v>3043</v>
      </c>
      <c r="H78" s="145" t="s">
        <v>314</v>
      </c>
      <c r="I78" s="145" t="s">
        <v>1000</v>
      </c>
      <c r="J78" s="151"/>
      <c r="K78" s="145" t="s">
        <v>205</v>
      </c>
      <c r="L78" s="151"/>
      <c r="M78" s="151"/>
      <c r="N78" s="145" t="s">
        <v>291</v>
      </c>
      <c r="O78" s="145" t="s">
        <v>339</v>
      </c>
      <c r="P78" s="176">
        <v>43934</v>
      </c>
      <c r="Q78" s="145" t="s">
        <v>1211</v>
      </c>
      <c r="R78" s="145" t="s">
        <v>885</v>
      </c>
      <c r="S78" s="145" t="s">
        <v>889</v>
      </c>
      <c r="T78" s="177">
        <v>45747</v>
      </c>
      <c r="U78" s="146">
        <v>3.718</v>
      </c>
      <c r="V78" s="180">
        <v>442.26358257127487</v>
      </c>
      <c r="W78" s="146">
        <v>1644.336</v>
      </c>
      <c r="X78" s="148">
        <v>2.0200000000000001E-3</v>
      </c>
      <c r="Y78" s="148">
        <v>1.0540000000000001E-2</v>
      </c>
      <c r="Z78" s="149">
        <v>1.56E-3</v>
      </c>
      <c r="AA78" s="196"/>
    </row>
    <row r="79" spans="1:27" x14ac:dyDescent="0.2">
      <c r="A79" s="144" t="s">
        <v>1205</v>
      </c>
      <c r="B79" s="145" t="s">
        <v>1205</v>
      </c>
      <c r="C79" s="145" t="s">
        <v>314</v>
      </c>
      <c r="D79" s="151"/>
      <c r="E79" s="151"/>
      <c r="F79" s="145" t="s">
        <v>3044</v>
      </c>
      <c r="G79" s="145" t="s">
        <v>3045</v>
      </c>
      <c r="H79" s="145" t="s">
        <v>314</v>
      </c>
      <c r="I79" s="145" t="s">
        <v>1005</v>
      </c>
      <c r="J79" s="151"/>
      <c r="K79" s="145" t="s">
        <v>205</v>
      </c>
      <c r="L79" s="151"/>
      <c r="M79" s="151"/>
      <c r="N79" s="145" t="s">
        <v>224</v>
      </c>
      <c r="O79" s="145" t="s">
        <v>339</v>
      </c>
      <c r="P79" s="176">
        <v>44769</v>
      </c>
      <c r="Q79" s="145" t="s">
        <v>1211</v>
      </c>
      <c r="R79" s="145" t="s">
        <v>885</v>
      </c>
      <c r="S79" s="145" t="s">
        <v>889</v>
      </c>
      <c r="T79" s="177">
        <v>45733</v>
      </c>
      <c r="U79" s="146">
        <v>3.718</v>
      </c>
      <c r="V79" s="180">
        <v>441.88703604088215</v>
      </c>
      <c r="W79" s="146">
        <v>1642.9359999999999</v>
      </c>
      <c r="X79" s="148">
        <v>1.82E-3</v>
      </c>
      <c r="Y79" s="148">
        <v>1.0529999999999999E-2</v>
      </c>
      <c r="Z79" s="149">
        <v>1.56E-3</v>
      </c>
      <c r="AA79" s="196"/>
    </row>
    <row r="80" spans="1:27" x14ac:dyDescent="0.2">
      <c r="A80" s="144" t="s">
        <v>1205</v>
      </c>
      <c r="B80" s="145" t="s">
        <v>1205</v>
      </c>
      <c r="C80" s="145" t="s">
        <v>314</v>
      </c>
      <c r="D80" s="151"/>
      <c r="E80" s="151"/>
      <c r="F80" s="145" t="s">
        <v>3046</v>
      </c>
      <c r="G80" s="145" t="s">
        <v>3047</v>
      </c>
      <c r="H80" s="145" t="s">
        <v>314</v>
      </c>
      <c r="I80" s="145" t="s">
        <v>1005</v>
      </c>
      <c r="J80" s="151"/>
      <c r="K80" s="145" t="s">
        <v>205</v>
      </c>
      <c r="L80" s="151"/>
      <c r="M80" s="151"/>
      <c r="N80" s="145" t="s">
        <v>291</v>
      </c>
      <c r="O80" s="145" t="s">
        <v>339</v>
      </c>
      <c r="P80" s="176">
        <v>43643</v>
      </c>
      <c r="Q80" s="145" t="s">
        <v>1211</v>
      </c>
      <c r="R80" s="145" t="s">
        <v>885</v>
      </c>
      <c r="S80" s="145" t="s">
        <v>889</v>
      </c>
      <c r="T80" s="177">
        <v>45676</v>
      </c>
      <c r="U80" s="146">
        <v>3.718</v>
      </c>
      <c r="V80" s="180">
        <v>440.73238300161375</v>
      </c>
      <c r="W80" s="146">
        <v>1638.643</v>
      </c>
      <c r="X80" s="148">
        <v>1.1E-4</v>
      </c>
      <c r="Y80" s="148">
        <v>1.0500000000000001E-2</v>
      </c>
      <c r="Z80" s="149">
        <v>1.56E-3</v>
      </c>
      <c r="AA80" s="196"/>
    </row>
    <row r="81" spans="1:27" x14ac:dyDescent="0.2">
      <c r="A81" s="144" t="s">
        <v>1205</v>
      </c>
      <c r="B81" s="145" t="s">
        <v>1205</v>
      </c>
      <c r="C81" s="145" t="s">
        <v>3048</v>
      </c>
      <c r="D81" s="151"/>
      <c r="E81" s="151"/>
      <c r="F81" s="145" t="s">
        <v>3049</v>
      </c>
      <c r="G81" s="145" t="s">
        <v>3050</v>
      </c>
      <c r="H81" s="145" t="s">
        <v>314</v>
      </c>
      <c r="I81" s="145" t="s">
        <v>1003</v>
      </c>
      <c r="J81" s="151"/>
      <c r="K81" s="145" t="s">
        <v>205</v>
      </c>
      <c r="L81" s="151"/>
      <c r="M81" s="151"/>
      <c r="N81" s="145" t="s">
        <v>272</v>
      </c>
      <c r="O81" s="145" t="s">
        <v>339</v>
      </c>
      <c r="P81" s="176">
        <v>44651</v>
      </c>
      <c r="Q81" s="145" t="s">
        <v>1212</v>
      </c>
      <c r="R81" s="145" t="s">
        <v>885</v>
      </c>
      <c r="S81" s="145" t="s">
        <v>889</v>
      </c>
      <c r="T81" s="177">
        <v>45747</v>
      </c>
      <c r="U81" s="146">
        <v>4.0220000000000002</v>
      </c>
      <c r="V81" s="180">
        <v>400.06613625062158</v>
      </c>
      <c r="W81" s="146">
        <v>1609.066</v>
      </c>
      <c r="X81" s="148">
        <v>2.0200000000000001E-3</v>
      </c>
      <c r="Y81" s="148">
        <v>1.0319999999999999E-2</v>
      </c>
      <c r="Z81" s="149">
        <v>1.5299999999999999E-3</v>
      </c>
      <c r="AA81" s="196"/>
    </row>
    <row r="82" spans="1:27" x14ac:dyDescent="0.2">
      <c r="A82" s="144" t="s">
        <v>1205</v>
      </c>
      <c r="B82" s="145" t="s">
        <v>1205</v>
      </c>
      <c r="C82" s="145" t="s">
        <v>3051</v>
      </c>
      <c r="D82" s="151"/>
      <c r="E82" s="151"/>
      <c r="F82" s="145" t="s">
        <v>3052</v>
      </c>
      <c r="G82" s="145" t="s">
        <v>3053</v>
      </c>
      <c r="H82" s="145" t="s">
        <v>314</v>
      </c>
      <c r="I82" s="145" t="s">
        <v>1000</v>
      </c>
      <c r="J82" s="151"/>
      <c r="K82" s="145" t="s">
        <v>205</v>
      </c>
      <c r="L82" s="151"/>
      <c r="M82" s="151"/>
      <c r="N82" s="145" t="s">
        <v>268</v>
      </c>
      <c r="O82" s="145" t="s">
        <v>339</v>
      </c>
      <c r="P82" s="176">
        <v>44342</v>
      </c>
      <c r="Q82" s="145" t="s">
        <v>1211</v>
      </c>
      <c r="R82" s="145" t="s">
        <v>885</v>
      </c>
      <c r="S82" s="145" t="s">
        <v>889</v>
      </c>
      <c r="T82" s="177">
        <v>45747</v>
      </c>
      <c r="U82" s="146">
        <v>3.718</v>
      </c>
      <c r="V82" s="180">
        <v>431.39591178052717</v>
      </c>
      <c r="W82" s="146">
        <v>1603.93</v>
      </c>
      <c r="X82" s="148">
        <v>2.0000000000000001E-4</v>
      </c>
      <c r="Y82" s="148">
        <v>1.0279999999999999E-2</v>
      </c>
      <c r="Z82" s="149">
        <v>1.5299999999999999E-3</v>
      </c>
      <c r="AA82" s="196"/>
    </row>
    <row r="83" spans="1:27" x14ac:dyDescent="0.2">
      <c r="A83" s="144" t="s">
        <v>1205</v>
      </c>
      <c r="B83" s="145" t="s">
        <v>1205</v>
      </c>
      <c r="C83" s="145" t="s">
        <v>2904</v>
      </c>
      <c r="D83" s="151"/>
      <c r="E83" s="151"/>
      <c r="F83" s="145" t="s">
        <v>3054</v>
      </c>
      <c r="G83" s="145" t="s">
        <v>3055</v>
      </c>
      <c r="H83" s="145" t="s">
        <v>314</v>
      </c>
      <c r="I83" s="145" t="s">
        <v>1000</v>
      </c>
      <c r="J83" s="151"/>
      <c r="K83" s="145" t="s">
        <v>205</v>
      </c>
      <c r="L83" s="151"/>
      <c r="M83" s="151"/>
      <c r="N83" s="145" t="s">
        <v>224</v>
      </c>
      <c r="O83" s="145" t="s">
        <v>339</v>
      </c>
      <c r="P83" s="176">
        <v>44259</v>
      </c>
      <c r="Q83" s="145" t="s">
        <v>1211</v>
      </c>
      <c r="R83" s="145" t="s">
        <v>885</v>
      </c>
      <c r="S83" s="145" t="s">
        <v>889</v>
      </c>
      <c r="T83" s="177">
        <v>45747</v>
      </c>
      <c r="U83" s="146">
        <v>3.718</v>
      </c>
      <c r="V83" s="180">
        <v>430.59494351802044</v>
      </c>
      <c r="W83" s="146">
        <v>1600.952</v>
      </c>
      <c r="X83" s="148">
        <v>2.9E-4</v>
      </c>
      <c r="Y83" s="148">
        <v>1.026E-2</v>
      </c>
      <c r="Z83" s="149">
        <v>1.5200000000000001E-3</v>
      </c>
      <c r="AA83" s="196"/>
    </row>
    <row r="84" spans="1:27" x14ac:dyDescent="0.2">
      <c r="A84" s="144" t="s">
        <v>1205</v>
      </c>
      <c r="B84" s="145" t="s">
        <v>1205</v>
      </c>
      <c r="C84" s="145" t="s">
        <v>3056</v>
      </c>
      <c r="D84" s="151"/>
      <c r="E84" s="151"/>
      <c r="F84" s="145" t="s">
        <v>3057</v>
      </c>
      <c r="G84" s="145" t="s">
        <v>3058</v>
      </c>
      <c r="H84" s="145" t="s">
        <v>314</v>
      </c>
      <c r="I84" s="145" t="s">
        <v>1001</v>
      </c>
      <c r="J84" s="151"/>
      <c r="K84" s="145" t="s">
        <v>205</v>
      </c>
      <c r="L84" s="151"/>
      <c r="M84" s="151"/>
      <c r="N84" s="145" t="s">
        <v>224</v>
      </c>
      <c r="O84" s="145" t="s">
        <v>339</v>
      </c>
      <c r="P84" s="176">
        <v>43230</v>
      </c>
      <c r="Q84" s="145" t="s">
        <v>1211</v>
      </c>
      <c r="R84" s="145" t="s">
        <v>885</v>
      </c>
      <c r="S84" s="145" t="s">
        <v>889</v>
      </c>
      <c r="T84" s="177">
        <v>45747</v>
      </c>
      <c r="U84" s="146">
        <v>3.718</v>
      </c>
      <c r="V84" s="180">
        <v>430.43033889187734</v>
      </c>
      <c r="W84" s="146">
        <v>1600.34</v>
      </c>
      <c r="X84" s="148">
        <v>6.4000000000000005E-4</v>
      </c>
      <c r="Y84" s="148">
        <v>1.026E-2</v>
      </c>
      <c r="Z84" s="149">
        <v>1.5200000000000001E-3</v>
      </c>
      <c r="AA84" s="196"/>
    </row>
    <row r="85" spans="1:27" x14ac:dyDescent="0.2">
      <c r="A85" s="144" t="s">
        <v>1205</v>
      </c>
      <c r="B85" s="145" t="s">
        <v>1205</v>
      </c>
      <c r="C85" s="145" t="s">
        <v>3059</v>
      </c>
      <c r="D85" s="151"/>
      <c r="E85" s="151"/>
      <c r="F85" s="145" t="s">
        <v>3060</v>
      </c>
      <c r="G85" s="145" t="s">
        <v>3061</v>
      </c>
      <c r="H85" s="145" t="s">
        <v>314</v>
      </c>
      <c r="I85" s="145" t="s">
        <v>1005</v>
      </c>
      <c r="J85" s="151"/>
      <c r="K85" s="145" t="s">
        <v>205</v>
      </c>
      <c r="L85" s="151"/>
      <c r="M85" s="151"/>
      <c r="N85" s="145" t="s">
        <v>224</v>
      </c>
      <c r="O85" s="145" t="s">
        <v>339</v>
      </c>
      <c r="P85" s="176">
        <v>45252</v>
      </c>
      <c r="Q85" s="145" t="s">
        <v>1211</v>
      </c>
      <c r="R85" s="145" t="s">
        <v>885</v>
      </c>
      <c r="S85" s="145" t="s">
        <v>889</v>
      </c>
      <c r="T85" s="177">
        <v>45747</v>
      </c>
      <c r="U85" s="146">
        <v>3.718</v>
      </c>
      <c r="V85" s="180">
        <v>415.52635825712747</v>
      </c>
      <c r="W85" s="146">
        <v>1544.9269999999999</v>
      </c>
      <c r="X85" s="148">
        <v>1.0200000000000001E-3</v>
      </c>
      <c r="Y85" s="148">
        <v>9.9000000000000008E-3</v>
      </c>
      <c r="Z85" s="149">
        <v>1.47E-3</v>
      </c>
      <c r="AA85" s="196"/>
    </row>
    <row r="86" spans="1:27" x14ac:dyDescent="0.2">
      <c r="A86" s="144" t="s">
        <v>1205</v>
      </c>
      <c r="B86" s="145" t="s">
        <v>1205</v>
      </c>
      <c r="C86" s="145" t="s">
        <v>3062</v>
      </c>
      <c r="D86" s="151"/>
      <c r="E86" s="151"/>
      <c r="F86" s="145" t="s">
        <v>3063</v>
      </c>
      <c r="G86" s="145" t="s">
        <v>3064</v>
      </c>
      <c r="H86" s="145" t="s">
        <v>314</v>
      </c>
      <c r="I86" s="145" t="s">
        <v>1004</v>
      </c>
      <c r="J86" s="151"/>
      <c r="K86" s="145" t="s">
        <v>205</v>
      </c>
      <c r="L86" s="151"/>
      <c r="M86" s="151"/>
      <c r="N86" s="145" t="s">
        <v>291</v>
      </c>
      <c r="O86" s="145" t="s">
        <v>339</v>
      </c>
      <c r="P86" s="176">
        <v>43971</v>
      </c>
      <c r="Q86" s="145" t="s">
        <v>1211</v>
      </c>
      <c r="R86" s="145" t="s">
        <v>885</v>
      </c>
      <c r="S86" s="145" t="s">
        <v>889</v>
      </c>
      <c r="T86" s="177">
        <v>45747</v>
      </c>
      <c r="U86" s="146">
        <v>3.718</v>
      </c>
      <c r="V86" s="180">
        <v>409.9962345346961</v>
      </c>
      <c r="W86" s="146">
        <v>1524.366</v>
      </c>
      <c r="X86" s="148">
        <v>2.7999999999999998E-4</v>
      </c>
      <c r="Y86" s="148">
        <v>9.7699999999999992E-3</v>
      </c>
      <c r="Z86" s="149">
        <v>1.4499999999999999E-3</v>
      </c>
      <c r="AA86" s="196"/>
    </row>
    <row r="87" spans="1:27" x14ac:dyDescent="0.2">
      <c r="A87" s="144" t="s">
        <v>1205</v>
      </c>
      <c r="B87" s="145" t="s">
        <v>1205</v>
      </c>
      <c r="C87" s="145" t="s">
        <v>3065</v>
      </c>
      <c r="D87" s="151"/>
      <c r="E87" s="151"/>
      <c r="F87" s="145" t="s">
        <v>3066</v>
      </c>
      <c r="G87" s="145" t="s">
        <v>3067</v>
      </c>
      <c r="H87" s="145" t="s">
        <v>314</v>
      </c>
      <c r="I87" s="145" t="s">
        <v>1001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6">
        <v>44651</v>
      </c>
      <c r="Q87" s="145" t="s">
        <v>1211</v>
      </c>
      <c r="R87" s="145" t="s">
        <v>885</v>
      </c>
      <c r="S87" s="145" t="s">
        <v>889</v>
      </c>
      <c r="T87" s="177">
        <v>45746</v>
      </c>
      <c r="U87" s="146">
        <v>3.718</v>
      </c>
      <c r="V87" s="180">
        <v>402.54168908015066</v>
      </c>
      <c r="W87" s="146">
        <v>1496.65</v>
      </c>
      <c r="X87" s="148">
        <v>1.4999999999999999E-4</v>
      </c>
      <c r="Y87" s="148">
        <v>9.5899999999999996E-3</v>
      </c>
      <c r="Z87" s="149">
        <v>1.42E-3</v>
      </c>
      <c r="AA87" s="196"/>
    </row>
    <row r="88" spans="1:27" x14ac:dyDescent="0.2">
      <c r="A88" s="144" t="s">
        <v>1205</v>
      </c>
      <c r="B88" s="145" t="s">
        <v>1205</v>
      </c>
      <c r="C88" s="145" t="s">
        <v>3068</v>
      </c>
      <c r="D88" s="151"/>
      <c r="E88" s="151"/>
      <c r="F88" s="145" t="s">
        <v>3069</v>
      </c>
      <c r="G88" s="145" t="s">
        <v>3070</v>
      </c>
      <c r="H88" s="145" t="s">
        <v>314</v>
      </c>
      <c r="I88" s="145" t="s">
        <v>1000</v>
      </c>
      <c r="J88" s="151"/>
      <c r="K88" s="145" t="s">
        <v>205</v>
      </c>
      <c r="L88" s="151"/>
      <c r="M88" s="151"/>
      <c r="N88" s="145" t="s">
        <v>293</v>
      </c>
      <c r="O88" s="145" t="s">
        <v>339</v>
      </c>
      <c r="P88" s="176">
        <v>44195</v>
      </c>
      <c r="Q88" s="145" t="s">
        <v>1211</v>
      </c>
      <c r="R88" s="145" t="s">
        <v>885</v>
      </c>
      <c r="S88" s="145" t="s">
        <v>889</v>
      </c>
      <c r="T88" s="177">
        <v>45747</v>
      </c>
      <c r="U88" s="146">
        <v>3.718</v>
      </c>
      <c r="V88" s="180">
        <v>396.68665949435183</v>
      </c>
      <c r="W88" s="146">
        <v>1474.8810000000001</v>
      </c>
      <c r="X88" s="148">
        <v>4.0000000000000003E-5</v>
      </c>
      <c r="Y88" s="148">
        <v>9.4500000000000001E-3</v>
      </c>
      <c r="Z88" s="149">
        <v>1.4E-3</v>
      </c>
      <c r="AA88" s="196"/>
    </row>
    <row r="89" spans="1:27" x14ac:dyDescent="0.2">
      <c r="A89" s="144" t="s">
        <v>1205</v>
      </c>
      <c r="B89" s="145" t="s">
        <v>1205</v>
      </c>
      <c r="C89" s="145" t="s">
        <v>3071</v>
      </c>
      <c r="D89" s="151"/>
      <c r="E89" s="151"/>
      <c r="F89" s="145" t="s">
        <v>3072</v>
      </c>
      <c r="G89" s="145" t="s">
        <v>3073</v>
      </c>
      <c r="H89" s="145" t="s">
        <v>314</v>
      </c>
      <c r="I89" s="145" t="s">
        <v>1000</v>
      </c>
      <c r="J89" s="151"/>
      <c r="K89" s="145" t="s">
        <v>205</v>
      </c>
      <c r="L89" s="151"/>
      <c r="M89" s="151"/>
      <c r="N89" s="145" t="s">
        <v>296</v>
      </c>
      <c r="O89" s="145" t="s">
        <v>339</v>
      </c>
      <c r="P89" s="176">
        <v>44613</v>
      </c>
      <c r="Q89" s="145" t="s">
        <v>1212</v>
      </c>
      <c r="R89" s="145" t="s">
        <v>885</v>
      </c>
      <c r="S89" s="145" t="s">
        <v>889</v>
      </c>
      <c r="T89" s="177">
        <v>45680</v>
      </c>
      <c r="U89" s="146">
        <v>4.0220000000000002</v>
      </c>
      <c r="V89" s="180">
        <v>357.87792143212329</v>
      </c>
      <c r="W89" s="146">
        <v>1439.385</v>
      </c>
      <c r="X89" s="148">
        <v>8.4999999999999995E-4</v>
      </c>
      <c r="Y89" s="148">
        <v>9.2300000000000004E-3</v>
      </c>
      <c r="Z89" s="149">
        <v>1.3699999999999999E-3</v>
      </c>
      <c r="AA89" s="196"/>
    </row>
    <row r="90" spans="1:27" x14ac:dyDescent="0.2">
      <c r="A90" s="144" t="s">
        <v>1205</v>
      </c>
      <c r="B90" s="145" t="s">
        <v>1205</v>
      </c>
      <c r="C90" s="145" t="s">
        <v>3074</v>
      </c>
      <c r="D90" s="151"/>
      <c r="E90" s="151"/>
      <c r="F90" s="145" t="s">
        <v>3075</v>
      </c>
      <c r="G90" s="145" t="s">
        <v>3076</v>
      </c>
      <c r="H90" s="145" t="s">
        <v>314</v>
      </c>
      <c r="I90" s="145" t="s">
        <v>1000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6">
        <v>43971</v>
      </c>
      <c r="Q90" s="145" t="s">
        <v>1211</v>
      </c>
      <c r="R90" s="145" t="s">
        <v>885</v>
      </c>
      <c r="S90" s="145" t="s">
        <v>889</v>
      </c>
      <c r="T90" s="177">
        <v>45747</v>
      </c>
      <c r="U90" s="146">
        <v>3.718</v>
      </c>
      <c r="V90" s="180">
        <v>383.88515330823026</v>
      </c>
      <c r="W90" s="146">
        <v>1427.2850000000001</v>
      </c>
      <c r="X90" s="148">
        <v>2.3000000000000001E-4</v>
      </c>
      <c r="Y90" s="148">
        <v>9.1500000000000001E-3</v>
      </c>
      <c r="Z90" s="149">
        <v>1.3600000000000001E-3</v>
      </c>
      <c r="AA90" s="196"/>
    </row>
    <row r="91" spans="1:27" x14ac:dyDescent="0.2">
      <c r="A91" s="144" t="s">
        <v>1205</v>
      </c>
      <c r="B91" s="145" t="s">
        <v>1205</v>
      </c>
      <c r="C91" s="145" t="s">
        <v>3077</v>
      </c>
      <c r="D91" s="151"/>
      <c r="E91" s="151"/>
      <c r="F91" s="145" t="s">
        <v>3078</v>
      </c>
      <c r="G91" s="145" t="s">
        <v>3079</v>
      </c>
      <c r="H91" s="145" t="s">
        <v>314</v>
      </c>
      <c r="I91" s="145" t="s">
        <v>1004</v>
      </c>
      <c r="J91" s="151"/>
      <c r="K91" s="145" t="s">
        <v>205</v>
      </c>
      <c r="L91" s="151"/>
      <c r="M91" s="151"/>
      <c r="N91" s="145" t="s">
        <v>291</v>
      </c>
      <c r="O91" s="145" t="s">
        <v>339</v>
      </c>
      <c r="P91" s="176">
        <v>42908</v>
      </c>
      <c r="Q91" s="145" t="s">
        <v>1211</v>
      </c>
      <c r="R91" s="145" t="s">
        <v>885</v>
      </c>
      <c r="S91" s="145" t="s">
        <v>889</v>
      </c>
      <c r="T91" s="177">
        <v>45613</v>
      </c>
      <c r="U91" s="146">
        <v>3.718</v>
      </c>
      <c r="V91" s="180">
        <v>381.77111350188272</v>
      </c>
      <c r="W91" s="146">
        <v>1419.425</v>
      </c>
      <c r="X91" s="148">
        <v>2.99E-3</v>
      </c>
      <c r="Y91" s="148">
        <v>9.1000000000000004E-3</v>
      </c>
      <c r="Z91" s="149">
        <v>1.3500000000000001E-3</v>
      </c>
      <c r="AA91" s="196"/>
    </row>
    <row r="92" spans="1:27" x14ac:dyDescent="0.2">
      <c r="A92" s="144" t="s">
        <v>1205</v>
      </c>
      <c r="B92" s="145" t="s">
        <v>1205</v>
      </c>
      <c r="C92" s="145" t="s">
        <v>3080</v>
      </c>
      <c r="D92" s="151"/>
      <c r="E92" s="151"/>
      <c r="F92" s="145" t="s">
        <v>2992</v>
      </c>
      <c r="G92" s="145" t="s">
        <v>3081</v>
      </c>
      <c r="H92" s="145" t="s">
        <v>314</v>
      </c>
      <c r="I92" s="145" t="s">
        <v>1004</v>
      </c>
      <c r="J92" s="151"/>
      <c r="K92" s="145" t="s">
        <v>205</v>
      </c>
      <c r="L92" s="151"/>
      <c r="M92" s="151"/>
      <c r="N92" s="145" t="s">
        <v>224</v>
      </c>
      <c r="O92" s="145" t="s">
        <v>339</v>
      </c>
      <c r="P92" s="176">
        <v>45449</v>
      </c>
      <c r="Q92" s="145" t="s">
        <v>1211</v>
      </c>
      <c r="R92" s="145" t="s">
        <v>885</v>
      </c>
      <c r="S92" s="145" t="s">
        <v>889</v>
      </c>
      <c r="T92" s="177">
        <v>45747</v>
      </c>
      <c r="U92" s="146">
        <v>3.718</v>
      </c>
      <c r="V92" s="180">
        <v>368.09951586874666</v>
      </c>
      <c r="W92" s="146">
        <v>1368.5940000000001</v>
      </c>
      <c r="X92" s="148">
        <v>4.0000000000000002E-4</v>
      </c>
      <c r="Y92" s="148">
        <v>8.77E-3</v>
      </c>
      <c r="Z92" s="149">
        <v>1.2999999999999999E-3</v>
      </c>
      <c r="AA92" s="196"/>
    </row>
    <row r="93" spans="1:27" x14ac:dyDescent="0.2">
      <c r="A93" s="144" t="s">
        <v>1205</v>
      </c>
      <c r="B93" s="145" t="s">
        <v>1205</v>
      </c>
      <c r="C93" s="145" t="s">
        <v>3082</v>
      </c>
      <c r="D93" s="151"/>
      <c r="E93" s="151"/>
      <c r="F93" s="145" t="s">
        <v>3083</v>
      </c>
      <c r="G93" s="145" t="s">
        <v>3084</v>
      </c>
      <c r="H93" s="145" t="s">
        <v>314</v>
      </c>
      <c r="I93" s="145" t="s">
        <v>1000</v>
      </c>
      <c r="J93" s="151"/>
      <c r="K93" s="145" t="s">
        <v>205</v>
      </c>
      <c r="L93" s="151"/>
      <c r="M93" s="151"/>
      <c r="N93" s="145" t="s">
        <v>291</v>
      </c>
      <c r="O93" s="145" t="s">
        <v>339</v>
      </c>
      <c r="P93" s="176">
        <v>43300</v>
      </c>
      <c r="Q93" s="145" t="s">
        <v>1211</v>
      </c>
      <c r="R93" s="145" t="s">
        <v>885</v>
      </c>
      <c r="S93" s="145" t="s">
        <v>889</v>
      </c>
      <c r="T93" s="177">
        <v>45747</v>
      </c>
      <c r="U93" s="146">
        <v>3.718</v>
      </c>
      <c r="V93" s="180">
        <v>361.73372781065086</v>
      </c>
      <c r="W93" s="146">
        <v>1344.9259999999999</v>
      </c>
      <c r="X93" s="151"/>
      <c r="Y93" s="148">
        <v>8.6199999999999992E-3</v>
      </c>
      <c r="Z93" s="149">
        <v>1.2800000000000001E-3</v>
      </c>
      <c r="AA93" s="196"/>
    </row>
    <row r="94" spans="1:27" x14ac:dyDescent="0.2">
      <c r="A94" s="144" t="s">
        <v>1205</v>
      </c>
      <c r="B94" s="145" t="s">
        <v>1205</v>
      </c>
      <c r="C94" s="145" t="s">
        <v>3085</v>
      </c>
      <c r="D94" s="151"/>
      <c r="E94" s="151"/>
      <c r="F94" s="145" t="s">
        <v>3086</v>
      </c>
      <c r="G94" s="145" t="s">
        <v>3087</v>
      </c>
      <c r="H94" s="145" t="s">
        <v>314</v>
      </c>
      <c r="I94" s="145" t="s">
        <v>1004</v>
      </c>
      <c r="J94" s="151"/>
      <c r="K94" s="145" t="s">
        <v>205</v>
      </c>
      <c r="L94" s="151"/>
      <c r="M94" s="151"/>
      <c r="N94" s="145" t="s">
        <v>224</v>
      </c>
      <c r="O94" s="145" t="s">
        <v>339</v>
      </c>
      <c r="P94" s="176">
        <v>45218</v>
      </c>
      <c r="Q94" s="145" t="s">
        <v>1211</v>
      </c>
      <c r="R94" s="145" t="s">
        <v>885</v>
      </c>
      <c r="S94" s="145" t="s">
        <v>889</v>
      </c>
      <c r="T94" s="177">
        <v>45747</v>
      </c>
      <c r="U94" s="146">
        <v>3.718</v>
      </c>
      <c r="V94" s="180">
        <v>356.64066702528243</v>
      </c>
      <c r="W94" s="146">
        <v>1325.99</v>
      </c>
      <c r="X94" s="151"/>
      <c r="Y94" s="148">
        <v>8.5000000000000006E-3</v>
      </c>
      <c r="Z94" s="149">
        <v>1.2600000000000001E-3</v>
      </c>
      <c r="AA94" s="196"/>
    </row>
    <row r="95" spans="1:27" x14ac:dyDescent="0.2">
      <c r="A95" s="144" t="s">
        <v>1205</v>
      </c>
      <c r="B95" s="145" t="s">
        <v>1205</v>
      </c>
      <c r="C95" s="145" t="s">
        <v>3088</v>
      </c>
      <c r="D95" s="151"/>
      <c r="E95" s="151"/>
      <c r="F95" s="145" t="s">
        <v>3089</v>
      </c>
      <c r="G95" s="145" t="s">
        <v>3090</v>
      </c>
      <c r="H95" s="145" t="s">
        <v>314</v>
      </c>
      <c r="I95" s="145" t="s">
        <v>1000</v>
      </c>
      <c r="J95" s="151"/>
      <c r="K95" s="145" t="s">
        <v>205</v>
      </c>
      <c r="L95" s="151"/>
      <c r="M95" s="151"/>
      <c r="N95" s="145" t="s">
        <v>204</v>
      </c>
      <c r="O95" s="145" t="s">
        <v>339</v>
      </c>
      <c r="P95" s="176">
        <v>43934</v>
      </c>
      <c r="Q95" s="145" t="s">
        <v>1211</v>
      </c>
      <c r="R95" s="145" t="s">
        <v>885</v>
      </c>
      <c r="S95" s="145" t="s">
        <v>889</v>
      </c>
      <c r="T95" s="177">
        <v>45743</v>
      </c>
      <c r="U95" s="146">
        <v>3.718</v>
      </c>
      <c r="V95" s="180">
        <v>354.62345346960734</v>
      </c>
      <c r="W95" s="146">
        <v>1318.49</v>
      </c>
      <c r="X95" s="148">
        <v>5.9999999999999995E-4</v>
      </c>
      <c r="Y95" s="148">
        <v>8.4499999999999992E-3</v>
      </c>
      <c r="Z95" s="149">
        <v>1.25E-3</v>
      </c>
      <c r="AA95" s="196"/>
    </row>
    <row r="96" spans="1:27" x14ac:dyDescent="0.2">
      <c r="A96" s="144" t="s">
        <v>1205</v>
      </c>
      <c r="B96" s="145" t="s">
        <v>1205</v>
      </c>
      <c r="C96" s="145" t="s">
        <v>3091</v>
      </c>
      <c r="D96" s="151"/>
      <c r="E96" s="151"/>
      <c r="F96" s="145" t="s">
        <v>3092</v>
      </c>
      <c r="G96" s="145" t="s">
        <v>3093</v>
      </c>
      <c r="H96" s="145" t="s">
        <v>314</v>
      </c>
      <c r="I96" s="145" t="s">
        <v>1003</v>
      </c>
      <c r="J96" s="151"/>
      <c r="K96" s="145" t="s">
        <v>205</v>
      </c>
      <c r="L96" s="151"/>
      <c r="M96" s="151"/>
      <c r="N96" s="145" t="s">
        <v>289</v>
      </c>
      <c r="O96" s="145" t="s">
        <v>339</v>
      </c>
      <c r="P96" s="176">
        <v>44731</v>
      </c>
      <c r="Q96" s="145" t="s">
        <v>1211</v>
      </c>
      <c r="R96" s="145" t="s">
        <v>885</v>
      </c>
      <c r="S96" s="145" t="s">
        <v>889</v>
      </c>
      <c r="T96" s="177">
        <v>45739</v>
      </c>
      <c r="U96" s="146">
        <v>3.718</v>
      </c>
      <c r="V96" s="180">
        <v>348.442173211404</v>
      </c>
      <c r="W96" s="146">
        <v>1295.508</v>
      </c>
      <c r="X96" s="148">
        <v>3.3E-4</v>
      </c>
      <c r="Y96" s="148">
        <v>8.3000000000000001E-3</v>
      </c>
      <c r="Z96" s="149">
        <v>1.23E-3</v>
      </c>
      <c r="AA96" s="196"/>
    </row>
    <row r="97" spans="1:27" x14ac:dyDescent="0.2">
      <c r="A97" s="144" t="s">
        <v>1205</v>
      </c>
      <c r="B97" s="145" t="s">
        <v>1205</v>
      </c>
      <c r="C97" s="145" t="s">
        <v>3094</v>
      </c>
      <c r="D97" s="151"/>
      <c r="E97" s="151"/>
      <c r="F97" s="145" t="s">
        <v>3095</v>
      </c>
      <c r="G97" s="145" t="s">
        <v>3096</v>
      </c>
      <c r="H97" s="145" t="s">
        <v>314</v>
      </c>
      <c r="I97" s="145" t="s">
        <v>1004</v>
      </c>
      <c r="J97" s="151"/>
      <c r="K97" s="145" t="s">
        <v>205</v>
      </c>
      <c r="L97" s="151"/>
      <c r="M97" s="151"/>
      <c r="N97" s="145" t="s">
        <v>291</v>
      </c>
      <c r="O97" s="145" t="s">
        <v>339</v>
      </c>
      <c r="P97" s="176">
        <v>43689</v>
      </c>
      <c r="Q97" s="145" t="s">
        <v>1211</v>
      </c>
      <c r="R97" s="145" t="s">
        <v>885</v>
      </c>
      <c r="S97" s="145" t="s">
        <v>889</v>
      </c>
      <c r="T97" s="177">
        <v>45728</v>
      </c>
      <c r="U97" s="146">
        <v>3.718</v>
      </c>
      <c r="V97" s="180">
        <v>348.0373856912318</v>
      </c>
      <c r="W97" s="146">
        <v>1294.0029999999999</v>
      </c>
      <c r="X97" s="151"/>
      <c r="Y97" s="148">
        <v>8.3000000000000001E-3</v>
      </c>
      <c r="Z97" s="149">
        <v>1.23E-3</v>
      </c>
      <c r="AA97" s="196"/>
    </row>
    <row r="98" spans="1:27" x14ac:dyDescent="0.2">
      <c r="A98" s="144" t="s">
        <v>1205</v>
      </c>
      <c r="B98" s="145" t="s">
        <v>1205</v>
      </c>
      <c r="C98" s="145" t="s">
        <v>3097</v>
      </c>
      <c r="D98" s="151"/>
      <c r="E98" s="151"/>
      <c r="F98" s="145" t="s">
        <v>3098</v>
      </c>
      <c r="G98" s="145" t="s">
        <v>3099</v>
      </c>
      <c r="H98" s="145" t="s">
        <v>314</v>
      </c>
      <c r="I98" s="145" t="s">
        <v>1000</v>
      </c>
      <c r="J98" s="151"/>
      <c r="K98" s="145" t="s">
        <v>205</v>
      </c>
      <c r="L98" s="151"/>
      <c r="M98" s="151"/>
      <c r="N98" s="145" t="s">
        <v>299</v>
      </c>
      <c r="O98" s="145" t="s">
        <v>339</v>
      </c>
      <c r="P98" s="176">
        <v>44143</v>
      </c>
      <c r="Q98" s="145" t="s">
        <v>1212</v>
      </c>
      <c r="R98" s="145" t="s">
        <v>885</v>
      </c>
      <c r="S98" s="145" t="s">
        <v>889</v>
      </c>
      <c r="T98" s="177">
        <v>45714</v>
      </c>
      <c r="U98" s="146">
        <v>4.0220000000000002</v>
      </c>
      <c r="V98" s="180">
        <v>315.07483838886122</v>
      </c>
      <c r="W98" s="146">
        <v>1267.231</v>
      </c>
      <c r="X98" s="148">
        <v>2.0000000000000002E-5</v>
      </c>
      <c r="Y98" s="148">
        <v>8.1200000000000005E-3</v>
      </c>
      <c r="Z98" s="149">
        <v>1.2099999999999999E-3</v>
      </c>
      <c r="AA98" s="196"/>
    </row>
    <row r="99" spans="1:27" x14ac:dyDescent="0.2">
      <c r="A99" s="144" t="s">
        <v>1205</v>
      </c>
      <c r="B99" s="145" t="s">
        <v>1205</v>
      </c>
      <c r="C99" s="145" t="s">
        <v>3100</v>
      </c>
      <c r="D99" s="151"/>
      <c r="E99" s="151"/>
      <c r="F99" s="145" t="s">
        <v>3101</v>
      </c>
      <c r="G99" s="145" t="s">
        <v>3102</v>
      </c>
      <c r="H99" s="145" t="s">
        <v>314</v>
      </c>
      <c r="I99" s="145" t="s">
        <v>1003</v>
      </c>
      <c r="J99" s="151"/>
      <c r="K99" s="145" t="s">
        <v>205</v>
      </c>
      <c r="L99" s="151"/>
      <c r="M99" s="151"/>
      <c r="N99" s="145" t="s">
        <v>291</v>
      </c>
      <c r="O99" s="145" t="s">
        <v>339</v>
      </c>
      <c r="P99" s="176">
        <v>45124</v>
      </c>
      <c r="Q99" s="145" t="s">
        <v>1211</v>
      </c>
      <c r="R99" s="145" t="s">
        <v>885</v>
      </c>
      <c r="S99" s="145" t="s">
        <v>889</v>
      </c>
      <c r="T99" s="177">
        <v>45747</v>
      </c>
      <c r="U99" s="146">
        <v>3.718</v>
      </c>
      <c r="V99" s="180">
        <v>327.52904787520168</v>
      </c>
      <c r="W99" s="146">
        <v>1217.7529999999999</v>
      </c>
      <c r="X99" s="151"/>
      <c r="Y99" s="148">
        <v>7.8100000000000001E-3</v>
      </c>
      <c r="Z99" s="149">
        <v>1.16E-3</v>
      </c>
      <c r="AA99" s="196"/>
    </row>
    <row r="100" spans="1:27" x14ac:dyDescent="0.2">
      <c r="A100" s="144" t="s">
        <v>1205</v>
      </c>
      <c r="B100" s="145" t="s">
        <v>1205</v>
      </c>
      <c r="C100" s="145" t="s">
        <v>3103</v>
      </c>
      <c r="D100" s="151"/>
      <c r="E100" s="151"/>
      <c r="F100" s="145" t="s">
        <v>3104</v>
      </c>
      <c r="G100" s="145" t="s">
        <v>3105</v>
      </c>
      <c r="H100" s="145" t="s">
        <v>314</v>
      </c>
      <c r="I100" s="145" t="s">
        <v>1003</v>
      </c>
      <c r="J100" s="151"/>
      <c r="K100" s="145" t="s">
        <v>205</v>
      </c>
      <c r="L100" s="151"/>
      <c r="M100" s="151"/>
      <c r="N100" s="145" t="s">
        <v>224</v>
      </c>
      <c r="O100" s="145" t="s">
        <v>339</v>
      </c>
      <c r="P100" s="176">
        <v>44560</v>
      </c>
      <c r="Q100" s="145" t="s">
        <v>1211</v>
      </c>
      <c r="R100" s="145" t="s">
        <v>885</v>
      </c>
      <c r="S100" s="145" t="s">
        <v>889</v>
      </c>
      <c r="T100" s="177">
        <v>45707</v>
      </c>
      <c r="U100" s="146">
        <v>3.718</v>
      </c>
      <c r="V100" s="180">
        <v>325.45615922539002</v>
      </c>
      <c r="W100" s="146">
        <v>1210.046</v>
      </c>
      <c r="X100" s="148">
        <v>0</v>
      </c>
      <c r="Y100" s="148">
        <v>7.7600000000000004E-3</v>
      </c>
      <c r="Z100" s="149">
        <v>1.15E-3</v>
      </c>
      <c r="AA100" s="196"/>
    </row>
    <row r="101" spans="1:27" x14ac:dyDescent="0.2">
      <c r="A101" s="144" t="s">
        <v>1205</v>
      </c>
      <c r="B101" s="145" t="s">
        <v>1205</v>
      </c>
      <c r="C101" s="145" t="s">
        <v>3106</v>
      </c>
      <c r="D101" s="151"/>
      <c r="E101" s="151"/>
      <c r="F101" s="145" t="s">
        <v>3107</v>
      </c>
      <c r="G101" s="145" t="s">
        <v>3108</v>
      </c>
      <c r="H101" s="145" t="s">
        <v>314</v>
      </c>
      <c r="I101" s="145" t="s">
        <v>1000</v>
      </c>
      <c r="J101" s="151"/>
      <c r="K101" s="145" t="s">
        <v>205</v>
      </c>
      <c r="L101" s="151"/>
      <c r="M101" s="151"/>
      <c r="N101" s="145" t="s">
        <v>224</v>
      </c>
      <c r="O101" s="145" t="s">
        <v>339</v>
      </c>
      <c r="P101" s="176">
        <v>44769</v>
      </c>
      <c r="Q101" s="145" t="s">
        <v>1211</v>
      </c>
      <c r="R101" s="145" t="s">
        <v>885</v>
      </c>
      <c r="S101" s="145" t="s">
        <v>889</v>
      </c>
      <c r="T101" s="177">
        <v>45747</v>
      </c>
      <c r="U101" s="146">
        <v>3.718</v>
      </c>
      <c r="V101" s="180">
        <v>286.359601936525</v>
      </c>
      <c r="W101" s="146">
        <v>1064.6849999999999</v>
      </c>
      <c r="X101" s="148">
        <v>3.7000000000000002E-3</v>
      </c>
      <c r="Y101" s="148">
        <v>6.8300000000000001E-3</v>
      </c>
      <c r="Z101" s="149">
        <v>1.01E-3</v>
      </c>
      <c r="AA101" s="196"/>
    </row>
    <row r="102" spans="1:27" x14ac:dyDescent="0.2">
      <c r="A102" s="144" t="s">
        <v>1205</v>
      </c>
      <c r="B102" s="145" t="s">
        <v>1205</v>
      </c>
      <c r="C102" s="145" t="s">
        <v>3109</v>
      </c>
      <c r="D102" s="151"/>
      <c r="E102" s="151"/>
      <c r="F102" s="145" t="s">
        <v>3110</v>
      </c>
      <c r="G102" s="145" t="s">
        <v>3111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293</v>
      </c>
      <c r="O102" s="145" t="s">
        <v>339</v>
      </c>
      <c r="P102" s="176">
        <v>43335</v>
      </c>
      <c r="Q102" s="145" t="s">
        <v>1212</v>
      </c>
      <c r="R102" s="145" t="s">
        <v>885</v>
      </c>
      <c r="S102" s="145" t="s">
        <v>889</v>
      </c>
      <c r="T102" s="177">
        <v>45715</v>
      </c>
      <c r="U102" s="146">
        <v>4.0220000000000002</v>
      </c>
      <c r="V102" s="180">
        <v>264.18398806563897</v>
      </c>
      <c r="W102" s="146">
        <v>1062.548</v>
      </c>
      <c r="X102" s="148">
        <v>8.0000000000000007E-5</v>
      </c>
      <c r="Y102" s="148">
        <v>6.8100000000000001E-3</v>
      </c>
      <c r="Z102" s="149">
        <v>1.01E-3</v>
      </c>
      <c r="AA102" s="196"/>
    </row>
    <row r="103" spans="1:27" x14ac:dyDescent="0.2">
      <c r="A103" s="144" t="s">
        <v>1205</v>
      </c>
      <c r="B103" s="145" t="s">
        <v>1205</v>
      </c>
      <c r="C103" s="145" t="s">
        <v>3065</v>
      </c>
      <c r="D103" s="151"/>
      <c r="E103" s="151"/>
      <c r="F103" s="145" t="s">
        <v>3112</v>
      </c>
      <c r="G103" s="145" t="s">
        <v>3113</v>
      </c>
      <c r="H103" s="145" t="s">
        <v>314</v>
      </c>
      <c r="I103" s="145" t="s">
        <v>1000</v>
      </c>
      <c r="J103" s="151"/>
      <c r="K103" s="145" t="s">
        <v>205</v>
      </c>
      <c r="L103" s="151"/>
      <c r="M103" s="151"/>
      <c r="N103" s="145" t="s">
        <v>296</v>
      </c>
      <c r="O103" s="145" t="s">
        <v>339</v>
      </c>
      <c r="P103" s="176">
        <v>45140</v>
      </c>
      <c r="Q103" s="145" t="s">
        <v>1211</v>
      </c>
      <c r="R103" s="145" t="s">
        <v>885</v>
      </c>
      <c r="S103" s="145" t="s">
        <v>889</v>
      </c>
      <c r="T103" s="177">
        <v>45747</v>
      </c>
      <c r="U103" s="146">
        <v>3.718</v>
      </c>
      <c r="V103" s="180">
        <v>284.00188273265201</v>
      </c>
      <c r="W103" s="146">
        <v>1055.9190000000001</v>
      </c>
      <c r="X103" s="148">
        <v>3.4099999999999998E-3</v>
      </c>
      <c r="Y103" s="148">
        <v>6.77E-3</v>
      </c>
      <c r="Z103" s="149">
        <v>1E-3</v>
      </c>
      <c r="AA103" s="196"/>
    </row>
    <row r="104" spans="1:27" x14ac:dyDescent="0.2">
      <c r="A104" s="144" t="s">
        <v>1205</v>
      </c>
      <c r="B104" s="145" t="s">
        <v>1205</v>
      </c>
      <c r="C104" s="145" t="s">
        <v>314</v>
      </c>
      <c r="D104" s="151"/>
      <c r="E104" s="151"/>
      <c r="F104" s="145" t="s">
        <v>3114</v>
      </c>
      <c r="G104" s="145" t="s">
        <v>3115</v>
      </c>
      <c r="H104" s="145" t="s">
        <v>314</v>
      </c>
      <c r="I104" s="145" t="s">
        <v>1005</v>
      </c>
      <c r="J104" s="151"/>
      <c r="K104" s="145" t="s">
        <v>205</v>
      </c>
      <c r="L104" s="151"/>
      <c r="M104" s="151"/>
      <c r="N104" s="145" t="s">
        <v>220</v>
      </c>
      <c r="O104" s="145" t="s">
        <v>339</v>
      </c>
      <c r="P104" s="176">
        <v>43396</v>
      </c>
      <c r="Q104" s="145" t="s">
        <v>1212</v>
      </c>
      <c r="R104" s="145" t="s">
        <v>885</v>
      </c>
      <c r="S104" s="145" t="s">
        <v>889</v>
      </c>
      <c r="T104" s="177">
        <v>45746</v>
      </c>
      <c r="U104" s="146">
        <v>4.0220000000000002</v>
      </c>
      <c r="V104" s="180">
        <v>260.05867727498753</v>
      </c>
      <c r="W104" s="146">
        <v>1045.9559999999999</v>
      </c>
      <c r="X104" s="151"/>
      <c r="Y104" s="148">
        <v>6.7099999999999998E-3</v>
      </c>
      <c r="Z104" s="149">
        <v>9.8999999999999999E-4</v>
      </c>
      <c r="AA104" s="196"/>
    </row>
    <row r="105" spans="1:27" x14ac:dyDescent="0.2">
      <c r="A105" s="144" t="s">
        <v>1205</v>
      </c>
      <c r="B105" s="145" t="s">
        <v>1205</v>
      </c>
      <c r="C105" s="145" t="s">
        <v>3116</v>
      </c>
      <c r="D105" s="151"/>
      <c r="E105" s="151"/>
      <c r="F105" s="145" t="s">
        <v>3117</v>
      </c>
      <c r="G105" s="145" t="s">
        <v>3118</v>
      </c>
      <c r="H105" s="145" t="s">
        <v>314</v>
      </c>
      <c r="I105" s="145" t="s">
        <v>1004</v>
      </c>
      <c r="J105" s="151"/>
      <c r="K105" s="145" t="s">
        <v>205</v>
      </c>
      <c r="L105" s="151"/>
      <c r="M105" s="151"/>
      <c r="N105" s="145" t="s">
        <v>224</v>
      </c>
      <c r="O105" s="145" t="s">
        <v>339</v>
      </c>
      <c r="P105" s="176">
        <v>42541</v>
      </c>
      <c r="Q105" s="145" t="s">
        <v>1211</v>
      </c>
      <c r="R105" s="145" t="s">
        <v>885</v>
      </c>
      <c r="S105" s="145" t="s">
        <v>889</v>
      </c>
      <c r="T105" s="177">
        <v>45743</v>
      </c>
      <c r="U105" s="146">
        <v>3.718</v>
      </c>
      <c r="V105" s="180">
        <v>278.3609467455621</v>
      </c>
      <c r="W105" s="146">
        <v>1034.9459999999999</v>
      </c>
      <c r="X105" s="151"/>
      <c r="Y105" s="148">
        <v>6.6299999999999996E-3</v>
      </c>
      <c r="Z105" s="149">
        <v>9.7999999999999997E-4</v>
      </c>
      <c r="AA105" s="196"/>
    </row>
    <row r="106" spans="1:27" x14ac:dyDescent="0.2">
      <c r="A106" s="144" t="s">
        <v>1205</v>
      </c>
      <c r="B106" s="145" t="s">
        <v>1205</v>
      </c>
      <c r="C106" s="145" t="s">
        <v>3119</v>
      </c>
      <c r="D106" s="151"/>
      <c r="E106" s="151"/>
      <c r="F106" s="145" t="s">
        <v>3120</v>
      </c>
      <c r="G106" s="145" t="s">
        <v>3121</v>
      </c>
      <c r="H106" s="145" t="s">
        <v>314</v>
      </c>
      <c r="I106" s="145" t="s">
        <v>1003</v>
      </c>
      <c r="J106" s="151"/>
      <c r="K106" s="145" t="s">
        <v>205</v>
      </c>
      <c r="L106" s="151"/>
      <c r="M106" s="151"/>
      <c r="N106" s="145" t="s">
        <v>293</v>
      </c>
      <c r="O106" s="145" t="s">
        <v>339</v>
      </c>
      <c r="P106" s="176">
        <v>44029</v>
      </c>
      <c r="Q106" s="145" t="s">
        <v>1212</v>
      </c>
      <c r="R106" s="145" t="s">
        <v>885</v>
      </c>
      <c r="S106" s="145" t="s">
        <v>889</v>
      </c>
      <c r="T106" s="177">
        <v>45704</v>
      </c>
      <c r="U106" s="146">
        <v>4.0220000000000002</v>
      </c>
      <c r="V106" s="180">
        <v>255.01591248135253</v>
      </c>
      <c r="W106" s="146">
        <v>1025.674</v>
      </c>
      <c r="X106" s="148">
        <v>5.6999999999999998E-4</v>
      </c>
      <c r="Y106" s="148">
        <v>6.5799999999999999E-3</v>
      </c>
      <c r="Z106" s="149">
        <v>9.7999999999999997E-4</v>
      </c>
      <c r="AA106" s="196"/>
    </row>
    <row r="107" spans="1:27" x14ac:dyDescent="0.2">
      <c r="A107" s="144" t="s">
        <v>1205</v>
      </c>
      <c r="B107" s="145" t="s">
        <v>1205</v>
      </c>
      <c r="C107" s="145" t="s">
        <v>3122</v>
      </c>
      <c r="D107" s="151"/>
      <c r="E107" s="151"/>
      <c r="F107" s="145" t="s">
        <v>3123</v>
      </c>
      <c r="G107" s="145" t="s">
        <v>3124</v>
      </c>
      <c r="H107" s="145" t="s">
        <v>314</v>
      </c>
      <c r="I107" s="145" t="s">
        <v>1000</v>
      </c>
      <c r="J107" s="151"/>
      <c r="K107" s="145" t="s">
        <v>205</v>
      </c>
      <c r="L107" s="151"/>
      <c r="M107" s="151"/>
      <c r="N107" s="145" t="s">
        <v>268</v>
      </c>
      <c r="O107" s="145" t="s">
        <v>339</v>
      </c>
      <c r="P107" s="176">
        <v>44567</v>
      </c>
      <c r="Q107" s="145" t="s">
        <v>1211</v>
      </c>
      <c r="R107" s="145" t="s">
        <v>885</v>
      </c>
      <c r="S107" s="145" t="s">
        <v>889</v>
      </c>
      <c r="T107" s="177">
        <v>45624</v>
      </c>
      <c r="U107" s="146">
        <v>3.718</v>
      </c>
      <c r="V107" s="180">
        <v>269.37385691231844</v>
      </c>
      <c r="W107" s="146">
        <v>1001.532</v>
      </c>
      <c r="X107" s="148">
        <v>8.4000000000000003E-4</v>
      </c>
      <c r="Y107" s="148">
        <v>6.4200000000000004E-3</v>
      </c>
      <c r="Z107" s="149">
        <v>9.5E-4</v>
      </c>
      <c r="AA107" s="196"/>
    </row>
    <row r="108" spans="1:27" x14ac:dyDescent="0.2">
      <c r="A108" s="144" t="s">
        <v>1205</v>
      </c>
      <c r="B108" s="145" t="s">
        <v>1205</v>
      </c>
      <c r="C108" s="145" t="s">
        <v>3125</v>
      </c>
      <c r="D108" s="151"/>
      <c r="E108" s="151"/>
      <c r="F108" s="145" t="s">
        <v>3126</v>
      </c>
      <c r="G108" s="145" t="s">
        <v>3127</v>
      </c>
      <c r="H108" s="145" t="s">
        <v>314</v>
      </c>
      <c r="I108" s="145" t="s">
        <v>1004</v>
      </c>
      <c r="J108" s="151"/>
      <c r="K108" s="145" t="s">
        <v>205</v>
      </c>
      <c r="L108" s="151"/>
      <c r="M108" s="151"/>
      <c r="N108" s="145" t="s">
        <v>291</v>
      </c>
      <c r="O108" s="145" t="s">
        <v>339</v>
      </c>
      <c r="P108" s="176">
        <v>43082</v>
      </c>
      <c r="Q108" s="145" t="s">
        <v>1211</v>
      </c>
      <c r="R108" s="145" t="s">
        <v>885</v>
      </c>
      <c r="S108" s="145" t="s">
        <v>889</v>
      </c>
      <c r="T108" s="177">
        <v>45747</v>
      </c>
      <c r="U108" s="146">
        <v>3.718</v>
      </c>
      <c r="V108" s="180">
        <v>242.39591178052714</v>
      </c>
      <c r="W108" s="146">
        <v>901.22799999999995</v>
      </c>
      <c r="X108" s="148">
        <v>4.81E-3</v>
      </c>
      <c r="Y108" s="148">
        <v>5.7800000000000004E-3</v>
      </c>
      <c r="Z108" s="149">
        <v>8.5999999999999998E-4</v>
      </c>
      <c r="AA108" s="196"/>
    </row>
    <row r="109" spans="1:27" x14ac:dyDescent="0.2">
      <c r="A109" s="144" t="s">
        <v>1205</v>
      </c>
      <c r="B109" s="145" t="s">
        <v>1205</v>
      </c>
      <c r="C109" s="145" t="s">
        <v>3128</v>
      </c>
      <c r="D109" s="151"/>
      <c r="E109" s="151"/>
      <c r="F109" s="145" t="s">
        <v>3129</v>
      </c>
      <c r="G109" s="145" t="s">
        <v>3130</v>
      </c>
      <c r="H109" s="145" t="s">
        <v>314</v>
      </c>
      <c r="I109" s="145" t="s">
        <v>1000</v>
      </c>
      <c r="J109" s="151"/>
      <c r="K109" s="145" t="s">
        <v>205</v>
      </c>
      <c r="L109" s="151"/>
      <c r="M109" s="151"/>
      <c r="N109" s="145" t="s">
        <v>293</v>
      </c>
      <c r="O109" s="145" t="s">
        <v>339</v>
      </c>
      <c r="P109" s="176">
        <v>45302</v>
      </c>
      <c r="Q109" s="145" t="s">
        <v>1212</v>
      </c>
      <c r="R109" s="145" t="s">
        <v>885</v>
      </c>
      <c r="S109" s="145" t="s">
        <v>889</v>
      </c>
      <c r="T109" s="177">
        <v>45707</v>
      </c>
      <c r="U109" s="146">
        <v>4.0220000000000002</v>
      </c>
      <c r="V109" s="180">
        <v>219.07633018398806</v>
      </c>
      <c r="W109" s="146">
        <v>881.125</v>
      </c>
      <c r="X109" s="148">
        <v>2.5300000000000001E-3</v>
      </c>
      <c r="Y109" s="148">
        <v>5.6499999999999996E-3</v>
      </c>
      <c r="Z109" s="149">
        <v>8.4000000000000003E-4</v>
      </c>
      <c r="AA109" s="196"/>
    </row>
    <row r="110" spans="1:27" x14ac:dyDescent="0.2">
      <c r="A110" s="144" t="s">
        <v>1205</v>
      </c>
      <c r="B110" s="145" t="s">
        <v>1205</v>
      </c>
      <c r="C110" s="145" t="s">
        <v>3131</v>
      </c>
      <c r="D110" s="151"/>
      <c r="E110" s="151"/>
      <c r="F110" s="145" t="s">
        <v>3132</v>
      </c>
      <c r="G110" s="145" t="s">
        <v>3133</v>
      </c>
      <c r="H110" s="145" t="s">
        <v>314</v>
      </c>
      <c r="I110" s="145" t="s">
        <v>1003</v>
      </c>
      <c r="J110" s="151"/>
      <c r="K110" s="145" t="s">
        <v>205</v>
      </c>
      <c r="L110" s="151"/>
      <c r="M110" s="151"/>
      <c r="N110" s="145" t="s">
        <v>296</v>
      </c>
      <c r="O110" s="145" t="s">
        <v>339</v>
      </c>
      <c r="P110" s="176">
        <v>45012</v>
      </c>
      <c r="Q110" s="145" t="s">
        <v>1211</v>
      </c>
      <c r="R110" s="145" t="s">
        <v>885</v>
      </c>
      <c r="S110" s="145" t="s">
        <v>889</v>
      </c>
      <c r="T110" s="177">
        <v>45747</v>
      </c>
      <c r="U110" s="146">
        <v>3.718</v>
      </c>
      <c r="V110" s="180">
        <v>228.22216245293168</v>
      </c>
      <c r="W110" s="146">
        <v>848.53</v>
      </c>
      <c r="X110" s="148">
        <v>2.5799999999999998E-3</v>
      </c>
      <c r="Y110" s="148">
        <v>5.4400000000000004E-3</v>
      </c>
      <c r="Z110" s="149">
        <v>8.0999999999999996E-4</v>
      </c>
      <c r="AA110" s="196"/>
    </row>
    <row r="111" spans="1:27" x14ac:dyDescent="0.2">
      <c r="A111" s="144" t="s">
        <v>1205</v>
      </c>
      <c r="B111" s="145" t="s">
        <v>1205</v>
      </c>
      <c r="C111" s="145" t="s">
        <v>3134</v>
      </c>
      <c r="D111" s="151"/>
      <c r="E111" s="151"/>
      <c r="F111" s="145" t="s">
        <v>3135</v>
      </c>
      <c r="G111" s="145" t="s">
        <v>3136</v>
      </c>
      <c r="H111" s="145" t="s">
        <v>314</v>
      </c>
      <c r="I111" s="145" t="s">
        <v>1000</v>
      </c>
      <c r="J111" s="151"/>
      <c r="K111" s="145" t="s">
        <v>205</v>
      </c>
      <c r="L111" s="151"/>
      <c r="M111" s="151"/>
      <c r="N111" s="145" t="s">
        <v>224</v>
      </c>
      <c r="O111" s="145" t="s">
        <v>339</v>
      </c>
      <c r="P111" s="176">
        <v>44088</v>
      </c>
      <c r="Q111" s="145" t="s">
        <v>1211</v>
      </c>
      <c r="R111" s="145" t="s">
        <v>885</v>
      </c>
      <c r="S111" s="145" t="s">
        <v>889</v>
      </c>
      <c r="T111" s="177">
        <v>45747</v>
      </c>
      <c r="U111" s="146">
        <v>3.718</v>
      </c>
      <c r="V111" s="180">
        <v>218.63206024744488</v>
      </c>
      <c r="W111" s="146">
        <v>812.87400000000002</v>
      </c>
      <c r="X111" s="148">
        <v>2.4499999999999999E-3</v>
      </c>
      <c r="Y111" s="148">
        <v>5.2100000000000002E-3</v>
      </c>
      <c r="Z111" s="149">
        <v>7.6999999999999996E-4</v>
      </c>
      <c r="AA111" s="196"/>
    </row>
    <row r="112" spans="1:27" x14ac:dyDescent="0.2">
      <c r="A112" s="144" t="s">
        <v>1205</v>
      </c>
      <c r="B112" s="145" t="s">
        <v>1205</v>
      </c>
      <c r="C112" s="145" t="s">
        <v>3137</v>
      </c>
      <c r="D112" s="151"/>
      <c r="E112" s="151"/>
      <c r="F112" s="145" t="s">
        <v>3138</v>
      </c>
      <c r="G112" s="145" t="s">
        <v>3139</v>
      </c>
      <c r="H112" s="145" t="s">
        <v>314</v>
      </c>
      <c r="I112" s="145" t="s">
        <v>1000</v>
      </c>
      <c r="J112" s="151"/>
      <c r="K112" s="145" t="s">
        <v>205</v>
      </c>
      <c r="L112" s="151"/>
      <c r="M112" s="151"/>
      <c r="N112" s="145" t="s">
        <v>291</v>
      </c>
      <c r="O112" s="145" t="s">
        <v>339</v>
      </c>
      <c r="P112" s="176">
        <v>44525</v>
      </c>
      <c r="Q112" s="145" t="s">
        <v>1211</v>
      </c>
      <c r="R112" s="145" t="s">
        <v>885</v>
      </c>
      <c r="S112" s="145" t="s">
        <v>889</v>
      </c>
      <c r="T112" s="177">
        <v>45747</v>
      </c>
      <c r="U112" s="146">
        <v>3.718</v>
      </c>
      <c r="V112" s="180">
        <v>207.56051640667027</v>
      </c>
      <c r="W112" s="146">
        <v>771.71</v>
      </c>
      <c r="X112" s="148">
        <v>3.0000000000000001E-5</v>
      </c>
      <c r="Y112" s="148">
        <v>4.9500000000000004E-3</v>
      </c>
      <c r="Z112" s="149">
        <v>7.2999999999999996E-4</v>
      </c>
      <c r="AA112" s="196"/>
    </row>
    <row r="113" spans="1:27" x14ac:dyDescent="0.2">
      <c r="A113" s="144" t="s">
        <v>1205</v>
      </c>
      <c r="B113" s="145" t="s">
        <v>1205</v>
      </c>
      <c r="C113" s="145" t="s">
        <v>3140</v>
      </c>
      <c r="D113" s="151"/>
      <c r="E113" s="151"/>
      <c r="F113" s="145" t="s">
        <v>3141</v>
      </c>
      <c r="G113" s="145" t="s">
        <v>3142</v>
      </c>
      <c r="H113" s="145" t="s">
        <v>314</v>
      </c>
      <c r="I113" s="145" t="s">
        <v>1003</v>
      </c>
      <c r="J113" s="151"/>
      <c r="K113" s="145" t="s">
        <v>205</v>
      </c>
      <c r="L113" s="151"/>
      <c r="M113" s="151"/>
      <c r="N113" s="145" t="s">
        <v>293</v>
      </c>
      <c r="O113" s="145" t="s">
        <v>339</v>
      </c>
      <c r="P113" s="176">
        <v>45271</v>
      </c>
      <c r="Q113" s="145" t="s">
        <v>1212</v>
      </c>
      <c r="R113" s="145" t="s">
        <v>885</v>
      </c>
      <c r="S113" s="145" t="s">
        <v>889</v>
      </c>
      <c r="T113" s="177">
        <v>45747</v>
      </c>
      <c r="U113" s="146">
        <v>4.0220000000000002</v>
      </c>
      <c r="V113" s="180">
        <v>180.61437095972153</v>
      </c>
      <c r="W113" s="146">
        <v>726.43100000000004</v>
      </c>
      <c r="X113" s="148">
        <v>1.2999999999999999E-4</v>
      </c>
      <c r="Y113" s="148">
        <v>4.6600000000000001E-3</v>
      </c>
      <c r="Z113" s="149">
        <v>6.8999999999999997E-4</v>
      </c>
      <c r="AA113" s="196"/>
    </row>
    <row r="114" spans="1:27" x14ac:dyDescent="0.2">
      <c r="A114" s="144" t="s">
        <v>1205</v>
      </c>
      <c r="B114" s="145" t="s">
        <v>1205</v>
      </c>
      <c r="C114" s="145" t="s">
        <v>3143</v>
      </c>
      <c r="D114" s="151"/>
      <c r="E114" s="151"/>
      <c r="F114" s="145" t="s">
        <v>3144</v>
      </c>
      <c r="G114" s="145" t="s">
        <v>3145</v>
      </c>
      <c r="H114" s="145" t="s">
        <v>314</v>
      </c>
      <c r="I114" s="145" t="s">
        <v>1000</v>
      </c>
      <c r="J114" s="151"/>
      <c r="K114" s="145" t="s">
        <v>205</v>
      </c>
      <c r="L114" s="151"/>
      <c r="M114" s="151"/>
      <c r="N114" s="145" t="s">
        <v>296</v>
      </c>
      <c r="O114" s="145" t="s">
        <v>339</v>
      </c>
      <c r="P114" s="176">
        <v>44420</v>
      </c>
      <c r="Q114" s="145" t="s">
        <v>1211</v>
      </c>
      <c r="R114" s="145" t="s">
        <v>885</v>
      </c>
      <c r="S114" s="145" t="s">
        <v>889</v>
      </c>
      <c r="T114" s="177">
        <v>45726</v>
      </c>
      <c r="U114" s="146">
        <v>3.718</v>
      </c>
      <c r="V114" s="180">
        <v>193.12963959117806</v>
      </c>
      <c r="W114" s="146">
        <v>718.05600000000004</v>
      </c>
      <c r="X114" s="148">
        <v>1E-4</v>
      </c>
      <c r="Y114" s="148">
        <v>4.5999999999999999E-3</v>
      </c>
      <c r="Z114" s="149">
        <v>6.8000000000000005E-4</v>
      </c>
      <c r="AA114" s="196"/>
    </row>
    <row r="115" spans="1:27" x14ac:dyDescent="0.2">
      <c r="A115" s="144" t="s">
        <v>1205</v>
      </c>
      <c r="B115" s="145" t="s">
        <v>1205</v>
      </c>
      <c r="C115" s="145" t="s">
        <v>3146</v>
      </c>
      <c r="D115" s="151"/>
      <c r="E115" s="151"/>
      <c r="F115" s="145" t="s">
        <v>3147</v>
      </c>
      <c r="G115" s="145" t="s">
        <v>3148</v>
      </c>
      <c r="H115" s="145" t="s">
        <v>314</v>
      </c>
      <c r="I115" s="145" t="s">
        <v>1000</v>
      </c>
      <c r="J115" s="151"/>
      <c r="K115" s="145" t="s">
        <v>205</v>
      </c>
      <c r="L115" s="151"/>
      <c r="M115" s="151"/>
      <c r="N115" s="145" t="s">
        <v>289</v>
      </c>
      <c r="O115" s="145" t="s">
        <v>339</v>
      </c>
      <c r="P115" s="176">
        <v>44525</v>
      </c>
      <c r="Q115" s="145" t="s">
        <v>1211</v>
      </c>
      <c r="R115" s="145" t="s">
        <v>885</v>
      </c>
      <c r="S115" s="145" t="s">
        <v>889</v>
      </c>
      <c r="T115" s="177">
        <v>45746</v>
      </c>
      <c r="U115" s="146">
        <v>3.718</v>
      </c>
      <c r="V115" s="180">
        <v>189.73023130715438</v>
      </c>
      <c r="W115" s="146">
        <v>705.41700000000003</v>
      </c>
      <c r="X115" s="148">
        <v>3.5E-4</v>
      </c>
      <c r="Y115" s="148">
        <v>4.5199999999999997E-3</v>
      </c>
      <c r="Z115" s="149">
        <v>6.7000000000000002E-4</v>
      </c>
      <c r="AA115" s="196"/>
    </row>
    <row r="116" spans="1:27" x14ac:dyDescent="0.2">
      <c r="A116" s="144" t="s">
        <v>1205</v>
      </c>
      <c r="B116" s="145" t="s">
        <v>1205</v>
      </c>
      <c r="C116" s="145" t="s">
        <v>3149</v>
      </c>
      <c r="D116" s="151"/>
      <c r="E116" s="151"/>
      <c r="F116" s="145" t="s">
        <v>3150</v>
      </c>
      <c r="G116" s="145" t="s">
        <v>3151</v>
      </c>
      <c r="H116" s="145" t="s">
        <v>314</v>
      </c>
      <c r="I116" s="145" t="s">
        <v>1003</v>
      </c>
      <c r="J116" s="151"/>
      <c r="K116" s="145" t="s">
        <v>205</v>
      </c>
      <c r="L116" s="151"/>
      <c r="M116" s="151"/>
      <c r="N116" s="145" t="s">
        <v>302</v>
      </c>
      <c r="O116" s="145" t="s">
        <v>339</v>
      </c>
      <c r="P116" s="176">
        <v>45503</v>
      </c>
      <c r="Q116" s="145" t="s">
        <v>1211</v>
      </c>
      <c r="R116" s="145" t="s">
        <v>885</v>
      </c>
      <c r="S116" s="145" t="s">
        <v>889</v>
      </c>
      <c r="T116" s="177">
        <v>45728</v>
      </c>
      <c r="U116" s="146">
        <v>3.718</v>
      </c>
      <c r="V116" s="180">
        <v>189.16944593867672</v>
      </c>
      <c r="W116" s="146">
        <v>703.33199999999999</v>
      </c>
      <c r="X116" s="148">
        <v>7.7000000000000002E-3</v>
      </c>
      <c r="Y116" s="148">
        <v>4.5100000000000001E-3</v>
      </c>
      <c r="Z116" s="149">
        <v>6.7000000000000002E-4</v>
      </c>
      <c r="AA116" s="196"/>
    </row>
    <row r="117" spans="1:27" x14ac:dyDescent="0.2">
      <c r="A117" s="144" t="s">
        <v>1205</v>
      </c>
      <c r="B117" s="145" t="s">
        <v>1205</v>
      </c>
      <c r="C117" s="145" t="s">
        <v>2988</v>
      </c>
      <c r="D117" s="151"/>
      <c r="E117" s="151"/>
      <c r="F117" s="145" t="s">
        <v>3152</v>
      </c>
      <c r="G117" s="145" t="s">
        <v>3153</v>
      </c>
      <c r="H117" s="145" t="s">
        <v>314</v>
      </c>
      <c r="I117" s="145" t="s">
        <v>1000</v>
      </c>
      <c r="J117" s="151"/>
      <c r="K117" s="145" t="s">
        <v>205</v>
      </c>
      <c r="L117" s="151"/>
      <c r="M117" s="151"/>
      <c r="N117" s="145" t="s">
        <v>296</v>
      </c>
      <c r="O117" s="145" t="s">
        <v>339</v>
      </c>
      <c r="P117" s="176">
        <v>45371</v>
      </c>
      <c r="Q117" s="145" t="s">
        <v>1211</v>
      </c>
      <c r="R117" s="145" t="s">
        <v>885</v>
      </c>
      <c r="S117" s="145" t="s">
        <v>889</v>
      </c>
      <c r="T117" s="177">
        <v>45734</v>
      </c>
      <c r="U117" s="146">
        <v>3.718</v>
      </c>
      <c r="V117" s="180">
        <v>186.68343195266274</v>
      </c>
      <c r="W117" s="146">
        <v>694.08900000000006</v>
      </c>
      <c r="X117" s="148">
        <v>1.2999999999999999E-4</v>
      </c>
      <c r="Y117" s="148">
        <v>4.45E-3</v>
      </c>
      <c r="Z117" s="149">
        <v>6.6E-4</v>
      </c>
      <c r="AA117" s="196"/>
    </row>
    <row r="118" spans="1:27" x14ac:dyDescent="0.2">
      <c r="A118" s="144" t="s">
        <v>1205</v>
      </c>
      <c r="B118" s="145" t="s">
        <v>1205</v>
      </c>
      <c r="C118" s="145" t="s">
        <v>3154</v>
      </c>
      <c r="D118" s="151"/>
      <c r="E118" s="151"/>
      <c r="F118" s="145" t="s">
        <v>3155</v>
      </c>
      <c r="G118" s="145" t="s">
        <v>3156</v>
      </c>
      <c r="H118" s="145" t="s">
        <v>314</v>
      </c>
      <c r="I118" s="145" t="s">
        <v>1000</v>
      </c>
      <c r="J118" s="151"/>
      <c r="K118" s="145" t="s">
        <v>205</v>
      </c>
      <c r="L118" s="151"/>
      <c r="M118" s="151"/>
      <c r="N118" s="145" t="s">
        <v>291</v>
      </c>
      <c r="O118" s="145" t="s">
        <v>339</v>
      </c>
      <c r="P118" s="176">
        <v>44525</v>
      </c>
      <c r="Q118" s="145" t="s">
        <v>1211</v>
      </c>
      <c r="R118" s="145" t="s">
        <v>885</v>
      </c>
      <c r="S118" s="145" t="s">
        <v>889</v>
      </c>
      <c r="T118" s="177">
        <v>45747</v>
      </c>
      <c r="U118" s="146">
        <v>3.718</v>
      </c>
      <c r="V118" s="180">
        <v>184.75309306078537</v>
      </c>
      <c r="W118" s="146">
        <v>686.91200000000003</v>
      </c>
      <c r="X118" s="148">
        <v>2.0000000000000002E-5</v>
      </c>
      <c r="Y118" s="148">
        <v>4.4000000000000003E-3</v>
      </c>
      <c r="Z118" s="149">
        <v>6.4999999999999997E-4</v>
      </c>
      <c r="AA118" s="196"/>
    </row>
    <row r="119" spans="1:27" x14ac:dyDescent="0.2">
      <c r="A119" s="144" t="s">
        <v>1205</v>
      </c>
      <c r="B119" s="145" t="s">
        <v>1205</v>
      </c>
      <c r="C119" s="145" t="s">
        <v>3157</v>
      </c>
      <c r="D119" s="151"/>
      <c r="E119" s="151"/>
      <c r="F119" s="145" t="s">
        <v>3158</v>
      </c>
      <c r="G119" s="145" t="s">
        <v>3159</v>
      </c>
      <c r="H119" s="145" t="s">
        <v>314</v>
      </c>
      <c r="I119" s="145" t="s">
        <v>1003</v>
      </c>
      <c r="J119" s="151"/>
      <c r="K119" s="145" t="s">
        <v>205</v>
      </c>
      <c r="L119" s="151"/>
      <c r="M119" s="151"/>
      <c r="N119" s="145" t="s">
        <v>224</v>
      </c>
      <c r="O119" s="145" t="s">
        <v>339</v>
      </c>
      <c r="P119" s="176">
        <v>45671</v>
      </c>
      <c r="Q119" s="145" t="s">
        <v>1212</v>
      </c>
      <c r="R119" s="145" t="s">
        <v>885</v>
      </c>
      <c r="S119" s="145" t="s">
        <v>889</v>
      </c>
      <c r="T119" s="177">
        <v>45728</v>
      </c>
      <c r="U119" s="146">
        <v>4.0220000000000002</v>
      </c>
      <c r="V119" s="180">
        <v>170.4654400795624</v>
      </c>
      <c r="W119" s="146">
        <v>685.61199999999997</v>
      </c>
      <c r="X119" s="148">
        <v>2.3000000000000001E-4</v>
      </c>
      <c r="Y119" s="148">
        <v>4.4000000000000003E-3</v>
      </c>
      <c r="Z119" s="149">
        <v>6.4999999999999997E-4</v>
      </c>
      <c r="AA119" s="196"/>
    </row>
    <row r="120" spans="1:27" x14ac:dyDescent="0.2">
      <c r="A120" s="144" t="s">
        <v>1205</v>
      </c>
      <c r="B120" s="145" t="s">
        <v>1205</v>
      </c>
      <c r="C120" s="145" t="s">
        <v>3160</v>
      </c>
      <c r="D120" s="151"/>
      <c r="E120" s="151"/>
      <c r="F120" s="145" t="s">
        <v>3161</v>
      </c>
      <c r="G120" s="145" t="s">
        <v>3162</v>
      </c>
      <c r="H120" s="145" t="s">
        <v>314</v>
      </c>
      <c r="I120" s="145" t="s">
        <v>1005</v>
      </c>
      <c r="J120" s="151"/>
      <c r="K120" s="145" t="s">
        <v>205</v>
      </c>
      <c r="L120" s="151"/>
      <c r="M120" s="151"/>
      <c r="N120" s="145" t="s">
        <v>224</v>
      </c>
      <c r="O120" s="145" t="s">
        <v>339</v>
      </c>
      <c r="P120" s="176">
        <v>44139</v>
      </c>
      <c r="Q120" s="145" t="s">
        <v>1211</v>
      </c>
      <c r="R120" s="145" t="s">
        <v>885</v>
      </c>
      <c r="S120" s="145" t="s">
        <v>889</v>
      </c>
      <c r="T120" s="177">
        <v>45722</v>
      </c>
      <c r="U120" s="146">
        <v>3.718</v>
      </c>
      <c r="V120" s="180">
        <v>181.16756320602474</v>
      </c>
      <c r="W120" s="146">
        <v>673.58100000000002</v>
      </c>
      <c r="X120" s="148">
        <v>1.75E-3</v>
      </c>
      <c r="Y120" s="148">
        <v>4.3200000000000001E-3</v>
      </c>
      <c r="Z120" s="149">
        <v>6.4000000000000005E-4</v>
      </c>
      <c r="AA120" s="196"/>
    </row>
    <row r="121" spans="1:27" x14ac:dyDescent="0.2">
      <c r="A121" s="144" t="s">
        <v>1205</v>
      </c>
      <c r="B121" s="145" t="s">
        <v>1205</v>
      </c>
      <c r="C121" s="145" t="s">
        <v>3163</v>
      </c>
      <c r="D121" s="151"/>
      <c r="E121" s="151"/>
      <c r="F121" s="145" t="s">
        <v>3164</v>
      </c>
      <c r="G121" s="145" t="s">
        <v>3165</v>
      </c>
      <c r="H121" s="145" t="s">
        <v>314</v>
      </c>
      <c r="I121" s="145" t="s">
        <v>1005</v>
      </c>
      <c r="J121" s="151"/>
      <c r="K121" s="145" t="s">
        <v>205</v>
      </c>
      <c r="L121" s="151"/>
      <c r="M121" s="151"/>
      <c r="N121" s="145" t="s">
        <v>291</v>
      </c>
      <c r="O121" s="145" t="s">
        <v>339</v>
      </c>
      <c r="P121" s="176">
        <v>44742</v>
      </c>
      <c r="Q121" s="145" t="s">
        <v>1211</v>
      </c>
      <c r="R121" s="145" t="s">
        <v>885</v>
      </c>
      <c r="S121" s="145" t="s">
        <v>889</v>
      </c>
      <c r="T121" s="177">
        <v>45722</v>
      </c>
      <c r="U121" s="146">
        <v>3.718</v>
      </c>
      <c r="V121" s="180">
        <v>176.81683700914471</v>
      </c>
      <c r="W121" s="146">
        <v>657.40499999999997</v>
      </c>
      <c r="X121" s="148">
        <v>4.6999999999999999E-4</v>
      </c>
      <c r="Y121" s="148">
        <v>4.2100000000000002E-3</v>
      </c>
      <c r="Z121" s="149">
        <v>6.3000000000000003E-4</v>
      </c>
      <c r="AA121" s="196"/>
    </row>
    <row r="122" spans="1:27" x14ac:dyDescent="0.2">
      <c r="A122" s="144" t="s">
        <v>1205</v>
      </c>
      <c r="B122" s="145" t="s">
        <v>1205</v>
      </c>
      <c r="C122" s="145" t="s">
        <v>3166</v>
      </c>
      <c r="D122" s="151"/>
      <c r="E122" s="151"/>
      <c r="F122" s="145" t="s">
        <v>3167</v>
      </c>
      <c r="G122" s="145" t="s">
        <v>3168</v>
      </c>
      <c r="H122" s="145" t="s">
        <v>314</v>
      </c>
      <c r="I122" s="145" t="s">
        <v>1003</v>
      </c>
      <c r="J122" s="151"/>
      <c r="K122" s="145" t="s">
        <v>205</v>
      </c>
      <c r="L122" s="151"/>
      <c r="M122" s="151"/>
      <c r="N122" s="145" t="s">
        <v>291</v>
      </c>
      <c r="O122" s="145" t="s">
        <v>339</v>
      </c>
      <c r="P122" s="176">
        <v>44651</v>
      </c>
      <c r="Q122" s="145" t="s">
        <v>1211</v>
      </c>
      <c r="R122" s="145" t="s">
        <v>885</v>
      </c>
      <c r="S122" s="145" t="s">
        <v>889</v>
      </c>
      <c r="T122" s="177">
        <v>45715</v>
      </c>
      <c r="U122" s="146">
        <v>3.718</v>
      </c>
      <c r="V122" s="180">
        <v>172.56320602474449</v>
      </c>
      <c r="W122" s="146">
        <v>641.59</v>
      </c>
      <c r="X122" s="148">
        <v>1.1E-4</v>
      </c>
      <c r="Y122" s="148">
        <v>4.1099999999999999E-3</v>
      </c>
      <c r="Z122" s="149">
        <v>6.0999999999999997E-4</v>
      </c>
      <c r="AA122" s="196"/>
    </row>
    <row r="123" spans="1:27" x14ac:dyDescent="0.2">
      <c r="A123" s="144" t="s">
        <v>1205</v>
      </c>
      <c r="B123" s="145" t="s">
        <v>1205</v>
      </c>
      <c r="C123" s="145" t="s">
        <v>3169</v>
      </c>
      <c r="D123" s="151"/>
      <c r="E123" s="151"/>
      <c r="F123" s="145" t="s">
        <v>3170</v>
      </c>
      <c r="G123" s="145" t="s">
        <v>3171</v>
      </c>
      <c r="H123" s="145" t="s">
        <v>314</v>
      </c>
      <c r="I123" s="145" t="s">
        <v>1000</v>
      </c>
      <c r="J123" s="151"/>
      <c r="K123" s="145" t="s">
        <v>205</v>
      </c>
      <c r="L123" s="151"/>
      <c r="M123" s="151"/>
      <c r="N123" s="145" t="s">
        <v>224</v>
      </c>
      <c r="O123" s="145" t="s">
        <v>339</v>
      </c>
      <c r="P123" s="176">
        <v>42710</v>
      </c>
      <c r="Q123" s="145" t="s">
        <v>1211</v>
      </c>
      <c r="R123" s="145" t="s">
        <v>885</v>
      </c>
      <c r="S123" s="145" t="s">
        <v>889</v>
      </c>
      <c r="T123" s="177">
        <v>45726</v>
      </c>
      <c r="U123" s="146">
        <v>3.718</v>
      </c>
      <c r="V123" s="180">
        <v>171.35449166218396</v>
      </c>
      <c r="W123" s="146">
        <v>637.096</v>
      </c>
      <c r="X123" s="151"/>
      <c r="Y123" s="148">
        <v>4.0800000000000003E-3</v>
      </c>
      <c r="Z123" s="149">
        <v>6.0999999999999997E-4</v>
      </c>
      <c r="AA123" s="196"/>
    </row>
    <row r="124" spans="1:27" x14ac:dyDescent="0.2">
      <c r="A124" s="144" t="s">
        <v>1205</v>
      </c>
      <c r="B124" s="145" t="s">
        <v>1205</v>
      </c>
      <c r="C124" s="145" t="s">
        <v>3172</v>
      </c>
      <c r="D124" s="151"/>
      <c r="E124" s="151"/>
      <c r="F124" s="145" t="s">
        <v>3173</v>
      </c>
      <c r="G124" s="145" t="s">
        <v>3174</v>
      </c>
      <c r="H124" s="145" t="s">
        <v>314</v>
      </c>
      <c r="I124" s="145" t="s">
        <v>1000</v>
      </c>
      <c r="J124" s="151"/>
      <c r="K124" s="145" t="s">
        <v>205</v>
      </c>
      <c r="L124" s="151"/>
      <c r="M124" s="151"/>
      <c r="N124" s="145" t="s">
        <v>224</v>
      </c>
      <c r="O124" s="145" t="s">
        <v>339</v>
      </c>
      <c r="P124" s="176">
        <v>44538</v>
      </c>
      <c r="Q124" s="145" t="s">
        <v>1211</v>
      </c>
      <c r="R124" s="145" t="s">
        <v>885</v>
      </c>
      <c r="S124" s="145" t="s">
        <v>889</v>
      </c>
      <c r="T124" s="177">
        <v>45747</v>
      </c>
      <c r="U124" s="146">
        <v>3.718</v>
      </c>
      <c r="V124" s="180">
        <v>154.46369015599785</v>
      </c>
      <c r="W124" s="146">
        <v>574.29600000000005</v>
      </c>
      <c r="X124" s="151"/>
      <c r="Y124" s="148">
        <v>3.6800000000000001E-3</v>
      </c>
      <c r="Z124" s="149">
        <v>5.5000000000000003E-4</v>
      </c>
      <c r="AA124" s="196"/>
    </row>
    <row r="125" spans="1:27" x14ac:dyDescent="0.2">
      <c r="A125" s="144" t="s">
        <v>1205</v>
      </c>
      <c r="B125" s="145" t="s">
        <v>1205</v>
      </c>
      <c r="C125" s="145" t="s">
        <v>3175</v>
      </c>
      <c r="D125" s="151"/>
      <c r="E125" s="151"/>
      <c r="F125" s="145" t="s">
        <v>3176</v>
      </c>
      <c r="G125" s="145" t="s">
        <v>3177</v>
      </c>
      <c r="H125" s="145" t="s">
        <v>314</v>
      </c>
      <c r="I125" s="145" t="s">
        <v>1004</v>
      </c>
      <c r="J125" s="151"/>
      <c r="K125" s="145" t="s">
        <v>205</v>
      </c>
      <c r="L125" s="151"/>
      <c r="M125" s="151"/>
      <c r="N125" s="145" t="s">
        <v>293</v>
      </c>
      <c r="O125" s="145" t="s">
        <v>339</v>
      </c>
      <c r="P125" s="176">
        <v>43185</v>
      </c>
      <c r="Q125" s="145" t="s">
        <v>1212</v>
      </c>
      <c r="R125" s="145" t="s">
        <v>885</v>
      </c>
      <c r="S125" s="145" t="s">
        <v>889</v>
      </c>
      <c r="T125" s="177">
        <v>45723</v>
      </c>
      <c r="U125" s="146">
        <v>4.0220000000000002</v>
      </c>
      <c r="V125" s="180">
        <v>138.97289905519639</v>
      </c>
      <c r="W125" s="146">
        <v>558.94899999999996</v>
      </c>
      <c r="X125" s="151"/>
      <c r="Y125" s="148">
        <v>3.5799999999999998E-3</v>
      </c>
      <c r="Z125" s="149">
        <v>5.2999999999999998E-4</v>
      </c>
      <c r="AA125" s="196"/>
    </row>
    <row r="126" spans="1:27" x14ac:dyDescent="0.2">
      <c r="A126" s="144" t="s">
        <v>1205</v>
      </c>
      <c r="B126" s="145" t="s">
        <v>1205</v>
      </c>
      <c r="C126" s="145" t="s">
        <v>3178</v>
      </c>
      <c r="D126" s="151"/>
      <c r="E126" s="151"/>
      <c r="F126" s="145" t="s">
        <v>3179</v>
      </c>
      <c r="G126" s="145" t="s">
        <v>3180</v>
      </c>
      <c r="H126" s="145" t="s">
        <v>314</v>
      </c>
      <c r="I126" s="145" t="s">
        <v>1000</v>
      </c>
      <c r="J126" s="151"/>
      <c r="K126" s="145" t="s">
        <v>205</v>
      </c>
      <c r="L126" s="151"/>
      <c r="M126" s="151"/>
      <c r="N126" s="145" t="s">
        <v>291</v>
      </c>
      <c r="O126" s="145" t="s">
        <v>339</v>
      </c>
      <c r="P126" s="176">
        <v>44769</v>
      </c>
      <c r="Q126" s="145" t="s">
        <v>1211</v>
      </c>
      <c r="R126" s="145" t="s">
        <v>885</v>
      </c>
      <c r="S126" s="145" t="s">
        <v>889</v>
      </c>
      <c r="T126" s="177">
        <v>45631</v>
      </c>
      <c r="U126" s="146">
        <v>3.718</v>
      </c>
      <c r="V126" s="180">
        <v>137.81629908552983</v>
      </c>
      <c r="W126" s="146">
        <v>512.40099999999995</v>
      </c>
      <c r="X126" s="148">
        <v>8.0000000000000004E-4</v>
      </c>
      <c r="Y126" s="148">
        <v>3.2799999999999999E-3</v>
      </c>
      <c r="Z126" s="149">
        <v>4.8999999999999998E-4</v>
      </c>
      <c r="AA126" s="196"/>
    </row>
    <row r="127" spans="1:27" x14ac:dyDescent="0.2">
      <c r="A127" s="144" t="s">
        <v>1205</v>
      </c>
      <c r="B127" s="145" t="s">
        <v>1205</v>
      </c>
      <c r="C127" s="145" t="s">
        <v>3068</v>
      </c>
      <c r="D127" s="151"/>
      <c r="E127" s="151"/>
      <c r="F127" s="145" t="s">
        <v>3181</v>
      </c>
      <c r="G127" s="145" t="s">
        <v>3182</v>
      </c>
      <c r="H127" s="145" t="s">
        <v>314</v>
      </c>
      <c r="I127" s="145" t="s">
        <v>1000</v>
      </c>
      <c r="J127" s="151"/>
      <c r="K127" s="145" t="s">
        <v>205</v>
      </c>
      <c r="L127" s="151"/>
      <c r="M127" s="151"/>
      <c r="N127" s="145" t="s">
        <v>296</v>
      </c>
      <c r="O127" s="145" t="s">
        <v>339</v>
      </c>
      <c r="P127" s="176">
        <v>45475</v>
      </c>
      <c r="Q127" s="145" t="s">
        <v>1211</v>
      </c>
      <c r="R127" s="145" t="s">
        <v>885</v>
      </c>
      <c r="S127" s="145" t="s">
        <v>889</v>
      </c>
      <c r="T127" s="177">
        <v>45733</v>
      </c>
      <c r="U127" s="146">
        <v>3.718</v>
      </c>
      <c r="V127" s="180">
        <v>131.95589026358257</v>
      </c>
      <c r="W127" s="146">
        <v>490.61200000000002</v>
      </c>
      <c r="X127" s="148">
        <v>1.0000000000000001E-5</v>
      </c>
      <c r="Y127" s="148">
        <v>3.15E-3</v>
      </c>
      <c r="Z127" s="149">
        <v>4.6999999999999999E-4</v>
      </c>
      <c r="AA127" s="196"/>
    </row>
    <row r="128" spans="1:27" x14ac:dyDescent="0.2">
      <c r="A128" s="144" t="s">
        <v>1205</v>
      </c>
      <c r="B128" s="145" t="s">
        <v>1205</v>
      </c>
      <c r="C128" s="145" t="s">
        <v>3183</v>
      </c>
      <c r="D128" s="151"/>
      <c r="E128" s="151"/>
      <c r="F128" s="145" t="s">
        <v>3184</v>
      </c>
      <c r="G128" s="145" t="s">
        <v>3185</v>
      </c>
      <c r="H128" s="145" t="s">
        <v>314</v>
      </c>
      <c r="I128" s="145" t="s">
        <v>1000</v>
      </c>
      <c r="J128" s="151"/>
      <c r="K128" s="145" t="s">
        <v>205</v>
      </c>
      <c r="L128" s="151"/>
      <c r="M128" s="151"/>
      <c r="N128" s="145" t="s">
        <v>224</v>
      </c>
      <c r="O128" s="145" t="s">
        <v>339</v>
      </c>
      <c r="P128" s="176">
        <v>45574</v>
      </c>
      <c r="Q128" s="145" t="s">
        <v>1211</v>
      </c>
      <c r="R128" s="145" t="s">
        <v>885</v>
      </c>
      <c r="S128" s="145" t="s">
        <v>889</v>
      </c>
      <c r="T128" s="177">
        <v>45747</v>
      </c>
      <c r="U128" s="146">
        <v>3.718</v>
      </c>
      <c r="V128" s="180">
        <v>130.08095750403444</v>
      </c>
      <c r="W128" s="146">
        <v>483.64100000000002</v>
      </c>
      <c r="X128" s="148">
        <v>9.0000000000000006E-5</v>
      </c>
      <c r="Y128" s="148">
        <v>3.0999999999999999E-3</v>
      </c>
      <c r="Z128" s="149">
        <v>4.6000000000000001E-4</v>
      </c>
      <c r="AA128" s="196"/>
    </row>
    <row r="129" spans="1:27" x14ac:dyDescent="0.2">
      <c r="A129" s="144" t="s">
        <v>1205</v>
      </c>
      <c r="B129" s="145" t="s">
        <v>1205</v>
      </c>
      <c r="C129" s="145" t="s">
        <v>314</v>
      </c>
      <c r="D129" s="151"/>
      <c r="E129" s="151"/>
      <c r="F129" s="145" t="s">
        <v>3186</v>
      </c>
      <c r="G129" s="145" t="s">
        <v>3187</v>
      </c>
      <c r="H129" s="145" t="s">
        <v>314</v>
      </c>
      <c r="I129" s="145" t="s">
        <v>1005</v>
      </c>
      <c r="J129" s="151"/>
      <c r="K129" s="145" t="s">
        <v>205</v>
      </c>
      <c r="L129" s="151"/>
      <c r="M129" s="151"/>
      <c r="N129" s="145" t="s">
        <v>224</v>
      </c>
      <c r="O129" s="145" t="s">
        <v>339</v>
      </c>
      <c r="P129" s="176">
        <v>43521</v>
      </c>
      <c r="Q129" s="145" t="s">
        <v>1211</v>
      </c>
      <c r="R129" s="145" t="s">
        <v>885</v>
      </c>
      <c r="S129" s="145" t="s">
        <v>889</v>
      </c>
      <c r="T129" s="177">
        <v>45746</v>
      </c>
      <c r="U129" s="146">
        <v>3.718</v>
      </c>
      <c r="V129" s="180">
        <v>113.39214631522323</v>
      </c>
      <c r="W129" s="146">
        <v>421.59199999999998</v>
      </c>
      <c r="X129" s="151"/>
      <c r="Y129" s="148">
        <v>2.7000000000000001E-3</v>
      </c>
      <c r="Z129" s="149">
        <v>4.0000000000000002E-4</v>
      </c>
      <c r="AA129" s="196"/>
    </row>
    <row r="130" spans="1:27" x14ac:dyDescent="0.2">
      <c r="A130" s="144" t="s">
        <v>1205</v>
      </c>
      <c r="B130" s="145" t="s">
        <v>1205</v>
      </c>
      <c r="C130" s="145" t="s">
        <v>3188</v>
      </c>
      <c r="D130" s="151"/>
      <c r="E130" s="151"/>
      <c r="F130" s="145" t="s">
        <v>3189</v>
      </c>
      <c r="G130" s="145" t="s">
        <v>3190</v>
      </c>
      <c r="H130" s="145" t="s">
        <v>314</v>
      </c>
      <c r="I130" s="145" t="s">
        <v>1003</v>
      </c>
      <c r="J130" s="151"/>
      <c r="K130" s="145" t="s">
        <v>205</v>
      </c>
      <c r="L130" s="151"/>
      <c r="M130" s="151"/>
      <c r="N130" s="145" t="s">
        <v>204</v>
      </c>
      <c r="O130" s="145" t="s">
        <v>339</v>
      </c>
      <c r="P130" s="176">
        <v>45119</v>
      </c>
      <c r="Q130" s="145" t="s">
        <v>1210</v>
      </c>
      <c r="R130" s="145" t="s">
        <v>885</v>
      </c>
      <c r="S130" s="145" t="s">
        <v>889</v>
      </c>
      <c r="T130" s="177">
        <v>45739</v>
      </c>
      <c r="U130" s="146">
        <v>1</v>
      </c>
      <c r="V130" s="180">
        <v>406.916</v>
      </c>
      <c r="W130" s="146">
        <v>406.916</v>
      </c>
      <c r="X130" s="148">
        <v>5.2999999999999998E-4</v>
      </c>
      <c r="Y130" s="148">
        <v>2.6099999999999999E-3</v>
      </c>
      <c r="Z130" s="149">
        <v>3.8999999999999999E-4</v>
      </c>
      <c r="AA130" s="196"/>
    </row>
    <row r="131" spans="1:27" x14ac:dyDescent="0.2">
      <c r="A131" s="144" t="s">
        <v>1205</v>
      </c>
      <c r="B131" s="145" t="s">
        <v>1205</v>
      </c>
      <c r="C131" s="145" t="s">
        <v>314</v>
      </c>
      <c r="D131" s="151"/>
      <c r="E131" s="151"/>
      <c r="F131" s="145" t="s">
        <v>3191</v>
      </c>
      <c r="G131" s="145" t="s">
        <v>3192</v>
      </c>
      <c r="H131" s="145" t="s">
        <v>314</v>
      </c>
      <c r="I131" s="145" t="s">
        <v>1005</v>
      </c>
      <c r="J131" s="151"/>
      <c r="K131" s="145" t="s">
        <v>205</v>
      </c>
      <c r="L131" s="151"/>
      <c r="M131" s="151"/>
      <c r="N131" s="145" t="s">
        <v>244</v>
      </c>
      <c r="O131" s="145" t="s">
        <v>339</v>
      </c>
      <c r="P131" s="176">
        <v>45055</v>
      </c>
      <c r="Q131" s="145" t="s">
        <v>1211</v>
      </c>
      <c r="R131" s="145" t="s">
        <v>885</v>
      </c>
      <c r="S131" s="145" t="s">
        <v>889</v>
      </c>
      <c r="T131" s="177">
        <v>45707</v>
      </c>
      <c r="U131" s="146">
        <v>3.718</v>
      </c>
      <c r="V131" s="180">
        <v>105.19741796664874</v>
      </c>
      <c r="W131" s="146">
        <v>391.12400000000002</v>
      </c>
      <c r="X131" s="148">
        <v>5.79E-3</v>
      </c>
      <c r="Y131" s="148">
        <v>2.5100000000000001E-3</v>
      </c>
      <c r="Z131" s="149">
        <v>3.6999999999999999E-4</v>
      </c>
      <c r="AA131" s="196"/>
    </row>
    <row r="132" spans="1:27" x14ac:dyDescent="0.2">
      <c r="A132" s="144" t="s">
        <v>1205</v>
      </c>
      <c r="B132" s="145" t="s">
        <v>1205</v>
      </c>
      <c r="C132" s="145" t="s">
        <v>3193</v>
      </c>
      <c r="D132" s="151"/>
      <c r="E132" s="151"/>
      <c r="F132" s="145" t="s">
        <v>3161</v>
      </c>
      <c r="G132" s="145" t="s">
        <v>3194</v>
      </c>
      <c r="H132" s="145" t="s">
        <v>314</v>
      </c>
      <c r="I132" s="145" t="s">
        <v>1005</v>
      </c>
      <c r="J132" s="151"/>
      <c r="K132" s="145" t="s">
        <v>205</v>
      </c>
      <c r="L132" s="151"/>
      <c r="M132" s="151"/>
      <c r="N132" s="145" t="s">
        <v>224</v>
      </c>
      <c r="O132" s="145" t="s">
        <v>339</v>
      </c>
      <c r="P132" s="176">
        <v>44133</v>
      </c>
      <c r="Q132" s="145" t="s">
        <v>1211</v>
      </c>
      <c r="R132" s="145" t="s">
        <v>885</v>
      </c>
      <c r="S132" s="145" t="s">
        <v>889</v>
      </c>
      <c r="T132" s="177">
        <v>45735</v>
      </c>
      <c r="U132" s="146">
        <v>3.718</v>
      </c>
      <c r="V132" s="180">
        <v>102.16137708445402</v>
      </c>
      <c r="W132" s="146">
        <v>379.83600000000001</v>
      </c>
      <c r="X132" s="148">
        <v>1.47E-3</v>
      </c>
      <c r="Y132" s="148">
        <v>2.4299999999999999E-3</v>
      </c>
      <c r="Z132" s="149">
        <v>3.6000000000000002E-4</v>
      </c>
      <c r="AA132" s="196"/>
    </row>
    <row r="133" spans="1:27" x14ac:dyDescent="0.2">
      <c r="A133" s="144" t="s">
        <v>1205</v>
      </c>
      <c r="B133" s="145" t="s">
        <v>1205</v>
      </c>
      <c r="C133" s="145" t="s">
        <v>3097</v>
      </c>
      <c r="D133" s="151"/>
      <c r="E133" s="151"/>
      <c r="F133" s="145" t="s">
        <v>3195</v>
      </c>
      <c r="G133" s="145" t="s">
        <v>3196</v>
      </c>
      <c r="H133" s="145" t="s">
        <v>314</v>
      </c>
      <c r="I133" s="145" t="s">
        <v>1000</v>
      </c>
      <c r="J133" s="151"/>
      <c r="K133" s="145" t="s">
        <v>205</v>
      </c>
      <c r="L133" s="151"/>
      <c r="M133" s="151"/>
      <c r="N133" s="145" t="s">
        <v>224</v>
      </c>
      <c r="O133" s="145" t="s">
        <v>339</v>
      </c>
      <c r="P133" s="176">
        <v>45089</v>
      </c>
      <c r="Q133" s="145" t="s">
        <v>1212</v>
      </c>
      <c r="R133" s="145" t="s">
        <v>885</v>
      </c>
      <c r="S133" s="145" t="s">
        <v>889</v>
      </c>
      <c r="T133" s="177">
        <v>45715</v>
      </c>
      <c r="U133" s="146">
        <v>4.0220000000000002</v>
      </c>
      <c r="V133" s="180">
        <v>84.992789656887112</v>
      </c>
      <c r="W133" s="146">
        <v>341.84100000000001</v>
      </c>
      <c r="X133" s="151"/>
      <c r="Y133" s="148">
        <v>2.1900000000000001E-3</v>
      </c>
      <c r="Z133" s="149">
        <v>3.3E-4</v>
      </c>
      <c r="AA133" s="196"/>
    </row>
    <row r="134" spans="1:27" x14ac:dyDescent="0.2">
      <c r="A134" s="144" t="s">
        <v>1205</v>
      </c>
      <c r="B134" s="145" t="s">
        <v>1205</v>
      </c>
      <c r="C134" s="145" t="s">
        <v>3197</v>
      </c>
      <c r="D134" s="151"/>
      <c r="E134" s="151"/>
      <c r="F134" s="145" t="s">
        <v>3198</v>
      </c>
      <c r="G134" s="145" t="s">
        <v>3199</v>
      </c>
      <c r="H134" s="145" t="s">
        <v>314</v>
      </c>
      <c r="I134" s="145" t="s">
        <v>1000</v>
      </c>
      <c r="J134" s="151"/>
      <c r="K134" s="145" t="s">
        <v>205</v>
      </c>
      <c r="L134" s="151"/>
      <c r="M134" s="151"/>
      <c r="N134" s="145" t="s">
        <v>291</v>
      </c>
      <c r="O134" s="145" t="s">
        <v>339</v>
      </c>
      <c r="P134" s="176">
        <v>44393</v>
      </c>
      <c r="Q134" s="145" t="s">
        <v>1211</v>
      </c>
      <c r="R134" s="145" t="s">
        <v>885</v>
      </c>
      <c r="S134" s="145" t="s">
        <v>889</v>
      </c>
      <c r="T134" s="177">
        <v>45722</v>
      </c>
      <c r="U134" s="146">
        <v>3.718</v>
      </c>
      <c r="V134" s="180">
        <v>84.821140398063477</v>
      </c>
      <c r="W134" s="146">
        <v>315.36500000000001</v>
      </c>
      <c r="X134" s="151"/>
      <c r="Y134" s="148">
        <v>2.0200000000000001E-3</v>
      </c>
      <c r="Z134" s="149">
        <v>2.9999999999999997E-4</v>
      </c>
      <c r="AA134" s="196"/>
    </row>
    <row r="135" spans="1:27" x14ac:dyDescent="0.2">
      <c r="A135" s="144" t="s">
        <v>1205</v>
      </c>
      <c r="B135" s="145" t="s">
        <v>1205</v>
      </c>
      <c r="C135" s="145" t="s">
        <v>3200</v>
      </c>
      <c r="D135" s="151"/>
      <c r="E135" s="151"/>
      <c r="F135" s="145" t="s">
        <v>3201</v>
      </c>
      <c r="G135" s="145" t="s">
        <v>3202</v>
      </c>
      <c r="H135" s="145" t="s">
        <v>314</v>
      </c>
      <c r="I135" s="145" t="s">
        <v>1003</v>
      </c>
      <c r="J135" s="151"/>
      <c r="K135" s="145" t="s">
        <v>205</v>
      </c>
      <c r="L135" s="151"/>
      <c r="M135" s="151"/>
      <c r="N135" s="145" t="s">
        <v>224</v>
      </c>
      <c r="O135" s="145" t="s">
        <v>339</v>
      </c>
      <c r="P135" s="176">
        <v>45498</v>
      </c>
      <c r="Q135" s="145" t="s">
        <v>1211</v>
      </c>
      <c r="R135" s="145" t="s">
        <v>885</v>
      </c>
      <c r="S135" s="145" t="s">
        <v>889</v>
      </c>
      <c r="T135" s="177">
        <v>45746</v>
      </c>
      <c r="U135" s="146">
        <v>3.718</v>
      </c>
      <c r="V135" s="180">
        <v>82.070199031737488</v>
      </c>
      <c r="W135" s="146">
        <v>305.137</v>
      </c>
      <c r="X135" s="148">
        <v>1.58E-3</v>
      </c>
      <c r="Y135" s="148">
        <v>1.9599999999999999E-3</v>
      </c>
      <c r="Z135" s="149">
        <v>2.9E-4</v>
      </c>
      <c r="AA135" s="196"/>
    </row>
    <row r="136" spans="1:27" x14ac:dyDescent="0.2">
      <c r="A136" s="144" t="s">
        <v>1205</v>
      </c>
      <c r="B136" s="145" t="s">
        <v>1205</v>
      </c>
      <c r="C136" s="145" t="s">
        <v>3203</v>
      </c>
      <c r="D136" s="151"/>
      <c r="E136" s="151"/>
      <c r="F136" s="145" t="s">
        <v>3204</v>
      </c>
      <c r="G136" s="145" t="s">
        <v>3205</v>
      </c>
      <c r="H136" s="145" t="s">
        <v>314</v>
      </c>
      <c r="I136" s="145" t="s">
        <v>1004</v>
      </c>
      <c r="J136" s="151"/>
      <c r="K136" s="145" t="s">
        <v>205</v>
      </c>
      <c r="L136" s="151"/>
      <c r="M136" s="151"/>
      <c r="N136" s="145" t="s">
        <v>224</v>
      </c>
      <c r="O136" s="145" t="s">
        <v>339</v>
      </c>
      <c r="P136" s="176">
        <v>45350</v>
      </c>
      <c r="Q136" s="145" t="s">
        <v>1211</v>
      </c>
      <c r="R136" s="145" t="s">
        <v>885</v>
      </c>
      <c r="S136" s="145" t="s">
        <v>889</v>
      </c>
      <c r="T136" s="177">
        <v>45747</v>
      </c>
      <c r="U136" s="146">
        <v>3.718</v>
      </c>
      <c r="V136" s="180">
        <v>80.604357181280264</v>
      </c>
      <c r="W136" s="146">
        <v>299.68700000000001</v>
      </c>
      <c r="X136" s="148">
        <v>4.0000000000000003E-5</v>
      </c>
      <c r="Y136" s="148">
        <v>1.92E-3</v>
      </c>
      <c r="Z136" s="149">
        <v>2.9E-4</v>
      </c>
      <c r="AA136" s="196"/>
    </row>
    <row r="137" spans="1:27" x14ac:dyDescent="0.2">
      <c r="A137" s="144" t="s">
        <v>1205</v>
      </c>
      <c r="B137" s="145" t="s">
        <v>1205</v>
      </c>
      <c r="C137" s="145" t="s">
        <v>3103</v>
      </c>
      <c r="D137" s="151"/>
      <c r="E137" s="151"/>
      <c r="F137" s="145" t="s">
        <v>3206</v>
      </c>
      <c r="G137" s="145" t="s">
        <v>3207</v>
      </c>
      <c r="H137" s="145" t="s">
        <v>314</v>
      </c>
      <c r="I137" s="145" t="s">
        <v>1003</v>
      </c>
      <c r="J137" s="151"/>
      <c r="K137" s="145" t="s">
        <v>205</v>
      </c>
      <c r="L137" s="151"/>
      <c r="M137" s="151"/>
      <c r="N137" s="145" t="s">
        <v>224</v>
      </c>
      <c r="O137" s="145" t="s">
        <v>339</v>
      </c>
      <c r="P137" s="176">
        <v>44560</v>
      </c>
      <c r="Q137" s="145" t="s">
        <v>1211</v>
      </c>
      <c r="R137" s="145" t="s">
        <v>885</v>
      </c>
      <c r="S137" s="145" t="s">
        <v>889</v>
      </c>
      <c r="T137" s="177">
        <v>45707</v>
      </c>
      <c r="U137" s="146">
        <v>3.718</v>
      </c>
      <c r="V137" s="180">
        <v>80.453469607315753</v>
      </c>
      <c r="W137" s="146">
        <v>299.12599999999998</v>
      </c>
      <c r="X137" s="151"/>
      <c r="Y137" s="148">
        <v>1.92E-3</v>
      </c>
      <c r="Z137" s="149">
        <v>2.7999999999999998E-4</v>
      </c>
      <c r="AA137" s="196"/>
    </row>
    <row r="138" spans="1:27" x14ac:dyDescent="0.2">
      <c r="A138" s="144" t="s">
        <v>1205</v>
      </c>
      <c r="B138" s="145" t="s">
        <v>1205</v>
      </c>
      <c r="C138" s="145" t="s">
        <v>3208</v>
      </c>
      <c r="D138" s="151"/>
      <c r="E138" s="151"/>
      <c r="F138" s="145" t="s">
        <v>3209</v>
      </c>
      <c r="G138" s="145" t="s">
        <v>3210</v>
      </c>
      <c r="H138" s="145" t="s">
        <v>314</v>
      </c>
      <c r="I138" s="145" t="s">
        <v>1000</v>
      </c>
      <c r="J138" s="151"/>
      <c r="K138" s="145" t="s">
        <v>205</v>
      </c>
      <c r="L138" s="151"/>
      <c r="M138" s="151"/>
      <c r="N138" s="145" t="s">
        <v>217</v>
      </c>
      <c r="O138" s="145" t="s">
        <v>339</v>
      </c>
      <c r="P138" s="176">
        <v>43116</v>
      </c>
      <c r="Q138" s="145" t="s">
        <v>1211</v>
      </c>
      <c r="R138" s="145" t="s">
        <v>885</v>
      </c>
      <c r="S138" s="145" t="s">
        <v>889</v>
      </c>
      <c r="T138" s="177">
        <v>45704</v>
      </c>
      <c r="U138" s="146">
        <v>3.718</v>
      </c>
      <c r="V138" s="180">
        <v>79.287520172135558</v>
      </c>
      <c r="W138" s="146">
        <v>294.791</v>
      </c>
      <c r="X138" s="151"/>
      <c r="Y138" s="148">
        <v>1.89E-3</v>
      </c>
      <c r="Z138" s="149">
        <v>2.7999999999999998E-4</v>
      </c>
      <c r="AA138" s="196"/>
    </row>
    <row r="139" spans="1:27" x14ac:dyDescent="0.2">
      <c r="A139" s="144" t="s">
        <v>1205</v>
      </c>
      <c r="B139" s="145" t="s">
        <v>1205</v>
      </c>
      <c r="C139" s="145" t="s">
        <v>3211</v>
      </c>
      <c r="D139" s="151"/>
      <c r="E139" s="151"/>
      <c r="F139" s="145" t="s">
        <v>3212</v>
      </c>
      <c r="G139" s="145" t="s">
        <v>3213</v>
      </c>
      <c r="H139" s="145" t="s">
        <v>314</v>
      </c>
      <c r="I139" s="145" t="s">
        <v>1000</v>
      </c>
      <c r="J139" s="151"/>
      <c r="K139" s="145" t="s">
        <v>205</v>
      </c>
      <c r="L139" s="151"/>
      <c r="M139" s="151"/>
      <c r="N139" s="145" t="s">
        <v>204</v>
      </c>
      <c r="O139" s="145" t="s">
        <v>339</v>
      </c>
      <c r="P139" s="176">
        <v>44742</v>
      </c>
      <c r="Q139" s="145" t="s">
        <v>1211</v>
      </c>
      <c r="R139" s="145" t="s">
        <v>885</v>
      </c>
      <c r="S139" s="145" t="s">
        <v>889</v>
      </c>
      <c r="T139" s="177">
        <v>45733</v>
      </c>
      <c r="U139" s="146">
        <v>3.718</v>
      </c>
      <c r="V139" s="180">
        <v>64.305540613232921</v>
      </c>
      <c r="W139" s="146">
        <v>239.08799999999999</v>
      </c>
      <c r="X139" s="148">
        <v>1.3999999999999999E-4</v>
      </c>
      <c r="Y139" s="148">
        <v>1.5299999999999999E-3</v>
      </c>
      <c r="Z139" s="149">
        <v>2.3000000000000001E-4</v>
      </c>
      <c r="AA139" s="196"/>
    </row>
    <row r="140" spans="1:27" x14ac:dyDescent="0.2">
      <c r="A140" s="144" t="s">
        <v>1205</v>
      </c>
      <c r="B140" s="145" t="s">
        <v>1205</v>
      </c>
      <c r="C140" s="145" t="s">
        <v>3214</v>
      </c>
      <c r="D140" s="151"/>
      <c r="E140" s="151"/>
      <c r="F140" s="145" t="s">
        <v>3215</v>
      </c>
      <c r="G140" s="145" t="s">
        <v>3216</v>
      </c>
      <c r="H140" s="145" t="s">
        <v>314</v>
      </c>
      <c r="I140" s="145" t="s">
        <v>1000</v>
      </c>
      <c r="J140" s="151"/>
      <c r="K140" s="145" t="s">
        <v>205</v>
      </c>
      <c r="L140" s="151"/>
      <c r="M140" s="151"/>
      <c r="N140" s="145" t="s">
        <v>217</v>
      </c>
      <c r="O140" s="145" t="s">
        <v>339</v>
      </c>
      <c r="P140" s="176">
        <v>44560</v>
      </c>
      <c r="Q140" s="145" t="s">
        <v>1211</v>
      </c>
      <c r="R140" s="145" t="s">
        <v>885</v>
      </c>
      <c r="S140" s="145" t="s">
        <v>889</v>
      </c>
      <c r="T140" s="177">
        <v>45704</v>
      </c>
      <c r="U140" s="146">
        <v>3.718</v>
      </c>
      <c r="V140" s="180">
        <v>55.473103819257666</v>
      </c>
      <c r="W140" s="146">
        <v>206.249</v>
      </c>
      <c r="X140" s="151"/>
      <c r="Y140" s="148">
        <v>1.32E-3</v>
      </c>
      <c r="Z140" s="149">
        <v>2.0000000000000001E-4</v>
      </c>
      <c r="AA140" s="196"/>
    </row>
    <row r="141" spans="1:27" x14ac:dyDescent="0.2">
      <c r="A141" s="144" t="s">
        <v>1205</v>
      </c>
      <c r="B141" s="145" t="s">
        <v>1205</v>
      </c>
      <c r="C141" s="145" t="s">
        <v>3166</v>
      </c>
      <c r="D141" s="151"/>
      <c r="E141" s="151"/>
      <c r="F141" s="145" t="s">
        <v>3217</v>
      </c>
      <c r="G141" s="145" t="s">
        <v>3218</v>
      </c>
      <c r="H141" s="145" t="s">
        <v>314</v>
      </c>
      <c r="I141" s="145" t="s">
        <v>1003</v>
      </c>
      <c r="J141" s="151"/>
      <c r="K141" s="145" t="s">
        <v>205</v>
      </c>
      <c r="L141" s="151"/>
      <c r="M141" s="151"/>
      <c r="N141" s="145" t="s">
        <v>291</v>
      </c>
      <c r="O141" s="145" t="s">
        <v>339</v>
      </c>
      <c r="P141" s="176">
        <v>44651</v>
      </c>
      <c r="Q141" s="145" t="s">
        <v>1211</v>
      </c>
      <c r="R141" s="145" t="s">
        <v>885</v>
      </c>
      <c r="S141" s="145" t="s">
        <v>889</v>
      </c>
      <c r="T141" s="177">
        <v>45715</v>
      </c>
      <c r="U141" s="146">
        <v>3.718</v>
      </c>
      <c r="V141" s="180">
        <v>30.290747713824636</v>
      </c>
      <c r="W141" s="146">
        <v>112.621</v>
      </c>
      <c r="X141" s="148">
        <v>1.8000000000000001E-4</v>
      </c>
      <c r="Y141" s="148">
        <v>7.2000000000000005E-4</v>
      </c>
      <c r="Z141" s="149">
        <v>1.1E-4</v>
      </c>
      <c r="AA141" s="196"/>
    </row>
    <row r="142" spans="1:27" x14ac:dyDescent="0.2">
      <c r="A142" s="144" t="s">
        <v>1205</v>
      </c>
      <c r="B142" s="145" t="s">
        <v>1205</v>
      </c>
      <c r="C142" s="145" t="s">
        <v>3219</v>
      </c>
      <c r="D142" s="151"/>
      <c r="E142" s="151"/>
      <c r="F142" s="145" t="s">
        <v>3220</v>
      </c>
      <c r="G142" s="145" t="s">
        <v>3221</v>
      </c>
      <c r="H142" s="145" t="s">
        <v>314</v>
      </c>
      <c r="I142" s="145" t="s">
        <v>1000</v>
      </c>
      <c r="J142" s="151"/>
      <c r="K142" s="145" t="s">
        <v>205</v>
      </c>
      <c r="L142" s="151"/>
      <c r="M142" s="151"/>
      <c r="N142" s="145" t="s">
        <v>224</v>
      </c>
      <c r="O142" s="145" t="s">
        <v>339</v>
      </c>
      <c r="P142" s="176">
        <v>45722</v>
      </c>
      <c r="Q142" s="145" t="s">
        <v>1211</v>
      </c>
      <c r="R142" s="145" t="s">
        <v>885</v>
      </c>
      <c r="S142" s="145" t="s">
        <v>889</v>
      </c>
      <c r="T142" s="177">
        <v>45722</v>
      </c>
      <c r="U142" s="146">
        <v>3.718</v>
      </c>
      <c r="V142" s="180">
        <v>20.034427111350187</v>
      </c>
      <c r="W142" s="146">
        <v>74.488</v>
      </c>
      <c r="X142" s="148">
        <v>0</v>
      </c>
      <c r="Y142" s="148">
        <v>4.8000000000000001E-4</v>
      </c>
      <c r="Z142" s="149">
        <v>6.9999999999999994E-5</v>
      </c>
      <c r="AA142" s="196"/>
    </row>
    <row r="143" spans="1:27" x14ac:dyDescent="0.2">
      <c r="A143" s="144" t="s">
        <v>1205</v>
      </c>
      <c r="B143" s="145" t="s">
        <v>1205</v>
      </c>
      <c r="C143" s="145" t="s">
        <v>3068</v>
      </c>
      <c r="D143" s="151"/>
      <c r="E143" s="151"/>
      <c r="F143" s="145" t="s">
        <v>3222</v>
      </c>
      <c r="G143" s="145" t="s">
        <v>3223</v>
      </c>
      <c r="H143" s="145" t="s">
        <v>314</v>
      </c>
      <c r="I143" s="145" t="s">
        <v>1000</v>
      </c>
      <c r="J143" s="151"/>
      <c r="K143" s="145" t="s">
        <v>205</v>
      </c>
      <c r="L143" s="151"/>
      <c r="M143" s="151"/>
      <c r="N143" s="145" t="s">
        <v>296</v>
      </c>
      <c r="O143" s="145" t="s">
        <v>339</v>
      </c>
      <c r="P143" s="176">
        <v>45512</v>
      </c>
      <c r="Q143" s="145" t="s">
        <v>1211</v>
      </c>
      <c r="R143" s="145" t="s">
        <v>885</v>
      </c>
      <c r="S143" s="145" t="s">
        <v>889</v>
      </c>
      <c r="T143" s="177">
        <v>45732</v>
      </c>
      <c r="U143" s="146">
        <v>3.718</v>
      </c>
      <c r="V143" s="180">
        <v>7.7904787520172132</v>
      </c>
      <c r="W143" s="146">
        <v>28.965</v>
      </c>
      <c r="X143" s="148">
        <v>1.2999999999999999E-4</v>
      </c>
      <c r="Y143" s="148">
        <v>1.9000000000000001E-4</v>
      </c>
      <c r="Z143" s="149">
        <v>3.0000000000000001E-5</v>
      </c>
      <c r="AA143" s="196"/>
    </row>
    <row r="144" spans="1:27" x14ac:dyDescent="0.2">
      <c r="A144" s="144" t="s">
        <v>1205</v>
      </c>
      <c r="B144" s="145" t="s">
        <v>1205</v>
      </c>
      <c r="C144" s="145" t="s">
        <v>3214</v>
      </c>
      <c r="D144" s="151"/>
      <c r="E144" s="151"/>
      <c r="F144" s="145" t="s">
        <v>3224</v>
      </c>
      <c r="G144" s="145" t="s">
        <v>3225</v>
      </c>
      <c r="H144" s="145" t="s">
        <v>314</v>
      </c>
      <c r="I144" s="145" t="s">
        <v>1000</v>
      </c>
      <c r="J144" s="151"/>
      <c r="K144" s="145" t="s">
        <v>205</v>
      </c>
      <c r="L144" s="151"/>
      <c r="M144" s="151"/>
      <c r="N144" s="145" t="s">
        <v>217</v>
      </c>
      <c r="O144" s="145" t="s">
        <v>339</v>
      </c>
      <c r="P144" s="176">
        <v>44560</v>
      </c>
      <c r="Q144" s="145" t="s">
        <v>1211</v>
      </c>
      <c r="R144" s="145" t="s">
        <v>885</v>
      </c>
      <c r="S144" s="145" t="s">
        <v>889</v>
      </c>
      <c r="T144" s="177">
        <v>45722</v>
      </c>
      <c r="U144" s="146">
        <v>3.718</v>
      </c>
      <c r="V144" s="180">
        <v>6.0823023130715441</v>
      </c>
      <c r="W144" s="146">
        <v>22.614000000000001</v>
      </c>
      <c r="X144" s="148">
        <v>5.0000000000000002E-5</v>
      </c>
      <c r="Y144" s="148">
        <v>1.3999999999999999E-4</v>
      </c>
      <c r="Z144" s="149">
        <v>2.0000000000000002E-5</v>
      </c>
      <c r="AA144" s="196"/>
    </row>
    <row r="145" spans="1:27" x14ac:dyDescent="0.2">
      <c r="A145" s="144" t="s">
        <v>1205</v>
      </c>
      <c r="B145" s="145" t="s">
        <v>1205</v>
      </c>
      <c r="C145" s="145" t="s">
        <v>314</v>
      </c>
      <c r="D145" s="151"/>
      <c r="E145" s="151"/>
      <c r="F145" s="145" t="s">
        <v>3226</v>
      </c>
      <c r="G145" s="145" t="s">
        <v>3227</v>
      </c>
      <c r="H145" s="145" t="s">
        <v>314</v>
      </c>
      <c r="I145" s="145" t="s">
        <v>1005</v>
      </c>
      <c r="J145" s="151"/>
      <c r="K145" s="145" t="s">
        <v>205</v>
      </c>
      <c r="L145" s="151"/>
      <c r="M145" s="151"/>
      <c r="N145" s="145" t="s">
        <v>224</v>
      </c>
      <c r="O145" s="145" t="s">
        <v>339</v>
      </c>
      <c r="P145" s="176">
        <v>39136</v>
      </c>
      <c r="Q145" s="145" t="s">
        <v>1211</v>
      </c>
      <c r="R145" s="145" t="s">
        <v>885</v>
      </c>
      <c r="S145" s="145" t="s">
        <v>889</v>
      </c>
      <c r="T145" s="177">
        <v>43402</v>
      </c>
      <c r="U145" s="146">
        <v>3.718</v>
      </c>
      <c r="V145" s="180"/>
      <c r="W145" s="146">
        <v>0</v>
      </c>
      <c r="X145" s="151"/>
      <c r="Y145" s="148">
        <v>0</v>
      </c>
      <c r="Z145" s="149">
        <v>0</v>
      </c>
      <c r="AA145" s="196"/>
    </row>
    <row r="146" spans="1:27" x14ac:dyDescent="0.2">
      <c r="A146" s="144" t="s">
        <v>1217</v>
      </c>
      <c r="B146" s="145" t="s">
        <v>1217</v>
      </c>
      <c r="C146" s="145" t="s">
        <v>2834</v>
      </c>
      <c r="D146" s="151"/>
      <c r="E146" s="151"/>
      <c r="F146" s="145" t="s">
        <v>2835</v>
      </c>
      <c r="G146" s="145" t="s">
        <v>2836</v>
      </c>
      <c r="H146" s="145" t="s">
        <v>321</v>
      </c>
      <c r="I146" s="145" t="s">
        <v>1002</v>
      </c>
      <c r="J146" s="151"/>
      <c r="K146" s="145" t="s">
        <v>204</v>
      </c>
      <c r="L146" s="151"/>
      <c r="M146" s="151"/>
      <c r="N146" s="145" t="s">
        <v>204</v>
      </c>
      <c r="O146" s="145" t="s">
        <v>339</v>
      </c>
      <c r="P146" s="176">
        <v>43033</v>
      </c>
      <c r="Q146" s="145" t="s">
        <v>1210</v>
      </c>
      <c r="R146" s="145" t="s">
        <v>885</v>
      </c>
      <c r="S146" s="145" t="s">
        <v>889</v>
      </c>
      <c r="T146" s="177">
        <v>45747</v>
      </c>
      <c r="U146" s="146">
        <v>1</v>
      </c>
      <c r="V146" s="180">
        <v>43599.17</v>
      </c>
      <c r="W146" s="146">
        <v>43599.17</v>
      </c>
      <c r="X146" s="151"/>
      <c r="Y146" s="148">
        <v>1.2160000000000001E-2</v>
      </c>
      <c r="Z146" s="149">
        <v>1.7899999999999999E-3</v>
      </c>
      <c r="AA146" s="196"/>
    </row>
    <row r="147" spans="1:27" x14ac:dyDescent="0.2">
      <c r="A147" s="144" t="s">
        <v>1217</v>
      </c>
      <c r="B147" s="145" t="s">
        <v>1217</v>
      </c>
      <c r="C147" s="145" t="s">
        <v>2837</v>
      </c>
      <c r="D147" s="151"/>
      <c r="E147" s="151"/>
      <c r="F147" s="145" t="s">
        <v>2838</v>
      </c>
      <c r="G147" s="145" t="s">
        <v>2839</v>
      </c>
      <c r="H147" s="145" t="s">
        <v>312</v>
      </c>
      <c r="I147" s="145" t="s">
        <v>1000</v>
      </c>
      <c r="J147" s="151"/>
      <c r="K147" s="145" t="s">
        <v>204</v>
      </c>
      <c r="L147" s="151"/>
      <c r="M147" s="151"/>
      <c r="N147" s="145" t="s">
        <v>204</v>
      </c>
      <c r="O147" s="145" t="s">
        <v>339</v>
      </c>
      <c r="P147" s="176">
        <v>43116</v>
      </c>
      <c r="Q147" s="145" t="s">
        <v>1211</v>
      </c>
      <c r="R147" s="145" t="s">
        <v>885</v>
      </c>
      <c r="S147" s="145" t="s">
        <v>889</v>
      </c>
      <c r="T147" s="177">
        <v>45662</v>
      </c>
      <c r="U147" s="146">
        <v>3.718</v>
      </c>
      <c r="V147" s="180">
        <v>11226.691769768691</v>
      </c>
      <c r="W147" s="146">
        <v>41740.839999999997</v>
      </c>
      <c r="X147" s="151"/>
      <c r="Y147" s="148">
        <v>1.1639999999999999E-2</v>
      </c>
      <c r="Z147" s="149">
        <v>1.72E-3</v>
      </c>
      <c r="AA147" s="196"/>
    </row>
    <row r="148" spans="1:27" x14ac:dyDescent="0.2">
      <c r="A148" s="144" t="s">
        <v>1217</v>
      </c>
      <c r="B148" s="145" t="s">
        <v>1217</v>
      </c>
      <c r="C148" s="145" t="s">
        <v>2843</v>
      </c>
      <c r="D148" s="151"/>
      <c r="E148" s="151"/>
      <c r="F148" s="145" t="s">
        <v>2844</v>
      </c>
      <c r="G148" s="145" t="s">
        <v>2845</v>
      </c>
      <c r="H148" s="145" t="s">
        <v>314</v>
      </c>
      <c r="I148" s="145" t="s">
        <v>1001</v>
      </c>
      <c r="J148" s="151"/>
      <c r="K148" s="145" t="s">
        <v>204</v>
      </c>
      <c r="L148" s="151"/>
      <c r="M148" s="151"/>
      <c r="N148" s="145" t="s">
        <v>204</v>
      </c>
      <c r="O148" s="145" t="s">
        <v>339</v>
      </c>
      <c r="P148" s="176">
        <v>42662</v>
      </c>
      <c r="Q148" s="145" t="s">
        <v>1211</v>
      </c>
      <c r="R148" s="145" t="s">
        <v>885</v>
      </c>
      <c r="S148" s="145" t="s">
        <v>889</v>
      </c>
      <c r="T148" s="177">
        <v>45746</v>
      </c>
      <c r="U148" s="146">
        <v>3.718</v>
      </c>
      <c r="V148" s="180">
        <v>14680.270575578268</v>
      </c>
      <c r="W148" s="146">
        <v>54581.245999999999</v>
      </c>
      <c r="X148" s="151"/>
      <c r="Y148" s="148">
        <v>1.5219999999999999E-2</v>
      </c>
      <c r="Z148" s="149">
        <v>2.2499999999999998E-3</v>
      </c>
      <c r="AA148" s="196"/>
    </row>
    <row r="149" spans="1:27" x14ac:dyDescent="0.2">
      <c r="A149" s="144" t="s">
        <v>1217</v>
      </c>
      <c r="B149" s="145" t="s">
        <v>1217</v>
      </c>
      <c r="C149" s="145" t="s">
        <v>2840</v>
      </c>
      <c r="D149" s="151"/>
      <c r="E149" s="151"/>
      <c r="F149" s="145" t="s">
        <v>2841</v>
      </c>
      <c r="G149" s="145" t="s">
        <v>2842</v>
      </c>
      <c r="H149" s="145" t="s">
        <v>314</v>
      </c>
      <c r="I149" s="145" t="s">
        <v>1004</v>
      </c>
      <c r="J149" s="151"/>
      <c r="K149" s="145" t="s">
        <v>204</v>
      </c>
      <c r="L149" s="151"/>
      <c r="M149" s="151"/>
      <c r="N149" s="145" t="s">
        <v>204</v>
      </c>
      <c r="O149" s="145" t="s">
        <v>339</v>
      </c>
      <c r="P149" s="176">
        <v>43615</v>
      </c>
      <c r="Q149" s="145" t="s">
        <v>1210</v>
      </c>
      <c r="R149" s="145" t="s">
        <v>885</v>
      </c>
      <c r="S149" s="145" t="s">
        <v>889</v>
      </c>
      <c r="T149" s="177">
        <v>45746</v>
      </c>
      <c r="U149" s="146">
        <v>1</v>
      </c>
      <c r="V149" s="180">
        <v>50835.97</v>
      </c>
      <c r="W149" s="146">
        <v>50835.97</v>
      </c>
      <c r="X149" s="151"/>
      <c r="Y149" s="148">
        <v>1.418E-2</v>
      </c>
      <c r="Z149" s="149">
        <v>2.0899999999999998E-3</v>
      </c>
      <c r="AA149" s="196"/>
    </row>
    <row r="150" spans="1:27" x14ac:dyDescent="0.2">
      <c r="A150" s="144" t="s">
        <v>1217</v>
      </c>
      <c r="B150" s="145" t="s">
        <v>1217</v>
      </c>
      <c r="C150" s="145" t="s">
        <v>2846</v>
      </c>
      <c r="D150" s="151"/>
      <c r="E150" s="151"/>
      <c r="F150" s="145" t="s">
        <v>2847</v>
      </c>
      <c r="G150" s="145" t="s">
        <v>2848</v>
      </c>
      <c r="H150" s="145" t="s">
        <v>314</v>
      </c>
      <c r="I150" s="145" t="s">
        <v>1002</v>
      </c>
      <c r="J150" s="151"/>
      <c r="K150" s="145" t="s">
        <v>204</v>
      </c>
      <c r="L150" s="151"/>
      <c r="M150" s="151"/>
      <c r="N150" s="145" t="s">
        <v>204</v>
      </c>
      <c r="O150" s="145" t="s">
        <v>339</v>
      </c>
      <c r="P150" s="176">
        <v>43038</v>
      </c>
      <c r="Q150" s="145" t="s">
        <v>1210</v>
      </c>
      <c r="R150" s="145" t="s">
        <v>885</v>
      </c>
      <c r="S150" s="145" t="s">
        <v>889</v>
      </c>
      <c r="T150" s="177">
        <v>45725</v>
      </c>
      <c r="U150" s="146">
        <v>1</v>
      </c>
      <c r="V150" s="180">
        <v>47925.006000000001</v>
      </c>
      <c r="W150" s="146">
        <v>47925.006000000001</v>
      </c>
      <c r="X150" s="151"/>
      <c r="Y150" s="148">
        <v>1.336E-2</v>
      </c>
      <c r="Z150" s="149">
        <v>1.97E-3</v>
      </c>
      <c r="AA150" s="196"/>
    </row>
    <row r="151" spans="1:27" x14ac:dyDescent="0.2">
      <c r="A151" s="144" t="s">
        <v>1217</v>
      </c>
      <c r="B151" s="145" t="s">
        <v>1217</v>
      </c>
      <c r="C151" s="145" t="s">
        <v>2849</v>
      </c>
      <c r="D151" s="151"/>
      <c r="E151" s="151"/>
      <c r="F151" s="145" t="s">
        <v>2850</v>
      </c>
      <c r="G151" s="145" t="s">
        <v>2851</v>
      </c>
      <c r="H151" s="145" t="s">
        <v>314</v>
      </c>
      <c r="I151" s="145" t="s">
        <v>1002</v>
      </c>
      <c r="J151" s="151"/>
      <c r="K151" s="145" t="s">
        <v>204</v>
      </c>
      <c r="L151" s="151"/>
      <c r="M151" s="151"/>
      <c r="N151" s="145" t="s">
        <v>217</v>
      </c>
      <c r="O151" s="145" t="s">
        <v>339</v>
      </c>
      <c r="P151" s="176">
        <v>42977</v>
      </c>
      <c r="Q151" s="145" t="s">
        <v>1210</v>
      </c>
      <c r="R151" s="145" t="s">
        <v>885</v>
      </c>
      <c r="S151" s="145" t="s">
        <v>889</v>
      </c>
      <c r="T151" s="177">
        <v>45727</v>
      </c>
      <c r="U151" s="146">
        <v>1</v>
      </c>
      <c r="V151" s="180">
        <v>40709.303</v>
      </c>
      <c r="W151" s="146">
        <v>40709.303</v>
      </c>
      <c r="X151" s="151"/>
      <c r="Y151" s="148">
        <v>1.1350000000000001E-2</v>
      </c>
      <c r="Z151" s="149">
        <v>1.67E-3</v>
      </c>
      <c r="AA151" s="196"/>
    </row>
    <row r="152" spans="1:27" x14ac:dyDescent="0.2">
      <c r="A152" s="144" t="s">
        <v>1217</v>
      </c>
      <c r="B152" s="145" t="s">
        <v>1217</v>
      </c>
      <c r="C152" s="145" t="s">
        <v>2860</v>
      </c>
      <c r="D152" s="151"/>
      <c r="E152" s="151"/>
      <c r="F152" s="145" t="s">
        <v>2861</v>
      </c>
      <c r="G152" s="145" t="s">
        <v>2862</v>
      </c>
      <c r="H152" s="145" t="s">
        <v>314</v>
      </c>
      <c r="I152" s="145" t="s">
        <v>1000</v>
      </c>
      <c r="J152" s="151"/>
      <c r="K152" s="145" t="s">
        <v>204</v>
      </c>
      <c r="L152" s="151"/>
      <c r="M152" s="151"/>
      <c r="N152" s="145" t="s">
        <v>204</v>
      </c>
      <c r="O152" s="145" t="s">
        <v>339</v>
      </c>
      <c r="P152" s="176">
        <v>42576</v>
      </c>
      <c r="Q152" s="145" t="s">
        <v>1211</v>
      </c>
      <c r="R152" s="145" t="s">
        <v>885</v>
      </c>
      <c r="S152" s="145" t="s">
        <v>889</v>
      </c>
      <c r="T152" s="177">
        <v>45715</v>
      </c>
      <c r="U152" s="146">
        <v>3.718</v>
      </c>
      <c r="V152" s="180">
        <v>9457.0059171597641</v>
      </c>
      <c r="W152" s="146">
        <v>35161.148000000001</v>
      </c>
      <c r="X152" s="151"/>
      <c r="Y152" s="148">
        <v>9.7999999999999997E-3</v>
      </c>
      <c r="Z152" s="149">
        <v>1.4499999999999999E-3</v>
      </c>
      <c r="AA152" s="196"/>
    </row>
    <row r="153" spans="1:27" x14ac:dyDescent="0.2">
      <c r="A153" s="144" t="s">
        <v>1217</v>
      </c>
      <c r="B153" s="145" t="s">
        <v>1217</v>
      </c>
      <c r="C153" s="145" t="s">
        <v>2852</v>
      </c>
      <c r="D153" s="151"/>
      <c r="E153" s="151"/>
      <c r="F153" s="145" t="s">
        <v>2853</v>
      </c>
      <c r="G153" s="145" t="s">
        <v>2854</v>
      </c>
      <c r="H153" s="145" t="s">
        <v>314</v>
      </c>
      <c r="I153" s="145" t="s">
        <v>1003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6">
        <v>43802</v>
      </c>
      <c r="Q153" s="145" t="s">
        <v>1210</v>
      </c>
      <c r="R153" s="145" t="s">
        <v>885</v>
      </c>
      <c r="S153" s="145" t="s">
        <v>889</v>
      </c>
      <c r="T153" s="177">
        <v>45742</v>
      </c>
      <c r="U153" s="146">
        <v>1</v>
      </c>
      <c r="V153" s="180">
        <v>34583.906000000003</v>
      </c>
      <c r="W153" s="146">
        <v>34583.906000000003</v>
      </c>
      <c r="X153" s="151"/>
      <c r="Y153" s="148">
        <v>9.6399999999999993E-3</v>
      </c>
      <c r="Z153" s="149">
        <v>1.42E-3</v>
      </c>
      <c r="AA153" s="196"/>
    </row>
    <row r="154" spans="1:27" x14ac:dyDescent="0.2">
      <c r="A154" s="144" t="s">
        <v>1217</v>
      </c>
      <c r="B154" s="145" t="s">
        <v>1217</v>
      </c>
      <c r="C154" s="145" t="s">
        <v>2855</v>
      </c>
      <c r="D154" s="151"/>
      <c r="E154" s="151"/>
      <c r="F154" s="145" t="s">
        <v>2856</v>
      </c>
      <c r="G154" s="145" t="s">
        <v>2857</v>
      </c>
      <c r="H154" s="145" t="s">
        <v>314</v>
      </c>
      <c r="I154" s="145" t="s">
        <v>1002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6">
        <v>42758</v>
      </c>
      <c r="Q154" s="145" t="s">
        <v>1210</v>
      </c>
      <c r="R154" s="145" t="s">
        <v>885</v>
      </c>
      <c r="S154" s="145" t="s">
        <v>889</v>
      </c>
      <c r="T154" s="177">
        <v>45722</v>
      </c>
      <c r="U154" s="146">
        <v>1</v>
      </c>
      <c r="V154" s="180">
        <v>33402.108999999997</v>
      </c>
      <c r="W154" s="146">
        <v>33402.108999999997</v>
      </c>
      <c r="X154" s="151"/>
      <c r="Y154" s="148">
        <v>9.3100000000000006E-3</v>
      </c>
      <c r="Z154" s="149">
        <v>1.3699999999999999E-3</v>
      </c>
      <c r="AA154" s="196"/>
    </row>
    <row r="155" spans="1:27" x14ac:dyDescent="0.2">
      <c r="A155" s="144" t="s">
        <v>1217</v>
      </c>
      <c r="B155" s="145" t="s">
        <v>1217</v>
      </c>
      <c r="C155" s="145" t="s">
        <v>314</v>
      </c>
      <c r="D155" s="151"/>
      <c r="E155" s="151"/>
      <c r="F155" s="145" t="s">
        <v>2858</v>
      </c>
      <c r="G155" s="145" t="s">
        <v>2859</v>
      </c>
      <c r="H155" s="145" t="s">
        <v>314</v>
      </c>
      <c r="I155" s="145" t="s">
        <v>1005</v>
      </c>
      <c r="J155" s="151"/>
      <c r="K155" s="145" t="s">
        <v>204</v>
      </c>
      <c r="L155" s="151"/>
      <c r="M155" s="151"/>
      <c r="N155" s="145" t="s">
        <v>293</v>
      </c>
      <c r="O155" s="145" t="s">
        <v>339</v>
      </c>
      <c r="P155" s="176">
        <v>44026</v>
      </c>
      <c r="Q155" s="145" t="s">
        <v>1212</v>
      </c>
      <c r="R155" s="145" t="s">
        <v>885</v>
      </c>
      <c r="S155" s="145" t="s">
        <v>889</v>
      </c>
      <c r="T155" s="177">
        <v>45747</v>
      </c>
      <c r="U155" s="146">
        <v>4.0220000000000002</v>
      </c>
      <c r="V155" s="180">
        <v>8047.9691695673791</v>
      </c>
      <c r="W155" s="146">
        <v>32368.932000000001</v>
      </c>
      <c r="X155" s="148">
        <v>9.8640000000000005E-2</v>
      </c>
      <c r="Y155" s="148">
        <v>9.0299999999999998E-3</v>
      </c>
      <c r="Z155" s="149">
        <v>1.33E-3</v>
      </c>
      <c r="AA155" s="196"/>
    </row>
    <row r="156" spans="1:27" x14ac:dyDescent="0.2">
      <c r="A156" s="144" t="s">
        <v>1217</v>
      </c>
      <c r="B156" s="145" t="s">
        <v>1217</v>
      </c>
      <c r="C156" s="145" t="s">
        <v>2863</v>
      </c>
      <c r="D156" s="151"/>
      <c r="E156" s="151"/>
      <c r="F156" s="145" t="s">
        <v>2864</v>
      </c>
      <c r="G156" s="145" t="s">
        <v>2865</v>
      </c>
      <c r="H156" s="145" t="s">
        <v>314</v>
      </c>
      <c r="I156" s="145" t="s">
        <v>1000</v>
      </c>
      <c r="J156" s="151"/>
      <c r="K156" s="145" t="s">
        <v>204</v>
      </c>
      <c r="L156" s="151"/>
      <c r="M156" s="151"/>
      <c r="N156" s="145" t="s">
        <v>204</v>
      </c>
      <c r="O156" s="145" t="s">
        <v>339</v>
      </c>
      <c r="P156" s="176">
        <v>43664</v>
      </c>
      <c r="Q156" s="145" t="s">
        <v>1211</v>
      </c>
      <c r="R156" s="145" t="s">
        <v>885</v>
      </c>
      <c r="S156" s="145" t="s">
        <v>889</v>
      </c>
      <c r="T156" s="177">
        <v>45747</v>
      </c>
      <c r="U156" s="146">
        <v>3.718</v>
      </c>
      <c r="V156" s="180">
        <v>8477.0045723507264</v>
      </c>
      <c r="W156" s="146">
        <v>31517.503000000001</v>
      </c>
      <c r="X156" s="151"/>
      <c r="Y156" s="148">
        <v>8.7899999999999992E-3</v>
      </c>
      <c r="Z156" s="149">
        <v>1.2999999999999999E-3</v>
      </c>
      <c r="AA156" s="196"/>
    </row>
    <row r="157" spans="1:27" x14ac:dyDescent="0.2">
      <c r="A157" s="144" t="s">
        <v>1217</v>
      </c>
      <c r="B157" s="145" t="s">
        <v>1217</v>
      </c>
      <c r="C157" s="145" t="s">
        <v>2869</v>
      </c>
      <c r="D157" s="151"/>
      <c r="E157" s="151"/>
      <c r="F157" s="145" t="s">
        <v>2870</v>
      </c>
      <c r="G157" s="145" t="s">
        <v>2871</v>
      </c>
      <c r="H157" s="145" t="s">
        <v>314</v>
      </c>
      <c r="I157" s="145" t="s">
        <v>1001</v>
      </c>
      <c r="J157" s="151"/>
      <c r="K157" s="145" t="s">
        <v>204</v>
      </c>
      <c r="L157" s="151"/>
      <c r="M157" s="151"/>
      <c r="N157" s="145" t="s">
        <v>204</v>
      </c>
      <c r="O157" s="145" t="s">
        <v>339</v>
      </c>
      <c r="P157" s="176">
        <v>44286</v>
      </c>
      <c r="Q157" s="145" t="s">
        <v>1210</v>
      </c>
      <c r="R157" s="145" t="s">
        <v>885</v>
      </c>
      <c r="S157" s="145" t="s">
        <v>889</v>
      </c>
      <c r="T157" s="177">
        <v>45729</v>
      </c>
      <c r="U157" s="146">
        <v>1</v>
      </c>
      <c r="V157" s="180">
        <v>31038.874</v>
      </c>
      <c r="W157" s="146">
        <v>31038.874</v>
      </c>
      <c r="X157" s="148">
        <v>1.315E-2</v>
      </c>
      <c r="Y157" s="148">
        <v>8.6499999999999997E-3</v>
      </c>
      <c r="Z157" s="149">
        <v>1.2800000000000001E-3</v>
      </c>
      <c r="AA157" s="196"/>
    </row>
    <row r="158" spans="1:27" x14ac:dyDescent="0.2">
      <c r="A158" s="144" t="s">
        <v>1217</v>
      </c>
      <c r="B158" s="145" t="s">
        <v>1217</v>
      </c>
      <c r="C158" s="145" t="s">
        <v>2866</v>
      </c>
      <c r="D158" s="151"/>
      <c r="E158" s="151"/>
      <c r="F158" s="145" t="s">
        <v>2867</v>
      </c>
      <c r="G158" s="145" t="s">
        <v>2868</v>
      </c>
      <c r="H158" s="145" t="s">
        <v>314</v>
      </c>
      <c r="I158" s="145" t="s">
        <v>1000</v>
      </c>
      <c r="J158" s="151"/>
      <c r="K158" s="145" t="s">
        <v>204</v>
      </c>
      <c r="L158" s="151"/>
      <c r="M158" s="151"/>
      <c r="N158" s="145" t="s">
        <v>204</v>
      </c>
      <c r="O158" s="145" t="s">
        <v>339</v>
      </c>
      <c r="P158" s="176">
        <v>44286</v>
      </c>
      <c r="Q158" s="145" t="s">
        <v>1211</v>
      </c>
      <c r="R158" s="145" t="s">
        <v>885</v>
      </c>
      <c r="S158" s="145" t="s">
        <v>889</v>
      </c>
      <c r="T158" s="177">
        <v>45734</v>
      </c>
      <c r="U158" s="146">
        <v>3.718</v>
      </c>
      <c r="V158" s="180">
        <v>8001.7444862829479</v>
      </c>
      <c r="W158" s="146">
        <v>29750.486000000001</v>
      </c>
      <c r="X158" s="148">
        <v>4.5999999999999999E-3</v>
      </c>
      <c r="Y158" s="148">
        <v>8.3000000000000001E-3</v>
      </c>
      <c r="Z158" s="149">
        <v>1.2199999999999999E-3</v>
      </c>
      <c r="AA158" s="196"/>
    </row>
    <row r="159" spans="1:27" x14ac:dyDescent="0.2">
      <c r="A159" s="144" t="s">
        <v>1217</v>
      </c>
      <c r="B159" s="145" t="s">
        <v>1217</v>
      </c>
      <c r="C159" s="145" t="s">
        <v>2872</v>
      </c>
      <c r="D159" s="151"/>
      <c r="E159" s="151"/>
      <c r="F159" s="145" t="s">
        <v>2873</v>
      </c>
      <c r="G159" s="145" t="s">
        <v>2874</v>
      </c>
      <c r="H159" s="145" t="s">
        <v>314</v>
      </c>
      <c r="I159" s="145" t="s">
        <v>1005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6">
        <v>43327</v>
      </c>
      <c r="Q159" s="145" t="s">
        <v>1211</v>
      </c>
      <c r="R159" s="145" t="s">
        <v>885</v>
      </c>
      <c r="S159" s="145" t="s">
        <v>889</v>
      </c>
      <c r="T159" s="177">
        <v>45747</v>
      </c>
      <c r="U159" s="146">
        <v>3.718</v>
      </c>
      <c r="V159" s="180">
        <v>7893.7442173211402</v>
      </c>
      <c r="W159" s="146">
        <v>29348.940999999999</v>
      </c>
      <c r="X159" s="148">
        <v>5.1979999999999998E-2</v>
      </c>
      <c r="Y159" s="148">
        <v>8.1799999999999998E-3</v>
      </c>
      <c r="Z159" s="149">
        <v>1.2099999999999999E-3</v>
      </c>
      <c r="AA159" s="196"/>
    </row>
    <row r="160" spans="1:27" x14ac:dyDescent="0.2">
      <c r="A160" s="144" t="s">
        <v>1217</v>
      </c>
      <c r="B160" s="145" t="s">
        <v>1217</v>
      </c>
      <c r="C160" s="145" t="s">
        <v>314</v>
      </c>
      <c r="D160" s="151"/>
      <c r="E160" s="151"/>
      <c r="F160" s="145" t="s">
        <v>2875</v>
      </c>
      <c r="G160" s="145" t="s">
        <v>2876</v>
      </c>
      <c r="H160" s="145" t="s">
        <v>314</v>
      </c>
      <c r="I160" s="145" t="s">
        <v>1005</v>
      </c>
      <c r="J160" s="151"/>
      <c r="K160" s="145" t="s">
        <v>204</v>
      </c>
      <c r="L160" s="151"/>
      <c r="M160" s="151"/>
      <c r="N160" s="145" t="s">
        <v>224</v>
      </c>
      <c r="O160" s="145" t="s">
        <v>339</v>
      </c>
      <c r="P160" s="176">
        <v>44560</v>
      </c>
      <c r="Q160" s="145" t="s">
        <v>1211</v>
      </c>
      <c r="R160" s="145" t="s">
        <v>885</v>
      </c>
      <c r="S160" s="145" t="s">
        <v>889</v>
      </c>
      <c r="T160" s="177">
        <v>45721</v>
      </c>
      <c r="U160" s="146">
        <v>3.718</v>
      </c>
      <c r="V160" s="180">
        <v>7252.0459924690695</v>
      </c>
      <c r="W160" s="146">
        <v>26963.107</v>
      </c>
      <c r="X160" s="148">
        <v>2.0000000000000002E-5</v>
      </c>
      <c r="Y160" s="148">
        <v>7.5199999999999998E-3</v>
      </c>
      <c r="Z160" s="149">
        <v>1.1100000000000001E-3</v>
      </c>
      <c r="AA160" s="196"/>
    </row>
    <row r="161" spans="1:27" x14ac:dyDescent="0.2">
      <c r="A161" s="144" t="s">
        <v>1217</v>
      </c>
      <c r="B161" s="145" t="s">
        <v>1217</v>
      </c>
      <c r="C161" s="145" t="s">
        <v>2869</v>
      </c>
      <c r="D161" s="151"/>
      <c r="E161" s="151"/>
      <c r="F161" s="145" t="s">
        <v>2880</v>
      </c>
      <c r="G161" s="145" t="s">
        <v>2881</v>
      </c>
      <c r="H161" s="145" t="s">
        <v>314</v>
      </c>
      <c r="I161" s="145" t="s">
        <v>1001</v>
      </c>
      <c r="J161" s="151"/>
      <c r="K161" s="145" t="s">
        <v>204</v>
      </c>
      <c r="L161" s="151"/>
      <c r="M161" s="151"/>
      <c r="N161" s="145" t="s">
        <v>204</v>
      </c>
      <c r="O161" s="145" t="s">
        <v>339</v>
      </c>
      <c r="P161" s="176">
        <v>43611</v>
      </c>
      <c r="Q161" s="145" t="s">
        <v>1210</v>
      </c>
      <c r="R161" s="145" t="s">
        <v>885</v>
      </c>
      <c r="S161" s="145" t="s">
        <v>889</v>
      </c>
      <c r="T161" s="177">
        <v>45729</v>
      </c>
      <c r="U161" s="146">
        <v>1</v>
      </c>
      <c r="V161" s="180">
        <v>25112.321</v>
      </c>
      <c r="W161" s="146">
        <v>25112.321</v>
      </c>
      <c r="X161" s="148">
        <v>1.8450000000000001E-2</v>
      </c>
      <c r="Y161" s="148">
        <v>7.0000000000000001E-3</v>
      </c>
      <c r="Z161" s="149">
        <v>1.0300000000000001E-3</v>
      </c>
      <c r="AA161" s="196"/>
    </row>
    <row r="162" spans="1:27" x14ac:dyDescent="0.2">
      <c r="A162" s="144" t="s">
        <v>1217</v>
      </c>
      <c r="B162" s="145" t="s">
        <v>1217</v>
      </c>
      <c r="C162" s="145" t="s">
        <v>2877</v>
      </c>
      <c r="D162" s="151"/>
      <c r="E162" s="151"/>
      <c r="F162" s="145" t="s">
        <v>2878</v>
      </c>
      <c r="G162" s="145" t="s">
        <v>2879</v>
      </c>
      <c r="H162" s="145" t="s">
        <v>314</v>
      </c>
      <c r="I162" s="145" t="s">
        <v>1000</v>
      </c>
      <c r="J162" s="151"/>
      <c r="K162" s="145" t="s">
        <v>204</v>
      </c>
      <c r="L162" s="151"/>
      <c r="M162" s="151"/>
      <c r="N162" s="145" t="s">
        <v>204</v>
      </c>
      <c r="O162" s="145" t="s">
        <v>339</v>
      </c>
      <c r="P162" s="176">
        <v>44636</v>
      </c>
      <c r="Q162" s="145" t="s">
        <v>1210</v>
      </c>
      <c r="R162" s="145" t="s">
        <v>885</v>
      </c>
      <c r="S162" s="145" t="s">
        <v>889</v>
      </c>
      <c r="T162" s="177">
        <v>45747</v>
      </c>
      <c r="U162" s="146">
        <v>1</v>
      </c>
      <c r="V162" s="180">
        <v>24598.022000000001</v>
      </c>
      <c r="W162" s="146">
        <v>24598.022000000001</v>
      </c>
      <c r="X162" s="148">
        <v>3.372E-2</v>
      </c>
      <c r="Y162" s="148">
        <v>6.8599999999999998E-3</v>
      </c>
      <c r="Z162" s="149">
        <v>1.01E-3</v>
      </c>
      <c r="AA162" s="196"/>
    </row>
    <row r="163" spans="1:27" x14ac:dyDescent="0.2">
      <c r="A163" s="144" t="s">
        <v>1217</v>
      </c>
      <c r="B163" s="145" t="s">
        <v>1217</v>
      </c>
      <c r="C163" s="145" t="s">
        <v>2882</v>
      </c>
      <c r="D163" s="151"/>
      <c r="E163" s="151"/>
      <c r="F163" s="145" t="s">
        <v>2883</v>
      </c>
      <c r="G163" s="145" t="s">
        <v>2884</v>
      </c>
      <c r="H163" s="145" t="s">
        <v>314</v>
      </c>
      <c r="I163" s="145" t="s">
        <v>1003</v>
      </c>
      <c r="J163" s="151"/>
      <c r="K163" s="145" t="s">
        <v>204</v>
      </c>
      <c r="L163" s="151"/>
      <c r="M163" s="151"/>
      <c r="N163" s="145" t="s">
        <v>204</v>
      </c>
      <c r="O163" s="145" t="s">
        <v>339</v>
      </c>
      <c r="P163" s="176">
        <v>44651</v>
      </c>
      <c r="Q163" s="145" t="s">
        <v>1210</v>
      </c>
      <c r="R163" s="145" t="s">
        <v>885</v>
      </c>
      <c r="S163" s="145" t="s">
        <v>889</v>
      </c>
      <c r="T163" s="177">
        <v>45736</v>
      </c>
      <c r="U163" s="146">
        <v>1</v>
      </c>
      <c r="V163" s="180">
        <v>22544.496999999999</v>
      </c>
      <c r="W163" s="146">
        <v>22544.496999999999</v>
      </c>
      <c r="X163" s="148">
        <v>0.10351</v>
      </c>
      <c r="Y163" s="148">
        <v>6.2899999999999996E-3</v>
      </c>
      <c r="Z163" s="149">
        <v>9.3000000000000005E-4</v>
      </c>
      <c r="AA163" s="196"/>
    </row>
    <row r="164" spans="1:27" x14ac:dyDescent="0.2">
      <c r="A164" s="144" t="s">
        <v>1217</v>
      </c>
      <c r="B164" s="145" t="s">
        <v>1217</v>
      </c>
      <c r="C164" s="145" t="s">
        <v>2852</v>
      </c>
      <c r="D164" s="151"/>
      <c r="E164" s="151"/>
      <c r="F164" s="145" t="s">
        <v>2885</v>
      </c>
      <c r="G164" s="145" t="s">
        <v>2886</v>
      </c>
      <c r="H164" s="145" t="s">
        <v>314</v>
      </c>
      <c r="I164" s="145" t="s">
        <v>1003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6">
        <v>43130</v>
      </c>
      <c r="Q164" s="145" t="s">
        <v>1210</v>
      </c>
      <c r="R164" s="145" t="s">
        <v>885</v>
      </c>
      <c r="S164" s="145" t="s">
        <v>889</v>
      </c>
      <c r="T164" s="177">
        <v>45742</v>
      </c>
      <c r="U164" s="146">
        <v>1</v>
      </c>
      <c r="V164" s="180">
        <v>22063.011999999999</v>
      </c>
      <c r="W164" s="146">
        <v>22063.011999999999</v>
      </c>
      <c r="X164" s="151"/>
      <c r="Y164" s="148">
        <v>6.1500000000000001E-3</v>
      </c>
      <c r="Z164" s="149">
        <v>9.1E-4</v>
      </c>
      <c r="AA164" s="196"/>
    </row>
    <row r="165" spans="1:27" x14ac:dyDescent="0.2">
      <c r="A165" s="144" t="s">
        <v>1217</v>
      </c>
      <c r="B165" s="145" t="s">
        <v>1217</v>
      </c>
      <c r="C165" s="145" t="s">
        <v>2892</v>
      </c>
      <c r="D165" s="151"/>
      <c r="E165" s="151"/>
      <c r="F165" s="145" t="s">
        <v>2893</v>
      </c>
      <c r="G165" s="145" t="s">
        <v>2894</v>
      </c>
      <c r="H165" s="145" t="s">
        <v>314</v>
      </c>
      <c r="I165" s="145" t="s">
        <v>1004</v>
      </c>
      <c r="J165" s="151"/>
      <c r="K165" s="145" t="s">
        <v>204</v>
      </c>
      <c r="L165" s="151"/>
      <c r="M165" s="151"/>
      <c r="N165" s="145" t="s">
        <v>204</v>
      </c>
      <c r="O165" s="145" t="s">
        <v>339</v>
      </c>
      <c r="P165" s="176">
        <v>44722</v>
      </c>
      <c r="Q165" s="145" t="s">
        <v>1210</v>
      </c>
      <c r="R165" s="145" t="s">
        <v>885</v>
      </c>
      <c r="S165" s="145" t="s">
        <v>889</v>
      </c>
      <c r="T165" s="177">
        <v>45652</v>
      </c>
      <c r="U165" s="146">
        <v>1</v>
      </c>
      <c r="V165" s="180">
        <v>20807.593000000001</v>
      </c>
      <c r="W165" s="146">
        <v>20807.593000000001</v>
      </c>
      <c r="X165" s="148">
        <v>1.4710000000000001E-2</v>
      </c>
      <c r="Y165" s="148">
        <v>5.7999999999999996E-3</v>
      </c>
      <c r="Z165" s="149">
        <v>8.5999999999999998E-4</v>
      </c>
      <c r="AA165" s="196"/>
    </row>
    <row r="166" spans="1:27" x14ac:dyDescent="0.2">
      <c r="A166" s="144" t="s">
        <v>1217</v>
      </c>
      <c r="B166" s="145" t="s">
        <v>1217</v>
      </c>
      <c r="C166" s="145" t="s">
        <v>2910</v>
      </c>
      <c r="D166" s="151"/>
      <c r="E166" s="151"/>
      <c r="F166" s="145" t="s">
        <v>2911</v>
      </c>
      <c r="G166" s="145" t="s">
        <v>2912</v>
      </c>
      <c r="H166" s="145" t="s">
        <v>314</v>
      </c>
      <c r="I166" s="145" t="s">
        <v>1000</v>
      </c>
      <c r="J166" s="151"/>
      <c r="K166" s="145" t="s">
        <v>204</v>
      </c>
      <c r="L166" s="151"/>
      <c r="M166" s="151"/>
      <c r="N166" s="145" t="s">
        <v>204</v>
      </c>
      <c r="O166" s="145" t="s">
        <v>339</v>
      </c>
      <c r="P166" s="176">
        <v>41631</v>
      </c>
      <c r="Q166" s="145" t="s">
        <v>1211</v>
      </c>
      <c r="R166" s="145" t="s">
        <v>885</v>
      </c>
      <c r="S166" s="145" t="s">
        <v>889</v>
      </c>
      <c r="T166" s="177">
        <v>45744</v>
      </c>
      <c r="U166" s="146">
        <v>3.718</v>
      </c>
      <c r="V166" s="180">
        <v>5577.5220548682082</v>
      </c>
      <c r="W166" s="146">
        <v>20737.226999999999</v>
      </c>
      <c r="X166" s="151"/>
      <c r="Y166" s="148">
        <v>5.7800000000000004E-3</v>
      </c>
      <c r="Z166" s="149">
        <v>8.4999999999999995E-4</v>
      </c>
      <c r="AA166" s="196"/>
    </row>
    <row r="167" spans="1:27" x14ac:dyDescent="0.2">
      <c r="A167" s="144" t="s">
        <v>1217</v>
      </c>
      <c r="B167" s="145" t="s">
        <v>1217</v>
      </c>
      <c r="C167" s="145" t="s">
        <v>2849</v>
      </c>
      <c r="D167" s="151"/>
      <c r="E167" s="151"/>
      <c r="F167" s="145" t="s">
        <v>2887</v>
      </c>
      <c r="G167" s="145" t="s">
        <v>2888</v>
      </c>
      <c r="H167" s="145" t="s">
        <v>314</v>
      </c>
      <c r="I167" s="145" t="s">
        <v>1002</v>
      </c>
      <c r="J167" s="151"/>
      <c r="K167" s="145" t="s">
        <v>204</v>
      </c>
      <c r="L167" s="151"/>
      <c r="M167" s="151"/>
      <c r="N167" s="145" t="s">
        <v>204</v>
      </c>
      <c r="O167" s="145" t="s">
        <v>339</v>
      </c>
      <c r="P167" s="176">
        <v>45378</v>
      </c>
      <c r="Q167" s="145" t="s">
        <v>1210</v>
      </c>
      <c r="R167" s="145" t="s">
        <v>885</v>
      </c>
      <c r="S167" s="145" t="s">
        <v>889</v>
      </c>
      <c r="T167" s="177">
        <v>45727</v>
      </c>
      <c r="U167" s="146">
        <v>1</v>
      </c>
      <c r="V167" s="180">
        <v>20033.255000000001</v>
      </c>
      <c r="W167" s="146">
        <v>20033.255000000001</v>
      </c>
      <c r="X167" s="148">
        <v>0.13805000000000001</v>
      </c>
      <c r="Y167" s="148">
        <v>5.5900000000000004E-3</v>
      </c>
      <c r="Z167" s="149">
        <v>8.1999999999999998E-4</v>
      </c>
      <c r="AA167" s="196"/>
    </row>
    <row r="168" spans="1:27" x14ac:dyDescent="0.2">
      <c r="A168" s="144" t="s">
        <v>1217</v>
      </c>
      <c r="B168" s="145" t="s">
        <v>1217</v>
      </c>
      <c r="C168" s="145" t="s">
        <v>2889</v>
      </c>
      <c r="D168" s="151"/>
      <c r="E168" s="151"/>
      <c r="F168" s="145" t="s">
        <v>2890</v>
      </c>
      <c r="G168" s="145" t="s">
        <v>2891</v>
      </c>
      <c r="H168" s="145" t="s">
        <v>314</v>
      </c>
      <c r="I168" s="145" t="s">
        <v>1003</v>
      </c>
      <c r="J168" s="151"/>
      <c r="K168" s="145" t="s">
        <v>204</v>
      </c>
      <c r="L168" s="151"/>
      <c r="M168" s="151"/>
      <c r="N168" s="145" t="s">
        <v>204</v>
      </c>
      <c r="O168" s="145" t="s">
        <v>339</v>
      </c>
      <c r="P168" s="176">
        <v>44560</v>
      </c>
      <c r="Q168" s="145" t="s">
        <v>1210</v>
      </c>
      <c r="R168" s="145" t="s">
        <v>885</v>
      </c>
      <c r="S168" s="145" t="s">
        <v>889</v>
      </c>
      <c r="T168" s="177">
        <v>45747</v>
      </c>
      <c r="U168" s="146">
        <v>1</v>
      </c>
      <c r="V168" s="180">
        <v>19393.424999999999</v>
      </c>
      <c r="W168" s="146">
        <v>19393.424999999999</v>
      </c>
      <c r="X168" s="151"/>
      <c r="Y168" s="148">
        <v>5.4099999999999999E-3</v>
      </c>
      <c r="Z168" s="149">
        <v>8.0000000000000004E-4</v>
      </c>
      <c r="AA168" s="196"/>
    </row>
    <row r="169" spans="1:27" x14ac:dyDescent="0.2">
      <c r="A169" s="144" t="s">
        <v>1217</v>
      </c>
      <c r="B169" s="145" t="s">
        <v>1217</v>
      </c>
      <c r="C169" s="145" t="s">
        <v>2907</v>
      </c>
      <c r="D169" s="151"/>
      <c r="E169" s="151"/>
      <c r="F169" s="145" t="s">
        <v>2908</v>
      </c>
      <c r="G169" s="145" t="s">
        <v>2909</v>
      </c>
      <c r="H169" s="145" t="s">
        <v>314</v>
      </c>
      <c r="I169" s="145" t="s">
        <v>1000</v>
      </c>
      <c r="J169" s="151"/>
      <c r="K169" s="145" t="s">
        <v>204</v>
      </c>
      <c r="L169" s="151"/>
      <c r="M169" s="151"/>
      <c r="N169" s="145" t="s">
        <v>204</v>
      </c>
      <c r="O169" s="145" t="s">
        <v>339</v>
      </c>
      <c r="P169" s="176">
        <v>45215</v>
      </c>
      <c r="Q169" s="145" t="s">
        <v>1211</v>
      </c>
      <c r="R169" s="145" t="s">
        <v>885</v>
      </c>
      <c r="S169" s="145" t="s">
        <v>889</v>
      </c>
      <c r="T169" s="177">
        <v>45747</v>
      </c>
      <c r="U169" s="146">
        <v>3.718</v>
      </c>
      <c r="V169" s="180">
        <v>5072.1046261430874</v>
      </c>
      <c r="W169" s="146">
        <v>18858.084999999999</v>
      </c>
      <c r="X169" s="148">
        <v>4.9100000000000003E-3</v>
      </c>
      <c r="Y169" s="148">
        <v>5.2599999999999999E-3</v>
      </c>
      <c r="Z169" s="149">
        <v>7.7999999999999999E-4</v>
      </c>
      <c r="AA169" s="196"/>
    </row>
    <row r="170" spans="1:27" x14ac:dyDescent="0.2">
      <c r="A170" s="144" t="s">
        <v>1217</v>
      </c>
      <c r="B170" s="145" t="s">
        <v>1217</v>
      </c>
      <c r="C170" s="145" t="s">
        <v>2901</v>
      </c>
      <c r="D170" s="151"/>
      <c r="E170" s="151"/>
      <c r="F170" s="145" t="s">
        <v>2902</v>
      </c>
      <c r="G170" s="145" t="s">
        <v>2903</v>
      </c>
      <c r="H170" s="145" t="s">
        <v>314</v>
      </c>
      <c r="I170" s="145" t="s">
        <v>1005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6">
        <v>44633</v>
      </c>
      <c r="Q170" s="145" t="s">
        <v>1211</v>
      </c>
      <c r="R170" s="145" t="s">
        <v>885</v>
      </c>
      <c r="S170" s="145" t="s">
        <v>889</v>
      </c>
      <c r="T170" s="177">
        <v>45747</v>
      </c>
      <c r="U170" s="146">
        <v>3.718</v>
      </c>
      <c r="V170" s="180">
        <v>4984.6172673480369</v>
      </c>
      <c r="W170" s="146">
        <v>18532.807000000001</v>
      </c>
      <c r="X170" s="148">
        <v>4.2590000000000003E-2</v>
      </c>
      <c r="Y170" s="148">
        <v>5.1700000000000001E-3</v>
      </c>
      <c r="Z170" s="149">
        <v>7.6000000000000004E-4</v>
      </c>
      <c r="AA170" s="196"/>
    </row>
    <row r="171" spans="1:27" x14ac:dyDescent="0.2">
      <c r="A171" s="144" t="s">
        <v>1217</v>
      </c>
      <c r="B171" s="145" t="s">
        <v>1217</v>
      </c>
      <c r="C171" s="145" t="s">
        <v>2895</v>
      </c>
      <c r="D171" s="151"/>
      <c r="E171" s="151"/>
      <c r="F171" s="145" t="s">
        <v>2896</v>
      </c>
      <c r="G171" s="145" t="s">
        <v>2897</v>
      </c>
      <c r="H171" s="145" t="s">
        <v>314</v>
      </c>
      <c r="I171" s="145" t="s">
        <v>1000</v>
      </c>
      <c r="J171" s="151"/>
      <c r="K171" s="145" t="s">
        <v>204</v>
      </c>
      <c r="L171" s="151"/>
      <c r="M171" s="151"/>
      <c r="N171" s="145" t="s">
        <v>204</v>
      </c>
      <c r="O171" s="145" t="s">
        <v>339</v>
      </c>
      <c r="P171" s="176">
        <v>44560</v>
      </c>
      <c r="Q171" s="145" t="s">
        <v>1211</v>
      </c>
      <c r="R171" s="145" t="s">
        <v>885</v>
      </c>
      <c r="S171" s="145" t="s">
        <v>889</v>
      </c>
      <c r="T171" s="177">
        <v>45728</v>
      </c>
      <c r="U171" s="146">
        <v>3.718</v>
      </c>
      <c r="V171" s="180">
        <v>4984.6008606777832</v>
      </c>
      <c r="W171" s="146">
        <v>18532.745999999999</v>
      </c>
      <c r="X171" s="148">
        <v>8.5599999999999999E-3</v>
      </c>
      <c r="Y171" s="148">
        <v>5.1700000000000001E-3</v>
      </c>
      <c r="Z171" s="149">
        <v>7.6000000000000004E-4</v>
      </c>
      <c r="AA171" s="196"/>
    </row>
    <row r="172" spans="1:27" x14ac:dyDescent="0.2">
      <c r="A172" s="144" t="s">
        <v>1217</v>
      </c>
      <c r="B172" s="145" t="s">
        <v>1217</v>
      </c>
      <c r="C172" s="145" t="s">
        <v>2916</v>
      </c>
      <c r="D172" s="151"/>
      <c r="E172" s="151"/>
      <c r="F172" s="145" t="s">
        <v>2917</v>
      </c>
      <c r="G172" s="145" t="s">
        <v>2918</v>
      </c>
      <c r="H172" s="145" t="s">
        <v>314</v>
      </c>
      <c r="I172" s="145" t="s">
        <v>1003</v>
      </c>
      <c r="J172" s="151"/>
      <c r="K172" s="145" t="s">
        <v>204</v>
      </c>
      <c r="L172" s="151"/>
      <c r="M172" s="151"/>
      <c r="N172" s="145" t="s">
        <v>204</v>
      </c>
      <c r="O172" s="145" t="s">
        <v>339</v>
      </c>
      <c r="P172" s="176">
        <v>45056</v>
      </c>
      <c r="Q172" s="145" t="s">
        <v>1210</v>
      </c>
      <c r="R172" s="145" t="s">
        <v>885</v>
      </c>
      <c r="S172" s="145" t="s">
        <v>889</v>
      </c>
      <c r="T172" s="177">
        <v>45707</v>
      </c>
      <c r="U172" s="146">
        <v>1</v>
      </c>
      <c r="V172" s="180">
        <v>18510.237000000001</v>
      </c>
      <c r="W172" s="146">
        <v>18510.237000000001</v>
      </c>
      <c r="X172" s="151"/>
      <c r="Y172" s="148">
        <v>5.1599999999999997E-3</v>
      </c>
      <c r="Z172" s="149">
        <v>7.6000000000000004E-4</v>
      </c>
      <c r="AA172" s="196"/>
    </row>
    <row r="173" spans="1:27" x14ac:dyDescent="0.2">
      <c r="A173" s="144" t="s">
        <v>1217</v>
      </c>
      <c r="B173" s="145" t="s">
        <v>1217</v>
      </c>
      <c r="C173" s="145" t="s">
        <v>2898</v>
      </c>
      <c r="D173" s="151"/>
      <c r="E173" s="151"/>
      <c r="F173" s="145" t="s">
        <v>2899</v>
      </c>
      <c r="G173" s="145" t="s">
        <v>2900</v>
      </c>
      <c r="H173" s="145" t="s">
        <v>314</v>
      </c>
      <c r="I173" s="145" t="s">
        <v>1005</v>
      </c>
      <c r="J173" s="151"/>
      <c r="K173" s="145" t="s">
        <v>204</v>
      </c>
      <c r="L173" s="151"/>
      <c r="M173" s="151"/>
      <c r="N173" s="145" t="s">
        <v>224</v>
      </c>
      <c r="O173" s="145" t="s">
        <v>339</v>
      </c>
      <c r="P173" s="176">
        <v>44524</v>
      </c>
      <c r="Q173" s="145" t="s">
        <v>1211</v>
      </c>
      <c r="R173" s="145" t="s">
        <v>885</v>
      </c>
      <c r="S173" s="145" t="s">
        <v>889</v>
      </c>
      <c r="T173" s="177">
        <v>45670</v>
      </c>
      <c r="U173" s="146">
        <v>3.718</v>
      </c>
      <c r="V173" s="180">
        <v>4938.8778913394299</v>
      </c>
      <c r="W173" s="146">
        <v>18362.748</v>
      </c>
      <c r="X173" s="148">
        <v>4.768E-2</v>
      </c>
      <c r="Y173" s="148">
        <v>5.1200000000000004E-3</v>
      </c>
      <c r="Z173" s="149">
        <v>7.6000000000000004E-4</v>
      </c>
      <c r="AA173" s="196"/>
    </row>
    <row r="174" spans="1:27" x14ac:dyDescent="0.2">
      <c r="A174" s="144" t="s">
        <v>1217</v>
      </c>
      <c r="B174" s="145" t="s">
        <v>1217</v>
      </c>
      <c r="C174" s="145" t="s">
        <v>2919</v>
      </c>
      <c r="D174" s="151"/>
      <c r="E174" s="151"/>
      <c r="F174" s="145" t="s">
        <v>2920</v>
      </c>
      <c r="G174" s="145" t="s">
        <v>2921</v>
      </c>
      <c r="H174" s="145" t="s">
        <v>314</v>
      </c>
      <c r="I174" s="145" t="s">
        <v>1000</v>
      </c>
      <c r="J174" s="151"/>
      <c r="K174" s="145" t="s">
        <v>204</v>
      </c>
      <c r="L174" s="151"/>
      <c r="M174" s="151"/>
      <c r="N174" s="145" t="s">
        <v>224</v>
      </c>
      <c r="O174" s="145" t="s">
        <v>339</v>
      </c>
      <c r="P174" s="176">
        <v>42209</v>
      </c>
      <c r="Q174" s="145" t="s">
        <v>1211</v>
      </c>
      <c r="R174" s="145" t="s">
        <v>885</v>
      </c>
      <c r="S174" s="145" t="s">
        <v>889</v>
      </c>
      <c r="T174" s="177">
        <v>45704</v>
      </c>
      <c r="U174" s="146">
        <v>3.718</v>
      </c>
      <c r="V174" s="180">
        <v>4921.9351802044112</v>
      </c>
      <c r="W174" s="146">
        <v>18299.755000000001</v>
      </c>
      <c r="X174" s="151"/>
      <c r="Y174" s="148">
        <v>5.1000000000000004E-3</v>
      </c>
      <c r="Z174" s="149">
        <v>7.5000000000000002E-4</v>
      </c>
      <c r="AA174" s="196"/>
    </row>
    <row r="175" spans="1:27" x14ac:dyDescent="0.2">
      <c r="A175" s="144" t="s">
        <v>1217</v>
      </c>
      <c r="B175" s="145" t="s">
        <v>1217</v>
      </c>
      <c r="C175" s="145" t="s">
        <v>2904</v>
      </c>
      <c r="D175" s="151"/>
      <c r="E175" s="151"/>
      <c r="F175" s="145" t="s">
        <v>2905</v>
      </c>
      <c r="G175" s="145" t="s">
        <v>2906</v>
      </c>
      <c r="H175" s="145" t="s">
        <v>314</v>
      </c>
      <c r="I175" s="145" t="s">
        <v>1000</v>
      </c>
      <c r="J175" s="151"/>
      <c r="K175" s="145" t="s">
        <v>204</v>
      </c>
      <c r="L175" s="151"/>
      <c r="M175" s="151"/>
      <c r="N175" s="145" t="s">
        <v>224</v>
      </c>
      <c r="O175" s="145" t="s">
        <v>339</v>
      </c>
      <c r="P175" s="176">
        <v>45475</v>
      </c>
      <c r="Q175" s="145" t="s">
        <v>1211</v>
      </c>
      <c r="R175" s="145" t="s">
        <v>885</v>
      </c>
      <c r="S175" s="145" t="s">
        <v>889</v>
      </c>
      <c r="T175" s="177">
        <v>45657</v>
      </c>
      <c r="U175" s="146">
        <v>3.718</v>
      </c>
      <c r="V175" s="180">
        <v>4883.1277568585265</v>
      </c>
      <c r="W175" s="146">
        <v>18155.469000000001</v>
      </c>
      <c r="X175" s="148">
        <v>0</v>
      </c>
      <c r="Y175" s="148">
        <v>5.0600000000000003E-3</v>
      </c>
      <c r="Z175" s="149">
        <v>7.5000000000000002E-4</v>
      </c>
      <c r="AA175" s="196"/>
    </row>
    <row r="176" spans="1:27" x14ac:dyDescent="0.2">
      <c r="A176" s="144" t="s">
        <v>1217</v>
      </c>
      <c r="B176" s="145" t="s">
        <v>1217</v>
      </c>
      <c r="C176" s="145" t="s">
        <v>2913</v>
      </c>
      <c r="D176" s="151"/>
      <c r="E176" s="151"/>
      <c r="F176" s="145" t="s">
        <v>2914</v>
      </c>
      <c r="G176" s="145" t="s">
        <v>2915</v>
      </c>
      <c r="H176" s="145" t="s">
        <v>314</v>
      </c>
      <c r="I176" s="145" t="s">
        <v>1000</v>
      </c>
      <c r="J176" s="151"/>
      <c r="K176" s="145" t="s">
        <v>204</v>
      </c>
      <c r="L176" s="151"/>
      <c r="M176" s="151"/>
      <c r="N176" s="145" t="s">
        <v>296</v>
      </c>
      <c r="O176" s="145" t="s">
        <v>339</v>
      </c>
      <c r="P176" s="176">
        <v>44633</v>
      </c>
      <c r="Q176" s="145" t="s">
        <v>1211</v>
      </c>
      <c r="R176" s="145" t="s">
        <v>885</v>
      </c>
      <c r="S176" s="145" t="s">
        <v>889</v>
      </c>
      <c r="T176" s="177">
        <v>45725</v>
      </c>
      <c r="U176" s="146">
        <v>3.718</v>
      </c>
      <c r="V176" s="180">
        <v>4582.2756858526091</v>
      </c>
      <c r="W176" s="146">
        <v>17036.901000000002</v>
      </c>
      <c r="X176" s="151"/>
      <c r="Y176" s="148">
        <v>4.7499999999999999E-3</v>
      </c>
      <c r="Z176" s="149">
        <v>6.9999999999999999E-4</v>
      </c>
      <c r="AA176" s="196"/>
    </row>
    <row r="177" spans="1:27" x14ac:dyDescent="0.2">
      <c r="A177" s="144" t="s">
        <v>1217</v>
      </c>
      <c r="B177" s="145" t="s">
        <v>1217</v>
      </c>
      <c r="C177" s="145" t="s">
        <v>2924</v>
      </c>
      <c r="D177" s="151"/>
      <c r="E177" s="151"/>
      <c r="F177" s="145" t="s">
        <v>2925</v>
      </c>
      <c r="G177" s="145" t="s">
        <v>2926</v>
      </c>
      <c r="H177" s="145" t="s">
        <v>314</v>
      </c>
      <c r="I177" s="145" t="s">
        <v>1003</v>
      </c>
      <c r="J177" s="151"/>
      <c r="K177" s="145" t="s">
        <v>204</v>
      </c>
      <c r="L177" s="151"/>
      <c r="M177" s="151"/>
      <c r="N177" s="145" t="s">
        <v>204</v>
      </c>
      <c r="O177" s="145" t="s">
        <v>339</v>
      </c>
      <c r="P177" s="176">
        <v>43782</v>
      </c>
      <c r="Q177" s="145" t="s">
        <v>1210</v>
      </c>
      <c r="R177" s="145" t="s">
        <v>885</v>
      </c>
      <c r="S177" s="145" t="s">
        <v>889</v>
      </c>
      <c r="T177" s="177">
        <v>45744</v>
      </c>
      <c r="U177" s="146">
        <v>1</v>
      </c>
      <c r="V177" s="180">
        <v>15622.944</v>
      </c>
      <c r="W177" s="146">
        <v>15622.944</v>
      </c>
      <c r="X177" s="151"/>
      <c r="Y177" s="148">
        <v>4.3600000000000002E-3</v>
      </c>
      <c r="Z177" s="149">
        <v>6.4000000000000005E-4</v>
      </c>
      <c r="AA177" s="196"/>
    </row>
    <row r="178" spans="1:27" x14ac:dyDescent="0.2">
      <c r="A178" s="144" t="s">
        <v>1217</v>
      </c>
      <c r="B178" s="145" t="s">
        <v>1217</v>
      </c>
      <c r="C178" s="145" t="s">
        <v>2922</v>
      </c>
      <c r="D178" s="151"/>
      <c r="E178" s="151"/>
      <c r="F178" s="145" t="s">
        <v>2922</v>
      </c>
      <c r="G178" s="145" t="s">
        <v>2923</v>
      </c>
      <c r="H178" s="145" t="s">
        <v>314</v>
      </c>
      <c r="I178" s="145" t="s">
        <v>1004</v>
      </c>
      <c r="J178" s="151"/>
      <c r="K178" s="145" t="s">
        <v>204</v>
      </c>
      <c r="L178" s="151"/>
      <c r="M178" s="151"/>
      <c r="N178" s="145" t="s">
        <v>204</v>
      </c>
      <c r="O178" s="145" t="s">
        <v>339</v>
      </c>
      <c r="P178" s="176">
        <v>44192</v>
      </c>
      <c r="Q178" s="145" t="s">
        <v>1210</v>
      </c>
      <c r="R178" s="145" t="s">
        <v>885</v>
      </c>
      <c r="S178" s="145" t="s">
        <v>889</v>
      </c>
      <c r="T178" s="177">
        <v>45742</v>
      </c>
      <c r="U178" s="146">
        <v>1</v>
      </c>
      <c r="V178" s="180">
        <v>15547.683999999999</v>
      </c>
      <c r="W178" s="146">
        <v>15547.683999999999</v>
      </c>
      <c r="X178" s="148">
        <v>3.8159999999999999E-2</v>
      </c>
      <c r="Y178" s="148">
        <v>4.3400000000000001E-3</v>
      </c>
      <c r="Z178" s="149">
        <v>6.4000000000000005E-4</v>
      </c>
      <c r="AA178" s="196"/>
    </row>
    <row r="179" spans="1:27" x14ac:dyDescent="0.2">
      <c r="A179" s="144" t="s">
        <v>1217</v>
      </c>
      <c r="B179" s="145" t="s">
        <v>1217</v>
      </c>
      <c r="C179" s="145" t="s">
        <v>2927</v>
      </c>
      <c r="D179" s="151"/>
      <c r="E179" s="151"/>
      <c r="F179" s="145" t="s">
        <v>2928</v>
      </c>
      <c r="G179" s="145" t="s">
        <v>2929</v>
      </c>
      <c r="H179" s="145" t="s">
        <v>314</v>
      </c>
      <c r="I179" s="145" t="s">
        <v>1005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6">
        <v>43194</v>
      </c>
      <c r="Q179" s="145" t="s">
        <v>1211</v>
      </c>
      <c r="R179" s="145" t="s">
        <v>885</v>
      </c>
      <c r="S179" s="145" t="s">
        <v>889</v>
      </c>
      <c r="T179" s="177">
        <v>45720</v>
      </c>
      <c r="U179" s="146">
        <v>3.718</v>
      </c>
      <c r="V179" s="180">
        <v>3499.7097902097903</v>
      </c>
      <c r="W179" s="146">
        <v>13011.921</v>
      </c>
      <c r="X179" s="148">
        <v>2.537E-2</v>
      </c>
      <c r="Y179" s="148">
        <v>3.63E-3</v>
      </c>
      <c r="Z179" s="149">
        <v>5.4000000000000001E-4</v>
      </c>
      <c r="AA179" s="196"/>
    </row>
    <row r="180" spans="1:27" x14ac:dyDescent="0.2">
      <c r="A180" s="144" t="s">
        <v>1217</v>
      </c>
      <c r="B180" s="145" t="s">
        <v>1217</v>
      </c>
      <c r="C180" s="145" t="s">
        <v>2930</v>
      </c>
      <c r="D180" s="151"/>
      <c r="E180" s="151"/>
      <c r="F180" s="145" t="s">
        <v>2931</v>
      </c>
      <c r="G180" s="145" t="s">
        <v>2932</v>
      </c>
      <c r="H180" s="145" t="s">
        <v>314</v>
      </c>
      <c r="I180" s="145" t="s">
        <v>1003</v>
      </c>
      <c r="J180" s="151"/>
      <c r="K180" s="145" t="s">
        <v>204</v>
      </c>
      <c r="L180" s="151"/>
      <c r="M180" s="151"/>
      <c r="N180" s="145" t="s">
        <v>204</v>
      </c>
      <c r="O180" s="145" t="s">
        <v>339</v>
      </c>
      <c r="P180" s="176">
        <v>45034</v>
      </c>
      <c r="Q180" s="145" t="s">
        <v>1210</v>
      </c>
      <c r="R180" s="145" t="s">
        <v>885</v>
      </c>
      <c r="S180" s="145" t="s">
        <v>889</v>
      </c>
      <c r="T180" s="177">
        <v>45743</v>
      </c>
      <c r="U180" s="146">
        <v>1</v>
      </c>
      <c r="V180" s="180">
        <v>12753.374</v>
      </c>
      <c r="W180" s="146">
        <v>12753.374</v>
      </c>
      <c r="X180" s="148">
        <v>3.2299999999999998E-3</v>
      </c>
      <c r="Y180" s="148">
        <v>3.5599999999999998E-3</v>
      </c>
      <c r="Z180" s="149">
        <v>5.1999999999999995E-4</v>
      </c>
      <c r="AA180" s="196"/>
    </row>
    <row r="181" spans="1:27" x14ac:dyDescent="0.2">
      <c r="A181" s="144" t="s">
        <v>1217</v>
      </c>
      <c r="B181" s="145" t="s">
        <v>1217</v>
      </c>
      <c r="C181" s="145" t="s">
        <v>2933</v>
      </c>
      <c r="D181" s="151"/>
      <c r="E181" s="151"/>
      <c r="F181" s="145" t="s">
        <v>2934</v>
      </c>
      <c r="G181" s="145" t="s">
        <v>2935</v>
      </c>
      <c r="H181" s="145" t="s">
        <v>314</v>
      </c>
      <c r="I181" s="145" t="s">
        <v>1005</v>
      </c>
      <c r="J181" s="151"/>
      <c r="K181" s="145" t="s">
        <v>204</v>
      </c>
      <c r="L181" s="151"/>
      <c r="M181" s="151"/>
      <c r="N181" s="145" t="s">
        <v>204</v>
      </c>
      <c r="O181" s="145" t="s">
        <v>339</v>
      </c>
      <c r="P181" s="176">
        <v>44143</v>
      </c>
      <c r="Q181" s="145" t="s">
        <v>1211</v>
      </c>
      <c r="R181" s="145" t="s">
        <v>885</v>
      </c>
      <c r="S181" s="145" t="s">
        <v>889</v>
      </c>
      <c r="T181" s="177">
        <v>45746</v>
      </c>
      <c r="U181" s="146">
        <v>3.718</v>
      </c>
      <c r="V181" s="180">
        <v>2950.6974179666486</v>
      </c>
      <c r="W181" s="146">
        <v>10970.692999999999</v>
      </c>
      <c r="X181" s="148">
        <v>9.6299999999999997E-3</v>
      </c>
      <c r="Y181" s="148">
        <v>3.0599999999999998E-3</v>
      </c>
      <c r="Z181" s="149">
        <v>4.4999999999999999E-4</v>
      </c>
      <c r="AA181" s="196"/>
    </row>
    <row r="182" spans="1:27" x14ac:dyDescent="0.2">
      <c r="A182" s="144" t="s">
        <v>1217</v>
      </c>
      <c r="B182" s="145" t="s">
        <v>1217</v>
      </c>
      <c r="C182" s="145" t="s">
        <v>2936</v>
      </c>
      <c r="D182" s="151"/>
      <c r="E182" s="151"/>
      <c r="F182" s="145" t="s">
        <v>2937</v>
      </c>
      <c r="G182" s="145" t="s">
        <v>2938</v>
      </c>
      <c r="H182" s="145" t="s">
        <v>314</v>
      </c>
      <c r="I182" s="145" t="s">
        <v>1000</v>
      </c>
      <c r="J182" s="151"/>
      <c r="K182" s="145" t="s">
        <v>204</v>
      </c>
      <c r="L182" s="151"/>
      <c r="M182" s="151"/>
      <c r="N182" s="145" t="s">
        <v>224</v>
      </c>
      <c r="O182" s="145" t="s">
        <v>339</v>
      </c>
      <c r="P182" s="176">
        <v>44938</v>
      </c>
      <c r="Q182" s="145" t="s">
        <v>1211</v>
      </c>
      <c r="R182" s="145" t="s">
        <v>885</v>
      </c>
      <c r="S182" s="145" t="s">
        <v>889</v>
      </c>
      <c r="T182" s="177">
        <v>45691</v>
      </c>
      <c r="U182" s="146">
        <v>3.718</v>
      </c>
      <c r="V182" s="180">
        <v>2877.0979020979021</v>
      </c>
      <c r="W182" s="146">
        <v>10697.05</v>
      </c>
      <c r="X182" s="148">
        <v>9.0299999999999998E-3</v>
      </c>
      <c r="Y182" s="148">
        <v>2.98E-3</v>
      </c>
      <c r="Z182" s="149">
        <v>4.4000000000000002E-4</v>
      </c>
      <c r="AA182" s="196"/>
    </row>
    <row r="183" spans="1:27" x14ac:dyDescent="0.2">
      <c r="A183" s="144" t="s">
        <v>1217</v>
      </c>
      <c r="B183" s="145" t="s">
        <v>1217</v>
      </c>
      <c r="C183" s="145" t="s">
        <v>2939</v>
      </c>
      <c r="D183" s="151"/>
      <c r="E183" s="151"/>
      <c r="F183" s="145" t="s">
        <v>2940</v>
      </c>
      <c r="G183" s="145" t="s">
        <v>2941</v>
      </c>
      <c r="H183" s="145" t="s">
        <v>314</v>
      </c>
      <c r="I183" s="145" t="s">
        <v>1001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6">
        <v>43398</v>
      </c>
      <c r="Q183" s="145" t="s">
        <v>1210</v>
      </c>
      <c r="R183" s="145" t="s">
        <v>885</v>
      </c>
      <c r="S183" s="145" t="s">
        <v>889</v>
      </c>
      <c r="T183" s="177">
        <v>45714</v>
      </c>
      <c r="U183" s="146">
        <v>1</v>
      </c>
      <c r="V183" s="180">
        <v>10125.547</v>
      </c>
      <c r="W183" s="146">
        <v>10125.547</v>
      </c>
      <c r="X183" s="151"/>
      <c r="Y183" s="148">
        <v>2.82E-3</v>
      </c>
      <c r="Z183" s="149">
        <v>4.2000000000000002E-4</v>
      </c>
      <c r="AA183" s="196"/>
    </row>
    <row r="184" spans="1:27" x14ac:dyDescent="0.2">
      <c r="A184" s="144" t="s">
        <v>1217</v>
      </c>
      <c r="B184" s="145" t="s">
        <v>1217</v>
      </c>
      <c r="C184" s="145" t="s">
        <v>2945</v>
      </c>
      <c r="D184" s="151"/>
      <c r="E184" s="151"/>
      <c r="F184" s="145" t="s">
        <v>2946</v>
      </c>
      <c r="G184" s="145" t="s">
        <v>2947</v>
      </c>
      <c r="H184" s="145" t="s">
        <v>314</v>
      </c>
      <c r="I184" s="145" t="s">
        <v>1005</v>
      </c>
      <c r="J184" s="151"/>
      <c r="K184" s="145" t="s">
        <v>204</v>
      </c>
      <c r="L184" s="151"/>
      <c r="M184" s="151"/>
      <c r="N184" s="145" t="s">
        <v>204</v>
      </c>
      <c r="O184" s="145" t="s">
        <v>339</v>
      </c>
      <c r="P184" s="176">
        <v>41673</v>
      </c>
      <c r="Q184" s="145" t="s">
        <v>1211</v>
      </c>
      <c r="R184" s="145" t="s">
        <v>885</v>
      </c>
      <c r="S184" s="145" t="s">
        <v>889</v>
      </c>
      <c r="T184" s="177">
        <v>45747</v>
      </c>
      <c r="U184" s="146">
        <v>3.718</v>
      </c>
      <c r="V184" s="180">
        <v>2657.8636363636365</v>
      </c>
      <c r="W184" s="146">
        <v>9881.9369999999999</v>
      </c>
      <c r="X184" s="151"/>
      <c r="Y184" s="148">
        <v>2.7599999999999999E-3</v>
      </c>
      <c r="Z184" s="149">
        <v>4.0999999999999999E-4</v>
      </c>
      <c r="AA184" s="196"/>
    </row>
    <row r="185" spans="1:27" x14ac:dyDescent="0.2">
      <c r="A185" s="144" t="s">
        <v>1217</v>
      </c>
      <c r="B185" s="145" t="s">
        <v>1217</v>
      </c>
      <c r="C185" s="145" t="s">
        <v>2942</v>
      </c>
      <c r="D185" s="151"/>
      <c r="E185" s="151"/>
      <c r="F185" s="145" t="s">
        <v>2943</v>
      </c>
      <c r="G185" s="145" t="s">
        <v>2944</v>
      </c>
      <c r="H185" s="145" t="s">
        <v>314</v>
      </c>
      <c r="I185" s="145" t="s">
        <v>1005</v>
      </c>
      <c r="J185" s="151"/>
      <c r="K185" s="145" t="s">
        <v>204</v>
      </c>
      <c r="L185" s="151"/>
      <c r="M185" s="151"/>
      <c r="N185" s="145" t="s">
        <v>204</v>
      </c>
      <c r="O185" s="145" t="s">
        <v>339</v>
      </c>
      <c r="P185" s="176">
        <v>45504</v>
      </c>
      <c r="Q185" s="145" t="s">
        <v>1211</v>
      </c>
      <c r="R185" s="145" t="s">
        <v>885</v>
      </c>
      <c r="S185" s="145" t="s">
        <v>889</v>
      </c>
      <c r="T185" s="177">
        <v>45747</v>
      </c>
      <c r="U185" s="146">
        <v>3.718</v>
      </c>
      <c r="V185" s="180">
        <v>2345.6342119419041</v>
      </c>
      <c r="W185" s="146">
        <v>8721.0679999999993</v>
      </c>
      <c r="X185" s="151"/>
      <c r="Y185" s="148">
        <v>2.4299999999999999E-3</v>
      </c>
      <c r="Z185" s="149">
        <v>3.6000000000000002E-4</v>
      </c>
      <c r="AA185" s="196"/>
    </row>
    <row r="186" spans="1:27" x14ac:dyDescent="0.2">
      <c r="A186" s="144" t="s">
        <v>1217</v>
      </c>
      <c r="B186" s="145" t="s">
        <v>1217</v>
      </c>
      <c r="C186" s="145" t="s">
        <v>2948</v>
      </c>
      <c r="D186" s="151"/>
      <c r="E186" s="151"/>
      <c r="F186" s="145" t="s">
        <v>2949</v>
      </c>
      <c r="G186" s="145" t="s">
        <v>2950</v>
      </c>
      <c r="H186" s="145" t="s">
        <v>314</v>
      </c>
      <c r="I186" s="145" t="s">
        <v>1000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6">
        <v>41148</v>
      </c>
      <c r="Q186" s="145" t="s">
        <v>1211</v>
      </c>
      <c r="R186" s="145" t="s">
        <v>885</v>
      </c>
      <c r="S186" s="145" t="s">
        <v>889</v>
      </c>
      <c r="T186" s="177">
        <v>45715</v>
      </c>
      <c r="U186" s="146">
        <v>3.718</v>
      </c>
      <c r="V186" s="180">
        <v>1945.9405594405594</v>
      </c>
      <c r="W186" s="146">
        <v>7235.0069999999996</v>
      </c>
      <c r="X186" s="151"/>
      <c r="Y186" s="148">
        <v>2.0200000000000001E-3</v>
      </c>
      <c r="Z186" s="149">
        <v>2.9999999999999997E-4</v>
      </c>
      <c r="AA186" s="196"/>
    </row>
    <row r="187" spans="1:27" x14ac:dyDescent="0.2">
      <c r="A187" s="144" t="s">
        <v>1217</v>
      </c>
      <c r="B187" s="145" t="s">
        <v>1217</v>
      </c>
      <c r="C187" s="145" t="s">
        <v>2951</v>
      </c>
      <c r="D187" s="151"/>
      <c r="E187" s="151"/>
      <c r="F187" s="145" t="s">
        <v>2952</v>
      </c>
      <c r="G187" s="145" t="s">
        <v>2953</v>
      </c>
      <c r="H187" s="145" t="s">
        <v>314</v>
      </c>
      <c r="I187" s="145" t="s">
        <v>1003</v>
      </c>
      <c r="J187" s="151"/>
      <c r="K187" s="145" t="s">
        <v>204</v>
      </c>
      <c r="L187" s="151"/>
      <c r="M187" s="151"/>
      <c r="N187" s="145" t="s">
        <v>204</v>
      </c>
      <c r="O187" s="145" t="s">
        <v>339</v>
      </c>
      <c r="P187" s="176">
        <v>42982</v>
      </c>
      <c r="Q187" s="145" t="s">
        <v>1210</v>
      </c>
      <c r="R187" s="145" t="s">
        <v>885</v>
      </c>
      <c r="S187" s="145" t="s">
        <v>889</v>
      </c>
      <c r="T187" s="177">
        <v>45747</v>
      </c>
      <c r="U187" s="146">
        <v>1</v>
      </c>
      <c r="V187" s="180">
        <v>4520.1090000000004</v>
      </c>
      <c r="W187" s="146">
        <v>4520.1090000000004</v>
      </c>
      <c r="X187" s="151"/>
      <c r="Y187" s="148">
        <v>1.2600000000000001E-3</v>
      </c>
      <c r="Z187" s="149">
        <v>1.9000000000000001E-4</v>
      </c>
      <c r="AA187" s="196"/>
    </row>
    <row r="188" spans="1:27" x14ac:dyDescent="0.2">
      <c r="A188" s="144" t="s">
        <v>1217</v>
      </c>
      <c r="B188" s="145" t="s">
        <v>1217</v>
      </c>
      <c r="C188" s="145" t="s">
        <v>2954</v>
      </c>
      <c r="D188" s="151"/>
      <c r="E188" s="151"/>
      <c r="F188" s="145" t="s">
        <v>2890</v>
      </c>
      <c r="G188" s="145" t="s">
        <v>2955</v>
      </c>
      <c r="H188" s="145" t="s">
        <v>314</v>
      </c>
      <c r="I188" s="145" t="s">
        <v>1003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6">
        <v>42572</v>
      </c>
      <c r="Q188" s="145" t="s">
        <v>1210</v>
      </c>
      <c r="R188" s="145" t="s">
        <v>885</v>
      </c>
      <c r="S188" s="145" t="s">
        <v>889</v>
      </c>
      <c r="T188" s="177">
        <v>45747</v>
      </c>
      <c r="U188" s="146">
        <v>1</v>
      </c>
      <c r="V188" s="180">
        <v>4159.3059999999996</v>
      </c>
      <c r="W188" s="146">
        <v>4159.3059999999996</v>
      </c>
      <c r="X188" s="151"/>
      <c r="Y188" s="148">
        <v>1.16E-3</v>
      </c>
      <c r="Z188" s="149">
        <v>1.7000000000000001E-4</v>
      </c>
      <c r="AA188" s="196"/>
    </row>
    <row r="189" spans="1:27" x14ac:dyDescent="0.2">
      <c r="A189" s="144" t="s">
        <v>1217</v>
      </c>
      <c r="B189" s="145" t="s">
        <v>1217</v>
      </c>
      <c r="C189" s="145" t="s">
        <v>2958</v>
      </c>
      <c r="D189" s="151"/>
      <c r="E189" s="151"/>
      <c r="F189" s="145" t="s">
        <v>2959</v>
      </c>
      <c r="G189" s="145" t="s">
        <v>2960</v>
      </c>
      <c r="H189" s="145" t="s">
        <v>314</v>
      </c>
      <c r="I189" s="145" t="s">
        <v>1003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6">
        <v>42753</v>
      </c>
      <c r="Q189" s="145" t="s">
        <v>1210</v>
      </c>
      <c r="R189" s="145" t="s">
        <v>885</v>
      </c>
      <c r="S189" s="145" t="s">
        <v>889</v>
      </c>
      <c r="T189" s="177">
        <v>45691</v>
      </c>
      <c r="U189" s="146">
        <v>1</v>
      </c>
      <c r="V189" s="180">
        <v>3020.3719999999998</v>
      </c>
      <c r="W189" s="146">
        <v>3020.3719999999998</v>
      </c>
      <c r="X189" s="151"/>
      <c r="Y189" s="148">
        <v>8.4000000000000003E-4</v>
      </c>
      <c r="Z189" s="149">
        <v>1.2E-4</v>
      </c>
      <c r="AA189" s="196"/>
    </row>
    <row r="190" spans="1:27" x14ac:dyDescent="0.2">
      <c r="A190" s="144" t="s">
        <v>1217</v>
      </c>
      <c r="B190" s="145" t="s">
        <v>1217</v>
      </c>
      <c r="C190" s="145" t="s">
        <v>2956</v>
      </c>
      <c r="D190" s="151"/>
      <c r="E190" s="151"/>
      <c r="F190" s="145" t="s">
        <v>2956</v>
      </c>
      <c r="G190" s="145" t="s">
        <v>2957</v>
      </c>
      <c r="H190" s="145" t="s">
        <v>314</v>
      </c>
      <c r="I190" s="145" t="s">
        <v>1001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6">
        <v>45576</v>
      </c>
      <c r="Q190" s="145" t="s">
        <v>1210</v>
      </c>
      <c r="R190" s="145" t="s">
        <v>885</v>
      </c>
      <c r="S190" s="145" t="s">
        <v>889</v>
      </c>
      <c r="T190" s="177">
        <v>45747</v>
      </c>
      <c r="U190" s="146">
        <v>1</v>
      </c>
      <c r="V190" s="180">
        <v>2952.6579999999999</v>
      </c>
      <c r="W190" s="146">
        <v>2952.6579999999999</v>
      </c>
      <c r="X190" s="148">
        <v>1.31E-3</v>
      </c>
      <c r="Y190" s="148">
        <v>8.1999999999999998E-4</v>
      </c>
      <c r="Z190" s="149">
        <v>1.2E-4</v>
      </c>
      <c r="AA190" s="196"/>
    </row>
    <row r="191" spans="1:27" x14ac:dyDescent="0.2">
      <c r="A191" s="144" t="s">
        <v>1217</v>
      </c>
      <c r="B191" s="145" t="s">
        <v>1217</v>
      </c>
      <c r="C191" s="145" t="s">
        <v>2840</v>
      </c>
      <c r="D191" s="151"/>
      <c r="E191" s="151"/>
      <c r="F191" s="145" t="s">
        <v>2961</v>
      </c>
      <c r="G191" s="145" t="s">
        <v>2962</v>
      </c>
      <c r="H191" s="145" t="s">
        <v>314</v>
      </c>
      <c r="I191" s="145" t="s">
        <v>1004</v>
      </c>
      <c r="J191" s="151"/>
      <c r="K191" s="145" t="s">
        <v>204</v>
      </c>
      <c r="L191" s="151"/>
      <c r="M191" s="151"/>
      <c r="N191" s="145" t="s">
        <v>204</v>
      </c>
      <c r="O191" s="145" t="s">
        <v>339</v>
      </c>
      <c r="P191" s="176">
        <v>45250</v>
      </c>
      <c r="Q191" s="145" t="s">
        <v>1210</v>
      </c>
      <c r="R191" s="145" t="s">
        <v>885</v>
      </c>
      <c r="S191" s="145" t="s">
        <v>889</v>
      </c>
      <c r="T191" s="177">
        <v>45747</v>
      </c>
      <c r="U191" s="146">
        <v>1</v>
      </c>
      <c r="V191" s="180">
        <v>1802.1110000000001</v>
      </c>
      <c r="W191" s="146">
        <v>1802.1110000000001</v>
      </c>
      <c r="X191" s="148">
        <v>2.1099999999999999E-3</v>
      </c>
      <c r="Y191" s="148">
        <v>5.0000000000000001E-4</v>
      </c>
      <c r="Z191" s="149">
        <v>6.9999999999999994E-5</v>
      </c>
      <c r="AA191" s="196"/>
    </row>
    <row r="192" spans="1:27" x14ac:dyDescent="0.2">
      <c r="A192" s="144" t="s">
        <v>1217</v>
      </c>
      <c r="B192" s="145" t="s">
        <v>1217</v>
      </c>
      <c r="C192" s="145" t="s">
        <v>3228</v>
      </c>
      <c r="D192" s="151"/>
      <c r="E192" s="151"/>
      <c r="F192" s="145" t="s">
        <v>3229</v>
      </c>
      <c r="G192" s="145" t="s">
        <v>3230</v>
      </c>
      <c r="H192" s="145" t="s">
        <v>314</v>
      </c>
      <c r="I192" s="145" t="s">
        <v>1001</v>
      </c>
      <c r="J192" s="151"/>
      <c r="K192" s="145" t="s">
        <v>204</v>
      </c>
      <c r="L192" s="151"/>
      <c r="M192" s="151"/>
      <c r="N192" s="145" t="s">
        <v>204</v>
      </c>
      <c r="O192" s="145" t="s">
        <v>339</v>
      </c>
      <c r="P192" s="176">
        <v>40785</v>
      </c>
      <c r="Q192" s="145" t="s">
        <v>1211</v>
      </c>
      <c r="R192" s="145" t="s">
        <v>885</v>
      </c>
      <c r="S192" s="145" t="s">
        <v>889</v>
      </c>
      <c r="T192" s="177">
        <v>45740</v>
      </c>
      <c r="U192" s="146">
        <v>3.718</v>
      </c>
      <c r="V192" s="180">
        <v>247.6463152232383</v>
      </c>
      <c r="W192" s="146">
        <v>920.74900000000002</v>
      </c>
      <c r="X192" s="151"/>
      <c r="Y192" s="148">
        <v>2.5999999999999998E-4</v>
      </c>
      <c r="Z192" s="149">
        <v>4.0000000000000003E-5</v>
      </c>
      <c r="AA192" s="196"/>
    </row>
    <row r="193" spans="1:27" x14ac:dyDescent="0.2">
      <c r="A193" s="144" t="s">
        <v>1217</v>
      </c>
      <c r="B193" s="145" t="s">
        <v>1217</v>
      </c>
      <c r="C193" s="145" t="s">
        <v>2872</v>
      </c>
      <c r="D193" s="151"/>
      <c r="E193" s="151"/>
      <c r="F193" s="145" t="s">
        <v>2963</v>
      </c>
      <c r="G193" s="145" t="s">
        <v>2964</v>
      </c>
      <c r="H193" s="145" t="s">
        <v>314</v>
      </c>
      <c r="I193" s="145" t="s">
        <v>1005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6">
        <v>43642</v>
      </c>
      <c r="Q193" s="145" t="s">
        <v>1211</v>
      </c>
      <c r="R193" s="145" t="s">
        <v>885</v>
      </c>
      <c r="S193" s="145" t="s">
        <v>889</v>
      </c>
      <c r="T193" s="177">
        <v>45747</v>
      </c>
      <c r="U193" s="146">
        <v>3.718</v>
      </c>
      <c r="V193" s="180">
        <v>58.210328133405056</v>
      </c>
      <c r="W193" s="146">
        <v>216.42599999999999</v>
      </c>
      <c r="X193" s="151"/>
      <c r="Y193" s="148">
        <v>6.0000000000000002E-5</v>
      </c>
      <c r="Z193" s="149">
        <v>1.0000000000000001E-5</v>
      </c>
      <c r="AA193" s="196"/>
    </row>
    <row r="194" spans="1:27" x14ac:dyDescent="0.2">
      <c r="A194" s="144" t="s">
        <v>1217</v>
      </c>
      <c r="B194" s="145" t="s">
        <v>1217</v>
      </c>
      <c r="C194" s="145" t="s">
        <v>314</v>
      </c>
      <c r="D194" s="151"/>
      <c r="E194" s="151"/>
      <c r="F194" s="145" t="s">
        <v>2965</v>
      </c>
      <c r="G194" s="145" t="s">
        <v>2966</v>
      </c>
      <c r="H194" s="145" t="s">
        <v>314</v>
      </c>
      <c r="I194" s="145" t="s">
        <v>1005</v>
      </c>
      <c r="J194" s="151"/>
      <c r="K194" s="145" t="s">
        <v>204</v>
      </c>
      <c r="L194" s="151"/>
      <c r="M194" s="151"/>
      <c r="N194" s="145" t="s">
        <v>224</v>
      </c>
      <c r="O194" s="145" t="s">
        <v>339</v>
      </c>
      <c r="P194" s="176">
        <v>39387</v>
      </c>
      <c r="Q194" s="145" t="s">
        <v>1211</v>
      </c>
      <c r="R194" s="145" t="s">
        <v>885</v>
      </c>
      <c r="S194" s="145" t="s">
        <v>889</v>
      </c>
      <c r="T194" s="177">
        <v>45131</v>
      </c>
      <c r="U194" s="146">
        <v>3.718</v>
      </c>
      <c r="V194" s="180">
        <v>47.060785368477681</v>
      </c>
      <c r="W194" s="146">
        <v>174.97200000000001</v>
      </c>
      <c r="X194" s="151"/>
      <c r="Y194" s="148">
        <v>5.0000000000000002E-5</v>
      </c>
      <c r="Z194" s="149">
        <v>1.0000000000000001E-5</v>
      </c>
      <c r="AA194" s="196"/>
    </row>
    <row r="195" spans="1:27" x14ac:dyDescent="0.2">
      <c r="A195" s="144" t="s">
        <v>1217</v>
      </c>
      <c r="B195" s="145" t="s">
        <v>1217</v>
      </c>
      <c r="C195" s="145" t="s">
        <v>2852</v>
      </c>
      <c r="D195" s="151"/>
      <c r="E195" s="151"/>
      <c r="F195" s="145" t="s">
        <v>2967</v>
      </c>
      <c r="G195" s="145" t="s">
        <v>2968</v>
      </c>
      <c r="H195" s="145" t="s">
        <v>314</v>
      </c>
      <c r="I195" s="145" t="s">
        <v>1003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6">
        <v>42019</v>
      </c>
      <c r="Q195" s="145" t="s">
        <v>1210</v>
      </c>
      <c r="R195" s="145" t="s">
        <v>885</v>
      </c>
      <c r="S195" s="145" t="s">
        <v>889</v>
      </c>
      <c r="T195" s="177">
        <v>45742</v>
      </c>
      <c r="U195" s="146">
        <v>1</v>
      </c>
      <c r="V195" s="180">
        <v>132.30500000000001</v>
      </c>
      <c r="W195" s="146">
        <v>132.30500000000001</v>
      </c>
      <c r="X195" s="151"/>
      <c r="Y195" s="148">
        <v>4.0000000000000003E-5</v>
      </c>
      <c r="Z195" s="149">
        <v>1.0000000000000001E-5</v>
      </c>
      <c r="AA195" s="196"/>
    </row>
    <row r="196" spans="1:27" x14ac:dyDescent="0.2">
      <c r="A196" s="144" t="s">
        <v>1217</v>
      </c>
      <c r="B196" s="145" t="s">
        <v>1217</v>
      </c>
      <c r="C196" s="145" t="s">
        <v>2969</v>
      </c>
      <c r="D196" s="151"/>
      <c r="E196" s="151"/>
      <c r="F196" s="145" t="s">
        <v>2970</v>
      </c>
      <c r="G196" s="145" t="s">
        <v>2971</v>
      </c>
      <c r="H196" s="145" t="s">
        <v>314</v>
      </c>
      <c r="I196" s="145" t="s">
        <v>1004</v>
      </c>
      <c r="J196" s="151"/>
      <c r="K196" s="145" t="s">
        <v>204</v>
      </c>
      <c r="L196" s="151"/>
      <c r="M196" s="151"/>
      <c r="N196" s="145" t="s">
        <v>204</v>
      </c>
      <c r="O196" s="145" t="s">
        <v>339</v>
      </c>
      <c r="P196" s="176">
        <v>41015</v>
      </c>
      <c r="Q196" s="145" t="s">
        <v>1211</v>
      </c>
      <c r="R196" s="145" t="s">
        <v>885</v>
      </c>
      <c r="S196" s="145" t="s">
        <v>889</v>
      </c>
      <c r="T196" s="177">
        <v>45382</v>
      </c>
      <c r="U196" s="146">
        <v>3.718</v>
      </c>
      <c r="V196" s="180">
        <v>4.1051640667025282</v>
      </c>
      <c r="W196" s="146">
        <v>15.263</v>
      </c>
      <c r="X196" s="151"/>
      <c r="Y196" s="148">
        <v>0</v>
      </c>
      <c r="Z196" s="149">
        <v>0</v>
      </c>
      <c r="AA196" s="196"/>
    </row>
    <row r="197" spans="1:27" x14ac:dyDescent="0.2">
      <c r="A197" s="144" t="s">
        <v>1217</v>
      </c>
      <c r="B197" s="145" t="s">
        <v>1217</v>
      </c>
      <c r="C197" s="145" t="s">
        <v>2969</v>
      </c>
      <c r="D197" s="151"/>
      <c r="E197" s="151"/>
      <c r="F197" s="145" t="s">
        <v>2972</v>
      </c>
      <c r="G197" s="145" t="s">
        <v>2973</v>
      </c>
      <c r="H197" s="145" t="s">
        <v>314</v>
      </c>
      <c r="I197" s="145" t="s">
        <v>1004</v>
      </c>
      <c r="J197" s="151"/>
      <c r="K197" s="145" t="s">
        <v>204</v>
      </c>
      <c r="L197" s="151"/>
      <c r="M197" s="151"/>
      <c r="N197" s="145" t="s">
        <v>204</v>
      </c>
      <c r="O197" s="145" t="s">
        <v>339</v>
      </c>
      <c r="P197" s="176">
        <v>42061</v>
      </c>
      <c r="Q197" s="145" t="s">
        <v>1210</v>
      </c>
      <c r="R197" s="145" t="s">
        <v>885</v>
      </c>
      <c r="S197" s="145" t="s">
        <v>889</v>
      </c>
      <c r="T197" s="177">
        <v>45386</v>
      </c>
      <c r="U197" s="146">
        <v>1</v>
      </c>
      <c r="V197" s="180"/>
      <c r="W197" s="146">
        <v>0</v>
      </c>
      <c r="X197" s="151"/>
      <c r="Y197" s="148">
        <v>0</v>
      </c>
      <c r="Z197" s="149">
        <v>0</v>
      </c>
      <c r="AA197" s="196"/>
    </row>
    <row r="198" spans="1:27" x14ac:dyDescent="0.2">
      <c r="A198" s="144" t="s">
        <v>1217</v>
      </c>
      <c r="B198" s="145" t="s">
        <v>1217</v>
      </c>
      <c r="C198" s="145" t="s">
        <v>2974</v>
      </c>
      <c r="D198" s="151"/>
      <c r="E198" s="151"/>
      <c r="F198" s="145" t="s">
        <v>2975</v>
      </c>
      <c r="G198" s="145" t="s">
        <v>2976</v>
      </c>
      <c r="H198" s="145" t="s">
        <v>314</v>
      </c>
      <c r="I198" s="145" t="s">
        <v>1001</v>
      </c>
      <c r="J198" s="151"/>
      <c r="K198" s="145" t="s">
        <v>204</v>
      </c>
      <c r="L198" s="151"/>
      <c r="M198" s="151"/>
      <c r="N198" s="145" t="s">
        <v>204</v>
      </c>
      <c r="O198" s="145" t="s">
        <v>339</v>
      </c>
      <c r="P198" s="176">
        <v>39964</v>
      </c>
      <c r="Q198" s="145" t="s">
        <v>1211</v>
      </c>
      <c r="R198" s="145" t="s">
        <v>885</v>
      </c>
      <c r="S198" s="145" t="s">
        <v>889</v>
      </c>
      <c r="T198" s="177">
        <v>45466</v>
      </c>
      <c r="U198" s="146">
        <v>3.718</v>
      </c>
      <c r="V198" s="180"/>
      <c r="W198" s="146">
        <v>0</v>
      </c>
      <c r="X198" s="151"/>
      <c r="Y198" s="148">
        <v>0</v>
      </c>
      <c r="Z198" s="149">
        <v>0</v>
      </c>
      <c r="AA198" s="196"/>
    </row>
    <row r="199" spans="1:27" x14ac:dyDescent="0.2">
      <c r="A199" s="144" t="s">
        <v>1217</v>
      </c>
      <c r="B199" s="145" t="s">
        <v>1217</v>
      </c>
      <c r="C199" s="145" t="s">
        <v>2977</v>
      </c>
      <c r="D199" s="151"/>
      <c r="E199" s="151"/>
      <c r="F199" s="145" t="s">
        <v>2978</v>
      </c>
      <c r="G199" s="145" t="s">
        <v>2979</v>
      </c>
      <c r="H199" s="145" t="s">
        <v>314</v>
      </c>
      <c r="I199" s="145" t="s">
        <v>1000</v>
      </c>
      <c r="J199" s="151"/>
      <c r="K199" s="145" t="s">
        <v>205</v>
      </c>
      <c r="L199" s="151"/>
      <c r="M199" s="151"/>
      <c r="N199" s="145" t="s">
        <v>224</v>
      </c>
      <c r="O199" s="145" t="s">
        <v>339</v>
      </c>
      <c r="P199" s="176">
        <v>44679</v>
      </c>
      <c r="Q199" s="145" t="s">
        <v>1211</v>
      </c>
      <c r="R199" s="145" t="s">
        <v>885</v>
      </c>
      <c r="S199" s="145" t="s">
        <v>889</v>
      </c>
      <c r="T199" s="177">
        <v>45735</v>
      </c>
      <c r="U199" s="146">
        <v>3.718</v>
      </c>
      <c r="V199" s="180">
        <v>27021.703604088219</v>
      </c>
      <c r="W199" s="146">
        <v>100466.694</v>
      </c>
      <c r="X199" s="148">
        <v>7.3499999999999998E-3</v>
      </c>
      <c r="Y199" s="148">
        <v>2.801E-2</v>
      </c>
      <c r="Z199" s="149">
        <v>4.13E-3</v>
      </c>
      <c r="AA199" s="196"/>
    </row>
    <row r="200" spans="1:27" x14ac:dyDescent="0.2">
      <c r="A200" s="144" t="s">
        <v>1217</v>
      </c>
      <c r="B200" s="145" t="s">
        <v>1217</v>
      </c>
      <c r="C200" s="145" t="s">
        <v>314</v>
      </c>
      <c r="D200" s="151"/>
      <c r="E200" s="151"/>
      <c r="F200" s="145" t="s">
        <v>2980</v>
      </c>
      <c r="G200" s="145" t="s">
        <v>2981</v>
      </c>
      <c r="H200" s="145" t="s">
        <v>314</v>
      </c>
      <c r="I200" s="145" t="s">
        <v>1005</v>
      </c>
      <c r="J200" s="151"/>
      <c r="K200" s="145" t="s">
        <v>205</v>
      </c>
      <c r="L200" s="151"/>
      <c r="M200" s="151"/>
      <c r="N200" s="145" t="s">
        <v>224</v>
      </c>
      <c r="O200" s="145" t="s">
        <v>339</v>
      </c>
      <c r="P200" s="176">
        <v>43761</v>
      </c>
      <c r="Q200" s="145" t="s">
        <v>1211</v>
      </c>
      <c r="R200" s="145" t="s">
        <v>885</v>
      </c>
      <c r="S200" s="145" t="s">
        <v>889</v>
      </c>
      <c r="T200" s="177">
        <v>45747</v>
      </c>
      <c r="U200" s="146">
        <v>3.718</v>
      </c>
      <c r="V200" s="180">
        <v>21290.38111888112</v>
      </c>
      <c r="W200" s="146">
        <v>79157.637000000002</v>
      </c>
      <c r="X200" s="148">
        <v>7.6999999999999996E-4</v>
      </c>
      <c r="Y200" s="148">
        <v>2.2069999999999999E-2</v>
      </c>
      <c r="Z200" s="149">
        <v>3.2599999999999999E-3</v>
      </c>
      <c r="AA200" s="196"/>
    </row>
    <row r="201" spans="1:27" x14ac:dyDescent="0.2">
      <c r="A201" s="144" t="s">
        <v>1217</v>
      </c>
      <c r="B201" s="145" t="s">
        <v>1217</v>
      </c>
      <c r="C201" s="145" t="s">
        <v>2982</v>
      </c>
      <c r="D201" s="151"/>
      <c r="E201" s="151"/>
      <c r="F201" s="145" t="s">
        <v>2983</v>
      </c>
      <c r="G201" s="145" t="s">
        <v>2984</v>
      </c>
      <c r="H201" s="145" t="s">
        <v>314</v>
      </c>
      <c r="I201" s="145" t="s">
        <v>1004</v>
      </c>
      <c r="J201" s="151"/>
      <c r="K201" s="145" t="s">
        <v>205</v>
      </c>
      <c r="L201" s="151"/>
      <c r="M201" s="151"/>
      <c r="N201" s="145" t="s">
        <v>291</v>
      </c>
      <c r="O201" s="145" t="s">
        <v>339</v>
      </c>
      <c r="P201" s="176">
        <v>43727</v>
      </c>
      <c r="Q201" s="145" t="s">
        <v>1211</v>
      </c>
      <c r="R201" s="145" t="s">
        <v>885</v>
      </c>
      <c r="S201" s="145" t="s">
        <v>889</v>
      </c>
      <c r="T201" s="177">
        <v>45723</v>
      </c>
      <c r="U201" s="146">
        <v>3.718</v>
      </c>
      <c r="V201" s="180">
        <v>17628.950242065628</v>
      </c>
      <c r="W201" s="146">
        <v>65544.437000000005</v>
      </c>
      <c r="X201" s="148">
        <v>7.6000000000000004E-4</v>
      </c>
      <c r="Y201" s="148">
        <v>1.8280000000000001E-2</v>
      </c>
      <c r="Z201" s="149">
        <v>2.7000000000000001E-3</v>
      </c>
      <c r="AA201" s="196"/>
    </row>
    <row r="202" spans="1:27" x14ac:dyDescent="0.2">
      <c r="A202" s="144" t="s">
        <v>1217</v>
      </c>
      <c r="B202" s="145" t="s">
        <v>1217</v>
      </c>
      <c r="C202" s="145" t="s">
        <v>2985</v>
      </c>
      <c r="D202" s="151"/>
      <c r="E202" s="151"/>
      <c r="F202" s="145" t="s">
        <v>2986</v>
      </c>
      <c r="G202" s="145" t="s">
        <v>2987</v>
      </c>
      <c r="H202" s="145" t="s">
        <v>314</v>
      </c>
      <c r="I202" s="145" t="s">
        <v>1000</v>
      </c>
      <c r="J202" s="151"/>
      <c r="K202" s="145" t="s">
        <v>205</v>
      </c>
      <c r="L202" s="151"/>
      <c r="M202" s="151"/>
      <c r="N202" s="145" t="s">
        <v>224</v>
      </c>
      <c r="O202" s="145" t="s">
        <v>339</v>
      </c>
      <c r="P202" s="176">
        <v>44742</v>
      </c>
      <c r="Q202" s="145" t="s">
        <v>1211</v>
      </c>
      <c r="R202" s="145" t="s">
        <v>885</v>
      </c>
      <c r="S202" s="145" t="s">
        <v>889</v>
      </c>
      <c r="T202" s="177">
        <v>45733</v>
      </c>
      <c r="U202" s="146">
        <v>3.718</v>
      </c>
      <c r="V202" s="180">
        <v>17312.6304464766</v>
      </c>
      <c r="W202" s="146">
        <v>64368.36</v>
      </c>
      <c r="X202" s="151"/>
      <c r="Y202" s="148">
        <v>1.7950000000000001E-2</v>
      </c>
      <c r="Z202" s="149">
        <v>2.65E-3</v>
      </c>
      <c r="AA202" s="196"/>
    </row>
    <row r="203" spans="1:27" x14ac:dyDescent="0.2">
      <c r="A203" s="144" t="s">
        <v>1217</v>
      </c>
      <c r="B203" s="145" t="s">
        <v>1217</v>
      </c>
      <c r="C203" s="145" t="s">
        <v>2994</v>
      </c>
      <c r="D203" s="151"/>
      <c r="E203" s="151"/>
      <c r="F203" s="145" t="s">
        <v>2995</v>
      </c>
      <c r="G203" s="145" t="s">
        <v>2996</v>
      </c>
      <c r="H203" s="145" t="s">
        <v>314</v>
      </c>
      <c r="I203" s="145" t="s">
        <v>1004</v>
      </c>
      <c r="J203" s="151"/>
      <c r="K203" s="145" t="s">
        <v>205</v>
      </c>
      <c r="L203" s="151"/>
      <c r="M203" s="151"/>
      <c r="N203" s="145" t="s">
        <v>224</v>
      </c>
      <c r="O203" s="145" t="s">
        <v>339</v>
      </c>
      <c r="P203" s="176">
        <v>43565</v>
      </c>
      <c r="Q203" s="145" t="s">
        <v>1211</v>
      </c>
      <c r="R203" s="145" t="s">
        <v>885</v>
      </c>
      <c r="S203" s="145" t="s">
        <v>889</v>
      </c>
      <c r="T203" s="177">
        <v>45743</v>
      </c>
      <c r="U203" s="146">
        <v>3.718</v>
      </c>
      <c r="V203" s="180">
        <v>15953.264927380313</v>
      </c>
      <c r="W203" s="146">
        <v>59314.239000000001</v>
      </c>
      <c r="X203" s="151"/>
      <c r="Y203" s="148">
        <v>1.6539999999999999E-2</v>
      </c>
      <c r="Z203" s="149">
        <v>2.4399999999999999E-3</v>
      </c>
      <c r="AA203" s="196"/>
    </row>
    <row r="204" spans="1:27" x14ac:dyDescent="0.2">
      <c r="A204" s="144" t="s">
        <v>1217</v>
      </c>
      <c r="B204" s="145" t="s">
        <v>1217</v>
      </c>
      <c r="C204" s="145" t="s">
        <v>2988</v>
      </c>
      <c r="D204" s="151"/>
      <c r="E204" s="151"/>
      <c r="F204" s="145" t="s">
        <v>2989</v>
      </c>
      <c r="G204" s="145" t="s">
        <v>2990</v>
      </c>
      <c r="H204" s="145" t="s">
        <v>314</v>
      </c>
      <c r="I204" s="145" t="s">
        <v>1000</v>
      </c>
      <c r="J204" s="151"/>
      <c r="K204" s="145" t="s">
        <v>205</v>
      </c>
      <c r="L204" s="151"/>
      <c r="M204" s="151"/>
      <c r="N204" s="145" t="s">
        <v>224</v>
      </c>
      <c r="O204" s="145" t="s">
        <v>339</v>
      </c>
      <c r="P204" s="176">
        <v>43843</v>
      </c>
      <c r="Q204" s="145" t="s">
        <v>1211</v>
      </c>
      <c r="R204" s="145" t="s">
        <v>885</v>
      </c>
      <c r="S204" s="145" t="s">
        <v>889</v>
      </c>
      <c r="T204" s="177">
        <v>45746</v>
      </c>
      <c r="U204" s="146">
        <v>3.718</v>
      </c>
      <c r="V204" s="180">
        <v>15563.930876815492</v>
      </c>
      <c r="W204" s="146">
        <v>57866.695</v>
      </c>
      <c r="X204" s="148">
        <v>2.0100000000000001E-3</v>
      </c>
      <c r="Y204" s="148">
        <v>1.6140000000000002E-2</v>
      </c>
      <c r="Z204" s="149">
        <v>2.3800000000000002E-3</v>
      </c>
      <c r="AA204" s="196"/>
    </row>
    <row r="205" spans="1:27" x14ac:dyDescent="0.2">
      <c r="A205" s="144" t="s">
        <v>1217</v>
      </c>
      <c r="B205" s="145" t="s">
        <v>1217</v>
      </c>
      <c r="C205" s="145" t="s">
        <v>2997</v>
      </c>
      <c r="D205" s="151"/>
      <c r="E205" s="151"/>
      <c r="F205" s="145" t="s">
        <v>2998</v>
      </c>
      <c r="G205" s="145" t="s">
        <v>2999</v>
      </c>
      <c r="H205" s="145" t="s">
        <v>314</v>
      </c>
      <c r="I205" s="145" t="s">
        <v>1005</v>
      </c>
      <c r="J205" s="151"/>
      <c r="K205" s="145" t="s">
        <v>205</v>
      </c>
      <c r="L205" s="151"/>
      <c r="M205" s="151"/>
      <c r="N205" s="145" t="s">
        <v>291</v>
      </c>
      <c r="O205" s="145" t="s">
        <v>339</v>
      </c>
      <c r="P205" s="176">
        <v>43340</v>
      </c>
      <c r="Q205" s="145" t="s">
        <v>1211</v>
      </c>
      <c r="R205" s="145" t="s">
        <v>885</v>
      </c>
      <c r="S205" s="145" t="s">
        <v>889</v>
      </c>
      <c r="T205" s="177">
        <v>45652</v>
      </c>
      <c r="U205" s="146">
        <v>3.718</v>
      </c>
      <c r="V205" s="180">
        <v>15504.001613770844</v>
      </c>
      <c r="W205" s="146">
        <v>57643.877999999997</v>
      </c>
      <c r="X205" s="151"/>
      <c r="Y205" s="148">
        <v>1.6070000000000001E-2</v>
      </c>
      <c r="Z205" s="149">
        <v>2.3700000000000001E-3</v>
      </c>
      <c r="AA205" s="196"/>
    </row>
    <row r="206" spans="1:27" x14ac:dyDescent="0.2">
      <c r="A206" s="144" t="s">
        <v>1217</v>
      </c>
      <c r="B206" s="145" t="s">
        <v>1217</v>
      </c>
      <c r="C206" s="145" t="s">
        <v>3000</v>
      </c>
      <c r="D206" s="151"/>
      <c r="E206" s="151"/>
      <c r="F206" s="145" t="s">
        <v>3001</v>
      </c>
      <c r="G206" s="145" t="s">
        <v>3002</v>
      </c>
      <c r="H206" s="145" t="s">
        <v>314</v>
      </c>
      <c r="I206" s="145" t="s">
        <v>1000</v>
      </c>
      <c r="J206" s="151"/>
      <c r="K206" s="145" t="s">
        <v>205</v>
      </c>
      <c r="L206" s="151"/>
      <c r="M206" s="151"/>
      <c r="N206" s="145" t="s">
        <v>291</v>
      </c>
      <c r="O206" s="145" t="s">
        <v>339</v>
      </c>
      <c r="P206" s="176">
        <v>43207</v>
      </c>
      <c r="Q206" s="145" t="s">
        <v>1211</v>
      </c>
      <c r="R206" s="145" t="s">
        <v>885</v>
      </c>
      <c r="S206" s="145" t="s">
        <v>889</v>
      </c>
      <c r="T206" s="177">
        <v>45747</v>
      </c>
      <c r="U206" s="146">
        <v>3.718</v>
      </c>
      <c r="V206" s="180">
        <v>14889.8695535234</v>
      </c>
      <c r="W206" s="146">
        <v>55360.535000000003</v>
      </c>
      <c r="X206" s="151"/>
      <c r="Y206" s="148">
        <v>1.5440000000000001E-2</v>
      </c>
      <c r="Z206" s="149">
        <v>2.2799999999999999E-3</v>
      </c>
      <c r="AA206" s="196"/>
    </row>
    <row r="207" spans="1:27" x14ac:dyDescent="0.2">
      <c r="A207" s="144" t="s">
        <v>1217</v>
      </c>
      <c r="B207" s="145" t="s">
        <v>1217</v>
      </c>
      <c r="C207" s="145" t="s">
        <v>2991</v>
      </c>
      <c r="D207" s="151"/>
      <c r="E207" s="151"/>
      <c r="F207" s="145" t="s">
        <v>2992</v>
      </c>
      <c r="G207" s="145" t="s">
        <v>2993</v>
      </c>
      <c r="H207" s="145" t="s">
        <v>314</v>
      </c>
      <c r="I207" s="145" t="s">
        <v>1004</v>
      </c>
      <c r="J207" s="151"/>
      <c r="K207" s="145" t="s">
        <v>205</v>
      </c>
      <c r="L207" s="151"/>
      <c r="M207" s="151"/>
      <c r="N207" s="145" t="s">
        <v>224</v>
      </c>
      <c r="O207" s="145" t="s">
        <v>339</v>
      </c>
      <c r="P207" s="176">
        <v>44392</v>
      </c>
      <c r="Q207" s="145" t="s">
        <v>1211</v>
      </c>
      <c r="R207" s="145" t="s">
        <v>885</v>
      </c>
      <c r="S207" s="145" t="s">
        <v>889</v>
      </c>
      <c r="T207" s="177">
        <v>45747</v>
      </c>
      <c r="U207" s="146">
        <v>3.718</v>
      </c>
      <c r="V207" s="180">
        <v>14888.272996234535</v>
      </c>
      <c r="W207" s="146">
        <v>55354.599000000002</v>
      </c>
      <c r="X207" s="148">
        <v>7.5069999999999998E-2</v>
      </c>
      <c r="Y207" s="148">
        <v>1.5440000000000001E-2</v>
      </c>
      <c r="Z207" s="149">
        <v>2.2799999999999999E-3</v>
      </c>
      <c r="AA207" s="196"/>
    </row>
    <row r="208" spans="1:27" x14ac:dyDescent="0.2">
      <c r="A208" s="144" t="s">
        <v>1217</v>
      </c>
      <c r="B208" s="145" t="s">
        <v>1217</v>
      </c>
      <c r="C208" s="145" t="s">
        <v>2904</v>
      </c>
      <c r="D208" s="151"/>
      <c r="E208" s="151"/>
      <c r="F208" s="145" t="s">
        <v>3006</v>
      </c>
      <c r="G208" s="145" t="s">
        <v>3007</v>
      </c>
      <c r="H208" s="145" t="s">
        <v>314</v>
      </c>
      <c r="I208" s="145" t="s">
        <v>1000</v>
      </c>
      <c r="J208" s="151"/>
      <c r="K208" s="145" t="s">
        <v>205</v>
      </c>
      <c r="L208" s="151"/>
      <c r="M208" s="151"/>
      <c r="N208" s="145" t="s">
        <v>224</v>
      </c>
      <c r="O208" s="145" t="s">
        <v>339</v>
      </c>
      <c r="P208" s="176">
        <v>44858</v>
      </c>
      <c r="Q208" s="145" t="s">
        <v>1211</v>
      </c>
      <c r="R208" s="145" t="s">
        <v>885</v>
      </c>
      <c r="S208" s="145" t="s">
        <v>889</v>
      </c>
      <c r="T208" s="177">
        <v>45686</v>
      </c>
      <c r="U208" s="146">
        <v>3.718</v>
      </c>
      <c r="V208" s="180">
        <v>14505.6847767617</v>
      </c>
      <c r="W208" s="146">
        <v>53932.135999999999</v>
      </c>
      <c r="X208" s="148">
        <v>1.3440000000000001E-2</v>
      </c>
      <c r="Y208" s="148">
        <v>1.504E-2</v>
      </c>
      <c r="Z208" s="149">
        <v>2.2200000000000002E-3</v>
      </c>
      <c r="AA208" s="196"/>
    </row>
    <row r="209" spans="1:27" x14ac:dyDescent="0.2">
      <c r="A209" s="144" t="s">
        <v>1217</v>
      </c>
      <c r="B209" s="145" t="s">
        <v>1217</v>
      </c>
      <c r="C209" s="145" t="s">
        <v>3003</v>
      </c>
      <c r="D209" s="151"/>
      <c r="E209" s="151"/>
      <c r="F209" s="145" t="s">
        <v>3004</v>
      </c>
      <c r="G209" s="145" t="s">
        <v>3005</v>
      </c>
      <c r="H209" s="145" t="s">
        <v>314</v>
      </c>
      <c r="I209" s="145" t="s">
        <v>1001</v>
      </c>
      <c r="J209" s="151"/>
      <c r="K209" s="145" t="s">
        <v>205</v>
      </c>
      <c r="L209" s="151"/>
      <c r="M209" s="151"/>
      <c r="N209" s="145" t="s">
        <v>204</v>
      </c>
      <c r="O209" s="145" t="s">
        <v>339</v>
      </c>
      <c r="P209" s="176">
        <v>44116</v>
      </c>
      <c r="Q209" s="145" t="s">
        <v>1211</v>
      </c>
      <c r="R209" s="145" t="s">
        <v>885</v>
      </c>
      <c r="S209" s="145" t="s">
        <v>889</v>
      </c>
      <c r="T209" s="177">
        <v>45743</v>
      </c>
      <c r="U209" s="146">
        <v>3.718</v>
      </c>
      <c r="V209" s="180">
        <v>13786.485476062398</v>
      </c>
      <c r="W209" s="146">
        <v>51258.152999999998</v>
      </c>
      <c r="X209" s="148">
        <v>3.7089999999999998E-2</v>
      </c>
      <c r="Y209" s="148">
        <v>1.4290000000000001E-2</v>
      </c>
      <c r="Z209" s="149">
        <v>2.1099999999999999E-3</v>
      </c>
      <c r="AA209" s="196"/>
    </row>
    <row r="210" spans="1:27" x14ac:dyDescent="0.2">
      <c r="A210" s="144" t="s">
        <v>1217</v>
      </c>
      <c r="B210" s="145" t="s">
        <v>1217</v>
      </c>
      <c r="C210" s="145" t="s">
        <v>3008</v>
      </c>
      <c r="D210" s="151"/>
      <c r="E210" s="151"/>
      <c r="F210" s="145" t="s">
        <v>3009</v>
      </c>
      <c r="G210" s="145" t="s">
        <v>3010</v>
      </c>
      <c r="H210" s="145" t="s">
        <v>314</v>
      </c>
      <c r="I210" s="145" t="s">
        <v>1002</v>
      </c>
      <c r="J210" s="151"/>
      <c r="K210" s="145" t="s">
        <v>205</v>
      </c>
      <c r="L210" s="151"/>
      <c r="M210" s="151"/>
      <c r="N210" s="145" t="s">
        <v>204</v>
      </c>
      <c r="O210" s="145" t="s">
        <v>339</v>
      </c>
      <c r="P210" s="176">
        <v>43311</v>
      </c>
      <c r="Q210" s="145" t="s">
        <v>1211</v>
      </c>
      <c r="R210" s="145" t="s">
        <v>885</v>
      </c>
      <c r="S210" s="145" t="s">
        <v>889</v>
      </c>
      <c r="T210" s="177">
        <v>45726</v>
      </c>
      <c r="U210" s="146">
        <v>3.718</v>
      </c>
      <c r="V210" s="180">
        <v>13434.662721893492</v>
      </c>
      <c r="W210" s="146">
        <v>49950.076000000001</v>
      </c>
      <c r="X210" s="148">
        <v>2.0000000000000002E-5</v>
      </c>
      <c r="Y210" s="148">
        <v>1.393E-2</v>
      </c>
      <c r="Z210" s="149">
        <v>2.0500000000000002E-3</v>
      </c>
      <c r="AA210" s="196"/>
    </row>
    <row r="211" spans="1:27" x14ac:dyDescent="0.2">
      <c r="A211" s="144" t="s">
        <v>1217</v>
      </c>
      <c r="B211" s="145" t="s">
        <v>1217</v>
      </c>
      <c r="C211" s="145" t="s">
        <v>2904</v>
      </c>
      <c r="D211" s="151"/>
      <c r="E211" s="151"/>
      <c r="F211" s="145" t="s">
        <v>3019</v>
      </c>
      <c r="G211" s="145" t="s">
        <v>3020</v>
      </c>
      <c r="H211" s="145" t="s">
        <v>314</v>
      </c>
      <c r="I211" s="145" t="s">
        <v>1000</v>
      </c>
      <c r="J211" s="151"/>
      <c r="K211" s="145" t="s">
        <v>205</v>
      </c>
      <c r="L211" s="151"/>
      <c r="M211" s="151"/>
      <c r="N211" s="145" t="s">
        <v>224</v>
      </c>
      <c r="O211" s="145" t="s">
        <v>339</v>
      </c>
      <c r="P211" s="176">
        <v>43614</v>
      </c>
      <c r="Q211" s="145" t="s">
        <v>1211</v>
      </c>
      <c r="R211" s="145" t="s">
        <v>885</v>
      </c>
      <c r="S211" s="145" t="s">
        <v>889</v>
      </c>
      <c r="T211" s="177">
        <v>45702</v>
      </c>
      <c r="U211" s="146">
        <v>3.718</v>
      </c>
      <c r="V211" s="180">
        <v>12386.080957504035</v>
      </c>
      <c r="W211" s="146">
        <v>46051.449000000001</v>
      </c>
      <c r="X211" s="148">
        <v>8.9700000000000005E-3</v>
      </c>
      <c r="Y211" s="148">
        <v>1.2840000000000001E-2</v>
      </c>
      <c r="Z211" s="149">
        <v>1.89E-3</v>
      </c>
      <c r="AA211" s="196"/>
    </row>
    <row r="212" spans="1:27" x14ac:dyDescent="0.2">
      <c r="A212" s="144" t="s">
        <v>1217</v>
      </c>
      <c r="B212" s="145" t="s">
        <v>1217</v>
      </c>
      <c r="C212" s="145" t="s">
        <v>314</v>
      </c>
      <c r="D212" s="151"/>
      <c r="E212" s="151"/>
      <c r="F212" s="145" t="s">
        <v>3024</v>
      </c>
      <c r="G212" s="145" t="s">
        <v>3025</v>
      </c>
      <c r="H212" s="145" t="s">
        <v>314</v>
      </c>
      <c r="I212" s="145" t="s">
        <v>1005</v>
      </c>
      <c r="J212" s="151"/>
      <c r="K212" s="145" t="s">
        <v>205</v>
      </c>
      <c r="L212" s="151"/>
      <c r="M212" s="151"/>
      <c r="N212" s="145" t="s">
        <v>224</v>
      </c>
      <c r="O212" s="145" t="s">
        <v>339</v>
      </c>
      <c r="P212" s="176">
        <v>44742</v>
      </c>
      <c r="Q212" s="145" t="s">
        <v>1211</v>
      </c>
      <c r="R212" s="145" t="s">
        <v>885</v>
      </c>
      <c r="S212" s="145" t="s">
        <v>889</v>
      </c>
      <c r="T212" s="177">
        <v>45746</v>
      </c>
      <c r="U212" s="146">
        <v>3.718</v>
      </c>
      <c r="V212" s="180">
        <v>12217.186928456158</v>
      </c>
      <c r="W212" s="146">
        <v>45423.500999999997</v>
      </c>
      <c r="X212" s="148">
        <v>2.1199999999999999E-3</v>
      </c>
      <c r="Y212" s="148">
        <v>1.2670000000000001E-2</v>
      </c>
      <c r="Z212" s="149">
        <v>1.8699999999999999E-3</v>
      </c>
      <c r="AA212" s="196"/>
    </row>
    <row r="213" spans="1:27" x14ac:dyDescent="0.2">
      <c r="A213" s="144" t="s">
        <v>1217</v>
      </c>
      <c r="B213" s="145" t="s">
        <v>1217</v>
      </c>
      <c r="C213" s="145" t="s">
        <v>3013</v>
      </c>
      <c r="D213" s="151"/>
      <c r="E213" s="151"/>
      <c r="F213" s="145" t="s">
        <v>3014</v>
      </c>
      <c r="G213" s="145" t="s">
        <v>3015</v>
      </c>
      <c r="H213" s="145" t="s">
        <v>314</v>
      </c>
      <c r="I213" s="145" t="s">
        <v>1000</v>
      </c>
      <c r="J213" s="151"/>
      <c r="K213" s="145" t="s">
        <v>205</v>
      </c>
      <c r="L213" s="151"/>
      <c r="M213" s="151"/>
      <c r="N213" s="145" t="s">
        <v>291</v>
      </c>
      <c r="O213" s="145" t="s">
        <v>339</v>
      </c>
      <c r="P213" s="176">
        <v>43914</v>
      </c>
      <c r="Q213" s="145" t="s">
        <v>1211</v>
      </c>
      <c r="R213" s="145" t="s">
        <v>885</v>
      </c>
      <c r="S213" s="145" t="s">
        <v>889</v>
      </c>
      <c r="T213" s="177">
        <v>45747</v>
      </c>
      <c r="U213" s="146">
        <v>3.718</v>
      </c>
      <c r="V213" s="180">
        <v>12177.732383001614</v>
      </c>
      <c r="W213" s="146">
        <v>45276.809000000001</v>
      </c>
      <c r="X213" s="148">
        <v>1.1299999999999999E-3</v>
      </c>
      <c r="Y213" s="148">
        <v>1.2630000000000001E-2</v>
      </c>
      <c r="Z213" s="149">
        <v>1.8600000000000001E-3</v>
      </c>
      <c r="AA213" s="196"/>
    </row>
    <row r="214" spans="1:27" x14ac:dyDescent="0.2">
      <c r="A214" s="144" t="s">
        <v>1217</v>
      </c>
      <c r="B214" s="145" t="s">
        <v>1217</v>
      </c>
      <c r="C214" s="145" t="s">
        <v>2988</v>
      </c>
      <c r="D214" s="151"/>
      <c r="E214" s="151"/>
      <c r="F214" s="145" t="s">
        <v>3011</v>
      </c>
      <c r="G214" s="145" t="s">
        <v>3012</v>
      </c>
      <c r="H214" s="145" t="s">
        <v>314</v>
      </c>
      <c r="I214" s="145" t="s">
        <v>1003</v>
      </c>
      <c r="J214" s="151"/>
      <c r="K214" s="145" t="s">
        <v>205</v>
      </c>
      <c r="L214" s="151"/>
      <c r="M214" s="151"/>
      <c r="N214" s="145" t="s">
        <v>224</v>
      </c>
      <c r="O214" s="145" t="s">
        <v>339</v>
      </c>
      <c r="P214" s="176">
        <v>44453</v>
      </c>
      <c r="Q214" s="145" t="s">
        <v>1211</v>
      </c>
      <c r="R214" s="145" t="s">
        <v>885</v>
      </c>
      <c r="S214" s="145" t="s">
        <v>889</v>
      </c>
      <c r="T214" s="177">
        <v>45746</v>
      </c>
      <c r="U214" s="146">
        <v>3.718</v>
      </c>
      <c r="V214" s="180">
        <v>12149.820333512642</v>
      </c>
      <c r="W214" s="146">
        <v>45173.031999999999</v>
      </c>
      <c r="X214" s="148">
        <v>2.63E-2</v>
      </c>
      <c r="Y214" s="148">
        <v>1.26E-2</v>
      </c>
      <c r="Z214" s="149">
        <v>1.8600000000000001E-3</v>
      </c>
      <c r="AA214" s="196"/>
    </row>
    <row r="215" spans="1:27" x14ac:dyDescent="0.2">
      <c r="A215" s="144" t="s">
        <v>1217</v>
      </c>
      <c r="B215" s="145" t="s">
        <v>1217</v>
      </c>
      <c r="C215" s="145" t="s">
        <v>3016</v>
      </c>
      <c r="D215" s="151"/>
      <c r="E215" s="151"/>
      <c r="F215" s="145" t="s">
        <v>3017</v>
      </c>
      <c r="G215" s="145" t="s">
        <v>3018</v>
      </c>
      <c r="H215" s="145" t="s">
        <v>314</v>
      </c>
      <c r="I215" s="145" t="s">
        <v>1000</v>
      </c>
      <c r="J215" s="151"/>
      <c r="K215" s="145" t="s">
        <v>205</v>
      </c>
      <c r="L215" s="151"/>
      <c r="M215" s="151"/>
      <c r="N215" s="145" t="s">
        <v>299</v>
      </c>
      <c r="O215" s="145" t="s">
        <v>339</v>
      </c>
      <c r="P215" s="176">
        <v>44143</v>
      </c>
      <c r="Q215" s="145" t="s">
        <v>1212</v>
      </c>
      <c r="R215" s="145" t="s">
        <v>885</v>
      </c>
      <c r="S215" s="145" t="s">
        <v>889</v>
      </c>
      <c r="T215" s="177">
        <v>45701</v>
      </c>
      <c r="U215" s="146">
        <v>4.0220000000000002</v>
      </c>
      <c r="V215" s="180">
        <v>11004.445052212828</v>
      </c>
      <c r="W215" s="146">
        <v>44259.877999999997</v>
      </c>
      <c r="X215" s="148">
        <v>1.8600000000000001E-3</v>
      </c>
      <c r="Y215" s="148">
        <v>1.234E-2</v>
      </c>
      <c r="Z215" s="149">
        <v>1.82E-3</v>
      </c>
      <c r="AA215" s="196"/>
    </row>
    <row r="216" spans="1:27" x14ac:dyDescent="0.2">
      <c r="A216" s="144" t="s">
        <v>1217</v>
      </c>
      <c r="B216" s="145" t="s">
        <v>1217</v>
      </c>
      <c r="C216" s="145" t="s">
        <v>3026</v>
      </c>
      <c r="D216" s="151"/>
      <c r="E216" s="151"/>
      <c r="F216" s="145" t="s">
        <v>3027</v>
      </c>
      <c r="G216" s="145" t="s">
        <v>3028</v>
      </c>
      <c r="H216" s="145" t="s">
        <v>314</v>
      </c>
      <c r="I216" s="145" t="s">
        <v>1003</v>
      </c>
      <c r="J216" s="151"/>
      <c r="K216" s="145" t="s">
        <v>205</v>
      </c>
      <c r="L216" s="151"/>
      <c r="M216" s="151"/>
      <c r="N216" s="145" t="s">
        <v>293</v>
      </c>
      <c r="O216" s="145" t="s">
        <v>339</v>
      </c>
      <c r="P216" s="176">
        <v>43495</v>
      </c>
      <c r="Q216" s="145" t="s">
        <v>1212</v>
      </c>
      <c r="R216" s="145" t="s">
        <v>885</v>
      </c>
      <c r="S216" s="145" t="s">
        <v>889</v>
      </c>
      <c r="T216" s="177">
        <v>45722</v>
      </c>
      <c r="U216" s="146">
        <v>4.0220000000000002</v>
      </c>
      <c r="V216" s="180">
        <v>10924.726752859273</v>
      </c>
      <c r="W216" s="146">
        <v>43939.250999999997</v>
      </c>
      <c r="X216" s="151"/>
      <c r="Y216" s="148">
        <v>1.225E-2</v>
      </c>
      <c r="Z216" s="149">
        <v>1.81E-3</v>
      </c>
      <c r="AA216" s="196"/>
    </row>
    <row r="217" spans="1:27" x14ac:dyDescent="0.2">
      <c r="A217" s="144" t="s">
        <v>1217</v>
      </c>
      <c r="B217" s="145" t="s">
        <v>1217</v>
      </c>
      <c r="C217" s="145" t="s">
        <v>3021</v>
      </c>
      <c r="D217" s="151"/>
      <c r="E217" s="151"/>
      <c r="F217" s="145" t="s">
        <v>3022</v>
      </c>
      <c r="G217" s="145" t="s">
        <v>3023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293</v>
      </c>
      <c r="O217" s="145" t="s">
        <v>339</v>
      </c>
      <c r="P217" s="176">
        <v>44143</v>
      </c>
      <c r="Q217" s="145" t="s">
        <v>1212</v>
      </c>
      <c r="R217" s="145" t="s">
        <v>885</v>
      </c>
      <c r="S217" s="145" t="s">
        <v>889</v>
      </c>
      <c r="T217" s="177">
        <v>45747</v>
      </c>
      <c r="U217" s="146">
        <v>4.0220000000000002</v>
      </c>
      <c r="V217" s="180">
        <v>10731.393585280954</v>
      </c>
      <c r="W217" s="146">
        <v>43161.665000000001</v>
      </c>
      <c r="X217" s="148">
        <v>4.6999999999999999E-4</v>
      </c>
      <c r="Y217" s="148">
        <v>1.204E-2</v>
      </c>
      <c r="Z217" s="149">
        <v>1.7799999999999999E-3</v>
      </c>
      <c r="AA217" s="196"/>
    </row>
    <row r="218" spans="1:27" x14ac:dyDescent="0.2">
      <c r="A218" s="144" t="s">
        <v>1217</v>
      </c>
      <c r="B218" s="145" t="s">
        <v>1217</v>
      </c>
      <c r="C218" s="145" t="s">
        <v>3035</v>
      </c>
      <c r="D218" s="151"/>
      <c r="E218" s="151"/>
      <c r="F218" s="145" t="s">
        <v>3036</v>
      </c>
      <c r="G218" s="145" t="s">
        <v>3037</v>
      </c>
      <c r="H218" s="145" t="s">
        <v>314</v>
      </c>
      <c r="I218" s="145" t="s">
        <v>1000</v>
      </c>
      <c r="J218" s="151"/>
      <c r="K218" s="145" t="s">
        <v>205</v>
      </c>
      <c r="L218" s="151"/>
      <c r="M218" s="151"/>
      <c r="N218" s="145" t="s">
        <v>224</v>
      </c>
      <c r="O218" s="145" t="s">
        <v>339</v>
      </c>
      <c r="P218" s="176">
        <v>43132</v>
      </c>
      <c r="Q218" s="145" t="s">
        <v>1211</v>
      </c>
      <c r="R218" s="145" t="s">
        <v>885</v>
      </c>
      <c r="S218" s="145" t="s">
        <v>889</v>
      </c>
      <c r="T218" s="177">
        <v>45747</v>
      </c>
      <c r="U218" s="146">
        <v>3.718</v>
      </c>
      <c r="V218" s="180">
        <v>10871.638246369015</v>
      </c>
      <c r="W218" s="146">
        <v>40420.750999999997</v>
      </c>
      <c r="X218" s="151"/>
      <c r="Y218" s="148">
        <v>1.1270000000000001E-2</v>
      </c>
      <c r="Z218" s="149">
        <v>1.66E-3</v>
      </c>
      <c r="AA218" s="196"/>
    </row>
    <row r="219" spans="1:27" x14ac:dyDescent="0.2">
      <c r="A219" s="144" t="s">
        <v>1217</v>
      </c>
      <c r="B219" s="145" t="s">
        <v>1217</v>
      </c>
      <c r="C219" s="145" t="s">
        <v>314</v>
      </c>
      <c r="D219" s="151"/>
      <c r="E219" s="151"/>
      <c r="F219" s="145" t="s">
        <v>3044</v>
      </c>
      <c r="G219" s="145" t="s">
        <v>3045</v>
      </c>
      <c r="H219" s="145" t="s">
        <v>314</v>
      </c>
      <c r="I219" s="145" t="s">
        <v>1005</v>
      </c>
      <c r="J219" s="151"/>
      <c r="K219" s="145" t="s">
        <v>205</v>
      </c>
      <c r="L219" s="151"/>
      <c r="M219" s="151"/>
      <c r="N219" s="145" t="s">
        <v>224</v>
      </c>
      <c r="O219" s="145" t="s">
        <v>339</v>
      </c>
      <c r="P219" s="176">
        <v>44769</v>
      </c>
      <c r="Q219" s="145" t="s">
        <v>1211</v>
      </c>
      <c r="R219" s="145" t="s">
        <v>885</v>
      </c>
      <c r="S219" s="145" t="s">
        <v>889</v>
      </c>
      <c r="T219" s="177">
        <v>45733</v>
      </c>
      <c r="U219" s="146">
        <v>3.718</v>
      </c>
      <c r="V219" s="180">
        <v>10532.532006455083</v>
      </c>
      <c r="W219" s="146">
        <v>39159.953999999998</v>
      </c>
      <c r="X219" s="148">
        <v>4.333E-2</v>
      </c>
      <c r="Y219" s="148">
        <v>1.0919999999999999E-2</v>
      </c>
      <c r="Z219" s="149">
        <v>1.6100000000000001E-3</v>
      </c>
      <c r="AA219" s="196"/>
    </row>
    <row r="220" spans="1:27" x14ac:dyDescent="0.2">
      <c r="A220" s="144" t="s">
        <v>1217</v>
      </c>
      <c r="B220" s="145" t="s">
        <v>1217</v>
      </c>
      <c r="C220" s="145" t="s">
        <v>3029</v>
      </c>
      <c r="D220" s="151"/>
      <c r="E220" s="151"/>
      <c r="F220" s="145" t="s">
        <v>3030</v>
      </c>
      <c r="G220" s="145" t="s">
        <v>3031</v>
      </c>
      <c r="H220" s="145" t="s">
        <v>314</v>
      </c>
      <c r="I220" s="145" t="s">
        <v>1000</v>
      </c>
      <c r="J220" s="151"/>
      <c r="K220" s="145" t="s">
        <v>205</v>
      </c>
      <c r="L220" s="151"/>
      <c r="M220" s="151"/>
      <c r="N220" s="145" t="s">
        <v>293</v>
      </c>
      <c r="O220" s="145" t="s">
        <v>339</v>
      </c>
      <c r="P220" s="176">
        <v>44315</v>
      </c>
      <c r="Q220" s="145" t="s">
        <v>1211</v>
      </c>
      <c r="R220" s="145" t="s">
        <v>885</v>
      </c>
      <c r="S220" s="145" t="s">
        <v>889</v>
      </c>
      <c r="T220" s="177">
        <v>45746</v>
      </c>
      <c r="U220" s="146">
        <v>3.718</v>
      </c>
      <c r="V220" s="180">
        <v>10498.530392684239</v>
      </c>
      <c r="W220" s="146">
        <v>39033.536</v>
      </c>
      <c r="X220" s="148">
        <v>5.7000000000000002E-3</v>
      </c>
      <c r="Y220" s="148">
        <v>1.0880000000000001E-2</v>
      </c>
      <c r="Z220" s="149">
        <v>1.6100000000000001E-3</v>
      </c>
      <c r="AA220" s="196"/>
    </row>
    <row r="221" spans="1:27" x14ac:dyDescent="0.2">
      <c r="A221" s="144" t="s">
        <v>1217</v>
      </c>
      <c r="B221" s="145" t="s">
        <v>1217</v>
      </c>
      <c r="C221" s="145" t="s">
        <v>3048</v>
      </c>
      <c r="D221" s="151"/>
      <c r="E221" s="151"/>
      <c r="F221" s="145" t="s">
        <v>3049</v>
      </c>
      <c r="G221" s="145" t="s">
        <v>3050</v>
      </c>
      <c r="H221" s="145" t="s">
        <v>314</v>
      </c>
      <c r="I221" s="145" t="s">
        <v>1003</v>
      </c>
      <c r="J221" s="151"/>
      <c r="K221" s="145" t="s">
        <v>205</v>
      </c>
      <c r="L221" s="151"/>
      <c r="M221" s="151"/>
      <c r="N221" s="145" t="s">
        <v>272</v>
      </c>
      <c r="O221" s="145" t="s">
        <v>339</v>
      </c>
      <c r="P221" s="176">
        <v>44651</v>
      </c>
      <c r="Q221" s="145" t="s">
        <v>1212</v>
      </c>
      <c r="R221" s="145" t="s">
        <v>885</v>
      </c>
      <c r="S221" s="145" t="s">
        <v>889</v>
      </c>
      <c r="T221" s="177">
        <v>45747</v>
      </c>
      <c r="U221" s="146">
        <v>4.0220000000000002</v>
      </c>
      <c r="V221" s="180">
        <v>9535.7518647439083</v>
      </c>
      <c r="W221" s="146">
        <v>38352.794000000002</v>
      </c>
      <c r="X221" s="148">
        <v>4.8070000000000002E-2</v>
      </c>
      <c r="Y221" s="148">
        <v>1.069E-2</v>
      </c>
      <c r="Z221" s="149">
        <v>1.58E-3</v>
      </c>
      <c r="AA221" s="196"/>
    </row>
    <row r="222" spans="1:27" x14ac:dyDescent="0.2">
      <c r="A222" s="144" t="s">
        <v>1217</v>
      </c>
      <c r="B222" s="145" t="s">
        <v>1217</v>
      </c>
      <c r="C222" s="145" t="s">
        <v>3032</v>
      </c>
      <c r="D222" s="151"/>
      <c r="E222" s="151"/>
      <c r="F222" s="145" t="s">
        <v>3033</v>
      </c>
      <c r="G222" s="145" t="s">
        <v>3034</v>
      </c>
      <c r="H222" s="145" t="s">
        <v>314</v>
      </c>
      <c r="I222" s="145" t="s">
        <v>1004</v>
      </c>
      <c r="J222" s="151"/>
      <c r="K222" s="145" t="s">
        <v>205</v>
      </c>
      <c r="L222" s="151"/>
      <c r="M222" s="151"/>
      <c r="N222" s="145" t="s">
        <v>293</v>
      </c>
      <c r="O222" s="145" t="s">
        <v>339</v>
      </c>
      <c r="P222" s="176">
        <v>43965</v>
      </c>
      <c r="Q222" s="145" t="s">
        <v>1212</v>
      </c>
      <c r="R222" s="145" t="s">
        <v>885</v>
      </c>
      <c r="S222" s="145" t="s">
        <v>889</v>
      </c>
      <c r="T222" s="177">
        <v>45746</v>
      </c>
      <c r="U222" s="146">
        <v>4.0220000000000002</v>
      </c>
      <c r="V222" s="180">
        <v>9510.9216807558423</v>
      </c>
      <c r="W222" s="146">
        <v>38252.927000000003</v>
      </c>
      <c r="X222" s="148">
        <v>2.3279999999999999E-2</v>
      </c>
      <c r="Y222" s="148">
        <v>1.0670000000000001E-2</v>
      </c>
      <c r="Z222" s="149">
        <v>1.57E-3</v>
      </c>
      <c r="AA222" s="196"/>
    </row>
    <row r="223" spans="1:27" x14ac:dyDescent="0.2">
      <c r="A223" s="144" t="s">
        <v>1217</v>
      </c>
      <c r="B223" s="145" t="s">
        <v>1217</v>
      </c>
      <c r="C223" s="145" t="s">
        <v>3056</v>
      </c>
      <c r="D223" s="151"/>
      <c r="E223" s="151"/>
      <c r="F223" s="145" t="s">
        <v>3057</v>
      </c>
      <c r="G223" s="145" t="s">
        <v>3058</v>
      </c>
      <c r="H223" s="145" t="s">
        <v>314</v>
      </c>
      <c r="I223" s="145" t="s">
        <v>1001</v>
      </c>
      <c r="J223" s="151"/>
      <c r="K223" s="145" t="s">
        <v>205</v>
      </c>
      <c r="L223" s="151"/>
      <c r="M223" s="151"/>
      <c r="N223" s="145" t="s">
        <v>224</v>
      </c>
      <c r="O223" s="145" t="s">
        <v>339</v>
      </c>
      <c r="P223" s="176">
        <v>43230</v>
      </c>
      <c r="Q223" s="145" t="s">
        <v>1211</v>
      </c>
      <c r="R223" s="145" t="s">
        <v>885</v>
      </c>
      <c r="S223" s="145" t="s">
        <v>889</v>
      </c>
      <c r="T223" s="177">
        <v>45747</v>
      </c>
      <c r="U223" s="146">
        <v>3.718</v>
      </c>
      <c r="V223" s="180">
        <v>10142.307692307691</v>
      </c>
      <c r="W223" s="146">
        <v>37709.1</v>
      </c>
      <c r="X223" s="148">
        <v>1.4999999999999999E-2</v>
      </c>
      <c r="Y223" s="148">
        <v>1.051E-2</v>
      </c>
      <c r="Z223" s="149">
        <v>1.5499999999999999E-3</v>
      </c>
      <c r="AA223" s="196"/>
    </row>
    <row r="224" spans="1:27" x14ac:dyDescent="0.2">
      <c r="A224" s="144" t="s">
        <v>1217</v>
      </c>
      <c r="B224" s="145" t="s">
        <v>1217</v>
      </c>
      <c r="C224" s="145" t="s">
        <v>314</v>
      </c>
      <c r="D224" s="151"/>
      <c r="E224" s="151"/>
      <c r="F224" s="145" t="s">
        <v>3046</v>
      </c>
      <c r="G224" s="145" t="s">
        <v>3047</v>
      </c>
      <c r="H224" s="145" t="s">
        <v>314</v>
      </c>
      <c r="I224" s="145" t="s">
        <v>1005</v>
      </c>
      <c r="J224" s="151"/>
      <c r="K224" s="145" t="s">
        <v>205</v>
      </c>
      <c r="L224" s="151"/>
      <c r="M224" s="151"/>
      <c r="N224" s="145" t="s">
        <v>291</v>
      </c>
      <c r="O224" s="145" t="s">
        <v>339</v>
      </c>
      <c r="P224" s="176">
        <v>43643</v>
      </c>
      <c r="Q224" s="145" t="s">
        <v>1211</v>
      </c>
      <c r="R224" s="145" t="s">
        <v>885</v>
      </c>
      <c r="S224" s="145" t="s">
        <v>889</v>
      </c>
      <c r="T224" s="177">
        <v>45676</v>
      </c>
      <c r="U224" s="146">
        <v>3.718</v>
      </c>
      <c r="V224" s="180">
        <v>10008.782678859603</v>
      </c>
      <c r="W224" s="146">
        <v>37212.654000000002</v>
      </c>
      <c r="X224" s="148">
        <v>2.5699999999999998E-3</v>
      </c>
      <c r="Y224" s="148">
        <v>1.038E-2</v>
      </c>
      <c r="Z224" s="149">
        <v>1.5299999999999999E-3</v>
      </c>
      <c r="AA224" s="196"/>
    </row>
    <row r="225" spans="1:27" x14ac:dyDescent="0.2">
      <c r="A225" s="144" t="s">
        <v>1217</v>
      </c>
      <c r="B225" s="145" t="s">
        <v>1217</v>
      </c>
      <c r="C225" s="145" t="s">
        <v>3038</v>
      </c>
      <c r="D225" s="151"/>
      <c r="E225" s="151"/>
      <c r="F225" s="145" t="s">
        <v>3039</v>
      </c>
      <c r="G225" s="145" t="s">
        <v>3040</v>
      </c>
      <c r="H225" s="145" t="s">
        <v>314</v>
      </c>
      <c r="I225" s="145" t="s">
        <v>1003</v>
      </c>
      <c r="J225" s="151"/>
      <c r="K225" s="145" t="s">
        <v>205</v>
      </c>
      <c r="L225" s="151"/>
      <c r="M225" s="151"/>
      <c r="N225" s="145" t="s">
        <v>293</v>
      </c>
      <c r="O225" s="145" t="s">
        <v>339</v>
      </c>
      <c r="P225" s="176">
        <v>44427</v>
      </c>
      <c r="Q225" s="145" t="s">
        <v>1212</v>
      </c>
      <c r="R225" s="145" t="s">
        <v>885</v>
      </c>
      <c r="S225" s="145" t="s">
        <v>889</v>
      </c>
      <c r="T225" s="177">
        <v>45704</v>
      </c>
      <c r="U225" s="146">
        <v>4.0220000000000002</v>
      </c>
      <c r="V225" s="180">
        <v>9139.5072103431121</v>
      </c>
      <c r="W225" s="146">
        <v>36759.097999999998</v>
      </c>
      <c r="X225" s="148">
        <v>9.0600000000000003E-3</v>
      </c>
      <c r="Y225" s="148">
        <v>1.025E-2</v>
      </c>
      <c r="Z225" s="149">
        <v>1.5100000000000001E-3</v>
      </c>
      <c r="AA225" s="196"/>
    </row>
    <row r="226" spans="1:27" x14ac:dyDescent="0.2">
      <c r="A226" s="144" t="s">
        <v>1217</v>
      </c>
      <c r="B226" s="145" t="s">
        <v>1217</v>
      </c>
      <c r="C226" s="145" t="s">
        <v>3041</v>
      </c>
      <c r="D226" s="151"/>
      <c r="E226" s="151"/>
      <c r="F226" s="145" t="s">
        <v>3042</v>
      </c>
      <c r="G226" s="145" t="s">
        <v>3043</v>
      </c>
      <c r="H226" s="145" t="s">
        <v>314</v>
      </c>
      <c r="I226" s="145" t="s">
        <v>1000</v>
      </c>
      <c r="J226" s="151"/>
      <c r="K226" s="145" t="s">
        <v>205</v>
      </c>
      <c r="L226" s="151"/>
      <c r="M226" s="151"/>
      <c r="N226" s="145" t="s">
        <v>291</v>
      </c>
      <c r="O226" s="145" t="s">
        <v>339</v>
      </c>
      <c r="P226" s="176">
        <v>43934</v>
      </c>
      <c r="Q226" s="145" t="s">
        <v>1211</v>
      </c>
      <c r="R226" s="145" t="s">
        <v>885</v>
      </c>
      <c r="S226" s="145" t="s">
        <v>889</v>
      </c>
      <c r="T226" s="177">
        <v>45747</v>
      </c>
      <c r="U226" s="146">
        <v>3.718</v>
      </c>
      <c r="V226" s="180">
        <v>9872.7248520710054</v>
      </c>
      <c r="W226" s="146">
        <v>36706.790999999997</v>
      </c>
      <c r="X226" s="148">
        <v>4.5100000000000001E-2</v>
      </c>
      <c r="Y226" s="148">
        <v>1.0240000000000001E-2</v>
      </c>
      <c r="Z226" s="149">
        <v>1.5100000000000001E-3</v>
      </c>
      <c r="AA226" s="196"/>
    </row>
    <row r="227" spans="1:27" x14ac:dyDescent="0.2">
      <c r="A227" s="144" t="s">
        <v>1217</v>
      </c>
      <c r="B227" s="145" t="s">
        <v>1217</v>
      </c>
      <c r="C227" s="145" t="s">
        <v>3051</v>
      </c>
      <c r="D227" s="151"/>
      <c r="E227" s="151"/>
      <c r="F227" s="145" t="s">
        <v>3052</v>
      </c>
      <c r="G227" s="145" t="s">
        <v>3053</v>
      </c>
      <c r="H227" s="145" t="s">
        <v>314</v>
      </c>
      <c r="I227" s="145" t="s">
        <v>1000</v>
      </c>
      <c r="J227" s="151"/>
      <c r="K227" s="145" t="s">
        <v>205</v>
      </c>
      <c r="L227" s="151"/>
      <c r="M227" s="151"/>
      <c r="N227" s="145" t="s">
        <v>268</v>
      </c>
      <c r="O227" s="145" t="s">
        <v>339</v>
      </c>
      <c r="P227" s="176">
        <v>44342</v>
      </c>
      <c r="Q227" s="145" t="s">
        <v>1211</v>
      </c>
      <c r="R227" s="145" t="s">
        <v>885</v>
      </c>
      <c r="S227" s="145" t="s">
        <v>889</v>
      </c>
      <c r="T227" s="177">
        <v>45747</v>
      </c>
      <c r="U227" s="146">
        <v>3.718</v>
      </c>
      <c r="V227" s="180">
        <v>9494.6793975255514</v>
      </c>
      <c r="W227" s="146">
        <v>35301.218000000001</v>
      </c>
      <c r="X227" s="148">
        <v>4.3200000000000001E-3</v>
      </c>
      <c r="Y227" s="148">
        <v>9.8399999999999998E-3</v>
      </c>
      <c r="Z227" s="149">
        <v>1.4499999999999999E-3</v>
      </c>
      <c r="AA227" s="196"/>
    </row>
    <row r="228" spans="1:27" x14ac:dyDescent="0.2">
      <c r="A228" s="144" t="s">
        <v>1217</v>
      </c>
      <c r="B228" s="145" t="s">
        <v>1217</v>
      </c>
      <c r="C228" s="145" t="s">
        <v>2904</v>
      </c>
      <c r="D228" s="151"/>
      <c r="E228" s="151"/>
      <c r="F228" s="145" t="s">
        <v>3054</v>
      </c>
      <c r="G228" s="145" t="s">
        <v>3055</v>
      </c>
      <c r="H228" s="145" t="s">
        <v>314</v>
      </c>
      <c r="I228" s="145" t="s">
        <v>1000</v>
      </c>
      <c r="J228" s="151"/>
      <c r="K228" s="145" t="s">
        <v>205</v>
      </c>
      <c r="L228" s="151"/>
      <c r="M228" s="151"/>
      <c r="N228" s="145" t="s">
        <v>224</v>
      </c>
      <c r="O228" s="145" t="s">
        <v>339</v>
      </c>
      <c r="P228" s="176">
        <v>44259</v>
      </c>
      <c r="Q228" s="145" t="s">
        <v>1211</v>
      </c>
      <c r="R228" s="145" t="s">
        <v>885</v>
      </c>
      <c r="S228" s="145" t="s">
        <v>889</v>
      </c>
      <c r="T228" s="177">
        <v>45747</v>
      </c>
      <c r="U228" s="146">
        <v>3.718</v>
      </c>
      <c r="V228" s="180">
        <v>9432.4612694997322</v>
      </c>
      <c r="W228" s="146">
        <v>35069.891000000003</v>
      </c>
      <c r="X228" s="148">
        <v>6.2700000000000004E-3</v>
      </c>
      <c r="Y228" s="148">
        <v>9.7800000000000005E-3</v>
      </c>
      <c r="Z228" s="149">
        <v>1.4400000000000001E-3</v>
      </c>
      <c r="AA228" s="196"/>
    </row>
    <row r="229" spans="1:27" x14ac:dyDescent="0.2">
      <c r="A229" s="144" t="s">
        <v>1217</v>
      </c>
      <c r="B229" s="145" t="s">
        <v>1217</v>
      </c>
      <c r="C229" s="145" t="s">
        <v>3059</v>
      </c>
      <c r="D229" s="151"/>
      <c r="E229" s="151"/>
      <c r="F229" s="145" t="s">
        <v>3060</v>
      </c>
      <c r="G229" s="145" t="s">
        <v>3061</v>
      </c>
      <c r="H229" s="145" t="s">
        <v>314</v>
      </c>
      <c r="I229" s="145" t="s">
        <v>1005</v>
      </c>
      <c r="J229" s="151"/>
      <c r="K229" s="145" t="s">
        <v>205</v>
      </c>
      <c r="L229" s="151"/>
      <c r="M229" s="151"/>
      <c r="N229" s="145" t="s">
        <v>224</v>
      </c>
      <c r="O229" s="145" t="s">
        <v>339</v>
      </c>
      <c r="P229" s="176">
        <v>45252</v>
      </c>
      <c r="Q229" s="145" t="s">
        <v>1211</v>
      </c>
      <c r="R229" s="145" t="s">
        <v>885</v>
      </c>
      <c r="S229" s="145" t="s">
        <v>889</v>
      </c>
      <c r="T229" s="177">
        <v>45747</v>
      </c>
      <c r="U229" s="146">
        <v>3.718</v>
      </c>
      <c r="V229" s="180">
        <v>9260.3098440021531</v>
      </c>
      <c r="W229" s="146">
        <v>34429.832000000002</v>
      </c>
      <c r="X229" s="148">
        <v>2.2790000000000001E-2</v>
      </c>
      <c r="Y229" s="148">
        <v>9.5999999999999992E-3</v>
      </c>
      <c r="Z229" s="149">
        <v>1.42E-3</v>
      </c>
      <c r="AA229" s="196"/>
    </row>
    <row r="230" spans="1:27" x14ac:dyDescent="0.2">
      <c r="A230" s="144" t="s">
        <v>1217</v>
      </c>
      <c r="B230" s="145" t="s">
        <v>1217</v>
      </c>
      <c r="C230" s="145" t="s">
        <v>3077</v>
      </c>
      <c r="D230" s="151"/>
      <c r="E230" s="151"/>
      <c r="F230" s="145" t="s">
        <v>3078</v>
      </c>
      <c r="G230" s="145" t="s">
        <v>3079</v>
      </c>
      <c r="H230" s="145" t="s">
        <v>314</v>
      </c>
      <c r="I230" s="145" t="s">
        <v>1004</v>
      </c>
      <c r="J230" s="151"/>
      <c r="K230" s="145" t="s">
        <v>205</v>
      </c>
      <c r="L230" s="151"/>
      <c r="M230" s="151"/>
      <c r="N230" s="145" t="s">
        <v>291</v>
      </c>
      <c r="O230" s="145" t="s">
        <v>339</v>
      </c>
      <c r="P230" s="176">
        <v>42908</v>
      </c>
      <c r="Q230" s="145" t="s">
        <v>1211</v>
      </c>
      <c r="R230" s="145" t="s">
        <v>885</v>
      </c>
      <c r="S230" s="145" t="s">
        <v>889</v>
      </c>
      <c r="T230" s="177">
        <v>45613</v>
      </c>
      <c r="U230" s="146">
        <v>3.718</v>
      </c>
      <c r="V230" s="180">
        <v>9244.1239913932222</v>
      </c>
      <c r="W230" s="146">
        <v>34369.652999999998</v>
      </c>
      <c r="X230" s="148">
        <v>7.2450000000000001E-2</v>
      </c>
      <c r="Y230" s="148">
        <v>9.58E-3</v>
      </c>
      <c r="Z230" s="149">
        <v>1.41E-3</v>
      </c>
      <c r="AA230" s="196"/>
    </row>
    <row r="231" spans="1:27" x14ac:dyDescent="0.2">
      <c r="A231" s="144" t="s">
        <v>1217</v>
      </c>
      <c r="B231" s="145" t="s">
        <v>1217</v>
      </c>
      <c r="C231" s="145" t="s">
        <v>3062</v>
      </c>
      <c r="D231" s="151"/>
      <c r="E231" s="151"/>
      <c r="F231" s="145" t="s">
        <v>3063</v>
      </c>
      <c r="G231" s="145" t="s">
        <v>3064</v>
      </c>
      <c r="H231" s="145" t="s">
        <v>314</v>
      </c>
      <c r="I231" s="145" t="s">
        <v>1004</v>
      </c>
      <c r="J231" s="151"/>
      <c r="K231" s="145" t="s">
        <v>205</v>
      </c>
      <c r="L231" s="151"/>
      <c r="M231" s="151"/>
      <c r="N231" s="145" t="s">
        <v>291</v>
      </c>
      <c r="O231" s="145" t="s">
        <v>339</v>
      </c>
      <c r="P231" s="176">
        <v>43971</v>
      </c>
      <c r="Q231" s="145" t="s">
        <v>1211</v>
      </c>
      <c r="R231" s="145" t="s">
        <v>885</v>
      </c>
      <c r="S231" s="145" t="s">
        <v>889</v>
      </c>
      <c r="T231" s="177">
        <v>45747</v>
      </c>
      <c r="U231" s="146">
        <v>3.718</v>
      </c>
      <c r="V231" s="180">
        <v>9114.5497579343737</v>
      </c>
      <c r="W231" s="146">
        <v>33887.896000000001</v>
      </c>
      <c r="X231" s="148">
        <v>6.13E-3</v>
      </c>
      <c r="Y231" s="148">
        <v>9.4500000000000001E-3</v>
      </c>
      <c r="Z231" s="149">
        <v>1.39E-3</v>
      </c>
      <c r="AA231" s="196"/>
    </row>
    <row r="232" spans="1:27" x14ac:dyDescent="0.2">
      <c r="A232" s="144" t="s">
        <v>1217</v>
      </c>
      <c r="B232" s="145" t="s">
        <v>1217</v>
      </c>
      <c r="C232" s="145" t="s">
        <v>3065</v>
      </c>
      <c r="D232" s="151"/>
      <c r="E232" s="151"/>
      <c r="F232" s="145" t="s">
        <v>3066</v>
      </c>
      <c r="G232" s="145" t="s">
        <v>3067</v>
      </c>
      <c r="H232" s="145" t="s">
        <v>314</v>
      </c>
      <c r="I232" s="145" t="s">
        <v>1001</v>
      </c>
      <c r="J232" s="151"/>
      <c r="K232" s="145" t="s">
        <v>205</v>
      </c>
      <c r="L232" s="151"/>
      <c r="M232" s="151"/>
      <c r="N232" s="145" t="s">
        <v>291</v>
      </c>
      <c r="O232" s="145" t="s">
        <v>339</v>
      </c>
      <c r="P232" s="176">
        <v>44651</v>
      </c>
      <c r="Q232" s="145" t="s">
        <v>1211</v>
      </c>
      <c r="R232" s="145" t="s">
        <v>885</v>
      </c>
      <c r="S232" s="145" t="s">
        <v>889</v>
      </c>
      <c r="T232" s="177">
        <v>45746</v>
      </c>
      <c r="U232" s="146">
        <v>3.718</v>
      </c>
      <c r="V232" s="180">
        <v>8830.7824098977944</v>
      </c>
      <c r="W232" s="146">
        <v>32832.849000000002</v>
      </c>
      <c r="X232" s="148">
        <v>3.32E-3</v>
      </c>
      <c r="Y232" s="148">
        <v>9.1599999999999997E-3</v>
      </c>
      <c r="Z232" s="149">
        <v>1.3500000000000001E-3</v>
      </c>
      <c r="AA232" s="196"/>
    </row>
    <row r="233" spans="1:27" x14ac:dyDescent="0.2">
      <c r="A233" s="144" t="s">
        <v>1217</v>
      </c>
      <c r="B233" s="145" t="s">
        <v>1217</v>
      </c>
      <c r="C233" s="145" t="s">
        <v>3068</v>
      </c>
      <c r="D233" s="151"/>
      <c r="E233" s="151"/>
      <c r="F233" s="145" t="s">
        <v>3069</v>
      </c>
      <c r="G233" s="145" t="s">
        <v>3070</v>
      </c>
      <c r="H233" s="145" t="s">
        <v>314</v>
      </c>
      <c r="I233" s="145" t="s">
        <v>1000</v>
      </c>
      <c r="J233" s="151"/>
      <c r="K233" s="145" t="s">
        <v>205</v>
      </c>
      <c r="L233" s="151"/>
      <c r="M233" s="151"/>
      <c r="N233" s="145" t="s">
        <v>293</v>
      </c>
      <c r="O233" s="145" t="s">
        <v>339</v>
      </c>
      <c r="P233" s="176">
        <v>44195</v>
      </c>
      <c r="Q233" s="145" t="s">
        <v>1211</v>
      </c>
      <c r="R233" s="145" t="s">
        <v>885</v>
      </c>
      <c r="S233" s="145" t="s">
        <v>889</v>
      </c>
      <c r="T233" s="177">
        <v>45747</v>
      </c>
      <c r="U233" s="146">
        <v>3.718</v>
      </c>
      <c r="V233" s="180">
        <v>8698.0411511565362</v>
      </c>
      <c r="W233" s="146">
        <v>32339.316999999999</v>
      </c>
      <c r="X233" s="148">
        <v>8.1999999999999998E-4</v>
      </c>
      <c r="Y233" s="148">
        <v>9.0200000000000002E-3</v>
      </c>
      <c r="Z233" s="149">
        <v>1.33E-3</v>
      </c>
      <c r="AA233" s="196"/>
    </row>
    <row r="234" spans="1:27" x14ac:dyDescent="0.2">
      <c r="A234" s="144" t="s">
        <v>1217</v>
      </c>
      <c r="B234" s="145" t="s">
        <v>1217</v>
      </c>
      <c r="C234" s="145" t="s">
        <v>3074</v>
      </c>
      <c r="D234" s="151"/>
      <c r="E234" s="151"/>
      <c r="F234" s="145" t="s">
        <v>3075</v>
      </c>
      <c r="G234" s="145" t="s">
        <v>3076</v>
      </c>
      <c r="H234" s="145" t="s">
        <v>314</v>
      </c>
      <c r="I234" s="145" t="s">
        <v>1000</v>
      </c>
      <c r="J234" s="151"/>
      <c r="K234" s="145" t="s">
        <v>205</v>
      </c>
      <c r="L234" s="151"/>
      <c r="M234" s="151"/>
      <c r="N234" s="145" t="s">
        <v>291</v>
      </c>
      <c r="O234" s="145" t="s">
        <v>339</v>
      </c>
      <c r="P234" s="176">
        <v>43971</v>
      </c>
      <c r="Q234" s="145" t="s">
        <v>1211</v>
      </c>
      <c r="R234" s="145" t="s">
        <v>885</v>
      </c>
      <c r="S234" s="145" t="s">
        <v>889</v>
      </c>
      <c r="T234" s="177">
        <v>45747</v>
      </c>
      <c r="U234" s="146">
        <v>3.718</v>
      </c>
      <c r="V234" s="180">
        <v>8525.257665411511</v>
      </c>
      <c r="W234" s="146">
        <v>31696.907999999999</v>
      </c>
      <c r="X234" s="148">
        <v>5.0600000000000003E-3</v>
      </c>
      <c r="Y234" s="148">
        <v>8.8400000000000006E-3</v>
      </c>
      <c r="Z234" s="149">
        <v>1.2999999999999999E-3</v>
      </c>
      <c r="AA234" s="196"/>
    </row>
    <row r="235" spans="1:27" x14ac:dyDescent="0.2">
      <c r="A235" s="144" t="s">
        <v>1217</v>
      </c>
      <c r="B235" s="145" t="s">
        <v>1217</v>
      </c>
      <c r="C235" s="145" t="s">
        <v>3071</v>
      </c>
      <c r="D235" s="151"/>
      <c r="E235" s="151"/>
      <c r="F235" s="145" t="s">
        <v>3072</v>
      </c>
      <c r="G235" s="145" t="s">
        <v>3073</v>
      </c>
      <c r="H235" s="145" t="s">
        <v>314</v>
      </c>
      <c r="I235" s="145" t="s">
        <v>1000</v>
      </c>
      <c r="J235" s="151"/>
      <c r="K235" s="145" t="s">
        <v>205</v>
      </c>
      <c r="L235" s="151"/>
      <c r="M235" s="151"/>
      <c r="N235" s="145" t="s">
        <v>296</v>
      </c>
      <c r="O235" s="145" t="s">
        <v>339</v>
      </c>
      <c r="P235" s="176">
        <v>44613</v>
      </c>
      <c r="Q235" s="145" t="s">
        <v>1212</v>
      </c>
      <c r="R235" s="145" t="s">
        <v>885</v>
      </c>
      <c r="S235" s="145" t="s">
        <v>889</v>
      </c>
      <c r="T235" s="177">
        <v>45680</v>
      </c>
      <c r="U235" s="146">
        <v>4.0220000000000002</v>
      </c>
      <c r="V235" s="180">
        <v>7850.9457981103924</v>
      </c>
      <c r="W235" s="146">
        <v>31576.504000000001</v>
      </c>
      <c r="X235" s="148">
        <v>1.865E-2</v>
      </c>
      <c r="Y235" s="148">
        <v>8.8000000000000005E-3</v>
      </c>
      <c r="Z235" s="149">
        <v>1.2999999999999999E-3</v>
      </c>
      <c r="AA235" s="196"/>
    </row>
    <row r="236" spans="1:27" x14ac:dyDescent="0.2">
      <c r="A236" s="144" t="s">
        <v>1217</v>
      </c>
      <c r="B236" s="145" t="s">
        <v>1217</v>
      </c>
      <c r="C236" s="145" t="s">
        <v>3082</v>
      </c>
      <c r="D236" s="151"/>
      <c r="E236" s="151"/>
      <c r="F236" s="145" t="s">
        <v>3083</v>
      </c>
      <c r="G236" s="145" t="s">
        <v>3084</v>
      </c>
      <c r="H236" s="145" t="s">
        <v>314</v>
      </c>
      <c r="I236" s="145" t="s">
        <v>1000</v>
      </c>
      <c r="J236" s="151"/>
      <c r="K236" s="145" t="s">
        <v>205</v>
      </c>
      <c r="L236" s="151"/>
      <c r="M236" s="151"/>
      <c r="N236" s="145" t="s">
        <v>291</v>
      </c>
      <c r="O236" s="145" t="s">
        <v>339</v>
      </c>
      <c r="P236" s="176">
        <v>43300</v>
      </c>
      <c r="Q236" s="145" t="s">
        <v>1211</v>
      </c>
      <c r="R236" s="145" t="s">
        <v>885</v>
      </c>
      <c r="S236" s="145" t="s">
        <v>889</v>
      </c>
      <c r="T236" s="177">
        <v>45747</v>
      </c>
      <c r="U236" s="146">
        <v>3.718</v>
      </c>
      <c r="V236" s="180">
        <v>8415.5322754168901</v>
      </c>
      <c r="W236" s="146">
        <v>31288.949000000001</v>
      </c>
      <c r="X236" s="151"/>
      <c r="Y236" s="148">
        <v>8.7200000000000003E-3</v>
      </c>
      <c r="Z236" s="149">
        <v>1.2899999999999999E-3</v>
      </c>
      <c r="AA236" s="196"/>
    </row>
    <row r="237" spans="1:27" x14ac:dyDescent="0.2">
      <c r="A237" s="144" t="s">
        <v>1217</v>
      </c>
      <c r="B237" s="145" t="s">
        <v>1217</v>
      </c>
      <c r="C237" s="145" t="s">
        <v>3080</v>
      </c>
      <c r="D237" s="151"/>
      <c r="E237" s="151"/>
      <c r="F237" s="145" t="s">
        <v>2992</v>
      </c>
      <c r="G237" s="145" t="s">
        <v>3081</v>
      </c>
      <c r="H237" s="145" t="s">
        <v>314</v>
      </c>
      <c r="I237" s="145" t="s">
        <v>1004</v>
      </c>
      <c r="J237" s="151"/>
      <c r="K237" s="145" t="s">
        <v>205</v>
      </c>
      <c r="L237" s="151"/>
      <c r="M237" s="151"/>
      <c r="N237" s="145" t="s">
        <v>224</v>
      </c>
      <c r="O237" s="145" t="s">
        <v>339</v>
      </c>
      <c r="P237" s="176">
        <v>45449</v>
      </c>
      <c r="Q237" s="145" t="s">
        <v>1211</v>
      </c>
      <c r="R237" s="145" t="s">
        <v>885</v>
      </c>
      <c r="S237" s="145" t="s">
        <v>889</v>
      </c>
      <c r="T237" s="177">
        <v>45747</v>
      </c>
      <c r="U237" s="146">
        <v>3.718</v>
      </c>
      <c r="V237" s="180">
        <v>8203.3421194190432</v>
      </c>
      <c r="W237" s="146">
        <v>30500.026000000002</v>
      </c>
      <c r="X237" s="148">
        <v>8.8199999999999997E-3</v>
      </c>
      <c r="Y237" s="148">
        <v>8.5000000000000006E-3</v>
      </c>
      <c r="Z237" s="149">
        <v>1.25E-3</v>
      </c>
      <c r="AA237" s="196"/>
    </row>
    <row r="238" spans="1:27" x14ac:dyDescent="0.2">
      <c r="A238" s="144" t="s">
        <v>1217</v>
      </c>
      <c r="B238" s="145" t="s">
        <v>1217</v>
      </c>
      <c r="C238" s="145" t="s">
        <v>3085</v>
      </c>
      <c r="D238" s="151"/>
      <c r="E238" s="151"/>
      <c r="F238" s="145" t="s">
        <v>3086</v>
      </c>
      <c r="G238" s="145" t="s">
        <v>3087</v>
      </c>
      <c r="H238" s="145" t="s">
        <v>314</v>
      </c>
      <c r="I238" s="145" t="s">
        <v>1004</v>
      </c>
      <c r="J238" s="151"/>
      <c r="K238" s="145" t="s">
        <v>205</v>
      </c>
      <c r="L238" s="151"/>
      <c r="M238" s="151"/>
      <c r="N238" s="145" t="s">
        <v>224</v>
      </c>
      <c r="O238" s="145" t="s">
        <v>339</v>
      </c>
      <c r="P238" s="176">
        <v>45218</v>
      </c>
      <c r="Q238" s="145" t="s">
        <v>1211</v>
      </c>
      <c r="R238" s="145" t="s">
        <v>885</v>
      </c>
      <c r="S238" s="145" t="s">
        <v>889</v>
      </c>
      <c r="T238" s="177">
        <v>45747</v>
      </c>
      <c r="U238" s="146">
        <v>3.718</v>
      </c>
      <c r="V238" s="180">
        <v>7947.9913932221625</v>
      </c>
      <c r="W238" s="146">
        <v>29550.632000000001</v>
      </c>
      <c r="X238" s="151"/>
      <c r="Y238" s="148">
        <v>8.2400000000000008E-3</v>
      </c>
      <c r="Z238" s="149">
        <v>1.2199999999999999E-3</v>
      </c>
      <c r="AA238" s="196"/>
    </row>
    <row r="239" spans="1:27" x14ac:dyDescent="0.2">
      <c r="A239" s="144" t="s">
        <v>1217</v>
      </c>
      <c r="B239" s="145" t="s">
        <v>1217</v>
      </c>
      <c r="C239" s="145" t="s">
        <v>3088</v>
      </c>
      <c r="D239" s="151"/>
      <c r="E239" s="151"/>
      <c r="F239" s="145" t="s">
        <v>3089</v>
      </c>
      <c r="G239" s="145" t="s">
        <v>3090</v>
      </c>
      <c r="H239" s="145" t="s">
        <v>314</v>
      </c>
      <c r="I239" s="145" t="s">
        <v>1000</v>
      </c>
      <c r="J239" s="151"/>
      <c r="K239" s="145" t="s">
        <v>205</v>
      </c>
      <c r="L239" s="151"/>
      <c r="M239" s="151"/>
      <c r="N239" s="145" t="s">
        <v>204</v>
      </c>
      <c r="O239" s="145" t="s">
        <v>339</v>
      </c>
      <c r="P239" s="176">
        <v>43934</v>
      </c>
      <c r="Q239" s="145" t="s">
        <v>1211</v>
      </c>
      <c r="R239" s="145" t="s">
        <v>885</v>
      </c>
      <c r="S239" s="145" t="s">
        <v>889</v>
      </c>
      <c r="T239" s="177">
        <v>45743</v>
      </c>
      <c r="U239" s="146">
        <v>3.718</v>
      </c>
      <c r="V239" s="180">
        <v>7941.0459924690695</v>
      </c>
      <c r="W239" s="146">
        <v>29524.809000000001</v>
      </c>
      <c r="X239" s="148">
        <v>1.3480000000000001E-2</v>
      </c>
      <c r="Y239" s="148">
        <v>8.2299999999999995E-3</v>
      </c>
      <c r="Z239" s="149">
        <v>1.2099999999999999E-3</v>
      </c>
      <c r="AA239" s="196"/>
    </row>
    <row r="240" spans="1:27" x14ac:dyDescent="0.2">
      <c r="A240" s="144" t="s">
        <v>1217</v>
      </c>
      <c r="B240" s="145" t="s">
        <v>1217</v>
      </c>
      <c r="C240" s="145" t="s">
        <v>3094</v>
      </c>
      <c r="D240" s="151"/>
      <c r="E240" s="151"/>
      <c r="F240" s="145" t="s">
        <v>3095</v>
      </c>
      <c r="G240" s="145" t="s">
        <v>3096</v>
      </c>
      <c r="H240" s="145" t="s">
        <v>314</v>
      </c>
      <c r="I240" s="145" t="s">
        <v>1004</v>
      </c>
      <c r="J240" s="151"/>
      <c r="K240" s="145" t="s">
        <v>205</v>
      </c>
      <c r="L240" s="151"/>
      <c r="M240" s="151"/>
      <c r="N240" s="145" t="s">
        <v>291</v>
      </c>
      <c r="O240" s="145" t="s">
        <v>339</v>
      </c>
      <c r="P240" s="176">
        <v>43689</v>
      </c>
      <c r="Q240" s="145" t="s">
        <v>1211</v>
      </c>
      <c r="R240" s="145" t="s">
        <v>885</v>
      </c>
      <c r="S240" s="145" t="s">
        <v>889</v>
      </c>
      <c r="T240" s="177">
        <v>45728</v>
      </c>
      <c r="U240" s="146">
        <v>3.718</v>
      </c>
      <c r="V240" s="180">
        <v>7853.02824098978</v>
      </c>
      <c r="W240" s="146">
        <v>29197.559000000001</v>
      </c>
      <c r="X240" s="151"/>
      <c r="Y240" s="148">
        <v>8.1399999999999997E-3</v>
      </c>
      <c r="Z240" s="149">
        <v>1.1999999999999999E-3</v>
      </c>
      <c r="AA240" s="196"/>
    </row>
    <row r="241" spans="1:27" x14ac:dyDescent="0.2">
      <c r="A241" s="144" t="s">
        <v>1217</v>
      </c>
      <c r="B241" s="145" t="s">
        <v>1217</v>
      </c>
      <c r="C241" s="145" t="s">
        <v>3100</v>
      </c>
      <c r="D241" s="151"/>
      <c r="E241" s="151"/>
      <c r="F241" s="145" t="s">
        <v>3101</v>
      </c>
      <c r="G241" s="145" t="s">
        <v>3102</v>
      </c>
      <c r="H241" s="145" t="s">
        <v>314</v>
      </c>
      <c r="I241" s="145" t="s">
        <v>1003</v>
      </c>
      <c r="J241" s="151"/>
      <c r="K241" s="145" t="s">
        <v>205</v>
      </c>
      <c r="L241" s="151"/>
      <c r="M241" s="151"/>
      <c r="N241" s="145" t="s">
        <v>291</v>
      </c>
      <c r="O241" s="145" t="s">
        <v>339</v>
      </c>
      <c r="P241" s="176">
        <v>45124</v>
      </c>
      <c r="Q241" s="145" t="s">
        <v>1211</v>
      </c>
      <c r="R241" s="145" t="s">
        <v>885</v>
      </c>
      <c r="S241" s="145" t="s">
        <v>889</v>
      </c>
      <c r="T241" s="177">
        <v>45747</v>
      </c>
      <c r="U241" s="146">
        <v>3.718</v>
      </c>
      <c r="V241" s="180">
        <v>7806.7974717590096</v>
      </c>
      <c r="W241" s="146">
        <v>29025.672999999999</v>
      </c>
      <c r="X241" s="151"/>
      <c r="Y241" s="148">
        <v>8.09E-3</v>
      </c>
      <c r="Z241" s="149">
        <v>1.1900000000000001E-3</v>
      </c>
      <c r="AA241" s="196"/>
    </row>
    <row r="242" spans="1:27" x14ac:dyDescent="0.2">
      <c r="A242" s="144" t="s">
        <v>1217</v>
      </c>
      <c r="B242" s="145" t="s">
        <v>1217</v>
      </c>
      <c r="C242" s="145" t="s">
        <v>3091</v>
      </c>
      <c r="D242" s="151"/>
      <c r="E242" s="151"/>
      <c r="F242" s="145" t="s">
        <v>3092</v>
      </c>
      <c r="G242" s="145" t="s">
        <v>3093</v>
      </c>
      <c r="H242" s="145" t="s">
        <v>314</v>
      </c>
      <c r="I242" s="145" t="s">
        <v>1003</v>
      </c>
      <c r="J242" s="151"/>
      <c r="K242" s="145" t="s">
        <v>205</v>
      </c>
      <c r="L242" s="151"/>
      <c r="M242" s="151"/>
      <c r="N242" s="145" t="s">
        <v>289</v>
      </c>
      <c r="O242" s="145" t="s">
        <v>339</v>
      </c>
      <c r="P242" s="176">
        <v>44731</v>
      </c>
      <c r="Q242" s="145" t="s">
        <v>1211</v>
      </c>
      <c r="R242" s="145" t="s">
        <v>885</v>
      </c>
      <c r="S242" s="145" t="s">
        <v>889</v>
      </c>
      <c r="T242" s="177">
        <v>45739</v>
      </c>
      <c r="U242" s="146">
        <v>3.718</v>
      </c>
      <c r="V242" s="180">
        <v>7635.2315761161917</v>
      </c>
      <c r="W242" s="146">
        <v>28387.791000000001</v>
      </c>
      <c r="X242" s="148">
        <v>7.3099999999999997E-3</v>
      </c>
      <c r="Y242" s="148">
        <v>7.92E-3</v>
      </c>
      <c r="Z242" s="149">
        <v>1.17E-3</v>
      </c>
      <c r="AA242" s="196"/>
    </row>
    <row r="243" spans="1:27" x14ac:dyDescent="0.2">
      <c r="A243" s="144" t="s">
        <v>1217</v>
      </c>
      <c r="B243" s="145" t="s">
        <v>1217</v>
      </c>
      <c r="C243" s="145" t="s">
        <v>3097</v>
      </c>
      <c r="D243" s="151"/>
      <c r="E243" s="151"/>
      <c r="F243" s="145" t="s">
        <v>3098</v>
      </c>
      <c r="G243" s="145" t="s">
        <v>3099</v>
      </c>
      <c r="H243" s="145" t="s">
        <v>314</v>
      </c>
      <c r="I243" s="145" t="s">
        <v>1000</v>
      </c>
      <c r="J243" s="151"/>
      <c r="K243" s="145" t="s">
        <v>205</v>
      </c>
      <c r="L243" s="151"/>
      <c r="M243" s="151"/>
      <c r="N243" s="145" t="s">
        <v>299</v>
      </c>
      <c r="O243" s="145" t="s">
        <v>339</v>
      </c>
      <c r="P243" s="176">
        <v>44143</v>
      </c>
      <c r="Q243" s="145" t="s">
        <v>1212</v>
      </c>
      <c r="R243" s="145" t="s">
        <v>885</v>
      </c>
      <c r="S243" s="145" t="s">
        <v>889</v>
      </c>
      <c r="T243" s="177">
        <v>45714</v>
      </c>
      <c r="U243" s="146">
        <v>4.0220000000000002</v>
      </c>
      <c r="V243" s="180">
        <v>6891.8697165589256</v>
      </c>
      <c r="W243" s="146">
        <v>27719.1</v>
      </c>
      <c r="X243" s="148">
        <v>4.0999999999999999E-4</v>
      </c>
      <c r="Y243" s="148">
        <v>7.7299999999999999E-3</v>
      </c>
      <c r="Z243" s="149">
        <v>1.14E-3</v>
      </c>
      <c r="AA243" s="196"/>
    </row>
    <row r="244" spans="1:27" x14ac:dyDescent="0.2">
      <c r="A244" s="144" t="s">
        <v>1217</v>
      </c>
      <c r="B244" s="145" t="s">
        <v>1217</v>
      </c>
      <c r="C244" s="145" t="s">
        <v>3103</v>
      </c>
      <c r="D244" s="151"/>
      <c r="E244" s="151"/>
      <c r="F244" s="145" t="s">
        <v>3104</v>
      </c>
      <c r="G244" s="145" t="s">
        <v>3105</v>
      </c>
      <c r="H244" s="145" t="s">
        <v>314</v>
      </c>
      <c r="I244" s="145" t="s">
        <v>1003</v>
      </c>
      <c r="J244" s="151"/>
      <c r="K244" s="145" t="s">
        <v>205</v>
      </c>
      <c r="L244" s="151"/>
      <c r="M244" s="151"/>
      <c r="N244" s="145" t="s">
        <v>224</v>
      </c>
      <c r="O244" s="145" t="s">
        <v>339</v>
      </c>
      <c r="P244" s="176">
        <v>44560</v>
      </c>
      <c r="Q244" s="145" t="s">
        <v>1211</v>
      </c>
      <c r="R244" s="145" t="s">
        <v>885</v>
      </c>
      <c r="S244" s="145" t="s">
        <v>889</v>
      </c>
      <c r="T244" s="177">
        <v>45707</v>
      </c>
      <c r="U244" s="146">
        <v>3.718</v>
      </c>
      <c r="V244" s="180">
        <v>7131.9424421732119</v>
      </c>
      <c r="W244" s="146">
        <v>26516.562000000002</v>
      </c>
      <c r="X244" s="148">
        <v>1.0000000000000001E-5</v>
      </c>
      <c r="Y244" s="148">
        <v>7.3899999999999999E-3</v>
      </c>
      <c r="Z244" s="149">
        <v>1.09E-3</v>
      </c>
      <c r="AA244" s="196"/>
    </row>
    <row r="245" spans="1:27" x14ac:dyDescent="0.2">
      <c r="A245" s="144" t="s">
        <v>1217</v>
      </c>
      <c r="B245" s="145" t="s">
        <v>1217</v>
      </c>
      <c r="C245" s="145" t="s">
        <v>3116</v>
      </c>
      <c r="D245" s="151"/>
      <c r="E245" s="151"/>
      <c r="F245" s="145" t="s">
        <v>3117</v>
      </c>
      <c r="G245" s="145" t="s">
        <v>3118</v>
      </c>
      <c r="H245" s="145" t="s">
        <v>314</v>
      </c>
      <c r="I245" s="145" t="s">
        <v>1004</v>
      </c>
      <c r="J245" s="151"/>
      <c r="K245" s="145" t="s">
        <v>205</v>
      </c>
      <c r="L245" s="151"/>
      <c r="M245" s="151"/>
      <c r="N245" s="145" t="s">
        <v>224</v>
      </c>
      <c r="O245" s="145" t="s">
        <v>339</v>
      </c>
      <c r="P245" s="176">
        <v>42541</v>
      </c>
      <c r="Q245" s="145" t="s">
        <v>1211</v>
      </c>
      <c r="R245" s="145" t="s">
        <v>885</v>
      </c>
      <c r="S245" s="145" t="s">
        <v>889</v>
      </c>
      <c r="T245" s="177">
        <v>45743</v>
      </c>
      <c r="U245" s="146">
        <v>3.718</v>
      </c>
      <c r="V245" s="180">
        <v>6923.5094136632597</v>
      </c>
      <c r="W245" s="146">
        <v>25741.608</v>
      </c>
      <c r="X245" s="151"/>
      <c r="Y245" s="148">
        <v>7.1799999999999998E-3</v>
      </c>
      <c r="Z245" s="149">
        <v>1.06E-3</v>
      </c>
      <c r="AA245" s="196"/>
    </row>
    <row r="246" spans="1:27" x14ac:dyDescent="0.2">
      <c r="A246" s="144" t="s">
        <v>1217</v>
      </c>
      <c r="B246" s="145" t="s">
        <v>1217</v>
      </c>
      <c r="C246" s="145" t="s">
        <v>3106</v>
      </c>
      <c r="D246" s="151"/>
      <c r="E246" s="151"/>
      <c r="F246" s="145" t="s">
        <v>3107</v>
      </c>
      <c r="G246" s="145" t="s">
        <v>3108</v>
      </c>
      <c r="H246" s="145" t="s">
        <v>314</v>
      </c>
      <c r="I246" s="145" t="s">
        <v>1000</v>
      </c>
      <c r="J246" s="151"/>
      <c r="K246" s="145" t="s">
        <v>205</v>
      </c>
      <c r="L246" s="151"/>
      <c r="M246" s="151"/>
      <c r="N246" s="145" t="s">
        <v>224</v>
      </c>
      <c r="O246" s="145" t="s">
        <v>339</v>
      </c>
      <c r="P246" s="176">
        <v>44769</v>
      </c>
      <c r="Q246" s="145" t="s">
        <v>1211</v>
      </c>
      <c r="R246" s="145" t="s">
        <v>885</v>
      </c>
      <c r="S246" s="145" t="s">
        <v>889</v>
      </c>
      <c r="T246" s="177">
        <v>45747</v>
      </c>
      <c r="U246" s="146">
        <v>3.718</v>
      </c>
      <c r="V246" s="180">
        <v>6825.508068854223</v>
      </c>
      <c r="W246" s="146">
        <v>25377.239000000001</v>
      </c>
      <c r="X246" s="148">
        <v>8.8120000000000004E-2</v>
      </c>
      <c r="Y246" s="148">
        <v>7.0800000000000004E-3</v>
      </c>
      <c r="Z246" s="149">
        <v>1.0399999999999999E-3</v>
      </c>
      <c r="AA246" s="196"/>
    </row>
    <row r="247" spans="1:27" x14ac:dyDescent="0.2">
      <c r="A247" s="144" t="s">
        <v>1217</v>
      </c>
      <c r="B247" s="145" t="s">
        <v>1217</v>
      </c>
      <c r="C247" s="145" t="s">
        <v>3065</v>
      </c>
      <c r="D247" s="151"/>
      <c r="E247" s="151"/>
      <c r="F247" s="145" t="s">
        <v>3112</v>
      </c>
      <c r="G247" s="145" t="s">
        <v>3113</v>
      </c>
      <c r="H247" s="145" t="s">
        <v>314</v>
      </c>
      <c r="I247" s="145" t="s">
        <v>1000</v>
      </c>
      <c r="J247" s="151"/>
      <c r="K247" s="145" t="s">
        <v>205</v>
      </c>
      <c r="L247" s="151"/>
      <c r="M247" s="151"/>
      <c r="N247" s="145" t="s">
        <v>296</v>
      </c>
      <c r="O247" s="145" t="s">
        <v>339</v>
      </c>
      <c r="P247" s="176">
        <v>45140</v>
      </c>
      <c r="Q247" s="145" t="s">
        <v>1211</v>
      </c>
      <c r="R247" s="145" t="s">
        <v>885</v>
      </c>
      <c r="S247" s="145" t="s">
        <v>889</v>
      </c>
      <c r="T247" s="177">
        <v>45747</v>
      </c>
      <c r="U247" s="146">
        <v>3.718</v>
      </c>
      <c r="V247" s="180">
        <v>6769.3224852071007</v>
      </c>
      <c r="W247" s="146">
        <v>25168.341</v>
      </c>
      <c r="X247" s="148">
        <v>8.1280000000000005E-2</v>
      </c>
      <c r="Y247" s="148">
        <v>7.0200000000000002E-3</v>
      </c>
      <c r="Z247" s="149">
        <v>1.0399999999999999E-3</v>
      </c>
      <c r="AA247" s="196"/>
    </row>
    <row r="248" spans="1:27" x14ac:dyDescent="0.2">
      <c r="A248" s="144" t="s">
        <v>1217</v>
      </c>
      <c r="B248" s="145" t="s">
        <v>1217</v>
      </c>
      <c r="C248" s="145" t="s">
        <v>3109</v>
      </c>
      <c r="D248" s="151"/>
      <c r="E248" s="151"/>
      <c r="F248" s="145" t="s">
        <v>3110</v>
      </c>
      <c r="G248" s="145" t="s">
        <v>3111</v>
      </c>
      <c r="H248" s="145" t="s">
        <v>314</v>
      </c>
      <c r="I248" s="145" t="s">
        <v>1000</v>
      </c>
      <c r="J248" s="151"/>
      <c r="K248" s="145" t="s">
        <v>205</v>
      </c>
      <c r="L248" s="151"/>
      <c r="M248" s="151"/>
      <c r="N248" s="145" t="s">
        <v>293</v>
      </c>
      <c r="O248" s="145" t="s">
        <v>339</v>
      </c>
      <c r="P248" s="176">
        <v>43335</v>
      </c>
      <c r="Q248" s="145" t="s">
        <v>1212</v>
      </c>
      <c r="R248" s="145" t="s">
        <v>885</v>
      </c>
      <c r="S248" s="145" t="s">
        <v>889</v>
      </c>
      <c r="T248" s="177">
        <v>45715</v>
      </c>
      <c r="U248" s="146">
        <v>4.0220000000000002</v>
      </c>
      <c r="V248" s="180">
        <v>6252.2961213326698</v>
      </c>
      <c r="W248" s="146">
        <v>25146.735000000001</v>
      </c>
      <c r="X248" s="148">
        <v>1.8E-3</v>
      </c>
      <c r="Y248" s="148">
        <v>7.0099999999999997E-3</v>
      </c>
      <c r="Z248" s="149">
        <v>1.0300000000000001E-3</v>
      </c>
      <c r="AA248" s="196"/>
    </row>
    <row r="249" spans="1:27" x14ac:dyDescent="0.2">
      <c r="A249" s="144" t="s">
        <v>1217</v>
      </c>
      <c r="B249" s="145" t="s">
        <v>1217</v>
      </c>
      <c r="C249" s="145" t="s">
        <v>314</v>
      </c>
      <c r="D249" s="151"/>
      <c r="E249" s="151"/>
      <c r="F249" s="145" t="s">
        <v>3114</v>
      </c>
      <c r="G249" s="145" t="s">
        <v>3115</v>
      </c>
      <c r="H249" s="145" t="s">
        <v>314</v>
      </c>
      <c r="I249" s="145" t="s">
        <v>1005</v>
      </c>
      <c r="J249" s="151"/>
      <c r="K249" s="145" t="s">
        <v>205</v>
      </c>
      <c r="L249" s="151"/>
      <c r="M249" s="151"/>
      <c r="N249" s="145" t="s">
        <v>220</v>
      </c>
      <c r="O249" s="145" t="s">
        <v>339</v>
      </c>
      <c r="P249" s="176">
        <v>43396</v>
      </c>
      <c r="Q249" s="145" t="s">
        <v>1212</v>
      </c>
      <c r="R249" s="145" t="s">
        <v>885</v>
      </c>
      <c r="S249" s="145" t="s">
        <v>889</v>
      </c>
      <c r="T249" s="177">
        <v>45746</v>
      </c>
      <c r="U249" s="146">
        <v>4.0220000000000002</v>
      </c>
      <c r="V249" s="180">
        <v>6138.5939830929883</v>
      </c>
      <c r="W249" s="146">
        <v>24689.424999999999</v>
      </c>
      <c r="X249" s="151"/>
      <c r="Y249" s="148">
        <v>6.8799999999999998E-3</v>
      </c>
      <c r="Z249" s="149">
        <v>1.0200000000000001E-3</v>
      </c>
      <c r="AA249" s="196"/>
    </row>
    <row r="250" spans="1:27" x14ac:dyDescent="0.2">
      <c r="A250" s="144" t="s">
        <v>1217</v>
      </c>
      <c r="B250" s="145" t="s">
        <v>1217</v>
      </c>
      <c r="C250" s="145" t="s">
        <v>3119</v>
      </c>
      <c r="D250" s="151"/>
      <c r="E250" s="151"/>
      <c r="F250" s="145" t="s">
        <v>3120</v>
      </c>
      <c r="G250" s="145" t="s">
        <v>3121</v>
      </c>
      <c r="H250" s="145" t="s">
        <v>314</v>
      </c>
      <c r="I250" s="145" t="s">
        <v>1003</v>
      </c>
      <c r="J250" s="151"/>
      <c r="K250" s="145" t="s">
        <v>205</v>
      </c>
      <c r="L250" s="151"/>
      <c r="M250" s="151"/>
      <c r="N250" s="145" t="s">
        <v>293</v>
      </c>
      <c r="O250" s="145" t="s">
        <v>339</v>
      </c>
      <c r="P250" s="176">
        <v>44029</v>
      </c>
      <c r="Q250" s="145" t="s">
        <v>1212</v>
      </c>
      <c r="R250" s="145" t="s">
        <v>885</v>
      </c>
      <c r="S250" s="145" t="s">
        <v>889</v>
      </c>
      <c r="T250" s="177">
        <v>45704</v>
      </c>
      <c r="U250" s="146">
        <v>4.0220000000000002</v>
      </c>
      <c r="V250" s="180">
        <v>5754.1275484833413</v>
      </c>
      <c r="W250" s="146">
        <v>23143.100999999999</v>
      </c>
      <c r="X250" s="148">
        <v>1.289E-2</v>
      </c>
      <c r="Y250" s="148">
        <v>6.45E-3</v>
      </c>
      <c r="Z250" s="149">
        <v>9.5E-4</v>
      </c>
      <c r="AA250" s="196"/>
    </row>
    <row r="251" spans="1:27" x14ac:dyDescent="0.2">
      <c r="A251" s="144" t="s">
        <v>1217</v>
      </c>
      <c r="B251" s="145" t="s">
        <v>1217</v>
      </c>
      <c r="C251" s="145" t="s">
        <v>3122</v>
      </c>
      <c r="D251" s="151"/>
      <c r="E251" s="151"/>
      <c r="F251" s="145" t="s">
        <v>3123</v>
      </c>
      <c r="G251" s="145" t="s">
        <v>3124</v>
      </c>
      <c r="H251" s="145" t="s">
        <v>314</v>
      </c>
      <c r="I251" s="145" t="s">
        <v>1000</v>
      </c>
      <c r="J251" s="151"/>
      <c r="K251" s="145" t="s">
        <v>205</v>
      </c>
      <c r="L251" s="151"/>
      <c r="M251" s="151"/>
      <c r="N251" s="145" t="s">
        <v>268</v>
      </c>
      <c r="O251" s="145" t="s">
        <v>339</v>
      </c>
      <c r="P251" s="176">
        <v>44567</v>
      </c>
      <c r="Q251" s="145" t="s">
        <v>1211</v>
      </c>
      <c r="R251" s="145" t="s">
        <v>885</v>
      </c>
      <c r="S251" s="145" t="s">
        <v>889</v>
      </c>
      <c r="T251" s="177">
        <v>45624</v>
      </c>
      <c r="U251" s="146">
        <v>3.718</v>
      </c>
      <c r="V251" s="180">
        <v>5902.6562668101133</v>
      </c>
      <c r="W251" s="146">
        <v>21946.076000000001</v>
      </c>
      <c r="X251" s="148">
        <v>1.8440000000000002E-2</v>
      </c>
      <c r="Y251" s="148">
        <v>6.1199999999999996E-3</v>
      </c>
      <c r="Z251" s="149">
        <v>8.9999999999999998E-4</v>
      </c>
      <c r="AA251" s="196"/>
    </row>
    <row r="252" spans="1:27" x14ac:dyDescent="0.2">
      <c r="A252" s="144" t="s">
        <v>1217</v>
      </c>
      <c r="B252" s="145" t="s">
        <v>1217</v>
      </c>
      <c r="C252" s="145" t="s">
        <v>3125</v>
      </c>
      <c r="D252" s="151"/>
      <c r="E252" s="151"/>
      <c r="F252" s="145" t="s">
        <v>3126</v>
      </c>
      <c r="G252" s="145" t="s">
        <v>3127</v>
      </c>
      <c r="H252" s="145" t="s">
        <v>314</v>
      </c>
      <c r="I252" s="145" t="s">
        <v>1004</v>
      </c>
      <c r="J252" s="151"/>
      <c r="K252" s="145" t="s">
        <v>205</v>
      </c>
      <c r="L252" s="151"/>
      <c r="M252" s="151"/>
      <c r="N252" s="145" t="s">
        <v>291</v>
      </c>
      <c r="O252" s="145" t="s">
        <v>339</v>
      </c>
      <c r="P252" s="176">
        <v>43082</v>
      </c>
      <c r="Q252" s="145" t="s">
        <v>1211</v>
      </c>
      <c r="R252" s="145" t="s">
        <v>885</v>
      </c>
      <c r="S252" s="145" t="s">
        <v>889</v>
      </c>
      <c r="T252" s="177">
        <v>45747</v>
      </c>
      <c r="U252" s="146">
        <v>3.718</v>
      </c>
      <c r="V252" s="180">
        <v>5819.4314147391069</v>
      </c>
      <c r="W252" s="146">
        <v>21636.646000000001</v>
      </c>
      <c r="X252" s="148">
        <v>0.11556</v>
      </c>
      <c r="Y252" s="148">
        <v>6.0299999999999998E-3</v>
      </c>
      <c r="Z252" s="149">
        <v>8.8999999999999995E-4</v>
      </c>
      <c r="AA252" s="196"/>
    </row>
    <row r="253" spans="1:27" x14ac:dyDescent="0.2">
      <c r="A253" s="144" t="s">
        <v>1217</v>
      </c>
      <c r="B253" s="145" t="s">
        <v>1217</v>
      </c>
      <c r="C253" s="145" t="s">
        <v>3128</v>
      </c>
      <c r="D253" s="151"/>
      <c r="E253" s="151"/>
      <c r="F253" s="145" t="s">
        <v>3129</v>
      </c>
      <c r="G253" s="145" t="s">
        <v>3130</v>
      </c>
      <c r="H253" s="145" t="s">
        <v>314</v>
      </c>
      <c r="I253" s="145" t="s">
        <v>1000</v>
      </c>
      <c r="J253" s="151"/>
      <c r="K253" s="145" t="s">
        <v>205</v>
      </c>
      <c r="L253" s="151"/>
      <c r="M253" s="151"/>
      <c r="N253" s="145" t="s">
        <v>293</v>
      </c>
      <c r="O253" s="145" t="s">
        <v>339</v>
      </c>
      <c r="P253" s="176">
        <v>45302</v>
      </c>
      <c r="Q253" s="145" t="s">
        <v>1212</v>
      </c>
      <c r="R253" s="145" t="s">
        <v>885</v>
      </c>
      <c r="S253" s="145" t="s">
        <v>889</v>
      </c>
      <c r="T253" s="177">
        <v>45707</v>
      </c>
      <c r="U253" s="146">
        <v>4.0220000000000002</v>
      </c>
      <c r="V253" s="180">
        <v>5221.7814520139236</v>
      </c>
      <c r="W253" s="146">
        <v>21002.005000000001</v>
      </c>
      <c r="X253" s="148">
        <v>6.0319999999999999E-2</v>
      </c>
      <c r="Y253" s="148">
        <v>5.8599999999999998E-3</v>
      </c>
      <c r="Z253" s="149">
        <v>8.5999999999999998E-4</v>
      </c>
      <c r="AA253" s="196"/>
    </row>
    <row r="254" spans="1:27" x14ac:dyDescent="0.2">
      <c r="A254" s="144" t="s">
        <v>1217</v>
      </c>
      <c r="B254" s="145" t="s">
        <v>1217</v>
      </c>
      <c r="C254" s="145" t="s">
        <v>3131</v>
      </c>
      <c r="D254" s="151"/>
      <c r="E254" s="151"/>
      <c r="F254" s="145" t="s">
        <v>3132</v>
      </c>
      <c r="G254" s="145" t="s">
        <v>3133</v>
      </c>
      <c r="H254" s="145" t="s">
        <v>314</v>
      </c>
      <c r="I254" s="145" t="s">
        <v>1003</v>
      </c>
      <c r="J254" s="151"/>
      <c r="K254" s="145" t="s">
        <v>205</v>
      </c>
      <c r="L254" s="151"/>
      <c r="M254" s="151"/>
      <c r="N254" s="145" t="s">
        <v>296</v>
      </c>
      <c r="O254" s="145" t="s">
        <v>339</v>
      </c>
      <c r="P254" s="176">
        <v>45012</v>
      </c>
      <c r="Q254" s="145" t="s">
        <v>1211</v>
      </c>
      <c r="R254" s="145" t="s">
        <v>885</v>
      </c>
      <c r="S254" s="145" t="s">
        <v>889</v>
      </c>
      <c r="T254" s="177">
        <v>45747</v>
      </c>
      <c r="U254" s="146">
        <v>3.718</v>
      </c>
      <c r="V254" s="180">
        <v>5439.7743410435714</v>
      </c>
      <c r="W254" s="146">
        <v>20225.080999999998</v>
      </c>
      <c r="X254" s="148">
        <v>6.1379999999999997E-2</v>
      </c>
      <c r="Y254" s="148">
        <v>5.64E-3</v>
      </c>
      <c r="Z254" s="149">
        <v>8.3000000000000001E-4</v>
      </c>
      <c r="AA254" s="196"/>
    </row>
    <row r="255" spans="1:27" x14ac:dyDescent="0.2">
      <c r="A255" s="144" t="s">
        <v>1217</v>
      </c>
      <c r="B255" s="145" t="s">
        <v>1217</v>
      </c>
      <c r="C255" s="145" t="s">
        <v>3134</v>
      </c>
      <c r="D255" s="151"/>
      <c r="E255" s="151"/>
      <c r="F255" s="145" t="s">
        <v>3135</v>
      </c>
      <c r="G255" s="145" t="s">
        <v>3136</v>
      </c>
      <c r="H255" s="145" t="s">
        <v>314</v>
      </c>
      <c r="I255" s="145" t="s">
        <v>1000</v>
      </c>
      <c r="J255" s="151"/>
      <c r="K255" s="145" t="s">
        <v>205</v>
      </c>
      <c r="L255" s="151"/>
      <c r="M255" s="151"/>
      <c r="N255" s="145" t="s">
        <v>224</v>
      </c>
      <c r="O255" s="145" t="s">
        <v>339</v>
      </c>
      <c r="P255" s="176">
        <v>44088</v>
      </c>
      <c r="Q255" s="145" t="s">
        <v>1211</v>
      </c>
      <c r="R255" s="145" t="s">
        <v>885</v>
      </c>
      <c r="S255" s="145" t="s">
        <v>889</v>
      </c>
      <c r="T255" s="177">
        <v>45747</v>
      </c>
      <c r="U255" s="146">
        <v>3.718</v>
      </c>
      <c r="V255" s="180">
        <v>4782.3345884884347</v>
      </c>
      <c r="W255" s="146">
        <v>17780.72</v>
      </c>
      <c r="X255" s="148">
        <v>5.364E-2</v>
      </c>
      <c r="Y255" s="148">
        <v>4.96E-3</v>
      </c>
      <c r="Z255" s="149">
        <v>7.2999999999999996E-4</v>
      </c>
      <c r="AA255" s="196"/>
    </row>
    <row r="256" spans="1:27" x14ac:dyDescent="0.2">
      <c r="A256" s="144" t="s">
        <v>1217</v>
      </c>
      <c r="B256" s="145" t="s">
        <v>1217</v>
      </c>
      <c r="C256" s="145" t="s">
        <v>3169</v>
      </c>
      <c r="D256" s="151"/>
      <c r="E256" s="151"/>
      <c r="F256" s="145" t="s">
        <v>3170</v>
      </c>
      <c r="G256" s="145" t="s">
        <v>3171</v>
      </c>
      <c r="H256" s="145" t="s">
        <v>314</v>
      </c>
      <c r="I256" s="145" t="s">
        <v>1000</v>
      </c>
      <c r="J256" s="151"/>
      <c r="K256" s="145" t="s">
        <v>205</v>
      </c>
      <c r="L256" s="151"/>
      <c r="M256" s="151"/>
      <c r="N256" s="145" t="s">
        <v>224</v>
      </c>
      <c r="O256" s="145" t="s">
        <v>339</v>
      </c>
      <c r="P256" s="176">
        <v>42710</v>
      </c>
      <c r="Q256" s="145" t="s">
        <v>1211</v>
      </c>
      <c r="R256" s="145" t="s">
        <v>885</v>
      </c>
      <c r="S256" s="145" t="s">
        <v>889</v>
      </c>
      <c r="T256" s="177">
        <v>45726</v>
      </c>
      <c r="U256" s="146">
        <v>3.718</v>
      </c>
      <c r="V256" s="180">
        <v>4717.6998386229152</v>
      </c>
      <c r="W256" s="146">
        <v>17540.407999999999</v>
      </c>
      <c r="X256" s="151"/>
      <c r="Y256" s="148">
        <v>4.8900000000000002E-3</v>
      </c>
      <c r="Z256" s="149">
        <v>7.2000000000000005E-4</v>
      </c>
      <c r="AA256" s="196"/>
    </row>
    <row r="257" spans="1:27" x14ac:dyDescent="0.2">
      <c r="A257" s="144" t="s">
        <v>1217</v>
      </c>
      <c r="B257" s="145" t="s">
        <v>1217</v>
      </c>
      <c r="C257" s="145" t="s">
        <v>3140</v>
      </c>
      <c r="D257" s="151"/>
      <c r="E257" s="151"/>
      <c r="F257" s="145" t="s">
        <v>3141</v>
      </c>
      <c r="G257" s="145" t="s">
        <v>3142</v>
      </c>
      <c r="H257" s="145" t="s">
        <v>314</v>
      </c>
      <c r="I257" s="145" t="s">
        <v>1003</v>
      </c>
      <c r="J257" s="151"/>
      <c r="K257" s="145" t="s">
        <v>205</v>
      </c>
      <c r="L257" s="151"/>
      <c r="M257" s="151"/>
      <c r="N257" s="145" t="s">
        <v>293</v>
      </c>
      <c r="O257" s="145" t="s">
        <v>339</v>
      </c>
      <c r="P257" s="176">
        <v>45271</v>
      </c>
      <c r="Q257" s="145" t="s">
        <v>1212</v>
      </c>
      <c r="R257" s="145" t="s">
        <v>885</v>
      </c>
      <c r="S257" s="145" t="s">
        <v>889</v>
      </c>
      <c r="T257" s="177">
        <v>45747</v>
      </c>
      <c r="U257" s="146">
        <v>4.0220000000000002</v>
      </c>
      <c r="V257" s="180">
        <v>4305.023868722029</v>
      </c>
      <c r="W257" s="146">
        <v>17314.806</v>
      </c>
      <c r="X257" s="148">
        <v>3.0899999999999999E-3</v>
      </c>
      <c r="Y257" s="148">
        <v>4.8300000000000001E-3</v>
      </c>
      <c r="Z257" s="149">
        <v>7.1000000000000002E-4</v>
      </c>
      <c r="AA257" s="196"/>
    </row>
    <row r="258" spans="1:27" x14ac:dyDescent="0.2">
      <c r="A258" s="144" t="s">
        <v>1217</v>
      </c>
      <c r="B258" s="145" t="s">
        <v>1217</v>
      </c>
      <c r="C258" s="145" t="s">
        <v>3137</v>
      </c>
      <c r="D258" s="151"/>
      <c r="E258" s="151"/>
      <c r="F258" s="145" t="s">
        <v>3138</v>
      </c>
      <c r="G258" s="145" t="s">
        <v>3139</v>
      </c>
      <c r="H258" s="145" t="s">
        <v>314</v>
      </c>
      <c r="I258" s="145" t="s">
        <v>1000</v>
      </c>
      <c r="J258" s="151"/>
      <c r="K258" s="145" t="s">
        <v>205</v>
      </c>
      <c r="L258" s="151"/>
      <c r="M258" s="151"/>
      <c r="N258" s="145" t="s">
        <v>291</v>
      </c>
      <c r="O258" s="145" t="s">
        <v>339</v>
      </c>
      <c r="P258" s="176">
        <v>44525</v>
      </c>
      <c r="Q258" s="145" t="s">
        <v>1211</v>
      </c>
      <c r="R258" s="145" t="s">
        <v>885</v>
      </c>
      <c r="S258" s="145" t="s">
        <v>889</v>
      </c>
      <c r="T258" s="177">
        <v>45747</v>
      </c>
      <c r="U258" s="146">
        <v>3.718</v>
      </c>
      <c r="V258" s="180">
        <v>4548.1670252824097</v>
      </c>
      <c r="W258" s="146">
        <v>16910.084999999999</v>
      </c>
      <c r="X258" s="148">
        <v>5.9999999999999995E-4</v>
      </c>
      <c r="Y258" s="148">
        <v>4.7200000000000002E-3</v>
      </c>
      <c r="Z258" s="149">
        <v>6.9999999999999999E-4</v>
      </c>
      <c r="AA258" s="196"/>
    </row>
    <row r="259" spans="1:27" x14ac:dyDescent="0.2">
      <c r="A259" s="144" t="s">
        <v>1217</v>
      </c>
      <c r="B259" s="145" t="s">
        <v>1217</v>
      </c>
      <c r="C259" s="145" t="s">
        <v>3143</v>
      </c>
      <c r="D259" s="151"/>
      <c r="E259" s="151"/>
      <c r="F259" s="145" t="s">
        <v>3144</v>
      </c>
      <c r="G259" s="145" t="s">
        <v>3145</v>
      </c>
      <c r="H259" s="145" t="s">
        <v>314</v>
      </c>
      <c r="I259" s="145" t="s">
        <v>1000</v>
      </c>
      <c r="J259" s="151"/>
      <c r="K259" s="145" t="s">
        <v>205</v>
      </c>
      <c r="L259" s="151"/>
      <c r="M259" s="151"/>
      <c r="N259" s="145" t="s">
        <v>296</v>
      </c>
      <c r="O259" s="145" t="s">
        <v>339</v>
      </c>
      <c r="P259" s="176">
        <v>44420</v>
      </c>
      <c r="Q259" s="145" t="s">
        <v>1211</v>
      </c>
      <c r="R259" s="145" t="s">
        <v>885</v>
      </c>
      <c r="S259" s="145" t="s">
        <v>889</v>
      </c>
      <c r="T259" s="177">
        <v>45726</v>
      </c>
      <c r="U259" s="146">
        <v>3.718</v>
      </c>
      <c r="V259" s="180">
        <v>4231.9940828402368</v>
      </c>
      <c r="W259" s="146">
        <v>15734.554</v>
      </c>
      <c r="X259" s="148">
        <v>2.1099999999999999E-3</v>
      </c>
      <c r="Y259" s="148">
        <v>4.3899999999999998E-3</v>
      </c>
      <c r="Z259" s="149">
        <v>6.4999999999999997E-4</v>
      </c>
      <c r="AA259" s="196"/>
    </row>
    <row r="260" spans="1:27" x14ac:dyDescent="0.2">
      <c r="A260" s="144" t="s">
        <v>1217</v>
      </c>
      <c r="B260" s="145" t="s">
        <v>1217</v>
      </c>
      <c r="C260" s="145" t="s">
        <v>3149</v>
      </c>
      <c r="D260" s="151"/>
      <c r="E260" s="151"/>
      <c r="F260" s="145" t="s">
        <v>3150</v>
      </c>
      <c r="G260" s="145" t="s">
        <v>3151</v>
      </c>
      <c r="H260" s="145" t="s">
        <v>314</v>
      </c>
      <c r="I260" s="145" t="s">
        <v>1003</v>
      </c>
      <c r="J260" s="151"/>
      <c r="K260" s="145" t="s">
        <v>205</v>
      </c>
      <c r="L260" s="151"/>
      <c r="M260" s="151"/>
      <c r="N260" s="145" t="s">
        <v>302</v>
      </c>
      <c r="O260" s="145" t="s">
        <v>339</v>
      </c>
      <c r="P260" s="176">
        <v>45503</v>
      </c>
      <c r="Q260" s="145" t="s">
        <v>1211</v>
      </c>
      <c r="R260" s="145" t="s">
        <v>885</v>
      </c>
      <c r="S260" s="145" t="s">
        <v>889</v>
      </c>
      <c r="T260" s="177">
        <v>45728</v>
      </c>
      <c r="U260" s="146">
        <v>3.718</v>
      </c>
      <c r="V260" s="180">
        <v>4215.7743410435714</v>
      </c>
      <c r="W260" s="146">
        <v>15674.249</v>
      </c>
      <c r="X260" s="148">
        <v>0.1716</v>
      </c>
      <c r="Y260" s="148">
        <v>4.3699999999999998E-3</v>
      </c>
      <c r="Z260" s="149">
        <v>6.4000000000000005E-4</v>
      </c>
      <c r="AA260" s="196"/>
    </row>
    <row r="261" spans="1:27" x14ac:dyDescent="0.2">
      <c r="A261" s="144" t="s">
        <v>1217</v>
      </c>
      <c r="B261" s="145" t="s">
        <v>1217</v>
      </c>
      <c r="C261" s="145" t="s">
        <v>3163</v>
      </c>
      <c r="D261" s="151"/>
      <c r="E261" s="151"/>
      <c r="F261" s="145" t="s">
        <v>3164</v>
      </c>
      <c r="G261" s="145" t="s">
        <v>3165</v>
      </c>
      <c r="H261" s="145" t="s">
        <v>314</v>
      </c>
      <c r="I261" s="145" t="s">
        <v>1005</v>
      </c>
      <c r="J261" s="151"/>
      <c r="K261" s="145" t="s">
        <v>205</v>
      </c>
      <c r="L261" s="151"/>
      <c r="M261" s="151"/>
      <c r="N261" s="145" t="s">
        <v>291</v>
      </c>
      <c r="O261" s="145" t="s">
        <v>339</v>
      </c>
      <c r="P261" s="176">
        <v>44742</v>
      </c>
      <c r="Q261" s="145" t="s">
        <v>1211</v>
      </c>
      <c r="R261" s="145" t="s">
        <v>885</v>
      </c>
      <c r="S261" s="145" t="s">
        <v>889</v>
      </c>
      <c r="T261" s="177">
        <v>45722</v>
      </c>
      <c r="U261" s="146">
        <v>3.718</v>
      </c>
      <c r="V261" s="180">
        <v>4214.5064550833786</v>
      </c>
      <c r="W261" s="146">
        <v>15669.535</v>
      </c>
      <c r="X261" s="148">
        <v>1.1299999999999999E-2</v>
      </c>
      <c r="Y261" s="148">
        <v>4.3699999999999998E-3</v>
      </c>
      <c r="Z261" s="149">
        <v>6.4000000000000005E-4</v>
      </c>
      <c r="AA261" s="196"/>
    </row>
    <row r="262" spans="1:27" x14ac:dyDescent="0.2">
      <c r="A262" s="144" t="s">
        <v>1217</v>
      </c>
      <c r="B262" s="145" t="s">
        <v>1217</v>
      </c>
      <c r="C262" s="145" t="s">
        <v>3146</v>
      </c>
      <c r="D262" s="151"/>
      <c r="E262" s="151"/>
      <c r="F262" s="145" t="s">
        <v>3147</v>
      </c>
      <c r="G262" s="145" t="s">
        <v>3148</v>
      </c>
      <c r="H262" s="145" t="s">
        <v>314</v>
      </c>
      <c r="I262" s="145" t="s">
        <v>1000</v>
      </c>
      <c r="J262" s="151"/>
      <c r="K262" s="145" t="s">
        <v>205</v>
      </c>
      <c r="L262" s="151"/>
      <c r="M262" s="151"/>
      <c r="N262" s="145" t="s">
        <v>289</v>
      </c>
      <c r="O262" s="145" t="s">
        <v>339</v>
      </c>
      <c r="P262" s="176">
        <v>44525</v>
      </c>
      <c r="Q262" s="145" t="s">
        <v>1211</v>
      </c>
      <c r="R262" s="145" t="s">
        <v>885</v>
      </c>
      <c r="S262" s="145" t="s">
        <v>889</v>
      </c>
      <c r="T262" s="177">
        <v>45746</v>
      </c>
      <c r="U262" s="146">
        <v>3.718</v>
      </c>
      <c r="V262" s="180">
        <v>4179.0268961807424</v>
      </c>
      <c r="W262" s="146">
        <v>15537.621999999999</v>
      </c>
      <c r="X262" s="148">
        <v>7.7400000000000004E-3</v>
      </c>
      <c r="Y262" s="148">
        <v>4.3299999999999996E-3</v>
      </c>
      <c r="Z262" s="149">
        <v>6.4000000000000005E-4</v>
      </c>
      <c r="AA262" s="196"/>
    </row>
    <row r="263" spans="1:27" x14ac:dyDescent="0.2">
      <c r="A263" s="144" t="s">
        <v>1217</v>
      </c>
      <c r="B263" s="145" t="s">
        <v>1217</v>
      </c>
      <c r="C263" s="145" t="s">
        <v>2988</v>
      </c>
      <c r="D263" s="151"/>
      <c r="E263" s="151"/>
      <c r="F263" s="145" t="s">
        <v>3152</v>
      </c>
      <c r="G263" s="145" t="s">
        <v>3153</v>
      </c>
      <c r="H263" s="145" t="s">
        <v>314</v>
      </c>
      <c r="I263" s="145" t="s">
        <v>1000</v>
      </c>
      <c r="J263" s="151"/>
      <c r="K263" s="145" t="s">
        <v>205</v>
      </c>
      <c r="L263" s="151"/>
      <c r="M263" s="151"/>
      <c r="N263" s="145" t="s">
        <v>296</v>
      </c>
      <c r="O263" s="145" t="s">
        <v>339</v>
      </c>
      <c r="P263" s="176">
        <v>45371</v>
      </c>
      <c r="Q263" s="145" t="s">
        <v>1211</v>
      </c>
      <c r="R263" s="145" t="s">
        <v>885</v>
      </c>
      <c r="S263" s="145" t="s">
        <v>889</v>
      </c>
      <c r="T263" s="177">
        <v>45734</v>
      </c>
      <c r="U263" s="146">
        <v>3.718</v>
      </c>
      <c r="V263" s="180">
        <v>4160.3749327595478</v>
      </c>
      <c r="W263" s="146">
        <v>15468.273999999999</v>
      </c>
      <c r="X263" s="148">
        <v>2.81E-3</v>
      </c>
      <c r="Y263" s="148">
        <v>4.3099999999999996E-3</v>
      </c>
      <c r="Z263" s="149">
        <v>6.4000000000000005E-4</v>
      </c>
      <c r="AA263" s="196"/>
    </row>
    <row r="264" spans="1:27" x14ac:dyDescent="0.2">
      <c r="A264" s="144" t="s">
        <v>1217</v>
      </c>
      <c r="B264" s="145" t="s">
        <v>1217</v>
      </c>
      <c r="C264" s="145" t="s">
        <v>3166</v>
      </c>
      <c r="D264" s="151"/>
      <c r="E264" s="151"/>
      <c r="F264" s="145" t="s">
        <v>3167</v>
      </c>
      <c r="G264" s="145" t="s">
        <v>3168</v>
      </c>
      <c r="H264" s="145" t="s">
        <v>314</v>
      </c>
      <c r="I264" s="145" t="s">
        <v>1003</v>
      </c>
      <c r="J264" s="151"/>
      <c r="K264" s="145" t="s">
        <v>205</v>
      </c>
      <c r="L264" s="151"/>
      <c r="M264" s="151"/>
      <c r="N264" s="145" t="s">
        <v>291</v>
      </c>
      <c r="O264" s="145" t="s">
        <v>339</v>
      </c>
      <c r="P264" s="176">
        <v>44651</v>
      </c>
      <c r="Q264" s="145" t="s">
        <v>1211</v>
      </c>
      <c r="R264" s="145" t="s">
        <v>885</v>
      </c>
      <c r="S264" s="145" t="s">
        <v>889</v>
      </c>
      <c r="T264" s="177">
        <v>45715</v>
      </c>
      <c r="U264" s="146">
        <v>3.718</v>
      </c>
      <c r="V264" s="180">
        <v>4113.1051640667029</v>
      </c>
      <c r="W264" s="146">
        <v>15292.525</v>
      </c>
      <c r="X264" s="148">
        <v>2.5999999999999999E-3</v>
      </c>
      <c r="Y264" s="148">
        <v>4.2599999999999999E-3</v>
      </c>
      <c r="Z264" s="149">
        <v>6.3000000000000003E-4</v>
      </c>
      <c r="AA264" s="196"/>
    </row>
    <row r="265" spans="1:27" x14ac:dyDescent="0.2">
      <c r="A265" s="144" t="s">
        <v>1217</v>
      </c>
      <c r="B265" s="145" t="s">
        <v>1217</v>
      </c>
      <c r="C265" s="145" t="s">
        <v>3157</v>
      </c>
      <c r="D265" s="151"/>
      <c r="E265" s="151"/>
      <c r="F265" s="145" t="s">
        <v>3158</v>
      </c>
      <c r="G265" s="145" t="s">
        <v>3159</v>
      </c>
      <c r="H265" s="145" t="s">
        <v>314</v>
      </c>
      <c r="I265" s="145" t="s">
        <v>1003</v>
      </c>
      <c r="J265" s="151"/>
      <c r="K265" s="145" t="s">
        <v>205</v>
      </c>
      <c r="L265" s="151"/>
      <c r="M265" s="151"/>
      <c r="N265" s="145" t="s">
        <v>224</v>
      </c>
      <c r="O265" s="145" t="s">
        <v>339</v>
      </c>
      <c r="P265" s="176">
        <v>45671</v>
      </c>
      <c r="Q265" s="145" t="s">
        <v>1212</v>
      </c>
      <c r="R265" s="145" t="s">
        <v>885</v>
      </c>
      <c r="S265" s="145" t="s">
        <v>889</v>
      </c>
      <c r="T265" s="177">
        <v>45728</v>
      </c>
      <c r="U265" s="146">
        <v>4.0220000000000002</v>
      </c>
      <c r="V265" s="180">
        <v>3799.0372948781696</v>
      </c>
      <c r="W265" s="146">
        <v>15279.727999999999</v>
      </c>
      <c r="X265" s="148">
        <v>5.0699999999999999E-3</v>
      </c>
      <c r="Y265" s="148">
        <v>4.2599999999999999E-3</v>
      </c>
      <c r="Z265" s="149">
        <v>6.3000000000000003E-4</v>
      </c>
      <c r="AA265" s="196"/>
    </row>
    <row r="266" spans="1:27" x14ac:dyDescent="0.2">
      <c r="A266" s="144" t="s">
        <v>1217</v>
      </c>
      <c r="B266" s="145" t="s">
        <v>1217</v>
      </c>
      <c r="C266" s="145" t="s">
        <v>3154</v>
      </c>
      <c r="D266" s="151"/>
      <c r="E266" s="151"/>
      <c r="F266" s="145" t="s">
        <v>3155</v>
      </c>
      <c r="G266" s="145" t="s">
        <v>3156</v>
      </c>
      <c r="H266" s="145" t="s">
        <v>314</v>
      </c>
      <c r="I266" s="145" t="s">
        <v>1000</v>
      </c>
      <c r="J266" s="151"/>
      <c r="K266" s="145" t="s">
        <v>205</v>
      </c>
      <c r="L266" s="151"/>
      <c r="M266" s="151"/>
      <c r="N266" s="145" t="s">
        <v>291</v>
      </c>
      <c r="O266" s="145" t="s">
        <v>339</v>
      </c>
      <c r="P266" s="176">
        <v>44525</v>
      </c>
      <c r="Q266" s="145" t="s">
        <v>1211</v>
      </c>
      <c r="R266" s="145" t="s">
        <v>885</v>
      </c>
      <c r="S266" s="145" t="s">
        <v>889</v>
      </c>
      <c r="T266" s="177">
        <v>45747</v>
      </c>
      <c r="U266" s="146">
        <v>3.718</v>
      </c>
      <c r="V266" s="180">
        <v>4048.4031737493274</v>
      </c>
      <c r="W266" s="146">
        <v>15051.963</v>
      </c>
      <c r="X266" s="148">
        <v>4.2999999999999999E-4</v>
      </c>
      <c r="Y266" s="148">
        <v>4.1999999999999997E-3</v>
      </c>
      <c r="Z266" s="149">
        <v>6.2E-4</v>
      </c>
      <c r="AA266" s="196"/>
    </row>
    <row r="267" spans="1:27" x14ac:dyDescent="0.2">
      <c r="A267" s="144" t="s">
        <v>1217</v>
      </c>
      <c r="B267" s="145" t="s">
        <v>1217</v>
      </c>
      <c r="C267" s="145" t="s">
        <v>3160</v>
      </c>
      <c r="D267" s="151"/>
      <c r="E267" s="151"/>
      <c r="F267" s="145" t="s">
        <v>3161</v>
      </c>
      <c r="G267" s="145" t="s">
        <v>3162</v>
      </c>
      <c r="H267" s="145" t="s">
        <v>314</v>
      </c>
      <c r="I267" s="145" t="s">
        <v>1005</v>
      </c>
      <c r="J267" s="151"/>
      <c r="K267" s="145" t="s">
        <v>205</v>
      </c>
      <c r="L267" s="151"/>
      <c r="M267" s="151"/>
      <c r="N267" s="145" t="s">
        <v>224</v>
      </c>
      <c r="O267" s="145" t="s">
        <v>339</v>
      </c>
      <c r="P267" s="176">
        <v>44139</v>
      </c>
      <c r="Q267" s="145" t="s">
        <v>1211</v>
      </c>
      <c r="R267" s="145" t="s">
        <v>885</v>
      </c>
      <c r="S267" s="145" t="s">
        <v>889</v>
      </c>
      <c r="T267" s="177">
        <v>45722</v>
      </c>
      <c r="U267" s="146">
        <v>3.718</v>
      </c>
      <c r="V267" s="180">
        <v>3962.8639053254437</v>
      </c>
      <c r="W267" s="146">
        <v>14733.928</v>
      </c>
      <c r="X267" s="148">
        <v>3.8240000000000003E-2</v>
      </c>
      <c r="Y267" s="148">
        <v>4.1099999999999999E-3</v>
      </c>
      <c r="Z267" s="149">
        <v>6.0999999999999997E-4</v>
      </c>
      <c r="AA267" s="196"/>
    </row>
    <row r="268" spans="1:27" x14ac:dyDescent="0.2">
      <c r="A268" s="144" t="s">
        <v>1217</v>
      </c>
      <c r="B268" s="145" t="s">
        <v>1217</v>
      </c>
      <c r="C268" s="145" t="s">
        <v>3175</v>
      </c>
      <c r="D268" s="151"/>
      <c r="E268" s="151"/>
      <c r="F268" s="145" t="s">
        <v>3176</v>
      </c>
      <c r="G268" s="145" t="s">
        <v>3177</v>
      </c>
      <c r="H268" s="145" t="s">
        <v>314</v>
      </c>
      <c r="I268" s="145" t="s">
        <v>1004</v>
      </c>
      <c r="J268" s="151"/>
      <c r="K268" s="145" t="s">
        <v>205</v>
      </c>
      <c r="L268" s="151"/>
      <c r="M268" s="151"/>
      <c r="N268" s="145" t="s">
        <v>293</v>
      </c>
      <c r="O268" s="145" t="s">
        <v>339</v>
      </c>
      <c r="P268" s="176">
        <v>43185</v>
      </c>
      <c r="Q268" s="145" t="s">
        <v>1212</v>
      </c>
      <c r="R268" s="145" t="s">
        <v>885</v>
      </c>
      <c r="S268" s="145" t="s">
        <v>889</v>
      </c>
      <c r="T268" s="177">
        <v>45723</v>
      </c>
      <c r="U268" s="146">
        <v>4.0220000000000002</v>
      </c>
      <c r="V268" s="180">
        <v>3310.7536051715565</v>
      </c>
      <c r="W268" s="146">
        <v>13315.851000000001</v>
      </c>
      <c r="X268" s="151"/>
      <c r="Y268" s="148">
        <v>3.7100000000000002E-3</v>
      </c>
      <c r="Z268" s="149">
        <v>5.5000000000000003E-4</v>
      </c>
      <c r="AA268" s="196"/>
    </row>
    <row r="269" spans="1:27" x14ac:dyDescent="0.2">
      <c r="A269" s="144" t="s">
        <v>1217</v>
      </c>
      <c r="B269" s="145" t="s">
        <v>1217</v>
      </c>
      <c r="C269" s="145" t="s">
        <v>3172</v>
      </c>
      <c r="D269" s="151"/>
      <c r="E269" s="151"/>
      <c r="F269" s="145" t="s">
        <v>3173</v>
      </c>
      <c r="G269" s="145" t="s">
        <v>3174</v>
      </c>
      <c r="H269" s="145" t="s">
        <v>314</v>
      </c>
      <c r="I269" s="145" t="s">
        <v>1000</v>
      </c>
      <c r="J269" s="151"/>
      <c r="K269" s="145" t="s">
        <v>205</v>
      </c>
      <c r="L269" s="151"/>
      <c r="M269" s="151"/>
      <c r="N269" s="145" t="s">
        <v>224</v>
      </c>
      <c r="O269" s="145" t="s">
        <v>339</v>
      </c>
      <c r="P269" s="176">
        <v>44538</v>
      </c>
      <c r="Q269" s="145" t="s">
        <v>1211</v>
      </c>
      <c r="R269" s="145" t="s">
        <v>885</v>
      </c>
      <c r="S269" s="145" t="s">
        <v>889</v>
      </c>
      <c r="T269" s="177">
        <v>45747</v>
      </c>
      <c r="U269" s="146">
        <v>3.718</v>
      </c>
      <c r="V269" s="180">
        <v>3384.6234534696077</v>
      </c>
      <c r="W269" s="146">
        <v>12584.03</v>
      </c>
      <c r="X269" s="151"/>
      <c r="Y269" s="148">
        <v>3.5100000000000001E-3</v>
      </c>
      <c r="Z269" s="149">
        <v>5.1999999999999995E-4</v>
      </c>
      <c r="AA269" s="196"/>
    </row>
    <row r="270" spans="1:27" x14ac:dyDescent="0.2">
      <c r="A270" s="144" t="s">
        <v>1217</v>
      </c>
      <c r="B270" s="145" t="s">
        <v>1217</v>
      </c>
      <c r="C270" s="145" t="s">
        <v>3178</v>
      </c>
      <c r="D270" s="151"/>
      <c r="E270" s="151"/>
      <c r="F270" s="145" t="s">
        <v>3179</v>
      </c>
      <c r="G270" s="145" t="s">
        <v>3180</v>
      </c>
      <c r="H270" s="145" t="s">
        <v>314</v>
      </c>
      <c r="I270" s="145" t="s">
        <v>1000</v>
      </c>
      <c r="J270" s="151"/>
      <c r="K270" s="145" t="s">
        <v>205</v>
      </c>
      <c r="L270" s="151"/>
      <c r="M270" s="151"/>
      <c r="N270" s="145" t="s">
        <v>291</v>
      </c>
      <c r="O270" s="145" t="s">
        <v>339</v>
      </c>
      <c r="P270" s="176">
        <v>44769</v>
      </c>
      <c r="Q270" s="145" t="s">
        <v>1211</v>
      </c>
      <c r="R270" s="145" t="s">
        <v>885</v>
      </c>
      <c r="S270" s="145" t="s">
        <v>889</v>
      </c>
      <c r="T270" s="177">
        <v>45631</v>
      </c>
      <c r="U270" s="146">
        <v>3.718</v>
      </c>
      <c r="V270" s="180">
        <v>3284.8940290478754</v>
      </c>
      <c r="W270" s="146">
        <v>12213.236000000001</v>
      </c>
      <c r="X270" s="148">
        <v>1.9029999999999998E-2</v>
      </c>
      <c r="Y270" s="148">
        <v>3.4099999999999998E-3</v>
      </c>
      <c r="Z270" s="149">
        <v>5.0000000000000001E-4</v>
      </c>
      <c r="AA270" s="196"/>
    </row>
    <row r="271" spans="1:27" x14ac:dyDescent="0.2">
      <c r="A271" s="144" t="s">
        <v>1217</v>
      </c>
      <c r="B271" s="145" t="s">
        <v>1217</v>
      </c>
      <c r="C271" s="145" t="s">
        <v>3068</v>
      </c>
      <c r="D271" s="151"/>
      <c r="E271" s="151"/>
      <c r="F271" s="145" t="s">
        <v>3181</v>
      </c>
      <c r="G271" s="145" t="s">
        <v>3182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296</v>
      </c>
      <c r="O271" s="145" t="s">
        <v>339</v>
      </c>
      <c r="P271" s="176">
        <v>45475</v>
      </c>
      <c r="Q271" s="145" t="s">
        <v>1211</v>
      </c>
      <c r="R271" s="145" t="s">
        <v>885</v>
      </c>
      <c r="S271" s="145" t="s">
        <v>889</v>
      </c>
      <c r="T271" s="177">
        <v>45733</v>
      </c>
      <c r="U271" s="146">
        <v>3.718</v>
      </c>
      <c r="V271" s="180">
        <v>3145.2251210328136</v>
      </c>
      <c r="W271" s="146">
        <v>11693.947</v>
      </c>
      <c r="X271" s="148">
        <v>2.4000000000000001E-4</v>
      </c>
      <c r="Y271" s="148">
        <v>3.2599999999999999E-3</v>
      </c>
      <c r="Z271" s="149">
        <v>4.8000000000000001E-4</v>
      </c>
      <c r="AA271" s="196"/>
    </row>
    <row r="272" spans="1:27" x14ac:dyDescent="0.2">
      <c r="A272" s="144" t="s">
        <v>1217</v>
      </c>
      <c r="B272" s="145" t="s">
        <v>1217</v>
      </c>
      <c r="C272" s="145" t="s">
        <v>3183</v>
      </c>
      <c r="D272" s="151"/>
      <c r="E272" s="151"/>
      <c r="F272" s="145" t="s">
        <v>3184</v>
      </c>
      <c r="G272" s="145" t="s">
        <v>3185</v>
      </c>
      <c r="H272" s="145" t="s">
        <v>314</v>
      </c>
      <c r="I272" s="145" t="s">
        <v>1000</v>
      </c>
      <c r="J272" s="151"/>
      <c r="K272" s="145" t="s">
        <v>205</v>
      </c>
      <c r="L272" s="151"/>
      <c r="M272" s="151"/>
      <c r="N272" s="145" t="s">
        <v>224</v>
      </c>
      <c r="O272" s="145" t="s">
        <v>339</v>
      </c>
      <c r="P272" s="176">
        <v>45574</v>
      </c>
      <c r="Q272" s="145" t="s">
        <v>1211</v>
      </c>
      <c r="R272" s="145" t="s">
        <v>885</v>
      </c>
      <c r="S272" s="145" t="s">
        <v>889</v>
      </c>
      <c r="T272" s="177">
        <v>45747</v>
      </c>
      <c r="U272" s="146">
        <v>3.718</v>
      </c>
      <c r="V272" s="180">
        <v>2899.0018827326517</v>
      </c>
      <c r="W272" s="146">
        <v>10778.489</v>
      </c>
      <c r="X272" s="148">
        <v>1.92E-3</v>
      </c>
      <c r="Y272" s="148">
        <v>3.0100000000000001E-3</v>
      </c>
      <c r="Z272" s="149">
        <v>4.4000000000000002E-4</v>
      </c>
      <c r="AA272" s="196"/>
    </row>
    <row r="273" spans="1:27" x14ac:dyDescent="0.2">
      <c r="A273" s="144" t="s">
        <v>1217</v>
      </c>
      <c r="B273" s="145" t="s">
        <v>1217</v>
      </c>
      <c r="C273" s="145" t="s">
        <v>314</v>
      </c>
      <c r="D273" s="151"/>
      <c r="E273" s="151"/>
      <c r="F273" s="145" t="s">
        <v>3186</v>
      </c>
      <c r="G273" s="145" t="s">
        <v>3187</v>
      </c>
      <c r="H273" s="145" t="s">
        <v>314</v>
      </c>
      <c r="I273" s="145" t="s">
        <v>1005</v>
      </c>
      <c r="J273" s="151"/>
      <c r="K273" s="145" t="s">
        <v>205</v>
      </c>
      <c r="L273" s="151"/>
      <c r="M273" s="151"/>
      <c r="N273" s="145" t="s">
        <v>224</v>
      </c>
      <c r="O273" s="145" t="s">
        <v>339</v>
      </c>
      <c r="P273" s="176">
        <v>43521</v>
      </c>
      <c r="Q273" s="145" t="s">
        <v>1211</v>
      </c>
      <c r="R273" s="145" t="s">
        <v>885</v>
      </c>
      <c r="S273" s="145" t="s">
        <v>889</v>
      </c>
      <c r="T273" s="177">
        <v>45746</v>
      </c>
      <c r="U273" s="146">
        <v>3.718</v>
      </c>
      <c r="V273" s="180">
        <v>2683.5761161915007</v>
      </c>
      <c r="W273" s="146">
        <v>9977.5360000000001</v>
      </c>
      <c r="X273" s="151"/>
      <c r="Y273" s="148">
        <v>2.7799999999999999E-3</v>
      </c>
      <c r="Z273" s="149">
        <v>4.0999999999999999E-4</v>
      </c>
      <c r="AA273" s="196"/>
    </row>
    <row r="274" spans="1:27" x14ac:dyDescent="0.2">
      <c r="A274" s="144" t="s">
        <v>1217</v>
      </c>
      <c r="B274" s="145" t="s">
        <v>1217</v>
      </c>
      <c r="C274" s="145" t="s">
        <v>3188</v>
      </c>
      <c r="D274" s="151"/>
      <c r="E274" s="151"/>
      <c r="F274" s="145" t="s">
        <v>3189</v>
      </c>
      <c r="G274" s="145" t="s">
        <v>3190</v>
      </c>
      <c r="H274" s="145" t="s">
        <v>314</v>
      </c>
      <c r="I274" s="145" t="s">
        <v>1003</v>
      </c>
      <c r="J274" s="151"/>
      <c r="K274" s="145" t="s">
        <v>205</v>
      </c>
      <c r="L274" s="151"/>
      <c r="M274" s="151"/>
      <c r="N274" s="145" t="s">
        <v>204</v>
      </c>
      <c r="O274" s="145" t="s">
        <v>339</v>
      </c>
      <c r="P274" s="176">
        <v>45119</v>
      </c>
      <c r="Q274" s="145" t="s">
        <v>1210</v>
      </c>
      <c r="R274" s="145" t="s">
        <v>885</v>
      </c>
      <c r="S274" s="145" t="s">
        <v>889</v>
      </c>
      <c r="T274" s="177">
        <v>45739</v>
      </c>
      <c r="U274" s="146">
        <v>1</v>
      </c>
      <c r="V274" s="180">
        <v>9699.0339999999997</v>
      </c>
      <c r="W274" s="146">
        <v>9699.0339999999997</v>
      </c>
      <c r="X274" s="148">
        <v>1.261E-2</v>
      </c>
      <c r="Y274" s="148">
        <v>2.7000000000000001E-3</v>
      </c>
      <c r="Z274" s="149">
        <v>4.0000000000000002E-4</v>
      </c>
      <c r="AA274" s="196"/>
    </row>
    <row r="275" spans="1:27" x14ac:dyDescent="0.2">
      <c r="A275" s="144" t="s">
        <v>1217</v>
      </c>
      <c r="B275" s="145" t="s">
        <v>1217</v>
      </c>
      <c r="C275" s="145" t="s">
        <v>314</v>
      </c>
      <c r="D275" s="151"/>
      <c r="E275" s="151"/>
      <c r="F275" s="145" t="s">
        <v>3191</v>
      </c>
      <c r="G275" s="145" t="s">
        <v>3192</v>
      </c>
      <c r="H275" s="145" t="s">
        <v>314</v>
      </c>
      <c r="I275" s="145" t="s">
        <v>1005</v>
      </c>
      <c r="J275" s="151"/>
      <c r="K275" s="145" t="s">
        <v>205</v>
      </c>
      <c r="L275" s="151"/>
      <c r="M275" s="151"/>
      <c r="N275" s="145" t="s">
        <v>244</v>
      </c>
      <c r="O275" s="145" t="s">
        <v>339</v>
      </c>
      <c r="P275" s="176">
        <v>45055</v>
      </c>
      <c r="Q275" s="145" t="s">
        <v>1211</v>
      </c>
      <c r="R275" s="145" t="s">
        <v>885</v>
      </c>
      <c r="S275" s="145" t="s">
        <v>889</v>
      </c>
      <c r="T275" s="177">
        <v>45707</v>
      </c>
      <c r="U275" s="146">
        <v>3.718</v>
      </c>
      <c r="V275" s="180">
        <v>2507.4376008606778</v>
      </c>
      <c r="W275" s="146">
        <v>9322.6530000000002</v>
      </c>
      <c r="X275" s="148">
        <v>0.13797000000000001</v>
      </c>
      <c r="Y275" s="148">
        <v>2.5999999999999999E-3</v>
      </c>
      <c r="Z275" s="149">
        <v>3.8000000000000002E-4</v>
      </c>
      <c r="AA275" s="196"/>
    </row>
    <row r="276" spans="1:27" x14ac:dyDescent="0.2">
      <c r="A276" s="144" t="s">
        <v>1217</v>
      </c>
      <c r="B276" s="145" t="s">
        <v>1217</v>
      </c>
      <c r="C276" s="145" t="s">
        <v>3193</v>
      </c>
      <c r="D276" s="151"/>
      <c r="E276" s="151"/>
      <c r="F276" s="145" t="s">
        <v>3161</v>
      </c>
      <c r="G276" s="145" t="s">
        <v>3194</v>
      </c>
      <c r="H276" s="145" t="s">
        <v>314</v>
      </c>
      <c r="I276" s="145" t="s">
        <v>1005</v>
      </c>
      <c r="J276" s="151"/>
      <c r="K276" s="145" t="s">
        <v>205</v>
      </c>
      <c r="L276" s="151"/>
      <c r="M276" s="151"/>
      <c r="N276" s="145" t="s">
        <v>224</v>
      </c>
      <c r="O276" s="145" t="s">
        <v>339</v>
      </c>
      <c r="P276" s="176">
        <v>44133</v>
      </c>
      <c r="Q276" s="145" t="s">
        <v>1211</v>
      </c>
      <c r="R276" s="145" t="s">
        <v>885</v>
      </c>
      <c r="S276" s="145" t="s">
        <v>889</v>
      </c>
      <c r="T276" s="177">
        <v>45735</v>
      </c>
      <c r="U276" s="146">
        <v>3.718</v>
      </c>
      <c r="V276" s="180">
        <v>2234.6939214631525</v>
      </c>
      <c r="W276" s="146">
        <v>8308.5920000000006</v>
      </c>
      <c r="X276" s="148">
        <v>3.2219999999999999E-2</v>
      </c>
      <c r="Y276" s="148">
        <v>2.32E-3</v>
      </c>
      <c r="Z276" s="149">
        <v>3.4000000000000002E-4</v>
      </c>
      <c r="AA276" s="196"/>
    </row>
    <row r="277" spans="1:27" x14ac:dyDescent="0.2">
      <c r="A277" s="144" t="s">
        <v>1217</v>
      </c>
      <c r="B277" s="145" t="s">
        <v>1217</v>
      </c>
      <c r="C277" s="145" t="s">
        <v>3097</v>
      </c>
      <c r="D277" s="151"/>
      <c r="E277" s="151"/>
      <c r="F277" s="145" t="s">
        <v>3195</v>
      </c>
      <c r="G277" s="145" t="s">
        <v>3196</v>
      </c>
      <c r="H277" s="145" t="s">
        <v>314</v>
      </c>
      <c r="I277" s="145" t="s">
        <v>1000</v>
      </c>
      <c r="J277" s="151"/>
      <c r="K277" s="145" t="s">
        <v>205</v>
      </c>
      <c r="L277" s="151"/>
      <c r="M277" s="151"/>
      <c r="N277" s="145" t="s">
        <v>224</v>
      </c>
      <c r="O277" s="145" t="s">
        <v>339</v>
      </c>
      <c r="P277" s="176">
        <v>45089</v>
      </c>
      <c r="Q277" s="145" t="s">
        <v>1212</v>
      </c>
      <c r="R277" s="145" t="s">
        <v>885</v>
      </c>
      <c r="S277" s="145" t="s">
        <v>889</v>
      </c>
      <c r="T277" s="177">
        <v>45715</v>
      </c>
      <c r="U277" s="146">
        <v>4.0220000000000002</v>
      </c>
      <c r="V277" s="180">
        <v>2025.832670313277</v>
      </c>
      <c r="W277" s="146">
        <v>8147.8990000000003</v>
      </c>
      <c r="X277" s="151"/>
      <c r="Y277" s="148">
        <v>2.2699999999999999E-3</v>
      </c>
      <c r="Z277" s="149">
        <v>3.4000000000000002E-4</v>
      </c>
      <c r="AA277" s="196"/>
    </row>
    <row r="278" spans="1:27" x14ac:dyDescent="0.2">
      <c r="A278" s="144" t="s">
        <v>1217</v>
      </c>
      <c r="B278" s="145" t="s">
        <v>1217</v>
      </c>
      <c r="C278" s="145" t="s">
        <v>3200</v>
      </c>
      <c r="D278" s="151"/>
      <c r="E278" s="151"/>
      <c r="F278" s="145" t="s">
        <v>3201</v>
      </c>
      <c r="G278" s="145" t="s">
        <v>3202</v>
      </c>
      <c r="H278" s="145" t="s">
        <v>314</v>
      </c>
      <c r="I278" s="145" t="s">
        <v>1003</v>
      </c>
      <c r="J278" s="151"/>
      <c r="K278" s="145" t="s">
        <v>205</v>
      </c>
      <c r="L278" s="151"/>
      <c r="M278" s="151"/>
      <c r="N278" s="145" t="s">
        <v>224</v>
      </c>
      <c r="O278" s="145" t="s">
        <v>339</v>
      </c>
      <c r="P278" s="176">
        <v>45498</v>
      </c>
      <c r="Q278" s="145" t="s">
        <v>1211</v>
      </c>
      <c r="R278" s="145" t="s">
        <v>885</v>
      </c>
      <c r="S278" s="145" t="s">
        <v>889</v>
      </c>
      <c r="T278" s="177">
        <v>45746</v>
      </c>
      <c r="U278" s="146">
        <v>3.718</v>
      </c>
      <c r="V278" s="180">
        <v>1956.1791285637439</v>
      </c>
      <c r="W278" s="146">
        <v>7273.0739999999996</v>
      </c>
      <c r="X278" s="148">
        <v>3.7659999999999999E-2</v>
      </c>
      <c r="Y278" s="148">
        <v>2.0300000000000001E-3</v>
      </c>
      <c r="Z278" s="149">
        <v>2.9999999999999997E-4</v>
      </c>
      <c r="AA278" s="196"/>
    </row>
    <row r="279" spans="1:27" x14ac:dyDescent="0.2">
      <c r="A279" s="144" t="s">
        <v>1217</v>
      </c>
      <c r="B279" s="145" t="s">
        <v>1217</v>
      </c>
      <c r="C279" s="145" t="s">
        <v>3208</v>
      </c>
      <c r="D279" s="151"/>
      <c r="E279" s="151"/>
      <c r="F279" s="145" t="s">
        <v>3209</v>
      </c>
      <c r="G279" s="145" t="s">
        <v>3210</v>
      </c>
      <c r="H279" s="145" t="s">
        <v>314</v>
      </c>
      <c r="I279" s="145" t="s">
        <v>1000</v>
      </c>
      <c r="J279" s="151"/>
      <c r="K279" s="145" t="s">
        <v>205</v>
      </c>
      <c r="L279" s="151"/>
      <c r="M279" s="151"/>
      <c r="N279" s="145" t="s">
        <v>217</v>
      </c>
      <c r="O279" s="145" t="s">
        <v>339</v>
      </c>
      <c r="P279" s="176">
        <v>43116</v>
      </c>
      <c r="Q279" s="145" t="s">
        <v>1211</v>
      </c>
      <c r="R279" s="145" t="s">
        <v>885</v>
      </c>
      <c r="S279" s="145" t="s">
        <v>889</v>
      </c>
      <c r="T279" s="177">
        <v>45704</v>
      </c>
      <c r="U279" s="146">
        <v>3.718</v>
      </c>
      <c r="V279" s="180">
        <v>1893.5941366325981</v>
      </c>
      <c r="W279" s="146">
        <v>7040.3829999999998</v>
      </c>
      <c r="X279" s="151"/>
      <c r="Y279" s="148">
        <v>1.9599999999999999E-3</v>
      </c>
      <c r="Z279" s="149">
        <v>2.9E-4</v>
      </c>
      <c r="AA279" s="196"/>
    </row>
    <row r="280" spans="1:27" x14ac:dyDescent="0.2">
      <c r="A280" s="144" t="s">
        <v>1217</v>
      </c>
      <c r="B280" s="145" t="s">
        <v>1217</v>
      </c>
      <c r="C280" s="145" t="s">
        <v>3197</v>
      </c>
      <c r="D280" s="151"/>
      <c r="E280" s="151"/>
      <c r="F280" s="145" t="s">
        <v>3198</v>
      </c>
      <c r="G280" s="145" t="s">
        <v>3199</v>
      </c>
      <c r="H280" s="145" t="s">
        <v>314</v>
      </c>
      <c r="I280" s="145" t="s">
        <v>1000</v>
      </c>
      <c r="J280" s="151"/>
      <c r="K280" s="145" t="s">
        <v>205</v>
      </c>
      <c r="L280" s="151"/>
      <c r="M280" s="151"/>
      <c r="N280" s="145" t="s">
        <v>291</v>
      </c>
      <c r="O280" s="145" t="s">
        <v>339</v>
      </c>
      <c r="P280" s="176">
        <v>44393</v>
      </c>
      <c r="Q280" s="145" t="s">
        <v>1211</v>
      </c>
      <c r="R280" s="145" t="s">
        <v>885</v>
      </c>
      <c r="S280" s="145" t="s">
        <v>889</v>
      </c>
      <c r="T280" s="177">
        <v>45722</v>
      </c>
      <c r="U280" s="146">
        <v>3.718</v>
      </c>
      <c r="V280" s="180">
        <v>1868.0935987089833</v>
      </c>
      <c r="W280" s="146">
        <v>6945.5720000000001</v>
      </c>
      <c r="X280" s="151"/>
      <c r="Y280" s="148">
        <v>1.9400000000000001E-3</v>
      </c>
      <c r="Z280" s="149">
        <v>2.9E-4</v>
      </c>
      <c r="AA280" s="196"/>
    </row>
    <row r="281" spans="1:27" x14ac:dyDescent="0.2">
      <c r="A281" s="144" t="s">
        <v>1217</v>
      </c>
      <c r="B281" s="145" t="s">
        <v>1217</v>
      </c>
      <c r="C281" s="145" t="s">
        <v>3203</v>
      </c>
      <c r="D281" s="151"/>
      <c r="E281" s="151"/>
      <c r="F281" s="145" t="s">
        <v>3204</v>
      </c>
      <c r="G281" s="145" t="s">
        <v>3205</v>
      </c>
      <c r="H281" s="145" t="s">
        <v>314</v>
      </c>
      <c r="I281" s="145" t="s">
        <v>1004</v>
      </c>
      <c r="J281" s="151"/>
      <c r="K281" s="145" t="s">
        <v>205</v>
      </c>
      <c r="L281" s="151"/>
      <c r="M281" s="151"/>
      <c r="N281" s="145" t="s">
        <v>224</v>
      </c>
      <c r="O281" s="145" t="s">
        <v>339</v>
      </c>
      <c r="P281" s="176">
        <v>45350</v>
      </c>
      <c r="Q281" s="145" t="s">
        <v>1211</v>
      </c>
      <c r="R281" s="145" t="s">
        <v>885</v>
      </c>
      <c r="S281" s="145" t="s">
        <v>889</v>
      </c>
      <c r="T281" s="177">
        <v>45747</v>
      </c>
      <c r="U281" s="146">
        <v>3.718</v>
      </c>
      <c r="V281" s="180">
        <v>1796.3273265196342</v>
      </c>
      <c r="W281" s="146">
        <v>6678.7449999999999</v>
      </c>
      <c r="X281" s="148">
        <v>8.7000000000000001E-4</v>
      </c>
      <c r="Y281" s="148">
        <v>1.8600000000000001E-3</v>
      </c>
      <c r="Z281" s="149">
        <v>2.7E-4</v>
      </c>
      <c r="AA281" s="196"/>
    </row>
    <row r="282" spans="1:27" x14ac:dyDescent="0.2">
      <c r="A282" s="144" t="s">
        <v>1217</v>
      </c>
      <c r="B282" s="145" t="s">
        <v>1217</v>
      </c>
      <c r="C282" s="145" t="s">
        <v>3103</v>
      </c>
      <c r="D282" s="151"/>
      <c r="E282" s="151"/>
      <c r="F282" s="145" t="s">
        <v>3206</v>
      </c>
      <c r="G282" s="145" t="s">
        <v>3207</v>
      </c>
      <c r="H282" s="145" t="s">
        <v>314</v>
      </c>
      <c r="I282" s="145" t="s">
        <v>1003</v>
      </c>
      <c r="J282" s="151"/>
      <c r="K282" s="145" t="s">
        <v>205</v>
      </c>
      <c r="L282" s="151"/>
      <c r="M282" s="151"/>
      <c r="N282" s="145" t="s">
        <v>224</v>
      </c>
      <c r="O282" s="145" t="s">
        <v>339</v>
      </c>
      <c r="P282" s="176">
        <v>44560</v>
      </c>
      <c r="Q282" s="145" t="s">
        <v>1211</v>
      </c>
      <c r="R282" s="145" t="s">
        <v>885</v>
      </c>
      <c r="S282" s="145" t="s">
        <v>889</v>
      </c>
      <c r="T282" s="177">
        <v>45707</v>
      </c>
      <c r="U282" s="146">
        <v>3.718</v>
      </c>
      <c r="V282" s="180">
        <v>1762.5691231845078</v>
      </c>
      <c r="W282" s="146">
        <v>6553.232</v>
      </c>
      <c r="X282" s="151"/>
      <c r="Y282" s="148">
        <v>1.83E-3</v>
      </c>
      <c r="Z282" s="149">
        <v>2.7E-4</v>
      </c>
      <c r="AA282" s="196"/>
    </row>
    <row r="283" spans="1:27" x14ac:dyDescent="0.2">
      <c r="A283" s="144" t="s">
        <v>1217</v>
      </c>
      <c r="B283" s="145" t="s">
        <v>1217</v>
      </c>
      <c r="C283" s="145" t="s">
        <v>3211</v>
      </c>
      <c r="D283" s="151"/>
      <c r="E283" s="151"/>
      <c r="F283" s="145" t="s">
        <v>3212</v>
      </c>
      <c r="G283" s="145" t="s">
        <v>3213</v>
      </c>
      <c r="H283" s="145" t="s">
        <v>314</v>
      </c>
      <c r="I283" s="145" t="s">
        <v>1000</v>
      </c>
      <c r="J283" s="151"/>
      <c r="K283" s="145" t="s">
        <v>205</v>
      </c>
      <c r="L283" s="151"/>
      <c r="M283" s="151"/>
      <c r="N283" s="145" t="s">
        <v>204</v>
      </c>
      <c r="O283" s="145" t="s">
        <v>339</v>
      </c>
      <c r="P283" s="176">
        <v>44742</v>
      </c>
      <c r="Q283" s="145" t="s">
        <v>1211</v>
      </c>
      <c r="R283" s="145" t="s">
        <v>885</v>
      </c>
      <c r="S283" s="145" t="s">
        <v>889</v>
      </c>
      <c r="T283" s="177">
        <v>45733</v>
      </c>
      <c r="U283" s="146">
        <v>3.718</v>
      </c>
      <c r="V283" s="180">
        <v>1532.752824098978</v>
      </c>
      <c r="W283" s="146">
        <v>5698.7749999999996</v>
      </c>
      <c r="X283" s="148">
        <v>3.4199999999999999E-3</v>
      </c>
      <c r="Y283" s="148">
        <v>1.5900000000000001E-3</v>
      </c>
      <c r="Z283" s="149">
        <v>2.3000000000000001E-4</v>
      </c>
      <c r="AA283" s="196"/>
    </row>
    <row r="284" spans="1:27" x14ac:dyDescent="0.2">
      <c r="A284" s="144" t="s">
        <v>1217</v>
      </c>
      <c r="B284" s="145" t="s">
        <v>1217</v>
      </c>
      <c r="C284" s="145" t="s">
        <v>3214</v>
      </c>
      <c r="D284" s="151"/>
      <c r="E284" s="151"/>
      <c r="F284" s="145" t="s">
        <v>3215</v>
      </c>
      <c r="G284" s="145" t="s">
        <v>3216</v>
      </c>
      <c r="H284" s="145" t="s">
        <v>314</v>
      </c>
      <c r="I284" s="145" t="s">
        <v>1000</v>
      </c>
      <c r="J284" s="151"/>
      <c r="K284" s="145" t="s">
        <v>205</v>
      </c>
      <c r="L284" s="151"/>
      <c r="M284" s="151"/>
      <c r="N284" s="145" t="s">
        <v>217</v>
      </c>
      <c r="O284" s="145" t="s">
        <v>339</v>
      </c>
      <c r="P284" s="176">
        <v>44560</v>
      </c>
      <c r="Q284" s="145" t="s">
        <v>1211</v>
      </c>
      <c r="R284" s="145" t="s">
        <v>885</v>
      </c>
      <c r="S284" s="145" t="s">
        <v>889</v>
      </c>
      <c r="T284" s="177">
        <v>45704</v>
      </c>
      <c r="U284" s="146">
        <v>3.718</v>
      </c>
      <c r="V284" s="180">
        <v>1215.6594943518021</v>
      </c>
      <c r="W284" s="146">
        <v>4519.8220000000001</v>
      </c>
      <c r="X284" s="151"/>
      <c r="Y284" s="148">
        <v>1.2600000000000001E-3</v>
      </c>
      <c r="Z284" s="149">
        <v>1.9000000000000001E-4</v>
      </c>
      <c r="AA284" s="196"/>
    </row>
    <row r="285" spans="1:27" x14ac:dyDescent="0.2">
      <c r="A285" s="144" t="s">
        <v>1217</v>
      </c>
      <c r="B285" s="145" t="s">
        <v>1217</v>
      </c>
      <c r="C285" s="145" t="s">
        <v>3166</v>
      </c>
      <c r="D285" s="151"/>
      <c r="E285" s="151"/>
      <c r="F285" s="145" t="s">
        <v>3217</v>
      </c>
      <c r="G285" s="145" t="s">
        <v>3218</v>
      </c>
      <c r="H285" s="145" t="s">
        <v>314</v>
      </c>
      <c r="I285" s="145" t="s">
        <v>1003</v>
      </c>
      <c r="J285" s="151"/>
      <c r="K285" s="145" t="s">
        <v>205</v>
      </c>
      <c r="L285" s="151"/>
      <c r="M285" s="151"/>
      <c r="N285" s="145" t="s">
        <v>291</v>
      </c>
      <c r="O285" s="145" t="s">
        <v>339</v>
      </c>
      <c r="P285" s="176">
        <v>44651</v>
      </c>
      <c r="Q285" s="145" t="s">
        <v>1211</v>
      </c>
      <c r="R285" s="145" t="s">
        <v>885</v>
      </c>
      <c r="S285" s="145" t="s">
        <v>889</v>
      </c>
      <c r="T285" s="177">
        <v>45715</v>
      </c>
      <c r="U285" s="146">
        <v>3.718</v>
      </c>
      <c r="V285" s="180">
        <v>721.99650349650346</v>
      </c>
      <c r="W285" s="146">
        <v>2684.3829999999998</v>
      </c>
      <c r="X285" s="148">
        <v>4.3600000000000002E-3</v>
      </c>
      <c r="Y285" s="148">
        <v>7.5000000000000002E-4</v>
      </c>
      <c r="Z285" s="149">
        <v>1.1E-4</v>
      </c>
      <c r="AA285" s="196"/>
    </row>
    <row r="286" spans="1:27" x14ac:dyDescent="0.2">
      <c r="A286" s="144" t="s">
        <v>1217</v>
      </c>
      <c r="B286" s="145" t="s">
        <v>1217</v>
      </c>
      <c r="C286" s="145" t="s">
        <v>3219</v>
      </c>
      <c r="D286" s="151"/>
      <c r="E286" s="151"/>
      <c r="F286" s="145" t="s">
        <v>3220</v>
      </c>
      <c r="G286" s="145" t="s">
        <v>3221</v>
      </c>
      <c r="H286" s="145" t="s">
        <v>314</v>
      </c>
      <c r="I286" s="145" t="s">
        <v>1000</v>
      </c>
      <c r="J286" s="151"/>
      <c r="K286" s="145" t="s">
        <v>205</v>
      </c>
      <c r="L286" s="151"/>
      <c r="M286" s="151"/>
      <c r="N286" s="145" t="s">
        <v>224</v>
      </c>
      <c r="O286" s="145" t="s">
        <v>339</v>
      </c>
      <c r="P286" s="176">
        <v>45722</v>
      </c>
      <c r="Q286" s="145" t="s">
        <v>1211</v>
      </c>
      <c r="R286" s="145" t="s">
        <v>885</v>
      </c>
      <c r="S286" s="145" t="s">
        <v>889</v>
      </c>
      <c r="T286" s="177">
        <v>45722</v>
      </c>
      <c r="U286" s="146">
        <v>3.718</v>
      </c>
      <c r="V286" s="180">
        <v>446.46422807961267</v>
      </c>
      <c r="W286" s="146">
        <v>1659.954</v>
      </c>
      <c r="X286" s="148">
        <v>8.0000000000000007E-5</v>
      </c>
      <c r="Y286" s="148">
        <v>4.6000000000000001E-4</v>
      </c>
      <c r="Z286" s="149">
        <v>6.9999999999999994E-5</v>
      </c>
      <c r="AA286" s="196"/>
    </row>
    <row r="287" spans="1:27" x14ac:dyDescent="0.2">
      <c r="A287" s="144" t="s">
        <v>1217</v>
      </c>
      <c r="B287" s="145" t="s">
        <v>1217</v>
      </c>
      <c r="C287" s="145" t="s">
        <v>3068</v>
      </c>
      <c r="D287" s="151"/>
      <c r="E287" s="151"/>
      <c r="F287" s="145" t="s">
        <v>3222</v>
      </c>
      <c r="G287" s="145" t="s">
        <v>3223</v>
      </c>
      <c r="H287" s="145" t="s">
        <v>314</v>
      </c>
      <c r="I287" s="145" t="s">
        <v>1000</v>
      </c>
      <c r="J287" s="151"/>
      <c r="K287" s="145" t="s">
        <v>205</v>
      </c>
      <c r="L287" s="151"/>
      <c r="M287" s="151"/>
      <c r="N287" s="145" t="s">
        <v>296</v>
      </c>
      <c r="O287" s="145" t="s">
        <v>339</v>
      </c>
      <c r="P287" s="176">
        <v>45512</v>
      </c>
      <c r="Q287" s="145" t="s">
        <v>1211</v>
      </c>
      <c r="R287" s="145" t="s">
        <v>885</v>
      </c>
      <c r="S287" s="145" t="s">
        <v>889</v>
      </c>
      <c r="T287" s="177">
        <v>45732</v>
      </c>
      <c r="U287" s="146">
        <v>3.718</v>
      </c>
      <c r="V287" s="180">
        <v>185.68827326519636</v>
      </c>
      <c r="W287" s="146">
        <v>690.38900000000001</v>
      </c>
      <c r="X287" s="148">
        <v>3.0999999999999999E-3</v>
      </c>
      <c r="Y287" s="148">
        <v>1.9000000000000001E-4</v>
      </c>
      <c r="Z287" s="149">
        <v>3.0000000000000001E-5</v>
      </c>
      <c r="AA287" s="196"/>
    </row>
    <row r="288" spans="1:27" x14ac:dyDescent="0.2">
      <c r="A288" s="144" t="s">
        <v>1217</v>
      </c>
      <c r="B288" s="145" t="s">
        <v>1217</v>
      </c>
      <c r="C288" s="145" t="s">
        <v>3214</v>
      </c>
      <c r="D288" s="151"/>
      <c r="E288" s="151"/>
      <c r="F288" s="145" t="s">
        <v>3224</v>
      </c>
      <c r="G288" s="145" t="s">
        <v>3225</v>
      </c>
      <c r="H288" s="145" t="s">
        <v>314</v>
      </c>
      <c r="I288" s="145" t="s">
        <v>1000</v>
      </c>
      <c r="J288" s="151"/>
      <c r="K288" s="145" t="s">
        <v>205</v>
      </c>
      <c r="L288" s="151"/>
      <c r="M288" s="151"/>
      <c r="N288" s="145" t="s">
        <v>217</v>
      </c>
      <c r="O288" s="145" t="s">
        <v>339</v>
      </c>
      <c r="P288" s="176">
        <v>44560</v>
      </c>
      <c r="Q288" s="145" t="s">
        <v>1211</v>
      </c>
      <c r="R288" s="145" t="s">
        <v>885</v>
      </c>
      <c r="S288" s="145" t="s">
        <v>889</v>
      </c>
      <c r="T288" s="177">
        <v>45722</v>
      </c>
      <c r="U288" s="146">
        <v>3.718</v>
      </c>
      <c r="V288" s="180">
        <v>133.27918235610542</v>
      </c>
      <c r="W288" s="146">
        <v>495.53199999999998</v>
      </c>
      <c r="X288" s="148">
        <v>1.1999999999999999E-3</v>
      </c>
      <c r="Y288" s="148">
        <v>1.3999999999999999E-4</v>
      </c>
      <c r="Z288" s="149">
        <v>2.0000000000000002E-5</v>
      </c>
      <c r="AA288" s="196"/>
    </row>
    <row r="289" spans="1:27" x14ac:dyDescent="0.2">
      <c r="A289" s="144" t="s">
        <v>1217</v>
      </c>
      <c r="B289" s="145" t="s">
        <v>1217</v>
      </c>
      <c r="C289" s="145" t="s">
        <v>314</v>
      </c>
      <c r="D289" s="151"/>
      <c r="E289" s="151"/>
      <c r="F289" s="145" t="s">
        <v>3231</v>
      </c>
      <c r="G289" s="145" t="s">
        <v>3232</v>
      </c>
      <c r="H289" s="145" t="s">
        <v>314</v>
      </c>
      <c r="I289" s="145" t="s">
        <v>1005</v>
      </c>
      <c r="J289" s="151"/>
      <c r="K289" s="145" t="s">
        <v>205</v>
      </c>
      <c r="L289" s="151"/>
      <c r="M289" s="151"/>
      <c r="N289" s="145" t="s">
        <v>224</v>
      </c>
      <c r="O289" s="145" t="s">
        <v>339</v>
      </c>
      <c r="P289" s="176">
        <v>39136</v>
      </c>
      <c r="Q289" s="145" t="s">
        <v>1211</v>
      </c>
      <c r="R289" s="145" t="s">
        <v>885</v>
      </c>
      <c r="S289" s="145" t="s">
        <v>889</v>
      </c>
      <c r="T289" s="177">
        <v>43402</v>
      </c>
      <c r="U289" s="146">
        <v>3.718</v>
      </c>
      <c r="V289" s="180"/>
      <c r="W289" s="146">
        <v>0</v>
      </c>
      <c r="X289" s="151"/>
      <c r="Y289" s="148">
        <v>0</v>
      </c>
      <c r="Z289" s="149">
        <v>0</v>
      </c>
      <c r="AA289" s="196"/>
    </row>
    <row r="290" spans="1:27" x14ac:dyDescent="0.2">
      <c r="A290" s="144" t="s">
        <v>1205</v>
      </c>
      <c r="B290" s="145" t="s">
        <v>1206</v>
      </c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45"/>
      <c r="Q290" s="151"/>
      <c r="R290" s="151"/>
      <c r="S290" s="151"/>
      <c r="T290" s="151"/>
      <c r="U290" s="151"/>
      <c r="V290" s="151"/>
      <c r="W290" s="151"/>
      <c r="X290" s="151"/>
      <c r="Y290" s="151"/>
      <c r="Z290" s="178"/>
      <c r="AA290" s="196"/>
    </row>
    <row r="291" spans="1:27" x14ac:dyDescent="0.2">
      <c r="A291" s="144" t="s">
        <v>1205</v>
      </c>
      <c r="B291" s="145" t="s">
        <v>1214</v>
      </c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45"/>
      <c r="Q291" s="151"/>
      <c r="R291" s="151"/>
      <c r="S291" s="151"/>
      <c r="T291" s="151"/>
      <c r="U291" s="151"/>
      <c r="V291" s="151"/>
      <c r="W291" s="151"/>
      <c r="X291" s="151"/>
      <c r="Y291" s="151"/>
      <c r="Z291" s="178"/>
      <c r="AA291" s="196"/>
    </row>
    <row r="292" spans="1:27" x14ac:dyDescent="0.2">
      <c r="A292" s="144" t="s">
        <v>1217</v>
      </c>
      <c r="B292" s="145" t="s">
        <v>1218</v>
      </c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45"/>
      <c r="Q292" s="151"/>
      <c r="R292" s="151"/>
      <c r="S292" s="151"/>
      <c r="T292" s="151"/>
      <c r="U292" s="151"/>
      <c r="V292" s="151"/>
      <c r="W292" s="151"/>
      <c r="X292" s="151"/>
      <c r="Y292" s="151"/>
      <c r="Z292" s="178"/>
      <c r="AA292" s="196"/>
    </row>
    <row r="293" spans="1:27" x14ac:dyDescent="0.2">
      <c r="A293" s="152" t="s">
        <v>1217</v>
      </c>
      <c r="B293" s="153" t="s">
        <v>1219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3"/>
      <c r="Q293" s="155"/>
      <c r="R293" s="155"/>
      <c r="S293" s="155"/>
      <c r="T293" s="155"/>
      <c r="U293" s="155"/>
      <c r="V293" s="155"/>
      <c r="W293" s="155"/>
      <c r="X293" s="155"/>
      <c r="Y293" s="155"/>
      <c r="Z293" s="175"/>
      <c r="AA293" s="196"/>
    </row>
    <row r="294" spans="1:27" x14ac:dyDescent="0.2">
      <c r="A294" s="196" t="s">
        <v>3461</v>
      </c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spans="1:27" x14ac:dyDescent="0.2">
      <c r="A295" s="2" t="s">
        <v>3460</v>
      </c>
    </row>
    <row r="296" spans="1:27" x14ac:dyDescent="0.2">
      <c r="A296" s="19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94:Z294"/>
    <mergeCell ref="AA2:AA293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3483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196" t="s">
        <v>3462</v>
      </c>
    </row>
    <row r="3" spans="1:29" x14ac:dyDescent="0.2">
      <c r="A3" s="144" t="s">
        <v>1205</v>
      </c>
      <c r="B3" s="145" t="s">
        <v>1205</v>
      </c>
      <c r="C3" s="145" t="s">
        <v>2768</v>
      </c>
      <c r="D3" s="145" t="s">
        <v>2769</v>
      </c>
      <c r="E3" s="145" t="s">
        <v>314</v>
      </c>
      <c r="F3" s="145" t="s">
        <v>3233</v>
      </c>
      <c r="G3" s="145" t="s">
        <v>3234</v>
      </c>
      <c r="H3" s="145" t="s">
        <v>312</v>
      </c>
      <c r="I3" s="145" t="s">
        <v>204</v>
      </c>
      <c r="J3" s="145" t="s">
        <v>204</v>
      </c>
      <c r="K3" s="145" t="s">
        <v>326</v>
      </c>
      <c r="L3" s="145" t="s">
        <v>3235</v>
      </c>
      <c r="M3" s="145" t="s">
        <v>444</v>
      </c>
      <c r="N3" s="145" t="s">
        <v>3236</v>
      </c>
      <c r="O3" s="145" t="s">
        <v>339</v>
      </c>
      <c r="P3" s="145" t="s">
        <v>3237</v>
      </c>
      <c r="Q3" s="145" t="s">
        <v>1211</v>
      </c>
      <c r="R3" s="145" t="s">
        <v>314</v>
      </c>
      <c r="S3" s="145" t="s">
        <v>889</v>
      </c>
      <c r="T3" s="173">
        <v>45320</v>
      </c>
      <c r="U3" s="146">
        <v>0</v>
      </c>
      <c r="V3" s="146">
        <v>1</v>
      </c>
      <c r="W3" s="146">
        <v>320.02999999999997</v>
      </c>
      <c r="X3" s="146">
        <v>7800</v>
      </c>
      <c r="Y3" s="146">
        <v>3.718</v>
      </c>
      <c r="Z3" s="146">
        <v>92.81</v>
      </c>
      <c r="AA3" s="148">
        <v>1</v>
      </c>
      <c r="AB3" s="149">
        <v>9.0000000000000006E-5</v>
      </c>
      <c r="AC3" s="196"/>
    </row>
    <row r="4" spans="1:29" x14ac:dyDescent="0.2">
      <c r="A4" s="144" t="s">
        <v>1205</v>
      </c>
      <c r="B4" s="145" t="s">
        <v>1205</v>
      </c>
      <c r="C4" s="145" t="s">
        <v>2768</v>
      </c>
      <c r="D4" s="145" t="s">
        <v>2769</v>
      </c>
      <c r="E4" s="145" t="s">
        <v>314</v>
      </c>
      <c r="F4" s="145" t="s">
        <v>3238</v>
      </c>
      <c r="G4" s="145" t="s">
        <v>3239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3235</v>
      </c>
      <c r="M4" s="145" t="s">
        <v>444</v>
      </c>
      <c r="N4" s="145" t="s">
        <v>3236</v>
      </c>
      <c r="O4" s="145" t="s">
        <v>339</v>
      </c>
      <c r="P4" s="145" t="s">
        <v>3240</v>
      </c>
      <c r="Q4" s="145" t="s">
        <v>1211</v>
      </c>
      <c r="R4" s="145" t="s">
        <v>314</v>
      </c>
      <c r="S4" s="145" t="s">
        <v>889</v>
      </c>
      <c r="T4" s="173">
        <v>45250</v>
      </c>
      <c r="U4" s="146">
        <v>0</v>
      </c>
      <c r="V4" s="146">
        <v>1</v>
      </c>
      <c r="W4" s="146">
        <v>107</v>
      </c>
      <c r="X4" s="146">
        <v>0</v>
      </c>
      <c r="Y4" s="146">
        <v>3.718</v>
      </c>
      <c r="Z4" s="146">
        <v>0</v>
      </c>
      <c r="AA4" s="148">
        <v>0</v>
      </c>
      <c r="AB4" s="149">
        <v>0</v>
      </c>
      <c r="AC4" s="196"/>
    </row>
    <row r="5" spans="1:29" x14ac:dyDescent="0.2">
      <c r="A5" s="144" t="s">
        <v>1205</v>
      </c>
      <c r="B5" s="145" t="s">
        <v>1205</v>
      </c>
      <c r="C5" s="145" t="s">
        <v>2768</v>
      </c>
      <c r="D5" s="145" t="s">
        <v>2769</v>
      </c>
      <c r="E5" s="145" t="s">
        <v>314</v>
      </c>
      <c r="F5" s="145" t="s">
        <v>3241</v>
      </c>
      <c r="G5" s="145" t="s">
        <v>3242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3243</v>
      </c>
      <c r="M5" s="145" t="s">
        <v>444</v>
      </c>
      <c r="N5" s="145" t="s">
        <v>3244</v>
      </c>
      <c r="O5" s="145" t="s">
        <v>339</v>
      </c>
      <c r="P5" s="145" t="s">
        <v>3245</v>
      </c>
      <c r="Q5" s="145" t="s">
        <v>1211</v>
      </c>
      <c r="R5" s="145" t="s">
        <v>314</v>
      </c>
      <c r="S5" s="145" t="s">
        <v>889</v>
      </c>
      <c r="T5" s="173">
        <v>45250</v>
      </c>
      <c r="U5" s="146">
        <v>0</v>
      </c>
      <c r="V5" s="146">
        <v>1</v>
      </c>
      <c r="W5" s="146">
        <v>165.23</v>
      </c>
      <c r="X5" s="146">
        <v>0</v>
      </c>
      <c r="Y5" s="146">
        <v>3.718</v>
      </c>
      <c r="Z5" s="146">
        <v>0</v>
      </c>
      <c r="AA5" s="148">
        <v>0</v>
      </c>
      <c r="AB5" s="149">
        <v>0</v>
      </c>
      <c r="AC5" s="196"/>
    </row>
    <row r="6" spans="1:29" x14ac:dyDescent="0.2">
      <c r="A6" s="144" t="s">
        <v>1217</v>
      </c>
      <c r="B6" s="145" t="s">
        <v>1217</v>
      </c>
      <c r="C6" s="145" t="s">
        <v>2768</v>
      </c>
      <c r="D6" s="145" t="s">
        <v>2769</v>
      </c>
      <c r="E6" s="145" t="s">
        <v>314</v>
      </c>
      <c r="F6" s="145" t="s">
        <v>3233</v>
      </c>
      <c r="G6" s="145" t="s">
        <v>3234</v>
      </c>
      <c r="H6" s="145" t="s">
        <v>312</v>
      </c>
      <c r="I6" s="145" t="s">
        <v>204</v>
      </c>
      <c r="J6" s="145" t="s">
        <v>204</v>
      </c>
      <c r="K6" s="145" t="s">
        <v>326</v>
      </c>
      <c r="L6" s="145" t="s">
        <v>3235</v>
      </c>
      <c r="M6" s="145" t="s">
        <v>444</v>
      </c>
      <c r="N6" s="145" t="s">
        <v>3236</v>
      </c>
      <c r="O6" s="145" t="s">
        <v>339</v>
      </c>
      <c r="P6" s="145" t="s">
        <v>3237</v>
      </c>
      <c r="Q6" s="145" t="s">
        <v>1211</v>
      </c>
      <c r="R6" s="145" t="s">
        <v>314</v>
      </c>
      <c r="S6" s="145" t="s">
        <v>889</v>
      </c>
      <c r="T6" s="173">
        <v>45320</v>
      </c>
      <c r="U6" s="146">
        <v>0</v>
      </c>
      <c r="V6" s="146">
        <v>1</v>
      </c>
      <c r="W6" s="146">
        <v>7926.87</v>
      </c>
      <c r="X6" s="146">
        <v>7800</v>
      </c>
      <c r="Y6" s="146">
        <v>3.718</v>
      </c>
      <c r="Z6" s="146">
        <v>2298.8240000000001</v>
      </c>
      <c r="AA6" s="148">
        <v>1</v>
      </c>
      <c r="AB6" s="149">
        <v>9.0000000000000006E-5</v>
      </c>
      <c r="AC6" s="196"/>
    </row>
    <row r="7" spans="1:29" x14ac:dyDescent="0.2">
      <c r="A7" s="144" t="s">
        <v>1217</v>
      </c>
      <c r="B7" s="145" t="s">
        <v>1217</v>
      </c>
      <c r="C7" s="145" t="s">
        <v>2768</v>
      </c>
      <c r="D7" s="145" t="s">
        <v>2769</v>
      </c>
      <c r="E7" s="145" t="s">
        <v>314</v>
      </c>
      <c r="F7" s="145" t="s">
        <v>3238</v>
      </c>
      <c r="G7" s="145" t="s">
        <v>3239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3235</v>
      </c>
      <c r="M7" s="145" t="s">
        <v>444</v>
      </c>
      <c r="N7" s="145" t="s">
        <v>3236</v>
      </c>
      <c r="O7" s="145" t="s">
        <v>339</v>
      </c>
      <c r="P7" s="145" t="s">
        <v>3240</v>
      </c>
      <c r="Q7" s="145" t="s">
        <v>1211</v>
      </c>
      <c r="R7" s="145" t="s">
        <v>314</v>
      </c>
      <c r="S7" s="145" t="s">
        <v>889</v>
      </c>
      <c r="T7" s="173">
        <v>45250</v>
      </c>
      <c r="U7" s="146">
        <v>0</v>
      </c>
      <c r="V7" s="146">
        <v>1</v>
      </c>
      <c r="W7" s="146">
        <v>2376</v>
      </c>
      <c r="X7" s="146">
        <v>0</v>
      </c>
      <c r="Y7" s="146">
        <v>3.718</v>
      </c>
      <c r="Z7" s="146">
        <v>1E-3</v>
      </c>
      <c r="AA7" s="148">
        <v>0</v>
      </c>
      <c r="AB7" s="149">
        <v>0</v>
      </c>
      <c r="AC7" s="196"/>
    </row>
    <row r="8" spans="1:29" x14ac:dyDescent="0.2">
      <c r="A8" s="144" t="s">
        <v>1217</v>
      </c>
      <c r="B8" s="145" t="s">
        <v>1217</v>
      </c>
      <c r="C8" s="145" t="s">
        <v>2768</v>
      </c>
      <c r="D8" s="145" t="s">
        <v>2769</v>
      </c>
      <c r="E8" s="145" t="s">
        <v>314</v>
      </c>
      <c r="F8" s="145" t="s">
        <v>3241</v>
      </c>
      <c r="G8" s="145" t="s">
        <v>3242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3243</v>
      </c>
      <c r="M8" s="145" t="s">
        <v>444</v>
      </c>
      <c r="N8" s="145" t="s">
        <v>3244</v>
      </c>
      <c r="O8" s="145" t="s">
        <v>339</v>
      </c>
      <c r="P8" s="145" t="s">
        <v>3245</v>
      </c>
      <c r="Q8" s="145" t="s">
        <v>1211</v>
      </c>
      <c r="R8" s="145" t="s">
        <v>314</v>
      </c>
      <c r="S8" s="145" t="s">
        <v>889</v>
      </c>
      <c r="T8" s="173">
        <v>45250</v>
      </c>
      <c r="U8" s="146">
        <v>0</v>
      </c>
      <c r="V8" s="146">
        <v>1</v>
      </c>
      <c r="W8" s="146">
        <v>3656.77</v>
      </c>
      <c r="X8" s="146">
        <v>0</v>
      </c>
      <c r="Y8" s="146">
        <v>3.718</v>
      </c>
      <c r="Z8" s="146">
        <v>0</v>
      </c>
      <c r="AA8" s="148">
        <v>0</v>
      </c>
      <c r="AB8" s="149">
        <v>0</v>
      </c>
      <c r="AC8" s="196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196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196"/>
    </row>
    <row r="11" spans="1:29" x14ac:dyDescent="0.2">
      <c r="A11" s="144" t="s">
        <v>1217</v>
      </c>
      <c r="B11" s="145" t="s">
        <v>1218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196"/>
    </row>
    <row r="12" spans="1:29" x14ac:dyDescent="0.2">
      <c r="A12" s="152" t="s">
        <v>1217</v>
      </c>
      <c r="B12" s="153" t="s">
        <v>1219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196"/>
    </row>
    <row r="13" spans="1:29" x14ac:dyDescent="0.2">
      <c r="A13" s="201" t="s">
        <v>3461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</row>
    <row r="14" spans="1:29" x14ac:dyDescent="0.2">
      <c r="A14" s="97" t="s">
        <v>3460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202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3484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196" t="s">
        <v>3462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196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196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196"/>
    </row>
    <row r="6" spans="1:29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196"/>
    </row>
    <row r="7" spans="1:29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196"/>
    </row>
    <row r="8" spans="1:29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196"/>
    </row>
    <row r="9" spans="1:29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</row>
    <row r="10" spans="1:29" x14ac:dyDescent="0.2">
      <c r="A10" s="97" t="s">
        <v>3460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202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3485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3459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196" t="s">
        <v>3462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3246</v>
      </c>
      <c r="E3" s="145" t="s">
        <v>1212</v>
      </c>
      <c r="F3" s="146">
        <v>3.9009999999999998</v>
      </c>
      <c r="G3" s="146">
        <v>-15500</v>
      </c>
      <c r="H3" s="146">
        <v>-0.60465500000000005</v>
      </c>
      <c r="I3" s="148">
        <v>2.2953979600824848E-6</v>
      </c>
      <c r="J3" s="148">
        <v>-2.267069854808026E-8</v>
      </c>
      <c r="K3" s="145" t="s">
        <v>3246</v>
      </c>
      <c r="L3" s="145" t="s">
        <v>1210</v>
      </c>
      <c r="M3" s="146">
        <v>1</v>
      </c>
      <c r="N3" s="146">
        <v>60589.5</v>
      </c>
      <c r="O3" s="146">
        <v>-1.1693449999999999</v>
      </c>
      <c r="P3" s="148">
        <v>4.4390803476902568E-6</v>
      </c>
      <c r="Q3" s="148">
        <v>-4.3842964986157241E-8</v>
      </c>
      <c r="R3" s="146">
        <v>-1.774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3247</v>
      </c>
      <c r="Y3" s="145" t="s">
        <v>339</v>
      </c>
      <c r="Z3" s="145" t="s">
        <v>3248</v>
      </c>
      <c r="AA3" s="145" t="s">
        <v>3249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3.9009999999999998</v>
      </c>
      <c r="AJ3" s="145"/>
      <c r="AK3" s="181"/>
      <c r="AL3" s="150"/>
      <c r="AM3" s="145" t="s">
        <v>1207</v>
      </c>
      <c r="AN3" s="148">
        <v>7.1000000000000004E-3</v>
      </c>
      <c r="AO3" s="149">
        <v>-6.0000000000000002E-5</v>
      </c>
      <c r="AP3" s="196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3250</v>
      </c>
      <c r="E4" s="145" t="s">
        <v>1211</v>
      </c>
      <c r="F4" s="146">
        <v>3.5569999999999999</v>
      </c>
      <c r="G4" s="146">
        <v>-50000</v>
      </c>
      <c r="H4" s="146">
        <v>-1.7785</v>
      </c>
      <c r="I4" s="148">
        <v>6.751561257256946E-6</v>
      </c>
      <c r="J4" s="148">
        <v>-6.6682384777700896E-8</v>
      </c>
      <c r="K4" s="145" t="s">
        <v>3250</v>
      </c>
      <c r="L4" s="145" t="s">
        <v>1210</v>
      </c>
      <c r="M4" s="146">
        <v>1</v>
      </c>
      <c r="N4" s="146">
        <v>177365</v>
      </c>
      <c r="O4" s="146">
        <v>-6.6384999999999996</v>
      </c>
      <c r="P4" s="148">
        <v>2.5201146700196924E-5</v>
      </c>
      <c r="Q4" s="148">
        <v>-2.4890132771817113E-7</v>
      </c>
      <c r="R4" s="146">
        <v>-8.4169999999999998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3251</v>
      </c>
      <c r="Y4" s="145" t="s">
        <v>339</v>
      </c>
      <c r="Z4" s="145" t="s">
        <v>3252</v>
      </c>
      <c r="AA4" s="145" t="s">
        <v>3249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3.5569999999999999</v>
      </c>
      <c r="AJ4" s="145"/>
      <c r="AK4" s="181"/>
      <c r="AL4" s="150"/>
      <c r="AM4" s="145" t="s">
        <v>1207</v>
      </c>
      <c r="AN4" s="148">
        <v>3.3700000000000001E-2</v>
      </c>
      <c r="AO4" s="149">
        <v>-2.7E-4</v>
      </c>
      <c r="AP4" s="196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3253</v>
      </c>
      <c r="E5" s="145" t="s">
        <v>1212</v>
      </c>
      <c r="F5" s="146">
        <v>3.7120000000000002</v>
      </c>
      <c r="G5" s="146">
        <v>-33600</v>
      </c>
      <c r="H5" s="146">
        <v>-1.2472320000000001</v>
      </c>
      <c r="I5" s="148">
        <v>4.7347558335738523E-6</v>
      </c>
      <c r="J5" s="148">
        <v>-4.676322976163141E-8</v>
      </c>
      <c r="K5" s="145" t="s">
        <v>3253</v>
      </c>
      <c r="L5" s="145" t="s">
        <v>1210</v>
      </c>
      <c r="M5" s="146">
        <v>1</v>
      </c>
      <c r="N5" s="146">
        <v>124891.2</v>
      </c>
      <c r="O5" s="146">
        <v>-9.0387679999999992</v>
      </c>
      <c r="P5" s="148">
        <v>3.4313070476319281E-5</v>
      </c>
      <c r="Q5" s="148">
        <v>-3.3889603918603874E-7</v>
      </c>
      <c r="R5" s="146">
        <v>-10.286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3247</v>
      </c>
      <c r="Y5" s="145" t="s">
        <v>339</v>
      </c>
      <c r="Z5" s="145" t="s">
        <v>3254</v>
      </c>
      <c r="AA5" s="145" t="s">
        <v>3249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3.7120000000000002</v>
      </c>
      <c r="AJ5" s="145"/>
      <c r="AK5" s="181"/>
      <c r="AL5" s="150"/>
      <c r="AM5" s="145" t="s">
        <v>1207</v>
      </c>
      <c r="AN5" s="148">
        <v>4.1180000000000001E-2</v>
      </c>
      <c r="AO5" s="149">
        <v>-3.2000000000000003E-4</v>
      </c>
      <c r="AP5" s="196"/>
    </row>
    <row r="6" spans="1:42" x14ac:dyDescent="0.2">
      <c r="A6" s="144" t="s">
        <v>1205</v>
      </c>
      <c r="B6" s="145" t="s">
        <v>1206</v>
      </c>
      <c r="C6" s="145" t="s">
        <v>1016</v>
      </c>
      <c r="D6" s="145" t="s">
        <v>3255</v>
      </c>
      <c r="E6" s="145" t="s">
        <v>1211</v>
      </c>
      <c r="F6" s="146">
        <v>3.5830000000000002</v>
      </c>
      <c r="G6" s="146">
        <v>-1644000</v>
      </c>
      <c r="H6" s="146">
        <v>-58.904519999999998</v>
      </c>
      <c r="I6" s="148">
        <v>2.2361398656694793E-4</v>
      </c>
      <c r="J6" s="148">
        <v>-2.2085430800032489E-6</v>
      </c>
      <c r="K6" s="145" t="s">
        <v>3255</v>
      </c>
      <c r="L6" s="145" t="s">
        <v>1210</v>
      </c>
      <c r="M6" s="146">
        <v>1</v>
      </c>
      <c r="N6" s="146">
        <v>5879272.7999999998</v>
      </c>
      <c r="O6" s="146">
        <v>-170.42048</v>
      </c>
      <c r="P6" s="148">
        <v>6.469521002030543E-4</v>
      </c>
      <c r="Q6" s="148">
        <v>-6.3896789549398259E-6</v>
      </c>
      <c r="R6" s="146">
        <v>-229.32499999999999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3251</v>
      </c>
      <c r="Y6" s="145" t="s">
        <v>339</v>
      </c>
      <c r="Z6" s="145" t="s">
        <v>3254</v>
      </c>
      <c r="AA6" s="145" t="s">
        <v>3249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3.5830000000000002</v>
      </c>
      <c r="AJ6" s="145"/>
      <c r="AK6" s="181"/>
      <c r="AL6" s="150"/>
      <c r="AM6" s="145" t="s">
        <v>1207</v>
      </c>
      <c r="AN6" s="148">
        <v>0.91803000000000001</v>
      </c>
      <c r="AO6" s="149">
        <v>-7.2199999999999999E-3</v>
      </c>
      <c r="AP6" s="196"/>
    </row>
    <row r="7" spans="1:42" x14ac:dyDescent="0.2">
      <c r="A7" s="144" t="s">
        <v>1205</v>
      </c>
      <c r="B7" s="145" t="s">
        <v>1205</v>
      </c>
      <c r="C7" s="145" t="s">
        <v>1016</v>
      </c>
      <c r="D7" s="145" t="s">
        <v>3256</v>
      </c>
      <c r="E7" s="145" t="s">
        <v>1211</v>
      </c>
      <c r="F7" s="146">
        <v>3.6280000000000001</v>
      </c>
      <c r="G7" s="146">
        <v>-600000</v>
      </c>
      <c r="H7" s="146">
        <v>-21.768000000000001</v>
      </c>
      <c r="I7" s="148">
        <v>8.2635920971587971E-5</v>
      </c>
      <c r="J7" s="148">
        <v>-8.1616089504694589E-7</v>
      </c>
      <c r="K7" s="145" t="s">
        <v>3256</v>
      </c>
      <c r="L7" s="145" t="s">
        <v>1210</v>
      </c>
      <c r="M7" s="146">
        <v>1</v>
      </c>
      <c r="N7" s="146">
        <v>2167980</v>
      </c>
      <c r="O7" s="146">
        <v>-39.704999999999998</v>
      </c>
      <c r="P7" s="148">
        <v>1.5072855761562385E-4</v>
      </c>
      <c r="Q7" s="148">
        <v>-1.4886837714920517E-6</v>
      </c>
      <c r="R7" s="146">
        <v>-61.472999999999999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3251</v>
      </c>
      <c r="Y7" s="145" t="s">
        <v>339</v>
      </c>
      <c r="Z7" s="145" t="s">
        <v>3257</v>
      </c>
      <c r="AA7" s="145" t="s">
        <v>3249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3.6280000000000001</v>
      </c>
      <c r="AJ7" s="145"/>
      <c r="AK7" s="181"/>
      <c r="AL7" s="150"/>
      <c r="AM7" s="145" t="s">
        <v>1207</v>
      </c>
      <c r="AN7" s="148">
        <v>5.3200000000000001E-3</v>
      </c>
      <c r="AO7" s="149">
        <v>-6.0000000000000002E-5</v>
      </c>
      <c r="AP7" s="196"/>
    </row>
    <row r="8" spans="1:42" x14ac:dyDescent="0.2">
      <c r="A8" s="144" t="s">
        <v>1205</v>
      </c>
      <c r="B8" s="145" t="s">
        <v>1205</v>
      </c>
      <c r="C8" s="145" t="s">
        <v>1016</v>
      </c>
      <c r="D8" s="145" t="s">
        <v>3246</v>
      </c>
      <c r="E8" s="145" t="s">
        <v>1212</v>
      </c>
      <c r="F8" s="146">
        <v>3.9009999999999998</v>
      </c>
      <c r="G8" s="146">
        <v>-540000</v>
      </c>
      <c r="H8" s="146">
        <v>-21.0654</v>
      </c>
      <c r="I8" s="148">
        <v>7.9968703125454294E-5</v>
      </c>
      <c r="J8" s="148">
        <v>-7.8981788490086064E-7</v>
      </c>
      <c r="K8" s="145" t="s">
        <v>3246</v>
      </c>
      <c r="L8" s="145" t="s">
        <v>1210</v>
      </c>
      <c r="M8" s="146">
        <v>1</v>
      </c>
      <c r="N8" s="146">
        <v>2110860</v>
      </c>
      <c r="O8" s="146">
        <v>-40.744600000000005</v>
      </c>
      <c r="P8" s="148">
        <v>1.5467509856757457E-4</v>
      </c>
      <c r="Q8" s="148">
        <v>-1.5276621280930629E-6</v>
      </c>
      <c r="R8" s="146">
        <v>-61.81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3247</v>
      </c>
      <c r="Y8" s="145" t="s">
        <v>339</v>
      </c>
      <c r="Z8" s="145" t="s">
        <v>3248</v>
      </c>
      <c r="AA8" s="145" t="s">
        <v>3249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3.9009999999999998</v>
      </c>
      <c r="AJ8" s="145"/>
      <c r="AK8" s="181"/>
      <c r="AL8" s="150"/>
      <c r="AM8" s="145" t="s">
        <v>1207</v>
      </c>
      <c r="AN8" s="148">
        <v>5.3499999999999997E-3</v>
      </c>
      <c r="AO8" s="149">
        <v>-6.0000000000000002E-5</v>
      </c>
      <c r="AP8" s="196"/>
    </row>
    <row r="9" spans="1:42" x14ac:dyDescent="0.2">
      <c r="A9" s="144" t="s">
        <v>1205</v>
      </c>
      <c r="B9" s="145" t="s">
        <v>1205</v>
      </c>
      <c r="C9" s="145" t="s">
        <v>1016</v>
      </c>
      <c r="D9" s="145" t="s">
        <v>3258</v>
      </c>
      <c r="E9" s="145" t="s">
        <v>1215</v>
      </c>
      <c r="F9" s="146">
        <v>4.3890000000000002</v>
      </c>
      <c r="G9" s="146">
        <v>-150000</v>
      </c>
      <c r="H9" s="146">
        <v>-6.5834999999999999</v>
      </c>
      <c r="I9" s="148">
        <v>2.4992355095389993E-5</v>
      </c>
      <c r="J9" s="148">
        <v>-2.4683917918695186E-7</v>
      </c>
      <c r="K9" s="145" t="s">
        <v>3258</v>
      </c>
      <c r="L9" s="145" t="s">
        <v>1210</v>
      </c>
      <c r="M9" s="146">
        <v>1</v>
      </c>
      <c r="N9" s="146">
        <v>656850</v>
      </c>
      <c r="O9" s="146">
        <v>-57.644499999999994</v>
      </c>
      <c r="P9" s="148">
        <v>2.1883068478715094E-4</v>
      </c>
      <c r="Q9" s="148">
        <v>-2.161300381961304E-6</v>
      </c>
      <c r="R9" s="146">
        <v>-64.227999999999994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3259</v>
      </c>
      <c r="Y9" s="145" t="s">
        <v>339</v>
      </c>
      <c r="Z9" s="145" t="s">
        <v>3254</v>
      </c>
      <c r="AA9" s="145" t="s">
        <v>3249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4.3890000000000002</v>
      </c>
      <c r="AJ9" s="145"/>
      <c r="AK9" s="181"/>
      <c r="AL9" s="150"/>
      <c r="AM9" s="145" t="s">
        <v>1207</v>
      </c>
      <c r="AN9" s="148">
        <v>5.5599999999999998E-3</v>
      </c>
      <c r="AO9" s="149">
        <v>-6.0000000000000002E-5</v>
      </c>
      <c r="AP9" s="196"/>
    </row>
    <row r="10" spans="1:42" x14ac:dyDescent="0.2">
      <c r="A10" s="144" t="s">
        <v>1205</v>
      </c>
      <c r="B10" s="145" t="s">
        <v>1205</v>
      </c>
      <c r="C10" s="145" t="s">
        <v>1016</v>
      </c>
      <c r="D10" s="145" t="s">
        <v>3260</v>
      </c>
      <c r="E10" s="145" t="s">
        <v>1211</v>
      </c>
      <c r="F10" s="146">
        <v>3.6150000000000002</v>
      </c>
      <c r="G10" s="146">
        <v>-1400000</v>
      </c>
      <c r="H10" s="146">
        <v>-50.61</v>
      </c>
      <c r="I10" s="148">
        <v>1.9212623853234411E-4</v>
      </c>
      <c r="J10" s="148">
        <v>-1.8975515848183539E-6</v>
      </c>
      <c r="K10" s="145" t="s">
        <v>3260</v>
      </c>
      <c r="L10" s="145" t="s">
        <v>1210</v>
      </c>
      <c r="M10" s="146">
        <v>1</v>
      </c>
      <c r="N10" s="146">
        <v>5040700</v>
      </c>
      <c r="O10" s="146">
        <v>-111.76299999999999</v>
      </c>
      <c r="P10" s="148">
        <v>4.242759296006792E-4</v>
      </c>
      <c r="Q10" s="148">
        <v>-4.1903982962666209E-6</v>
      </c>
      <c r="R10" s="146">
        <v>-162.37299999999999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3251</v>
      </c>
      <c r="Y10" s="145" t="s">
        <v>339</v>
      </c>
      <c r="Z10" s="145" t="s">
        <v>3261</v>
      </c>
      <c r="AA10" s="145" t="s">
        <v>3262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3.6150000000000002</v>
      </c>
      <c r="AJ10" s="145"/>
      <c r="AK10" s="181"/>
      <c r="AL10" s="150"/>
      <c r="AM10" s="145" t="s">
        <v>1207</v>
      </c>
      <c r="AN10" s="148">
        <v>1.405E-2</v>
      </c>
      <c r="AO10" s="149">
        <v>-1.4999999999999999E-4</v>
      </c>
      <c r="AP10" s="196"/>
    </row>
    <row r="11" spans="1:42" x14ac:dyDescent="0.2">
      <c r="A11" s="144" t="s">
        <v>1205</v>
      </c>
      <c r="B11" s="145" t="s">
        <v>1205</v>
      </c>
      <c r="C11" s="145" t="s">
        <v>1016</v>
      </c>
      <c r="D11" s="145" t="s">
        <v>3250</v>
      </c>
      <c r="E11" s="145" t="s">
        <v>1211</v>
      </c>
      <c r="F11" s="146">
        <v>3.5569999999999999</v>
      </c>
      <c r="G11" s="146">
        <v>-1500000</v>
      </c>
      <c r="H11" s="146">
        <v>-53.354999999999997</v>
      </c>
      <c r="I11" s="148">
        <v>2.0254683771770836E-4</v>
      </c>
      <c r="J11" s="148">
        <v>-2.0004715433310268E-6</v>
      </c>
      <c r="K11" s="145" t="s">
        <v>3250</v>
      </c>
      <c r="L11" s="145" t="s">
        <v>1210</v>
      </c>
      <c r="M11" s="146">
        <v>1</v>
      </c>
      <c r="N11" s="146">
        <v>5320950</v>
      </c>
      <c r="O11" s="146">
        <v>-199.15800000000002</v>
      </c>
      <c r="P11" s="148">
        <v>7.5604578963889735E-4</v>
      </c>
      <c r="Q11" s="148">
        <v>-7.4671523123741108E-6</v>
      </c>
      <c r="R11" s="146">
        <v>-252.51300000000001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3251</v>
      </c>
      <c r="Y11" s="145" t="s">
        <v>339</v>
      </c>
      <c r="Z11" s="145" t="s">
        <v>3252</v>
      </c>
      <c r="AA11" s="145" t="s">
        <v>3249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3.5569999999999999</v>
      </c>
      <c r="AJ11" s="145"/>
      <c r="AK11" s="181"/>
      <c r="AL11" s="150"/>
      <c r="AM11" s="145" t="s">
        <v>1207</v>
      </c>
      <c r="AN11" s="148">
        <v>2.1850000000000001E-2</v>
      </c>
      <c r="AO11" s="149">
        <v>-2.4000000000000001E-4</v>
      </c>
      <c r="AP11" s="196"/>
    </row>
    <row r="12" spans="1:42" x14ac:dyDescent="0.2">
      <c r="A12" s="144" t="s">
        <v>1205</v>
      </c>
      <c r="B12" s="145" t="s">
        <v>1205</v>
      </c>
      <c r="C12" s="145" t="s">
        <v>1016</v>
      </c>
      <c r="D12" s="145" t="s">
        <v>3263</v>
      </c>
      <c r="E12" s="145" t="s">
        <v>1211</v>
      </c>
      <c r="F12" s="146">
        <v>3.6720000000000002</v>
      </c>
      <c r="G12" s="146">
        <v>-23377000</v>
      </c>
      <c r="H12" s="146">
        <v>-858.40344000000005</v>
      </c>
      <c r="I12" s="148">
        <v>3.2586805783525936E-3</v>
      </c>
      <c r="J12" s="148">
        <v>-3.2184643508901936E-5</v>
      </c>
      <c r="K12" s="145" t="s">
        <v>3263</v>
      </c>
      <c r="L12" s="145" t="s">
        <v>1210</v>
      </c>
      <c r="M12" s="146">
        <v>1</v>
      </c>
      <c r="N12" s="146">
        <v>85500676.189999998</v>
      </c>
      <c r="O12" s="146">
        <v>-521.80855999999994</v>
      </c>
      <c r="P12" s="148">
        <v>1.9808953935344592E-3</v>
      </c>
      <c r="Q12" s="148">
        <v>-1.9564486465121181E-5</v>
      </c>
      <c r="R12" s="146">
        <v>-1380.212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3251</v>
      </c>
      <c r="Y12" s="145" t="s">
        <v>339</v>
      </c>
      <c r="Z12" s="145" t="s">
        <v>3264</v>
      </c>
      <c r="AA12" s="145" t="s">
        <v>3262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3.6720000000000002</v>
      </c>
      <c r="AJ12" s="145"/>
      <c r="AK12" s="181"/>
      <c r="AL12" s="150"/>
      <c r="AM12" s="145" t="s">
        <v>1207</v>
      </c>
      <c r="AN12" s="148">
        <v>0.11945</v>
      </c>
      <c r="AO12" s="149">
        <v>-1.31E-3</v>
      </c>
      <c r="AP12" s="196"/>
    </row>
    <row r="13" spans="1:42" x14ac:dyDescent="0.2">
      <c r="A13" s="144" t="s">
        <v>1205</v>
      </c>
      <c r="B13" s="145" t="s">
        <v>1205</v>
      </c>
      <c r="C13" s="145" t="s">
        <v>1016</v>
      </c>
      <c r="D13" s="145" t="s">
        <v>3265</v>
      </c>
      <c r="E13" s="145" t="s">
        <v>1212</v>
      </c>
      <c r="F13" s="146">
        <v>3.7440000000000002</v>
      </c>
      <c r="G13" s="146">
        <v>-7720000</v>
      </c>
      <c r="H13" s="146">
        <v>-289.03680000000003</v>
      </c>
      <c r="I13" s="148">
        <v>1.0972446785501965E-3</v>
      </c>
      <c r="J13" s="148">
        <v>-1.0837032956151466E-5</v>
      </c>
      <c r="K13" s="145" t="s">
        <v>3265</v>
      </c>
      <c r="L13" s="145" t="s">
        <v>1210</v>
      </c>
      <c r="M13" s="146">
        <v>1</v>
      </c>
      <c r="N13" s="146">
        <v>28956176</v>
      </c>
      <c r="O13" s="146">
        <v>-1809.4201999999998</v>
      </c>
      <c r="P13" s="148">
        <v>6.8689408605106059E-3</v>
      </c>
      <c r="Q13" s="148">
        <v>-6.7841694687064658E-5</v>
      </c>
      <c r="R13" s="146">
        <v>-2098.4569999999999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3247</v>
      </c>
      <c r="Y13" s="145" t="s">
        <v>339</v>
      </c>
      <c r="Z13" s="145" t="s">
        <v>3264</v>
      </c>
      <c r="AA13" s="145" t="s">
        <v>3262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3.7440000000000002</v>
      </c>
      <c r="AJ13" s="145"/>
      <c r="AK13" s="181"/>
      <c r="AL13" s="150"/>
      <c r="AM13" s="145" t="s">
        <v>1207</v>
      </c>
      <c r="AN13" s="148">
        <v>0.18160999999999999</v>
      </c>
      <c r="AO13" s="149">
        <v>-2E-3</v>
      </c>
      <c r="AP13" s="196"/>
    </row>
    <row r="14" spans="1:42" x14ac:dyDescent="0.2">
      <c r="A14" s="144" t="s">
        <v>1205</v>
      </c>
      <c r="B14" s="145" t="s">
        <v>1205</v>
      </c>
      <c r="C14" s="145" t="s">
        <v>1016</v>
      </c>
      <c r="D14" s="145" t="s">
        <v>3255</v>
      </c>
      <c r="E14" s="145" t="s">
        <v>1211</v>
      </c>
      <c r="F14" s="146">
        <v>3.5830000000000002</v>
      </c>
      <c r="G14" s="146">
        <v>-53580000</v>
      </c>
      <c r="H14" s="146">
        <v>-1919.7714000000001</v>
      </c>
      <c r="I14" s="148">
        <v>7.287857299426442E-3</v>
      </c>
      <c r="J14" s="148">
        <v>-7.1979159505215374E-5</v>
      </c>
      <c r="K14" s="145" t="s">
        <v>3255</v>
      </c>
      <c r="L14" s="145" t="s">
        <v>1210</v>
      </c>
      <c r="M14" s="146">
        <v>1</v>
      </c>
      <c r="N14" s="146">
        <v>191612796</v>
      </c>
      <c r="O14" s="146">
        <v>-5554.2055999999993</v>
      </c>
      <c r="P14" s="148">
        <v>2.1084936375484715E-2</v>
      </c>
      <c r="Q14" s="148">
        <v>-2.0824721672963793E-4</v>
      </c>
      <c r="R14" s="146">
        <v>-7473.9769999999999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3251</v>
      </c>
      <c r="Y14" s="145" t="s">
        <v>339</v>
      </c>
      <c r="Z14" s="145" t="s">
        <v>3254</v>
      </c>
      <c r="AA14" s="145" t="s">
        <v>3249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3.5830000000000002</v>
      </c>
      <c r="AJ14" s="145"/>
      <c r="AK14" s="181"/>
      <c r="AL14" s="150"/>
      <c r="AM14" s="145" t="s">
        <v>1207</v>
      </c>
      <c r="AN14" s="148">
        <v>0.64681999999999995</v>
      </c>
      <c r="AO14" s="149">
        <v>-7.11E-3</v>
      </c>
      <c r="AP14" s="196"/>
    </row>
    <row r="15" spans="1:42" x14ac:dyDescent="0.2">
      <c r="A15" s="144" t="s">
        <v>1217</v>
      </c>
      <c r="B15" s="145" t="s">
        <v>1218</v>
      </c>
      <c r="C15" s="145" t="s">
        <v>1016</v>
      </c>
      <c r="D15" s="145" t="s">
        <v>3253</v>
      </c>
      <c r="E15" s="145" t="s">
        <v>1212</v>
      </c>
      <c r="F15" s="146">
        <v>3.7120000000000002</v>
      </c>
      <c r="G15" s="146">
        <v>-60000</v>
      </c>
      <c r="H15" s="146">
        <v>-2.2271999999999998</v>
      </c>
      <c r="I15" s="148">
        <v>8.4549211313818779E-6</v>
      </c>
      <c r="J15" s="148">
        <v>-8.350576743148464E-8</v>
      </c>
      <c r="K15" s="145" t="s">
        <v>3253</v>
      </c>
      <c r="L15" s="145" t="s">
        <v>1210</v>
      </c>
      <c r="M15" s="146">
        <v>1</v>
      </c>
      <c r="N15" s="146">
        <v>223020</v>
      </c>
      <c r="O15" s="146">
        <v>-16.140799999999999</v>
      </c>
      <c r="P15" s="148">
        <v>6.1273882452141072E-5</v>
      </c>
      <c r="Q15" s="148">
        <v>-6.05176854776449E-7</v>
      </c>
      <c r="R15" s="146">
        <v>-18.367999999999999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3247</v>
      </c>
      <c r="Y15" s="145" t="s">
        <v>339</v>
      </c>
      <c r="Z15" s="145" t="s">
        <v>3254</v>
      </c>
      <c r="AA15" s="145" t="s">
        <v>3249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3.7120000000000002</v>
      </c>
      <c r="AJ15" s="145"/>
      <c r="AK15" s="181"/>
      <c r="AL15" s="150"/>
      <c r="AM15" s="145" t="s">
        <v>1207</v>
      </c>
      <c r="AN15" s="148">
        <v>2.1199999999999999E-3</v>
      </c>
      <c r="AO15" s="149">
        <v>-1.0000000000000001E-5</v>
      </c>
      <c r="AP15" s="196"/>
    </row>
    <row r="16" spans="1:42" x14ac:dyDescent="0.2">
      <c r="A16" s="144" t="s">
        <v>1217</v>
      </c>
      <c r="B16" s="145" t="s">
        <v>1218</v>
      </c>
      <c r="C16" s="145" t="s">
        <v>1016</v>
      </c>
      <c r="D16" s="145" t="s">
        <v>3266</v>
      </c>
      <c r="E16" s="145" t="s">
        <v>1211</v>
      </c>
      <c r="F16" s="146">
        <v>3.5920000000000001</v>
      </c>
      <c r="G16" s="146">
        <v>-650000</v>
      </c>
      <c r="H16" s="146">
        <v>-23.347999999999999</v>
      </c>
      <c r="I16" s="148">
        <v>8.8633934346041702E-5</v>
      </c>
      <c r="J16" s="148">
        <v>-8.7540079830742791E-7</v>
      </c>
      <c r="K16" s="145" t="s">
        <v>3266</v>
      </c>
      <c r="L16" s="145" t="s">
        <v>1210</v>
      </c>
      <c r="M16" s="146">
        <v>1</v>
      </c>
      <c r="N16" s="146">
        <v>2338960</v>
      </c>
      <c r="O16" s="146">
        <v>-52.917000000000002</v>
      </c>
      <c r="P16" s="148">
        <v>2.0088409730124589E-4</v>
      </c>
      <c r="Q16" s="148">
        <v>-1.9840493423005896E-6</v>
      </c>
      <c r="R16" s="146">
        <v>-76.265000000000001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3251</v>
      </c>
      <c r="Y16" s="145" t="s">
        <v>339</v>
      </c>
      <c r="Z16" s="145" t="s">
        <v>3267</v>
      </c>
      <c r="AA16" s="145" t="s">
        <v>3249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3.5920000000000001</v>
      </c>
      <c r="AJ16" s="145"/>
      <c r="AK16" s="181"/>
      <c r="AL16" s="150"/>
      <c r="AM16" s="145" t="s">
        <v>1207</v>
      </c>
      <c r="AN16" s="148">
        <v>8.8000000000000005E-3</v>
      </c>
      <c r="AO16" s="149">
        <v>-6.0000000000000002E-5</v>
      </c>
      <c r="AP16" s="196"/>
    </row>
    <row r="17" spans="1:42" x14ac:dyDescent="0.2">
      <c r="A17" s="144" t="s">
        <v>1217</v>
      </c>
      <c r="B17" s="145" t="s">
        <v>1218</v>
      </c>
      <c r="C17" s="145" t="s">
        <v>1016</v>
      </c>
      <c r="D17" s="145" t="s">
        <v>3246</v>
      </c>
      <c r="E17" s="145" t="s">
        <v>1212</v>
      </c>
      <c r="F17" s="146">
        <v>3.9009999999999998</v>
      </c>
      <c r="G17" s="146">
        <v>-670000</v>
      </c>
      <c r="H17" s="146">
        <v>-26.136700000000001</v>
      </c>
      <c r="I17" s="148">
        <v>9.922042795195255E-5</v>
      </c>
      <c r="J17" s="148">
        <v>-9.7995922756217889E-7</v>
      </c>
      <c r="K17" s="145" t="s">
        <v>3246</v>
      </c>
      <c r="L17" s="145" t="s">
        <v>1210</v>
      </c>
      <c r="M17" s="146">
        <v>1</v>
      </c>
      <c r="N17" s="146">
        <v>2619030</v>
      </c>
      <c r="O17" s="146">
        <v>-50.554299999999998</v>
      </c>
      <c r="P17" s="148">
        <v>1.9191478957983964E-4</v>
      </c>
      <c r="Q17" s="148">
        <v>-1.8954631907603736E-6</v>
      </c>
      <c r="R17" s="146">
        <v>-76.691000000000003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3247</v>
      </c>
      <c r="Y17" s="145" t="s">
        <v>339</v>
      </c>
      <c r="Z17" s="145" t="s">
        <v>3248</v>
      </c>
      <c r="AA17" s="145" t="s">
        <v>3249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3.9009999999999998</v>
      </c>
      <c r="AJ17" s="145"/>
      <c r="AK17" s="181"/>
      <c r="AL17" s="150"/>
      <c r="AM17" s="145" t="s">
        <v>1207</v>
      </c>
      <c r="AN17" s="148">
        <v>8.8500000000000002E-3</v>
      </c>
      <c r="AO17" s="149">
        <v>-6.0000000000000002E-5</v>
      </c>
      <c r="AP17" s="196"/>
    </row>
    <row r="18" spans="1:42" x14ac:dyDescent="0.2">
      <c r="A18" s="144" t="s">
        <v>1217</v>
      </c>
      <c r="B18" s="145" t="s">
        <v>1218</v>
      </c>
      <c r="C18" s="145" t="s">
        <v>1016</v>
      </c>
      <c r="D18" s="145" t="s">
        <v>3268</v>
      </c>
      <c r="E18" s="145" t="s">
        <v>1211</v>
      </c>
      <c r="F18" s="146">
        <v>3.6280000000000001</v>
      </c>
      <c r="G18" s="146">
        <v>-1100000</v>
      </c>
      <c r="H18" s="146">
        <v>-39.908000000000001</v>
      </c>
      <c r="I18" s="148">
        <v>1.5149918844791128E-4</v>
      </c>
      <c r="J18" s="148">
        <v>-1.496294974252734E-6</v>
      </c>
      <c r="K18" s="145" t="s">
        <v>3268</v>
      </c>
      <c r="L18" s="145" t="s">
        <v>1210</v>
      </c>
      <c r="M18" s="146">
        <v>1</v>
      </c>
      <c r="N18" s="146">
        <v>3964730</v>
      </c>
      <c r="O18" s="146">
        <v>-82.676000000000002</v>
      </c>
      <c r="P18" s="148">
        <v>3.1385554034578313E-4</v>
      </c>
      <c r="Q18" s="148">
        <v>-3.0998216721288725E-6</v>
      </c>
      <c r="R18" s="146">
        <v>-122.584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3251</v>
      </c>
      <c r="Y18" s="145" t="s">
        <v>339</v>
      </c>
      <c r="Z18" s="145" t="s">
        <v>3257</v>
      </c>
      <c r="AA18" s="145" t="s">
        <v>3249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3.6280000000000001</v>
      </c>
      <c r="AJ18" s="145"/>
      <c r="AK18" s="181"/>
      <c r="AL18" s="150"/>
      <c r="AM18" s="145" t="s">
        <v>1207</v>
      </c>
      <c r="AN18" s="148">
        <v>1.414E-2</v>
      </c>
      <c r="AO18" s="149">
        <v>-1E-4</v>
      </c>
      <c r="AP18" s="196"/>
    </row>
    <row r="19" spans="1:42" x14ac:dyDescent="0.2">
      <c r="A19" s="144" t="s">
        <v>1217</v>
      </c>
      <c r="B19" s="145" t="s">
        <v>1218</v>
      </c>
      <c r="C19" s="145" t="s">
        <v>1016</v>
      </c>
      <c r="D19" s="145" t="s">
        <v>3250</v>
      </c>
      <c r="E19" s="145" t="s">
        <v>1211</v>
      </c>
      <c r="F19" s="146">
        <v>3.5569999999999999</v>
      </c>
      <c r="G19" s="146">
        <v>-1800000</v>
      </c>
      <c r="H19" s="146">
        <v>-64.025999999999996</v>
      </c>
      <c r="I19" s="148">
        <v>2.4305620526125004E-4</v>
      </c>
      <c r="J19" s="148">
        <v>-2.4005658519972321E-6</v>
      </c>
      <c r="K19" s="145" t="s">
        <v>3250</v>
      </c>
      <c r="L19" s="145" t="s">
        <v>1210</v>
      </c>
      <c r="M19" s="146">
        <v>1</v>
      </c>
      <c r="N19" s="146">
        <v>6385140</v>
      </c>
      <c r="O19" s="146">
        <v>-238.99</v>
      </c>
      <c r="P19" s="148">
        <v>9.0725646605107539E-4</v>
      </c>
      <c r="Q19" s="148">
        <v>-8.9605977722927966E-6</v>
      </c>
      <c r="R19" s="146">
        <v>-303.01600000000002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3251</v>
      </c>
      <c r="Y19" s="145" t="s">
        <v>339</v>
      </c>
      <c r="Z19" s="145" t="s">
        <v>3252</v>
      </c>
      <c r="AA19" s="145" t="s">
        <v>3249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3.5569999999999999</v>
      </c>
      <c r="AJ19" s="145"/>
      <c r="AK19" s="181"/>
      <c r="AL19" s="150"/>
      <c r="AM19" s="145" t="s">
        <v>1207</v>
      </c>
      <c r="AN19" s="148">
        <v>3.4959999999999998E-2</v>
      </c>
      <c r="AO19" s="149">
        <v>-2.4000000000000001E-4</v>
      </c>
      <c r="AP19" s="196"/>
    </row>
    <row r="20" spans="1:42" x14ac:dyDescent="0.2">
      <c r="A20" s="144" t="s">
        <v>1217</v>
      </c>
      <c r="B20" s="145" t="s">
        <v>1218</v>
      </c>
      <c r="C20" s="145" t="s">
        <v>1016</v>
      </c>
      <c r="D20" s="145" t="s">
        <v>3255</v>
      </c>
      <c r="E20" s="145" t="s">
        <v>1211</v>
      </c>
      <c r="F20" s="146">
        <v>3.5830000000000002</v>
      </c>
      <c r="G20" s="146">
        <v>-57865000</v>
      </c>
      <c r="H20" s="146">
        <v>-2073.3029499999998</v>
      </c>
      <c r="I20" s="148">
        <v>7.8706954578445509E-3</v>
      </c>
      <c r="J20" s="148">
        <v>-7.7735611511184911E-5</v>
      </c>
      <c r="K20" s="145" t="s">
        <v>3255</v>
      </c>
      <c r="L20" s="145" t="s">
        <v>1210</v>
      </c>
      <c r="M20" s="146">
        <v>1</v>
      </c>
      <c r="N20" s="146">
        <v>206936813</v>
      </c>
      <c r="O20" s="146">
        <v>-5998.3970499999996</v>
      </c>
      <c r="P20" s="148">
        <v>2.2771180842521423E-2</v>
      </c>
      <c r="Q20" s="148">
        <v>-2.249015575695957E-4</v>
      </c>
      <c r="R20" s="146">
        <v>-8071.7</v>
      </c>
      <c r="S20" s="145" t="s">
        <v>204</v>
      </c>
      <c r="T20" s="145" t="s">
        <v>204</v>
      </c>
      <c r="U20" s="145" t="s">
        <v>746</v>
      </c>
      <c r="V20" s="145" t="s">
        <v>314</v>
      </c>
      <c r="W20" s="145" t="s">
        <v>928</v>
      </c>
      <c r="X20" s="145" t="s">
        <v>3251</v>
      </c>
      <c r="Y20" s="145" t="s">
        <v>339</v>
      </c>
      <c r="Z20" s="145" t="s">
        <v>3254</v>
      </c>
      <c r="AA20" s="145" t="s">
        <v>3249</v>
      </c>
      <c r="AB20" s="145" t="s">
        <v>314</v>
      </c>
      <c r="AC20" s="145" t="s">
        <v>897</v>
      </c>
      <c r="AD20" s="145" t="s">
        <v>339</v>
      </c>
      <c r="AE20" s="145" t="s">
        <v>912</v>
      </c>
      <c r="AF20" s="145" t="s">
        <v>896</v>
      </c>
      <c r="AG20" s="145" t="s">
        <v>896</v>
      </c>
      <c r="AH20" s="145"/>
      <c r="AI20" s="146">
        <v>3.5830000000000002</v>
      </c>
      <c r="AJ20" s="145"/>
      <c r="AK20" s="181"/>
      <c r="AL20" s="150"/>
      <c r="AM20" s="145" t="s">
        <v>1207</v>
      </c>
      <c r="AN20" s="148">
        <v>0.93113999999999997</v>
      </c>
      <c r="AO20" s="149">
        <v>-6.3699999999999998E-3</v>
      </c>
      <c r="AP20" s="196"/>
    </row>
    <row r="21" spans="1:42" x14ac:dyDescent="0.2">
      <c r="A21" s="144" t="s">
        <v>1217</v>
      </c>
      <c r="B21" s="145" t="s">
        <v>1217</v>
      </c>
      <c r="C21" s="145" t="s">
        <v>1016</v>
      </c>
      <c r="D21" s="145" t="s">
        <v>3246</v>
      </c>
      <c r="E21" s="145" t="s">
        <v>1212</v>
      </c>
      <c r="F21" s="146">
        <v>3.9009999999999998</v>
      </c>
      <c r="G21" s="146">
        <v>-12700000</v>
      </c>
      <c r="H21" s="146">
        <v>-495.42700000000002</v>
      </c>
      <c r="I21" s="148">
        <v>1.8807454253579067E-3</v>
      </c>
      <c r="J21" s="148">
        <v>-1.8575346552298019E-5</v>
      </c>
      <c r="K21" s="145" t="s">
        <v>3246</v>
      </c>
      <c r="L21" s="145" t="s">
        <v>1210</v>
      </c>
      <c r="M21" s="146">
        <v>1</v>
      </c>
      <c r="N21" s="146">
        <v>49644300</v>
      </c>
      <c r="O21" s="146">
        <v>-958.26400000000001</v>
      </c>
      <c r="P21" s="148">
        <v>3.6377723343402136E-3</v>
      </c>
      <c r="Q21" s="148">
        <v>-3.5928776365824445E-5</v>
      </c>
      <c r="R21" s="146">
        <v>-1453.691</v>
      </c>
      <c r="S21" s="145" t="s">
        <v>204</v>
      </c>
      <c r="T21" s="145" t="s">
        <v>204</v>
      </c>
      <c r="U21" s="145" t="s">
        <v>746</v>
      </c>
      <c r="V21" s="145" t="s">
        <v>314</v>
      </c>
      <c r="W21" s="145" t="s">
        <v>928</v>
      </c>
      <c r="X21" s="145" t="s">
        <v>3247</v>
      </c>
      <c r="Y21" s="145" t="s">
        <v>339</v>
      </c>
      <c r="Z21" s="145" t="s">
        <v>3248</v>
      </c>
      <c r="AA21" s="145" t="s">
        <v>3249</v>
      </c>
      <c r="AB21" s="145" t="s">
        <v>314</v>
      </c>
      <c r="AC21" s="145" t="s">
        <v>897</v>
      </c>
      <c r="AD21" s="145" t="s">
        <v>339</v>
      </c>
      <c r="AE21" s="145" t="s">
        <v>912</v>
      </c>
      <c r="AF21" s="145" t="s">
        <v>896</v>
      </c>
      <c r="AG21" s="145" t="s">
        <v>896</v>
      </c>
      <c r="AH21" s="145"/>
      <c r="AI21" s="146">
        <v>3.9009999999999998</v>
      </c>
      <c r="AJ21" s="145"/>
      <c r="AK21" s="181"/>
      <c r="AL21" s="150"/>
      <c r="AM21" s="145" t="s">
        <v>1207</v>
      </c>
      <c r="AN21" s="148">
        <v>5.9800000000000001E-3</v>
      </c>
      <c r="AO21" s="149">
        <v>-6.0000000000000002E-5</v>
      </c>
      <c r="AP21" s="196"/>
    </row>
    <row r="22" spans="1:42" customFormat="1" x14ac:dyDescent="0.2">
      <c r="A22" s="144" t="s">
        <v>1217</v>
      </c>
      <c r="B22" s="145" t="s">
        <v>1217</v>
      </c>
      <c r="C22" s="145" t="s">
        <v>1016</v>
      </c>
      <c r="D22" s="145" t="s">
        <v>3260</v>
      </c>
      <c r="E22" s="145" t="s">
        <v>1211</v>
      </c>
      <c r="F22" s="146">
        <v>3.6150000000000002</v>
      </c>
      <c r="G22" s="146">
        <v>-13700000</v>
      </c>
      <c r="H22" s="146">
        <v>-495.255</v>
      </c>
      <c r="I22" s="148">
        <v>1.8800924770665103E-3</v>
      </c>
      <c r="J22" s="148">
        <v>-1.8568897651436749E-5</v>
      </c>
      <c r="K22" s="145" t="s">
        <v>3260</v>
      </c>
      <c r="L22" s="145" t="s">
        <v>1210</v>
      </c>
      <c r="M22" s="146">
        <v>1</v>
      </c>
      <c r="N22" s="146">
        <v>49326850</v>
      </c>
      <c r="O22" s="146">
        <v>-1093.6819999999998</v>
      </c>
      <c r="P22" s="148">
        <v>4.1518476350628558E-3</v>
      </c>
      <c r="Q22" s="148">
        <v>-4.1006085998563658E-5</v>
      </c>
      <c r="R22" s="146">
        <v>-1588.9369999999999</v>
      </c>
      <c r="S22" s="145" t="s">
        <v>204</v>
      </c>
      <c r="T22" s="145" t="s">
        <v>204</v>
      </c>
      <c r="U22" s="145" t="s">
        <v>746</v>
      </c>
      <c r="V22" s="145" t="s">
        <v>314</v>
      </c>
      <c r="W22" s="145" t="s">
        <v>928</v>
      </c>
      <c r="X22" s="145" t="s">
        <v>3251</v>
      </c>
      <c r="Y22" s="145" t="s">
        <v>339</v>
      </c>
      <c r="Z22" s="145" t="s">
        <v>3261</v>
      </c>
      <c r="AA22" s="145" t="s">
        <v>3262</v>
      </c>
      <c r="AB22" s="145" t="s">
        <v>314</v>
      </c>
      <c r="AC22" s="145" t="s">
        <v>897</v>
      </c>
      <c r="AD22" s="145" t="s">
        <v>339</v>
      </c>
      <c r="AE22" s="145" t="s">
        <v>912</v>
      </c>
      <c r="AF22" s="145" t="s">
        <v>896</v>
      </c>
      <c r="AG22" s="145" t="s">
        <v>896</v>
      </c>
      <c r="AH22" s="145"/>
      <c r="AI22" s="146">
        <v>3.6150000000000002</v>
      </c>
      <c r="AJ22" s="145"/>
      <c r="AK22" s="145"/>
      <c r="AL22" s="145"/>
      <c r="AM22" s="145" t="s">
        <v>1207</v>
      </c>
      <c r="AN22" s="148">
        <v>6.5399999999999998E-3</v>
      </c>
      <c r="AO22" s="149">
        <v>-6.9999999999999994E-5</v>
      </c>
      <c r="AP22" s="196"/>
    </row>
    <row r="23" spans="1:42" x14ac:dyDescent="0.2">
      <c r="A23" s="144" t="s">
        <v>1217</v>
      </c>
      <c r="B23" s="145" t="s">
        <v>1217</v>
      </c>
      <c r="C23" s="145" t="s">
        <v>1016</v>
      </c>
      <c r="D23" s="145" t="s">
        <v>3269</v>
      </c>
      <c r="E23" s="145" t="s">
        <v>1211</v>
      </c>
      <c r="F23" s="146">
        <v>3.6150000000000002</v>
      </c>
      <c r="G23" s="146">
        <v>-13700000</v>
      </c>
      <c r="H23" s="146">
        <v>-495.255</v>
      </c>
      <c r="I23" s="148">
        <v>1.8800924770665103E-3</v>
      </c>
      <c r="J23" s="148">
        <v>-1.8568897651436749E-5</v>
      </c>
      <c r="K23" s="145" t="s">
        <v>3269</v>
      </c>
      <c r="L23" s="145" t="s">
        <v>1210</v>
      </c>
      <c r="M23" s="146">
        <v>1</v>
      </c>
      <c r="N23" s="146">
        <v>49313150</v>
      </c>
      <c r="O23" s="146">
        <v>-1107.3679999999999</v>
      </c>
      <c r="P23" s="148">
        <v>4.2038025787608149E-3</v>
      </c>
      <c r="Q23" s="148">
        <v>-4.151922354035034E-5</v>
      </c>
      <c r="R23" s="146">
        <v>-1602.623</v>
      </c>
      <c r="S23" s="145" t="s">
        <v>204</v>
      </c>
      <c r="T23" s="145" t="s">
        <v>204</v>
      </c>
      <c r="U23" s="145" t="s">
        <v>746</v>
      </c>
      <c r="V23" s="145" t="s">
        <v>314</v>
      </c>
      <c r="W23" s="145" t="s">
        <v>928</v>
      </c>
      <c r="X23" s="145" t="s">
        <v>3251</v>
      </c>
      <c r="Y23" s="145" t="s">
        <v>339</v>
      </c>
      <c r="Z23" s="145" t="s">
        <v>3261</v>
      </c>
      <c r="AA23" s="145" t="s">
        <v>3262</v>
      </c>
      <c r="AB23" s="145" t="s">
        <v>314</v>
      </c>
      <c r="AC23" s="145" t="s">
        <v>897</v>
      </c>
      <c r="AD23" s="145" t="s">
        <v>339</v>
      </c>
      <c r="AE23" s="145" t="s">
        <v>912</v>
      </c>
      <c r="AF23" s="145" t="s">
        <v>896</v>
      </c>
      <c r="AG23" s="145" t="s">
        <v>896</v>
      </c>
      <c r="AH23" s="145"/>
      <c r="AI23" s="146">
        <v>3.6150000000000002</v>
      </c>
      <c r="AJ23" s="145"/>
      <c r="AK23" s="150"/>
      <c r="AL23" s="150"/>
      <c r="AM23" s="145" t="s">
        <v>1207</v>
      </c>
      <c r="AN23" s="148">
        <v>6.6E-3</v>
      </c>
      <c r="AO23" s="149">
        <v>-6.9999999999999994E-5</v>
      </c>
      <c r="AP23" s="196"/>
    </row>
    <row r="24" spans="1:42" x14ac:dyDescent="0.2">
      <c r="A24" s="144" t="s">
        <v>1217</v>
      </c>
      <c r="B24" s="145" t="s">
        <v>1217</v>
      </c>
      <c r="C24" s="145" t="s">
        <v>1016</v>
      </c>
      <c r="D24" s="145" t="s">
        <v>3268</v>
      </c>
      <c r="E24" s="145" t="s">
        <v>1211</v>
      </c>
      <c r="F24" s="146">
        <v>3.6280000000000001</v>
      </c>
      <c r="G24" s="146">
        <v>-17000000</v>
      </c>
      <c r="H24" s="146">
        <v>-616.76</v>
      </c>
      <c r="I24" s="148">
        <v>2.3413510941949923E-3</v>
      </c>
      <c r="J24" s="148">
        <v>-2.3124558692996798E-5</v>
      </c>
      <c r="K24" s="145" t="s">
        <v>3268</v>
      </c>
      <c r="L24" s="145" t="s">
        <v>1210</v>
      </c>
      <c r="M24" s="146">
        <v>1</v>
      </c>
      <c r="N24" s="146">
        <v>61273100</v>
      </c>
      <c r="O24" s="146">
        <v>-1277.72</v>
      </c>
      <c r="P24" s="148">
        <v>4.8504947144348302E-3</v>
      </c>
      <c r="Q24" s="148">
        <v>-4.7906334932900755E-5</v>
      </c>
      <c r="R24" s="146">
        <v>-1894.48</v>
      </c>
      <c r="S24" s="145" t="s">
        <v>204</v>
      </c>
      <c r="T24" s="145" t="s">
        <v>204</v>
      </c>
      <c r="U24" s="145" t="s">
        <v>746</v>
      </c>
      <c r="V24" s="145" t="s">
        <v>314</v>
      </c>
      <c r="W24" s="145" t="s">
        <v>928</v>
      </c>
      <c r="X24" s="145" t="s">
        <v>3251</v>
      </c>
      <c r="Y24" s="145" t="s">
        <v>339</v>
      </c>
      <c r="Z24" s="145" t="s">
        <v>3257</v>
      </c>
      <c r="AA24" s="145" t="s">
        <v>3249</v>
      </c>
      <c r="AB24" s="145" t="s">
        <v>314</v>
      </c>
      <c r="AC24" s="145" t="s">
        <v>897</v>
      </c>
      <c r="AD24" s="145" t="s">
        <v>339</v>
      </c>
      <c r="AE24" s="145" t="s">
        <v>912</v>
      </c>
      <c r="AF24" s="145" t="s">
        <v>896</v>
      </c>
      <c r="AG24" s="145" t="s">
        <v>896</v>
      </c>
      <c r="AH24" s="145"/>
      <c r="AI24" s="146">
        <v>3.6280000000000001</v>
      </c>
      <c r="AJ24" s="145"/>
      <c r="AK24" s="150"/>
      <c r="AL24" s="150"/>
      <c r="AM24" s="145" t="s">
        <v>1207</v>
      </c>
      <c r="AN24" s="148">
        <v>7.7999999999999996E-3</v>
      </c>
      <c r="AO24" s="149">
        <v>-8.0000000000000007E-5</v>
      </c>
      <c r="AP24" s="196"/>
    </row>
    <row r="25" spans="1:42" x14ac:dyDescent="0.2">
      <c r="A25" s="144" t="s">
        <v>1217</v>
      </c>
      <c r="B25" s="145" t="s">
        <v>1217</v>
      </c>
      <c r="C25" s="145" t="s">
        <v>1016</v>
      </c>
      <c r="D25" s="145" t="s">
        <v>3258</v>
      </c>
      <c r="E25" s="145" t="s">
        <v>1215</v>
      </c>
      <c r="F25" s="146">
        <v>4.3890000000000002</v>
      </c>
      <c r="G25" s="146">
        <v>-4800000</v>
      </c>
      <c r="H25" s="146">
        <v>-210.672</v>
      </c>
      <c r="I25" s="148">
        <v>7.9975536305247976E-4</v>
      </c>
      <c r="J25" s="148">
        <v>-7.8988537339824596E-6</v>
      </c>
      <c r="K25" s="145" t="s">
        <v>3258</v>
      </c>
      <c r="L25" s="145" t="s">
        <v>1210</v>
      </c>
      <c r="M25" s="146">
        <v>1</v>
      </c>
      <c r="N25" s="146">
        <v>21019200</v>
      </c>
      <c r="O25" s="146">
        <v>-1844.6170000000002</v>
      </c>
      <c r="P25" s="148">
        <v>7.0025553397118565E-3</v>
      </c>
      <c r="Q25" s="148">
        <v>-6.9161349767494126E-5</v>
      </c>
      <c r="R25" s="146">
        <v>-2055.2890000000002</v>
      </c>
      <c r="S25" s="145" t="s">
        <v>204</v>
      </c>
      <c r="T25" s="145" t="s">
        <v>204</v>
      </c>
      <c r="U25" s="145" t="s">
        <v>746</v>
      </c>
      <c r="V25" s="145" t="s">
        <v>314</v>
      </c>
      <c r="W25" s="145" t="s">
        <v>928</v>
      </c>
      <c r="X25" s="145" t="s">
        <v>3259</v>
      </c>
      <c r="Y25" s="145" t="s">
        <v>339</v>
      </c>
      <c r="Z25" s="145" t="s">
        <v>3254</v>
      </c>
      <c r="AA25" s="145" t="s">
        <v>3249</v>
      </c>
      <c r="AB25" s="145" t="s">
        <v>314</v>
      </c>
      <c r="AC25" s="145" t="s">
        <v>897</v>
      </c>
      <c r="AD25" s="145" t="s">
        <v>339</v>
      </c>
      <c r="AE25" s="145" t="s">
        <v>912</v>
      </c>
      <c r="AF25" s="145" t="s">
        <v>896</v>
      </c>
      <c r="AG25" s="145" t="s">
        <v>896</v>
      </c>
      <c r="AH25" s="145"/>
      <c r="AI25" s="146">
        <v>4.3890000000000002</v>
      </c>
      <c r="AJ25" s="145"/>
      <c r="AK25" s="150"/>
      <c r="AL25" s="150"/>
      <c r="AM25" s="145" t="s">
        <v>1207</v>
      </c>
      <c r="AN25" s="148">
        <v>8.4600000000000005E-3</v>
      </c>
      <c r="AO25" s="149">
        <v>-8.0000000000000007E-5</v>
      </c>
      <c r="AP25" s="196"/>
    </row>
    <row r="26" spans="1:42" x14ac:dyDescent="0.2">
      <c r="A26" s="144" t="s">
        <v>1217</v>
      </c>
      <c r="B26" s="145" t="s">
        <v>1217</v>
      </c>
      <c r="C26" s="145" t="s">
        <v>1016</v>
      </c>
      <c r="D26" s="145" t="s">
        <v>3270</v>
      </c>
      <c r="E26" s="145" t="s">
        <v>1211</v>
      </c>
      <c r="F26" s="146">
        <v>3.5569999999999999</v>
      </c>
      <c r="G26" s="146">
        <v>-17500000</v>
      </c>
      <c r="H26" s="146">
        <v>-622.47500000000002</v>
      </c>
      <c r="I26" s="148">
        <v>2.3630464400399313E-3</v>
      </c>
      <c r="J26" s="148">
        <v>-2.3338834672195315E-5</v>
      </c>
      <c r="K26" s="145" t="s">
        <v>3270</v>
      </c>
      <c r="L26" s="145" t="s">
        <v>1210</v>
      </c>
      <c r="M26" s="146">
        <v>1</v>
      </c>
      <c r="N26" s="146">
        <v>62147750</v>
      </c>
      <c r="O26" s="146">
        <v>-2253.6320000000001</v>
      </c>
      <c r="P26" s="148">
        <v>8.5552625804410937E-3</v>
      </c>
      <c r="Q26" s="148">
        <v>-8.4496798521978994E-5</v>
      </c>
      <c r="R26" s="146">
        <v>-2876.107</v>
      </c>
      <c r="S26" s="145" t="s">
        <v>204</v>
      </c>
      <c r="T26" s="145" t="s">
        <v>204</v>
      </c>
      <c r="U26" s="145" t="s">
        <v>746</v>
      </c>
      <c r="V26" s="145" t="s">
        <v>314</v>
      </c>
      <c r="W26" s="145" t="s">
        <v>928</v>
      </c>
      <c r="X26" s="145" t="s">
        <v>3251</v>
      </c>
      <c r="Y26" s="145" t="s">
        <v>339</v>
      </c>
      <c r="Z26" s="145" t="s">
        <v>3252</v>
      </c>
      <c r="AA26" s="145" t="s">
        <v>3249</v>
      </c>
      <c r="AB26" s="145" t="s">
        <v>314</v>
      </c>
      <c r="AC26" s="145" t="s">
        <v>897</v>
      </c>
      <c r="AD26" s="145" t="s">
        <v>339</v>
      </c>
      <c r="AE26" s="145" t="s">
        <v>912</v>
      </c>
      <c r="AF26" s="145" t="s">
        <v>896</v>
      </c>
      <c r="AG26" s="145" t="s">
        <v>896</v>
      </c>
      <c r="AH26" s="145"/>
      <c r="AI26" s="146">
        <v>3.5569999999999999</v>
      </c>
      <c r="AJ26" s="145"/>
      <c r="AK26" s="150"/>
      <c r="AL26" s="150"/>
      <c r="AM26" s="145" t="s">
        <v>1207</v>
      </c>
      <c r="AN26" s="148">
        <v>1.184E-2</v>
      </c>
      <c r="AO26" s="149">
        <v>-1.2E-4</v>
      </c>
      <c r="AP26" s="196"/>
    </row>
    <row r="27" spans="1:42" x14ac:dyDescent="0.2">
      <c r="A27" s="144" t="s">
        <v>1217</v>
      </c>
      <c r="B27" s="145" t="s">
        <v>1217</v>
      </c>
      <c r="C27" s="145" t="s">
        <v>1016</v>
      </c>
      <c r="D27" s="145" t="s">
        <v>3250</v>
      </c>
      <c r="E27" s="145" t="s">
        <v>1211</v>
      </c>
      <c r="F27" s="146">
        <v>3.5569999999999999</v>
      </c>
      <c r="G27" s="146">
        <v>-17500000</v>
      </c>
      <c r="H27" s="146">
        <v>-622.47500000000002</v>
      </c>
      <c r="I27" s="148">
        <v>2.3630464400399313E-3</v>
      </c>
      <c r="J27" s="148">
        <v>-2.3338834672195315E-5</v>
      </c>
      <c r="K27" s="145" t="s">
        <v>3250</v>
      </c>
      <c r="L27" s="145" t="s">
        <v>1210</v>
      </c>
      <c r="M27" s="146">
        <v>1</v>
      </c>
      <c r="N27" s="146">
        <v>62077750</v>
      </c>
      <c r="O27" s="146">
        <v>-2323.5100000000002</v>
      </c>
      <c r="P27" s="148">
        <v>8.8205342124538025E-3</v>
      </c>
      <c r="Q27" s="148">
        <v>-8.7116776977697971E-5</v>
      </c>
      <c r="R27" s="146">
        <v>-2945.9850000000001</v>
      </c>
      <c r="S27" s="145" t="s">
        <v>204</v>
      </c>
      <c r="T27" s="145" t="s">
        <v>204</v>
      </c>
      <c r="U27" s="145" t="s">
        <v>746</v>
      </c>
      <c r="V27" s="145" t="s">
        <v>314</v>
      </c>
      <c r="W27" s="145" t="s">
        <v>928</v>
      </c>
      <c r="X27" s="145" t="s">
        <v>3251</v>
      </c>
      <c r="Y27" s="145" t="s">
        <v>339</v>
      </c>
      <c r="Z27" s="145" t="s">
        <v>3252</v>
      </c>
      <c r="AA27" s="145" t="s">
        <v>3249</v>
      </c>
      <c r="AB27" s="145" t="s">
        <v>314</v>
      </c>
      <c r="AC27" s="145" t="s">
        <v>897</v>
      </c>
      <c r="AD27" s="145" t="s">
        <v>339</v>
      </c>
      <c r="AE27" s="145" t="s">
        <v>912</v>
      </c>
      <c r="AF27" s="145" t="s">
        <v>896</v>
      </c>
      <c r="AG27" s="145" t="s">
        <v>896</v>
      </c>
      <c r="AH27" s="145"/>
      <c r="AI27" s="146">
        <v>3.5569999999999999</v>
      </c>
      <c r="AJ27" s="145"/>
      <c r="AK27" s="150"/>
      <c r="AL27" s="150"/>
      <c r="AM27" s="145" t="s">
        <v>1207</v>
      </c>
      <c r="AN27" s="148">
        <v>1.213E-2</v>
      </c>
      <c r="AO27" s="149">
        <v>-1.2E-4</v>
      </c>
      <c r="AP27" s="196"/>
    </row>
    <row r="28" spans="1:42" x14ac:dyDescent="0.2">
      <c r="A28" s="144" t="s">
        <v>1217</v>
      </c>
      <c r="B28" s="145" t="s">
        <v>1217</v>
      </c>
      <c r="C28" s="145" t="s">
        <v>1016</v>
      </c>
      <c r="D28" s="145" t="s">
        <v>3271</v>
      </c>
      <c r="E28" s="145" t="s">
        <v>1211</v>
      </c>
      <c r="F28" s="146">
        <v>3.6579999999999999</v>
      </c>
      <c r="G28" s="146">
        <v>-221550000</v>
      </c>
      <c r="H28" s="146">
        <v>-8104.299</v>
      </c>
      <c r="I28" s="148">
        <v>3.0765628982640545E-2</v>
      </c>
      <c r="J28" s="148">
        <v>-3.0385942326203915E-4</v>
      </c>
      <c r="K28" s="145" t="s">
        <v>3271</v>
      </c>
      <c r="L28" s="145" t="s">
        <v>1210</v>
      </c>
      <c r="M28" s="146">
        <v>1</v>
      </c>
      <c r="N28" s="146">
        <v>811692735</v>
      </c>
      <c r="O28" s="146">
        <v>-3730.2930000000006</v>
      </c>
      <c r="P28" s="148">
        <v>1.4160979306728584E-2</v>
      </c>
      <c r="Q28" s="148">
        <v>-1.3986214965395796E-4</v>
      </c>
      <c r="R28" s="146">
        <v>-11834.592000000001</v>
      </c>
      <c r="S28" s="145" t="s">
        <v>204</v>
      </c>
      <c r="T28" s="145" t="s">
        <v>204</v>
      </c>
      <c r="U28" s="145" t="s">
        <v>746</v>
      </c>
      <c r="V28" s="145" t="s">
        <v>314</v>
      </c>
      <c r="W28" s="145" t="s">
        <v>928</v>
      </c>
      <c r="X28" s="145" t="s">
        <v>3251</v>
      </c>
      <c r="Y28" s="145" t="s">
        <v>339</v>
      </c>
      <c r="Z28" s="145" t="s">
        <v>3272</v>
      </c>
      <c r="AA28" s="145" t="s">
        <v>3273</v>
      </c>
      <c r="AB28" s="145" t="s">
        <v>314</v>
      </c>
      <c r="AC28" s="145" t="s">
        <v>897</v>
      </c>
      <c r="AD28" s="145" t="s">
        <v>339</v>
      </c>
      <c r="AE28" s="145" t="s">
        <v>912</v>
      </c>
      <c r="AF28" s="145" t="s">
        <v>896</v>
      </c>
      <c r="AG28" s="145" t="s">
        <v>896</v>
      </c>
      <c r="AH28" s="145"/>
      <c r="AI28" s="146">
        <v>3.6579999999999999</v>
      </c>
      <c r="AJ28" s="145"/>
      <c r="AK28" s="150"/>
      <c r="AL28" s="150"/>
      <c r="AM28" s="145" t="s">
        <v>1207</v>
      </c>
      <c r="AN28" s="148">
        <v>4.8710000000000003E-2</v>
      </c>
      <c r="AO28" s="149">
        <v>-4.8999999999999998E-4</v>
      </c>
      <c r="AP28" s="196"/>
    </row>
    <row r="29" spans="1:42" x14ac:dyDescent="0.2">
      <c r="A29" s="144" t="s">
        <v>1217</v>
      </c>
      <c r="B29" s="145" t="s">
        <v>1217</v>
      </c>
      <c r="C29" s="145" t="s">
        <v>1016</v>
      </c>
      <c r="D29" s="145" t="s">
        <v>3263</v>
      </c>
      <c r="E29" s="145" t="s">
        <v>1211</v>
      </c>
      <c r="F29" s="146">
        <v>3.6720000000000002</v>
      </c>
      <c r="G29" s="146">
        <v>-319300000</v>
      </c>
      <c r="H29" s="146">
        <v>-11724.696</v>
      </c>
      <c r="I29" s="148">
        <v>4.4509419885698891E-2</v>
      </c>
      <c r="J29" s="148">
        <v>-4.3960117518896297E-4</v>
      </c>
      <c r="K29" s="145" t="s">
        <v>3263</v>
      </c>
      <c r="L29" s="145" t="s">
        <v>1210</v>
      </c>
      <c r="M29" s="146">
        <v>1</v>
      </c>
      <c r="N29" s="146">
        <v>1167830171</v>
      </c>
      <c r="O29" s="146">
        <v>-7127.244999999999</v>
      </c>
      <c r="P29" s="148">
        <v>2.7056525843676286E-2</v>
      </c>
      <c r="Q29" s="148">
        <v>-2.6722614197073082E-4</v>
      </c>
      <c r="R29" s="146">
        <v>-18851.940999999999</v>
      </c>
      <c r="S29" s="145" t="s">
        <v>204</v>
      </c>
      <c r="T29" s="145" t="s">
        <v>204</v>
      </c>
      <c r="U29" s="145" t="s">
        <v>746</v>
      </c>
      <c r="V29" s="145" t="s">
        <v>314</v>
      </c>
      <c r="W29" s="145" t="s">
        <v>928</v>
      </c>
      <c r="X29" s="145" t="s">
        <v>3251</v>
      </c>
      <c r="Y29" s="145" t="s">
        <v>339</v>
      </c>
      <c r="Z29" s="145" t="s">
        <v>3264</v>
      </c>
      <c r="AA29" s="145" t="s">
        <v>3262</v>
      </c>
      <c r="AB29" s="145" t="s">
        <v>314</v>
      </c>
      <c r="AC29" s="145" t="s">
        <v>897</v>
      </c>
      <c r="AD29" s="145" t="s">
        <v>339</v>
      </c>
      <c r="AE29" s="145" t="s">
        <v>912</v>
      </c>
      <c r="AF29" s="145" t="s">
        <v>896</v>
      </c>
      <c r="AG29" s="145" t="s">
        <v>896</v>
      </c>
      <c r="AH29" s="145"/>
      <c r="AI29" s="146">
        <v>3.6720000000000002</v>
      </c>
      <c r="AJ29" s="145"/>
      <c r="AK29" s="150"/>
      <c r="AL29" s="150"/>
      <c r="AM29" s="145" t="s">
        <v>1207</v>
      </c>
      <c r="AN29" s="148">
        <v>7.7600000000000002E-2</v>
      </c>
      <c r="AO29" s="149">
        <v>-7.7999999999999999E-4</v>
      </c>
      <c r="AP29" s="196"/>
    </row>
    <row r="30" spans="1:42" x14ac:dyDescent="0.2">
      <c r="A30" s="144" t="s">
        <v>1217</v>
      </c>
      <c r="B30" s="145" t="s">
        <v>1217</v>
      </c>
      <c r="C30" s="145" t="s">
        <v>1016</v>
      </c>
      <c r="D30" s="145" t="s">
        <v>3274</v>
      </c>
      <c r="E30" s="145" t="s">
        <v>1211</v>
      </c>
      <c r="F30" s="146">
        <v>3.6269999999999998</v>
      </c>
      <c r="G30" s="146">
        <v>-194250000</v>
      </c>
      <c r="H30" s="146">
        <v>-7045.4475000000002</v>
      </c>
      <c r="I30" s="148">
        <v>2.6746005274690923E-2</v>
      </c>
      <c r="J30" s="148">
        <v>-2.6415925843468704E-4</v>
      </c>
      <c r="K30" s="145" t="s">
        <v>3274</v>
      </c>
      <c r="L30" s="145" t="s">
        <v>1210</v>
      </c>
      <c r="M30" s="146">
        <v>1</v>
      </c>
      <c r="N30" s="146">
        <v>702213750</v>
      </c>
      <c r="O30" s="146">
        <v>-12820.4105</v>
      </c>
      <c r="P30" s="148">
        <v>4.8668983319612114E-2</v>
      </c>
      <c r="Q30" s="148">
        <v>-4.806834669491576E-4</v>
      </c>
      <c r="R30" s="146">
        <v>-19865.858</v>
      </c>
      <c r="S30" s="145" t="s">
        <v>204</v>
      </c>
      <c r="T30" s="145" t="s">
        <v>204</v>
      </c>
      <c r="U30" s="145" t="s">
        <v>746</v>
      </c>
      <c r="V30" s="145" t="s">
        <v>314</v>
      </c>
      <c r="W30" s="145" t="s">
        <v>928</v>
      </c>
      <c r="X30" s="145" t="s">
        <v>3251</v>
      </c>
      <c r="Y30" s="145" t="s">
        <v>339</v>
      </c>
      <c r="Z30" s="145" t="s">
        <v>3275</v>
      </c>
      <c r="AA30" s="145" t="s">
        <v>3276</v>
      </c>
      <c r="AB30" s="145" t="s">
        <v>314</v>
      </c>
      <c r="AC30" s="145" t="s">
        <v>897</v>
      </c>
      <c r="AD30" s="145" t="s">
        <v>339</v>
      </c>
      <c r="AE30" s="145" t="s">
        <v>912</v>
      </c>
      <c r="AF30" s="145" t="s">
        <v>896</v>
      </c>
      <c r="AG30" s="145" t="s">
        <v>896</v>
      </c>
      <c r="AH30" s="145"/>
      <c r="AI30" s="146">
        <v>3.6269999999999998</v>
      </c>
      <c r="AJ30" s="145"/>
      <c r="AK30" s="150"/>
      <c r="AL30" s="150"/>
      <c r="AM30" s="145" t="s">
        <v>1207</v>
      </c>
      <c r="AN30" s="148">
        <v>8.1769999999999995E-2</v>
      </c>
      <c r="AO30" s="149">
        <v>-8.1999999999999998E-4</v>
      </c>
      <c r="AP30" s="196"/>
    </row>
    <row r="31" spans="1:42" x14ac:dyDescent="0.2">
      <c r="A31" s="144" t="s">
        <v>1217</v>
      </c>
      <c r="B31" s="145" t="s">
        <v>1217</v>
      </c>
      <c r="C31" s="145" t="s">
        <v>1016</v>
      </c>
      <c r="D31" s="145" t="s">
        <v>3277</v>
      </c>
      <c r="E31" s="145" t="s">
        <v>1211</v>
      </c>
      <c r="F31" s="146">
        <v>3.6309999999999998</v>
      </c>
      <c r="G31" s="146">
        <v>-230800000</v>
      </c>
      <c r="H31" s="146">
        <v>-8380.348</v>
      </c>
      <c r="I31" s="148">
        <v>3.1813569232010529E-2</v>
      </c>
      <c r="J31" s="148">
        <v>-3.1420949671466753E-4</v>
      </c>
      <c r="K31" s="145" t="s">
        <v>3277</v>
      </c>
      <c r="L31" s="145" t="s">
        <v>1210</v>
      </c>
      <c r="M31" s="146">
        <v>1</v>
      </c>
      <c r="N31" s="146">
        <v>835496000</v>
      </c>
      <c r="O31" s="146">
        <v>-13841.038999999999</v>
      </c>
      <c r="P31" s="148">
        <v>5.2543504454642904E-2</v>
      </c>
      <c r="Q31" s="148">
        <v>-5.1895051353453153E-4</v>
      </c>
      <c r="R31" s="146">
        <v>-22221.386999999999</v>
      </c>
      <c r="S31" s="145" t="s">
        <v>204</v>
      </c>
      <c r="T31" s="145" t="s">
        <v>204</v>
      </c>
      <c r="U31" s="145" t="s">
        <v>746</v>
      </c>
      <c r="V31" s="145" t="s">
        <v>314</v>
      </c>
      <c r="W31" s="145" t="s">
        <v>928</v>
      </c>
      <c r="X31" s="145" t="s">
        <v>3251</v>
      </c>
      <c r="Y31" s="145" t="s">
        <v>339</v>
      </c>
      <c r="Z31" s="145" t="s">
        <v>3278</v>
      </c>
      <c r="AA31" s="145" t="s">
        <v>3279</v>
      </c>
      <c r="AB31" s="145" t="s">
        <v>314</v>
      </c>
      <c r="AC31" s="145" t="s">
        <v>897</v>
      </c>
      <c r="AD31" s="145" t="s">
        <v>339</v>
      </c>
      <c r="AE31" s="145" t="s">
        <v>912</v>
      </c>
      <c r="AF31" s="145" t="s">
        <v>896</v>
      </c>
      <c r="AG31" s="145" t="s">
        <v>896</v>
      </c>
      <c r="AH31" s="145"/>
      <c r="AI31" s="146">
        <v>3.6309999999999998</v>
      </c>
      <c r="AJ31" s="145"/>
      <c r="AK31" s="150"/>
      <c r="AL31" s="150"/>
      <c r="AM31" s="145" t="s">
        <v>1207</v>
      </c>
      <c r="AN31" s="148">
        <v>9.1469999999999996E-2</v>
      </c>
      <c r="AO31" s="149">
        <v>-9.1E-4</v>
      </c>
      <c r="AP31" s="196"/>
    </row>
    <row r="32" spans="1:42" x14ac:dyDescent="0.2">
      <c r="A32" s="144" t="s">
        <v>1217</v>
      </c>
      <c r="B32" s="145" t="s">
        <v>1217</v>
      </c>
      <c r="C32" s="145" t="s">
        <v>1016</v>
      </c>
      <c r="D32" s="145" t="s">
        <v>3280</v>
      </c>
      <c r="E32" s="145" t="s">
        <v>1211</v>
      </c>
      <c r="F32" s="146">
        <v>3.5659999999999998</v>
      </c>
      <c r="G32" s="146">
        <v>-200000000</v>
      </c>
      <c r="H32" s="146">
        <v>-7132</v>
      </c>
      <c r="I32" s="148">
        <v>2.7074576826964597E-2</v>
      </c>
      <c r="J32" s="148">
        <v>-2.6740442408465721E-4</v>
      </c>
      <c r="K32" s="145" t="s">
        <v>3280</v>
      </c>
      <c r="L32" s="145" t="s">
        <v>1210</v>
      </c>
      <c r="M32" s="146">
        <v>1</v>
      </c>
      <c r="N32" s="146">
        <v>712800000</v>
      </c>
      <c r="O32" s="146">
        <v>-22486.034</v>
      </c>
      <c r="P32" s="148">
        <v>8.5361729538241449E-2</v>
      </c>
      <c r="Q32" s="148">
        <v>-8.4308258156450086E-4</v>
      </c>
      <c r="R32" s="146">
        <v>-29618.034</v>
      </c>
      <c r="S32" s="145" t="s">
        <v>204</v>
      </c>
      <c r="T32" s="145" t="s">
        <v>204</v>
      </c>
      <c r="U32" s="145" t="s">
        <v>746</v>
      </c>
      <c r="V32" s="145" t="s">
        <v>314</v>
      </c>
      <c r="W32" s="145" t="s">
        <v>928</v>
      </c>
      <c r="X32" s="145" t="s">
        <v>3251</v>
      </c>
      <c r="Y32" s="145" t="s">
        <v>339</v>
      </c>
      <c r="Z32" s="145" t="s">
        <v>3281</v>
      </c>
      <c r="AA32" s="145" t="s">
        <v>3282</v>
      </c>
      <c r="AB32" s="145" t="s">
        <v>314</v>
      </c>
      <c r="AC32" s="145" t="s">
        <v>897</v>
      </c>
      <c r="AD32" s="145" t="s">
        <v>339</v>
      </c>
      <c r="AE32" s="145" t="s">
        <v>912</v>
      </c>
      <c r="AF32" s="145" t="s">
        <v>896</v>
      </c>
      <c r="AG32" s="145" t="s">
        <v>896</v>
      </c>
      <c r="AH32" s="145"/>
      <c r="AI32" s="146">
        <v>3.5659999999999998</v>
      </c>
      <c r="AJ32" s="145"/>
      <c r="AK32" s="150"/>
      <c r="AL32" s="150"/>
      <c r="AM32" s="145" t="s">
        <v>1207</v>
      </c>
      <c r="AN32" s="148">
        <v>0.12191</v>
      </c>
      <c r="AO32" s="149">
        <v>-1.2199999999999999E-3</v>
      </c>
      <c r="AP32" s="196"/>
    </row>
    <row r="33" spans="1:42" x14ac:dyDescent="0.2">
      <c r="A33" s="144" t="s">
        <v>1217</v>
      </c>
      <c r="B33" s="145" t="s">
        <v>1217</v>
      </c>
      <c r="C33" s="145" t="s">
        <v>1016</v>
      </c>
      <c r="D33" s="145" t="s">
        <v>3283</v>
      </c>
      <c r="E33" s="145" t="s">
        <v>1212</v>
      </c>
      <c r="F33" s="146">
        <v>3.726</v>
      </c>
      <c r="G33" s="146">
        <v>-179700000</v>
      </c>
      <c r="H33" s="146">
        <v>-6695.6220000000003</v>
      </c>
      <c r="I33" s="148">
        <v>2.5417993864738413E-2</v>
      </c>
      <c r="J33" s="148">
        <v>-2.510430376890859E-4</v>
      </c>
      <c r="K33" s="145" t="s">
        <v>3283</v>
      </c>
      <c r="L33" s="145" t="s">
        <v>1210</v>
      </c>
      <c r="M33" s="146">
        <v>1</v>
      </c>
      <c r="N33" s="146">
        <v>670568520</v>
      </c>
      <c r="O33" s="146">
        <v>-45623.413</v>
      </c>
      <c r="P33" s="148">
        <v>0.1731961021279915</v>
      </c>
      <c r="Q33" s="148">
        <v>-1.7105864383120391E-3</v>
      </c>
      <c r="R33" s="146">
        <v>-52319.035000000003</v>
      </c>
      <c r="S33" s="145" t="s">
        <v>204</v>
      </c>
      <c r="T33" s="145" t="s">
        <v>204</v>
      </c>
      <c r="U33" s="145" t="s">
        <v>746</v>
      </c>
      <c r="V33" s="145" t="s">
        <v>314</v>
      </c>
      <c r="W33" s="145" t="s">
        <v>928</v>
      </c>
      <c r="X33" s="145" t="s">
        <v>3247</v>
      </c>
      <c r="Y33" s="145" t="s">
        <v>339</v>
      </c>
      <c r="Z33" s="145" t="s">
        <v>3278</v>
      </c>
      <c r="AA33" s="145" t="s">
        <v>3279</v>
      </c>
      <c r="AB33" s="145" t="s">
        <v>314</v>
      </c>
      <c r="AC33" s="145" t="s">
        <v>897</v>
      </c>
      <c r="AD33" s="145" t="s">
        <v>339</v>
      </c>
      <c r="AE33" s="145" t="s">
        <v>912</v>
      </c>
      <c r="AF33" s="145" t="s">
        <v>896</v>
      </c>
      <c r="AG33" s="145" t="s">
        <v>896</v>
      </c>
      <c r="AH33" s="145"/>
      <c r="AI33" s="146">
        <v>3.726</v>
      </c>
      <c r="AJ33" s="145"/>
      <c r="AK33" s="150"/>
      <c r="AL33" s="150"/>
      <c r="AM33" s="145" t="s">
        <v>1207</v>
      </c>
      <c r="AN33" s="148">
        <v>0.21535000000000001</v>
      </c>
      <c r="AO33" s="149">
        <v>-2.15E-3</v>
      </c>
      <c r="AP33" s="196"/>
    </row>
    <row r="34" spans="1:42" x14ac:dyDescent="0.2">
      <c r="A34" s="144" t="s">
        <v>1217</v>
      </c>
      <c r="B34" s="145" t="s">
        <v>1217</v>
      </c>
      <c r="C34" s="145" t="s">
        <v>1016</v>
      </c>
      <c r="D34" s="145" t="s">
        <v>3255</v>
      </c>
      <c r="E34" s="145" t="s">
        <v>1211</v>
      </c>
      <c r="F34" s="146">
        <v>3.5830000000000002</v>
      </c>
      <c r="G34" s="146">
        <v>-529200000</v>
      </c>
      <c r="H34" s="146">
        <v>-18961.236000000001</v>
      </c>
      <c r="I34" s="148">
        <v>7.1980852610236526E-2</v>
      </c>
      <c r="J34" s="148">
        <v>-7.1092518122732324E-4</v>
      </c>
      <c r="K34" s="145" t="s">
        <v>3255</v>
      </c>
      <c r="L34" s="145" t="s">
        <v>1210</v>
      </c>
      <c r="M34" s="146">
        <v>1</v>
      </c>
      <c r="N34" s="146">
        <v>1892525040</v>
      </c>
      <c r="O34" s="146">
        <v>-54857.888999999996</v>
      </c>
      <c r="P34" s="148">
        <v>0.20825212146601177</v>
      </c>
      <c r="Q34" s="148">
        <v>-2.0568202768571297E-3</v>
      </c>
      <c r="R34" s="146">
        <v>-73819.125</v>
      </c>
      <c r="S34" s="145" t="s">
        <v>204</v>
      </c>
      <c r="T34" s="145" t="s">
        <v>204</v>
      </c>
      <c r="U34" s="145" t="s">
        <v>746</v>
      </c>
      <c r="V34" s="145" t="s">
        <v>314</v>
      </c>
      <c r="W34" s="145" t="s">
        <v>928</v>
      </c>
      <c r="X34" s="145" t="s">
        <v>3251</v>
      </c>
      <c r="Y34" s="145" t="s">
        <v>339</v>
      </c>
      <c r="Z34" s="145" t="s">
        <v>3254</v>
      </c>
      <c r="AA34" s="145" t="s">
        <v>3249</v>
      </c>
      <c r="AB34" s="145" t="s">
        <v>314</v>
      </c>
      <c r="AC34" s="145" t="s">
        <v>897</v>
      </c>
      <c r="AD34" s="145" t="s">
        <v>339</v>
      </c>
      <c r="AE34" s="145" t="s">
        <v>912</v>
      </c>
      <c r="AF34" s="145" t="s">
        <v>896</v>
      </c>
      <c r="AG34" s="145" t="s">
        <v>896</v>
      </c>
      <c r="AH34" s="145"/>
      <c r="AI34" s="146">
        <v>3.5830000000000002</v>
      </c>
      <c r="AJ34" s="145"/>
      <c r="AK34" s="182"/>
      <c r="AL34" s="182"/>
      <c r="AM34" s="145" t="s">
        <v>1207</v>
      </c>
      <c r="AN34" s="148">
        <v>0.30385000000000001</v>
      </c>
      <c r="AO34" s="149">
        <v>-3.0400000000000002E-3</v>
      </c>
      <c r="AP34" s="196"/>
    </row>
    <row r="35" spans="1:42" x14ac:dyDescent="0.2">
      <c r="A35" s="144" t="s">
        <v>1205</v>
      </c>
      <c r="B35" s="145" t="s">
        <v>1214</v>
      </c>
      <c r="C35" s="181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8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45"/>
      <c r="AI35" s="182"/>
      <c r="AJ35" s="145"/>
      <c r="AK35" s="182"/>
      <c r="AL35" s="182"/>
      <c r="AM35" s="182"/>
      <c r="AN35" s="151"/>
      <c r="AO35" s="178"/>
      <c r="AP35" s="196"/>
    </row>
    <row r="36" spans="1:42" x14ac:dyDescent="0.2">
      <c r="A36" s="152" t="s">
        <v>1217</v>
      </c>
      <c r="B36" s="153" t="s">
        <v>1219</v>
      </c>
      <c r="C36" s="183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53"/>
      <c r="AI36" s="184"/>
      <c r="AJ36" s="153"/>
      <c r="AK36" s="184"/>
      <c r="AL36" s="184"/>
      <c r="AM36" s="184"/>
      <c r="AN36" s="155"/>
      <c r="AO36" s="175"/>
      <c r="AP36" s="196"/>
    </row>
    <row r="37" spans="1:42" x14ac:dyDescent="0.2">
      <c r="A37" s="196" t="s">
        <v>3461</v>
      </c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</row>
    <row r="38" spans="1:42" x14ac:dyDescent="0.2">
      <c r="A38" s="8" t="s">
        <v>3460</v>
      </c>
      <c r="C38" s="98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</row>
    <row r="39" spans="1:42" x14ac:dyDescent="0.2">
      <c r="A39" s="204"/>
      <c r="C39" s="98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</row>
    <row r="40" spans="1:42" x14ac:dyDescent="0.2">
      <c r="C40" s="98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</row>
    <row r="41" spans="1:42" x14ac:dyDescent="0.2">
      <c r="C41" s="98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</row>
    <row r="42" spans="1:42" x14ac:dyDescent="0.2">
      <c r="C42" s="98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</row>
    <row r="43" spans="1:42" x14ac:dyDescent="0.2">
      <c r="C43" s="98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</row>
    <row r="44" spans="1:42" x14ac:dyDescent="0.2">
      <c r="C44" s="98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</row>
    <row r="45" spans="1:42" x14ac:dyDescent="0.2">
      <c r="C45" s="98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</row>
    <row r="46" spans="1:42" x14ac:dyDescent="0.2">
      <c r="C46" s="98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</row>
    <row r="47" spans="1:42" x14ac:dyDescent="0.2">
      <c r="C47" s="98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</row>
    <row r="48" spans="1:42" x14ac:dyDescent="0.2"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3:20" x14ac:dyDescent="0.2">
      <c r="C49" s="98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</row>
    <row r="50" spans="3:20" x14ac:dyDescent="0.2">
      <c r="C50" s="98"/>
    </row>
    <row r="51" spans="3:20" x14ac:dyDescent="0.2">
      <c r="C51" s="98"/>
    </row>
    <row r="52" spans="3:20" x14ac:dyDescent="0.2">
      <c r="C52" s="98"/>
    </row>
    <row r="53" spans="3:20" x14ac:dyDescent="0.2">
      <c r="C53" s="98"/>
    </row>
    <row r="54" spans="3:20" x14ac:dyDescent="0.2">
      <c r="C54" s="98"/>
    </row>
    <row r="55" spans="3:20" x14ac:dyDescent="0.2">
      <c r="C55" s="98"/>
    </row>
    <row r="56" spans="3:20" x14ac:dyDescent="0.2">
      <c r="C56" s="98"/>
    </row>
    <row r="57" spans="3:20" x14ac:dyDescent="0.2">
      <c r="C57" s="98"/>
    </row>
    <row r="58" spans="3:20" x14ac:dyDescent="0.2">
      <c r="C58" s="98"/>
    </row>
    <row r="59" spans="3:20" x14ac:dyDescent="0.2">
      <c r="C59" s="98"/>
    </row>
    <row r="60" spans="3:20" x14ac:dyDescent="0.2">
      <c r="C60" s="98"/>
    </row>
    <row r="61" spans="3:20" x14ac:dyDescent="0.2">
      <c r="C61" s="98"/>
    </row>
    <row r="62" spans="3:20" x14ac:dyDescent="0.2">
      <c r="C62" s="98"/>
    </row>
    <row r="63" spans="3:20" x14ac:dyDescent="0.2">
      <c r="C63" s="98"/>
    </row>
    <row r="64" spans="3:20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37:AO37"/>
    <mergeCell ref="AP2:AP36"/>
  </mergeCells>
  <dataValidations count="15">
    <dataValidation type="list" allowBlank="1" showInputMessage="1" showErrorMessage="1" sqref="U3:U21 U23:U36 U38:U39">
      <formula1>Underlying_Asset</formula1>
    </dataValidation>
    <dataValidation type="list" allowBlank="1" showInputMessage="1" showErrorMessage="1" sqref="AB38:AB1048576 AG3:AG21 AB3:AB21 AB23:AB36 AG23:AG36 AG38:AG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AD38:AD1048576 AL38:AL1048576 AD3:AD21 Y3:Y21 AL21 AL23:AL36 AD23:AD36 Y23:Y36 Y38:Y216">
      <formula1>Holding_interest</formula1>
    </dataValidation>
    <dataValidation type="list" allowBlank="1" showInputMessage="1" showErrorMessage="1" sqref="AC3:AC21 AC23:AC36 AC38:AC62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36 C38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38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3486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196" t="s">
        <v>3462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3284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3285</v>
      </c>
      <c r="P3" s="145" t="s">
        <v>1288</v>
      </c>
      <c r="Q3" s="145" t="s">
        <v>312</v>
      </c>
      <c r="R3" s="145" t="s">
        <v>408</v>
      </c>
      <c r="S3" s="145" t="s">
        <v>1210</v>
      </c>
      <c r="T3" s="146">
        <v>1.984</v>
      </c>
      <c r="U3" s="145" t="s">
        <v>314</v>
      </c>
      <c r="V3" s="148">
        <v>5.3999999999999999E-2</v>
      </c>
      <c r="W3" s="145"/>
      <c r="X3" s="161"/>
      <c r="Y3" s="161"/>
      <c r="Z3" s="148">
        <v>5.6180000000000001E-2</v>
      </c>
      <c r="AA3" s="145" t="s">
        <v>1425</v>
      </c>
      <c r="AB3" s="145" t="s">
        <v>412</v>
      </c>
      <c r="AC3" s="161" t="s">
        <v>761</v>
      </c>
      <c r="AD3" s="161"/>
      <c r="AE3" s="185"/>
      <c r="AF3" s="145" t="s">
        <v>3445</v>
      </c>
      <c r="AG3" s="161"/>
      <c r="AH3" s="161"/>
      <c r="AI3" s="150"/>
      <c r="AJ3" s="150"/>
      <c r="AK3" s="145" t="s">
        <v>314</v>
      </c>
      <c r="AL3" s="161"/>
      <c r="AM3" s="145" t="s">
        <v>889</v>
      </c>
      <c r="AN3" s="172">
        <v>45747</v>
      </c>
      <c r="AO3" s="172">
        <v>45747</v>
      </c>
      <c r="AP3" s="150"/>
      <c r="AQ3" s="146">
        <v>95386.69</v>
      </c>
      <c r="AR3" s="146">
        <v>1.0109999999999999</v>
      </c>
      <c r="AS3" s="146">
        <v>1</v>
      </c>
      <c r="AT3" s="146">
        <v>96.457999999999998</v>
      </c>
      <c r="AU3" s="186">
        <v>96.458455000000001</v>
      </c>
      <c r="AV3" s="161"/>
      <c r="AW3" s="161"/>
      <c r="AX3" s="158"/>
      <c r="AY3" s="161"/>
      <c r="AZ3" s="148">
        <v>1</v>
      </c>
      <c r="BA3" s="149">
        <v>3.0400000000000002E-3</v>
      </c>
      <c r="BB3" s="196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3286</v>
      </c>
      <c r="G4" s="145" t="s">
        <v>1011</v>
      </c>
      <c r="H4" s="150"/>
      <c r="I4" s="145" t="s">
        <v>204</v>
      </c>
      <c r="J4" s="158"/>
      <c r="K4" s="145" t="s">
        <v>478</v>
      </c>
      <c r="L4" s="145" t="s">
        <v>339</v>
      </c>
      <c r="M4" s="145" t="s">
        <v>339</v>
      </c>
      <c r="N4" s="161"/>
      <c r="O4" s="145" t="s">
        <v>3287</v>
      </c>
      <c r="P4" s="145" t="s">
        <v>1547</v>
      </c>
      <c r="Q4" s="145" t="s">
        <v>413</v>
      </c>
      <c r="R4" s="145" t="s">
        <v>408</v>
      </c>
      <c r="S4" s="145" t="s">
        <v>1210</v>
      </c>
      <c r="T4" s="146">
        <v>1.23</v>
      </c>
      <c r="U4" s="145" t="s">
        <v>314</v>
      </c>
      <c r="V4" s="148">
        <v>5.3999999999999999E-2</v>
      </c>
      <c r="W4" s="145"/>
      <c r="X4" s="161"/>
      <c r="Y4" s="161"/>
      <c r="Z4" s="148">
        <v>5.4699999999999999E-2</v>
      </c>
      <c r="AA4" s="145" t="s">
        <v>1425</v>
      </c>
      <c r="AB4" s="145" t="s">
        <v>412</v>
      </c>
      <c r="AC4" s="161" t="s">
        <v>761</v>
      </c>
      <c r="AD4" s="161"/>
      <c r="AE4" s="185"/>
      <c r="AF4" s="145" t="s">
        <v>3445</v>
      </c>
      <c r="AG4" s="161"/>
      <c r="AH4" s="161"/>
      <c r="AI4" s="150"/>
      <c r="AJ4" s="150"/>
      <c r="AK4" s="145" t="s">
        <v>314</v>
      </c>
      <c r="AL4" s="161"/>
      <c r="AM4" s="145" t="s">
        <v>889</v>
      </c>
      <c r="AN4" s="172">
        <v>45747</v>
      </c>
      <c r="AO4" s="172">
        <v>45747</v>
      </c>
      <c r="AP4" s="150"/>
      <c r="AQ4" s="146">
        <v>2717309.37</v>
      </c>
      <c r="AR4" s="146">
        <v>1.012</v>
      </c>
      <c r="AS4" s="146">
        <v>1</v>
      </c>
      <c r="AT4" s="146">
        <v>2750.49</v>
      </c>
      <c r="AU4" s="186">
        <v>2750.4904350000002</v>
      </c>
      <c r="AV4" s="161"/>
      <c r="AW4" s="161"/>
      <c r="AX4" s="158"/>
      <c r="AY4" s="161"/>
      <c r="AZ4" s="148">
        <v>0.1343</v>
      </c>
      <c r="BA4" s="149">
        <v>2.6199999999999999E-3</v>
      </c>
      <c r="BB4" s="196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3288</v>
      </c>
      <c r="G5" s="145" t="s">
        <v>1012</v>
      </c>
      <c r="H5" s="145" t="s">
        <v>809</v>
      </c>
      <c r="I5" s="145" t="s">
        <v>204</v>
      </c>
      <c r="J5" s="158"/>
      <c r="K5" s="145" t="s">
        <v>477</v>
      </c>
      <c r="L5" s="145" t="s">
        <v>339</v>
      </c>
      <c r="M5" s="145" t="s">
        <v>338</v>
      </c>
      <c r="N5" s="161"/>
      <c r="O5" s="145" t="s">
        <v>3289</v>
      </c>
      <c r="P5" s="145" t="s">
        <v>3290</v>
      </c>
      <c r="Q5" s="145" t="s">
        <v>415</v>
      </c>
      <c r="R5" s="145" t="s">
        <v>408</v>
      </c>
      <c r="S5" s="145" t="s">
        <v>1210</v>
      </c>
      <c r="T5" s="146">
        <v>0.08</v>
      </c>
      <c r="U5" s="145" t="s">
        <v>823</v>
      </c>
      <c r="V5" s="148">
        <v>7.400000000000001E-2</v>
      </c>
      <c r="W5" s="145"/>
      <c r="X5" s="161"/>
      <c r="Y5" s="161"/>
      <c r="Z5" s="148">
        <v>8.0399999999999999E-2</v>
      </c>
      <c r="AA5" s="145" t="s">
        <v>3291</v>
      </c>
      <c r="AB5" s="145" t="s">
        <v>412</v>
      </c>
      <c r="AC5" s="161" t="s">
        <v>314</v>
      </c>
      <c r="AD5" s="161">
        <v>782791</v>
      </c>
      <c r="AE5" s="185">
        <v>0.43</v>
      </c>
      <c r="AF5" s="145" t="s">
        <v>3445</v>
      </c>
      <c r="AG5" s="161"/>
      <c r="AH5" s="161"/>
      <c r="AI5" s="150"/>
      <c r="AJ5" s="145" t="s">
        <v>338</v>
      </c>
      <c r="AK5" s="145" t="s">
        <v>886</v>
      </c>
      <c r="AL5" s="161"/>
      <c r="AM5" s="145" t="s">
        <v>889</v>
      </c>
      <c r="AN5" s="172">
        <v>45747</v>
      </c>
      <c r="AO5" s="172">
        <v>45747</v>
      </c>
      <c r="AP5" s="150"/>
      <c r="AQ5" s="146">
        <v>2528000</v>
      </c>
      <c r="AR5" s="146">
        <v>101.91</v>
      </c>
      <c r="AS5" s="146">
        <v>1</v>
      </c>
      <c r="AT5" s="146">
        <v>2576.2849999999999</v>
      </c>
      <c r="AU5" s="186">
        <v>2576.2847999999999</v>
      </c>
      <c r="AV5" s="161"/>
      <c r="AW5" s="161"/>
      <c r="AX5" s="158"/>
      <c r="AY5" s="161"/>
      <c r="AZ5" s="148">
        <v>0.12579000000000001</v>
      </c>
      <c r="BA5" s="149">
        <v>2.4499999999999999E-3</v>
      </c>
      <c r="BB5" s="196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3292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3293</v>
      </c>
      <c r="P6" s="145" t="s">
        <v>1406</v>
      </c>
      <c r="Q6" s="145" t="s">
        <v>415</v>
      </c>
      <c r="R6" s="145" t="s">
        <v>408</v>
      </c>
      <c r="S6" s="145" t="s">
        <v>1210</v>
      </c>
      <c r="T6" s="146">
        <v>10.039999999999999</v>
      </c>
      <c r="U6" s="145" t="s">
        <v>824</v>
      </c>
      <c r="V6" s="148">
        <v>0.03</v>
      </c>
      <c r="W6" s="145"/>
      <c r="X6" s="161"/>
      <c r="Y6" s="161"/>
      <c r="Z6" s="148">
        <v>3.6700000000000003E-2</v>
      </c>
      <c r="AA6" s="145" t="s">
        <v>3294</v>
      </c>
      <c r="AB6" s="145" t="s">
        <v>412</v>
      </c>
      <c r="AC6" s="161" t="s">
        <v>773</v>
      </c>
      <c r="AD6" s="161"/>
      <c r="AE6" s="185">
        <v>0.75</v>
      </c>
      <c r="AF6" s="145" t="s">
        <v>3445</v>
      </c>
      <c r="AG6" s="161"/>
      <c r="AH6" s="161"/>
      <c r="AI6" s="150"/>
      <c r="AJ6" s="145" t="s">
        <v>338</v>
      </c>
      <c r="AK6" s="145" t="s">
        <v>886</v>
      </c>
      <c r="AL6" s="161"/>
      <c r="AM6" s="145" t="s">
        <v>889</v>
      </c>
      <c r="AN6" s="172">
        <v>45747</v>
      </c>
      <c r="AO6" s="172">
        <v>45747</v>
      </c>
      <c r="AP6" s="150"/>
      <c r="AQ6" s="146">
        <v>1093997.03</v>
      </c>
      <c r="AR6" s="146">
        <v>108.38</v>
      </c>
      <c r="AS6" s="146">
        <v>1</v>
      </c>
      <c r="AT6" s="146">
        <v>1185.674</v>
      </c>
      <c r="AU6" s="186">
        <v>1185.6739809999999</v>
      </c>
      <c r="AV6" s="161"/>
      <c r="AW6" s="161"/>
      <c r="AX6" s="158"/>
      <c r="AY6" s="161"/>
      <c r="AZ6" s="148">
        <v>5.7889999999999997E-2</v>
      </c>
      <c r="BA6" s="149">
        <v>1.1299999999999999E-3</v>
      </c>
      <c r="BB6" s="196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3295</v>
      </c>
      <c r="G7" s="145" t="s">
        <v>1012</v>
      </c>
      <c r="H7" s="145" t="s">
        <v>3296</v>
      </c>
      <c r="I7" s="145" t="s">
        <v>204</v>
      </c>
      <c r="J7" s="158"/>
      <c r="K7" s="145" t="s">
        <v>447</v>
      </c>
      <c r="L7" s="145" t="s">
        <v>339</v>
      </c>
      <c r="M7" s="145" t="s">
        <v>338</v>
      </c>
      <c r="N7" s="161"/>
      <c r="O7" s="145" t="s">
        <v>3297</v>
      </c>
      <c r="P7" s="161"/>
      <c r="Q7" s="145" t="s">
        <v>410</v>
      </c>
      <c r="R7" s="161"/>
      <c r="S7" s="145" t="s">
        <v>1210</v>
      </c>
      <c r="T7" s="146">
        <v>1.62</v>
      </c>
      <c r="U7" s="145" t="s">
        <v>823</v>
      </c>
      <c r="V7" s="148">
        <v>0.09</v>
      </c>
      <c r="W7" s="145"/>
      <c r="X7" s="161"/>
      <c r="Y7" s="161"/>
      <c r="Z7" s="148">
        <v>7.2800000000000004E-2</v>
      </c>
      <c r="AA7" s="145" t="s">
        <v>3298</v>
      </c>
      <c r="AB7" s="145" t="s">
        <v>412</v>
      </c>
      <c r="AC7" s="161" t="s">
        <v>771</v>
      </c>
      <c r="AD7" s="161">
        <v>206802.164368</v>
      </c>
      <c r="AE7" s="185">
        <v>0.76</v>
      </c>
      <c r="AF7" s="145" t="s">
        <v>3445</v>
      </c>
      <c r="AG7" s="161"/>
      <c r="AH7" s="161"/>
      <c r="AI7" s="150"/>
      <c r="AJ7" s="145" t="s">
        <v>339</v>
      </c>
      <c r="AK7" s="145" t="s">
        <v>886</v>
      </c>
      <c r="AL7" s="161"/>
      <c r="AM7" s="145" t="s">
        <v>889</v>
      </c>
      <c r="AN7" s="172">
        <v>45747</v>
      </c>
      <c r="AO7" s="172">
        <v>45747</v>
      </c>
      <c r="AP7" s="150"/>
      <c r="AQ7" s="146">
        <v>897034.28</v>
      </c>
      <c r="AR7" s="146">
        <v>102.79</v>
      </c>
      <c r="AS7" s="146">
        <v>1</v>
      </c>
      <c r="AT7" s="146">
        <v>922.06200000000001</v>
      </c>
      <c r="AU7" s="186">
        <v>922.06153599999993</v>
      </c>
      <c r="AV7" s="161"/>
      <c r="AW7" s="161"/>
      <c r="AX7" s="158"/>
      <c r="AY7" s="161"/>
      <c r="AZ7" s="148">
        <v>4.5019999999999998E-2</v>
      </c>
      <c r="BA7" s="149">
        <v>8.8000000000000003E-4</v>
      </c>
      <c r="BB7" s="196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3299</v>
      </c>
      <c r="G8" s="145" t="s">
        <v>1012</v>
      </c>
      <c r="H8" s="150"/>
      <c r="I8" s="145" t="s">
        <v>204</v>
      </c>
      <c r="J8" s="158"/>
      <c r="K8" s="145" t="s">
        <v>440</v>
      </c>
      <c r="L8" s="145" t="s">
        <v>339</v>
      </c>
      <c r="M8" s="145" t="s">
        <v>338</v>
      </c>
      <c r="N8" s="161"/>
      <c r="O8" s="145" t="s">
        <v>3300</v>
      </c>
      <c r="P8" s="145" t="s">
        <v>1358</v>
      </c>
      <c r="Q8" s="145" t="s">
        <v>415</v>
      </c>
      <c r="R8" s="145" t="s">
        <v>408</v>
      </c>
      <c r="S8" s="145" t="s">
        <v>1210</v>
      </c>
      <c r="T8" s="146">
        <v>8.2899999999999991</v>
      </c>
      <c r="U8" s="145" t="s">
        <v>824</v>
      </c>
      <c r="V8" s="148">
        <v>0</v>
      </c>
      <c r="W8" s="145"/>
      <c r="X8" s="161"/>
      <c r="Y8" s="161"/>
      <c r="Z8" s="148">
        <v>3.2300000000000002E-2</v>
      </c>
      <c r="AA8" s="145" t="s">
        <v>3301</v>
      </c>
      <c r="AB8" s="145" t="s">
        <v>412</v>
      </c>
      <c r="AC8" s="161" t="s">
        <v>773</v>
      </c>
      <c r="AD8" s="161"/>
      <c r="AE8" s="185">
        <v>0.75</v>
      </c>
      <c r="AF8" s="145" t="s">
        <v>3445</v>
      </c>
      <c r="AG8" s="161"/>
      <c r="AH8" s="161"/>
      <c r="AI8" s="150"/>
      <c r="AJ8" s="145" t="s">
        <v>338</v>
      </c>
      <c r="AK8" s="145" t="s">
        <v>886</v>
      </c>
      <c r="AL8" s="161"/>
      <c r="AM8" s="145" t="s">
        <v>889</v>
      </c>
      <c r="AN8" s="172">
        <v>45747</v>
      </c>
      <c r="AO8" s="172">
        <v>45747</v>
      </c>
      <c r="AP8" s="150"/>
      <c r="AQ8" s="146">
        <v>865854.79</v>
      </c>
      <c r="AR8" s="146">
        <v>103.1</v>
      </c>
      <c r="AS8" s="146">
        <v>1</v>
      </c>
      <c r="AT8" s="146">
        <v>892.69600000000003</v>
      </c>
      <c r="AU8" s="186">
        <v>892.69628799999998</v>
      </c>
      <c r="AV8" s="161"/>
      <c r="AW8" s="161"/>
      <c r="AX8" s="158"/>
      <c r="AY8" s="161"/>
      <c r="AZ8" s="148">
        <v>4.3589999999999997E-2</v>
      </c>
      <c r="BA8" s="149">
        <v>8.4999999999999995E-4</v>
      </c>
      <c r="BB8" s="196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3302</v>
      </c>
      <c r="G9" s="145" t="s">
        <v>1012</v>
      </c>
      <c r="H9" s="150"/>
      <c r="I9" s="145" t="s">
        <v>204</v>
      </c>
      <c r="J9" s="158"/>
      <c r="K9" s="145" t="s">
        <v>448</v>
      </c>
      <c r="L9" s="145" t="s">
        <v>339</v>
      </c>
      <c r="M9" s="145" t="s">
        <v>338</v>
      </c>
      <c r="N9" s="161"/>
      <c r="O9" s="145" t="s">
        <v>3303</v>
      </c>
      <c r="P9" s="161"/>
      <c r="Q9" s="145" t="s">
        <v>410</v>
      </c>
      <c r="R9" s="145" t="s">
        <v>410</v>
      </c>
      <c r="S9" s="145" t="s">
        <v>1210</v>
      </c>
      <c r="T9" s="146">
        <v>5.19</v>
      </c>
      <c r="U9" s="145" t="s">
        <v>823</v>
      </c>
      <c r="V9" s="148">
        <v>3.4759999999999999E-2</v>
      </c>
      <c r="W9" s="145"/>
      <c r="X9" s="161"/>
      <c r="Y9" s="161"/>
      <c r="Z9" s="148">
        <v>4.9599999999999998E-2</v>
      </c>
      <c r="AA9" s="145" t="s">
        <v>3304</v>
      </c>
      <c r="AB9" s="145" t="s">
        <v>412</v>
      </c>
      <c r="AC9" s="161"/>
      <c r="AD9" s="161"/>
      <c r="AE9" s="185"/>
      <c r="AF9" s="161" t="s">
        <v>3445</v>
      </c>
      <c r="AG9" s="161"/>
      <c r="AH9" s="161"/>
      <c r="AI9" s="150"/>
      <c r="AJ9" s="145" t="s">
        <v>339</v>
      </c>
      <c r="AK9" s="145" t="s">
        <v>886</v>
      </c>
      <c r="AL9" s="161"/>
      <c r="AM9" s="145" t="s">
        <v>889</v>
      </c>
      <c r="AN9" s="172">
        <v>45747</v>
      </c>
      <c r="AO9" s="172">
        <v>45747</v>
      </c>
      <c r="AP9" s="150"/>
      <c r="AQ9" s="146">
        <v>910403.24</v>
      </c>
      <c r="AR9" s="146">
        <v>94.27</v>
      </c>
      <c r="AS9" s="146">
        <v>1</v>
      </c>
      <c r="AT9" s="146">
        <v>858.23699999999997</v>
      </c>
      <c r="AU9" s="186">
        <v>858.23713399999997</v>
      </c>
      <c r="AV9" s="161"/>
      <c r="AW9" s="161"/>
      <c r="AX9" s="158"/>
      <c r="AY9" s="161"/>
      <c r="AZ9" s="148">
        <v>4.19E-2</v>
      </c>
      <c r="BA9" s="149">
        <v>8.1999999999999998E-4</v>
      </c>
      <c r="BB9" s="196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3305</v>
      </c>
      <c r="G10" s="145" t="s">
        <v>1012</v>
      </c>
      <c r="H10" s="150"/>
      <c r="I10" s="145" t="s">
        <v>204</v>
      </c>
      <c r="J10" s="158"/>
      <c r="K10" s="145" t="s">
        <v>451</v>
      </c>
      <c r="L10" s="145" t="s">
        <v>339</v>
      </c>
      <c r="M10" s="145" t="s">
        <v>338</v>
      </c>
      <c r="N10" s="161"/>
      <c r="O10" s="145" t="s">
        <v>3306</v>
      </c>
      <c r="P10" s="161"/>
      <c r="Q10" s="145" t="s">
        <v>410</v>
      </c>
      <c r="R10" s="161"/>
      <c r="S10" s="145" t="s">
        <v>1211</v>
      </c>
      <c r="T10" s="146">
        <v>0.01</v>
      </c>
      <c r="U10" s="145" t="s">
        <v>314</v>
      </c>
      <c r="V10" s="145">
        <v>0</v>
      </c>
      <c r="W10" s="145"/>
      <c r="X10" s="161"/>
      <c r="Y10" s="161"/>
      <c r="Z10" s="148">
        <v>1E-4</v>
      </c>
      <c r="AA10" s="145" t="s">
        <v>3307</v>
      </c>
      <c r="AB10" s="145" t="s">
        <v>412</v>
      </c>
      <c r="AC10" s="161"/>
      <c r="AD10" s="161"/>
      <c r="AE10" s="185"/>
      <c r="AF10" s="161"/>
      <c r="AG10" s="161"/>
      <c r="AH10" s="161"/>
      <c r="AI10" s="150"/>
      <c r="AJ10" s="145" t="s">
        <v>338</v>
      </c>
      <c r="AK10" s="145" t="s">
        <v>885</v>
      </c>
      <c r="AL10" s="161"/>
      <c r="AM10" s="145" t="s">
        <v>889</v>
      </c>
      <c r="AN10" s="172">
        <v>45747</v>
      </c>
      <c r="AO10" s="172">
        <v>45747</v>
      </c>
      <c r="AP10" s="150"/>
      <c r="AQ10" s="146">
        <v>143197</v>
      </c>
      <c r="AR10" s="146">
        <v>161.00200000000001</v>
      </c>
      <c r="AS10" s="146">
        <v>3.718</v>
      </c>
      <c r="AT10" s="146">
        <v>857.18399999999997</v>
      </c>
      <c r="AU10" s="186">
        <v>230.54974799999999</v>
      </c>
      <c r="AV10" s="161"/>
      <c r="AW10" s="161"/>
      <c r="AX10" s="158"/>
      <c r="AY10" s="161"/>
      <c r="AZ10" s="148">
        <v>4.1849999999999998E-2</v>
      </c>
      <c r="BA10" s="149">
        <v>8.1999999999999998E-4</v>
      </c>
      <c r="BB10" s="196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3308</v>
      </c>
      <c r="G11" s="145" t="s">
        <v>1012</v>
      </c>
      <c r="H11" s="150"/>
      <c r="I11" s="145" t="s">
        <v>204</v>
      </c>
      <c r="J11" s="158"/>
      <c r="K11" s="145" t="s">
        <v>440</v>
      </c>
      <c r="L11" s="145" t="s">
        <v>339</v>
      </c>
      <c r="M11" s="145" t="s">
        <v>338</v>
      </c>
      <c r="N11" s="161"/>
      <c r="O11" s="145" t="s">
        <v>3309</v>
      </c>
      <c r="P11" s="145" t="s">
        <v>1406</v>
      </c>
      <c r="Q11" s="145" t="s">
        <v>415</v>
      </c>
      <c r="R11" s="145" t="s">
        <v>408</v>
      </c>
      <c r="S11" s="145" t="s">
        <v>1210</v>
      </c>
      <c r="T11" s="146">
        <v>3.63</v>
      </c>
      <c r="U11" s="145" t="s">
        <v>824</v>
      </c>
      <c r="V11" s="148">
        <v>0</v>
      </c>
      <c r="W11" s="145"/>
      <c r="X11" s="161"/>
      <c r="Y11" s="161"/>
      <c r="Z11" s="148">
        <v>2.9600000000000001E-2</v>
      </c>
      <c r="AA11" s="145" t="s">
        <v>1656</v>
      </c>
      <c r="AB11" s="145" t="s">
        <v>412</v>
      </c>
      <c r="AC11" s="161" t="s">
        <v>773</v>
      </c>
      <c r="AD11" s="161"/>
      <c r="AE11" s="185">
        <v>0.75</v>
      </c>
      <c r="AF11" s="145" t="s">
        <v>3445</v>
      </c>
      <c r="AG11" s="161"/>
      <c r="AH11" s="161"/>
      <c r="AI11" s="150"/>
      <c r="AJ11" s="145" t="s">
        <v>338</v>
      </c>
      <c r="AK11" s="145" t="s">
        <v>886</v>
      </c>
      <c r="AL11" s="161"/>
      <c r="AM11" s="145" t="s">
        <v>889</v>
      </c>
      <c r="AN11" s="172">
        <v>45747</v>
      </c>
      <c r="AO11" s="172">
        <v>45747</v>
      </c>
      <c r="AP11" s="150"/>
      <c r="AQ11" s="146">
        <v>666706.56000000006</v>
      </c>
      <c r="AR11" s="146">
        <v>117.35</v>
      </c>
      <c r="AS11" s="146">
        <v>1</v>
      </c>
      <c r="AT11" s="146">
        <v>782.38</v>
      </c>
      <c r="AU11" s="186">
        <v>782.38014800000008</v>
      </c>
      <c r="AV11" s="161"/>
      <c r="AW11" s="161"/>
      <c r="AX11" s="158"/>
      <c r="AY11" s="161"/>
      <c r="AZ11" s="148">
        <v>3.8199999999999998E-2</v>
      </c>
      <c r="BA11" s="149">
        <v>7.3999999999999999E-4</v>
      </c>
      <c r="BB11" s="196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3310</v>
      </c>
      <c r="G12" s="145" t="s">
        <v>1012</v>
      </c>
      <c r="H12" s="150"/>
      <c r="I12" s="145" t="s">
        <v>204</v>
      </c>
      <c r="J12" s="158"/>
      <c r="K12" s="145" t="s">
        <v>485</v>
      </c>
      <c r="L12" s="145" t="s">
        <v>339</v>
      </c>
      <c r="M12" s="145" t="s">
        <v>338</v>
      </c>
      <c r="N12" s="161"/>
      <c r="O12" s="145" t="s">
        <v>3311</v>
      </c>
      <c r="P12" s="145" t="s">
        <v>1547</v>
      </c>
      <c r="Q12" s="145" t="s">
        <v>413</v>
      </c>
      <c r="R12" s="145" t="s">
        <v>408</v>
      </c>
      <c r="S12" s="145" t="s">
        <v>1210</v>
      </c>
      <c r="T12" s="146">
        <v>5.53</v>
      </c>
      <c r="U12" s="145" t="s">
        <v>824</v>
      </c>
      <c r="V12" s="148">
        <v>3.4099999999999998E-2</v>
      </c>
      <c r="W12" s="145"/>
      <c r="X12" s="161"/>
      <c r="Y12" s="161"/>
      <c r="Z12" s="148">
        <v>3.2500000000000001E-2</v>
      </c>
      <c r="AA12" s="145" t="s">
        <v>3312</v>
      </c>
      <c r="AB12" s="145" t="s">
        <v>412</v>
      </c>
      <c r="AC12" s="161"/>
      <c r="AD12" s="161"/>
      <c r="AE12" s="185"/>
      <c r="AF12" s="161" t="s">
        <v>3445</v>
      </c>
      <c r="AG12" s="161"/>
      <c r="AH12" s="161"/>
      <c r="AI12" s="150"/>
      <c r="AJ12" s="150"/>
      <c r="AK12" s="145" t="s">
        <v>886</v>
      </c>
      <c r="AL12" s="161"/>
      <c r="AM12" s="145" t="s">
        <v>889</v>
      </c>
      <c r="AN12" s="172">
        <v>45747</v>
      </c>
      <c r="AO12" s="172">
        <v>45747</v>
      </c>
      <c r="AP12" s="150"/>
      <c r="AQ12" s="146">
        <v>651161.36</v>
      </c>
      <c r="AR12" s="146">
        <v>117.89</v>
      </c>
      <c r="AS12" s="146">
        <v>1</v>
      </c>
      <c r="AT12" s="146">
        <v>767.654</v>
      </c>
      <c r="AU12" s="186">
        <v>767.65412700000002</v>
      </c>
      <c r="AV12" s="161"/>
      <c r="AW12" s="161"/>
      <c r="AX12" s="158"/>
      <c r="AY12" s="161"/>
      <c r="AZ12" s="148">
        <v>3.7479999999999999E-2</v>
      </c>
      <c r="BA12" s="149">
        <v>7.2999999999999996E-4</v>
      </c>
      <c r="BB12" s="196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3313</v>
      </c>
      <c r="G13" s="145" t="s">
        <v>1012</v>
      </c>
      <c r="H13" s="150"/>
      <c r="I13" s="145" t="s">
        <v>204</v>
      </c>
      <c r="J13" s="158"/>
      <c r="K13" s="145" t="s">
        <v>448</v>
      </c>
      <c r="L13" s="145" t="s">
        <v>339</v>
      </c>
      <c r="M13" s="145" t="s">
        <v>338</v>
      </c>
      <c r="N13" s="161"/>
      <c r="O13" s="145" t="s">
        <v>3303</v>
      </c>
      <c r="P13" s="161"/>
      <c r="Q13" s="145" t="s">
        <v>410</v>
      </c>
      <c r="R13" s="145" t="s">
        <v>410</v>
      </c>
      <c r="S13" s="145" t="s">
        <v>1210</v>
      </c>
      <c r="T13" s="146">
        <v>6.88</v>
      </c>
      <c r="U13" s="145" t="s">
        <v>823</v>
      </c>
      <c r="V13" s="148">
        <v>5.2089999999999997E-2</v>
      </c>
      <c r="W13" s="145"/>
      <c r="X13" s="161"/>
      <c r="Y13" s="161"/>
      <c r="Z13" s="148">
        <v>5.6800000000000003E-2</v>
      </c>
      <c r="AA13" s="145" t="s">
        <v>3314</v>
      </c>
      <c r="AB13" s="145" t="s">
        <v>412</v>
      </c>
      <c r="AC13" s="161"/>
      <c r="AD13" s="161"/>
      <c r="AE13" s="185"/>
      <c r="AF13" s="161" t="s">
        <v>3445</v>
      </c>
      <c r="AG13" s="161"/>
      <c r="AH13" s="161"/>
      <c r="AI13" s="150"/>
      <c r="AJ13" s="145" t="s">
        <v>339</v>
      </c>
      <c r="AK13" s="145" t="s">
        <v>886</v>
      </c>
      <c r="AL13" s="161"/>
      <c r="AM13" s="145" t="s">
        <v>889</v>
      </c>
      <c r="AN13" s="172">
        <v>45747</v>
      </c>
      <c r="AO13" s="172">
        <v>45747</v>
      </c>
      <c r="AP13" s="150"/>
      <c r="AQ13" s="146">
        <v>785239.79</v>
      </c>
      <c r="AR13" s="146">
        <v>97.68</v>
      </c>
      <c r="AS13" s="146">
        <v>1</v>
      </c>
      <c r="AT13" s="146">
        <v>767.02200000000005</v>
      </c>
      <c r="AU13" s="186">
        <v>767.02222699999993</v>
      </c>
      <c r="AV13" s="161"/>
      <c r="AW13" s="161"/>
      <c r="AX13" s="158"/>
      <c r="AY13" s="161"/>
      <c r="AZ13" s="148">
        <v>3.7449999999999997E-2</v>
      </c>
      <c r="BA13" s="149">
        <v>7.2999999999999996E-4</v>
      </c>
      <c r="BB13" s="196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3315</v>
      </c>
      <c r="G14" s="145" t="s">
        <v>1012</v>
      </c>
      <c r="H14" s="150"/>
      <c r="I14" s="145" t="s">
        <v>204</v>
      </c>
      <c r="J14" s="158"/>
      <c r="K14" s="145" t="s">
        <v>443</v>
      </c>
      <c r="L14" s="145" t="s">
        <v>339</v>
      </c>
      <c r="M14" s="145" t="s">
        <v>338</v>
      </c>
      <c r="N14" s="161"/>
      <c r="O14" s="145" t="s">
        <v>3316</v>
      </c>
      <c r="P14" s="161"/>
      <c r="Q14" s="145" t="s">
        <v>410</v>
      </c>
      <c r="R14" s="161"/>
      <c r="S14" s="145" t="s">
        <v>1210</v>
      </c>
      <c r="T14" s="146">
        <v>2.54</v>
      </c>
      <c r="U14" s="145" t="s">
        <v>823</v>
      </c>
      <c r="V14" s="148">
        <v>8.5000000000000006E-2</v>
      </c>
      <c r="W14" s="145"/>
      <c r="X14" s="161"/>
      <c r="Y14" s="161"/>
      <c r="Z14" s="148">
        <v>7.4999999999999997E-2</v>
      </c>
      <c r="AA14" s="145" t="s">
        <v>3317</v>
      </c>
      <c r="AB14" s="145" t="s">
        <v>412</v>
      </c>
      <c r="AC14" s="161" t="s">
        <v>748</v>
      </c>
      <c r="AD14" s="161">
        <v>705882.35294100002</v>
      </c>
      <c r="AE14" s="185">
        <v>0.17</v>
      </c>
      <c r="AF14" s="145" t="s">
        <v>3445</v>
      </c>
      <c r="AG14" s="161"/>
      <c r="AH14" s="161"/>
      <c r="AI14" s="150"/>
      <c r="AJ14" s="145" t="s">
        <v>338</v>
      </c>
      <c r="AK14" s="145" t="s">
        <v>886</v>
      </c>
      <c r="AL14" s="161"/>
      <c r="AM14" s="145" t="s">
        <v>889</v>
      </c>
      <c r="AN14" s="172">
        <v>45747</v>
      </c>
      <c r="AO14" s="172">
        <v>45747</v>
      </c>
      <c r="AP14" s="150"/>
      <c r="AQ14" s="146">
        <v>632000</v>
      </c>
      <c r="AR14" s="146">
        <v>102.98</v>
      </c>
      <c r="AS14" s="146">
        <v>1</v>
      </c>
      <c r="AT14" s="146">
        <v>650.83399999999995</v>
      </c>
      <c r="AU14" s="186">
        <v>650.83359999999993</v>
      </c>
      <c r="AV14" s="161"/>
      <c r="AW14" s="161"/>
      <c r="AX14" s="158"/>
      <c r="AY14" s="161"/>
      <c r="AZ14" s="148">
        <v>3.1780000000000003E-2</v>
      </c>
      <c r="BA14" s="149">
        <v>6.2E-4</v>
      </c>
      <c r="BB14" s="196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3318</v>
      </c>
      <c r="G15" s="145" t="s">
        <v>1012</v>
      </c>
      <c r="H15" s="150"/>
      <c r="I15" s="145" t="s">
        <v>204</v>
      </c>
      <c r="J15" s="158"/>
      <c r="K15" s="145" t="s">
        <v>484</v>
      </c>
      <c r="L15" s="145" t="s">
        <v>339</v>
      </c>
      <c r="M15" s="145" t="s">
        <v>338</v>
      </c>
      <c r="N15" s="161"/>
      <c r="O15" s="145" t="s">
        <v>3319</v>
      </c>
      <c r="P15" s="161"/>
      <c r="Q15" s="145" t="s">
        <v>410</v>
      </c>
      <c r="R15" s="161"/>
      <c r="S15" s="145" t="s">
        <v>1210</v>
      </c>
      <c r="T15" s="146">
        <v>4.58</v>
      </c>
      <c r="U15" s="145" t="s">
        <v>824</v>
      </c>
      <c r="V15" s="148">
        <v>0</v>
      </c>
      <c r="W15" s="145"/>
      <c r="X15" s="161"/>
      <c r="Y15" s="161"/>
      <c r="Z15" s="148">
        <v>3.2599999999999997E-2</v>
      </c>
      <c r="AA15" s="145" t="s">
        <v>1692</v>
      </c>
      <c r="AB15" s="145" t="s">
        <v>412</v>
      </c>
      <c r="AC15" s="161" t="s">
        <v>485</v>
      </c>
      <c r="AD15" s="161"/>
      <c r="AE15" s="185"/>
      <c r="AF15" s="145" t="s">
        <v>3445</v>
      </c>
      <c r="AG15" s="161"/>
      <c r="AH15" s="161"/>
      <c r="AI15" s="150"/>
      <c r="AJ15" s="150"/>
      <c r="AK15" s="145" t="s">
        <v>886</v>
      </c>
      <c r="AL15" s="161"/>
      <c r="AM15" s="145" t="s">
        <v>889</v>
      </c>
      <c r="AN15" s="172">
        <v>45747</v>
      </c>
      <c r="AO15" s="172">
        <v>45747</v>
      </c>
      <c r="AP15" s="150"/>
      <c r="AQ15" s="146">
        <v>501239.66</v>
      </c>
      <c r="AR15" s="146">
        <v>116.48</v>
      </c>
      <c r="AS15" s="146">
        <v>1</v>
      </c>
      <c r="AT15" s="146">
        <v>583.84400000000005</v>
      </c>
      <c r="AU15" s="186">
        <v>583.84395600000005</v>
      </c>
      <c r="AV15" s="161"/>
      <c r="AW15" s="161"/>
      <c r="AX15" s="158"/>
      <c r="AY15" s="161"/>
      <c r="AZ15" s="148">
        <v>2.8510000000000001E-2</v>
      </c>
      <c r="BA15" s="149">
        <v>5.5999999999999995E-4</v>
      </c>
      <c r="BB15" s="196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3320</v>
      </c>
      <c r="G16" s="145" t="s">
        <v>1012</v>
      </c>
      <c r="H16" s="150"/>
      <c r="I16" s="145" t="s">
        <v>204</v>
      </c>
      <c r="J16" s="158"/>
      <c r="K16" s="145" t="s">
        <v>448</v>
      </c>
      <c r="L16" s="145" t="s">
        <v>339</v>
      </c>
      <c r="M16" s="145" t="s">
        <v>338</v>
      </c>
      <c r="N16" s="161"/>
      <c r="O16" s="145" t="s">
        <v>3303</v>
      </c>
      <c r="P16" s="161"/>
      <c r="Q16" s="145" t="s">
        <v>410</v>
      </c>
      <c r="R16" s="145" t="s">
        <v>410</v>
      </c>
      <c r="S16" s="145" t="s">
        <v>1210</v>
      </c>
      <c r="T16" s="146">
        <v>7.48</v>
      </c>
      <c r="U16" s="145" t="s">
        <v>824</v>
      </c>
      <c r="V16" s="148">
        <v>1.7979999999999999E-2</v>
      </c>
      <c r="W16" s="145"/>
      <c r="X16" s="161"/>
      <c r="Y16" s="161"/>
      <c r="Z16" s="148">
        <v>2.5100000000000001E-2</v>
      </c>
      <c r="AA16" s="145" t="s">
        <v>3314</v>
      </c>
      <c r="AB16" s="145" t="s">
        <v>412</v>
      </c>
      <c r="AC16" s="161"/>
      <c r="AD16" s="161"/>
      <c r="AE16" s="185"/>
      <c r="AF16" s="161" t="s">
        <v>3445</v>
      </c>
      <c r="AG16" s="161"/>
      <c r="AH16" s="161"/>
      <c r="AI16" s="150"/>
      <c r="AJ16" s="145" t="s">
        <v>339</v>
      </c>
      <c r="AK16" s="145" t="s">
        <v>886</v>
      </c>
      <c r="AL16" s="161"/>
      <c r="AM16" s="145" t="s">
        <v>889</v>
      </c>
      <c r="AN16" s="172">
        <v>45747</v>
      </c>
      <c r="AO16" s="172">
        <v>45747</v>
      </c>
      <c r="AP16" s="150"/>
      <c r="AQ16" s="146">
        <v>404967.65</v>
      </c>
      <c r="AR16" s="146">
        <v>128.97</v>
      </c>
      <c r="AS16" s="146">
        <v>1</v>
      </c>
      <c r="AT16" s="146">
        <v>522.28700000000003</v>
      </c>
      <c r="AU16" s="186">
        <v>522.28677800000003</v>
      </c>
      <c r="AV16" s="161"/>
      <c r="AW16" s="161"/>
      <c r="AX16" s="158"/>
      <c r="AY16" s="161"/>
      <c r="AZ16" s="148">
        <v>2.5499999999999998E-2</v>
      </c>
      <c r="BA16" s="149">
        <v>5.0000000000000001E-4</v>
      </c>
      <c r="BB16" s="196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3321</v>
      </c>
      <c r="G17" s="145" t="s">
        <v>1008</v>
      </c>
      <c r="H17" s="150"/>
      <c r="I17" s="145" t="s">
        <v>204</v>
      </c>
      <c r="J17" s="158"/>
      <c r="K17" s="145" t="s">
        <v>478</v>
      </c>
      <c r="L17" s="145" t="s">
        <v>339</v>
      </c>
      <c r="M17" s="145" t="s">
        <v>338</v>
      </c>
      <c r="N17" s="161"/>
      <c r="O17" s="145" t="s">
        <v>3322</v>
      </c>
      <c r="P17" s="161"/>
      <c r="Q17" s="145" t="s">
        <v>410</v>
      </c>
      <c r="R17" s="161"/>
      <c r="S17" s="145" t="s">
        <v>1210</v>
      </c>
      <c r="T17" s="146">
        <v>1.22</v>
      </c>
      <c r="U17" s="145" t="s">
        <v>824</v>
      </c>
      <c r="V17" s="148">
        <v>9.0440000000000006E-2</v>
      </c>
      <c r="W17" s="145"/>
      <c r="X17" s="161"/>
      <c r="Y17" s="161"/>
      <c r="Z17" s="148">
        <v>6.5600000000000006E-2</v>
      </c>
      <c r="AA17" s="145" t="s">
        <v>3323</v>
      </c>
      <c r="AB17" s="145" t="s">
        <v>412</v>
      </c>
      <c r="AC17" s="161" t="s">
        <v>762</v>
      </c>
      <c r="AD17" s="161">
        <v>78908</v>
      </c>
      <c r="AE17" s="185">
        <v>0.75</v>
      </c>
      <c r="AF17" s="145" t="s">
        <v>3445</v>
      </c>
      <c r="AG17" s="161"/>
      <c r="AH17" s="161"/>
      <c r="AI17" s="150"/>
      <c r="AJ17" s="150"/>
      <c r="AK17" s="145" t="s">
        <v>886</v>
      </c>
      <c r="AL17" s="161"/>
      <c r="AM17" s="145" t="s">
        <v>889</v>
      </c>
      <c r="AN17" s="172">
        <v>45747</v>
      </c>
      <c r="AO17" s="172">
        <v>45747</v>
      </c>
      <c r="AP17" s="150"/>
      <c r="AQ17" s="146">
        <v>425718.87</v>
      </c>
      <c r="AR17" s="146">
        <v>113.05</v>
      </c>
      <c r="AS17" s="146">
        <v>1</v>
      </c>
      <c r="AT17" s="146">
        <v>481.27499999999998</v>
      </c>
      <c r="AU17" s="186">
        <v>481.27518300000003</v>
      </c>
      <c r="AV17" s="161"/>
      <c r="AW17" s="161"/>
      <c r="AX17" s="158"/>
      <c r="AY17" s="161"/>
      <c r="AZ17" s="148">
        <v>2.35E-2</v>
      </c>
      <c r="BA17" s="149">
        <v>4.6000000000000001E-4</v>
      </c>
      <c r="BB17" s="196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3324</v>
      </c>
      <c r="G18" s="145" t="s">
        <v>1012</v>
      </c>
      <c r="H18" s="145" t="s">
        <v>819</v>
      </c>
      <c r="I18" s="145" t="s">
        <v>204</v>
      </c>
      <c r="J18" s="158"/>
      <c r="K18" s="145" t="s">
        <v>478</v>
      </c>
      <c r="L18" s="145" t="s">
        <v>339</v>
      </c>
      <c r="M18" s="145" t="s">
        <v>338</v>
      </c>
      <c r="N18" s="161"/>
      <c r="O18" s="145" t="s">
        <v>3325</v>
      </c>
      <c r="P18" s="145" t="s">
        <v>3326</v>
      </c>
      <c r="Q18" s="145" t="s">
        <v>312</v>
      </c>
      <c r="R18" s="145" t="s">
        <v>408</v>
      </c>
      <c r="S18" s="145" t="s">
        <v>1210</v>
      </c>
      <c r="T18" s="146">
        <v>1.28</v>
      </c>
      <c r="U18" s="145" t="s">
        <v>823</v>
      </c>
      <c r="V18" s="148">
        <v>8.3000000000000004E-2</v>
      </c>
      <c r="W18" s="145"/>
      <c r="X18" s="161"/>
      <c r="Y18" s="161"/>
      <c r="Z18" s="148">
        <v>7.46E-2</v>
      </c>
      <c r="AA18" s="145" t="s">
        <v>3327</v>
      </c>
      <c r="AB18" s="145" t="s">
        <v>412</v>
      </c>
      <c r="AC18" s="161" t="s">
        <v>819</v>
      </c>
      <c r="AD18" s="161">
        <v>133333.33333333331</v>
      </c>
      <c r="AE18" s="185">
        <v>0.75</v>
      </c>
      <c r="AF18" s="145" t="s">
        <v>3445</v>
      </c>
      <c r="AG18" s="161"/>
      <c r="AH18" s="161"/>
      <c r="AI18" s="150"/>
      <c r="AJ18" s="145" t="s">
        <v>339</v>
      </c>
      <c r="AK18" s="145" t="s">
        <v>886</v>
      </c>
      <c r="AL18" s="161"/>
      <c r="AM18" s="145" t="s">
        <v>889</v>
      </c>
      <c r="AN18" s="172">
        <v>45747</v>
      </c>
      <c r="AO18" s="172">
        <v>45747</v>
      </c>
      <c r="AP18" s="150"/>
      <c r="AQ18" s="146">
        <v>421333.34</v>
      </c>
      <c r="AR18" s="146">
        <v>101.85</v>
      </c>
      <c r="AS18" s="146">
        <v>1</v>
      </c>
      <c r="AT18" s="146">
        <v>429.12799999999999</v>
      </c>
      <c r="AU18" s="186">
        <v>429.12800699999997</v>
      </c>
      <c r="AV18" s="161"/>
      <c r="AW18" s="161"/>
      <c r="AX18" s="158"/>
      <c r="AY18" s="161"/>
      <c r="AZ18" s="148">
        <v>2.095E-2</v>
      </c>
      <c r="BA18" s="149">
        <v>4.0999999999999999E-4</v>
      </c>
      <c r="BB18" s="196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3329</v>
      </c>
      <c r="G19" s="145" t="s">
        <v>1012</v>
      </c>
      <c r="H19" s="145" t="s">
        <v>784</v>
      </c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3330</v>
      </c>
      <c r="P19" s="161"/>
      <c r="Q19" s="145" t="s">
        <v>410</v>
      </c>
      <c r="R19" s="161"/>
      <c r="S19" s="145" t="s">
        <v>1210</v>
      </c>
      <c r="T19" s="146">
        <v>1.53</v>
      </c>
      <c r="U19" s="145" t="s">
        <v>823</v>
      </c>
      <c r="V19" s="148">
        <v>8.2500000000000004E-2</v>
      </c>
      <c r="W19" s="145"/>
      <c r="X19" s="161"/>
      <c r="Y19" s="161"/>
      <c r="Z19" s="148">
        <v>6.1199999999999997E-2</v>
      </c>
      <c r="AA19" s="145" t="s">
        <v>3331</v>
      </c>
      <c r="AB19" s="145" t="s">
        <v>412</v>
      </c>
      <c r="AC19" s="161" t="s">
        <v>771</v>
      </c>
      <c r="AD19" s="161">
        <v>227000</v>
      </c>
      <c r="AE19" s="185">
        <v>0.63</v>
      </c>
      <c r="AF19" s="145" t="s">
        <v>3445</v>
      </c>
      <c r="AG19" s="161"/>
      <c r="AH19" s="161"/>
      <c r="AI19" s="150"/>
      <c r="AJ19" s="145" t="s">
        <v>338</v>
      </c>
      <c r="AK19" s="145" t="s">
        <v>886</v>
      </c>
      <c r="AL19" s="161"/>
      <c r="AM19" s="145" t="s">
        <v>889</v>
      </c>
      <c r="AN19" s="172">
        <v>45747</v>
      </c>
      <c r="AO19" s="172">
        <v>45747</v>
      </c>
      <c r="AP19" s="150"/>
      <c r="AQ19" s="146">
        <v>362518</v>
      </c>
      <c r="AR19" s="146">
        <v>105.2</v>
      </c>
      <c r="AS19" s="146">
        <v>1</v>
      </c>
      <c r="AT19" s="146">
        <v>381.36900000000003</v>
      </c>
      <c r="AU19" s="186">
        <v>381.36893599999996</v>
      </c>
      <c r="AV19" s="161"/>
      <c r="AW19" s="161"/>
      <c r="AX19" s="158"/>
      <c r="AY19" s="161"/>
      <c r="AZ19" s="148">
        <v>1.8620000000000001E-2</v>
      </c>
      <c r="BA19" s="149">
        <v>3.6000000000000002E-4</v>
      </c>
      <c r="BB19" s="196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3332</v>
      </c>
      <c r="G20" s="145" t="s">
        <v>1012</v>
      </c>
      <c r="H20" s="145" t="s">
        <v>801</v>
      </c>
      <c r="I20" s="145" t="s">
        <v>204</v>
      </c>
      <c r="J20" s="158"/>
      <c r="K20" s="145" t="s">
        <v>443</v>
      </c>
      <c r="L20" s="145" t="s">
        <v>339</v>
      </c>
      <c r="M20" s="145" t="s">
        <v>338</v>
      </c>
      <c r="N20" s="161"/>
      <c r="O20" s="145" t="s">
        <v>3333</v>
      </c>
      <c r="P20" s="161"/>
      <c r="Q20" s="145" t="s">
        <v>410</v>
      </c>
      <c r="R20" s="161"/>
      <c r="S20" s="145" t="s">
        <v>1210</v>
      </c>
      <c r="T20" s="146">
        <v>1.67</v>
      </c>
      <c r="U20" s="145" t="s">
        <v>824</v>
      </c>
      <c r="V20" s="148">
        <v>4.7500000000000001E-2</v>
      </c>
      <c r="W20" s="145"/>
      <c r="X20" s="161"/>
      <c r="Y20" s="161"/>
      <c r="Z20" s="148">
        <v>3.5499999999999997E-2</v>
      </c>
      <c r="AA20" s="145" t="s">
        <v>3298</v>
      </c>
      <c r="AB20" s="145" t="s">
        <v>412</v>
      </c>
      <c r="AC20" s="161" t="s">
        <v>771</v>
      </c>
      <c r="AD20" s="161">
        <v>269260.33899999998</v>
      </c>
      <c r="AE20" s="185">
        <v>0.17</v>
      </c>
      <c r="AF20" s="145" t="s">
        <v>3445</v>
      </c>
      <c r="AG20" s="161"/>
      <c r="AH20" s="161"/>
      <c r="AI20" s="150"/>
      <c r="AJ20" s="145" t="s">
        <v>339</v>
      </c>
      <c r="AK20" s="145" t="s">
        <v>886</v>
      </c>
      <c r="AL20" s="161"/>
      <c r="AM20" s="145" t="s">
        <v>889</v>
      </c>
      <c r="AN20" s="172">
        <v>45747</v>
      </c>
      <c r="AO20" s="172">
        <v>45747</v>
      </c>
      <c r="AP20" s="150"/>
      <c r="AQ20" s="146">
        <v>347154.38</v>
      </c>
      <c r="AR20" s="146">
        <v>108.1</v>
      </c>
      <c r="AS20" s="146">
        <v>1</v>
      </c>
      <c r="AT20" s="146">
        <v>375.274</v>
      </c>
      <c r="AU20" s="186">
        <v>375.27388500000001</v>
      </c>
      <c r="AV20" s="161"/>
      <c r="AW20" s="161"/>
      <c r="AX20" s="158"/>
      <c r="AY20" s="161"/>
      <c r="AZ20" s="148">
        <v>1.8319999999999999E-2</v>
      </c>
      <c r="BA20" s="149">
        <v>3.6000000000000002E-4</v>
      </c>
      <c r="BB20" s="196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3334</v>
      </c>
      <c r="G21" s="145" t="s">
        <v>1012</v>
      </c>
      <c r="H21" s="150"/>
      <c r="I21" s="145" t="s">
        <v>204</v>
      </c>
      <c r="J21" s="158"/>
      <c r="K21" s="145" t="s">
        <v>448</v>
      </c>
      <c r="L21" s="145" t="s">
        <v>339</v>
      </c>
      <c r="M21" s="145" t="s">
        <v>338</v>
      </c>
      <c r="N21" s="150"/>
      <c r="O21" s="145" t="s">
        <v>3303</v>
      </c>
      <c r="P21" s="150"/>
      <c r="Q21" s="145" t="s">
        <v>410</v>
      </c>
      <c r="R21" s="145" t="s">
        <v>410</v>
      </c>
      <c r="S21" s="145" t="s">
        <v>1210</v>
      </c>
      <c r="T21" s="146">
        <v>6.19</v>
      </c>
      <c r="U21" s="145" t="s">
        <v>824</v>
      </c>
      <c r="V21" s="148">
        <v>2.35E-2</v>
      </c>
      <c r="W21" s="145"/>
      <c r="X21" s="161"/>
      <c r="Y21" s="150"/>
      <c r="Z21" s="148">
        <v>2.46E-2</v>
      </c>
      <c r="AA21" s="145" t="s">
        <v>3314</v>
      </c>
      <c r="AB21" s="145" t="s">
        <v>412</v>
      </c>
      <c r="AC21" s="161"/>
      <c r="AD21" s="150"/>
      <c r="AE21" s="187"/>
      <c r="AF21" s="150"/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2">
        <v>45747</v>
      </c>
      <c r="AO21" s="172">
        <v>45747</v>
      </c>
      <c r="AP21" s="150"/>
      <c r="AQ21" s="146">
        <v>257663.18</v>
      </c>
      <c r="AR21" s="146">
        <v>116.95</v>
      </c>
      <c r="AS21" s="146">
        <v>1</v>
      </c>
      <c r="AT21" s="146">
        <v>301.33699999999999</v>
      </c>
      <c r="AU21" s="186">
        <v>301.33708899999999</v>
      </c>
      <c r="AV21" s="150"/>
      <c r="AW21" s="150"/>
      <c r="AX21" s="158"/>
      <c r="AY21" s="161"/>
      <c r="AZ21" s="148">
        <v>1.4710000000000001E-2</v>
      </c>
      <c r="BA21" s="149">
        <v>2.9E-4</v>
      </c>
      <c r="BB21" s="196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3335</v>
      </c>
      <c r="G22" s="145" t="s">
        <v>1012</v>
      </c>
      <c r="H22" s="145" t="s">
        <v>812</v>
      </c>
      <c r="I22" s="145" t="s">
        <v>204</v>
      </c>
      <c r="J22" s="150"/>
      <c r="K22" s="145" t="s">
        <v>454</v>
      </c>
      <c r="L22" s="145" t="s">
        <v>339</v>
      </c>
      <c r="M22" s="145" t="s">
        <v>338</v>
      </c>
      <c r="N22" s="150"/>
      <c r="O22" s="145" t="s">
        <v>3336</v>
      </c>
      <c r="P22" s="145" t="s">
        <v>1439</v>
      </c>
      <c r="Q22" s="145" t="s">
        <v>413</v>
      </c>
      <c r="R22" s="145" t="s">
        <v>408</v>
      </c>
      <c r="S22" s="145" t="s">
        <v>1211</v>
      </c>
      <c r="T22" s="146">
        <v>1.86</v>
      </c>
      <c r="U22" s="145" t="s">
        <v>823</v>
      </c>
      <c r="V22" s="148">
        <v>9.4299999999999995E-2</v>
      </c>
      <c r="W22" s="145"/>
      <c r="X22" s="150"/>
      <c r="Y22" s="150"/>
      <c r="Z22" s="148">
        <v>6.93E-2</v>
      </c>
      <c r="AA22" s="145" t="s">
        <v>1401</v>
      </c>
      <c r="AB22" s="145" t="s">
        <v>412</v>
      </c>
      <c r="AC22" s="150"/>
      <c r="AD22" s="150"/>
      <c r="AE22" s="187"/>
      <c r="AF22" s="150"/>
      <c r="AG22" s="150"/>
      <c r="AH22" s="150"/>
      <c r="AI22" s="150"/>
      <c r="AJ22" s="145" t="s">
        <v>339</v>
      </c>
      <c r="AK22" s="145" t="s">
        <v>885</v>
      </c>
      <c r="AL22" s="150"/>
      <c r="AM22" s="145" t="s">
        <v>889</v>
      </c>
      <c r="AN22" s="172">
        <v>44861</v>
      </c>
      <c r="AO22" s="172">
        <v>44861</v>
      </c>
      <c r="AP22" s="150"/>
      <c r="AQ22" s="146">
        <v>75877</v>
      </c>
      <c r="AR22" s="146">
        <v>100</v>
      </c>
      <c r="AS22" s="146">
        <v>3.718</v>
      </c>
      <c r="AT22" s="146">
        <v>282.11099999999999</v>
      </c>
      <c r="AU22" s="186">
        <v>75.876999999999995</v>
      </c>
      <c r="AV22" s="150"/>
      <c r="AW22" s="150"/>
      <c r="AX22" s="159"/>
      <c r="AY22" s="150"/>
      <c r="AZ22" s="148">
        <v>1.3769999999999999E-2</v>
      </c>
      <c r="BA22" s="149">
        <v>2.7E-4</v>
      </c>
      <c r="BB22" s="196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3337</v>
      </c>
      <c r="G23" s="145" t="s">
        <v>1012</v>
      </c>
      <c r="H23" s="150"/>
      <c r="I23" s="145" t="s">
        <v>204</v>
      </c>
      <c r="J23" s="150"/>
      <c r="K23" s="145" t="s">
        <v>448</v>
      </c>
      <c r="L23" s="145" t="s">
        <v>339</v>
      </c>
      <c r="M23" s="145" t="s">
        <v>338</v>
      </c>
      <c r="N23" s="150"/>
      <c r="O23" s="145" t="s">
        <v>3303</v>
      </c>
      <c r="P23" s="150"/>
      <c r="Q23" s="145" t="s">
        <v>410</v>
      </c>
      <c r="R23" s="145" t="s">
        <v>410</v>
      </c>
      <c r="S23" s="145" t="s">
        <v>1210</v>
      </c>
      <c r="T23" s="146">
        <v>6.18</v>
      </c>
      <c r="U23" s="145" t="s">
        <v>823</v>
      </c>
      <c r="V23" s="148">
        <v>3.2059999999999998E-2</v>
      </c>
      <c r="W23" s="145"/>
      <c r="X23" s="150"/>
      <c r="Y23" s="150"/>
      <c r="Z23" s="148">
        <v>6.0999999999999999E-2</v>
      </c>
      <c r="AA23" s="145" t="s">
        <v>3314</v>
      </c>
      <c r="AB23" s="145" t="s">
        <v>412</v>
      </c>
      <c r="AC23" s="150"/>
      <c r="AD23" s="150"/>
      <c r="AE23" s="187"/>
      <c r="AF23" s="150" t="s">
        <v>3445</v>
      </c>
      <c r="AG23" s="150"/>
      <c r="AH23" s="150"/>
      <c r="AI23" s="150"/>
      <c r="AJ23" s="145" t="s">
        <v>339</v>
      </c>
      <c r="AK23" s="145" t="s">
        <v>886</v>
      </c>
      <c r="AL23" s="150"/>
      <c r="AM23" s="145" t="s">
        <v>889</v>
      </c>
      <c r="AN23" s="172">
        <v>45747</v>
      </c>
      <c r="AO23" s="172">
        <v>45747</v>
      </c>
      <c r="AP23" s="150"/>
      <c r="AQ23" s="146">
        <v>197337.95</v>
      </c>
      <c r="AR23" s="146">
        <v>120.6</v>
      </c>
      <c r="AS23" s="146">
        <v>1</v>
      </c>
      <c r="AT23" s="146">
        <v>237.99</v>
      </c>
      <c r="AU23" s="186">
        <v>237.98956799999999</v>
      </c>
      <c r="AV23" s="150"/>
      <c r="AW23" s="150"/>
      <c r="AX23" s="159"/>
      <c r="AY23" s="150"/>
      <c r="AZ23" s="148">
        <v>1.162E-2</v>
      </c>
      <c r="BA23" s="149">
        <v>2.3000000000000001E-4</v>
      </c>
      <c r="BB23" s="196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3338</v>
      </c>
      <c r="G24" s="145" t="s">
        <v>1012</v>
      </c>
      <c r="H24" s="150"/>
      <c r="I24" s="145" t="s">
        <v>204</v>
      </c>
      <c r="J24" s="150"/>
      <c r="K24" s="145" t="s">
        <v>440</v>
      </c>
      <c r="L24" s="145" t="s">
        <v>339</v>
      </c>
      <c r="M24" s="145" t="s">
        <v>338</v>
      </c>
      <c r="N24" s="150"/>
      <c r="O24" s="145" t="s">
        <v>3339</v>
      </c>
      <c r="P24" s="145" t="s">
        <v>1358</v>
      </c>
      <c r="Q24" s="145" t="s">
        <v>415</v>
      </c>
      <c r="R24" s="145" t="s">
        <v>408</v>
      </c>
      <c r="S24" s="145" t="s">
        <v>1211</v>
      </c>
      <c r="T24" s="146">
        <v>0.98</v>
      </c>
      <c r="U24" s="145" t="s">
        <v>823</v>
      </c>
      <c r="V24" s="148">
        <v>0</v>
      </c>
      <c r="W24" s="145"/>
      <c r="X24" s="150"/>
      <c r="Y24" s="150"/>
      <c r="Z24" s="148">
        <v>8.4699999999999998E-2</v>
      </c>
      <c r="AA24" s="145" t="s">
        <v>1425</v>
      </c>
      <c r="AB24" s="145" t="s">
        <v>412</v>
      </c>
      <c r="AC24" s="150" t="s">
        <v>764</v>
      </c>
      <c r="AD24" s="150"/>
      <c r="AE24" s="187">
        <v>0.35</v>
      </c>
      <c r="AF24" s="145" t="s">
        <v>3445</v>
      </c>
      <c r="AG24" s="150"/>
      <c r="AH24" s="150"/>
      <c r="AI24" s="150"/>
      <c r="AJ24" s="145" t="s">
        <v>338</v>
      </c>
      <c r="AK24" s="145" t="s">
        <v>886</v>
      </c>
      <c r="AL24" s="150"/>
      <c r="AM24" s="145" t="s">
        <v>889</v>
      </c>
      <c r="AN24" s="172">
        <v>45747</v>
      </c>
      <c r="AO24" s="172">
        <v>45747</v>
      </c>
      <c r="AP24" s="150"/>
      <c r="AQ24" s="146">
        <v>45119.39</v>
      </c>
      <c r="AR24" s="146">
        <v>100.01</v>
      </c>
      <c r="AS24" s="146">
        <v>3.718</v>
      </c>
      <c r="AT24" s="146">
        <v>167.77099999999999</v>
      </c>
      <c r="AU24" s="186">
        <v>45.123902000000001</v>
      </c>
      <c r="AV24" s="150"/>
      <c r="AW24" s="150"/>
      <c r="AX24" s="159"/>
      <c r="AY24" s="150"/>
      <c r="AZ24" s="148">
        <v>8.1899999999999994E-3</v>
      </c>
      <c r="BA24" s="149">
        <v>1.6000000000000001E-4</v>
      </c>
      <c r="BB24" s="196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3340</v>
      </c>
      <c r="G25" s="145" t="s">
        <v>1012</v>
      </c>
      <c r="H25" s="145" t="s">
        <v>3296</v>
      </c>
      <c r="I25" s="145" t="s">
        <v>204</v>
      </c>
      <c r="J25" s="150"/>
      <c r="K25" s="145" t="s">
        <v>447</v>
      </c>
      <c r="L25" s="145" t="s">
        <v>339</v>
      </c>
      <c r="M25" s="145" t="s">
        <v>338</v>
      </c>
      <c r="N25" s="150"/>
      <c r="O25" s="145" t="s">
        <v>3272</v>
      </c>
      <c r="P25" s="150"/>
      <c r="Q25" s="145" t="s">
        <v>410</v>
      </c>
      <c r="R25" s="150"/>
      <c r="S25" s="145" t="s">
        <v>1210</v>
      </c>
      <c r="T25" s="146">
        <v>0.78</v>
      </c>
      <c r="U25" s="145" t="s">
        <v>823</v>
      </c>
      <c r="V25" s="148">
        <v>0.09</v>
      </c>
      <c r="W25" s="145"/>
      <c r="X25" s="150"/>
      <c r="Y25" s="150"/>
      <c r="Z25" s="148">
        <v>9.8900000000000002E-2</v>
      </c>
      <c r="AA25" s="145" t="s">
        <v>3341</v>
      </c>
      <c r="AB25" s="145" t="s">
        <v>412</v>
      </c>
      <c r="AC25" s="150" t="s">
        <v>771</v>
      </c>
      <c r="AD25" s="150">
        <v>413000</v>
      </c>
      <c r="AE25" s="187">
        <v>0.17</v>
      </c>
      <c r="AF25" s="145" t="s">
        <v>3445</v>
      </c>
      <c r="AG25" s="150"/>
      <c r="AH25" s="150"/>
      <c r="AI25" s="150"/>
      <c r="AJ25" s="145" t="s">
        <v>339</v>
      </c>
      <c r="AK25" s="145" t="s">
        <v>886</v>
      </c>
      <c r="AL25" s="150"/>
      <c r="AM25" s="145" t="s">
        <v>889</v>
      </c>
      <c r="AN25" s="172">
        <v>45747</v>
      </c>
      <c r="AO25" s="172">
        <v>45747</v>
      </c>
      <c r="AP25" s="150"/>
      <c r="AQ25" s="146">
        <v>144347</v>
      </c>
      <c r="AR25" s="146">
        <v>101.42</v>
      </c>
      <c r="AS25" s="146">
        <v>1</v>
      </c>
      <c r="AT25" s="146">
        <v>146.39699999999999</v>
      </c>
      <c r="AU25" s="186">
        <v>146.39672700000003</v>
      </c>
      <c r="AV25" s="150"/>
      <c r="AW25" s="150"/>
      <c r="AX25" s="159"/>
      <c r="AY25" s="150"/>
      <c r="AZ25" s="148">
        <v>7.1500000000000001E-3</v>
      </c>
      <c r="BA25" s="149">
        <v>1.3999999999999999E-4</v>
      </c>
      <c r="BB25" s="196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3342</v>
      </c>
      <c r="G26" s="145" t="s">
        <v>1012</v>
      </c>
      <c r="H26" s="151"/>
      <c r="I26" s="145" t="s">
        <v>204</v>
      </c>
      <c r="J26" s="151"/>
      <c r="K26" s="145" t="s">
        <v>440</v>
      </c>
      <c r="L26" s="145" t="s">
        <v>339</v>
      </c>
      <c r="M26" s="145" t="s">
        <v>338</v>
      </c>
      <c r="N26" s="151"/>
      <c r="O26" s="145" t="s">
        <v>3343</v>
      </c>
      <c r="P26" s="145" t="s">
        <v>1433</v>
      </c>
      <c r="Q26" s="145" t="s">
        <v>415</v>
      </c>
      <c r="R26" s="145" t="s">
        <v>408</v>
      </c>
      <c r="S26" s="145" t="s">
        <v>1210</v>
      </c>
      <c r="T26" s="146">
        <v>8.06</v>
      </c>
      <c r="U26" s="145" t="s">
        <v>824</v>
      </c>
      <c r="V26" s="148">
        <v>0</v>
      </c>
      <c r="W26" s="145"/>
      <c r="X26" s="151"/>
      <c r="Y26" s="151"/>
      <c r="Z26" s="148">
        <v>3.4299999999999997E-2</v>
      </c>
      <c r="AA26" s="145" t="s">
        <v>3301</v>
      </c>
      <c r="AB26" s="145" t="s">
        <v>412</v>
      </c>
      <c r="AC26" s="151" t="s">
        <v>773</v>
      </c>
      <c r="AD26" s="151"/>
      <c r="AE26" s="188">
        <v>0.75</v>
      </c>
      <c r="AF26" s="145" t="s">
        <v>3445</v>
      </c>
      <c r="AG26" s="151"/>
      <c r="AH26" s="151"/>
      <c r="AI26" s="151"/>
      <c r="AJ26" s="145" t="s">
        <v>338</v>
      </c>
      <c r="AK26" s="145" t="s">
        <v>886</v>
      </c>
      <c r="AL26" s="151"/>
      <c r="AM26" s="145" t="s">
        <v>889</v>
      </c>
      <c r="AN26" s="177">
        <v>45747</v>
      </c>
      <c r="AO26" s="177">
        <v>45747</v>
      </c>
      <c r="AP26" s="151"/>
      <c r="AQ26" s="146">
        <v>137145.9</v>
      </c>
      <c r="AR26" s="146">
        <v>105.13</v>
      </c>
      <c r="AS26" s="146">
        <v>1</v>
      </c>
      <c r="AT26" s="146">
        <v>144.18100000000001</v>
      </c>
      <c r="AU26" s="186">
        <v>144.18148499999998</v>
      </c>
      <c r="AV26" s="151"/>
      <c r="AW26" s="151"/>
      <c r="AX26" s="159"/>
      <c r="AY26" s="151"/>
      <c r="AZ26" s="148">
        <v>7.0400000000000003E-3</v>
      </c>
      <c r="BA26" s="149">
        <v>1.3999999999999999E-4</v>
      </c>
      <c r="BB26" s="196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3344</v>
      </c>
      <c r="G27" s="145" t="s">
        <v>1012</v>
      </c>
      <c r="H27" s="145" t="s">
        <v>784</v>
      </c>
      <c r="I27" s="145" t="s">
        <v>204</v>
      </c>
      <c r="J27" s="151"/>
      <c r="K27" s="145" t="s">
        <v>443</v>
      </c>
      <c r="L27" s="145" t="s">
        <v>339</v>
      </c>
      <c r="M27" s="145" t="s">
        <v>338</v>
      </c>
      <c r="N27" s="151"/>
      <c r="O27" s="145" t="s">
        <v>3330</v>
      </c>
      <c r="P27" s="151"/>
      <c r="Q27" s="145" t="s">
        <v>410</v>
      </c>
      <c r="R27" s="151"/>
      <c r="S27" s="145" t="s">
        <v>1210</v>
      </c>
      <c r="T27" s="146">
        <v>1.53</v>
      </c>
      <c r="U27" s="145" t="s">
        <v>823</v>
      </c>
      <c r="V27" s="148">
        <v>8.2500000000000004E-2</v>
      </c>
      <c r="W27" s="145"/>
      <c r="X27" s="151"/>
      <c r="Y27" s="151"/>
      <c r="Z27" s="148">
        <v>6.0999999999999999E-2</v>
      </c>
      <c r="AA27" s="145" t="s">
        <v>3331</v>
      </c>
      <c r="AB27" s="145" t="s">
        <v>412</v>
      </c>
      <c r="AC27" s="151" t="s">
        <v>771</v>
      </c>
      <c r="AD27" s="151">
        <v>227000</v>
      </c>
      <c r="AE27" s="188">
        <v>0.63</v>
      </c>
      <c r="AF27" s="145" t="s">
        <v>3445</v>
      </c>
      <c r="AG27" s="151"/>
      <c r="AH27" s="151"/>
      <c r="AI27" s="151"/>
      <c r="AJ27" s="145" t="s">
        <v>338</v>
      </c>
      <c r="AK27" s="145" t="s">
        <v>886</v>
      </c>
      <c r="AL27" s="151"/>
      <c r="AM27" s="145" t="s">
        <v>889</v>
      </c>
      <c r="AN27" s="177">
        <v>45747</v>
      </c>
      <c r="AO27" s="177">
        <v>45747</v>
      </c>
      <c r="AP27" s="151"/>
      <c r="AQ27" s="146">
        <v>106048</v>
      </c>
      <c r="AR27" s="146">
        <v>105.23</v>
      </c>
      <c r="AS27" s="146">
        <v>1</v>
      </c>
      <c r="AT27" s="146">
        <v>111.59399999999999</v>
      </c>
      <c r="AU27" s="186">
        <v>111.59430999999999</v>
      </c>
      <c r="AV27" s="151"/>
      <c r="AW27" s="151"/>
      <c r="AX27" s="159"/>
      <c r="AY27" s="151"/>
      <c r="AZ27" s="148">
        <v>5.45E-3</v>
      </c>
      <c r="BA27" s="149">
        <v>1.1E-4</v>
      </c>
      <c r="BB27" s="196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3345</v>
      </c>
      <c r="G28" s="145" t="s">
        <v>1012</v>
      </c>
      <c r="H28" s="151"/>
      <c r="I28" s="145" t="s">
        <v>204</v>
      </c>
      <c r="J28" s="151"/>
      <c r="K28" s="145" t="s">
        <v>440</v>
      </c>
      <c r="L28" s="145" t="s">
        <v>339</v>
      </c>
      <c r="M28" s="145" t="s">
        <v>338</v>
      </c>
      <c r="N28" s="151"/>
      <c r="O28" s="145" t="s">
        <v>3346</v>
      </c>
      <c r="P28" s="145" t="s">
        <v>1433</v>
      </c>
      <c r="Q28" s="145" t="s">
        <v>415</v>
      </c>
      <c r="R28" s="145" t="s">
        <v>408</v>
      </c>
      <c r="S28" s="145" t="s">
        <v>1210</v>
      </c>
      <c r="T28" s="146">
        <v>8.23</v>
      </c>
      <c r="U28" s="145" t="s">
        <v>824</v>
      </c>
      <c r="V28" s="148">
        <v>0</v>
      </c>
      <c r="W28" s="145"/>
      <c r="X28" s="151"/>
      <c r="Y28" s="151"/>
      <c r="Z28" s="148">
        <v>3.1899999999999998E-2</v>
      </c>
      <c r="AA28" s="145" t="s">
        <v>3301</v>
      </c>
      <c r="AB28" s="145" t="s">
        <v>412</v>
      </c>
      <c r="AC28" s="151"/>
      <c r="AD28" s="151"/>
      <c r="AE28" s="188">
        <v>0.75</v>
      </c>
      <c r="AF28" s="151" t="s">
        <v>3445</v>
      </c>
      <c r="AG28" s="151"/>
      <c r="AH28" s="151"/>
      <c r="AI28" s="151"/>
      <c r="AJ28" s="145" t="s">
        <v>338</v>
      </c>
      <c r="AK28" s="145" t="s">
        <v>886</v>
      </c>
      <c r="AL28" s="151"/>
      <c r="AM28" s="145" t="s">
        <v>889</v>
      </c>
      <c r="AN28" s="177">
        <v>45747</v>
      </c>
      <c r="AO28" s="177">
        <v>45747</v>
      </c>
      <c r="AP28" s="151"/>
      <c r="AQ28" s="146">
        <v>96971.51</v>
      </c>
      <c r="AR28" s="146">
        <v>104.7</v>
      </c>
      <c r="AS28" s="146">
        <v>1</v>
      </c>
      <c r="AT28" s="146">
        <v>101.529</v>
      </c>
      <c r="AU28" s="186">
        <v>101.52917100000001</v>
      </c>
      <c r="AV28" s="151"/>
      <c r="AW28" s="151"/>
      <c r="AX28" s="159"/>
      <c r="AY28" s="151"/>
      <c r="AZ28" s="148">
        <v>4.96E-3</v>
      </c>
      <c r="BA28" s="149">
        <v>1E-4</v>
      </c>
      <c r="BB28" s="196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3347</v>
      </c>
      <c r="G29" s="145" t="s">
        <v>1012</v>
      </c>
      <c r="H29" s="145" t="s">
        <v>817</v>
      </c>
      <c r="I29" s="145" t="s">
        <v>204</v>
      </c>
      <c r="J29" s="151"/>
      <c r="K29" s="145" t="s">
        <v>449</v>
      </c>
      <c r="L29" s="145" t="s">
        <v>339</v>
      </c>
      <c r="M29" s="145" t="s">
        <v>338</v>
      </c>
      <c r="N29" s="151"/>
      <c r="O29" s="145" t="s">
        <v>3348</v>
      </c>
      <c r="P29" s="151"/>
      <c r="Q29" s="145" t="s">
        <v>410</v>
      </c>
      <c r="R29" s="151"/>
      <c r="S29" s="145" t="s">
        <v>1210</v>
      </c>
      <c r="T29" s="146">
        <v>1.3</v>
      </c>
      <c r="U29" s="145" t="s">
        <v>824</v>
      </c>
      <c r="V29" s="148">
        <v>0.08</v>
      </c>
      <c r="W29" s="145"/>
      <c r="X29" s="151"/>
      <c r="Y29" s="151"/>
      <c r="Z29" s="148">
        <v>0.23250000000000001</v>
      </c>
      <c r="AA29" s="145" t="s">
        <v>1494</v>
      </c>
      <c r="AB29" s="145" t="s">
        <v>412</v>
      </c>
      <c r="AC29" s="151" t="s">
        <v>773</v>
      </c>
      <c r="AD29" s="151">
        <v>19935.854166999998</v>
      </c>
      <c r="AE29" s="188">
        <v>0.72</v>
      </c>
      <c r="AF29" s="145" t="s">
        <v>3445</v>
      </c>
      <c r="AG29" s="151"/>
      <c r="AH29" s="151"/>
      <c r="AI29" s="151"/>
      <c r="AJ29" s="145" t="s">
        <v>338</v>
      </c>
      <c r="AK29" s="145" t="s">
        <v>886</v>
      </c>
      <c r="AL29" s="151"/>
      <c r="AM29" s="145" t="s">
        <v>889</v>
      </c>
      <c r="AN29" s="177">
        <v>45662</v>
      </c>
      <c r="AO29" s="177">
        <v>45662</v>
      </c>
      <c r="AP29" s="151"/>
      <c r="AQ29" s="146">
        <v>121585</v>
      </c>
      <c r="AR29" s="146">
        <v>81.349999999999994</v>
      </c>
      <c r="AS29" s="146">
        <v>1</v>
      </c>
      <c r="AT29" s="146">
        <v>98.909000000000006</v>
      </c>
      <c r="AU29" s="186">
        <v>98.909397999999996</v>
      </c>
      <c r="AV29" s="151"/>
      <c r="AW29" s="151"/>
      <c r="AX29" s="159"/>
      <c r="AY29" s="151"/>
      <c r="AZ29" s="148">
        <v>4.8300000000000001E-3</v>
      </c>
      <c r="BA29" s="149">
        <v>9.0000000000000006E-5</v>
      </c>
      <c r="BB29" s="196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3349</v>
      </c>
      <c r="G30" s="145" t="s">
        <v>1012</v>
      </c>
      <c r="H30" s="145" t="s">
        <v>784</v>
      </c>
      <c r="I30" s="145" t="s">
        <v>204</v>
      </c>
      <c r="J30" s="151"/>
      <c r="K30" s="145" t="s">
        <v>443</v>
      </c>
      <c r="L30" s="145" t="s">
        <v>339</v>
      </c>
      <c r="M30" s="145" t="s">
        <v>338</v>
      </c>
      <c r="N30" s="151"/>
      <c r="O30" s="145" t="s">
        <v>3350</v>
      </c>
      <c r="P30" s="151"/>
      <c r="Q30" s="145" t="s">
        <v>410</v>
      </c>
      <c r="R30" s="151"/>
      <c r="S30" s="145" t="s">
        <v>1210</v>
      </c>
      <c r="T30" s="146">
        <v>1.53</v>
      </c>
      <c r="U30" s="145" t="s">
        <v>823</v>
      </c>
      <c r="V30" s="148">
        <v>8.2500000000000004E-2</v>
      </c>
      <c r="W30" s="145"/>
      <c r="X30" s="151"/>
      <c r="Y30" s="151"/>
      <c r="Z30" s="148">
        <v>6.08E-2</v>
      </c>
      <c r="AA30" s="145" t="s">
        <v>3331</v>
      </c>
      <c r="AB30" s="145" t="s">
        <v>412</v>
      </c>
      <c r="AC30" s="151" t="s">
        <v>771</v>
      </c>
      <c r="AD30" s="151">
        <v>227000</v>
      </c>
      <c r="AE30" s="188">
        <v>0.63</v>
      </c>
      <c r="AF30" s="145" t="s">
        <v>3445</v>
      </c>
      <c r="AG30" s="151"/>
      <c r="AH30" s="151"/>
      <c r="AI30" s="151"/>
      <c r="AJ30" s="145" t="s">
        <v>338</v>
      </c>
      <c r="AK30" s="145" t="s">
        <v>886</v>
      </c>
      <c r="AL30" s="151"/>
      <c r="AM30" s="145" t="s">
        <v>889</v>
      </c>
      <c r="AN30" s="177">
        <v>45747</v>
      </c>
      <c r="AO30" s="177">
        <v>45747</v>
      </c>
      <c r="AP30" s="151"/>
      <c r="AQ30" s="146">
        <v>84993</v>
      </c>
      <c r="AR30" s="146">
        <v>105.26</v>
      </c>
      <c r="AS30" s="146">
        <v>1</v>
      </c>
      <c r="AT30" s="146">
        <v>89.463999999999999</v>
      </c>
      <c r="AU30" s="186">
        <v>89.463632000000004</v>
      </c>
      <c r="AV30" s="151"/>
      <c r="AW30" s="151"/>
      <c r="AX30" s="159"/>
      <c r="AY30" s="151"/>
      <c r="AZ30" s="148">
        <v>4.3699999999999998E-3</v>
      </c>
      <c r="BA30" s="149">
        <v>9.0000000000000006E-5</v>
      </c>
      <c r="BB30" s="196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3351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3352</v>
      </c>
      <c r="P31" s="151"/>
      <c r="Q31" s="145" t="s">
        <v>410</v>
      </c>
      <c r="R31" s="151"/>
      <c r="S31" s="145" t="s">
        <v>1210</v>
      </c>
      <c r="T31" s="146">
        <v>1.53</v>
      </c>
      <c r="U31" s="145" t="s">
        <v>823</v>
      </c>
      <c r="V31" s="148">
        <v>8.2500000000000004E-2</v>
      </c>
      <c r="W31" s="145"/>
      <c r="X31" s="151"/>
      <c r="Y31" s="151"/>
      <c r="Z31" s="148">
        <v>6.1800000000000001E-2</v>
      </c>
      <c r="AA31" s="145" t="s">
        <v>3331</v>
      </c>
      <c r="AB31" s="145" t="s">
        <v>412</v>
      </c>
      <c r="AC31" s="151" t="s">
        <v>771</v>
      </c>
      <c r="AD31" s="151">
        <v>227000</v>
      </c>
      <c r="AE31" s="188">
        <v>0.63</v>
      </c>
      <c r="AF31" s="145" t="s">
        <v>3445</v>
      </c>
      <c r="AG31" s="151"/>
      <c r="AH31" s="151"/>
      <c r="AI31" s="151"/>
      <c r="AJ31" s="145" t="s">
        <v>338</v>
      </c>
      <c r="AK31" s="145" t="s">
        <v>886</v>
      </c>
      <c r="AL31" s="151"/>
      <c r="AM31" s="145" t="s">
        <v>889</v>
      </c>
      <c r="AN31" s="177">
        <v>45747</v>
      </c>
      <c r="AO31" s="177">
        <v>45747</v>
      </c>
      <c r="AP31" s="151"/>
      <c r="AQ31" s="146">
        <v>82160</v>
      </c>
      <c r="AR31" s="146">
        <v>105.11</v>
      </c>
      <c r="AS31" s="146">
        <v>1</v>
      </c>
      <c r="AT31" s="146">
        <v>86.358000000000004</v>
      </c>
      <c r="AU31" s="186">
        <v>86.358376000000007</v>
      </c>
      <c r="AV31" s="151"/>
      <c r="AW31" s="151"/>
      <c r="AX31" s="159"/>
      <c r="AY31" s="151"/>
      <c r="AZ31" s="148">
        <v>4.2199999999999998E-3</v>
      </c>
      <c r="BA31" s="149">
        <v>8.0000000000000007E-5</v>
      </c>
      <c r="BB31" s="196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3353</v>
      </c>
      <c r="G32" s="145" t="s">
        <v>1012</v>
      </c>
      <c r="H32" s="151"/>
      <c r="I32" s="145" t="s">
        <v>204</v>
      </c>
      <c r="J32" s="151"/>
      <c r="K32" s="145" t="s">
        <v>485</v>
      </c>
      <c r="L32" s="145" t="s">
        <v>339</v>
      </c>
      <c r="M32" s="145" t="s">
        <v>338</v>
      </c>
      <c r="N32" s="151"/>
      <c r="O32" s="145" t="s">
        <v>3293</v>
      </c>
      <c r="P32" s="145" t="s">
        <v>1406</v>
      </c>
      <c r="Q32" s="145" t="s">
        <v>415</v>
      </c>
      <c r="R32" s="145" t="s">
        <v>408</v>
      </c>
      <c r="S32" s="145" t="s">
        <v>1210</v>
      </c>
      <c r="T32" s="146">
        <v>10.039999999999999</v>
      </c>
      <c r="U32" s="145" t="s">
        <v>824</v>
      </c>
      <c r="V32" s="148">
        <v>0.03</v>
      </c>
      <c r="W32" s="145"/>
      <c r="X32" s="151"/>
      <c r="Y32" s="151"/>
      <c r="Z32" s="148">
        <v>3.6700000000000003E-2</v>
      </c>
      <c r="AA32" s="145" t="s">
        <v>3294</v>
      </c>
      <c r="AB32" s="145" t="s">
        <v>412</v>
      </c>
      <c r="AC32" s="151" t="s">
        <v>773</v>
      </c>
      <c r="AD32" s="151">
        <v>1000</v>
      </c>
      <c r="AE32" s="188">
        <v>0.75</v>
      </c>
      <c r="AF32" s="145" t="s">
        <v>3445</v>
      </c>
      <c r="AG32" s="151"/>
      <c r="AH32" s="151"/>
      <c r="AI32" s="151"/>
      <c r="AJ32" s="145" t="s">
        <v>338</v>
      </c>
      <c r="AK32" s="145" t="s">
        <v>886</v>
      </c>
      <c r="AL32" s="151"/>
      <c r="AM32" s="145" t="s">
        <v>889</v>
      </c>
      <c r="AN32" s="177">
        <v>45747</v>
      </c>
      <c r="AO32" s="177">
        <v>45747</v>
      </c>
      <c r="AP32" s="151"/>
      <c r="AQ32" s="146">
        <v>70856.160000000003</v>
      </c>
      <c r="AR32" s="146">
        <v>108.38</v>
      </c>
      <c r="AS32" s="146">
        <v>1</v>
      </c>
      <c r="AT32" s="146">
        <v>76.793999999999997</v>
      </c>
      <c r="AU32" s="186">
        <v>76.793906000000007</v>
      </c>
      <c r="AV32" s="151"/>
      <c r="AW32" s="151"/>
      <c r="AX32" s="159"/>
      <c r="AY32" s="151"/>
      <c r="AZ32" s="148">
        <v>3.7499999999999999E-3</v>
      </c>
      <c r="BA32" s="149">
        <v>6.9999999999999994E-5</v>
      </c>
      <c r="BB32" s="196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3354</v>
      </c>
      <c r="G33" s="145" t="s">
        <v>1012</v>
      </c>
      <c r="H33" s="145" t="s">
        <v>784</v>
      </c>
      <c r="I33" s="145" t="s">
        <v>204</v>
      </c>
      <c r="J33" s="151"/>
      <c r="K33" s="145" t="s">
        <v>443</v>
      </c>
      <c r="L33" s="145" t="s">
        <v>339</v>
      </c>
      <c r="M33" s="145" t="s">
        <v>338</v>
      </c>
      <c r="N33" s="151"/>
      <c r="O33" s="145" t="s">
        <v>3355</v>
      </c>
      <c r="P33" s="151"/>
      <c r="Q33" s="145" t="s">
        <v>410</v>
      </c>
      <c r="R33" s="151"/>
      <c r="S33" s="145" t="s">
        <v>1210</v>
      </c>
      <c r="T33" s="146">
        <v>0.67</v>
      </c>
      <c r="U33" s="145" t="s">
        <v>823</v>
      </c>
      <c r="V33" s="148">
        <v>7.0000000000000007E-2</v>
      </c>
      <c r="W33" s="145"/>
      <c r="X33" s="151"/>
      <c r="Y33" s="151"/>
      <c r="Z33" s="148">
        <v>7.3499999999999996E-2</v>
      </c>
      <c r="AA33" s="145" t="s">
        <v>3356</v>
      </c>
      <c r="AB33" s="145" t="s">
        <v>412</v>
      </c>
      <c r="AC33" s="151" t="s">
        <v>771</v>
      </c>
      <c r="AD33" s="151">
        <v>130000</v>
      </c>
      <c r="AE33" s="188">
        <v>0.68</v>
      </c>
      <c r="AF33" s="145" t="s">
        <v>3445</v>
      </c>
      <c r="AG33" s="151"/>
      <c r="AH33" s="151"/>
      <c r="AI33" s="151"/>
      <c r="AJ33" s="145" t="s">
        <v>338</v>
      </c>
      <c r="AK33" s="145" t="s">
        <v>886</v>
      </c>
      <c r="AL33" s="151"/>
      <c r="AM33" s="145" t="s">
        <v>889</v>
      </c>
      <c r="AN33" s="177">
        <v>45747</v>
      </c>
      <c r="AO33" s="177">
        <v>45747</v>
      </c>
      <c r="AP33" s="151"/>
      <c r="AQ33" s="146">
        <v>65753.740000000005</v>
      </c>
      <c r="AR33" s="146">
        <v>100.83</v>
      </c>
      <c r="AS33" s="146">
        <v>1</v>
      </c>
      <c r="AT33" s="146">
        <v>66.299000000000007</v>
      </c>
      <c r="AU33" s="186">
        <v>66.299496000000005</v>
      </c>
      <c r="AV33" s="151"/>
      <c r="AW33" s="151"/>
      <c r="AX33" s="159"/>
      <c r="AY33" s="151"/>
      <c r="AZ33" s="148">
        <v>3.2399999999999998E-3</v>
      </c>
      <c r="BA33" s="149">
        <v>6.0000000000000002E-5</v>
      </c>
      <c r="BB33" s="196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3357</v>
      </c>
      <c r="G34" s="145" t="s">
        <v>1012</v>
      </c>
      <c r="H34" s="145" t="s">
        <v>784</v>
      </c>
      <c r="I34" s="145" t="s">
        <v>204</v>
      </c>
      <c r="J34" s="151"/>
      <c r="K34" s="145" t="s">
        <v>443</v>
      </c>
      <c r="L34" s="145" t="s">
        <v>339</v>
      </c>
      <c r="M34" s="145" t="s">
        <v>338</v>
      </c>
      <c r="N34" s="151"/>
      <c r="O34" s="145" t="s">
        <v>3358</v>
      </c>
      <c r="P34" s="151"/>
      <c r="Q34" s="145" t="s">
        <v>410</v>
      </c>
      <c r="R34" s="151"/>
      <c r="S34" s="145" t="s">
        <v>1210</v>
      </c>
      <c r="T34" s="146">
        <v>1.53</v>
      </c>
      <c r="U34" s="145" t="s">
        <v>823</v>
      </c>
      <c r="V34" s="148">
        <v>8.2500000000000004E-2</v>
      </c>
      <c r="W34" s="145"/>
      <c r="X34" s="151"/>
      <c r="Y34" s="151"/>
      <c r="Z34" s="148">
        <v>6.2700000000000006E-2</v>
      </c>
      <c r="AA34" s="145" t="s">
        <v>3331</v>
      </c>
      <c r="AB34" s="145" t="s">
        <v>412</v>
      </c>
      <c r="AC34" s="151" t="s">
        <v>771</v>
      </c>
      <c r="AD34" s="151">
        <v>227000</v>
      </c>
      <c r="AE34" s="188">
        <v>0.63</v>
      </c>
      <c r="AF34" s="145" t="s">
        <v>3445</v>
      </c>
      <c r="AG34" s="151"/>
      <c r="AH34" s="151"/>
      <c r="AI34" s="151"/>
      <c r="AJ34" s="145" t="s">
        <v>338</v>
      </c>
      <c r="AK34" s="145" t="s">
        <v>886</v>
      </c>
      <c r="AL34" s="151"/>
      <c r="AM34" s="145" t="s">
        <v>889</v>
      </c>
      <c r="AN34" s="177">
        <v>45747</v>
      </c>
      <c r="AO34" s="177">
        <v>45747</v>
      </c>
      <c r="AP34" s="151"/>
      <c r="AQ34" s="146">
        <v>57512</v>
      </c>
      <c r="AR34" s="146">
        <v>104.97</v>
      </c>
      <c r="AS34" s="146">
        <v>1</v>
      </c>
      <c r="AT34" s="146">
        <v>60.37</v>
      </c>
      <c r="AU34" s="186">
        <v>60.370345999999998</v>
      </c>
      <c r="AV34" s="151"/>
      <c r="AW34" s="151"/>
      <c r="AX34" s="159"/>
      <c r="AY34" s="151"/>
      <c r="AZ34" s="148">
        <v>2.9499999999999999E-3</v>
      </c>
      <c r="BA34" s="149">
        <v>6.0000000000000002E-5</v>
      </c>
      <c r="BB34" s="196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3359</v>
      </c>
      <c r="G35" s="145" t="s">
        <v>1012</v>
      </c>
      <c r="H35" s="151"/>
      <c r="I35" s="145" t="s">
        <v>204</v>
      </c>
      <c r="J35" s="151"/>
      <c r="K35" s="145" t="s">
        <v>444</v>
      </c>
      <c r="L35" s="145" t="s">
        <v>339</v>
      </c>
      <c r="M35" s="145" t="s">
        <v>338</v>
      </c>
      <c r="N35" s="151"/>
      <c r="O35" s="145" t="s">
        <v>3360</v>
      </c>
      <c r="P35" s="151"/>
      <c r="Q35" s="145" t="s">
        <v>410</v>
      </c>
      <c r="R35" s="151"/>
      <c r="S35" s="145" t="s">
        <v>1211</v>
      </c>
      <c r="T35" s="146">
        <v>0.01</v>
      </c>
      <c r="U35" s="145" t="s">
        <v>314</v>
      </c>
      <c r="V35" s="145">
        <v>0</v>
      </c>
      <c r="W35" s="145"/>
      <c r="X35" s="151"/>
      <c r="Y35" s="151"/>
      <c r="Z35" s="148">
        <v>1E-4</v>
      </c>
      <c r="AA35" s="145" t="s">
        <v>3307</v>
      </c>
      <c r="AB35" s="145" t="s">
        <v>412</v>
      </c>
      <c r="AC35" s="151"/>
      <c r="AD35" s="151"/>
      <c r="AE35" s="188"/>
      <c r="AF35" s="151"/>
      <c r="AG35" s="151"/>
      <c r="AH35" s="151"/>
      <c r="AI35" s="151"/>
      <c r="AJ35" s="151"/>
      <c r="AK35" s="145" t="s">
        <v>885</v>
      </c>
      <c r="AL35" s="151"/>
      <c r="AM35" s="145" t="s">
        <v>889</v>
      </c>
      <c r="AN35" s="177">
        <v>45250</v>
      </c>
      <c r="AO35" s="177">
        <v>45250</v>
      </c>
      <c r="AP35" s="151"/>
      <c r="AQ35" s="146">
        <v>24683.43</v>
      </c>
      <c r="AR35" s="146">
        <v>55.186</v>
      </c>
      <c r="AS35" s="146">
        <v>3.718</v>
      </c>
      <c r="AT35" s="146">
        <v>50.646000000000001</v>
      </c>
      <c r="AU35" s="186">
        <v>13.621872</v>
      </c>
      <c r="AV35" s="151"/>
      <c r="AW35" s="151"/>
      <c r="AX35" s="159"/>
      <c r="AY35" s="151"/>
      <c r="AZ35" s="148">
        <v>2.47E-3</v>
      </c>
      <c r="BA35" s="149">
        <v>5.0000000000000002E-5</v>
      </c>
      <c r="BB35" s="196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3361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3362</v>
      </c>
      <c r="P36" s="151"/>
      <c r="Q36" s="145" t="s">
        <v>410</v>
      </c>
      <c r="R36" s="151"/>
      <c r="S36" s="145" t="s">
        <v>1210</v>
      </c>
      <c r="T36" s="146">
        <v>1.53</v>
      </c>
      <c r="U36" s="145" t="s">
        <v>823</v>
      </c>
      <c r="V36" s="148">
        <v>8.2500000000000004E-2</v>
      </c>
      <c r="W36" s="145"/>
      <c r="X36" s="151"/>
      <c r="Y36" s="151"/>
      <c r="Z36" s="148">
        <v>7.2700000000000001E-2</v>
      </c>
      <c r="AA36" s="145" t="s">
        <v>3363</v>
      </c>
      <c r="AB36" s="145" t="s">
        <v>412</v>
      </c>
      <c r="AC36" s="151" t="s">
        <v>771</v>
      </c>
      <c r="AD36" s="151">
        <v>227000</v>
      </c>
      <c r="AE36" s="188">
        <v>0.63</v>
      </c>
      <c r="AF36" s="145" t="s">
        <v>3445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7">
        <v>45747</v>
      </c>
      <c r="AO36" s="177">
        <v>45747</v>
      </c>
      <c r="AP36" s="151"/>
      <c r="AQ36" s="146">
        <v>47596</v>
      </c>
      <c r="AR36" s="146">
        <v>103.48</v>
      </c>
      <c r="AS36" s="146">
        <v>1</v>
      </c>
      <c r="AT36" s="146">
        <v>49.252000000000002</v>
      </c>
      <c r="AU36" s="186">
        <v>49.252341000000001</v>
      </c>
      <c r="AV36" s="151"/>
      <c r="AW36" s="151"/>
      <c r="AX36" s="159"/>
      <c r="AY36" s="151"/>
      <c r="AZ36" s="148">
        <v>2.3999999999999998E-3</v>
      </c>
      <c r="BA36" s="149">
        <v>5.0000000000000002E-5</v>
      </c>
      <c r="BB36" s="196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3364</v>
      </c>
      <c r="G37" s="145" t="s">
        <v>1012</v>
      </c>
      <c r="H37" s="151"/>
      <c r="I37" s="145" t="s">
        <v>204</v>
      </c>
      <c r="J37" s="151"/>
      <c r="K37" s="145" t="s">
        <v>440</v>
      </c>
      <c r="L37" s="145" t="s">
        <v>339</v>
      </c>
      <c r="M37" s="145" t="s">
        <v>338</v>
      </c>
      <c r="N37" s="151"/>
      <c r="O37" s="145" t="s">
        <v>3365</v>
      </c>
      <c r="P37" s="145" t="s">
        <v>1433</v>
      </c>
      <c r="Q37" s="145" t="s">
        <v>415</v>
      </c>
      <c r="R37" s="145" t="s">
        <v>408</v>
      </c>
      <c r="S37" s="145" t="s">
        <v>1210</v>
      </c>
      <c r="T37" s="146">
        <v>0.49</v>
      </c>
      <c r="U37" s="145" t="s">
        <v>824</v>
      </c>
      <c r="V37" s="148">
        <v>0</v>
      </c>
      <c r="W37" s="145"/>
      <c r="X37" s="151"/>
      <c r="Y37" s="151"/>
      <c r="Z37" s="148">
        <v>6.4000000000000001E-2</v>
      </c>
      <c r="AA37" s="145" t="s">
        <v>3366</v>
      </c>
      <c r="AB37" s="145" t="s">
        <v>412</v>
      </c>
      <c r="AC37" s="151"/>
      <c r="AD37" s="151"/>
      <c r="AE37" s="188">
        <v>0.75</v>
      </c>
      <c r="AF37" s="151"/>
      <c r="AG37" s="151"/>
      <c r="AH37" s="151"/>
      <c r="AI37" s="151"/>
      <c r="AJ37" s="145" t="s">
        <v>338</v>
      </c>
      <c r="AK37" s="145" t="s">
        <v>886</v>
      </c>
      <c r="AL37" s="151"/>
      <c r="AM37" s="145" t="s">
        <v>889</v>
      </c>
      <c r="AN37" s="177">
        <v>45747</v>
      </c>
      <c r="AO37" s="177">
        <v>45747</v>
      </c>
      <c r="AP37" s="151"/>
      <c r="AQ37" s="146">
        <v>46222.45</v>
      </c>
      <c r="AR37" s="146">
        <v>103.79</v>
      </c>
      <c r="AS37" s="146">
        <v>1</v>
      </c>
      <c r="AT37" s="146">
        <v>47.973999999999997</v>
      </c>
      <c r="AU37" s="186">
        <v>47.974281000000005</v>
      </c>
      <c r="AV37" s="151"/>
      <c r="AW37" s="151"/>
      <c r="AX37" s="159"/>
      <c r="AY37" s="151"/>
      <c r="AZ37" s="148">
        <v>2.3400000000000001E-3</v>
      </c>
      <c r="BA37" s="149">
        <v>5.0000000000000002E-5</v>
      </c>
      <c r="BB37" s="196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3367</v>
      </c>
      <c r="G38" s="145" t="s">
        <v>1012</v>
      </c>
      <c r="H38" s="145" t="s">
        <v>784</v>
      </c>
      <c r="I38" s="145" t="s">
        <v>204</v>
      </c>
      <c r="J38" s="151"/>
      <c r="K38" s="145" t="s">
        <v>443</v>
      </c>
      <c r="L38" s="145" t="s">
        <v>339</v>
      </c>
      <c r="M38" s="145" t="s">
        <v>338</v>
      </c>
      <c r="N38" s="151"/>
      <c r="O38" s="145" t="s">
        <v>3368</v>
      </c>
      <c r="P38" s="151"/>
      <c r="Q38" s="145" t="s">
        <v>410</v>
      </c>
      <c r="R38" s="151"/>
      <c r="S38" s="145" t="s">
        <v>1210</v>
      </c>
      <c r="T38" s="146">
        <v>0.67</v>
      </c>
      <c r="U38" s="145" t="s">
        <v>823</v>
      </c>
      <c r="V38" s="148">
        <v>7.0000000000000007E-2</v>
      </c>
      <c r="W38" s="145"/>
      <c r="X38" s="151"/>
      <c r="Y38" s="151"/>
      <c r="Z38" s="148">
        <v>6.0600000000000001E-2</v>
      </c>
      <c r="AA38" s="145" t="s">
        <v>3369</v>
      </c>
      <c r="AB38" s="145" t="s">
        <v>412</v>
      </c>
      <c r="AC38" s="151" t="s">
        <v>771</v>
      </c>
      <c r="AD38" s="151">
        <v>130000</v>
      </c>
      <c r="AE38" s="188">
        <v>0.68</v>
      </c>
      <c r="AF38" s="145" t="s">
        <v>3445</v>
      </c>
      <c r="AG38" s="151"/>
      <c r="AH38" s="151"/>
      <c r="AI38" s="151"/>
      <c r="AJ38" s="145" t="s">
        <v>338</v>
      </c>
      <c r="AK38" s="145" t="s">
        <v>886</v>
      </c>
      <c r="AL38" s="151"/>
      <c r="AM38" s="145" t="s">
        <v>889</v>
      </c>
      <c r="AN38" s="177">
        <v>45747</v>
      </c>
      <c r="AO38" s="177">
        <v>45747</v>
      </c>
      <c r="AP38" s="151"/>
      <c r="AQ38" s="146">
        <v>35504.93</v>
      </c>
      <c r="AR38" s="146">
        <v>101.66</v>
      </c>
      <c r="AS38" s="146">
        <v>1</v>
      </c>
      <c r="AT38" s="146">
        <v>36.094000000000001</v>
      </c>
      <c r="AU38" s="186">
        <v>36.094311999999995</v>
      </c>
      <c r="AV38" s="151"/>
      <c r="AW38" s="151"/>
      <c r="AX38" s="159"/>
      <c r="AY38" s="151"/>
      <c r="AZ38" s="148">
        <v>1.7600000000000001E-3</v>
      </c>
      <c r="BA38" s="149">
        <v>3.0000000000000001E-5</v>
      </c>
      <c r="BB38" s="196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3370</v>
      </c>
      <c r="G39" s="145" t="s">
        <v>1012</v>
      </c>
      <c r="H39" s="151"/>
      <c r="I39" s="145" t="s">
        <v>204</v>
      </c>
      <c r="J39" s="151"/>
      <c r="K39" s="145" t="s">
        <v>485</v>
      </c>
      <c r="L39" s="145" t="s">
        <v>339</v>
      </c>
      <c r="M39" s="145" t="s">
        <v>338</v>
      </c>
      <c r="N39" s="151"/>
      <c r="O39" s="145" t="s">
        <v>3371</v>
      </c>
      <c r="P39" s="145" t="s">
        <v>1547</v>
      </c>
      <c r="Q39" s="145" t="s">
        <v>413</v>
      </c>
      <c r="R39" s="145" t="s">
        <v>408</v>
      </c>
      <c r="S39" s="145" t="s">
        <v>1210</v>
      </c>
      <c r="T39" s="146">
        <v>5.51</v>
      </c>
      <c r="U39" s="145" t="s">
        <v>824</v>
      </c>
      <c r="V39" s="148">
        <v>3.3099999999999997E-2</v>
      </c>
      <c r="W39" s="145"/>
      <c r="X39" s="151"/>
      <c r="Y39" s="151"/>
      <c r="Z39" s="148">
        <v>3.3300000000000003E-2</v>
      </c>
      <c r="AA39" s="145" t="s">
        <v>3312</v>
      </c>
      <c r="AB39" s="145" t="s">
        <v>412</v>
      </c>
      <c r="AC39" s="151"/>
      <c r="AD39" s="151"/>
      <c r="AE39" s="188"/>
      <c r="AF39" s="151" t="s">
        <v>3445</v>
      </c>
      <c r="AG39" s="151"/>
      <c r="AH39" s="151"/>
      <c r="AI39" s="151"/>
      <c r="AJ39" s="151"/>
      <c r="AK39" s="145" t="s">
        <v>886</v>
      </c>
      <c r="AL39" s="151"/>
      <c r="AM39" s="145" t="s">
        <v>889</v>
      </c>
      <c r="AN39" s="177">
        <v>45747</v>
      </c>
      <c r="AO39" s="177">
        <v>45747</v>
      </c>
      <c r="AP39" s="151"/>
      <c r="AQ39" s="146">
        <v>26680.639999999999</v>
      </c>
      <c r="AR39" s="146">
        <v>116.7</v>
      </c>
      <c r="AS39" s="146">
        <v>1</v>
      </c>
      <c r="AT39" s="146">
        <v>31.135999999999999</v>
      </c>
      <c r="AU39" s="186">
        <v>31.136307000000002</v>
      </c>
      <c r="AV39" s="151"/>
      <c r="AW39" s="151"/>
      <c r="AX39" s="159"/>
      <c r="AY39" s="151"/>
      <c r="AZ39" s="148">
        <v>1.5200000000000001E-3</v>
      </c>
      <c r="BA39" s="149">
        <v>3.0000000000000001E-5</v>
      </c>
      <c r="BB39" s="196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3372</v>
      </c>
      <c r="G40" s="145" t="s">
        <v>1012</v>
      </c>
      <c r="H40" s="145" t="s">
        <v>784</v>
      </c>
      <c r="I40" s="145" t="s">
        <v>204</v>
      </c>
      <c r="J40" s="151"/>
      <c r="K40" s="145" t="s">
        <v>443</v>
      </c>
      <c r="L40" s="145" t="s">
        <v>339</v>
      </c>
      <c r="M40" s="145" t="s">
        <v>338</v>
      </c>
      <c r="N40" s="151"/>
      <c r="O40" s="145" t="s">
        <v>3373</v>
      </c>
      <c r="P40" s="151"/>
      <c r="Q40" s="145" t="s">
        <v>410</v>
      </c>
      <c r="R40" s="151"/>
      <c r="S40" s="145" t="s">
        <v>1210</v>
      </c>
      <c r="T40" s="146">
        <v>1.53</v>
      </c>
      <c r="U40" s="145" t="s">
        <v>823</v>
      </c>
      <c r="V40" s="148">
        <v>8.2500000000000004E-2</v>
      </c>
      <c r="W40" s="145"/>
      <c r="X40" s="151"/>
      <c r="Y40" s="151"/>
      <c r="Z40" s="148">
        <v>7.5300000000000006E-2</v>
      </c>
      <c r="AA40" s="145" t="s">
        <v>3363</v>
      </c>
      <c r="AB40" s="145" t="s">
        <v>412</v>
      </c>
      <c r="AC40" s="151" t="s">
        <v>771</v>
      </c>
      <c r="AD40" s="151">
        <v>227000</v>
      </c>
      <c r="AE40" s="188">
        <v>0.63</v>
      </c>
      <c r="AF40" s="145" t="s">
        <v>3445</v>
      </c>
      <c r="AG40" s="151"/>
      <c r="AH40" s="151"/>
      <c r="AI40" s="151"/>
      <c r="AJ40" s="145" t="s">
        <v>338</v>
      </c>
      <c r="AK40" s="145" t="s">
        <v>886</v>
      </c>
      <c r="AL40" s="151"/>
      <c r="AM40" s="145" t="s">
        <v>889</v>
      </c>
      <c r="AN40" s="177">
        <v>45747</v>
      </c>
      <c r="AO40" s="177">
        <v>45747</v>
      </c>
      <c r="AP40" s="151"/>
      <c r="AQ40" s="146">
        <v>28331.03</v>
      </c>
      <c r="AR40" s="146">
        <v>103.09</v>
      </c>
      <c r="AS40" s="146">
        <v>1</v>
      </c>
      <c r="AT40" s="146">
        <v>29.206</v>
      </c>
      <c r="AU40" s="186">
        <v>29.206458999999999</v>
      </c>
      <c r="AV40" s="151"/>
      <c r="AW40" s="151"/>
      <c r="AX40" s="159"/>
      <c r="AY40" s="151"/>
      <c r="AZ40" s="148">
        <v>1.4300000000000001E-3</v>
      </c>
      <c r="BA40" s="149">
        <v>3.0000000000000001E-5</v>
      </c>
      <c r="BB40" s="196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3374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3375</v>
      </c>
      <c r="P41" s="151"/>
      <c r="Q41" s="145" t="s">
        <v>410</v>
      </c>
      <c r="R41" s="151"/>
      <c r="S41" s="145" t="s">
        <v>1210</v>
      </c>
      <c r="T41" s="146">
        <v>0.67</v>
      </c>
      <c r="U41" s="145" t="s">
        <v>823</v>
      </c>
      <c r="V41" s="148">
        <v>7.0000000000000007E-2</v>
      </c>
      <c r="W41" s="145"/>
      <c r="X41" s="151"/>
      <c r="Y41" s="151"/>
      <c r="Z41" s="148">
        <v>7.1199999999999999E-2</v>
      </c>
      <c r="AA41" s="145" t="s">
        <v>3369</v>
      </c>
      <c r="AB41" s="145" t="s">
        <v>412</v>
      </c>
      <c r="AC41" s="151" t="s">
        <v>771</v>
      </c>
      <c r="AD41" s="151">
        <v>130000</v>
      </c>
      <c r="AE41" s="188">
        <v>0.68</v>
      </c>
      <c r="AF41" s="145" t="s">
        <v>3445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7">
        <v>45747</v>
      </c>
      <c r="AO41" s="177">
        <v>45747</v>
      </c>
      <c r="AP41" s="151"/>
      <c r="AQ41" s="146">
        <v>17611.05</v>
      </c>
      <c r="AR41" s="146">
        <v>100.98</v>
      </c>
      <c r="AS41" s="146">
        <v>1</v>
      </c>
      <c r="AT41" s="146">
        <v>17.783999999999999</v>
      </c>
      <c r="AU41" s="186">
        <v>17.783638</v>
      </c>
      <c r="AV41" s="151"/>
      <c r="AW41" s="151"/>
      <c r="AX41" s="159"/>
      <c r="AY41" s="151"/>
      <c r="AZ41" s="148">
        <v>8.7000000000000001E-4</v>
      </c>
      <c r="BA41" s="149">
        <v>2.0000000000000002E-5</v>
      </c>
      <c r="BB41" s="196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3376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3377</v>
      </c>
      <c r="P42" s="151"/>
      <c r="Q42" s="145" t="s">
        <v>410</v>
      </c>
      <c r="R42" s="151"/>
      <c r="S42" s="145" t="s">
        <v>1210</v>
      </c>
      <c r="T42" s="146">
        <v>0.67</v>
      </c>
      <c r="U42" s="145" t="s">
        <v>823</v>
      </c>
      <c r="V42" s="148">
        <v>7.0000000000000007E-2</v>
      </c>
      <c r="W42" s="145"/>
      <c r="X42" s="151"/>
      <c r="Y42" s="151"/>
      <c r="Z42" s="148">
        <v>8.1600000000000006E-2</v>
      </c>
      <c r="AA42" s="145" t="s">
        <v>3369</v>
      </c>
      <c r="AB42" s="145" t="s">
        <v>412</v>
      </c>
      <c r="AC42" s="151" t="s">
        <v>771</v>
      </c>
      <c r="AD42" s="151">
        <v>130000</v>
      </c>
      <c r="AE42" s="188">
        <v>0.68</v>
      </c>
      <c r="AF42" s="145" t="s">
        <v>3445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7">
        <v>45747</v>
      </c>
      <c r="AO42" s="177">
        <v>45747</v>
      </c>
      <c r="AP42" s="151"/>
      <c r="AQ42" s="146">
        <v>16116</v>
      </c>
      <c r="AR42" s="146">
        <v>100.05</v>
      </c>
      <c r="AS42" s="146">
        <v>1</v>
      </c>
      <c r="AT42" s="146">
        <v>16.123999999999999</v>
      </c>
      <c r="AU42" s="186">
        <v>16.124058000000002</v>
      </c>
      <c r="AV42" s="151"/>
      <c r="AW42" s="151"/>
      <c r="AX42" s="159"/>
      <c r="AY42" s="151"/>
      <c r="AZ42" s="148">
        <v>7.9000000000000001E-4</v>
      </c>
      <c r="BA42" s="149">
        <v>2.0000000000000002E-5</v>
      </c>
      <c r="BB42" s="196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3378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3379</v>
      </c>
      <c r="P43" s="151"/>
      <c r="Q43" s="145" t="s">
        <v>410</v>
      </c>
      <c r="R43" s="151"/>
      <c r="S43" s="145" t="s">
        <v>1210</v>
      </c>
      <c r="T43" s="146">
        <v>0.67</v>
      </c>
      <c r="U43" s="145" t="s">
        <v>823</v>
      </c>
      <c r="V43" s="148">
        <v>7.0000000000000007E-2</v>
      </c>
      <c r="W43" s="145"/>
      <c r="X43" s="151"/>
      <c r="Y43" s="151"/>
      <c r="Z43" s="148">
        <v>5.4800000000000001E-2</v>
      </c>
      <c r="AA43" s="145" t="s">
        <v>3369</v>
      </c>
      <c r="AB43" s="145" t="s">
        <v>412</v>
      </c>
      <c r="AC43" s="151" t="s">
        <v>771</v>
      </c>
      <c r="AD43" s="151">
        <v>130000</v>
      </c>
      <c r="AE43" s="188">
        <v>0.68</v>
      </c>
      <c r="AF43" s="145" t="s">
        <v>3445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7">
        <v>45747</v>
      </c>
      <c r="AO43" s="177">
        <v>45747</v>
      </c>
      <c r="AP43" s="151"/>
      <c r="AQ43" s="146">
        <v>13477.59</v>
      </c>
      <c r="AR43" s="146">
        <v>102.03</v>
      </c>
      <c r="AS43" s="146">
        <v>1</v>
      </c>
      <c r="AT43" s="146">
        <v>13.750999999999999</v>
      </c>
      <c r="AU43" s="186">
        <v>13.751185</v>
      </c>
      <c r="AV43" s="151"/>
      <c r="AW43" s="151"/>
      <c r="AX43" s="159"/>
      <c r="AY43" s="151"/>
      <c r="AZ43" s="148">
        <v>6.7000000000000002E-4</v>
      </c>
      <c r="BA43" s="149">
        <v>1.0000000000000001E-5</v>
      </c>
      <c r="BB43" s="196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3380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3381</v>
      </c>
      <c r="P44" s="151"/>
      <c r="Q44" s="145" t="s">
        <v>410</v>
      </c>
      <c r="R44" s="151"/>
      <c r="S44" s="145" t="s">
        <v>1210</v>
      </c>
      <c r="T44" s="146">
        <v>0.67</v>
      </c>
      <c r="U44" s="145" t="s">
        <v>823</v>
      </c>
      <c r="V44" s="148">
        <v>7.0000000000000007E-2</v>
      </c>
      <c r="W44" s="145"/>
      <c r="X44" s="151"/>
      <c r="Y44" s="151"/>
      <c r="Z44" s="148">
        <v>8.3299999999999999E-2</v>
      </c>
      <c r="AA44" s="145" t="s">
        <v>3369</v>
      </c>
      <c r="AB44" s="145" t="s">
        <v>412</v>
      </c>
      <c r="AC44" s="151" t="s">
        <v>771</v>
      </c>
      <c r="AD44" s="151">
        <v>130000</v>
      </c>
      <c r="AE44" s="188">
        <v>0.68</v>
      </c>
      <c r="AF44" s="145" t="s">
        <v>3445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7">
        <v>45747</v>
      </c>
      <c r="AO44" s="177">
        <v>45747</v>
      </c>
      <c r="AP44" s="151"/>
      <c r="AQ44" s="146">
        <v>13401.93</v>
      </c>
      <c r="AR44" s="146">
        <v>100.22</v>
      </c>
      <c r="AS44" s="146">
        <v>1</v>
      </c>
      <c r="AT44" s="146">
        <v>13.430999999999999</v>
      </c>
      <c r="AU44" s="186">
        <v>13.431414</v>
      </c>
      <c r="AV44" s="151"/>
      <c r="AW44" s="151"/>
      <c r="AX44" s="159"/>
      <c r="AY44" s="151"/>
      <c r="AZ44" s="148">
        <v>6.6E-4</v>
      </c>
      <c r="BA44" s="149">
        <v>1.0000000000000001E-5</v>
      </c>
      <c r="BB44" s="196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3382</v>
      </c>
      <c r="G45" s="145" t="s">
        <v>1012</v>
      </c>
      <c r="H45" s="145" t="s">
        <v>784</v>
      </c>
      <c r="I45" s="145" t="s">
        <v>204</v>
      </c>
      <c r="J45" s="151"/>
      <c r="K45" s="145" t="s">
        <v>443</v>
      </c>
      <c r="L45" s="145" t="s">
        <v>339</v>
      </c>
      <c r="M45" s="145" t="s">
        <v>338</v>
      </c>
      <c r="N45" s="151"/>
      <c r="O45" s="145" t="s">
        <v>3352</v>
      </c>
      <c r="P45" s="151"/>
      <c r="Q45" s="145" t="s">
        <v>410</v>
      </c>
      <c r="R45" s="151"/>
      <c r="S45" s="145" t="s">
        <v>1210</v>
      </c>
      <c r="T45" s="146">
        <v>0.67</v>
      </c>
      <c r="U45" s="145" t="s">
        <v>823</v>
      </c>
      <c r="V45" s="148">
        <v>7.0000000000000007E-2</v>
      </c>
      <c r="W45" s="145"/>
      <c r="X45" s="151"/>
      <c r="Y45" s="151"/>
      <c r="Z45" s="148">
        <v>5.62E-2</v>
      </c>
      <c r="AA45" s="145" t="s">
        <v>3369</v>
      </c>
      <c r="AB45" s="145" t="s">
        <v>412</v>
      </c>
      <c r="AC45" s="151" t="s">
        <v>771</v>
      </c>
      <c r="AD45" s="151">
        <v>130000</v>
      </c>
      <c r="AE45" s="188">
        <v>0.68</v>
      </c>
      <c r="AF45" s="145" t="s">
        <v>3445</v>
      </c>
      <c r="AG45" s="151"/>
      <c r="AH45" s="151"/>
      <c r="AI45" s="151"/>
      <c r="AJ45" s="145" t="s">
        <v>338</v>
      </c>
      <c r="AK45" s="145" t="s">
        <v>886</v>
      </c>
      <c r="AL45" s="151"/>
      <c r="AM45" s="145" t="s">
        <v>889</v>
      </c>
      <c r="AN45" s="177">
        <v>45747</v>
      </c>
      <c r="AO45" s="177">
        <v>45747</v>
      </c>
      <c r="AP45" s="151"/>
      <c r="AQ45" s="146">
        <v>13139.24</v>
      </c>
      <c r="AR45" s="146">
        <v>101.94</v>
      </c>
      <c r="AS45" s="146">
        <v>1</v>
      </c>
      <c r="AT45" s="146">
        <v>13.394</v>
      </c>
      <c r="AU45" s="186">
        <v>13.394140999999999</v>
      </c>
      <c r="AV45" s="151"/>
      <c r="AW45" s="151"/>
      <c r="AX45" s="159"/>
      <c r="AY45" s="151"/>
      <c r="AZ45" s="148">
        <v>6.4999999999999997E-4</v>
      </c>
      <c r="BA45" s="149">
        <v>1.0000000000000001E-5</v>
      </c>
      <c r="BB45" s="196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3383</v>
      </c>
      <c r="G46" s="145" t="s">
        <v>1012</v>
      </c>
      <c r="H46" s="145" t="s">
        <v>784</v>
      </c>
      <c r="I46" s="145" t="s">
        <v>204</v>
      </c>
      <c r="J46" s="151"/>
      <c r="K46" s="145" t="s">
        <v>443</v>
      </c>
      <c r="L46" s="145" t="s">
        <v>339</v>
      </c>
      <c r="M46" s="145" t="s">
        <v>338</v>
      </c>
      <c r="N46" s="151"/>
      <c r="O46" s="145" t="s">
        <v>3384</v>
      </c>
      <c r="P46" s="151"/>
      <c r="Q46" s="145" t="s">
        <v>410</v>
      </c>
      <c r="R46" s="151"/>
      <c r="S46" s="145" t="s">
        <v>1210</v>
      </c>
      <c r="T46" s="146">
        <v>0.67</v>
      </c>
      <c r="U46" s="145" t="s">
        <v>823</v>
      </c>
      <c r="V46" s="148">
        <v>7.0000000000000007E-2</v>
      </c>
      <c r="W46" s="145"/>
      <c r="X46" s="151"/>
      <c r="Y46" s="151"/>
      <c r="Z46" s="148">
        <v>5.5599999999999997E-2</v>
      </c>
      <c r="AA46" s="145" t="s">
        <v>3369</v>
      </c>
      <c r="AB46" s="145" t="s">
        <v>412</v>
      </c>
      <c r="AC46" s="151" t="s">
        <v>771</v>
      </c>
      <c r="AD46" s="151">
        <v>130000</v>
      </c>
      <c r="AE46" s="188">
        <v>0.68</v>
      </c>
      <c r="AF46" s="145" t="s">
        <v>3445</v>
      </c>
      <c r="AG46" s="151"/>
      <c r="AH46" s="151"/>
      <c r="AI46" s="151"/>
      <c r="AJ46" s="145" t="s">
        <v>338</v>
      </c>
      <c r="AK46" s="145" t="s">
        <v>886</v>
      </c>
      <c r="AL46" s="151"/>
      <c r="AM46" s="145" t="s">
        <v>889</v>
      </c>
      <c r="AN46" s="177">
        <v>45747</v>
      </c>
      <c r="AO46" s="177">
        <v>45747</v>
      </c>
      <c r="AP46" s="151"/>
      <c r="AQ46" s="146">
        <v>12017.18</v>
      </c>
      <c r="AR46" s="146">
        <v>101.98</v>
      </c>
      <c r="AS46" s="146">
        <v>1</v>
      </c>
      <c r="AT46" s="146">
        <v>12.255000000000001</v>
      </c>
      <c r="AU46" s="186">
        <v>12.255120000000002</v>
      </c>
      <c r="AV46" s="151"/>
      <c r="AW46" s="151"/>
      <c r="AX46" s="159"/>
      <c r="AY46" s="151"/>
      <c r="AZ46" s="148">
        <v>5.9999999999999995E-4</v>
      </c>
      <c r="BA46" s="149">
        <v>1.0000000000000001E-5</v>
      </c>
      <c r="BB46" s="196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3385</v>
      </c>
      <c r="G47" s="145" t="s">
        <v>1012</v>
      </c>
      <c r="H47" s="145" t="s">
        <v>784</v>
      </c>
      <c r="I47" s="145" t="s">
        <v>204</v>
      </c>
      <c r="J47" s="151"/>
      <c r="K47" s="145" t="s">
        <v>443</v>
      </c>
      <c r="L47" s="145" t="s">
        <v>339</v>
      </c>
      <c r="M47" s="145" t="s">
        <v>338</v>
      </c>
      <c r="N47" s="151"/>
      <c r="O47" s="145" t="s">
        <v>3386</v>
      </c>
      <c r="P47" s="151"/>
      <c r="Q47" s="145" t="s">
        <v>410</v>
      </c>
      <c r="R47" s="151"/>
      <c r="S47" s="145" t="s">
        <v>1210</v>
      </c>
      <c r="T47" s="146">
        <v>0.67</v>
      </c>
      <c r="U47" s="145" t="s">
        <v>823</v>
      </c>
      <c r="V47" s="148">
        <v>7.0000000000000007E-2</v>
      </c>
      <c r="W47" s="145"/>
      <c r="X47" s="151"/>
      <c r="Y47" s="151"/>
      <c r="Z47" s="148">
        <v>8.8599999999999998E-2</v>
      </c>
      <c r="AA47" s="145" t="s">
        <v>3369</v>
      </c>
      <c r="AB47" s="145" t="s">
        <v>412</v>
      </c>
      <c r="AC47" s="151" t="s">
        <v>771</v>
      </c>
      <c r="AD47" s="151">
        <v>130000</v>
      </c>
      <c r="AE47" s="188">
        <v>0.68</v>
      </c>
      <c r="AF47" s="145" t="s">
        <v>3445</v>
      </c>
      <c r="AG47" s="151"/>
      <c r="AH47" s="151"/>
      <c r="AI47" s="151"/>
      <c r="AJ47" s="145" t="s">
        <v>338</v>
      </c>
      <c r="AK47" s="145" t="s">
        <v>886</v>
      </c>
      <c r="AL47" s="151"/>
      <c r="AM47" s="145" t="s">
        <v>889</v>
      </c>
      <c r="AN47" s="177">
        <v>45747</v>
      </c>
      <c r="AO47" s="177">
        <v>45747</v>
      </c>
      <c r="AP47" s="151"/>
      <c r="AQ47" s="146">
        <v>11512.42</v>
      </c>
      <c r="AR47" s="146">
        <v>99.89</v>
      </c>
      <c r="AS47" s="146">
        <v>1</v>
      </c>
      <c r="AT47" s="146">
        <v>11.5</v>
      </c>
      <c r="AU47" s="186">
        <v>11.499756</v>
      </c>
      <c r="AV47" s="151"/>
      <c r="AW47" s="151"/>
      <c r="AX47" s="159"/>
      <c r="AY47" s="151"/>
      <c r="AZ47" s="148">
        <v>5.5999999999999995E-4</v>
      </c>
      <c r="BA47" s="149">
        <v>1.0000000000000001E-5</v>
      </c>
      <c r="BB47" s="196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3387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3388</v>
      </c>
      <c r="P48" s="151"/>
      <c r="Q48" s="145" t="s">
        <v>410</v>
      </c>
      <c r="R48" s="151"/>
      <c r="S48" s="145" t="s">
        <v>1210</v>
      </c>
      <c r="T48" s="146">
        <v>0.67</v>
      </c>
      <c r="U48" s="145" t="s">
        <v>823</v>
      </c>
      <c r="V48" s="148">
        <v>7.0000000000000007E-2</v>
      </c>
      <c r="W48" s="145"/>
      <c r="X48" s="151"/>
      <c r="Y48" s="151"/>
      <c r="Z48" s="148">
        <v>5.67E-2</v>
      </c>
      <c r="AA48" s="145" t="s">
        <v>3369</v>
      </c>
      <c r="AB48" s="145" t="s">
        <v>412</v>
      </c>
      <c r="AC48" s="151" t="s">
        <v>771</v>
      </c>
      <c r="AD48" s="151">
        <v>130000</v>
      </c>
      <c r="AE48" s="188">
        <v>0.68</v>
      </c>
      <c r="AF48" s="145" t="s">
        <v>3445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7">
        <v>45747</v>
      </c>
      <c r="AO48" s="177">
        <v>45747</v>
      </c>
      <c r="AP48" s="151"/>
      <c r="AQ48" s="146">
        <v>8865.99</v>
      </c>
      <c r="AR48" s="146">
        <v>101.91</v>
      </c>
      <c r="AS48" s="146">
        <v>1</v>
      </c>
      <c r="AT48" s="146">
        <v>9.0350000000000001</v>
      </c>
      <c r="AU48" s="186">
        <v>9.0353300000000001</v>
      </c>
      <c r="AV48" s="151"/>
      <c r="AW48" s="151"/>
      <c r="AX48" s="159"/>
      <c r="AY48" s="151"/>
      <c r="AZ48" s="148">
        <v>4.4000000000000002E-4</v>
      </c>
      <c r="BA48" s="149">
        <v>1.0000000000000001E-5</v>
      </c>
      <c r="BB48" s="196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3389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3390</v>
      </c>
      <c r="P49" s="151"/>
      <c r="Q49" s="145" t="s">
        <v>410</v>
      </c>
      <c r="R49" s="151"/>
      <c r="S49" s="145" t="s">
        <v>1210</v>
      </c>
      <c r="T49" s="146">
        <v>0.67</v>
      </c>
      <c r="U49" s="145" t="s">
        <v>823</v>
      </c>
      <c r="V49" s="148">
        <v>7.0000000000000007E-2</v>
      </c>
      <c r="W49" s="145"/>
      <c r="X49" s="151"/>
      <c r="Y49" s="151"/>
      <c r="Z49" s="148">
        <v>5.5300000000000002E-2</v>
      </c>
      <c r="AA49" s="145" t="s">
        <v>3369</v>
      </c>
      <c r="AB49" s="145" t="s">
        <v>412</v>
      </c>
      <c r="AC49" s="151" t="s">
        <v>771</v>
      </c>
      <c r="AD49" s="151">
        <v>130000</v>
      </c>
      <c r="AE49" s="188">
        <v>0.68</v>
      </c>
      <c r="AF49" s="145" t="s">
        <v>3445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7">
        <v>45747</v>
      </c>
      <c r="AO49" s="177">
        <v>45747</v>
      </c>
      <c r="AP49" s="151"/>
      <c r="AQ49" s="146">
        <v>8763.27</v>
      </c>
      <c r="AR49" s="146">
        <v>102</v>
      </c>
      <c r="AS49" s="146">
        <v>1</v>
      </c>
      <c r="AT49" s="146">
        <v>8.9390000000000001</v>
      </c>
      <c r="AU49" s="186">
        <v>8.9385349999999999</v>
      </c>
      <c r="AV49" s="151"/>
      <c r="AW49" s="151"/>
      <c r="AX49" s="159"/>
      <c r="AY49" s="151"/>
      <c r="AZ49" s="148">
        <v>4.4000000000000002E-4</v>
      </c>
      <c r="BA49" s="149">
        <v>1.0000000000000001E-5</v>
      </c>
      <c r="BB49" s="196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3391</v>
      </c>
      <c r="G50" s="145" t="s">
        <v>1012</v>
      </c>
      <c r="H50" s="145" t="s">
        <v>784</v>
      </c>
      <c r="I50" s="145" t="s">
        <v>204</v>
      </c>
      <c r="J50" s="151"/>
      <c r="K50" s="145" t="s">
        <v>443</v>
      </c>
      <c r="L50" s="145" t="s">
        <v>339</v>
      </c>
      <c r="M50" s="145" t="s">
        <v>338</v>
      </c>
      <c r="N50" s="151"/>
      <c r="O50" s="145" t="s">
        <v>3392</v>
      </c>
      <c r="P50" s="151"/>
      <c r="Q50" s="145" t="s">
        <v>410</v>
      </c>
      <c r="R50" s="151"/>
      <c r="S50" s="145" t="s">
        <v>1210</v>
      </c>
      <c r="T50" s="146">
        <v>0.67</v>
      </c>
      <c r="U50" s="145" t="s">
        <v>823</v>
      </c>
      <c r="V50" s="148">
        <v>7.0000000000000007E-2</v>
      </c>
      <c r="W50" s="145"/>
      <c r="X50" s="151"/>
      <c r="Y50" s="151"/>
      <c r="Z50" s="148">
        <v>6.7000000000000004E-2</v>
      </c>
      <c r="AA50" s="145" t="s">
        <v>3369</v>
      </c>
      <c r="AB50" s="145" t="s">
        <v>412</v>
      </c>
      <c r="AC50" s="151" t="s">
        <v>771</v>
      </c>
      <c r="AD50" s="151">
        <v>130000</v>
      </c>
      <c r="AE50" s="188">
        <v>0.68</v>
      </c>
      <c r="AF50" s="145" t="s">
        <v>3445</v>
      </c>
      <c r="AG50" s="151"/>
      <c r="AH50" s="151"/>
      <c r="AI50" s="151"/>
      <c r="AJ50" s="145" t="s">
        <v>338</v>
      </c>
      <c r="AK50" s="145" t="s">
        <v>886</v>
      </c>
      <c r="AL50" s="151"/>
      <c r="AM50" s="145" t="s">
        <v>889</v>
      </c>
      <c r="AN50" s="177">
        <v>45747</v>
      </c>
      <c r="AO50" s="177">
        <v>45747</v>
      </c>
      <c r="AP50" s="151"/>
      <c r="AQ50" s="146">
        <v>8566.59</v>
      </c>
      <c r="AR50" s="146">
        <v>102.37</v>
      </c>
      <c r="AS50" s="146">
        <v>1</v>
      </c>
      <c r="AT50" s="146">
        <v>8.77</v>
      </c>
      <c r="AU50" s="186">
        <v>8.7696180000000012</v>
      </c>
      <c r="AV50" s="151"/>
      <c r="AW50" s="151"/>
      <c r="AX50" s="159"/>
      <c r="AY50" s="151"/>
      <c r="AZ50" s="148">
        <v>4.2999999999999999E-4</v>
      </c>
      <c r="BA50" s="149">
        <v>1.0000000000000001E-5</v>
      </c>
      <c r="BB50" s="196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3393</v>
      </c>
      <c r="G51" s="145" t="s">
        <v>1012</v>
      </c>
      <c r="H51" s="151"/>
      <c r="I51" s="145" t="s">
        <v>204</v>
      </c>
      <c r="J51" s="151"/>
      <c r="K51" s="145" t="s">
        <v>454</v>
      </c>
      <c r="L51" s="145" t="s">
        <v>339</v>
      </c>
      <c r="M51" s="145" t="s">
        <v>338</v>
      </c>
      <c r="N51" s="151"/>
      <c r="O51" s="145" t="s">
        <v>3394</v>
      </c>
      <c r="P51" s="145" t="s">
        <v>1547</v>
      </c>
      <c r="Q51" s="145" t="s">
        <v>413</v>
      </c>
      <c r="R51" s="145" t="s">
        <v>408</v>
      </c>
      <c r="S51" s="145" t="s">
        <v>1210</v>
      </c>
      <c r="T51" s="146">
        <v>5.51</v>
      </c>
      <c r="U51" s="145" t="s">
        <v>824</v>
      </c>
      <c r="V51" s="148">
        <v>3.3099999999999997E-2</v>
      </c>
      <c r="W51" s="145"/>
      <c r="X51" s="151"/>
      <c r="Y51" s="151"/>
      <c r="Z51" s="148">
        <v>3.3300000000000003E-2</v>
      </c>
      <c r="AA51" s="145" t="s">
        <v>3312</v>
      </c>
      <c r="AB51" s="145" t="s">
        <v>412</v>
      </c>
      <c r="AC51" s="151"/>
      <c r="AD51" s="151"/>
      <c r="AE51" s="188"/>
      <c r="AF51" s="151" t="s">
        <v>3445</v>
      </c>
      <c r="AG51" s="151"/>
      <c r="AH51" s="151"/>
      <c r="AI51" s="151"/>
      <c r="AJ51" s="151"/>
      <c r="AK51" s="145" t="s">
        <v>886</v>
      </c>
      <c r="AL51" s="151"/>
      <c r="AM51" s="145" t="s">
        <v>889</v>
      </c>
      <c r="AN51" s="177">
        <v>45747</v>
      </c>
      <c r="AO51" s="177">
        <v>45747</v>
      </c>
      <c r="AP51" s="151"/>
      <c r="AQ51" s="146">
        <v>6600.23</v>
      </c>
      <c r="AR51" s="146">
        <v>117.05</v>
      </c>
      <c r="AS51" s="146">
        <v>1</v>
      </c>
      <c r="AT51" s="146">
        <v>7.726</v>
      </c>
      <c r="AU51" s="186">
        <v>7.7255690000000001</v>
      </c>
      <c r="AV51" s="151"/>
      <c r="AW51" s="151"/>
      <c r="AX51" s="159"/>
      <c r="AY51" s="151"/>
      <c r="AZ51" s="148">
        <v>3.8000000000000002E-4</v>
      </c>
      <c r="BA51" s="149">
        <v>1.0000000000000001E-5</v>
      </c>
      <c r="BB51" s="196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3395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3396</v>
      </c>
      <c r="P52" s="151"/>
      <c r="Q52" s="145" t="s">
        <v>410</v>
      </c>
      <c r="R52" s="151"/>
      <c r="S52" s="145" t="s">
        <v>1210</v>
      </c>
      <c r="T52" s="146">
        <v>0.67</v>
      </c>
      <c r="U52" s="145" t="s">
        <v>823</v>
      </c>
      <c r="V52" s="148">
        <v>7.0000000000000007E-2</v>
      </c>
      <c r="W52" s="145"/>
      <c r="X52" s="151"/>
      <c r="Y52" s="151"/>
      <c r="Z52" s="148">
        <v>5.7000000000000002E-2</v>
      </c>
      <c r="AA52" s="145" t="s">
        <v>3369</v>
      </c>
      <c r="AB52" s="145" t="s">
        <v>412</v>
      </c>
      <c r="AC52" s="151" t="s">
        <v>771</v>
      </c>
      <c r="AD52" s="151">
        <v>130000</v>
      </c>
      <c r="AE52" s="188">
        <v>0.68</v>
      </c>
      <c r="AF52" s="145" t="s">
        <v>3445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7">
        <v>45747</v>
      </c>
      <c r="AO52" s="177">
        <v>45747</v>
      </c>
      <c r="AP52" s="151"/>
      <c r="AQ52" s="146">
        <v>6549.39</v>
      </c>
      <c r="AR52" s="146">
        <v>101.89</v>
      </c>
      <c r="AS52" s="146">
        <v>1</v>
      </c>
      <c r="AT52" s="146">
        <v>6.673</v>
      </c>
      <c r="AU52" s="186">
        <v>6.6731729999999994</v>
      </c>
      <c r="AV52" s="151"/>
      <c r="AW52" s="151"/>
      <c r="AX52" s="159"/>
      <c r="AY52" s="151"/>
      <c r="AZ52" s="148">
        <v>3.3E-4</v>
      </c>
      <c r="BA52" s="149">
        <v>1.0000000000000001E-5</v>
      </c>
      <c r="BB52" s="196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3397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3398</v>
      </c>
      <c r="P53" s="151"/>
      <c r="Q53" s="145" t="s">
        <v>410</v>
      </c>
      <c r="R53" s="151"/>
      <c r="S53" s="145" t="s">
        <v>1210</v>
      </c>
      <c r="T53" s="146">
        <v>0.67</v>
      </c>
      <c r="U53" s="145" t="s">
        <v>823</v>
      </c>
      <c r="V53" s="148">
        <v>7.0000000000000007E-2</v>
      </c>
      <c r="W53" s="145"/>
      <c r="X53" s="151"/>
      <c r="Y53" s="151"/>
      <c r="Z53" s="148">
        <v>5.7500000000000002E-2</v>
      </c>
      <c r="AA53" s="145" t="s">
        <v>3369</v>
      </c>
      <c r="AB53" s="145" t="s">
        <v>412</v>
      </c>
      <c r="AC53" s="151" t="s">
        <v>771</v>
      </c>
      <c r="AD53" s="151">
        <v>130000</v>
      </c>
      <c r="AE53" s="188">
        <v>0.68</v>
      </c>
      <c r="AF53" s="145" t="s">
        <v>3445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7">
        <v>45747</v>
      </c>
      <c r="AO53" s="177">
        <v>45747</v>
      </c>
      <c r="AP53" s="151"/>
      <c r="AQ53" s="146">
        <v>6550.77</v>
      </c>
      <c r="AR53" s="146">
        <v>101.86</v>
      </c>
      <c r="AS53" s="146">
        <v>1</v>
      </c>
      <c r="AT53" s="146">
        <v>6.673</v>
      </c>
      <c r="AU53" s="186">
        <v>6.6726139999999994</v>
      </c>
      <c r="AV53" s="151"/>
      <c r="AW53" s="151"/>
      <c r="AX53" s="159"/>
      <c r="AY53" s="151"/>
      <c r="AZ53" s="148">
        <v>3.3E-4</v>
      </c>
      <c r="BA53" s="149">
        <v>1.0000000000000001E-5</v>
      </c>
      <c r="BB53" s="196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3399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3400</v>
      </c>
      <c r="P54" s="151"/>
      <c r="Q54" s="145" t="s">
        <v>410</v>
      </c>
      <c r="R54" s="151"/>
      <c r="S54" s="145" t="s">
        <v>1210</v>
      </c>
      <c r="T54" s="146">
        <v>0.67</v>
      </c>
      <c r="U54" s="145" t="s">
        <v>823</v>
      </c>
      <c r="V54" s="148">
        <v>7.0000000000000007E-2</v>
      </c>
      <c r="W54" s="145"/>
      <c r="X54" s="151"/>
      <c r="Y54" s="151"/>
      <c r="Z54" s="148">
        <v>6.5100000000000005E-2</v>
      </c>
      <c r="AA54" s="145" t="s">
        <v>3369</v>
      </c>
      <c r="AB54" s="145" t="s">
        <v>412</v>
      </c>
      <c r="AC54" s="151" t="s">
        <v>771</v>
      </c>
      <c r="AD54" s="151">
        <v>130000</v>
      </c>
      <c r="AE54" s="188">
        <v>0.68</v>
      </c>
      <c r="AF54" s="145" t="s">
        <v>3445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7">
        <v>45747</v>
      </c>
      <c r="AO54" s="177">
        <v>45747</v>
      </c>
      <c r="AP54" s="151"/>
      <c r="AQ54" s="146">
        <v>6567.36</v>
      </c>
      <c r="AR54" s="146">
        <v>101.37</v>
      </c>
      <c r="AS54" s="146">
        <v>1</v>
      </c>
      <c r="AT54" s="146">
        <v>6.657</v>
      </c>
      <c r="AU54" s="186">
        <v>6.6573329999999995</v>
      </c>
      <c r="AV54" s="151"/>
      <c r="AW54" s="151"/>
      <c r="AX54" s="159"/>
      <c r="AY54" s="151"/>
      <c r="AZ54" s="148">
        <v>3.3E-4</v>
      </c>
      <c r="BA54" s="149">
        <v>1.0000000000000001E-5</v>
      </c>
      <c r="BB54" s="196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3401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3402</v>
      </c>
      <c r="P55" s="151"/>
      <c r="Q55" s="145" t="s">
        <v>410</v>
      </c>
      <c r="R55" s="151"/>
      <c r="S55" s="145" t="s">
        <v>1210</v>
      </c>
      <c r="T55" s="146">
        <v>0.67</v>
      </c>
      <c r="U55" s="145" t="s">
        <v>823</v>
      </c>
      <c r="V55" s="148">
        <v>7.0000000000000007E-2</v>
      </c>
      <c r="W55" s="145"/>
      <c r="X55" s="151"/>
      <c r="Y55" s="151"/>
      <c r="Z55" s="148">
        <v>6.2100000000000002E-2</v>
      </c>
      <c r="AA55" s="145" t="s">
        <v>3369</v>
      </c>
      <c r="AB55" s="145" t="s">
        <v>412</v>
      </c>
      <c r="AC55" s="151" t="s">
        <v>771</v>
      </c>
      <c r="AD55" s="151">
        <v>130000</v>
      </c>
      <c r="AE55" s="188">
        <v>0.68</v>
      </c>
      <c r="AF55" s="145" t="s">
        <v>3445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7">
        <v>45747</v>
      </c>
      <c r="AO55" s="177">
        <v>45747</v>
      </c>
      <c r="AP55" s="151"/>
      <c r="AQ55" s="146">
        <v>6548.2</v>
      </c>
      <c r="AR55" s="146">
        <v>101.56</v>
      </c>
      <c r="AS55" s="146">
        <v>1</v>
      </c>
      <c r="AT55" s="146">
        <v>6.65</v>
      </c>
      <c r="AU55" s="186">
        <v>6.6503519999999998</v>
      </c>
      <c r="AV55" s="151"/>
      <c r="AW55" s="151"/>
      <c r="AX55" s="159"/>
      <c r="AY55" s="151"/>
      <c r="AZ55" s="148">
        <v>3.2000000000000003E-4</v>
      </c>
      <c r="BA55" s="149">
        <v>1.0000000000000001E-5</v>
      </c>
      <c r="BB55" s="196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3403</v>
      </c>
      <c r="G56" s="145" t="s">
        <v>1012</v>
      </c>
      <c r="H56" s="145" t="s">
        <v>784</v>
      </c>
      <c r="I56" s="145" t="s">
        <v>204</v>
      </c>
      <c r="J56" s="151"/>
      <c r="K56" s="145" t="s">
        <v>443</v>
      </c>
      <c r="L56" s="145" t="s">
        <v>339</v>
      </c>
      <c r="M56" s="145" t="s">
        <v>338</v>
      </c>
      <c r="N56" s="151"/>
      <c r="O56" s="145" t="s">
        <v>3404</v>
      </c>
      <c r="P56" s="151"/>
      <c r="Q56" s="145" t="s">
        <v>410</v>
      </c>
      <c r="R56" s="151"/>
      <c r="S56" s="145" t="s">
        <v>1210</v>
      </c>
      <c r="T56" s="146">
        <v>0.67</v>
      </c>
      <c r="U56" s="145" t="s">
        <v>823</v>
      </c>
      <c r="V56" s="148">
        <v>7.0000000000000007E-2</v>
      </c>
      <c r="W56" s="145"/>
      <c r="X56" s="151"/>
      <c r="Y56" s="151"/>
      <c r="Z56" s="148">
        <v>5.6500000000000002E-2</v>
      </c>
      <c r="AA56" s="145" t="s">
        <v>3369</v>
      </c>
      <c r="AB56" s="145" t="s">
        <v>412</v>
      </c>
      <c r="AC56" s="151" t="s">
        <v>771</v>
      </c>
      <c r="AD56" s="151">
        <v>130000</v>
      </c>
      <c r="AE56" s="188">
        <v>0.68</v>
      </c>
      <c r="AF56" s="145" t="s">
        <v>3445</v>
      </c>
      <c r="AG56" s="151"/>
      <c r="AH56" s="151"/>
      <c r="AI56" s="151"/>
      <c r="AJ56" s="145" t="s">
        <v>338</v>
      </c>
      <c r="AK56" s="145" t="s">
        <v>886</v>
      </c>
      <c r="AL56" s="151"/>
      <c r="AM56" s="145" t="s">
        <v>889</v>
      </c>
      <c r="AN56" s="177">
        <v>45747</v>
      </c>
      <c r="AO56" s="177">
        <v>45747</v>
      </c>
      <c r="AP56" s="151"/>
      <c r="AQ56" s="146">
        <v>5673.95</v>
      </c>
      <c r="AR56" s="146">
        <v>101.92</v>
      </c>
      <c r="AS56" s="146">
        <v>1</v>
      </c>
      <c r="AT56" s="146">
        <v>5.7830000000000004</v>
      </c>
      <c r="AU56" s="186">
        <v>5.7828900000000001</v>
      </c>
      <c r="AV56" s="151"/>
      <c r="AW56" s="151"/>
      <c r="AX56" s="159"/>
      <c r="AY56" s="151"/>
      <c r="AZ56" s="148">
        <v>2.7999999999999998E-4</v>
      </c>
      <c r="BA56" s="149">
        <v>1.0000000000000001E-5</v>
      </c>
      <c r="BB56" s="196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3405</v>
      </c>
      <c r="G57" s="145" t="s">
        <v>1012</v>
      </c>
      <c r="H57" s="145" t="s">
        <v>784</v>
      </c>
      <c r="I57" s="145" t="s">
        <v>204</v>
      </c>
      <c r="J57" s="151"/>
      <c r="K57" s="145" t="s">
        <v>443</v>
      </c>
      <c r="L57" s="145" t="s">
        <v>339</v>
      </c>
      <c r="M57" s="145" t="s">
        <v>338</v>
      </c>
      <c r="N57" s="151"/>
      <c r="O57" s="145" t="s">
        <v>3406</v>
      </c>
      <c r="P57" s="151"/>
      <c r="Q57" s="145" t="s">
        <v>410</v>
      </c>
      <c r="R57" s="151"/>
      <c r="S57" s="145" t="s">
        <v>1210</v>
      </c>
      <c r="T57" s="146">
        <v>0.67</v>
      </c>
      <c r="U57" s="145" t="s">
        <v>823</v>
      </c>
      <c r="V57" s="148">
        <v>7.0000000000000007E-2</v>
      </c>
      <c r="W57" s="145"/>
      <c r="X57" s="151"/>
      <c r="Y57" s="151"/>
      <c r="Z57" s="148">
        <v>6.4299999999999996E-2</v>
      </c>
      <c r="AA57" s="145" t="s">
        <v>3369</v>
      </c>
      <c r="AB57" s="145" t="s">
        <v>412</v>
      </c>
      <c r="AC57" s="151" t="s">
        <v>771</v>
      </c>
      <c r="AD57" s="151">
        <v>130000</v>
      </c>
      <c r="AE57" s="188">
        <v>0.68</v>
      </c>
      <c r="AF57" s="145" t="s">
        <v>3445</v>
      </c>
      <c r="AG57" s="151"/>
      <c r="AH57" s="151"/>
      <c r="AI57" s="151"/>
      <c r="AJ57" s="145" t="s">
        <v>338</v>
      </c>
      <c r="AK57" s="145" t="s">
        <v>886</v>
      </c>
      <c r="AL57" s="151"/>
      <c r="AM57" s="145" t="s">
        <v>889</v>
      </c>
      <c r="AN57" s="177">
        <v>45747</v>
      </c>
      <c r="AO57" s="177">
        <v>45747</v>
      </c>
      <c r="AP57" s="151"/>
      <c r="AQ57" s="146">
        <v>4852.6499999999996</v>
      </c>
      <c r="AR57" s="146">
        <v>101.42</v>
      </c>
      <c r="AS57" s="146">
        <v>1</v>
      </c>
      <c r="AT57" s="146">
        <v>4.9219999999999997</v>
      </c>
      <c r="AU57" s="186">
        <v>4.9215580000000001</v>
      </c>
      <c r="AV57" s="151"/>
      <c r="AW57" s="151"/>
      <c r="AX57" s="159"/>
      <c r="AY57" s="151"/>
      <c r="AZ57" s="148">
        <v>2.4000000000000001E-4</v>
      </c>
      <c r="BA57" s="149">
        <v>0</v>
      </c>
      <c r="BB57" s="196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3407</v>
      </c>
      <c r="G58" s="145" t="s">
        <v>1012</v>
      </c>
      <c r="H58" s="145" t="s">
        <v>784</v>
      </c>
      <c r="I58" s="145" t="s">
        <v>204</v>
      </c>
      <c r="J58" s="151"/>
      <c r="K58" s="145" t="s">
        <v>443</v>
      </c>
      <c r="L58" s="145" t="s">
        <v>339</v>
      </c>
      <c r="M58" s="145" t="s">
        <v>338</v>
      </c>
      <c r="N58" s="151"/>
      <c r="O58" s="145" t="s">
        <v>3408</v>
      </c>
      <c r="P58" s="151"/>
      <c r="Q58" s="145" t="s">
        <v>410</v>
      </c>
      <c r="R58" s="151"/>
      <c r="S58" s="145" t="s">
        <v>1210</v>
      </c>
      <c r="T58" s="146">
        <v>0.67</v>
      </c>
      <c r="U58" s="145" t="s">
        <v>823</v>
      </c>
      <c r="V58" s="148">
        <v>7.0000000000000007E-2</v>
      </c>
      <c r="W58" s="145"/>
      <c r="X58" s="151"/>
      <c r="Y58" s="151"/>
      <c r="Z58" s="148">
        <v>6.0600000000000001E-2</v>
      </c>
      <c r="AA58" s="145" t="s">
        <v>3369</v>
      </c>
      <c r="AB58" s="145" t="s">
        <v>412</v>
      </c>
      <c r="AC58" s="151" t="s">
        <v>771</v>
      </c>
      <c r="AD58" s="151">
        <v>130000</v>
      </c>
      <c r="AE58" s="188">
        <v>0.68</v>
      </c>
      <c r="AF58" s="145" t="s">
        <v>3445</v>
      </c>
      <c r="AG58" s="151"/>
      <c r="AH58" s="151"/>
      <c r="AI58" s="151"/>
      <c r="AJ58" s="145" t="s">
        <v>338</v>
      </c>
      <c r="AK58" s="145" t="s">
        <v>886</v>
      </c>
      <c r="AL58" s="151"/>
      <c r="AM58" s="145" t="s">
        <v>889</v>
      </c>
      <c r="AN58" s="177">
        <v>45747</v>
      </c>
      <c r="AO58" s="177">
        <v>45747</v>
      </c>
      <c r="AP58" s="151"/>
      <c r="AQ58" s="146">
        <v>4799.6899999999996</v>
      </c>
      <c r="AR58" s="146">
        <v>101.66</v>
      </c>
      <c r="AS58" s="146">
        <v>1</v>
      </c>
      <c r="AT58" s="146">
        <v>4.8789999999999996</v>
      </c>
      <c r="AU58" s="186">
        <v>4.879365</v>
      </c>
      <c r="AV58" s="151"/>
      <c r="AW58" s="151"/>
      <c r="AX58" s="159"/>
      <c r="AY58" s="151"/>
      <c r="AZ58" s="148">
        <v>2.4000000000000001E-4</v>
      </c>
      <c r="BA58" s="149">
        <v>0</v>
      </c>
      <c r="BB58" s="196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3409</v>
      </c>
      <c r="G59" s="145" t="s">
        <v>1012</v>
      </c>
      <c r="H59" s="145" t="s">
        <v>784</v>
      </c>
      <c r="I59" s="145" t="s">
        <v>204</v>
      </c>
      <c r="J59" s="151"/>
      <c r="K59" s="145" t="s">
        <v>443</v>
      </c>
      <c r="L59" s="145" t="s">
        <v>339</v>
      </c>
      <c r="M59" s="145" t="s">
        <v>338</v>
      </c>
      <c r="N59" s="151"/>
      <c r="O59" s="145" t="s">
        <v>3410</v>
      </c>
      <c r="P59" s="151"/>
      <c r="Q59" s="145" t="s">
        <v>410</v>
      </c>
      <c r="R59" s="151"/>
      <c r="S59" s="145" t="s">
        <v>1210</v>
      </c>
      <c r="T59" s="146">
        <v>0.67</v>
      </c>
      <c r="U59" s="145" t="s">
        <v>823</v>
      </c>
      <c r="V59" s="148">
        <v>7.0000000000000007E-2</v>
      </c>
      <c r="W59" s="145"/>
      <c r="X59" s="151"/>
      <c r="Y59" s="151"/>
      <c r="Z59" s="148">
        <v>5.5899999999999998E-2</v>
      </c>
      <c r="AA59" s="145" t="s">
        <v>3369</v>
      </c>
      <c r="AB59" s="145" t="s">
        <v>412</v>
      </c>
      <c r="AC59" s="151" t="s">
        <v>771</v>
      </c>
      <c r="AD59" s="151">
        <v>130000</v>
      </c>
      <c r="AE59" s="188">
        <v>0.68</v>
      </c>
      <c r="AF59" s="145" t="s">
        <v>3445</v>
      </c>
      <c r="AG59" s="151"/>
      <c r="AH59" s="151"/>
      <c r="AI59" s="151"/>
      <c r="AJ59" s="145" t="s">
        <v>338</v>
      </c>
      <c r="AK59" s="145" t="s">
        <v>886</v>
      </c>
      <c r="AL59" s="151"/>
      <c r="AM59" s="145" t="s">
        <v>889</v>
      </c>
      <c r="AN59" s="177">
        <v>45747</v>
      </c>
      <c r="AO59" s="177">
        <v>45747</v>
      </c>
      <c r="AP59" s="151"/>
      <c r="AQ59" s="146">
        <v>4370.04</v>
      </c>
      <c r="AR59" s="146">
        <v>101.96</v>
      </c>
      <c r="AS59" s="146">
        <v>1</v>
      </c>
      <c r="AT59" s="146">
        <v>4.4560000000000004</v>
      </c>
      <c r="AU59" s="186">
        <v>4.4556930000000001</v>
      </c>
      <c r="AV59" s="151"/>
      <c r="AW59" s="151"/>
      <c r="AX59" s="159"/>
      <c r="AY59" s="151"/>
      <c r="AZ59" s="148">
        <v>2.2000000000000001E-4</v>
      </c>
      <c r="BA59" s="149">
        <v>0</v>
      </c>
      <c r="BB59" s="196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3411</v>
      </c>
      <c r="G60" s="145" t="s">
        <v>1012</v>
      </c>
      <c r="H60" s="145" t="s">
        <v>793</v>
      </c>
      <c r="I60" s="145" t="s">
        <v>204</v>
      </c>
      <c r="J60" s="151"/>
      <c r="K60" s="145" t="s">
        <v>447</v>
      </c>
      <c r="L60" s="145" t="s">
        <v>339</v>
      </c>
      <c r="M60" s="145" t="s">
        <v>338</v>
      </c>
      <c r="N60" s="151"/>
      <c r="O60" s="145" t="s">
        <v>3412</v>
      </c>
      <c r="P60" s="151"/>
      <c r="Q60" s="145" t="s">
        <v>410</v>
      </c>
      <c r="R60" s="151"/>
      <c r="S60" s="145" t="s">
        <v>1210</v>
      </c>
      <c r="T60" s="146">
        <v>0.01</v>
      </c>
      <c r="U60" s="145" t="s">
        <v>824</v>
      </c>
      <c r="V60" s="148">
        <v>0</v>
      </c>
      <c r="W60" s="145"/>
      <c r="X60" s="151"/>
      <c r="Y60" s="151"/>
      <c r="Z60" s="148">
        <v>1E-4</v>
      </c>
      <c r="AA60" s="145" t="s">
        <v>3413</v>
      </c>
      <c r="AB60" s="145" t="s">
        <v>412</v>
      </c>
      <c r="AC60" s="151" t="s">
        <v>764</v>
      </c>
      <c r="AD60" s="151"/>
      <c r="AE60" s="188"/>
      <c r="AF60" s="145" t="s">
        <v>3445</v>
      </c>
      <c r="AG60" s="151"/>
      <c r="AH60" s="151"/>
      <c r="AI60" s="151"/>
      <c r="AJ60" s="151"/>
      <c r="AK60" s="145" t="s">
        <v>314</v>
      </c>
      <c r="AL60" s="151"/>
      <c r="AM60" s="145" t="s">
        <v>888</v>
      </c>
      <c r="AN60" s="177">
        <v>45529</v>
      </c>
      <c r="AO60" s="177">
        <v>45529</v>
      </c>
      <c r="AP60" s="151"/>
      <c r="AQ60" s="146">
        <v>357722.44</v>
      </c>
      <c r="AR60" s="146">
        <v>0.01</v>
      </c>
      <c r="AS60" s="146">
        <v>1</v>
      </c>
      <c r="AT60" s="146">
        <v>3.5999999999999997E-2</v>
      </c>
      <c r="AU60" s="186">
        <v>3.5771999999999998E-2</v>
      </c>
      <c r="AV60" s="151"/>
      <c r="AW60" s="151"/>
      <c r="AX60" s="159"/>
      <c r="AY60" s="151"/>
      <c r="AZ60" s="148">
        <v>0</v>
      </c>
      <c r="BA60" s="149">
        <v>0</v>
      </c>
      <c r="BB60" s="196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3414</v>
      </c>
      <c r="G61" s="145" t="s">
        <v>1012</v>
      </c>
      <c r="H61" s="145" t="s">
        <v>793</v>
      </c>
      <c r="I61" s="145" t="s">
        <v>204</v>
      </c>
      <c r="J61" s="151"/>
      <c r="K61" s="145" t="s">
        <v>447</v>
      </c>
      <c r="L61" s="145" t="s">
        <v>339</v>
      </c>
      <c r="M61" s="145" t="s">
        <v>338</v>
      </c>
      <c r="N61" s="151"/>
      <c r="O61" s="145" t="s">
        <v>3412</v>
      </c>
      <c r="P61" s="151"/>
      <c r="Q61" s="145" t="s">
        <v>410</v>
      </c>
      <c r="R61" s="151"/>
      <c r="S61" s="145" t="s">
        <v>1210</v>
      </c>
      <c r="T61" s="146">
        <v>0.01</v>
      </c>
      <c r="U61" s="145" t="s">
        <v>823</v>
      </c>
      <c r="V61" s="148">
        <v>0</v>
      </c>
      <c r="W61" s="145"/>
      <c r="X61" s="151"/>
      <c r="Y61" s="151"/>
      <c r="Z61" s="148">
        <v>1E-4</v>
      </c>
      <c r="AA61" s="145" t="s">
        <v>3415</v>
      </c>
      <c r="AB61" s="145" t="s">
        <v>412</v>
      </c>
      <c r="AC61" s="151" t="s">
        <v>764</v>
      </c>
      <c r="AD61" s="151"/>
      <c r="AE61" s="188"/>
      <c r="AF61" s="145" t="s">
        <v>3445</v>
      </c>
      <c r="AG61" s="151"/>
      <c r="AH61" s="151"/>
      <c r="AI61" s="151"/>
      <c r="AJ61" s="151"/>
      <c r="AK61" s="145" t="s">
        <v>314</v>
      </c>
      <c r="AL61" s="151"/>
      <c r="AM61" s="145" t="s">
        <v>888</v>
      </c>
      <c r="AN61" s="177">
        <v>45529</v>
      </c>
      <c r="AO61" s="177">
        <v>45529</v>
      </c>
      <c r="AP61" s="151"/>
      <c r="AQ61" s="146">
        <v>27498.73</v>
      </c>
      <c r="AR61" s="146">
        <v>0.01</v>
      </c>
      <c r="AS61" s="146">
        <v>1</v>
      </c>
      <c r="AT61" s="146">
        <v>3.0000000000000001E-3</v>
      </c>
      <c r="AU61" s="186">
        <v>2.7499999999999998E-3</v>
      </c>
      <c r="AV61" s="151"/>
      <c r="AW61" s="151"/>
      <c r="AX61" s="159"/>
      <c r="AY61" s="151"/>
      <c r="AZ61" s="148">
        <v>0</v>
      </c>
      <c r="BA61" s="149">
        <v>0</v>
      </c>
      <c r="BB61" s="196"/>
    </row>
    <row r="62" spans="1:54" x14ac:dyDescent="0.2">
      <c r="A62" s="144" t="s">
        <v>1205</v>
      </c>
      <c r="B62" s="145" t="s">
        <v>1205</v>
      </c>
      <c r="C62" s="151"/>
      <c r="D62" s="151"/>
      <c r="E62" s="151"/>
      <c r="F62" s="145" t="s">
        <v>3416</v>
      </c>
      <c r="G62" s="145" t="s">
        <v>1012</v>
      </c>
      <c r="H62" s="145" t="s">
        <v>811</v>
      </c>
      <c r="I62" s="145" t="s">
        <v>205</v>
      </c>
      <c r="J62" s="151"/>
      <c r="K62" s="145" t="s">
        <v>454</v>
      </c>
      <c r="L62" s="145" t="s">
        <v>339</v>
      </c>
      <c r="M62" s="145" t="s">
        <v>338</v>
      </c>
      <c r="N62" s="151" t="s">
        <v>3444</v>
      </c>
      <c r="O62" s="145" t="s">
        <v>3333</v>
      </c>
      <c r="P62" s="145" t="s">
        <v>1439</v>
      </c>
      <c r="Q62" s="145" t="s">
        <v>413</v>
      </c>
      <c r="R62" s="145" t="s">
        <v>408</v>
      </c>
      <c r="S62" s="145" t="s">
        <v>1211</v>
      </c>
      <c r="T62" s="146">
        <v>1.8</v>
      </c>
      <c r="U62" s="145" t="s">
        <v>823</v>
      </c>
      <c r="V62" s="148">
        <v>0.110153</v>
      </c>
      <c r="W62" s="145"/>
      <c r="X62" s="151"/>
      <c r="Y62" s="151"/>
      <c r="Z62" s="148">
        <v>9.7299999999999998E-2</v>
      </c>
      <c r="AA62" s="145" t="s">
        <v>3417</v>
      </c>
      <c r="AB62" s="145" t="s">
        <v>412</v>
      </c>
      <c r="AC62" s="151" t="s">
        <v>485</v>
      </c>
      <c r="AD62" s="151">
        <v>2800000</v>
      </c>
      <c r="AE62" s="188">
        <v>0.6</v>
      </c>
      <c r="AF62" s="145" t="s">
        <v>3445</v>
      </c>
      <c r="AG62" s="151"/>
      <c r="AH62" s="151"/>
      <c r="AI62" s="151"/>
      <c r="AJ62" s="145" t="s">
        <v>339</v>
      </c>
      <c r="AK62" s="145" t="s">
        <v>886</v>
      </c>
      <c r="AL62" s="151"/>
      <c r="AM62" s="145" t="s">
        <v>889</v>
      </c>
      <c r="AN62" s="177">
        <v>45747</v>
      </c>
      <c r="AO62" s="177">
        <v>45747</v>
      </c>
      <c r="AP62" s="188">
        <v>1.4999999999999999E-2</v>
      </c>
      <c r="AQ62" s="146">
        <v>247840.33</v>
      </c>
      <c r="AR62" s="146">
        <v>101.79</v>
      </c>
      <c r="AS62" s="146">
        <v>3.718</v>
      </c>
      <c r="AT62" s="146">
        <v>937.96500000000003</v>
      </c>
      <c r="AU62" s="186">
        <v>252.27667199999999</v>
      </c>
      <c r="AV62" s="151"/>
      <c r="AW62" s="151"/>
      <c r="AX62" s="159"/>
      <c r="AY62" s="151"/>
      <c r="AZ62" s="148">
        <v>4.58E-2</v>
      </c>
      <c r="BA62" s="149">
        <v>8.8999999999999995E-4</v>
      </c>
      <c r="BB62" s="196"/>
    </row>
    <row r="63" spans="1:54" x14ac:dyDescent="0.2">
      <c r="A63" s="144" t="s">
        <v>1205</v>
      </c>
      <c r="B63" s="145" t="s">
        <v>1205</v>
      </c>
      <c r="C63" s="151"/>
      <c r="D63" s="151"/>
      <c r="E63" s="151"/>
      <c r="F63" s="145" t="s">
        <v>3418</v>
      </c>
      <c r="G63" s="145" t="s">
        <v>1012</v>
      </c>
      <c r="H63" s="145" t="s">
        <v>811</v>
      </c>
      <c r="I63" s="145" t="s">
        <v>205</v>
      </c>
      <c r="J63" s="151"/>
      <c r="K63" s="145" t="s">
        <v>454</v>
      </c>
      <c r="L63" s="145" t="s">
        <v>339</v>
      </c>
      <c r="M63" s="145" t="s">
        <v>338</v>
      </c>
      <c r="N63" s="151" t="s">
        <v>3444</v>
      </c>
      <c r="O63" s="145" t="s">
        <v>3419</v>
      </c>
      <c r="P63" s="145" t="s">
        <v>1439</v>
      </c>
      <c r="Q63" s="145" t="s">
        <v>413</v>
      </c>
      <c r="R63" s="145" t="s">
        <v>408</v>
      </c>
      <c r="S63" s="145" t="s">
        <v>1211</v>
      </c>
      <c r="T63" s="146">
        <v>1.83</v>
      </c>
      <c r="U63" s="145" t="s">
        <v>823</v>
      </c>
      <c r="V63" s="148">
        <v>0.107045</v>
      </c>
      <c r="W63" s="145"/>
      <c r="X63" s="151"/>
      <c r="Y63" s="151"/>
      <c r="Z63" s="148">
        <v>9.6199999999999994E-2</v>
      </c>
      <c r="AA63" s="145" t="s">
        <v>3417</v>
      </c>
      <c r="AB63" s="145" t="s">
        <v>412</v>
      </c>
      <c r="AC63" s="151" t="s">
        <v>485</v>
      </c>
      <c r="AD63" s="151">
        <v>2800000</v>
      </c>
      <c r="AE63" s="188">
        <v>0.6</v>
      </c>
      <c r="AF63" s="145" t="s">
        <v>3445</v>
      </c>
      <c r="AG63" s="151"/>
      <c r="AH63" s="151"/>
      <c r="AI63" s="151"/>
      <c r="AJ63" s="145" t="s">
        <v>339</v>
      </c>
      <c r="AK63" s="145" t="s">
        <v>886</v>
      </c>
      <c r="AL63" s="151"/>
      <c r="AM63" s="145" t="s">
        <v>889</v>
      </c>
      <c r="AN63" s="177">
        <v>45747</v>
      </c>
      <c r="AO63" s="177">
        <v>45747</v>
      </c>
      <c r="AP63" s="188">
        <v>1.4999999999999999E-2</v>
      </c>
      <c r="AQ63" s="146">
        <v>125432.63</v>
      </c>
      <c r="AR63" s="146">
        <v>99.15</v>
      </c>
      <c r="AS63" s="146">
        <v>3.718</v>
      </c>
      <c r="AT63" s="146">
        <v>462.39400000000001</v>
      </c>
      <c r="AU63" s="186">
        <v>124.36645299999999</v>
      </c>
      <c r="AV63" s="151"/>
      <c r="AW63" s="151"/>
      <c r="AX63" s="159"/>
      <c r="AY63" s="151"/>
      <c r="AZ63" s="148">
        <v>2.2579999999999999E-2</v>
      </c>
      <c r="BA63" s="149">
        <v>4.4000000000000002E-4</v>
      </c>
      <c r="BB63" s="196"/>
    </row>
    <row r="64" spans="1:54" x14ac:dyDescent="0.2">
      <c r="A64" s="144" t="s">
        <v>1205</v>
      </c>
      <c r="B64" s="145" t="s">
        <v>1205</v>
      </c>
      <c r="C64" s="151"/>
      <c r="D64" s="151"/>
      <c r="E64" s="151"/>
      <c r="F64" s="145" t="s">
        <v>3420</v>
      </c>
      <c r="G64" s="145" t="s">
        <v>1012</v>
      </c>
      <c r="H64" s="145" t="s">
        <v>811</v>
      </c>
      <c r="I64" s="145" t="s">
        <v>205</v>
      </c>
      <c r="J64" s="151"/>
      <c r="K64" s="145" t="s">
        <v>454</v>
      </c>
      <c r="L64" s="145" t="s">
        <v>339</v>
      </c>
      <c r="M64" s="145" t="s">
        <v>338</v>
      </c>
      <c r="N64" s="151" t="s">
        <v>3444</v>
      </c>
      <c r="O64" s="145" t="s">
        <v>2676</v>
      </c>
      <c r="P64" s="145" t="s">
        <v>1439</v>
      </c>
      <c r="Q64" s="145" t="s">
        <v>413</v>
      </c>
      <c r="R64" s="145" t="s">
        <v>408</v>
      </c>
      <c r="S64" s="145" t="s">
        <v>1211</v>
      </c>
      <c r="T64" s="146">
        <v>1.83</v>
      </c>
      <c r="U64" s="145" t="s">
        <v>823</v>
      </c>
      <c r="V64" s="148">
        <v>0.107045</v>
      </c>
      <c r="W64" s="145"/>
      <c r="X64" s="151"/>
      <c r="Y64" s="151"/>
      <c r="Z64" s="148">
        <v>9.5799999999999996E-2</v>
      </c>
      <c r="AA64" s="145" t="s">
        <v>3417</v>
      </c>
      <c r="AB64" s="145" t="s">
        <v>412</v>
      </c>
      <c r="AC64" s="151" t="s">
        <v>485</v>
      </c>
      <c r="AD64" s="151">
        <v>2800000</v>
      </c>
      <c r="AE64" s="188">
        <v>0.6</v>
      </c>
      <c r="AF64" s="145" t="s">
        <v>3445</v>
      </c>
      <c r="AG64" s="151"/>
      <c r="AH64" s="151"/>
      <c r="AI64" s="151"/>
      <c r="AJ64" s="145" t="s">
        <v>339</v>
      </c>
      <c r="AK64" s="145" t="s">
        <v>886</v>
      </c>
      <c r="AL64" s="151"/>
      <c r="AM64" s="145" t="s">
        <v>889</v>
      </c>
      <c r="AN64" s="177">
        <v>45747</v>
      </c>
      <c r="AO64" s="177">
        <v>45747</v>
      </c>
      <c r="AP64" s="188">
        <v>1.4999999999999999E-2</v>
      </c>
      <c r="AQ64" s="146">
        <v>123842.43</v>
      </c>
      <c r="AR64" s="146">
        <v>99.21</v>
      </c>
      <c r="AS64" s="146">
        <v>3.718</v>
      </c>
      <c r="AT64" s="146">
        <v>456.80900000000003</v>
      </c>
      <c r="AU64" s="186">
        <v>122.864075</v>
      </c>
      <c r="AV64" s="151"/>
      <c r="AW64" s="151"/>
      <c r="AX64" s="159"/>
      <c r="AY64" s="151"/>
      <c r="AZ64" s="148">
        <v>2.23E-2</v>
      </c>
      <c r="BA64" s="149">
        <v>4.2999999999999999E-4</v>
      </c>
      <c r="BB64" s="196"/>
    </row>
    <row r="65" spans="1:54" x14ac:dyDescent="0.2">
      <c r="A65" s="144" t="s">
        <v>1205</v>
      </c>
      <c r="B65" s="145" t="s">
        <v>1205</v>
      </c>
      <c r="C65" s="151"/>
      <c r="D65" s="151"/>
      <c r="E65" s="151"/>
      <c r="F65" s="145" t="s">
        <v>3421</v>
      </c>
      <c r="G65" s="145" t="s">
        <v>1012</v>
      </c>
      <c r="H65" s="145" t="s">
        <v>811</v>
      </c>
      <c r="I65" s="145" t="s">
        <v>205</v>
      </c>
      <c r="J65" s="151"/>
      <c r="K65" s="145" t="s">
        <v>454</v>
      </c>
      <c r="L65" s="145" t="s">
        <v>339</v>
      </c>
      <c r="M65" s="145" t="s">
        <v>338</v>
      </c>
      <c r="N65" s="151" t="s">
        <v>3444</v>
      </c>
      <c r="O65" s="145" t="s">
        <v>3422</v>
      </c>
      <c r="P65" s="145" t="s">
        <v>1439</v>
      </c>
      <c r="Q65" s="145" t="s">
        <v>413</v>
      </c>
      <c r="R65" s="145" t="s">
        <v>408</v>
      </c>
      <c r="S65" s="145" t="s">
        <v>1211</v>
      </c>
      <c r="T65" s="146">
        <v>1.83</v>
      </c>
      <c r="U65" s="145" t="s">
        <v>823</v>
      </c>
      <c r="V65" s="148">
        <v>0.107045</v>
      </c>
      <c r="W65" s="145"/>
      <c r="X65" s="151"/>
      <c r="Y65" s="151"/>
      <c r="Z65" s="148">
        <v>9.5399999999999999E-2</v>
      </c>
      <c r="AA65" s="145" t="s">
        <v>3417</v>
      </c>
      <c r="AB65" s="145" t="s">
        <v>412</v>
      </c>
      <c r="AC65" s="151" t="s">
        <v>485</v>
      </c>
      <c r="AD65" s="151">
        <v>2800000</v>
      </c>
      <c r="AE65" s="188">
        <v>0.6</v>
      </c>
      <c r="AF65" s="145" t="s">
        <v>3445</v>
      </c>
      <c r="AG65" s="151"/>
      <c r="AH65" s="151"/>
      <c r="AI65" s="151"/>
      <c r="AJ65" s="145" t="s">
        <v>339</v>
      </c>
      <c r="AK65" s="145" t="s">
        <v>886</v>
      </c>
      <c r="AL65" s="151"/>
      <c r="AM65" s="145" t="s">
        <v>889</v>
      </c>
      <c r="AN65" s="177">
        <v>45747</v>
      </c>
      <c r="AO65" s="177">
        <v>45747</v>
      </c>
      <c r="AP65" s="188">
        <v>1.4999999999999999E-2</v>
      </c>
      <c r="AQ65" s="146">
        <v>69685.8</v>
      </c>
      <c r="AR65" s="146">
        <v>99.28</v>
      </c>
      <c r="AS65" s="146">
        <v>3.718</v>
      </c>
      <c r="AT65" s="146">
        <v>257.226</v>
      </c>
      <c r="AU65" s="186">
        <v>69.184062000000011</v>
      </c>
      <c r="AV65" s="151"/>
      <c r="AW65" s="151"/>
      <c r="AX65" s="159"/>
      <c r="AY65" s="151"/>
      <c r="AZ65" s="148">
        <v>1.256E-2</v>
      </c>
      <c r="BA65" s="149">
        <v>2.4000000000000001E-4</v>
      </c>
      <c r="BB65" s="196"/>
    </row>
    <row r="66" spans="1:54" x14ac:dyDescent="0.2">
      <c r="A66" s="144" t="s">
        <v>1205</v>
      </c>
      <c r="B66" s="145" t="s">
        <v>1205</v>
      </c>
      <c r="C66" s="151"/>
      <c r="D66" s="151"/>
      <c r="E66" s="151"/>
      <c r="F66" s="145" t="s">
        <v>3423</v>
      </c>
      <c r="G66" s="145" t="s">
        <v>1012</v>
      </c>
      <c r="H66" s="145" t="s">
        <v>811</v>
      </c>
      <c r="I66" s="145" t="s">
        <v>205</v>
      </c>
      <c r="J66" s="151"/>
      <c r="K66" s="145" t="s">
        <v>454</v>
      </c>
      <c r="L66" s="145" t="s">
        <v>339</v>
      </c>
      <c r="M66" s="145" t="s">
        <v>338</v>
      </c>
      <c r="N66" s="151" t="s">
        <v>3444</v>
      </c>
      <c r="O66" s="145" t="s">
        <v>3328</v>
      </c>
      <c r="P66" s="145" t="s">
        <v>1439</v>
      </c>
      <c r="Q66" s="145" t="s">
        <v>413</v>
      </c>
      <c r="R66" s="145" t="s">
        <v>408</v>
      </c>
      <c r="S66" s="145" t="s">
        <v>1211</v>
      </c>
      <c r="T66" s="146">
        <v>1.83</v>
      </c>
      <c r="U66" s="145" t="s">
        <v>823</v>
      </c>
      <c r="V66" s="148">
        <v>9.6748000000000001E-2</v>
      </c>
      <c r="W66" s="145"/>
      <c r="X66" s="151"/>
      <c r="Y66" s="151"/>
      <c r="Z66" s="148">
        <v>9.4399999999999998E-2</v>
      </c>
      <c r="AA66" s="145" t="s">
        <v>3417</v>
      </c>
      <c r="AB66" s="145" t="s">
        <v>412</v>
      </c>
      <c r="AC66" s="151" t="s">
        <v>485</v>
      </c>
      <c r="AD66" s="151">
        <v>2800000</v>
      </c>
      <c r="AE66" s="188">
        <v>0.6</v>
      </c>
      <c r="AF66" s="145" t="s">
        <v>3445</v>
      </c>
      <c r="AG66" s="151"/>
      <c r="AH66" s="151"/>
      <c r="AI66" s="151"/>
      <c r="AJ66" s="145" t="s">
        <v>339</v>
      </c>
      <c r="AK66" s="145" t="s">
        <v>886</v>
      </c>
      <c r="AL66" s="151"/>
      <c r="AM66" s="145" t="s">
        <v>889</v>
      </c>
      <c r="AN66" s="177">
        <v>45747</v>
      </c>
      <c r="AO66" s="177">
        <v>45747</v>
      </c>
      <c r="AP66" s="188">
        <v>1.4999999999999999E-2</v>
      </c>
      <c r="AQ66" s="146">
        <v>50789.26</v>
      </c>
      <c r="AR66" s="146">
        <v>99.45</v>
      </c>
      <c r="AS66" s="146">
        <v>3.718</v>
      </c>
      <c r="AT66" s="146">
        <v>187.79599999999999</v>
      </c>
      <c r="AU66" s="186">
        <v>50.509919000000004</v>
      </c>
      <c r="AV66" s="151"/>
      <c r="AW66" s="151"/>
      <c r="AX66" s="159"/>
      <c r="AY66" s="151"/>
      <c r="AZ66" s="148">
        <v>9.1699999999999993E-3</v>
      </c>
      <c r="BA66" s="149">
        <v>1.8000000000000001E-4</v>
      </c>
      <c r="BB66" s="196"/>
    </row>
    <row r="67" spans="1:54" x14ac:dyDescent="0.2">
      <c r="A67" s="144" t="s">
        <v>1217</v>
      </c>
      <c r="B67" s="145" t="s">
        <v>1218</v>
      </c>
      <c r="C67" s="151"/>
      <c r="D67" s="151"/>
      <c r="E67" s="151"/>
      <c r="F67" s="145" t="s">
        <v>3424</v>
      </c>
      <c r="G67" s="145" t="s">
        <v>1011</v>
      </c>
      <c r="H67" s="151"/>
      <c r="I67" s="145" t="s">
        <v>204</v>
      </c>
      <c r="J67" s="151"/>
      <c r="K67" s="145" t="s">
        <v>478</v>
      </c>
      <c r="L67" s="145" t="s">
        <v>339</v>
      </c>
      <c r="M67" s="145" t="s">
        <v>339</v>
      </c>
      <c r="N67" s="151"/>
      <c r="O67" s="145" t="s">
        <v>3425</v>
      </c>
      <c r="P67" s="145" t="s">
        <v>1288</v>
      </c>
      <c r="Q67" s="145" t="s">
        <v>312</v>
      </c>
      <c r="R67" s="145" t="s">
        <v>408</v>
      </c>
      <c r="S67" s="145" t="s">
        <v>1210</v>
      </c>
      <c r="T67" s="146">
        <v>1.982</v>
      </c>
      <c r="U67" s="145" t="s">
        <v>314</v>
      </c>
      <c r="V67" s="148">
        <v>5.3999999999999999E-2</v>
      </c>
      <c r="W67" s="145"/>
      <c r="X67" s="151"/>
      <c r="Y67" s="151"/>
      <c r="Z67" s="148">
        <v>5.6279999999999997E-2</v>
      </c>
      <c r="AA67" s="145" t="s">
        <v>1425</v>
      </c>
      <c r="AB67" s="145" t="s">
        <v>412</v>
      </c>
      <c r="AC67" s="151" t="s">
        <v>761</v>
      </c>
      <c r="AD67" s="151"/>
      <c r="AE67" s="188"/>
      <c r="AF67" s="145" t="s">
        <v>3445</v>
      </c>
      <c r="AG67" s="151"/>
      <c r="AH67" s="151"/>
      <c r="AI67" s="151"/>
      <c r="AJ67" s="151"/>
      <c r="AK67" s="145" t="s">
        <v>314</v>
      </c>
      <c r="AL67" s="151"/>
      <c r="AM67" s="145" t="s">
        <v>889</v>
      </c>
      <c r="AN67" s="177">
        <v>45747</v>
      </c>
      <c r="AO67" s="177">
        <v>45747</v>
      </c>
      <c r="AP67" s="151"/>
      <c r="AQ67" s="146">
        <v>7787392.5499999998</v>
      </c>
      <c r="AR67" s="146">
        <v>1.012</v>
      </c>
      <c r="AS67" s="146">
        <v>1</v>
      </c>
      <c r="AT67" s="146">
        <v>7878.482</v>
      </c>
      <c r="AU67" s="186">
        <v>7878.4816810000002</v>
      </c>
      <c r="AV67" s="151"/>
      <c r="AW67" s="151"/>
      <c r="AX67" s="159"/>
      <c r="AY67" s="151"/>
      <c r="AZ67" s="148">
        <v>1</v>
      </c>
      <c r="BA67" s="149">
        <v>6.2199999999999998E-3</v>
      </c>
      <c r="BB67" s="196"/>
    </row>
    <row r="68" spans="1:54" x14ac:dyDescent="0.2">
      <c r="A68" s="144" t="s">
        <v>1217</v>
      </c>
      <c r="B68" s="145" t="s">
        <v>1217</v>
      </c>
      <c r="C68" s="151"/>
      <c r="D68" s="151"/>
      <c r="E68" s="151"/>
      <c r="F68" s="145" t="s">
        <v>3426</v>
      </c>
      <c r="G68" s="145" t="s">
        <v>1011</v>
      </c>
      <c r="H68" s="151"/>
      <c r="I68" s="145" t="s">
        <v>204</v>
      </c>
      <c r="J68" s="151"/>
      <c r="K68" s="145" t="s">
        <v>478</v>
      </c>
      <c r="L68" s="145" t="s">
        <v>339</v>
      </c>
      <c r="M68" s="145" t="s">
        <v>339</v>
      </c>
      <c r="N68" s="151"/>
      <c r="O68" s="145" t="s">
        <v>3287</v>
      </c>
      <c r="P68" s="145" t="s">
        <v>1547</v>
      </c>
      <c r="Q68" s="145" t="s">
        <v>413</v>
      </c>
      <c r="R68" s="145" t="s">
        <v>408</v>
      </c>
      <c r="S68" s="145" t="s">
        <v>1210</v>
      </c>
      <c r="T68" s="146">
        <v>1.6279999999999999</v>
      </c>
      <c r="U68" s="145" t="s">
        <v>314</v>
      </c>
      <c r="V68" s="148">
        <v>5.3999999999999999E-2</v>
      </c>
      <c r="W68" s="145"/>
      <c r="X68" s="151"/>
      <c r="Y68" s="151"/>
      <c r="Z68" s="148">
        <v>6.012E-2</v>
      </c>
      <c r="AA68" s="145" t="s">
        <v>1425</v>
      </c>
      <c r="AB68" s="145" t="s">
        <v>412</v>
      </c>
      <c r="AC68" s="151" t="s">
        <v>761</v>
      </c>
      <c r="AD68" s="151"/>
      <c r="AE68" s="188"/>
      <c r="AF68" s="145" t="s">
        <v>3445</v>
      </c>
      <c r="AG68" s="151"/>
      <c r="AH68" s="151"/>
      <c r="AI68" s="151"/>
      <c r="AJ68" s="151"/>
      <c r="AK68" s="145" t="s">
        <v>314</v>
      </c>
      <c r="AL68" s="151"/>
      <c r="AM68" s="145" t="s">
        <v>889</v>
      </c>
      <c r="AN68" s="177">
        <v>45747</v>
      </c>
      <c r="AO68" s="177">
        <v>45747</v>
      </c>
      <c r="AP68" s="151"/>
      <c r="AQ68" s="146">
        <v>100896790.90000001</v>
      </c>
      <c r="AR68" s="146">
        <v>1.016</v>
      </c>
      <c r="AS68" s="146">
        <v>1</v>
      </c>
      <c r="AT68" s="146">
        <v>102483.19100000001</v>
      </c>
      <c r="AU68" s="186">
        <v>102483.191143</v>
      </c>
      <c r="AV68" s="151"/>
      <c r="AW68" s="151"/>
      <c r="AX68" s="159"/>
      <c r="AY68" s="151"/>
      <c r="AZ68" s="148">
        <v>0.19431999999999999</v>
      </c>
      <c r="BA68" s="149">
        <v>4.2199999999999998E-3</v>
      </c>
      <c r="BB68" s="196"/>
    </row>
    <row r="69" spans="1:54" x14ac:dyDescent="0.2">
      <c r="A69" s="144" t="s">
        <v>1217</v>
      </c>
      <c r="B69" s="145" t="s">
        <v>1217</v>
      </c>
      <c r="C69" s="151"/>
      <c r="D69" s="151"/>
      <c r="E69" s="151"/>
      <c r="F69" s="145" t="s">
        <v>3288</v>
      </c>
      <c r="G69" s="145" t="s">
        <v>1012</v>
      </c>
      <c r="H69" s="145" t="s">
        <v>809</v>
      </c>
      <c r="I69" s="145" t="s">
        <v>204</v>
      </c>
      <c r="J69" s="151"/>
      <c r="K69" s="145" t="s">
        <v>477</v>
      </c>
      <c r="L69" s="145" t="s">
        <v>339</v>
      </c>
      <c r="M69" s="145" t="s">
        <v>338</v>
      </c>
      <c r="N69" s="151"/>
      <c r="O69" s="145" t="s">
        <v>3289</v>
      </c>
      <c r="P69" s="145" t="s">
        <v>3290</v>
      </c>
      <c r="Q69" s="145" t="s">
        <v>415</v>
      </c>
      <c r="R69" s="145" t="s">
        <v>408</v>
      </c>
      <c r="S69" s="145" t="s">
        <v>1210</v>
      </c>
      <c r="T69" s="146">
        <v>0.08</v>
      </c>
      <c r="U69" s="145" t="s">
        <v>823</v>
      </c>
      <c r="V69" s="148">
        <v>7.400000000000001E-2</v>
      </c>
      <c r="W69" s="145"/>
      <c r="X69" s="151"/>
      <c r="Y69" s="151"/>
      <c r="Z69" s="148">
        <v>8.0399999999999999E-2</v>
      </c>
      <c r="AA69" s="145" t="s">
        <v>3291</v>
      </c>
      <c r="AB69" s="145" t="s">
        <v>412</v>
      </c>
      <c r="AC69" s="151" t="s">
        <v>314</v>
      </c>
      <c r="AD69" s="151">
        <v>782791</v>
      </c>
      <c r="AE69" s="188">
        <v>0.43</v>
      </c>
      <c r="AF69" s="145" t="s">
        <v>3445</v>
      </c>
      <c r="AG69" s="151"/>
      <c r="AH69" s="151"/>
      <c r="AI69" s="151"/>
      <c r="AJ69" s="145" t="s">
        <v>338</v>
      </c>
      <c r="AK69" s="145" t="s">
        <v>886</v>
      </c>
      <c r="AL69" s="151"/>
      <c r="AM69" s="145" t="s">
        <v>889</v>
      </c>
      <c r="AN69" s="177">
        <v>45747</v>
      </c>
      <c r="AO69" s="177">
        <v>45747</v>
      </c>
      <c r="AP69" s="151"/>
      <c r="AQ69" s="146">
        <v>60256000</v>
      </c>
      <c r="AR69" s="146">
        <v>101.91</v>
      </c>
      <c r="AS69" s="146">
        <v>1</v>
      </c>
      <c r="AT69" s="146">
        <v>61406.89</v>
      </c>
      <c r="AU69" s="186">
        <v>61406.889600000002</v>
      </c>
      <c r="AV69" s="151"/>
      <c r="AW69" s="151"/>
      <c r="AX69" s="159"/>
      <c r="AY69" s="151"/>
      <c r="AZ69" s="148">
        <v>0.11643000000000001</v>
      </c>
      <c r="BA69" s="149">
        <v>2.5300000000000001E-3</v>
      </c>
      <c r="BB69" s="196"/>
    </row>
    <row r="70" spans="1:54" x14ac:dyDescent="0.2">
      <c r="A70" s="144" t="s">
        <v>1217</v>
      </c>
      <c r="B70" s="145" t="s">
        <v>1217</v>
      </c>
      <c r="C70" s="151"/>
      <c r="D70" s="151"/>
      <c r="E70" s="151"/>
      <c r="F70" s="145" t="s">
        <v>3292</v>
      </c>
      <c r="G70" s="145" t="s">
        <v>1012</v>
      </c>
      <c r="H70" s="151"/>
      <c r="I70" s="145" t="s">
        <v>204</v>
      </c>
      <c r="J70" s="151"/>
      <c r="K70" s="145" t="s">
        <v>485</v>
      </c>
      <c r="L70" s="145" t="s">
        <v>339</v>
      </c>
      <c r="M70" s="145" t="s">
        <v>338</v>
      </c>
      <c r="N70" s="151"/>
      <c r="O70" s="145" t="s">
        <v>3293</v>
      </c>
      <c r="P70" s="145" t="s">
        <v>1406</v>
      </c>
      <c r="Q70" s="145" t="s">
        <v>415</v>
      </c>
      <c r="R70" s="145" t="s">
        <v>408</v>
      </c>
      <c r="S70" s="145" t="s">
        <v>1210</v>
      </c>
      <c r="T70" s="146">
        <v>10.039999999999999</v>
      </c>
      <c r="U70" s="145" t="s">
        <v>824</v>
      </c>
      <c r="V70" s="148">
        <v>0.03</v>
      </c>
      <c r="W70" s="145"/>
      <c r="X70" s="151"/>
      <c r="Y70" s="151"/>
      <c r="Z70" s="148">
        <v>3.6700000000000003E-2</v>
      </c>
      <c r="AA70" s="145" t="s">
        <v>3294</v>
      </c>
      <c r="AB70" s="145" t="s">
        <v>412</v>
      </c>
      <c r="AC70" s="151" t="s">
        <v>773</v>
      </c>
      <c r="AD70" s="151"/>
      <c r="AE70" s="188">
        <v>0.75</v>
      </c>
      <c r="AF70" s="145" t="s">
        <v>3445</v>
      </c>
      <c r="AG70" s="151"/>
      <c r="AH70" s="151"/>
      <c r="AI70" s="151"/>
      <c r="AJ70" s="145" t="s">
        <v>338</v>
      </c>
      <c r="AK70" s="145" t="s">
        <v>886</v>
      </c>
      <c r="AL70" s="151"/>
      <c r="AM70" s="145" t="s">
        <v>889</v>
      </c>
      <c r="AN70" s="177">
        <v>45747</v>
      </c>
      <c r="AO70" s="177">
        <v>45747</v>
      </c>
      <c r="AP70" s="151"/>
      <c r="AQ70" s="146">
        <v>28574445.260000002</v>
      </c>
      <c r="AR70" s="146">
        <v>108.38</v>
      </c>
      <c r="AS70" s="146">
        <v>1</v>
      </c>
      <c r="AT70" s="146">
        <v>30968.984</v>
      </c>
      <c r="AU70" s="186">
        <v>30968.983773</v>
      </c>
      <c r="AV70" s="151"/>
      <c r="AW70" s="151"/>
      <c r="AX70" s="159"/>
      <c r="AY70" s="151"/>
      <c r="AZ70" s="148">
        <v>5.8720000000000001E-2</v>
      </c>
      <c r="BA70" s="149">
        <v>1.2700000000000001E-3</v>
      </c>
      <c r="BB70" s="196"/>
    </row>
    <row r="71" spans="1:54" x14ac:dyDescent="0.2">
      <c r="A71" s="144" t="s">
        <v>1217</v>
      </c>
      <c r="B71" s="145" t="s">
        <v>1217</v>
      </c>
      <c r="C71" s="151"/>
      <c r="D71" s="151"/>
      <c r="E71" s="151"/>
      <c r="F71" s="145" t="s">
        <v>3295</v>
      </c>
      <c r="G71" s="145" t="s">
        <v>1012</v>
      </c>
      <c r="H71" s="145" t="s">
        <v>3296</v>
      </c>
      <c r="I71" s="145" t="s">
        <v>204</v>
      </c>
      <c r="J71" s="151"/>
      <c r="K71" s="145" t="s">
        <v>447</v>
      </c>
      <c r="L71" s="145" t="s">
        <v>339</v>
      </c>
      <c r="M71" s="145" t="s">
        <v>338</v>
      </c>
      <c r="N71" s="151"/>
      <c r="O71" s="145" t="s">
        <v>3297</v>
      </c>
      <c r="P71" s="151"/>
      <c r="Q71" s="145" t="s">
        <v>410</v>
      </c>
      <c r="R71" s="151"/>
      <c r="S71" s="145" t="s">
        <v>1210</v>
      </c>
      <c r="T71" s="146">
        <v>1.62</v>
      </c>
      <c r="U71" s="145" t="s">
        <v>823</v>
      </c>
      <c r="V71" s="148">
        <v>0.09</v>
      </c>
      <c r="W71" s="145"/>
      <c r="X71" s="151"/>
      <c r="Y71" s="151"/>
      <c r="Z71" s="148">
        <v>7.2800000000000004E-2</v>
      </c>
      <c r="AA71" s="145" t="s">
        <v>3298</v>
      </c>
      <c r="AB71" s="145" t="s">
        <v>412</v>
      </c>
      <c r="AC71" s="151" t="s">
        <v>771</v>
      </c>
      <c r="AD71" s="151">
        <v>206802.164368</v>
      </c>
      <c r="AE71" s="188">
        <v>0.76</v>
      </c>
      <c r="AF71" s="145" t="s">
        <v>3445</v>
      </c>
      <c r="AG71" s="151"/>
      <c r="AH71" s="151"/>
      <c r="AI71" s="151"/>
      <c r="AJ71" s="145" t="s">
        <v>339</v>
      </c>
      <c r="AK71" s="145" t="s">
        <v>886</v>
      </c>
      <c r="AL71" s="151"/>
      <c r="AM71" s="145" t="s">
        <v>889</v>
      </c>
      <c r="AN71" s="177">
        <v>45747</v>
      </c>
      <c r="AO71" s="177">
        <v>45747</v>
      </c>
      <c r="AP71" s="151"/>
      <c r="AQ71" s="146">
        <v>21080372.920000002</v>
      </c>
      <c r="AR71" s="146">
        <v>102.79</v>
      </c>
      <c r="AS71" s="146">
        <v>1</v>
      </c>
      <c r="AT71" s="146">
        <v>21668.514999999999</v>
      </c>
      <c r="AU71" s="186">
        <v>21668.515324</v>
      </c>
      <c r="AV71" s="151"/>
      <c r="AW71" s="151"/>
      <c r="AX71" s="159"/>
      <c r="AY71" s="151"/>
      <c r="AZ71" s="148">
        <v>4.1090000000000002E-2</v>
      </c>
      <c r="BA71" s="149">
        <v>8.8999999999999995E-4</v>
      </c>
      <c r="BB71" s="196"/>
    </row>
    <row r="72" spans="1:54" x14ac:dyDescent="0.2">
      <c r="A72" s="144" t="s">
        <v>1217</v>
      </c>
      <c r="B72" s="145" t="s">
        <v>1217</v>
      </c>
      <c r="C72" s="151"/>
      <c r="D72" s="151"/>
      <c r="E72" s="151"/>
      <c r="F72" s="145" t="s">
        <v>3305</v>
      </c>
      <c r="G72" s="145" t="s">
        <v>1012</v>
      </c>
      <c r="H72" s="151"/>
      <c r="I72" s="145" t="s">
        <v>204</v>
      </c>
      <c r="J72" s="151"/>
      <c r="K72" s="145" t="s">
        <v>451</v>
      </c>
      <c r="L72" s="145" t="s">
        <v>339</v>
      </c>
      <c r="M72" s="145" t="s">
        <v>338</v>
      </c>
      <c r="N72" s="151"/>
      <c r="O72" s="145" t="s">
        <v>3306</v>
      </c>
      <c r="P72" s="151"/>
      <c r="Q72" s="145" t="s">
        <v>410</v>
      </c>
      <c r="R72" s="151"/>
      <c r="S72" s="145" t="s">
        <v>1211</v>
      </c>
      <c r="T72" s="146">
        <v>0.01</v>
      </c>
      <c r="U72" s="145" t="s">
        <v>314</v>
      </c>
      <c r="V72" s="145">
        <v>0</v>
      </c>
      <c r="W72" s="145"/>
      <c r="X72" s="151"/>
      <c r="Y72" s="151"/>
      <c r="Z72" s="148">
        <v>1E-4</v>
      </c>
      <c r="AA72" s="145" t="s">
        <v>3307</v>
      </c>
      <c r="AB72" s="145" t="s">
        <v>412</v>
      </c>
      <c r="AC72" s="151"/>
      <c r="AD72" s="151"/>
      <c r="AE72" s="188"/>
      <c r="AF72" s="151"/>
      <c r="AG72" s="151"/>
      <c r="AH72" s="151"/>
      <c r="AI72" s="151"/>
      <c r="AJ72" s="145" t="s">
        <v>338</v>
      </c>
      <c r="AK72" s="145" t="s">
        <v>885</v>
      </c>
      <c r="AL72" s="151"/>
      <c r="AM72" s="145" t="s">
        <v>889</v>
      </c>
      <c r="AN72" s="177">
        <v>45747</v>
      </c>
      <c r="AO72" s="177">
        <v>45747</v>
      </c>
      <c r="AP72" s="151"/>
      <c r="AQ72" s="146">
        <v>3477449.87</v>
      </c>
      <c r="AR72" s="146">
        <v>161.00200000000001</v>
      </c>
      <c r="AS72" s="146">
        <v>3.718</v>
      </c>
      <c r="AT72" s="146">
        <v>20816.178</v>
      </c>
      <c r="AU72" s="186">
        <v>5598.7568849999998</v>
      </c>
      <c r="AV72" s="151"/>
      <c r="AW72" s="151"/>
      <c r="AX72" s="159"/>
      <c r="AY72" s="151"/>
      <c r="AZ72" s="148">
        <v>3.9469999999999998E-2</v>
      </c>
      <c r="BA72" s="149">
        <v>8.5999999999999998E-4</v>
      </c>
      <c r="BB72" s="196"/>
    </row>
    <row r="73" spans="1:54" x14ac:dyDescent="0.2">
      <c r="A73" s="144" t="s">
        <v>1217</v>
      </c>
      <c r="B73" s="145" t="s">
        <v>1217</v>
      </c>
      <c r="C73" s="151"/>
      <c r="D73" s="151"/>
      <c r="E73" s="151"/>
      <c r="F73" s="145" t="s">
        <v>3310</v>
      </c>
      <c r="G73" s="145" t="s">
        <v>1012</v>
      </c>
      <c r="H73" s="151"/>
      <c r="I73" s="145" t="s">
        <v>204</v>
      </c>
      <c r="J73" s="151"/>
      <c r="K73" s="145" t="s">
        <v>485</v>
      </c>
      <c r="L73" s="145" t="s">
        <v>339</v>
      </c>
      <c r="M73" s="145" t="s">
        <v>338</v>
      </c>
      <c r="N73" s="151"/>
      <c r="O73" s="145" t="s">
        <v>3311</v>
      </c>
      <c r="P73" s="145" t="s">
        <v>1547</v>
      </c>
      <c r="Q73" s="145" t="s">
        <v>413</v>
      </c>
      <c r="R73" s="145" t="s">
        <v>408</v>
      </c>
      <c r="S73" s="145" t="s">
        <v>1210</v>
      </c>
      <c r="T73" s="146">
        <v>5.53</v>
      </c>
      <c r="U73" s="145" t="s">
        <v>824</v>
      </c>
      <c r="V73" s="148">
        <v>3.4099999999999998E-2</v>
      </c>
      <c r="W73" s="145"/>
      <c r="X73" s="151"/>
      <c r="Y73" s="151"/>
      <c r="Z73" s="148">
        <v>3.2500000000000001E-2</v>
      </c>
      <c r="AA73" s="145" t="s">
        <v>3312</v>
      </c>
      <c r="AB73" s="145" t="s">
        <v>412</v>
      </c>
      <c r="AC73" s="151"/>
      <c r="AD73" s="151"/>
      <c r="AE73" s="188"/>
      <c r="AF73" s="151" t="s">
        <v>3445</v>
      </c>
      <c r="AG73" s="151"/>
      <c r="AH73" s="151"/>
      <c r="AI73" s="151"/>
      <c r="AJ73" s="151"/>
      <c r="AK73" s="145" t="s">
        <v>886</v>
      </c>
      <c r="AL73" s="151"/>
      <c r="AM73" s="145" t="s">
        <v>889</v>
      </c>
      <c r="AN73" s="177">
        <v>45747</v>
      </c>
      <c r="AO73" s="177">
        <v>45747</v>
      </c>
      <c r="AP73" s="151"/>
      <c r="AQ73" s="146">
        <v>17276683.789999999</v>
      </c>
      <c r="AR73" s="146">
        <v>117.89</v>
      </c>
      <c r="AS73" s="146">
        <v>1</v>
      </c>
      <c r="AT73" s="146">
        <v>20367.483</v>
      </c>
      <c r="AU73" s="186">
        <v>20367.482519999998</v>
      </c>
      <c r="AV73" s="151"/>
      <c r="AW73" s="151"/>
      <c r="AX73" s="159"/>
      <c r="AY73" s="151"/>
      <c r="AZ73" s="148">
        <v>3.8620000000000002E-2</v>
      </c>
      <c r="BA73" s="149">
        <v>8.4000000000000003E-4</v>
      </c>
      <c r="BB73" s="196"/>
    </row>
    <row r="74" spans="1:54" x14ac:dyDescent="0.2">
      <c r="A74" s="144" t="s">
        <v>1217</v>
      </c>
      <c r="B74" s="145" t="s">
        <v>1217</v>
      </c>
      <c r="C74" s="151"/>
      <c r="D74" s="151"/>
      <c r="E74" s="151"/>
      <c r="F74" s="145" t="s">
        <v>3302</v>
      </c>
      <c r="G74" s="145" t="s">
        <v>1012</v>
      </c>
      <c r="H74" s="151"/>
      <c r="I74" s="145" t="s">
        <v>204</v>
      </c>
      <c r="J74" s="151"/>
      <c r="K74" s="145" t="s">
        <v>448</v>
      </c>
      <c r="L74" s="145" t="s">
        <v>339</v>
      </c>
      <c r="M74" s="145" t="s">
        <v>338</v>
      </c>
      <c r="N74" s="151"/>
      <c r="O74" s="145" t="s">
        <v>3303</v>
      </c>
      <c r="P74" s="151"/>
      <c r="Q74" s="145" t="s">
        <v>410</v>
      </c>
      <c r="R74" s="145" t="s">
        <v>410</v>
      </c>
      <c r="S74" s="145" t="s">
        <v>1210</v>
      </c>
      <c r="T74" s="146">
        <v>5.19</v>
      </c>
      <c r="U74" s="145" t="s">
        <v>823</v>
      </c>
      <c r="V74" s="148">
        <v>3.4759999999999999E-2</v>
      </c>
      <c r="W74" s="145"/>
      <c r="X74" s="151"/>
      <c r="Y74" s="151"/>
      <c r="Z74" s="148">
        <v>4.9599999999999998E-2</v>
      </c>
      <c r="AA74" s="145" t="s">
        <v>3304</v>
      </c>
      <c r="AB74" s="145" t="s">
        <v>412</v>
      </c>
      <c r="AC74" s="151"/>
      <c r="AD74" s="151"/>
      <c r="AE74" s="188"/>
      <c r="AF74" s="151" t="s">
        <v>3445</v>
      </c>
      <c r="AG74" s="151"/>
      <c r="AH74" s="151"/>
      <c r="AI74" s="151"/>
      <c r="AJ74" s="145" t="s">
        <v>339</v>
      </c>
      <c r="AK74" s="145" t="s">
        <v>886</v>
      </c>
      <c r="AL74" s="151"/>
      <c r="AM74" s="145" t="s">
        <v>889</v>
      </c>
      <c r="AN74" s="177">
        <v>45747</v>
      </c>
      <c r="AO74" s="177">
        <v>45747</v>
      </c>
      <c r="AP74" s="151"/>
      <c r="AQ74" s="146">
        <v>21445112.809999999</v>
      </c>
      <c r="AR74" s="146">
        <v>94.27</v>
      </c>
      <c r="AS74" s="146">
        <v>1</v>
      </c>
      <c r="AT74" s="146">
        <v>20216.308000000001</v>
      </c>
      <c r="AU74" s="186">
        <v>20216.307846</v>
      </c>
      <c r="AV74" s="151"/>
      <c r="AW74" s="151"/>
      <c r="AX74" s="159"/>
      <c r="AY74" s="151"/>
      <c r="AZ74" s="148">
        <v>3.8330000000000003E-2</v>
      </c>
      <c r="BA74" s="149">
        <v>8.3000000000000001E-4</v>
      </c>
      <c r="BB74" s="196"/>
    </row>
    <row r="75" spans="1:54" x14ac:dyDescent="0.2">
      <c r="A75" s="144" t="s">
        <v>1217</v>
      </c>
      <c r="B75" s="145" t="s">
        <v>1217</v>
      </c>
      <c r="C75" s="151"/>
      <c r="D75" s="151"/>
      <c r="E75" s="151"/>
      <c r="F75" s="145" t="s">
        <v>3299</v>
      </c>
      <c r="G75" s="145" t="s">
        <v>1012</v>
      </c>
      <c r="H75" s="151"/>
      <c r="I75" s="145" t="s">
        <v>204</v>
      </c>
      <c r="J75" s="151"/>
      <c r="K75" s="145" t="s">
        <v>440</v>
      </c>
      <c r="L75" s="145" t="s">
        <v>339</v>
      </c>
      <c r="M75" s="145" t="s">
        <v>338</v>
      </c>
      <c r="N75" s="151"/>
      <c r="O75" s="145" t="s">
        <v>3300</v>
      </c>
      <c r="P75" s="145" t="s">
        <v>1358</v>
      </c>
      <c r="Q75" s="145" t="s">
        <v>415</v>
      </c>
      <c r="R75" s="145" t="s">
        <v>408</v>
      </c>
      <c r="S75" s="145" t="s">
        <v>1210</v>
      </c>
      <c r="T75" s="146">
        <v>8.2899999999999991</v>
      </c>
      <c r="U75" s="145" t="s">
        <v>824</v>
      </c>
      <c r="V75" s="148">
        <v>0</v>
      </c>
      <c r="W75" s="145"/>
      <c r="X75" s="151"/>
      <c r="Y75" s="151"/>
      <c r="Z75" s="148">
        <v>3.2300000000000002E-2</v>
      </c>
      <c r="AA75" s="145" t="s">
        <v>3301</v>
      </c>
      <c r="AB75" s="145" t="s">
        <v>412</v>
      </c>
      <c r="AC75" s="151" t="s">
        <v>773</v>
      </c>
      <c r="AD75" s="151"/>
      <c r="AE75" s="188">
        <v>0.75</v>
      </c>
      <c r="AF75" s="145" t="s">
        <v>3445</v>
      </c>
      <c r="AG75" s="151"/>
      <c r="AH75" s="151"/>
      <c r="AI75" s="151"/>
      <c r="AJ75" s="145" t="s">
        <v>338</v>
      </c>
      <c r="AK75" s="145" t="s">
        <v>886</v>
      </c>
      <c r="AL75" s="151"/>
      <c r="AM75" s="145" t="s">
        <v>889</v>
      </c>
      <c r="AN75" s="177">
        <v>45747</v>
      </c>
      <c r="AO75" s="177">
        <v>45747</v>
      </c>
      <c r="AP75" s="151"/>
      <c r="AQ75" s="146">
        <v>19326652.329999998</v>
      </c>
      <c r="AR75" s="146">
        <v>103.1</v>
      </c>
      <c r="AS75" s="146">
        <v>1</v>
      </c>
      <c r="AT75" s="146">
        <v>19925.778999999999</v>
      </c>
      <c r="AU75" s="186">
        <v>19925.778552</v>
      </c>
      <c r="AV75" s="151"/>
      <c r="AW75" s="151"/>
      <c r="AX75" s="159"/>
      <c r="AY75" s="151"/>
      <c r="AZ75" s="148">
        <v>3.7780000000000001E-2</v>
      </c>
      <c r="BA75" s="149">
        <v>8.1999999999999998E-4</v>
      </c>
      <c r="BB75" s="196"/>
    </row>
    <row r="76" spans="1:54" x14ac:dyDescent="0.2">
      <c r="A76" s="144" t="s">
        <v>1217</v>
      </c>
      <c r="B76" s="145" t="s">
        <v>1217</v>
      </c>
      <c r="C76" s="151"/>
      <c r="D76" s="151"/>
      <c r="E76" s="151"/>
      <c r="F76" s="145" t="s">
        <v>3308</v>
      </c>
      <c r="G76" s="145" t="s">
        <v>1012</v>
      </c>
      <c r="H76" s="151"/>
      <c r="I76" s="145" t="s">
        <v>204</v>
      </c>
      <c r="J76" s="151"/>
      <c r="K76" s="145" t="s">
        <v>440</v>
      </c>
      <c r="L76" s="145" t="s">
        <v>339</v>
      </c>
      <c r="M76" s="145" t="s">
        <v>338</v>
      </c>
      <c r="N76" s="151"/>
      <c r="O76" s="145" t="s">
        <v>3309</v>
      </c>
      <c r="P76" s="145" t="s">
        <v>1406</v>
      </c>
      <c r="Q76" s="145" t="s">
        <v>415</v>
      </c>
      <c r="R76" s="145" t="s">
        <v>408</v>
      </c>
      <c r="S76" s="145" t="s">
        <v>1210</v>
      </c>
      <c r="T76" s="146">
        <v>3.63</v>
      </c>
      <c r="U76" s="145" t="s">
        <v>824</v>
      </c>
      <c r="V76" s="148">
        <v>0</v>
      </c>
      <c r="W76" s="145"/>
      <c r="X76" s="151"/>
      <c r="Y76" s="151"/>
      <c r="Z76" s="148">
        <v>2.9600000000000001E-2</v>
      </c>
      <c r="AA76" s="145" t="s">
        <v>1656</v>
      </c>
      <c r="AB76" s="145" t="s">
        <v>412</v>
      </c>
      <c r="AC76" s="151" t="s">
        <v>773</v>
      </c>
      <c r="AD76" s="151"/>
      <c r="AE76" s="188">
        <v>0.75</v>
      </c>
      <c r="AF76" s="145" t="s">
        <v>3445</v>
      </c>
      <c r="AG76" s="151"/>
      <c r="AH76" s="151"/>
      <c r="AI76" s="151"/>
      <c r="AJ76" s="145" t="s">
        <v>338</v>
      </c>
      <c r="AK76" s="145" t="s">
        <v>886</v>
      </c>
      <c r="AL76" s="151"/>
      <c r="AM76" s="145" t="s">
        <v>889</v>
      </c>
      <c r="AN76" s="177">
        <v>45747</v>
      </c>
      <c r="AO76" s="177">
        <v>45747</v>
      </c>
      <c r="AP76" s="151"/>
      <c r="AQ76" s="146">
        <v>16943921.73</v>
      </c>
      <c r="AR76" s="146">
        <v>117.35</v>
      </c>
      <c r="AS76" s="146">
        <v>1</v>
      </c>
      <c r="AT76" s="146">
        <v>19883.691999999999</v>
      </c>
      <c r="AU76" s="186">
        <v>19883.692149999999</v>
      </c>
      <c r="AV76" s="151"/>
      <c r="AW76" s="151"/>
      <c r="AX76" s="159"/>
      <c r="AY76" s="151"/>
      <c r="AZ76" s="148">
        <v>3.7699999999999997E-2</v>
      </c>
      <c r="BA76" s="149">
        <v>8.1999999999999998E-4</v>
      </c>
      <c r="BB76" s="196"/>
    </row>
    <row r="77" spans="1:54" x14ac:dyDescent="0.2">
      <c r="A77" s="144" t="s">
        <v>1217</v>
      </c>
      <c r="B77" s="145" t="s">
        <v>1217</v>
      </c>
      <c r="C77" s="151"/>
      <c r="D77" s="151"/>
      <c r="E77" s="151"/>
      <c r="F77" s="145" t="s">
        <v>3313</v>
      </c>
      <c r="G77" s="145" t="s">
        <v>1012</v>
      </c>
      <c r="H77" s="151"/>
      <c r="I77" s="145" t="s">
        <v>204</v>
      </c>
      <c r="J77" s="151"/>
      <c r="K77" s="145" t="s">
        <v>448</v>
      </c>
      <c r="L77" s="145" t="s">
        <v>339</v>
      </c>
      <c r="M77" s="145" t="s">
        <v>338</v>
      </c>
      <c r="N77" s="151"/>
      <c r="O77" s="145" t="s">
        <v>3303</v>
      </c>
      <c r="P77" s="151"/>
      <c r="Q77" s="145" t="s">
        <v>410</v>
      </c>
      <c r="R77" s="145" t="s">
        <v>410</v>
      </c>
      <c r="S77" s="145" t="s">
        <v>1210</v>
      </c>
      <c r="T77" s="146">
        <v>6.88</v>
      </c>
      <c r="U77" s="145" t="s">
        <v>823</v>
      </c>
      <c r="V77" s="148">
        <v>5.2089999999999997E-2</v>
      </c>
      <c r="W77" s="145"/>
      <c r="X77" s="151"/>
      <c r="Y77" s="151"/>
      <c r="Z77" s="148">
        <v>5.6800000000000003E-2</v>
      </c>
      <c r="AA77" s="145" t="s">
        <v>3314</v>
      </c>
      <c r="AB77" s="145" t="s">
        <v>412</v>
      </c>
      <c r="AC77" s="151"/>
      <c r="AD77" s="151"/>
      <c r="AE77" s="188"/>
      <c r="AF77" s="151" t="s">
        <v>3445</v>
      </c>
      <c r="AG77" s="151"/>
      <c r="AH77" s="151"/>
      <c r="AI77" s="151"/>
      <c r="AJ77" s="145" t="s">
        <v>339</v>
      </c>
      <c r="AK77" s="145" t="s">
        <v>886</v>
      </c>
      <c r="AL77" s="151"/>
      <c r="AM77" s="145" t="s">
        <v>889</v>
      </c>
      <c r="AN77" s="177">
        <v>45747</v>
      </c>
      <c r="AO77" s="177">
        <v>45747</v>
      </c>
      <c r="AP77" s="151"/>
      <c r="AQ77" s="146">
        <v>18496839.579999998</v>
      </c>
      <c r="AR77" s="146">
        <v>97.68</v>
      </c>
      <c r="AS77" s="146">
        <v>1</v>
      </c>
      <c r="AT77" s="146">
        <v>18067.713</v>
      </c>
      <c r="AU77" s="186">
        <v>18067.712901999999</v>
      </c>
      <c r="AV77" s="151"/>
      <c r="AW77" s="151"/>
      <c r="AX77" s="159"/>
      <c r="AY77" s="151"/>
      <c r="AZ77" s="148">
        <v>3.4259999999999999E-2</v>
      </c>
      <c r="BA77" s="149">
        <v>7.3999999999999999E-4</v>
      </c>
      <c r="BB77" s="196"/>
    </row>
    <row r="78" spans="1:54" x14ac:dyDescent="0.2">
      <c r="A78" s="144" t="s">
        <v>1217</v>
      </c>
      <c r="B78" s="145" t="s">
        <v>1217</v>
      </c>
      <c r="C78" s="151"/>
      <c r="D78" s="151"/>
      <c r="E78" s="151"/>
      <c r="F78" s="145" t="s">
        <v>3315</v>
      </c>
      <c r="G78" s="145" t="s">
        <v>1012</v>
      </c>
      <c r="H78" s="151"/>
      <c r="I78" s="145" t="s">
        <v>204</v>
      </c>
      <c r="J78" s="151"/>
      <c r="K78" s="145" t="s">
        <v>443</v>
      </c>
      <c r="L78" s="145" t="s">
        <v>339</v>
      </c>
      <c r="M78" s="145" t="s">
        <v>338</v>
      </c>
      <c r="N78" s="151"/>
      <c r="O78" s="145" t="s">
        <v>3316</v>
      </c>
      <c r="P78" s="151"/>
      <c r="Q78" s="145" t="s">
        <v>410</v>
      </c>
      <c r="R78" s="151"/>
      <c r="S78" s="145" t="s">
        <v>1210</v>
      </c>
      <c r="T78" s="146">
        <v>2.54</v>
      </c>
      <c r="U78" s="145" t="s">
        <v>823</v>
      </c>
      <c r="V78" s="148">
        <v>8.5000000000000006E-2</v>
      </c>
      <c r="W78" s="145"/>
      <c r="X78" s="151"/>
      <c r="Y78" s="151"/>
      <c r="Z78" s="148">
        <v>7.4999999999999997E-2</v>
      </c>
      <c r="AA78" s="145" t="s">
        <v>3317</v>
      </c>
      <c r="AB78" s="145" t="s">
        <v>412</v>
      </c>
      <c r="AC78" s="151" t="s">
        <v>748</v>
      </c>
      <c r="AD78" s="151">
        <v>705882.35294100002</v>
      </c>
      <c r="AE78" s="188">
        <v>0.17</v>
      </c>
      <c r="AF78" s="145" t="s">
        <v>3445</v>
      </c>
      <c r="AG78" s="151"/>
      <c r="AH78" s="151"/>
      <c r="AI78" s="151"/>
      <c r="AJ78" s="145" t="s">
        <v>338</v>
      </c>
      <c r="AK78" s="145" t="s">
        <v>886</v>
      </c>
      <c r="AL78" s="151"/>
      <c r="AM78" s="145" t="s">
        <v>889</v>
      </c>
      <c r="AN78" s="177">
        <v>45747</v>
      </c>
      <c r="AO78" s="177">
        <v>45747</v>
      </c>
      <c r="AP78" s="151"/>
      <c r="AQ78" s="146">
        <v>15064000</v>
      </c>
      <c r="AR78" s="146">
        <v>102.98</v>
      </c>
      <c r="AS78" s="146">
        <v>1</v>
      </c>
      <c r="AT78" s="146">
        <v>15512.906999999999</v>
      </c>
      <c r="AU78" s="186">
        <v>15512.9072</v>
      </c>
      <c r="AV78" s="151"/>
      <c r="AW78" s="151"/>
      <c r="AX78" s="159"/>
      <c r="AY78" s="151"/>
      <c r="AZ78" s="148">
        <v>2.9409999999999999E-2</v>
      </c>
      <c r="BA78" s="149">
        <v>6.4000000000000005E-4</v>
      </c>
      <c r="BB78" s="196"/>
    </row>
    <row r="79" spans="1:54" x14ac:dyDescent="0.2">
      <c r="A79" s="144" t="s">
        <v>1217</v>
      </c>
      <c r="B79" s="145" t="s">
        <v>1217</v>
      </c>
      <c r="C79" s="151"/>
      <c r="D79" s="151"/>
      <c r="E79" s="151"/>
      <c r="F79" s="145" t="s">
        <v>3318</v>
      </c>
      <c r="G79" s="145" t="s">
        <v>1012</v>
      </c>
      <c r="H79" s="151"/>
      <c r="I79" s="145" t="s">
        <v>204</v>
      </c>
      <c r="J79" s="151"/>
      <c r="K79" s="145" t="s">
        <v>484</v>
      </c>
      <c r="L79" s="145" t="s">
        <v>339</v>
      </c>
      <c r="M79" s="145" t="s">
        <v>338</v>
      </c>
      <c r="N79" s="151"/>
      <c r="O79" s="145" t="s">
        <v>3319</v>
      </c>
      <c r="P79" s="151"/>
      <c r="Q79" s="145" t="s">
        <v>410</v>
      </c>
      <c r="R79" s="151"/>
      <c r="S79" s="145" t="s">
        <v>1210</v>
      </c>
      <c r="T79" s="146">
        <v>4.58</v>
      </c>
      <c r="U79" s="145" t="s">
        <v>824</v>
      </c>
      <c r="V79" s="148">
        <v>0</v>
      </c>
      <c r="W79" s="145"/>
      <c r="X79" s="151"/>
      <c r="Y79" s="151"/>
      <c r="Z79" s="148">
        <v>3.2599999999999997E-2</v>
      </c>
      <c r="AA79" s="145" t="s">
        <v>1692</v>
      </c>
      <c r="AB79" s="145" t="s">
        <v>412</v>
      </c>
      <c r="AC79" s="151" t="s">
        <v>485</v>
      </c>
      <c r="AD79" s="151"/>
      <c r="AE79" s="188"/>
      <c r="AF79" s="145" t="s">
        <v>3445</v>
      </c>
      <c r="AG79" s="151"/>
      <c r="AH79" s="151"/>
      <c r="AI79" s="151"/>
      <c r="AJ79" s="151"/>
      <c r="AK79" s="145" t="s">
        <v>886</v>
      </c>
      <c r="AL79" s="151"/>
      <c r="AM79" s="145" t="s">
        <v>889</v>
      </c>
      <c r="AN79" s="177">
        <v>45747</v>
      </c>
      <c r="AO79" s="177">
        <v>45747</v>
      </c>
      <c r="AP79" s="151"/>
      <c r="AQ79" s="146">
        <v>11826293.439999999</v>
      </c>
      <c r="AR79" s="146">
        <v>116.48</v>
      </c>
      <c r="AS79" s="146">
        <v>1</v>
      </c>
      <c r="AT79" s="146">
        <v>13775.267</v>
      </c>
      <c r="AU79" s="186">
        <v>13775.266598999999</v>
      </c>
      <c r="AV79" s="151"/>
      <c r="AW79" s="151"/>
      <c r="AX79" s="159"/>
      <c r="AY79" s="151"/>
      <c r="AZ79" s="148">
        <v>2.6120000000000001E-2</v>
      </c>
      <c r="BA79" s="149">
        <v>5.6999999999999998E-4</v>
      </c>
      <c r="BB79" s="196"/>
    </row>
    <row r="80" spans="1:54" x14ac:dyDescent="0.2">
      <c r="A80" s="144" t="s">
        <v>1217</v>
      </c>
      <c r="B80" s="145" t="s">
        <v>1217</v>
      </c>
      <c r="C80" s="151"/>
      <c r="D80" s="151"/>
      <c r="E80" s="151"/>
      <c r="F80" s="145" t="s">
        <v>3320</v>
      </c>
      <c r="G80" s="145" t="s">
        <v>1012</v>
      </c>
      <c r="H80" s="151"/>
      <c r="I80" s="145" t="s">
        <v>204</v>
      </c>
      <c r="J80" s="151"/>
      <c r="K80" s="145" t="s">
        <v>448</v>
      </c>
      <c r="L80" s="145" t="s">
        <v>339</v>
      </c>
      <c r="M80" s="145" t="s">
        <v>338</v>
      </c>
      <c r="N80" s="151"/>
      <c r="O80" s="145" t="s">
        <v>3303</v>
      </c>
      <c r="P80" s="151"/>
      <c r="Q80" s="145" t="s">
        <v>410</v>
      </c>
      <c r="R80" s="145" t="s">
        <v>410</v>
      </c>
      <c r="S80" s="145" t="s">
        <v>1210</v>
      </c>
      <c r="T80" s="146">
        <v>7.48</v>
      </c>
      <c r="U80" s="145" t="s">
        <v>824</v>
      </c>
      <c r="V80" s="148">
        <v>1.7979999999999999E-2</v>
      </c>
      <c r="W80" s="145"/>
      <c r="X80" s="151"/>
      <c r="Y80" s="151"/>
      <c r="Z80" s="148">
        <v>2.5100000000000001E-2</v>
      </c>
      <c r="AA80" s="145" t="s">
        <v>3314</v>
      </c>
      <c r="AB80" s="145" t="s">
        <v>412</v>
      </c>
      <c r="AC80" s="151"/>
      <c r="AD80" s="151"/>
      <c r="AE80" s="188"/>
      <c r="AF80" s="151" t="s">
        <v>3445</v>
      </c>
      <c r="AG80" s="151"/>
      <c r="AH80" s="151"/>
      <c r="AI80" s="151"/>
      <c r="AJ80" s="145" t="s">
        <v>339</v>
      </c>
      <c r="AK80" s="145" t="s">
        <v>886</v>
      </c>
      <c r="AL80" s="151"/>
      <c r="AM80" s="145" t="s">
        <v>889</v>
      </c>
      <c r="AN80" s="177">
        <v>45747</v>
      </c>
      <c r="AO80" s="177">
        <v>45747</v>
      </c>
      <c r="AP80" s="151"/>
      <c r="AQ80" s="146">
        <v>9539279.6699999999</v>
      </c>
      <c r="AR80" s="146">
        <v>128.97</v>
      </c>
      <c r="AS80" s="146">
        <v>1</v>
      </c>
      <c r="AT80" s="146">
        <v>12302.808999999999</v>
      </c>
      <c r="AU80" s="186">
        <v>12302.80899</v>
      </c>
      <c r="AV80" s="151"/>
      <c r="AW80" s="151"/>
      <c r="AX80" s="159"/>
      <c r="AY80" s="151"/>
      <c r="AZ80" s="148">
        <v>2.333E-2</v>
      </c>
      <c r="BA80" s="149">
        <v>5.1000000000000004E-4</v>
      </c>
      <c r="BB80" s="196"/>
    </row>
    <row r="81" spans="1:54" x14ac:dyDescent="0.2">
      <c r="A81" s="144" t="s">
        <v>1217</v>
      </c>
      <c r="B81" s="145" t="s">
        <v>1217</v>
      </c>
      <c r="C81" s="151"/>
      <c r="D81" s="151"/>
      <c r="E81" s="151"/>
      <c r="F81" s="145" t="s">
        <v>3321</v>
      </c>
      <c r="G81" s="145" t="s">
        <v>1008</v>
      </c>
      <c r="H81" s="151"/>
      <c r="I81" s="145" t="s">
        <v>204</v>
      </c>
      <c r="J81" s="151"/>
      <c r="K81" s="145" t="s">
        <v>478</v>
      </c>
      <c r="L81" s="145" t="s">
        <v>339</v>
      </c>
      <c r="M81" s="145" t="s">
        <v>338</v>
      </c>
      <c r="N81" s="151"/>
      <c r="O81" s="145" t="s">
        <v>3322</v>
      </c>
      <c r="P81" s="151"/>
      <c r="Q81" s="145" t="s">
        <v>410</v>
      </c>
      <c r="R81" s="151"/>
      <c r="S81" s="145" t="s">
        <v>1210</v>
      </c>
      <c r="T81" s="146">
        <v>1.22</v>
      </c>
      <c r="U81" s="145" t="s">
        <v>824</v>
      </c>
      <c r="V81" s="148">
        <v>9.0440000000000006E-2</v>
      </c>
      <c r="W81" s="145"/>
      <c r="X81" s="151"/>
      <c r="Y81" s="151"/>
      <c r="Z81" s="148">
        <v>6.5600000000000006E-2</v>
      </c>
      <c r="AA81" s="145" t="s">
        <v>3323</v>
      </c>
      <c r="AB81" s="145" t="s">
        <v>412</v>
      </c>
      <c r="AC81" s="151" t="s">
        <v>762</v>
      </c>
      <c r="AD81" s="151">
        <v>78908</v>
      </c>
      <c r="AE81" s="188">
        <v>0.75</v>
      </c>
      <c r="AF81" s="145" t="s">
        <v>3445</v>
      </c>
      <c r="AG81" s="151"/>
      <c r="AH81" s="151"/>
      <c r="AI81" s="151"/>
      <c r="AJ81" s="151"/>
      <c r="AK81" s="145" t="s">
        <v>886</v>
      </c>
      <c r="AL81" s="151"/>
      <c r="AM81" s="145" t="s">
        <v>889</v>
      </c>
      <c r="AN81" s="177">
        <v>45747</v>
      </c>
      <c r="AO81" s="177">
        <v>45747</v>
      </c>
      <c r="AP81" s="151"/>
      <c r="AQ81" s="146">
        <v>10147193.34</v>
      </c>
      <c r="AR81" s="146">
        <v>113.05</v>
      </c>
      <c r="AS81" s="146">
        <v>1</v>
      </c>
      <c r="AT81" s="146">
        <v>11471.402</v>
      </c>
      <c r="AU81" s="186">
        <v>11471.402071</v>
      </c>
      <c r="AV81" s="151"/>
      <c r="AW81" s="151"/>
      <c r="AX81" s="159"/>
      <c r="AY81" s="151"/>
      <c r="AZ81" s="148">
        <v>2.1749999999999999E-2</v>
      </c>
      <c r="BA81" s="149">
        <v>4.6999999999999999E-4</v>
      </c>
      <c r="BB81" s="196"/>
    </row>
    <row r="82" spans="1:54" x14ac:dyDescent="0.2">
      <c r="A82" s="144" t="s">
        <v>1217</v>
      </c>
      <c r="B82" s="145" t="s">
        <v>1217</v>
      </c>
      <c r="C82" s="151"/>
      <c r="D82" s="151"/>
      <c r="E82" s="151"/>
      <c r="F82" s="145" t="s">
        <v>3324</v>
      </c>
      <c r="G82" s="145" t="s">
        <v>1012</v>
      </c>
      <c r="H82" s="145" t="s">
        <v>819</v>
      </c>
      <c r="I82" s="145" t="s">
        <v>204</v>
      </c>
      <c r="J82" s="151"/>
      <c r="K82" s="145" t="s">
        <v>478</v>
      </c>
      <c r="L82" s="145" t="s">
        <v>339</v>
      </c>
      <c r="M82" s="145" t="s">
        <v>338</v>
      </c>
      <c r="N82" s="151"/>
      <c r="O82" s="145" t="s">
        <v>3325</v>
      </c>
      <c r="P82" s="145" t="s">
        <v>3326</v>
      </c>
      <c r="Q82" s="145" t="s">
        <v>312</v>
      </c>
      <c r="R82" s="145" t="s">
        <v>408</v>
      </c>
      <c r="S82" s="145" t="s">
        <v>1210</v>
      </c>
      <c r="T82" s="146">
        <v>1.28</v>
      </c>
      <c r="U82" s="145" t="s">
        <v>823</v>
      </c>
      <c r="V82" s="148">
        <v>8.3000000000000004E-2</v>
      </c>
      <c r="W82" s="145"/>
      <c r="X82" s="151"/>
      <c r="Y82" s="151"/>
      <c r="Z82" s="148">
        <v>7.46E-2</v>
      </c>
      <c r="AA82" s="145" t="s">
        <v>3327</v>
      </c>
      <c r="AB82" s="145" t="s">
        <v>412</v>
      </c>
      <c r="AC82" s="151" t="s">
        <v>819</v>
      </c>
      <c r="AD82" s="151">
        <v>133333.33333333331</v>
      </c>
      <c r="AE82" s="188">
        <v>0.75</v>
      </c>
      <c r="AF82" s="145" t="s">
        <v>3445</v>
      </c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7">
        <v>45747</v>
      </c>
      <c r="AO82" s="177">
        <v>45747</v>
      </c>
      <c r="AP82" s="151"/>
      <c r="AQ82" s="146">
        <v>10042666.67</v>
      </c>
      <c r="AR82" s="146">
        <v>101.85</v>
      </c>
      <c r="AS82" s="146">
        <v>1</v>
      </c>
      <c r="AT82" s="146">
        <v>10228.456</v>
      </c>
      <c r="AU82" s="186">
        <v>10228.456003000001</v>
      </c>
      <c r="AV82" s="151"/>
      <c r="AW82" s="151"/>
      <c r="AX82" s="159"/>
      <c r="AY82" s="151"/>
      <c r="AZ82" s="148">
        <v>1.9390000000000001E-2</v>
      </c>
      <c r="BA82" s="149">
        <v>4.2000000000000002E-4</v>
      </c>
      <c r="BB82" s="196"/>
    </row>
    <row r="83" spans="1:54" x14ac:dyDescent="0.2">
      <c r="A83" s="144" t="s">
        <v>1217</v>
      </c>
      <c r="B83" s="145" t="s">
        <v>1217</v>
      </c>
      <c r="C83" s="151"/>
      <c r="D83" s="151"/>
      <c r="E83" s="151"/>
      <c r="F83" s="145" t="s">
        <v>3329</v>
      </c>
      <c r="G83" s="145" t="s">
        <v>1012</v>
      </c>
      <c r="H83" s="145" t="s">
        <v>784</v>
      </c>
      <c r="I83" s="145" t="s">
        <v>204</v>
      </c>
      <c r="J83" s="151"/>
      <c r="K83" s="145" t="s">
        <v>443</v>
      </c>
      <c r="L83" s="145" t="s">
        <v>339</v>
      </c>
      <c r="M83" s="145" t="s">
        <v>338</v>
      </c>
      <c r="N83" s="151"/>
      <c r="O83" s="145" t="s">
        <v>3330</v>
      </c>
      <c r="P83" s="151"/>
      <c r="Q83" s="145" t="s">
        <v>410</v>
      </c>
      <c r="R83" s="151"/>
      <c r="S83" s="145" t="s">
        <v>1210</v>
      </c>
      <c r="T83" s="146">
        <v>1.53</v>
      </c>
      <c r="U83" s="145" t="s">
        <v>823</v>
      </c>
      <c r="V83" s="148">
        <v>8.2500000000000004E-2</v>
      </c>
      <c r="W83" s="145"/>
      <c r="X83" s="151"/>
      <c r="Y83" s="151"/>
      <c r="Z83" s="148">
        <v>6.1199999999999997E-2</v>
      </c>
      <c r="AA83" s="145" t="s">
        <v>3331</v>
      </c>
      <c r="AB83" s="145" t="s">
        <v>412</v>
      </c>
      <c r="AC83" s="151" t="s">
        <v>771</v>
      </c>
      <c r="AD83" s="151">
        <v>227000</v>
      </c>
      <c r="AE83" s="188">
        <v>0.63</v>
      </c>
      <c r="AF83" s="145" t="s">
        <v>3445</v>
      </c>
      <c r="AG83" s="151"/>
      <c r="AH83" s="151"/>
      <c r="AI83" s="151"/>
      <c r="AJ83" s="145" t="s">
        <v>338</v>
      </c>
      <c r="AK83" s="145" t="s">
        <v>886</v>
      </c>
      <c r="AL83" s="151"/>
      <c r="AM83" s="145" t="s">
        <v>889</v>
      </c>
      <c r="AN83" s="177">
        <v>45747</v>
      </c>
      <c r="AO83" s="177">
        <v>45747</v>
      </c>
      <c r="AP83" s="151"/>
      <c r="AQ83" s="146">
        <v>8640786</v>
      </c>
      <c r="AR83" s="146">
        <v>105.2</v>
      </c>
      <c r="AS83" s="146">
        <v>1</v>
      </c>
      <c r="AT83" s="146">
        <v>9090.107</v>
      </c>
      <c r="AU83" s="186">
        <v>9090.1068720000003</v>
      </c>
      <c r="AV83" s="151"/>
      <c r="AW83" s="151"/>
      <c r="AX83" s="159"/>
      <c r="AY83" s="151"/>
      <c r="AZ83" s="148">
        <v>1.7239999999999998E-2</v>
      </c>
      <c r="BA83" s="149">
        <v>3.6999999999999999E-4</v>
      </c>
      <c r="BB83" s="196"/>
    </row>
    <row r="84" spans="1:54" x14ac:dyDescent="0.2">
      <c r="A84" s="144" t="s">
        <v>1217</v>
      </c>
      <c r="B84" s="145" t="s">
        <v>1217</v>
      </c>
      <c r="C84" s="151"/>
      <c r="D84" s="151"/>
      <c r="E84" s="151"/>
      <c r="F84" s="145" t="s">
        <v>3332</v>
      </c>
      <c r="G84" s="145" t="s">
        <v>1012</v>
      </c>
      <c r="H84" s="145" t="s">
        <v>801</v>
      </c>
      <c r="I84" s="145" t="s">
        <v>204</v>
      </c>
      <c r="J84" s="151"/>
      <c r="K84" s="145" t="s">
        <v>443</v>
      </c>
      <c r="L84" s="145" t="s">
        <v>339</v>
      </c>
      <c r="M84" s="145" t="s">
        <v>338</v>
      </c>
      <c r="N84" s="151"/>
      <c r="O84" s="145" t="s">
        <v>3333</v>
      </c>
      <c r="P84" s="151"/>
      <c r="Q84" s="145" t="s">
        <v>410</v>
      </c>
      <c r="R84" s="151"/>
      <c r="S84" s="145" t="s">
        <v>1210</v>
      </c>
      <c r="T84" s="146">
        <v>1.67</v>
      </c>
      <c r="U84" s="145" t="s">
        <v>824</v>
      </c>
      <c r="V84" s="148">
        <v>4.7500000000000001E-2</v>
      </c>
      <c r="W84" s="145"/>
      <c r="X84" s="151"/>
      <c r="Y84" s="151"/>
      <c r="Z84" s="148">
        <v>3.5499999999999997E-2</v>
      </c>
      <c r="AA84" s="145" t="s">
        <v>3298</v>
      </c>
      <c r="AB84" s="145" t="s">
        <v>412</v>
      </c>
      <c r="AC84" s="151" t="s">
        <v>771</v>
      </c>
      <c r="AD84" s="151">
        <v>269260.33899999998</v>
      </c>
      <c r="AE84" s="188">
        <v>0.17</v>
      </c>
      <c r="AF84" s="145" t="s">
        <v>3445</v>
      </c>
      <c r="AG84" s="151"/>
      <c r="AH84" s="151"/>
      <c r="AI84" s="151"/>
      <c r="AJ84" s="145" t="s">
        <v>339</v>
      </c>
      <c r="AK84" s="145" t="s">
        <v>886</v>
      </c>
      <c r="AL84" s="151"/>
      <c r="AM84" s="145" t="s">
        <v>889</v>
      </c>
      <c r="AN84" s="177">
        <v>45747</v>
      </c>
      <c r="AO84" s="177">
        <v>45747</v>
      </c>
      <c r="AP84" s="151"/>
      <c r="AQ84" s="146">
        <v>8158105.4199999999</v>
      </c>
      <c r="AR84" s="146">
        <v>108.1</v>
      </c>
      <c r="AS84" s="146">
        <v>1</v>
      </c>
      <c r="AT84" s="146">
        <v>8818.9120000000003</v>
      </c>
      <c r="AU84" s="186">
        <v>8818.9119590000009</v>
      </c>
      <c r="AV84" s="151"/>
      <c r="AW84" s="151"/>
      <c r="AX84" s="159"/>
      <c r="AY84" s="151"/>
      <c r="AZ84" s="148">
        <v>1.6719999999999999E-2</v>
      </c>
      <c r="BA84" s="149">
        <v>3.6000000000000002E-4</v>
      </c>
      <c r="BB84" s="196"/>
    </row>
    <row r="85" spans="1:54" x14ac:dyDescent="0.2">
      <c r="A85" s="144" t="s">
        <v>1217</v>
      </c>
      <c r="B85" s="145" t="s">
        <v>1217</v>
      </c>
      <c r="C85" s="151"/>
      <c r="D85" s="151"/>
      <c r="E85" s="151"/>
      <c r="F85" s="145" t="s">
        <v>3334</v>
      </c>
      <c r="G85" s="145" t="s">
        <v>1012</v>
      </c>
      <c r="H85" s="151"/>
      <c r="I85" s="145" t="s">
        <v>204</v>
      </c>
      <c r="J85" s="151"/>
      <c r="K85" s="145" t="s">
        <v>448</v>
      </c>
      <c r="L85" s="145" t="s">
        <v>339</v>
      </c>
      <c r="M85" s="145" t="s">
        <v>338</v>
      </c>
      <c r="N85" s="151"/>
      <c r="O85" s="145" t="s">
        <v>3303</v>
      </c>
      <c r="P85" s="151"/>
      <c r="Q85" s="145" t="s">
        <v>410</v>
      </c>
      <c r="R85" s="145" t="s">
        <v>410</v>
      </c>
      <c r="S85" s="145" t="s">
        <v>1210</v>
      </c>
      <c r="T85" s="146">
        <v>6.19</v>
      </c>
      <c r="U85" s="145" t="s">
        <v>824</v>
      </c>
      <c r="V85" s="148">
        <v>2.35E-2</v>
      </c>
      <c r="W85" s="145"/>
      <c r="X85" s="151"/>
      <c r="Y85" s="151"/>
      <c r="Z85" s="148">
        <v>2.46E-2</v>
      </c>
      <c r="AA85" s="145" t="s">
        <v>3314</v>
      </c>
      <c r="AB85" s="145" t="s">
        <v>412</v>
      </c>
      <c r="AC85" s="151"/>
      <c r="AD85" s="151"/>
      <c r="AE85" s="188"/>
      <c r="AF85" s="151"/>
      <c r="AG85" s="151"/>
      <c r="AH85" s="151"/>
      <c r="AI85" s="151"/>
      <c r="AJ85" s="145" t="s">
        <v>339</v>
      </c>
      <c r="AK85" s="145" t="s">
        <v>886</v>
      </c>
      <c r="AL85" s="151"/>
      <c r="AM85" s="145" t="s">
        <v>889</v>
      </c>
      <c r="AN85" s="177">
        <v>45747</v>
      </c>
      <c r="AO85" s="177">
        <v>45747</v>
      </c>
      <c r="AP85" s="151"/>
      <c r="AQ85" s="146">
        <v>6069410.1699999999</v>
      </c>
      <c r="AR85" s="146">
        <v>116.95</v>
      </c>
      <c r="AS85" s="146">
        <v>1</v>
      </c>
      <c r="AT85" s="146">
        <v>7098.1750000000002</v>
      </c>
      <c r="AU85" s="186">
        <v>7098.1751940000004</v>
      </c>
      <c r="AV85" s="151"/>
      <c r="AW85" s="151"/>
      <c r="AX85" s="159"/>
      <c r="AY85" s="151"/>
      <c r="AZ85" s="148">
        <v>1.346E-2</v>
      </c>
      <c r="BA85" s="149">
        <v>2.9E-4</v>
      </c>
      <c r="BB85" s="196"/>
    </row>
    <row r="86" spans="1:54" x14ac:dyDescent="0.2">
      <c r="A86" s="144" t="s">
        <v>1217</v>
      </c>
      <c r="B86" s="145" t="s">
        <v>1217</v>
      </c>
      <c r="C86" s="151"/>
      <c r="D86" s="151"/>
      <c r="E86" s="151"/>
      <c r="F86" s="145" t="s">
        <v>3335</v>
      </c>
      <c r="G86" s="145" t="s">
        <v>1012</v>
      </c>
      <c r="H86" s="145" t="s">
        <v>812</v>
      </c>
      <c r="I86" s="145" t="s">
        <v>204</v>
      </c>
      <c r="J86" s="151"/>
      <c r="K86" s="145" t="s">
        <v>454</v>
      </c>
      <c r="L86" s="145" t="s">
        <v>339</v>
      </c>
      <c r="M86" s="145" t="s">
        <v>338</v>
      </c>
      <c r="N86" s="151"/>
      <c r="O86" s="145" t="s">
        <v>3336</v>
      </c>
      <c r="P86" s="145" t="s">
        <v>1439</v>
      </c>
      <c r="Q86" s="145" t="s">
        <v>413</v>
      </c>
      <c r="R86" s="145" t="s">
        <v>408</v>
      </c>
      <c r="S86" s="145" t="s">
        <v>1211</v>
      </c>
      <c r="T86" s="146">
        <v>1.86</v>
      </c>
      <c r="U86" s="145" t="s">
        <v>823</v>
      </c>
      <c r="V86" s="148">
        <v>9.4299999999999995E-2</v>
      </c>
      <c r="W86" s="145"/>
      <c r="X86" s="151"/>
      <c r="Y86" s="151"/>
      <c r="Z86" s="148">
        <v>6.93E-2</v>
      </c>
      <c r="AA86" s="145" t="s">
        <v>1401</v>
      </c>
      <c r="AB86" s="145" t="s">
        <v>412</v>
      </c>
      <c r="AC86" s="151"/>
      <c r="AD86" s="151"/>
      <c r="AE86" s="188"/>
      <c r="AF86" s="151"/>
      <c r="AG86" s="151"/>
      <c r="AH86" s="151"/>
      <c r="AI86" s="151"/>
      <c r="AJ86" s="145" t="s">
        <v>339</v>
      </c>
      <c r="AK86" s="145" t="s">
        <v>885</v>
      </c>
      <c r="AL86" s="151"/>
      <c r="AM86" s="145" t="s">
        <v>889</v>
      </c>
      <c r="AN86" s="177">
        <v>44861</v>
      </c>
      <c r="AO86" s="177">
        <v>44861</v>
      </c>
      <c r="AP86" s="151"/>
      <c r="AQ86" s="146">
        <v>1671138</v>
      </c>
      <c r="AR86" s="146">
        <v>100</v>
      </c>
      <c r="AS86" s="146">
        <v>3.718</v>
      </c>
      <c r="AT86" s="146">
        <v>6213.2910000000002</v>
      </c>
      <c r="AU86" s="186">
        <v>1671.1379999999999</v>
      </c>
      <c r="AV86" s="151"/>
      <c r="AW86" s="151"/>
      <c r="AX86" s="159"/>
      <c r="AY86" s="151"/>
      <c r="AZ86" s="148">
        <v>1.1780000000000001E-2</v>
      </c>
      <c r="BA86" s="149">
        <v>2.5999999999999998E-4</v>
      </c>
      <c r="BB86" s="196"/>
    </row>
    <row r="87" spans="1:54" x14ac:dyDescent="0.2">
      <c r="A87" s="144" t="s">
        <v>1217</v>
      </c>
      <c r="B87" s="145" t="s">
        <v>1217</v>
      </c>
      <c r="C87" s="151"/>
      <c r="D87" s="151"/>
      <c r="E87" s="151"/>
      <c r="F87" s="145" t="s">
        <v>3337</v>
      </c>
      <c r="G87" s="145" t="s">
        <v>1012</v>
      </c>
      <c r="H87" s="151"/>
      <c r="I87" s="145" t="s">
        <v>204</v>
      </c>
      <c r="J87" s="151"/>
      <c r="K87" s="145" t="s">
        <v>448</v>
      </c>
      <c r="L87" s="145" t="s">
        <v>339</v>
      </c>
      <c r="M87" s="145" t="s">
        <v>338</v>
      </c>
      <c r="N87" s="151"/>
      <c r="O87" s="145" t="s">
        <v>3303</v>
      </c>
      <c r="P87" s="151"/>
      <c r="Q87" s="145" t="s">
        <v>410</v>
      </c>
      <c r="R87" s="145" t="s">
        <v>410</v>
      </c>
      <c r="S87" s="145" t="s">
        <v>1210</v>
      </c>
      <c r="T87" s="146">
        <v>6.18</v>
      </c>
      <c r="U87" s="145" t="s">
        <v>823</v>
      </c>
      <c r="V87" s="148">
        <v>3.2059999999999998E-2</v>
      </c>
      <c r="W87" s="145"/>
      <c r="X87" s="151"/>
      <c r="Y87" s="151"/>
      <c r="Z87" s="148">
        <v>6.0999999999999999E-2</v>
      </c>
      <c r="AA87" s="145" t="s">
        <v>3314</v>
      </c>
      <c r="AB87" s="145" t="s">
        <v>412</v>
      </c>
      <c r="AC87" s="151"/>
      <c r="AD87" s="151"/>
      <c r="AE87" s="188"/>
      <c r="AF87" s="151" t="s">
        <v>3445</v>
      </c>
      <c r="AG87" s="151"/>
      <c r="AH87" s="151"/>
      <c r="AI87" s="151"/>
      <c r="AJ87" s="145" t="s">
        <v>339</v>
      </c>
      <c r="AK87" s="145" t="s">
        <v>886</v>
      </c>
      <c r="AL87" s="151"/>
      <c r="AM87" s="145" t="s">
        <v>889</v>
      </c>
      <c r="AN87" s="177">
        <v>45747</v>
      </c>
      <c r="AO87" s="177">
        <v>45747</v>
      </c>
      <c r="AP87" s="151"/>
      <c r="AQ87" s="146">
        <v>4648420.3899999997</v>
      </c>
      <c r="AR87" s="146">
        <v>120.6</v>
      </c>
      <c r="AS87" s="146">
        <v>1</v>
      </c>
      <c r="AT87" s="146">
        <v>5605.9949999999999</v>
      </c>
      <c r="AU87" s="186">
        <v>5605.9949900000001</v>
      </c>
      <c r="AV87" s="151"/>
      <c r="AW87" s="151"/>
      <c r="AX87" s="159"/>
      <c r="AY87" s="151"/>
      <c r="AZ87" s="148">
        <v>1.0630000000000001E-2</v>
      </c>
      <c r="BA87" s="149">
        <v>2.3000000000000001E-4</v>
      </c>
      <c r="BB87" s="196"/>
    </row>
    <row r="88" spans="1:54" x14ac:dyDescent="0.2">
      <c r="A88" s="144" t="s">
        <v>1217</v>
      </c>
      <c r="B88" s="145" t="s">
        <v>1217</v>
      </c>
      <c r="C88" s="151"/>
      <c r="D88" s="151"/>
      <c r="E88" s="151"/>
      <c r="F88" s="145" t="s">
        <v>3338</v>
      </c>
      <c r="G88" s="145" t="s">
        <v>1012</v>
      </c>
      <c r="H88" s="151"/>
      <c r="I88" s="145" t="s">
        <v>204</v>
      </c>
      <c r="J88" s="151"/>
      <c r="K88" s="145" t="s">
        <v>440</v>
      </c>
      <c r="L88" s="145" t="s">
        <v>339</v>
      </c>
      <c r="M88" s="145" t="s">
        <v>338</v>
      </c>
      <c r="N88" s="151"/>
      <c r="O88" s="145" t="s">
        <v>3339</v>
      </c>
      <c r="P88" s="145" t="s">
        <v>1358</v>
      </c>
      <c r="Q88" s="145" t="s">
        <v>415</v>
      </c>
      <c r="R88" s="145" t="s">
        <v>408</v>
      </c>
      <c r="S88" s="145" t="s">
        <v>1211</v>
      </c>
      <c r="T88" s="146">
        <v>0.98</v>
      </c>
      <c r="U88" s="145" t="s">
        <v>823</v>
      </c>
      <c r="V88" s="148">
        <v>0</v>
      </c>
      <c r="W88" s="145"/>
      <c r="X88" s="151"/>
      <c r="Y88" s="151"/>
      <c r="Z88" s="148">
        <v>8.4699999999999998E-2</v>
      </c>
      <c r="AA88" s="145" t="s">
        <v>1425</v>
      </c>
      <c r="AB88" s="145" t="s">
        <v>412</v>
      </c>
      <c r="AC88" s="151" t="s">
        <v>764</v>
      </c>
      <c r="AD88" s="151"/>
      <c r="AE88" s="188">
        <v>0.35</v>
      </c>
      <c r="AF88" s="145" t="s">
        <v>3445</v>
      </c>
      <c r="AG88" s="151"/>
      <c r="AH88" s="151"/>
      <c r="AI88" s="151"/>
      <c r="AJ88" s="145" t="s">
        <v>338</v>
      </c>
      <c r="AK88" s="145" t="s">
        <v>886</v>
      </c>
      <c r="AL88" s="151"/>
      <c r="AM88" s="145" t="s">
        <v>889</v>
      </c>
      <c r="AN88" s="177">
        <v>45747</v>
      </c>
      <c r="AO88" s="177">
        <v>45747</v>
      </c>
      <c r="AP88" s="151"/>
      <c r="AQ88" s="146">
        <v>1180666.95</v>
      </c>
      <c r="AR88" s="146">
        <v>100.01</v>
      </c>
      <c r="AS88" s="146">
        <v>3.718</v>
      </c>
      <c r="AT88" s="146">
        <v>4390.1589999999997</v>
      </c>
      <c r="AU88" s="186">
        <v>1180.7850169999999</v>
      </c>
      <c r="AV88" s="151"/>
      <c r="AW88" s="151"/>
      <c r="AX88" s="159"/>
      <c r="AY88" s="151"/>
      <c r="AZ88" s="148">
        <v>8.3199999999999993E-3</v>
      </c>
      <c r="BA88" s="149">
        <v>1.8000000000000001E-4</v>
      </c>
      <c r="BB88" s="196"/>
    </row>
    <row r="89" spans="1:54" x14ac:dyDescent="0.2">
      <c r="A89" s="144" t="s">
        <v>1217</v>
      </c>
      <c r="B89" s="145" t="s">
        <v>1217</v>
      </c>
      <c r="C89" s="151"/>
      <c r="D89" s="151"/>
      <c r="E89" s="151"/>
      <c r="F89" s="145" t="s">
        <v>3340</v>
      </c>
      <c r="G89" s="145" t="s">
        <v>1012</v>
      </c>
      <c r="H89" s="145" t="s">
        <v>3296</v>
      </c>
      <c r="I89" s="145" t="s">
        <v>204</v>
      </c>
      <c r="J89" s="151"/>
      <c r="K89" s="145" t="s">
        <v>447</v>
      </c>
      <c r="L89" s="145" t="s">
        <v>339</v>
      </c>
      <c r="M89" s="145" t="s">
        <v>338</v>
      </c>
      <c r="N89" s="151"/>
      <c r="O89" s="145" t="s">
        <v>3272</v>
      </c>
      <c r="P89" s="151"/>
      <c r="Q89" s="145" t="s">
        <v>410</v>
      </c>
      <c r="R89" s="151"/>
      <c r="S89" s="145" t="s">
        <v>1210</v>
      </c>
      <c r="T89" s="146">
        <v>0.78</v>
      </c>
      <c r="U89" s="145" t="s">
        <v>823</v>
      </c>
      <c r="V89" s="148">
        <v>0.09</v>
      </c>
      <c r="W89" s="145"/>
      <c r="X89" s="151"/>
      <c r="Y89" s="151"/>
      <c r="Z89" s="148">
        <v>9.8900000000000002E-2</v>
      </c>
      <c r="AA89" s="145" t="s">
        <v>3341</v>
      </c>
      <c r="AB89" s="145" t="s">
        <v>412</v>
      </c>
      <c r="AC89" s="151" t="s">
        <v>771</v>
      </c>
      <c r="AD89" s="151">
        <v>413000</v>
      </c>
      <c r="AE89" s="188">
        <v>0.17</v>
      </c>
      <c r="AF89" s="145" t="s">
        <v>3445</v>
      </c>
      <c r="AG89" s="151"/>
      <c r="AH89" s="151"/>
      <c r="AI89" s="151"/>
      <c r="AJ89" s="145" t="s">
        <v>339</v>
      </c>
      <c r="AK89" s="145" t="s">
        <v>886</v>
      </c>
      <c r="AL89" s="151"/>
      <c r="AM89" s="145" t="s">
        <v>889</v>
      </c>
      <c r="AN89" s="177">
        <v>45747</v>
      </c>
      <c r="AO89" s="177">
        <v>45747</v>
      </c>
      <c r="AP89" s="151"/>
      <c r="AQ89" s="146">
        <v>3216877</v>
      </c>
      <c r="AR89" s="146">
        <v>101.42</v>
      </c>
      <c r="AS89" s="146">
        <v>1</v>
      </c>
      <c r="AT89" s="146">
        <v>3262.5569999999998</v>
      </c>
      <c r="AU89" s="186">
        <v>3262.5566530000001</v>
      </c>
      <c r="AV89" s="151"/>
      <c r="AW89" s="151"/>
      <c r="AX89" s="159"/>
      <c r="AY89" s="151"/>
      <c r="AZ89" s="148">
        <v>6.1900000000000002E-3</v>
      </c>
      <c r="BA89" s="149">
        <v>1.2999999999999999E-4</v>
      </c>
      <c r="BB89" s="196"/>
    </row>
    <row r="90" spans="1:54" x14ac:dyDescent="0.2">
      <c r="A90" s="144" t="s">
        <v>1217</v>
      </c>
      <c r="B90" s="145" t="s">
        <v>1217</v>
      </c>
      <c r="C90" s="151"/>
      <c r="D90" s="151"/>
      <c r="E90" s="151"/>
      <c r="F90" s="145" t="s">
        <v>3342</v>
      </c>
      <c r="G90" s="145" t="s">
        <v>1012</v>
      </c>
      <c r="H90" s="151"/>
      <c r="I90" s="145" t="s">
        <v>204</v>
      </c>
      <c r="J90" s="151"/>
      <c r="K90" s="145" t="s">
        <v>440</v>
      </c>
      <c r="L90" s="145" t="s">
        <v>339</v>
      </c>
      <c r="M90" s="145" t="s">
        <v>338</v>
      </c>
      <c r="N90" s="151"/>
      <c r="O90" s="145" t="s">
        <v>3343</v>
      </c>
      <c r="P90" s="145" t="s">
        <v>1433</v>
      </c>
      <c r="Q90" s="145" t="s">
        <v>415</v>
      </c>
      <c r="R90" s="145" t="s">
        <v>408</v>
      </c>
      <c r="S90" s="145" t="s">
        <v>1210</v>
      </c>
      <c r="T90" s="146">
        <v>8.06</v>
      </c>
      <c r="U90" s="145" t="s">
        <v>824</v>
      </c>
      <c r="V90" s="148">
        <v>0</v>
      </c>
      <c r="W90" s="145"/>
      <c r="X90" s="151"/>
      <c r="Y90" s="151"/>
      <c r="Z90" s="148">
        <v>3.4299999999999997E-2</v>
      </c>
      <c r="AA90" s="145" t="s">
        <v>3301</v>
      </c>
      <c r="AB90" s="145" t="s">
        <v>412</v>
      </c>
      <c r="AC90" s="151" t="s">
        <v>773</v>
      </c>
      <c r="AD90" s="151"/>
      <c r="AE90" s="188">
        <v>0.75</v>
      </c>
      <c r="AF90" s="145" t="s">
        <v>3445</v>
      </c>
      <c r="AG90" s="151"/>
      <c r="AH90" s="151"/>
      <c r="AI90" s="151"/>
      <c r="AJ90" s="145" t="s">
        <v>338</v>
      </c>
      <c r="AK90" s="145" t="s">
        <v>886</v>
      </c>
      <c r="AL90" s="151"/>
      <c r="AM90" s="145" t="s">
        <v>889</v>
      </c>
      <c r="AN90" s="177">
        <v>45747</v>
      </c>
      <c r="AO90" s="177">
        <v>45747</v>
      </c>
      <c r="AP90" s="151"/>
      <c r="AQ90" s="146">
        <v>3061219.08</v>
      </c>
      <c r="AR90" s="146">
        <v>105.13</v>
      </c>
      <c r="AS90" s="146">
        <v>1</v>
      </c>
      <c r="AT90" s="146">
        <v>3218.26</v>
      </c>
      <c r="AU90" s="186">
        <v>3218.2596189999999</v>
      </c>
      <c r="AV90" s="151"/>
      <c r="AW90" s="151"/>
      <c r="AX90" s="159"/>
      <c r="AY90" s="151"/>
      <c r="AZ90" s="148">
        <v>6.1000000000000004E-3</v>
      </c>
      <c r="BA90" s="149">
        <v>1.2999999999999999E-4</v>
      </c>
      <c r="BB90" s="196"/>
    </row>
    <row r="91" spans="1:54" x14ac:dyDescent="0.2">
      <c r="A91" s="144" t="s">
        <v>1217</v>
      </c>
      <c r="B91" s="145" t="s">
        <v>1217</v>
      </c>
      <c r="C91" s="151"/>
      <c r="D91" s="151"/>
      <c r="E91" s="151"/>
      <c r="F91" s="145" t="s">
        <v>3344</v>
      </c>
      <c r="G91" s="145" t="s">
        <v>1012</v>
      </c>
      <c r="H91" s="145" t="s">
        <v>784</v>
      </c>
      <c r="I91" s="145" t="s">
        <v>204</v>
      </c>
      <c r="J91" s="151"/>
      <c r="K91" s="145" t="s">
        <v>443</v>
      </c>
      <c r="L91" s="145" t="s">
        <v>339</v>
      </c>
      <c r="M91" s="145" t="s">
        <v>338</v>
      </c>
      <c r="N91" s="151"/>
      <c r="O91" s="145" t="s">
        <v>3330</v>
      </c>
      <c r="P91" s="151"/>
      <c r="Q91" s="145" t="s">
        <v>410</v>
      </c>
      <c r="R91" s="151"/>
      <c r="S91" s="145" t="s">
        <v>1210</v>
      </c>
      <c r="T91" s="146">
        <v>1.53</v>
      </c>
      <c r="U91" s="145" t="s">
        <v>823</v>
      </c>
      <c r="V91" s="148">
        <v>8.2500000000000004E-2</v>
      </c>
      <c r="W91" s="145"/>
      <c r="X91" s="151"/>
      <c r="Y91" s="151"/>
      <c r="Z91" s="148">
        <v>6.0999999999999999E-2</v>
      </c>
      <c r="AA91" s="145" t="s">
        <v>3331</v>
      </c>
      <c r="AB91" s="145" t="s">
        <v>412</v>
      </c>
      <c r="AC91" s="151" t="s">
        <v>771</v>
      </c>
      <c r="AD91" s="151">
        <v>227000</v>
      </c>
      <c r="AE91" s="188">
        <v>0.63</v>
      </c>
      <c r="AF91" s="145" t="s">
        <v>3445</v>
      </c>
      <c r="AG91" s="151"/>
      <c r="AH91" s="151"/>
      <c r="AI91" s="151"/>
      <c r="AJ91" s="145" t="s">
        <v>338</v>
      </c>
      <c r="AK91" s="145" t="s">
        <v>886</v>
      </c>
      <c r="AL91" s="151"/>
      <c r="AM91" s="145" t="s">
        <v>889</v>
      </c>
      <c r="AN91" s="177">
        <v>45747</v>
      </c>
      <c r="AO91" s="177">
        <v>45747</v>
      </c>
      <c r="AP91" s="151"/>
      <c r="AQ91" s="146">
        <v>2527705</v>
      </c>
      <c r="AR91" s="146">
        <v>105.23</v>
      </c>
      <c r="AS91" s="146">
        <v>1</v>
      </c>
      <c r="AT91" s="146">
        <v>2659.904</v>
      </c>
      <c r="AU91" s="186">
        <v>2659.9039720000001</v>
      </c>
      <c r="AV91" s="151"/>
      <c r="AW91" s="151"/>
      <c r="AX91" s="159"/>
      <c r="AY91" s="151"/>
      <c r="AZ91" s="148">
        <v>5.0400000000000002E-3</v>
      </c>
      <c r="BA91" s="149">
        <v>1.1E-4</v>
      </c>
      <c r="BB91" s="196"/>
    </row>
    <row r="92" spans="1:54" x14ac:dyDescent="0.2">
      <c r="A92" s="144" t="s">
        <v>1217</v>
      </c>
      <c r="B92" s="145" t="s">
        <v>1217</v>
      </c>
      <c r="C92" s="151"/>
      <c r="D92" s="151"/>
      <c r="E92" s="151"/>
      <c r="F92" s="145" t="s">
        <v>3345</v>
      </c>
      <c r="G92" s="145" t="s">
        <v>1012</v>
      </c>
      <c r="H92" s="151"/>
      <c r="I92" s="145" t="s">
        <v>204</v>
      </c>
      <c r="J92" s="151"/>
      <c r="K92" s="145" t="s">
        <v>440</v>
      </c>
      <c r="L92" s="145" t="s">
        <v>339</v>
      </c>
      <c r="M92" s="145" t="s">
        <v>338</v>
      </c>
      <c r="N92" s="151"/>
      <c r="O92" s="145" t="s">
        <v>3346</v>
      </c>
      <c r="P92" s="145" t="s">
        <v>1433</v>
      </c>
      <c r="Q92" s="145" t="s">
        <v>415</v>
      </c>
      <c r="R92" s="145" t="s">
        <v>408</v>
      </c>
      <c r="S92" s="145" t="s">
        <v>1210</v>
      </c>
      <c r="T92" s="146">
        <v>8.23</v>
      </c>
      <c r="U92" s="145" t="s">
        <v>824</v>
      </c>
      <c r="V92" s="148">
        <v>0</v>
      </c>
      <c r="W92" s="145"/>
      <c r="X92" s="151"/>
      <c r="Y92" s="151"/>
      <c r="Z92" s="148">
        <v>3.1899999999999998E-2</v>
      </c>
      <c r="AA92" s="145" t="s">
        <v>3301</v>
      </c>
      <c r="AB92" s="145" t="s">
        <v>412</v>
      </c>
      <c r="AC92" s="151"/>
      <c r="AD92" s="151"/>
      <c r="AE92" s="188">
        <v>0.75</v>
      </c>
      <c r="AF92" s="151" t="s">
        <v>3445</v>
      </c>
      <c r="AG92" s="151"/>
      <c r="AH92" s="151"/>
      <c r="AI92" s="151"/>
      <c r="AJ92" s="145" t="s">
        <v>338</v>
      </c>
      <c r="AK92" s="145" t="s">
        <v>886</v>
      </c>
      <c r="AL92" s="151"/>
      <c r="AM92" s="145" t="s">
        <v>889</v>
      </c>
      <c r="AN92" s="177">
        <v>45747</v>
      </c>
      <c r="AO92" s="177">
        <v>45747</v>
      </c>
      <c r="AP92" s="151"/>
      <c r="AQ92" s="146">
        <v>2164490.86</v>
      </c>
      <c r="AR92" s="146">
        <v>104.7</v>
      </c>
      <c r="AS92" s="146">
        <v>1</v>
      </c>
      <c r="AT92" s="146">
        <v>2266.2220000000002</v>
      </c>
      <c r="AU92" s="186">
        <v>2266.2219300000002</v>
      </c>
      <c r="AV92" s="151"/>
      <c r="AW92" s="151"/>
      <c r="AX92" s="159"/>
      <c r="AY92" s="151"/>
      <c r="AZ92" s="148">
        <v>4.3E-3</v>
      </c>
      <c r="BA92" s="149">
        <v>9.0000000000000006E-5</v>
      </c>
      <c r="BB92" s="196"/>
    </row>
    <row r="93" spans="1:54" x14ac:dyDescent="0.2">
      <c r="A93" s="144" t="s">
        <v>1217</v>
      </c>
      <c r="B93" s="145" t="s">
        <v>1217</v>
      </c>
      <c r="C93" s="151"/>
      <c r="D93" s="151"/>
      <c r="E93" s="151"/>
      <c r="F93" s="145" t="s">
        <v>3347</v>
      </c>
      <c r="G93" s="145" t="s">
        <v>1012</v>
      </c>
      <c r="H93" s="145" t="s">
        <v>817</v>
      </c>
      <c r="I93" s="145" t="s">
        <v>204</v>
      </c>
      <c r="J93" s="151"/>
      <c r="K93" s="145" t="s">
        <v>449</v>
      </c>
      <c r="L93" s="145" t="s">
        <v>339</v>
      </c>
      <c r="M93" s="145" t="s">
        <v>338</v>
      </c>
      <c r="N93" s="151"/>
      <c r="O93" s="145" t="s">
        <v>3348</v>
      </c>
      <c r="P93" s="151"/>
      <c r="Q93" s="145" t="s">
        <v>410</v>
      </c>
      <c r="R93" s="151"/>
      <c r="S93" s="145" t="s">
        <v>1210</v>
      </c>
      <c r="T93" s="146">
        <v>1.3</v>
      </c>
      <c r="U93" s="145" t="s">
        <v>824</v>
      </c>
      <c r="V93" s="148">
        <v>0.08</v>
      </c>
      <c r="W93" s="145"/>
      <c r="X93" s="151"/>
      <c r="Y93" s="151"/>
      <c r="Z93" s="148">
        <v>0.23250000000000001</v>
      </c>
      <c r="AA93" s="145" t="s">
        <v>1494</v>
      </c>
      <c r="AB93" s="145" t="s">
        <v>412</v>
      </c>
      <c r="AC93" s="151" t="s">
        <v>773</v>
      </c>
      <c r="AD93" s="151">
        <v>19935.854166999998</v>
      </c>
      <c r="AE93" s="188">
        <v>0.72</v>
      </c>
      <c r="AF93" s="145" t="s">
        <v>3445</v>
      </c>
      <c r="AG93" s="151"/>
      <c r="AH93" s="151"/>
      <c r="AI93" s="151"/>
      <c r="AJ93" s="145" t="s">
        <v>338</v>
      </c>
      <c r="AK93" s="145" t="s">
        <v>886</v>
      </c>
      <c r="AL93" s="151"/>
      <c r="AM93" s="145" t="s">
        <v>889</v>
      </c>
      <c r="AN93" s="177">
        <v>45662</v>
      </c>
      <c r="AO93" s="177">
        <v>45662</v>
      </c>
      <c r="AP93" s="151"/>
      <c r="AQ93" s="146">
        <v>2667277</v>
      </c>
      <c r="AR93" s="146">
        <v>81.349999999999994</v>
      </c>
      <c r="AS93" s="146">
        <v>1</v>
      </c>
      <c r="AT93" s="146">
        <v>2169.83</v>
      </c>
      <c r="AU93" s="186">
        <v>2169.8298399999999</v>
      </c>
      <c r="AV93" s="151"/>
      <c r="AW93" s="151"/>
      <c r="AX93" s="159"/>
      <c r="AY93" s="151"/>
      <c r="AZ93" s="148">
        <v>4.1099999999999999E-3</v>
      </c>
      <c r="BA93" s="149">
        <v>9.0000000000000006E-5</v>
      </c>
      <c r="BB93" s="196"/>
    </row>
    <row r="94" spans="1:54" x14ac:dyDescent="0.2">
      <c r="A94" s="144" t="s">
        <v>1217</v>
      </c>
      <c r="B94" s="145" t="s">
        <v>1217</v>
      </c>
      <c r="C94" s="151"/>
      <c r="D94" s="151"/>
      <c r="E94" s="151"/>
      <c r="F94" s="145" t="s">
        <v>3349</v>
      </c>
      <c r="G94" s="145" t="s">
        <v>1012</v>
      </c>
      <c r="H94" s="145" t="s">
        <v>784</v>
      </c>
      <c r="I94" s="145" t="s">
        <v>204</v>
      </c>
      <c r="J94" s="151"/>
      <c r="K94" s="145" t="s">
        <v>443</v>
      </c>
      <c r="L94" s="145" t="s">
        <v>339</v>
      </c>
      <c r="M94" s="145" t="s">
        <v>338</v>
      </c>
      <c r="N94" s="151"/>
      <c r="O94" s="145" t="s">
        <v>3350</v>
      </c>
      <c r="P94" s="151"/>
      <c r="Q94" s="145" t="s">
        <v>410</v>
      </c>
      <c r="R94" s="151"/>
      <c r="S94" s="145" t="s">
        <v>1210</v>
      </c>
      <c r="T94" s="146">
        <v>1.53</v>
      </c>
      <c r="U94" s="145" t="s">
        <v>823</v>
      </c>
      <c r="V94" s="148">
        <v>8.2500000000000004E-2</v>
      </c>
      <c r="W94" s="145"/>
      <c r="X94" s="151"/>
      <c r="Y94" s="151"/>
      <c r="Z94" s="148">
        <v>6.08E-2</v>
      </c>
      <c r="AA94" s="145" t="s">
        <v>3331</v>
      </c>
      <c r="AB94" s="145" t="s">
        <v>412</v>
      </c>
      <c r="AC94" s="151" t="s">
        <v>771</v>
      </c>
      <c r="AD94" s="151">
        <v>227000</v>
      </c>
      <c r="AE94" s="188">
        <v>0.63</v>
      </c>
      <c r="AF94" s="145" t="s">
        <v>3445</v>
      </c>
      <c r="AG94" s="151"/>
      <c r="AH94" s="151"/>
      <c r="AI94" s="151"/>
      <c r="AJ94" s="145" t="s">
        <v>338</v>
      </c>
      <c r="AK94" s="145" t="s">
        <v>886</v>
      </c>
      <c r="AL94" s="151"/>
      <c r="AM94" s="145" t="s">
        <v>889</v>
      </c>
      <c r="AN94" s="177">
        <v>45747</v>
      </c>
      <c r="AO94" s="177">
        <v>45747</v>
      </c>
      <c r="AP94" s="151"/>
      <c r="AQ94" s="146">
        <v>2025848</v>
      </c>
      <c r="AR94" s="146">
        <v>105.26</v>
      </c>
      <c r="AS94" s="146">
        <v>1</v>
      </c>
      <c r="AT94" s="146">
        <v>2132.4079999999999</v>
      </c>
      <c r="AU94" s="186">
        <v>2132.4076049999999</v>
      </c>
      <c r="AV94" s="151"/>
      <c r="AW94" s="151"/>
      <c r="AX94" s="159"/>
      <c r="AY94" s="151"/>
      <c r="AZ94" s="148">
        <v>4.0400000000000002E-3</v>
      </c>
      <c r="BA94" s="149">
        <v>9.0000000000000006E-5</v>
      </c>
      <c r="BB94" s="196"/>
    </row>
    <row r="95" spans="1:54" x14ac:dyDescent="0.2">
      <c r="A95" s="144" t="s">
        <v>1217</v>
      </c>
      <c r="B95" s="145" t="s">
        <v>1217</v>
      </c>
      <c r="C95" s="151"/>
      <c r="D95" s="151"/>
      <c r="E95" s="151"/>
      <c r="F95" s="145" t="s">
        <v>3351</v>
      </c>
      <c r="G95" s="145" t="s">
        <v>1012</v>
      </c>
      <c r="H95" s="145" t="s">
        <v>784</v>
      </c>
      <c r="I95" s="145" t="s">
        <v>204</v>
      </c>
      <c r="J95" s="151"/>
      <c r="K95" s="145" t="s">
        <v>443</v>
      </c>
      <c r="L95" s="145" t="s">
        <v>339</v>
      </c>
      <c r="M95" s="145" t="s">
        <v>338</v>
      </c>
      <c r="N95" s="151"/>
      <c r="O95" s="145" t="s">
        <v>3352</v>
      </c>
      <c r="P95" s="151"/>
      <c r="Q95" s="145" t="s">
        <v>410</v>
      </c>
      <c r="R95" s="151"/>
      <c r="S95" s="145" t="s">
        <v>1210</v>
      </c>
      <c r="T95" s="146">
        <v>1.53</v>
      </c>
      <c r="U95" s="145" t="s">
        <v>823</v>
      </c>
      <c r="V95" s="148">
        <v>8.2500000000000004E-2</v>
      </c>
      <c r="W95" s="145"/>
      <c r="X95" s="151"/>
      <c r="Y95" s="151"/>
      <c r="Z95" s="148">
        <v>6.1800000000000001E-2</v>
      </c>
      <c r="AA95" s="145" t="s">
        <v>3331</v>
      </c>
      <c r="AB95" s="145" t="s">
        <v>412</v>
      </c>
      <c r="AC95" s="151" t="s">
        <v>771</v>
      </c>
      <c r="AD95" s="151">
        <v>227000</v>
      </c>
      <c r="AE95" s="188">
        <v>0.63</v>
      </c>
      <c r="AF95" s="145" t="s">
        <v>3445</v>
      </c>
      <c r="AG95" s="151"/>
      <c r="AH95" s="151"/>
      <c r="AI95" s="151"/>
      <c r="AJ95" s="145" t="s">
        <v>338</v>
      </c>
      <c r="AK95" s="145" t="s">
        <v>886</v>
      </c>
      <c r="AL95" s="151"/>
      <c r="AM95" s="145" t="s">
        <v>889</v>
      </c>
      <c r="AN95" s="177">
        <v>45747</v>
      </c>
      <c r="AO95" s="177">
        <v>45747</v>
      </c>
      <c r="AP95" s="151"/>
      <c r="AQ95" s="146">
        <v>1958320</v>
      </c>
      <c r="AR95" s="146">
        <v>105.11</v>
      </c>
      <c r="AS95" s="146">
        <v>1</v>
      </c>
      <c r="AT95" s="146">
        <v>2058.39</v>
      </c>
      <c r="AU95" s="186">
        <v>2058.3901519999999</v>
      </c>
      <c r="AV95" s="151"/>
      <c r="AW95" s="151"/>
      <c r="AX95" s="159"/>
      <c r="AY95" s="151"/>
      <c r="AZ95" s="148">
        <v>3.8999999999999998E-3</v>
      </c>
      <c r="BA95" s="149">
        <v>8.0000000000000007E-5</v>
      </c>
      <c r="BB95" s="196"/>
    </row>
    <row r="96" spans="1:54" x14ac:dyDescent="0.2">
      <c r="A96" s="144" t="s">
        <v>1217</v>
      </c>
      <c r="B96" s="145" t="s">
        <v>1217</v>
      </c>
      <c r="C96" s="151"/>
      <c r="D96" s="151"/>
      <c r="E96" s="151"/>
      <c r="F96" s="145" t="s">
        <v>3427</v>
      </c>
      <c r="G96" s="145" t="s">
        <v>1012</v>
      </c>
      <c r="H96" s="151"/>
      <c r="I96" s="145" t="s">
        <v>204</v>
      </c>
      <c r="J96" s="151"/>
      <c r="K96" s="145" t="s">
        <v>485</v>
      </c>
      <c r="L96" s="145" t="s">
        <v>339</v>
      </c>
      <c r="M96" s="145" t="s">
        <v>338</v>
      </c>
      <c r="N96" s="151"/>
      <c r="O96" s="145" t="s">
        <v>3428</v>
      </c>
      <c r="P96" s="145" t="s">
        <v>1594</v>
      </c>
      <c r="Q96" s="145" t="s">
        <v>415</v>
      </c>
      <c r="R96" s="145" t="s">
        <v>408</v>
      </c>
      <c r="S96" s="145" t="s">
        <v>1210</v>
      </c>
      <c r="T96" s="146">
        <v>1.21</v>
      </c>
      <c r="U96" s="145" t="s">
        <v>824</v>
      </c>
      <c r="V96" s="148">
        <v>5.212E-2</v>
      </c>
      <c r="W96" s="145"/>
      <c r="X96" s="151"/>
      <c r="Y96" s="151"/>
      <c r="Z96" s="148">
        <v>2.4400000000000002E-2</v>
      </c>
      <c r="AA96" s="145" t="s">
        <v>1384</v>
      </c>
      <c r="AB96" s="145" t="s">
        <v>412</v>
      </c>
      <c r="AC96" s="151"/>
      <c r="AD96" s="151">
        <v>301334.63099999999</v>
      </c>
      <c r="AE96" s="188">
        <v>0.75</v>
      </c>
      <c r="AF96" s="145" t="s">
        <v>3445</v>
      </c>
      <c r="AG96" s="151"/>
      <c r="AH96" s="151"/>
      <c r="AI96" s="151"/>
      <c r="AJ96" s="145" t="s">
        <v>339</v>
      </c>
      <c r="AK96" s="145" t="s">
        <v>886</v>
      </c>
      <c r="AL96" s="151"/>
      <c r="AM96" s="145" t="s">
        <v>889</v>
      </c>
      <c r="AN96" s="177">
        <v>45747</v>
      </c>
      <c r="AO96" s="177">
        <v>45747</v>
      </c>
      <c r="AP96" s="151"/>
      <c r="AQ96" s="146">
        <v>1303481.77</v>
      </c>
      <c r="AR96" s="146">
        <v>154.87</v>
      </c>
      <c r="AS96" s="146">
        <v>1</v>
      </c>
      <c r="AT96" s="146">
        <v>2018.702</v>
      </c>
      <c r="AU96" s="186">
        <v>2018.702217</v>
      </c>
      <c r="AV96" s="151"/>
      <c r="AW96" s="151"/>
      <c r="AX96" s="159"/>
      <c r="AY96" s="151"/>
      <c r="AZ96" s="148">
        <v>3.8300000000000001E-3</v>
      </c>
      <c r="BA96" s="149">
        <v>8.0000000000000007E-5</v>
      </c>
      <c r="BB96" s="196"/>
    </row>
    <row r="97" spans="1:54" x14ac:dyDescent="0.2">
      <c r="A97" s="144" t="s">
        <v>1217</v>
      </c>
      <c r="B97" s="145" t="s">
        <v>1217</v>
      </c>
      <c r="C97" s="151"/>
      <c r="D97" s="151"/>
      <c r="E97" s="151"/>
      <c r="F97" s="145" t="s">
        <v>3353</v>
      </c>
      <c r="G97" s="145" t="s">
        <v>1012</v>
      </c>
      <c r="H97" s="151"/>
      <c r="I97" s="145" t="s">
        <v>204</v>
      </c>
      <c r="J97" s="151"/>
      <c r="K97" s="145" t="s">
        <v>485</v>
      </c>
      <c r="L97" s="145" t="s">
        <v>339</v>
      </c>
      <c r="M97" s="145" t="s">
        <v>338</v>
      </c>
      <c r="N97" s="151"/>
      <c r="O97" s="145" t="s">
        <v>3293</v>
      </c>
      <c r="P97" s="145" t="s">
        <v>1406</v>
      </c>
      <c r="Q97" s="145" t="s">
        <v>415</v>
      </c>
      <c r="R97" s="145" t="s">
        <v>408</v>
      </c>
      <c r="S97" s="145" t="s">
        <v>1210</v>
      </c>
      <c r="T97" s="146">
        <v>10.039999999999999</v>
      </c>
      <c r="U97" s="145" t="s">
        <v>824</v>
      </c>
      <c r="V97" s="148">
        <v>0.03</v>
      </c>
      <c r="W97" s="145"/>
      <c r="X97" s="151"/>
      <c r="Y97" s="151"/>
      <c r="Z97" s="148">
        <v>3.6700000000000003E-2</v>
      </c>
      <c r="AA97" s="145" t="s">
        <v>3294</v>
      </c>
      <c r="AB97" s="145" t="s">
        <v>412</v>
      </c>
      <c r="AC97" s="151" t="s">
        <v>773</v>
      </c>
      <c r="AD97" s="151">
        <v>1000</v>
      </c>
      <c r="AE97" s="188">
        <v>0.75</v>
      </c>
      <c r="AF97" s="145" t="s">
        <v>3445</v>
      </c>
      <c r="AG97" s="151"/>
      <c r="AH97" s="151"/>
      <c r="AI97" s="151"/>
      <c r="AJ97" s="145" t="s">
        <v>338</v>
      </c>
      <c r="AK97" s="145" t="s">
        <v>886</v>
      </c>
      <c r="AL97" s="151"/>
      <c r="AM97" s="145" t="s">
        <v>889</v>
      </c>
      <c r="AN97" s="177">
        <v>45747</v>
      </c>
      <c r="AO97" s="177">
        <v>45747</v>
      </c>
      <c r="AP97" s="151"/>
      <c r="AQ97" s="146">
        <v>1850728.3</v>
      </c>
      <c r="AR97" s="146">
        <v>108.38</v>
      </c>
      <c r="AS97" s="146">
        <v>1</v>
      </c>
      <c r="AT97" s="146">
        <v>2005.819</v>
      </c>
      <c r="AU97" s="186">
        <v>2005.819332</v>
      </c>
      <c r="AV97" s="151"/>
      <c r="AW97" s="151"/>
      <c r="AX97" s="159"/>
      <c r="AY97" s="151"/>
      <c r="AZ97" s="148">
        <v>3.8E-3</v>
      </c>
      <c r="BA97" s="149">
        <v>8.0000000000000007E-5</v>
      </c>
      <c r="BB97" s="196"/>
    </row>
    <row r="98" spans="1:54" x14ac:dyDescent="0.2">
      <c r="A98" s="144" t="s">
        <v>1217</v>
      </c>
      <c r="B98" s="145" t="s">
        <v>1217</v>
      </c>
      <c r="C98" s="151"/>
      <c r="D98" s="151"/>
      <c r="E98" s="151"/>
      <c r="F98" s="145" t="s">
        <v>3354</v>
      </c>
      <c r="G98" s="145" t="s">
        <v>1012</v>
      </c>
      <c r="H98" s="145" t="s">
        <v>784</v>
      </c>
      <c r="I98" s="145" t="s">
        <v>204</v>
      </c>
      <c r="J98" s="151"/>
      <c r="K98" s="145" t="s">
        <v>443</v>
      </c>
      <c r="L98" s="145" t="s">
        <v>339</v>
      </c>
      <c r="M98" s="145" t="s">
        <v>338</v>
      </c>
      <c r="N98" s="151"/>
      <c r="O98" s="145" t="s">
        <v>3355</v>
      </c>
      <c r="P98" s="151"/>
      <c r="Q98" s="145" t="s">
        <v>410</v>
      </c>
      <c r="R98" s="151"/>
      <c r="S98" s="145" t="s">
        <v>1210</v>
      </c>
      <c r="T98" s="146">
        <v>0.67</v>
      </c>
      <c r="U98" s="145" t="s">
        <v>823</v>
      </c>
      <c r="V98" s="148">
        <v>7.0000000000000007E-2</v>
      </c>
      <c r="W98" s="145"/>
      <c r="X98" s="151"/>
      <c r="Y98" s="151"/>
      <c r="Z98" s="148">
        <v>7.3499999999999996E-2</v>
      </c>
      <c r="AA98" s="145" t="s">
        <v>3356</v>
      </c>
      <c r="AB98" s="145" t="s">
        <v>412</v>
      </c>
      <c r="AC98" s="151" t="s">
        <v>771</v>
      </c>
      <c r="AD98" s="151">
        <v>130000</v>
      </c>
      <c r="AE98" s="188">
        <v>0.68</v>
      </c>
      <c r="AF98" s="145" t="s">
        <v>3445</v>
      </c>
      <c r="AG98" s="151"/>
      <c r="AH98" s="151"/>
      <c r="AI98" s="151"/>
      <c r="AJ98" s="145" t="s">
        <v>338</v>
      </c>
      <c r="AK98" s="145" t="s">
        <v>886</v>
      </c>
      <c r="AL98" s="151"/>
      <c r="AM98" s="145" t="s">
        <v>889</v>
      </c>
      <c r="AN98" s="177">
        <v>45747</v>
      </c>
      <c r="AO98" s="177">
        <v>45747</v>
      </c>
      <c r="AP98" s="151"/>
      <c r="AQ98" s="146">
        <v>1567249.04</v>
      </c>
      <c r="AR98" s="146">
        <v>100.83</v>
      </c>
      <c r="AS98" s="146">
        <v>1</v>
      </c>
      <c r="AT98" s="146">
        <v>1580.2570000000001</v>
      </c>
      <c r="AU98" s="186">
        <v>1580.2572069999999</v>
      </c>
      <c r="AV98" s="151"/>
      <c r="AW98" s="151"/>
      <c r="AX98" s="159"/>
      <c r="AY98" s="151"/>
      <c r="AZ98" s="148">
        <v>3.0000000000000001E-3</v>
      </c>
      <c r="BA98" s="149">
        <v>6.9999999999999994E-5</v>
      </c>
      <c r="BB98" s="196"/>
    </row>
    <row r="99" spans="1:54" x14ac:dyDescent="0.2">
      <c r="A99" s="144" t="s">
        <v>1217</v>
      </c>
      <c r="B99" s="145" t="s">
        <v>1217</v>
      </c>
      <c r="C99" s="151"/>
      <c r="D99" s="151"/>
      <c r="E99" s="151"/>
      <c r="F99" s="145" t="s">
        <v>3357</v>
      </c>
      <c r="G99" s="145" t="s">
        <v>1012</v>
      </c>
      <c r="H99" s="145" t="s">
        <v>784</v>
      </c>
      <c r="I99" s="145" t="s">
        <v>204</v>
      </c>
      <c r="J99" s="151"/>
      <c r="K99" s="145" t="s">
        <v>443</v>
      </c>
      <c r="L99" s="145" t="s">
        <v>339</v>
      </c>
      <c r="M99" s="145" t="s">
        <v>338</v>
      </c>
      <c r="N99" s="151"/>
      <c r="O99" s="145" t="s">
        <v>3358</v>
      </c>
      <c r="P99" s="151"/>
      <c r="Q99" s="145" t="s">
        <v>410</v>
      </c>
      <c r="R99" s="151"/>
      <c r="S99" s="145" t="s">
        <v>1210</v>
      </c>
      <c r="T99" s="146">
        <v>1.53</v>
      </c>
      <c r="U99" s="145" t="s">
        <v>823</v>
      </c>
      <c r="V99" s="148">
        <v>8.2500000000000004E-2</v>
      </c>
      <c r="W99" s="145"/>
      <c r="X99" s="151"/>
      <c r="Y99" s="151"/>
      <c r="Z99" s="148">
        <v>6.2700000000000006E-2</v>
      </c>
      <c r="AA99" s="145" t="s">
        <v>3331</v>
      </c>
      <c r="AB99" s="145" t="s">
        <v>412</v>
      </c>
      <c r="AC99" s="151" t="s">
        <v>771</v>
      </c>
      <c r="AD99" s="151">
        <v>227000</v>
      </c>
      <c r="AE99" s="188">
        <v>0.63</v>
      </c>
      <c r="AF99" s="145" t="s">
        <v>3445</v>
      </c>
      <c r="AG99" s="151"/>
      <c r="AH99" s="151"/>
      <c r="AI99" s="151"/>
      <c r="AJ99" s="145" t="s">
        <v>338</v>
      </c>
      <c r="AK99" s="145" t="s">
        <v>886</v>
      </c>
      <c r="AL99" s="151"/>
      <c r="AM99" s="145" t="s">
        <v>889</v>
      </c>
      <c r="AN99" s="177">
        <v>45747</v>
      </c>
      <c r="AO99" s="177">
        <v>45747</v>
      </c>
      <c r="AP99" s="151"/>
      <c r="AQ99" s="146">
        <v>1370824</v>
      </c>
      <c r="AR99" s="146">
        <v>104.97</v>
      </c>
      <c r="AS99" s="146">
        <v>1</v>
      </c>
      <c r="AT99" s="146">
        <v>1438.954</v>
      </c>
      <c r="AU99" s="186">
        <v>1438.953953</v>
      </c>
      <c r="AV99" s="151"/>
      <c r="AW99" s="151"/>
      <c r="AX99" s="159"/>
      <c r="AY99" s="151"/>
      <c r="AZ99" s="148">
        <v>2.7299999999999998E-3</v>
      </c>
      <c r="BA99" s="149">
        <v>6.0000000000000002E-5</v>
      </c>
      <c r="BB99" s="196"/>
    </row>
    <row r="100" spans="1:54" x14ac:dyDescent="0.2">
      <c r="A100" s="144" t="s">
        <v>1217</v>
      </c>
      <c r="B100" s="145" t="s">
        <v>1217</v>
      </c>
      <c r="C100" s="151"/>
      <c r="D100" s="151"/>
      <c r="E100" s="151"/>
      <c r="F100" s="145" t="s">
        <v>3429</v>
      </c>
      <c r="G100" s="145" t="s">
        <v>1012</v>
      </c>
      <c r="H100" s="151"/>
      <c r="I100" s="145" t="s">
        <v>204</v>
      </c>
      <c r="J100" s="151"/>
      <c r="K100" s="145" t="s">
        <v>485</v>
      </c>
      <c r="L100" s="145" t="s">
        <v>339</v>
      </c>
      <c r="M100" s="145" t="s">
        <v>338</v>
      </c>
      <c r="N100" s="151"/>
      <c r="O100" s="145" t="s">
        <v>3430</v>
      </c>
      <c r="P100" s="145" t="s">
        <v>1594</v>
      </c>
      <c r="Q100" s="145" t="s">
        <v>415</v>
      </c>
      <c r="R100" s="145" t="s">
        <v>408</v>
      </c>
      <c r="S100" s="145" t="s">
        <v>1210</v>
      </c>
      <c r="T100" s="146">
        <v>1.22</v>
      </c>
      <c r="U100" s="145" t="s">
        <v>824</v>
      </c>
      <c r="V100" s="148">
        <v>3.8767999999999997E-2</v>
      </c>
      <c r="W100" s="145"/>
      <c r="X100" s="151"/>
      <c r="Y100" s="151"/>
      <c r="Z100" s="148">
        <v>2.4400000000000002E-2</v>
      </c>
      <c r="AA100" s="145" t="s">
        <v>1384</v>
      </c>
      <c r="AB100" s="145" t="s">
        <v>412</v>
      </c>
      <c r="AC100" s="151" t="s">
        <v>485</v>
      </c>
      <c r="AD100" s="151">
        <v>67000</v>
      </c>
      <c r="AE100" s="188">
        <v>0.75</v>
      </c>
      <c r="AF100" s="145" t="s">
        <v>3445</v>
      </c>
      <c r="AG100" s="151"/>
      <c r="AH100" s="151"/>
      <c r="AI100" s="151"/>
      <c r="AJ100" s="145" t="s">
        <v>339</v>
      </c>
      <c r="AK100" s="145" t="s">
        <v>886</v>
      </c>
      <c r="AL100" s="151"/>
      <c r="AM100" s="145" t="s">
        <v>889</v>
      </c>
      <c r="AN100" s="177">
        <v>45747</v>
      </c>
      <c r="AO100" s="177">
        <v>45747</v>
      </c>
      <c r="AP100" s="151"/>
      <c r="AQ100" s="146">
        <v>919349.62</v>
      </c>
      <c r="AR100" s="146">
        <v>152</v>
      </c>
      <c r="AS100" s="146">
        <v>1</v>
      </c>
      <c r="AT100" s="146">
        <v>1397.4110000000001</v>
      </c>
      <c r="AU100" s="186">
        <v>1397.4114220000001</v>
      </c>
      <c r="AV100" s="151"/>
      <c r="AW100" s="151"/>
      <c r="AX100" s="159"/>
      <c r="AY100" s="151"/>
      <c r="AZ100" s="148">
        <v>2.65E-3</v>
      </c>
      <c r="BA100" s="149">
        <v>6.0000000000000002E-5</v>
      </c>
      <c r="BB100" s="196"/>
    </row>
    <row r="101" spans="1:54" x14ac:dyDescent="0.2">
      <c r="A101" s="144" t="s">
        <v>1217</v>
      </c>
      <c r="B101" s="145" t="s">
        <v>1217</v>
      </c>
      <c r="C101" s="151"/>
      <c r="D101" s="151"/>
      <c r="E101" s="151"/>
      <c r="F101" s="145" t="s">
        <v>3361</v>
      </c>
      <c r="G101" s="145" t="s">
        <v>1012</v>
      </c>
      <c r="H101" s="145" t="s">
        <v>784</v>
      </c>
      <c r="I101" s="145" t="s">
        <v>204</v>
      </c>
      <c r="J101" s="151"/>
      <c r="K101" s="145" t="s">
        <v>443</v>
      </c>
      <c r="L101" s="145" t="s">
        <v>339</v>
      </c>
      <c r="M101" s="145" t="s">
        <v>338</v>
      </c>
      <c r="N101" s="151"/>
      <c r="O101" s="145" t="s">
        <v>3362</v>
      </c>
      <c r="P101" s="151"/>
      <c r="Q101" s="145" t="s">
        <v>410</v>
      </c>
      <c r="R101" s="151"/>
      <c r="S101" s="145" t="s">
        <v>1210</v>
      </c>
      <c r="T101" s="146">
        <v>1.53</v>
      </c>
      <c r="U101" s="145" t="s">
        <v>823</v>
      </c>
      <c r="V101" s="148">
        <v>8.2500000000000004E-2</v>
      </c>
      <c r="W101" s="145"/>
      <c r="X101" s="151"/>
      <c r="Y101" s="151"/>
      <c r="Z101" s="148">
        <v>7.2700000000000001E-2</v>
      </c>
      <c r="AA101" s="145" t="s">
        <v>3363</v>
      </c>
      <c r="AB101" s="145" t="s">
        <v>412</v>
      </c>
      <c r="AC101" s="151" t="s">
        <v>771</v>
      </c>
      <c r="AD101" s="151">
        <v>227000</v>
      </c>
      <c r="AE101" s="188">
        <v>0.63</v>
      </c>
      <c r="AF101" s="145" t="s">
        <v>3445</v>
      </c>
      <c r="AG101" s="151"/>
      <c r="AH101" s="151"/>
      <c r="AI101" s="151"/>
      <c r="AJ101" s="145" t="s">
        <v>338</v>
      </c>
      <c r="AK101" s="145" t="s">
        <v>886</v>
      </c>
      <c r="AL101" s="151"/>
      <c r="AM101" s="145" t="s">
        <v>889</v>
      </c>
      <c r="AN101" s="177">
        <v>45747</v>
      </c>
      <c r="AO101" s="177">
        <v>45747</v>
      </c>
      <c r="AP101" s="151"/>
      <c r="AQ101" s="146">
        <v>1134475</v>
      </c>
      <c r="AR101" s="146">
        <v>103.48</v>
      </c>
      <c r="AS101" s="146">
        <v>1</v>
      </c>
      <c r="AT101" s="146">
        <v>1173.9549999999999</v>
      </c>
      <c r="AU101" s="186">
        <v>1173.9547299999999</v>
      </c>
      <c r="AV101" s="151"/>
      <c r="AW101" s="151"/>
      <c r="AX101" s="159"/>
      <c r="AY101" s="151"/>
      <c r="AZ101" s="148">
        <v>2.2300000000000002E-3</v>
      </c>
      <c r="BA101" s="149">
        <v>5.0000000000000002E-5</v>
      </c>
      <c r="BB101" s="196"/>
    </row>
    <row r="102" spans="1:54" x14ac:dyDescent="0.2">
      <c r="A102" s="144" t="s">
        <v>1217</v>
      </c>
      <c r="B102" s="145" t="s">
        <v>1217</v>
      </c>
      <c r="C102" s="151"/>
      <c r="D102" s="151"/>
      <c r="E102" s="151"/>
      <c r="F102" s="145" t="s">
        <v>3359</v>
      </c>
      <c r="G102" s="145" t="s">
        <v>1012</v>
      </c>
      <c r="H102" s="151"/>
      <c r="I102" s="145" t="s">
        <v>204</v>
      </c>
      <c r="J102" s="151"/>
      <c r="K102" s="145" t="s">
        <v>444</v>
      </c>
      <c r="L102" s="145" t="s">
        <v>339</v>
      </c>
      <c r="M102" s="145" t="s">
        <v>338</v>
      </c>
      <c r="N102" s="151"/>
      <c r="O102" s="145" t="s">
        <v>3360</v>
      </c>
      <c r="P102" s="151"/>
      <c r="Q102" s="145" t="s">
        <v>410</v>
      </c>
      <c r="R102" s="151"/>
      <c r="S102" s="145" t="s">
        <v>1211</v>
      </c>
      <c r="T102" s="146">
        <v>0.01</v>
      </c>
      <c r="U102" s="145" t="s">
        <v>314</v>
      </c>
      <c r="V102" s="145">
        <v>0</v>
      </c>
      <c r="W102" s="145"/>
      <c r="X102" s="151"/>
      <c r="Y102" s="151"/>
      <c r="Z102" s="148">
        <v>1E-4</v>
      </c>
      <c r="AA102" s="145" t="s">
        <v>3307</v>
      </c>
      <c r="AB102" s="145" t="s">
        <v>412</v>
      </c>
      <c r="AC102" s="151"/>
      <c r="AD102" s="151"/>
      <c r="AE102" s="188"/>
      <c r="AF102" s="151"/>
      <c r="AG102" s="151"/>
      <c r="AH102" s="151"/>
      <c r="AI102" s="151"/>
      <c r="AJ102" s="151"/>
      <c r="AK102" s="145" t="s">
        <v>885</v>
      </c>
      <c r="AL102" s="151"/>
      <c r="AM102" s="145" t="s">
        <v>889</v>
      </c>
      <c r="AN102" s="177">
        <v>45250</v>
      </c>
      <c r="AO102" s="177">
        <v>45250</v>
      </c>
      <c r="AP102" s="151"/>
      <c r="AQ102" s="146">
        <v>546282.56999999995</v>
      </c>
      <c r="AR102" s="146">
        <v>55.186</v>
      </c>
      <c r="AS102" s="146">
        <v>3.718</v>
      </c>
      <c r="AT102" s="146">
        <v>1120.877</v>
      </c>
      <c r="AU102" s="186">
        <v>301.47313799999995</v>
      </c>
      <c r="AV102" s="151"/>
      <c r="AW102" s="151"/>
      <c r="AX102" s="159"/>
      <c r="AY102" s="151"/>
      <c r="AZ102" s="148">
        <v>2.1299999999999999E-3</v>
      </c>
      <c r="BA102" s="149">
        <v>5.0000000000000002E-5</v>
      </c>
      <c r="BB102" s="196"/>
    </row>
    <row r="103" spans="1:54" x14ac:dyDescent="0.2">
      <c r="A103" s="144" t="s">
        <v>1217</v>
      </c>
      <c r="B103" s="145" t="s">
        <v>1217</v>
      </c>
      <c r="C103" s="151"/>
      <c r="D103" s="151"/>
      <c r="E103" s="151"/>
      <c r="F103" s="145" t="s">
        <v>3364</v>
      </c>
      <c r="G103" s="145" t="s">
        <v>1012</v>
      </c>
      <c r="H103" s="151"/>
      <c r="I103" s="145" t="s">
        <v>204</v>
      </c>
      <c r="J103" s="151"/>
      <c r="K103" s="145" t="s">
        <v>440</v>
      </c>
      <c r="L103" s="145" t="s">
        <v>339</v>
      </c>
      <c r="M103" s="145" t="s">
        <v>338</v>
      </c>
      <c r="N103" s="151"/>
      <c r="O103" s="145" t="s">
        <v>3365</v>
      </c>
      <c r="P103" s="145" t="s">
        <v>1433</v>
      </c>
      <c r="Q103" s="145" t="s">
        <v>415</v>
      </c>
      <c r="R103" s="145" t="s">
        <v>408</v>
      </c>
      <c r="S103" s="145" t="s">
        <v>1210</v>
      </c>
      <c r="T103" s="146">
        <v>0.49</v>
      </c>
      <c r="U103" s="145" t="s">
        <v>824</v>
      </c>
      <c r="V103" s="148">
        <v>0</v>
      </c>
      <c r="W103" s="145"/>
      <c r="X103" s="151"/>
      <c r="Y103" s="151"/>
      <c r="Z103" s="148">
        <v>6.4000000000000001E-2</v>
      </c>
      <c r="AA103" s="145" t="s">
        <v>3366</v>
      </c>
      <c r="AB103" s="145" t="s">
        <v>412</v>
      </c>
      <c r="AC103" s="151"/>
      <c r="AD103" s="151"/>
      <c r="AE103" s="188">
        <v>0.75</v>
      </c>
      <c r="AF103" s="151"/>
      <c r="AG103" s="151"/>
      <c r="AH103" s="151"/>
      <c r="AI103" s="151"/>
      <c r="AJ103" s="145" t="s">
        <v>338</v>
      </c>
      <c r="AK103" s="145" t="s">
        <v>886</v>
      </c>
      <c r="AL103" s="151"/>
      <c r="AM103" s="145" t="s">
        <v>889</v>
      </c>
      <c r="AN103" s="177">
        <v>45747</v>
      </c>
      <c r="AO103" s="177">
        <v>45747</v>
      </c>
      <c r="AP103" s="151"/>
      <c r="AQ103" s="146">
        <v>1031726.29</v>
      </c>
      <c r="AR103" s="146">
        <v>103.79</v>
      </c>
      <c r="AS103" s="146">
        <v>1</v>
      </c>
      <c r="AT103" s="146">
        <v>1070.829</v>
      </c>
      <c r="AU103" s="186">
        <v>1070.828716</v>
      </c>
      <c r="AV103" s="151"/>
      <c r="AW103" s="151"/>
      <c r="AX103" s="159"/>
      <c r="AY103" s="151"/>
      <c r="AZ103" s="148">
        <v>2.0300000000000001E-3</v>
      </c>
      <c r="BA103" s="149">
        <v>4.0000000000000003E-5</v>
      </c>
      <c r="BB103" s="196"/>
    </row>
    <row r="104" spans="1:54" x14ac:dyDescent="0.2">
      <c r="A104" s="144" t="s">
        <v>1217</v>
      </c>
      <c r="B104" s="145" t="s">
        <v>1217</v>
      </c>
      <c r="C104" s="151"/>
      <c r="D104" s="151"/>
      <c r="E104" s="151"/>
      <c r="F104" s="145" t="s">
        <v>3367</v>
      </c>
      <c r="G104" s="145" t="s">
        <v>1012</v>
      </c>
      <c r="H104" s="145" t="s">
        <v>784</v>
      </c>
      <c r="I104" s="145" t="s">
        <v>204</v>
      </c>
      <c r="J104" s="151"/>
      <c r="K104" s="145" t="s">
        <v>443</v>
      </c>
      <c r="L104" s="145" t="s">
        <v>339</v>
      </c>
      <c r="M104" s="145" t="s">
        <v>338</v>
      </c>
      <c r="N104" s="151"/>
      <c r="O104" s="145" t="s">
        <v>3368</v>
      </c>
      <c r="P104" s="151"/>
      <c r="Q104" s="145" t="s">
        <v>410</v>
      </c>
      <c r="R104" s="151"/>
      <c r="S104" s="145" t="s">
        <v>1210</v>
      </c>
      <c r="T104" s="146">
        <v>0.67</v>
      </c>
      <c r="U104" s="145" t="s">
        <v>823</v>
      </c>
      <c r="V104" s="148">
        <v>7.0000000000000007E-2</v>
      </c>
      <c r="W104" s="145"/>
      <c r="X104" s="151"/>
      <c r="Y104" s="151"/>
      <c r="Z104" s="148">
        <v>6.0600000000000001E-2</v>
      </c>
      <c r="AA104" s="145" t="s">
        <v>3369</v>
      </c>
      <c r="AB104" s="145" t="s">
        <v>412</v>
      </c>
      <c r="AC104" s="151" t="s">
        <v>771</v>
      </c>
      <c r="AD104" s="151">
        <v>130000</v>
      </c>
      <c r="AE104" s="188">
        <v>0.68</v>
      </c>
      <c r="AF104" s="145" t="s">
        <v>3445</v>
      </c>
      <c r="AG104" s="151"/>
      <c r="AH104" s="151"/>
      <c r="AI104" s="151"/>
      <c r="AJ104" s="145" t="s">
        <v>338</v>
      </c>
      <c r="AK104" s="145" t="s">
        <v>886</v>
      </c>
      <c r="AL104" s="151"/>
      <c r="AM104" s="145" t="s">
        <v>889</v>
      </c>
      <c r="AN104" s="177">
        <v>45747</v>
      </c>
      <c r="AO104" s="177">
        <v>45747</v>
      </c>
      <c r="AP104" s="151"/>
      <c r="AQ104" s="146">
        <v>846287.95</v>
      </c>
      <c r="AR104" s="146">
        <v>101.66</v>
      </c>
      <c r="AS104" s="146">
        <v>1</v>
      </c>
      <c r="AT104" s="146">
        <v>860.33600000000001</v>
      </c>
      <c r="AU104" s="186">
        <v>860.33632999999998</v>
      </c>
      <c r="AV104" s="151"/>
      <c r="AW104" s="151"/>
      <c r="AX104" s="159"/>
      <c r="AY104" s="151"/>
      <c r="AZ104" s="148">
        <v>1.6299999999999999E-3</v>
      </c>
      <c r="BA104" s="149">
        <v>4.0000000000000003E-5</v>
      </c>
      <c r="BB104" s="196"/>
    </row>
    <row r="105" spans="1:54" x14ac:dyDescent="0.2">
      <c r="A105" s="144" t="s">
        <v>1217</v>
      </c>
      <c r="B105" s="145" t="s">
        <v>1217</v>
      </c>
      <c r="C105" s="151"/>
      <c r="D105" s="151"/>
      <c r="E105" s="151"/>
      <c r="F105" s="145" t="s">
        <v>3370</v>
      </c>
      <c r="G105" s="145" t="s">
        <v>1012</v>
      </c>
      <c r="H105" s="151"/>
      <c r="I105" s="145" t="s">
        <v>204</v>
      </c>
      <c r="J105" s="151"/>
      <c r="K105" s="145" t="s">
        <v>485</v>
      </c>
      <c r="L105" s="145" t="s">
        <v>339</v>
      </c>
      <c r="M105" s="145" t="s">
        <v>338</v>
      </c>
      <c r="N105" s="151"/>
      <c r="O105" s="145" t="s">
        <v>3371</v>
      </c>
      <c r="P105" s="145" t="s">
        <v>1547</v>
      </c>
      <c r="Q105" s="145" t="s">
        <v>413</v>
      </c>
      <c r="R105" s="145" t="s">
        <v>408</v>
      </c>
      <c r="S105" s="145" t="s">
        <v>1210</v>
      </c>
      <c r="T105" s="146">
        <v>5.51</v>
      </c>
      <c r="U105" s="145" t="s">
        <v>824</v>
      </c>
      <c r="V105" s="148">
        <v>3.3099999999999997E-2</v>
      </c>
      <c r="W105" s="145"/>
      <c r="X105" s="151"/>
      <c r="Y105" s="151"/>
      <c r="Z105" s="148">
        <v>3.3300000000000003E-2</v>
      </c>
      <c r="AA105" s="145" t="s">
        <v>3312</v>
      </c>
      <c r="AB105" s="145" t="s">
        <v>412</v>
      </c>
      <c r="AC105" s="151"/>
      <c r="AD105" s="151"/>
      <c r="AE105" s="188"/>
      <c r="AF105" s="151" t="s">
        <v>3445</v>
      </c>
      <c r="AG105" s="151"/>
      <c r="AH105" s="151"/>
      <c r="AI105" s="151"/>
      <c r="AJ105" s="151"/>
      <c r="AK105" s="145" t="s">
        <v>886</v>
      </c>
      <c r="AL105" s="151"/>
      <c r="AM105" s="145" t="s">
        <v>889</v>
      </c>
      <c r="AN105" s="177">
        <v>45747</v>
      </c>
      <c r="AO105" s="177">
        <v>45747</v>
      </c>
      <c r="AP105" s="151"/>
      <c r="AQ105" s="146">
        <v>707910.67</v>
      </c>
      <c r="AR105" s="146">
        <v>116.7</v>
      </c>
      <c r="AS105" s="146">
        <v>1</v>
      </c>
      <c r="AT105" s="146">
        <v>826.13199999999995</v>
      </c>
      <c r="AU105" s="186">
        <v>826.13175200000001</v>
      </c>
      <c r="AV105" s="151"/>
      <c r="AW105" s="151"/>
      <c r="AX105" s="159"/>
      <c r="AY105" s="151"/>
      <c r="AZ105" s="148">
        <v>1.57E-3</v>
      </c>
      <c r="BA105" s="149">
        <v>3.0000000000000001E-5</v>
      </c>
      <c r="BB105" s="196"/>
    </row>
    <row r="106" spans="1:54" x14ac:dyDescent="0.2">
      <c r="A106" s="144" t="s">
        <v>1217</v>
      </c>
      <c r="B106" s="145" t="s">
        <v>1217</v>
      </c>
      <c r="C106" s="151"/>
      <c r="D106" s="151"/>
      <c r="E106" s="151"/>
      <c r="F106" s="145" t="s">
        <v>3372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3373</v>
      </c>
      <c r="P106" s="151"/>
      <c r="Q106" s="145" t="s">
        <v>410</v>
      </c>
      <c r="R106" s="151"/>
      <c r="S106" s="145" t="s">
        <v>1210</v>
      </c>
      <c r="T106" s="146">
        <v>1.53</v>
      </c>
      <c r="U106" s="145" t="s">
        <v>823</v>
      </c>
      <c r="V106" s="148">
        <v>8.2500000000000004E-2</v>
      </c>
      <c r="W106" s="145"/>
      <c r="X106" s="151"/>
      <c r="Y106" s="151"/>
      <c r="Z106" s="148">
        <v>7.5300000000000006E-2</v>
      </c>
      <c r="AA106" s="145" t="s">
        <v>3363</v>
      </c>
      <c r="AB106" s="145" t="s">
        <v>412</v>
      </c>
      <c r="AC106" s="151" t="s">
        <v>771</v>
      </c>
      <c r="AD106" s="151">
        <v>227000</v>
      </c>
      <c r="AE106" s="188">
        <v>0.63</v>
      </c>
      <c r="AF106" s="145" t="s">
        <v>3445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7">
        <v>45747</v>
      </c>
      <c r="AO106" s="177">
        <v>45747</v>
      </c>
      <c r="AP106" s="151"/>
      <c r="AQ106" s="146">
        <v>675282.76</v>
      </c>
      <c r="AR106" s="146">
        <v>103.09</v>
      </c>
      <c r="AS106" s="146">
        <v>1</v>
      </c>
      <c r="AT106" s="146">
        <v>696.149</v>
      </c>
      <c r="AU106" s="186">
        <v>696.14899700000001</v>
      </c>
      <c r="AV106" s="151"/>
      <c r="AW106" s="151"/>
      <c r="AX106" s="159"/>
      <c r="AY106" s="151"/>
      <c r="AZ106" s="148">
        <v>1.32E-3</v>
      </c>
      <c r="BA106" s="149">
        <v>3.0000000000000001E-5</v>
      </c>
      <c r="BB106" s="196"/>
    </row>
    <row r="107" spans="1:54" x14ac:dyDescent="0.2">
      <c r="A107" s="144" t="s">
        <v>1217</v>
      </c>
      <c r="B107" s="145" t="s">
        <v>1217</v>
      </c>
      <c r="C107" s="151"/>
      <c r="D107" s="151"/>
      <c r="E107" s="151"/>
      <c r="F107" s="145" t="s">
        <v>3431</v>
      </c>
      <c r="G107" s="145" t="s">
        <v>1012</v>
      </c>
      <c r="H107" s="151"/>
      <c r="I107" s="145" t="s">
        <v>204</v>
      </c>
      <c r="J107" s="151"/>
      <c r="K107" s="145" t="s">
        <v>485</v>
      </c>
      <c r="L107" s="145" t="s">
        <v>339</v>
      </c>
      <c r="M107" s="145" t="s">
        <v>338</v>
      </c>
      <c r="N107" s="151"/>
      <c r="O107" s="145" t="s">
        <v>3432</v>
      </c>
      <c r="P107" s="145" t="s">
        <v>1406</v>
      </c>
      <c r="Q107" s="145" t="s">
        <v>415</v>
      </c>
      <c r="R107" s="145" t="s">
        <v>408</v>
      </c>
      <c r="S107" s="145" t="s">
        <v>1210</v>
      </c>
      <c r="T107" s="146">
        <v>1.22</v>
      </c>
      <c r="U107" s="145" t="s">
        <v>824</v>
      </c>
      <c r="V107" s="148">
        <v>4.7426000000000003E-2</v>
      </c>
      <c r="W107" s="145"/>
      <c r="X107" s="151"/>
      <c r="Y107" s="151"/>
      <c r="Z107" s="148">
        <v>3.6400000000000002E-2</v>
      </c>
      <c r="AA107" s="145" t="s">
        <v>1384</v>
      </c>
      <c r="AB107" s="145" t="s">
        <v>412</v>
      </c>
      <c r="AC107" s="151" t="s">
        <v>485</v>
      </c>
      <c r="AD107" s="151">
        <v>22797000</v>
      </c>
      <c r="AE107" s="188">
        <v>0.75</v>
      </c>
      <c r="AF107" s="145" t="s">
        <v>3445</v>
      </c>
      <c r="AG107" s="151"/>
      <c r="AH107" s="151"/>
      <c r="AI107" s="151"/>
      <c r="AJ107" s="145" t="s">
        <v>339</v>
      </c>
      <c r="AK107" s="145" t="s">
        <v>886</v>
      </c>
      <c r="AL107" s="151"/>
      <c r="AM107" s="145" t="s">
        <v>889</v>
      </c>
      <c r="AN107" s="177">
        <v>45747</v>
      </c>
      <c r="AO107" s="177">
        <v>45747</v>
      </c>
      <c r="AP107" s="151"/>
      <c r="AQ107" s="146">
        <v>355939.73</v>
      </c>
      <c r="AR107" s="146">
        <v>142.69</v>
      </c>
      <c r="AS107" s="146">
        <v>1</v>
      </c>
      <c r="AT107" s="146">
        <v>507.89</v>
      </c>
      <c r="AU107" s="186">
        <v>507.890401</v>
      </c>
      <c r="AV107" s="151"/>
      <c r="AW107" s="151"/>
      <c r="AX107" s="159"/>
      <c r="AY107" s="151"/>
      <c r="AZ107" s="148">
        <v>9.6000000000000002E-4</v>
      </c>
      <c r="BA107" s="149">
        <v>2.0000000000000002E-5</v>
      </c>
      <c r="BB107" s="196"/>
    </row>
    <row r="108" spans="1:54" x14ac:dyDescent="0.2">
      <c r="A108" s="144" t="s">
        <v>1217</v>
      </c>
      <c r="B108" s="145" t="s">
        <v>1217</v>
      </c>
      <c r="C108" s="151"/>
      <c r="D108" s="151"/>
      <c r="E108" s="151"/>
      <c r="F108" s="145" t="s">
        <v>3374</v>
      </c>
      <c r="G108" s="145" t="s">
        <v>1012</v>
      </c>
      <c r="H108" s="145" t="s">
        <v>784</v>
      </c>
      <c r="I108" s="145" t="s">
        <v>204</v>
      </c>
      <c r="J108" s="151"/>
      <c r="K108" s="145" t="s">
        <v>443</v>
      </c>
      <c r="L108" s="145" t="s">
        <v>339</v>
      </c>
      <c r="M108" s="145" t="s">
        <v>338</v>
      </c>
      <c r="N108" s="151"/>
      <c r="O108" s="145" t="s">
        <v>3375</v>
      </c>
      <c r="P108" s="151"/>
      <c r="Q108" s="145" t="s">
        <v>410</v>
      </c>
      <c r="R108" s="151"/>
      <c r="S108" s="145" t="s">
        <v>1210</v>
      </c>
      <c r="T108" s="146">
        <v>0.67</v>
      </c>
      <c r="U108" s="145" t="s">
        <v>823</v>
      </c>
      <c r="V108" s="148">
        <v>7.0000000000000007E-2</v>
      </c>
      <c r="W108" s="145"/>
      <c r="X108" s="151"/>
      <c r="Y108" s="151"/>
      <c r="Z108" s="148">
        <v>7.1199999999999999E-2</v>
      </c>
      <c r="AA108" s="145" t="s">
        <v>3369</v>
      </c>
      <c r="AB108" s="145" t="s">
        <v>412</v>
      </c>
      <c r="AC108" s="151" t="s">
        <v>771</v>
      </c>
      <c r="AD108" s="151">
        <v>130000</v>
      </c>
      <c r="AE108" s="188">
        <v>0.68</v>
      </c>
      <c r="AF108" s="145" t="s">
        <v>3445</v>
      </c>
      <c r="AG108" s="151"/>
      <c r="AH108" s="151"/>
      <c r="AI108" s="151"/>
      <c r="AJ108" s="145" t="s">
        <v>338</v>
      </c>
      <c r="AK108" s="145" t="s">
        <v>886</v>
      </c>
      <c r="AL108" s="151"/>
      <c r="AM108" s="145" t="s">
        <v>889</v>
      </c>
      <c r="AN108" s="177">
        <v>45747</v>
      </c>
      <c r="AO108" s="177">
        <v>45747</v>
      </c>
      <c r="AP108" s="151"/>
      <c r="AQ108" s="146">
        <v>419767.38</v>
      </c>
      <c r="AR108" s="146">
        <v>100.98</v>
      </c>
      <c r="AS108" s="146">
        <v>1</v>
      </c>
      <c r="AT108" s="146">
        <v>423.88099999999997</v>
      </c>
      <c r="AU108" s="186">
        <v>423.8811</v>
      </c>
      <c r="AV108" s="151"/>
      <c r="AW108" s="151"/>
      <c r="AX108" s="159"/>
      <c r="AY108" s="151"/>
      <c r="AZ108" s="148">
        <v>8.0000000000000004E-4</v>
      </c>
      <c r="BA108" s="149">
        <v>2.0000000000000002E-5</v>
      </c>
      <c r="BB108" s="196"/>
    </row>
    <row r="109" spans="1:54" x14ac:dyDescent="0.2">
      <c r="A109" s="144" t="s">
        <v>1217</v>
      </c>
      <c r="B109" s="145" t="s">
        <v>1217</v>
      </c>
      <c r="C109" s="151"/>
      <c r="D109" s="151"/>
      <c r="E109" s="151"/>
      <c r="F109" s="145" t="s">
        <v>3376</v>
      </c>
      <c r="G109" s="145" t="s">
        <v>1012</v>
      </c>
      <c r="H109" s="145" t="s">
        <v>784</v>
      </c>
      <c r="I109" s="145" t="s">
        <v>204</v>
      </c>
      <c r="J109" s="151"/>
      <c r="K109" s="145" t="s">
        <v>443</v>
      </c>
      <c r="L109" s="145" t="s">
        <v>339</v>
      </c>
      <c r="M109" s="145" t="s">
        <v>338</v>
      </c>
      <c r="N109" s="151"/>
      <c r="O109" s="145" t="s">
        <v>3377</v>
      </c>
      <c r="P109" s="151"/>
      <c r="Q109" s="145" t="s">
        <v>410</v>
      </c>
      <c r="R109" s="151"/>
      <c r="S109" s="145" t="s">
        <v>1210</v>
      </c>
      <c r="T109" s="146">
        <v>0.67</v>
      </c>
      <c r="U109" s="145" t="s">
        <v>823</v>
      </c>
      <c r="V109" s="148">
        <v>7.0000000000000007E-2</v>
      </c>
      <c r="W109" s="145"/>
      <c r="X109" s="151"/>
      <c r="Y109" s="151"/>
      <c r="Z109" s="148">
        <v>8.1600000000000006E-2</v>
      </c>
      <c r="AA109" s="145" t="s">
        <v>3369</v>
      </c>
      <c r="AB109" s="145" t="s">
        <v>412</v>
      </c>
      <c r="AC109" s="151" t="s">
        <v>771</v>
      </c>
      <c r="AD109" s="151">
        <v>130000</v>
      </c>
      <c r="AE109" s="188">
        <v>0.68</v>
      </c>
      <c r="AF109" s="145" t="s">
        <v>3445</v>
      </c>
      <c r="AG109" s="151"/>
      <c r="AH109" s="151"/>
      <c r="AI109" s="151"/>
      <c r="AJ109" s="145" t="s">
        <v>338</v>
      </c>
      <c r="AK109" s="145" t="s">
        <v>886</v>
      </c>
      <c r="AL109" s="151"/>
      <c r="AM109" s="145" t="s">
        <v>889</v>
      </c>
      <c r="AN109" s="177">
        <v>45747</v>
      </c>
      <c r="AO109" s="177">
        <v>45747</v>
      </c>
      <c r="AP109" s="151"/>
      <c r="AQ109" s="146">
        <v>384132</v>
      </c>
      <c r="AR109" s="146">
        <v>100.05</v>
      </c>
      <c r="AS109" s="146">
        <v>1</v>
      </c>
      <c r="AT109" s="146">
        <v>384.32400000000001</v>
      </c>
      <c r="AU109" s="186">
        <v>384.32406600000002</v>
      </c>
      <c r="AV109" s="151"/>
      <c r="AW109" s="151"/>
      <c r="AX109" s="159"/>
      <c r="AY109" s="151"/>
      <c r="AZ109" s="148">
        <v>7.2999999999999996E-4</v>
      </c>
      <c r="BA109" s="149">
        <v>2.0000000000000002E-5</v>
      </c>
      <c r="BB109" s="196"/>
    </row>
    <row r="110" spans="1:54" x14ac:dyDescent="0.2">
      <c r="A110" s="144" t="s">
        <v>1217</v>
      </c>
      <c r="B110" s="145" t="s">
        <v>1217</v>
      </c>
      <c r="C110" s="151"/>
      <c r="D110" s="151"/>
      <c r="E110" s="151"/>
      <c r="F110" s="145" t="s">
        <v>3378</v>
      </c>
      <c r="G110" s="145" t="s">
        <v>1012</v>
      </c>
      <c r="H110" s="145" t="s">
        <v>784</v>
      </c>
      <c r="I110" s="145" t="s">
        <v>204</v>
      </c>
      <c r="J110" s="151"/>
      <c r="K110" s="145" t="s">
        <v>443</v>
      </c>
      <c r="L110" s="145" t="s">
        <v>339</v>
      </c>
      <c r="M110" s="145" t="s">
        <v>338</v>
      </c>
      <c r="N110" s="151"/>
      <c r="O110" s="145" t="s">
        <v>3379</v>
      </c>
      <c r="P110" s="151"/>
      <c r="Q110" s="145" t="s">
        <v>410</v>
      </c>
      <c r="R110" s="151"/>
      <c r="S110" s="145" t="s">
        <v>1210</v>
      </c>
      <c r="T110" s="146">
        <v>0.67</v>
      </c>
      <c r="U110" s="145" t="s">
        <v>823</v>
      </c>
      <c r="V110" s="148">
        <v>7.0000000000000007E-2</v>
      </c>
      <c r="W110" s="145"/>
      <c r="X110" s="151"/>
      <c r="Y110" s="151"/>
      <c r="Z110" s="148">
        <v>5.4800000000000001E-2</v>
      </c>
      <c r="AA110" s="145" t="s">
        <v>3369</v>
      </c>
      <c r="AB110" s="145" t="s">
        <v>412</v>
      </c>
      <c r="AC110" s="151" t="s">
        <v>771</v>
      </c>
      <c r="AD110" s="151">
        <v>130000</v>
      </c>
      <c r="AE110" s="188">
        <v>0.68</v>
      </c>
      <c r="AF110" s="145" t="s">
        <v>3445</v>
      </c>
      <c r="AG110" s="151"/>
      <c r="AH110" s="151"/>
      <c r="AI110" s="151"/>
      <c r="AJ110" s="145" t="s">
        <v>338</v>
      </c>
      <c r="AK110" s="145" t="s">
        <v>886</v>
      </c>
      <c r="AL110" s="151"/>
      <c r="AM110" s="145" t="s">
        <v>889</v>
      </c>
      <c r="AN110" s="177">
        <v>45747</v>
      </c>
      <c r="AO110" s="177">
        <v>45747</v>
      </c>
      <c r="AP110" s="151"/>
      <c r="AQ110" s="146">
        <v>321224.77</v>
      </c>
      <c r="AR110" s="146">
        <v>102.03</v>
      </c>
      <c r="AS110" s="146">
        <v>1</v>
      </c>
      <c r="AT110" s="146">
        <v>327.74599999999998</v>
      </c>
      <c r="AU110" s="186">
        <v>327.745633</v>
      </c>
      <c r="AV110" s="151"/>
      <c r="AW110" s="151"/>
      <c r="AX110" s="159"/>
      <c r="AY110" s="151"/>
      <c r="AZ110" s="148">
        <v>6.2E-4</v>
      </c>
      <c r="BA110" s="149">
        <v>1.0000000000000001E-5</v>
      </c>
      <c r="BB110" s="196"/>
    </row>
    <row r="111" spans="1:54" x14ac:dyDescent="0.2">
      <c r="A111" s="144" t="s">
        <v>1217</v>
      </c>
      <c r="B111" s="145" t="s">
        <v>1217</v>
      </c>
      <c r="C111" s="151"/>
      <c r="D111" s="151"/>
      <c r="E111" s="151"/>
      <c r="F111" s="145" t="s">
        <v>3382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3352</v>
      </c>
      <c r="P111" s="151"/>
      <c r="Q111" s="145" t="s">
        <v>410</v>
      </c>
      <c r="R111" s="151"/>
      <c r="S111" s="145" t="s">
        <v>1210</v>
      </c>
      <c r="T111" s="146">
        <v>0.67</v>
      </c>
      <c r="U111" s="145" t="s">
        <v>823</v>
      </c>
      <c r="V111" s="148">
        <v>7.0000000000000007E-2</v>
      </c>
      <c r="W111" s="145"/>
      <c r="X111" s="151"/>
      <c r="Y111" s="151"/>
      <c r="Z111" s="148">
        <v>5.62E-2</v>
      </c>
      <c r="AA111" s="145" t="s">
        <v>3369</v>
      </c>
      <c r="AB111" s="145" t="s">
        <v>412</v>
      </c>
      <c r="AC111" s="151" t="s">
        <v>771</v>
      </c>
      <c r="AD111" s="151">
        <v>130000</v>
      </c>
      <c r="AE111" s="188">
        <v>0.68</v>
      </c>
      <c r="AF111" s="145" t="s">
        <v>3445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7">
        <v>45747</v>
      </c>
      <c r="AO111" s="177">
        <v>45747</v>
      </c>
      <c r="AP111" s="151"/>
      <c r="AQ111" s="146">
        <v>313171.37</v>
      </c>
      <c r="AR111" s="146">
        <v>101.94</v>
      </c>
      <c r="AS111" s="146">
        <v>1</v>
      </c>
      <c r="AT111" s="146">
        <v>319.24700000000001</v>
      </c>
      <c r="AU111" s="186">
        <v>319.24689499999999</v>
      </c>
      <c r="AV111" s="151"/>
      <c r="AW111" s="151"/>
      <c r="AX111" s="159"/>
      <c r="AY111" s="151"/>
      <c r="AZ111" s="148">
        <v>6.0999999999999997E-4</v>
      </c>
      <c r="BA111" s="149">
        <v>1.0000000000000001E-5</v>
      </c>
      <c r="BB111" s="196"/>
    </row>
    <row r="112" spans="1:54" x14ac:dyDescent="0.2">
      <c r="A112" s="144" t="s">
        <v>1217</v>
      </c>
      <c r="B112" s="145" t="s">
        <v>1217</v>
      </c>
      <c r="C112" s="151"/>
      <c r="D112" s="151"/>
      <c r="E112" s="151"/>
      <c r="F112" s="145" t="s">
        <v>3383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3384</v>
      </c>
      <c r="P112" s="151"/>
      <c r="Q112" s="145" t="s">
        <v>410</v>
      </c>
      <c r="R112" s="151"/>
      <c r="S112" s="145" t="s">
        <v>1210</v>
      </c>
      <c r="T112" s="146">
        <v>0.67</v>
      </c>
      <c r="U112" s="145" t="s">
        <v>823</v>
      </c>
      <c r="V112" s="148">
        <v>7.0000000000000007E-2</v>
      </c>
      <c r="W112" s="145"/>
      <c r="X112" s="151"/>
      <c r="Y112" s="151"/>
      <c r="Z112" s="148">
        <v>5.5599999999999997E-2</v>
      </c>
      <c r="AA112" s="145" t="s">
        <v>3369</v>
      </c>
      <c r="AB112" s="145" t="s">
        <v>412</v>
      </c>
      <c r="AC112" s="151" t="s">
        <v>771</v>
      </c>
      <c r="AD112" s="151">
        <v>130000</v>
      </c>
      <c r="AE112" s="188">
        <v>0.68</v>
      </c>
      <c r="AF112" s="145" t="s">
        <v>3445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7">
        <v>45747</v>
      </c>
      <c r="AO112" s="177">
        <v>45747</v>
      </c>
      <c r="AP112" s="151"/>
      <c r="AQ112" s="146">
        <v>286473.14</v>
      </c>
      <c r="AR112" s="146">
        <v>101.98</v>
      </c>
      <c r="AS112" s="146">
        <v>1</v>
      </c>
      <c r="AT112" s="146">
        <v>292.14499999999998</v>
      </c>
      <c r="AU112" s="186">
        <v>292.145308</v>
      </c>
      <c r="AV112" s="151"/>
      <c r="AW112" s="151"/>
      <c r="AX112" s="159"/>
      <c r="AY112" s="151"/>
      <c r="AZ112" s="148">
        <v>5.5000000000000003E-4</v>
      </c>
      <c r="BA112" s="149">
        <v>1.0000000000000001E-5</v>
      </c>
      <c r="BB112" s="196"/>
    </row>
    <row r="113" spans="1:54" x14ac:dyDescent="0.2">
      <c r="A113" s="144" t="s">
        <v>1217</v>
      </c>
      <c r="B113" s="145" t="s">
        <v>1217</v>
      </c>
      <c r="C113" s="151"/>
      <c r="D113" s="151"/>
      <c r="E113" s="151"/>
      <c r="F113" s="145" t="s">
        <v>3385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3386</v>
      </c>
      <c r="P113" s="151"/>
      <c r="Q113" s="145" t="s">
        <v>410</v>
      </c>
      <c r="R113" s="151"/>
      <c r="S113" s="145" t="s">
        <v>1210</v>
      </c>
      <c r="T113" s="146">
        <v>0.67</v>
      </c>
      <c r="U113" s="145" t="s">
        <v>823</v>
      </c>
      <c r="V113" s="148">
        <v>7.0000000000000007E-2</v>
      </c>
      <c r="W113" s="145"/>
      <c r="X113" s="151"/>
      <c r="Y113" s="151"/>
      <c r="Z113" s="148">
        <v>8.8599999999999998E-2</v>
      </c>
      <c r="AA113" s="145" t="s">
        <v>3369</v>
      </c>
      <c r="AB113" s="145" t="s">
        <v>412</v>
      </c>
      <c r="AC113" s="151" t="s">
        <v>771</v>
      </c>
      <c r="AD113" s="151">
        <v>130000</v>
      </c>
      <c r="AE113" s="188">
        <v>0.68</v>
      </c>
      <c r="AF113" s="145" t="s">
        <v>3445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7">
        <v>45747</v>
      </c>
      <c r="AO113" s="177">
        <v>45747</v>
      </c>
      <c r="AP113" s="151"/>
      <c r="AQ113" s="146">
        <v>274403.73</v>
      </c>
      <c r="AR113" s="146">
        <v>99.89</v>
      </c>
      <c r="AS113" s="146">
        <v>1</v>
      </c>
      <c r="AT113" s="146">
        <v>274.10199999999998</v>
      </c>
      <c r="AU113" s="186">
        <v>274.10188599999998</v>
      </c>
      <c r="AV113" s="151"/>
      <c r="AW113" s="151"/>
      <c r="AX113" s="159"/>
      <c r="AY113" s="151"/>
      <c r="AZ113" s="148">
        <v>5.1999999999999995E-4</v>
      </c>
      <c r="BA113" s="149">
        <v>1.0000000000000001E-5</v>
      </c>
      <c r="BB113" s="196"/>
    </row>
    <row r="114" spans="1:54" x14ac:dyDescent="0.2">
      <c r="A114" s="144" t="s">
        <v>1217</v>
      </c>
      <c r="B114" s="145" t="s">
        <v>1217</v>
      </c>
      <c r="C114" s="151"/>
      <c r="D114" s="151"/>
      <c r="E114" s="151"/>
      <c r="F114" s="145" t="s">
        <v>3387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3388</v>
      </c>
      <c r="P114" s="151"/>
      <c r="Q114" s="145" t="s">
        <v>410</v>
      </c>
      <c r="R114" s="151"/>
      <c r="S114" s="145" t="s">
        <v>1210</v>
      </c>
      <c r="T114" s="146">
        <v>0.67</v>
      </c>
      <c r="U114" s="145" t="s">
        <v>823</v>
      </c>
      <c r="V114" s="148">
        <v>7.0000000000000007E-2</v>
      </c>
      <c r="W114" s="145"/>
      <c r="X114" s="151"/>
      <c r="Y114" s="151"/>
      <c r="Z114" s="148">
        <v>5.67E-2</v>
      </c>
      <c r="AA114" s="145" t="s">
        <v>3369</v>
      </c>
      <c r="AB114" s="145" t="s">
        <v>412</v>
      </c>
      <c r="AC114" s="151" t="s">
        <v>771</v>
      </c>
      <c r="AD114" s="151">
        <v>130000</v>
      </c>
      <c r="AE114" s="188">
        <v>0.68</v>
      </c>
      <c r="AF114" s="145" t="s">
        <v>3445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7">
        <v>45747</v>
      </c>
      <c r="AO114" s="177">
        <v>45747</v>
      </c>
      <c r="AP114" s="151"/>
      <c r="AQ114" s="146">
        <v>211329.37</v>
      </c>
      <c r="AR114" s="146">
        <v>101.91</v>
      </c>
      <c r="AS114" s="146">
        <v>1</v>
      </c>
      <c r="AT114" s="146">
        <v>215.36600000000001</v>
      </c>
      <c r="AU114" s="186">
        <v>215.36576099999999</v>
      </c>
      <c r="AV114" s="151"/>
      <c r="AW114" s="151"/>
      <c r="AX114" s="159"/>
      <c r="AY114" s="151"/>
      <c r="AZ114" s="148">
        <v>4.0999999999999999E-4</v>
      </c>
      <c r="BA114" s="149">
        <v>1.0000000000000001E-5</v>
      </c>
      <c r="BB114" s="196"/>
    </row>
    <row r="115" spans="1:54" x14ac:dyDescent="0.2">
      <c r="A115" s="144" t="s">
        <v>1217</v>
      </c>
      <c r="B115" s="145" t="s">
        <v>1217</v>
      </c>
      <c r="C115" s="151"/>
      <c r="D115" s="151"/>
      <c r="E115" s="151"/>
      <c r="F115" s="145" t="s">
        <v>3389</v>
      </c>
      <c r="G115" s="145" t="s">
        <v>1012</v>
      </c>
      <c r="H115" s="145" t="s">
        <v>784</v>
      </c>
      <c r="I115" s="145" t="s">
        <v>204</v>
      </c>
      <c r="J115" s="151"/>
      <c r="K115" s="145" t="s">
        <v>443</v>
      </c>
      <c r="L115" s="145" t="s">
        <v>339</v>
      </c>
      <c r="M115" s="145" t="s">
        <v>338</v>
      </c>
      <c r="N115" s="151"/>
      <c r="O115" s="145" t="s">
        <v>3390</v>
      </c>
      <c r="P115" s="151"/>
      <c r="Q115" s="145" t="s">
        <v>410</v>
      </c>
      <c r="R115" s="151"/>
      <c r="S115" s="145" t="s">
        <v>1210</v>
      </c>
      <c r="T115" s="146">
        <v>0.67</v>
      </c>
      <c r="U115" s="145" t="s">
        <v>823</v>
      </c>
      <c r="V115" s="148">
        <v>7.0000000000000007E-2</v>
      </c>
      <c r="W115" s="145"/>
      <c r="X115" s="151"/>
      <c r="Y115" s="151"/>
      <c r="Z115" s="148">
        <v>5.5300000000000002E-2</v>
      </c>
      <c r="AA115" s="145" t="s">
        <v>3369</v>
      </c>
      <c r="AB115" s="145" t="s">
        <v>412</v>
      </c>
      <c r="AC115" s="151" t="s">
        <v>771</v>
      </c>
      <c r="AD115" s="151">
        <v>130000</v>
      </c>
      <c r="AE115" s="188">
        <v>0.68</v>
      </c>
      <c r="AF115" s="145" t="s">
        <v>3445</v>
      </c>
      <c r="AG115" s="151"/>
      <c r="AH115" s="151"/>
      <c r="AI115" s="151"/>
      <c r="AJ115" s="145" t="s">
        <v>338</v>
      </c>
      <c r="AK115" s="145" t="s">
        <v>886</v>
      </c>
      <c r="AL115" s="151"/>
      <c r="AM115" s="145" t="s">
        <v>889</v>
      </c>
      <c r="AN115" s="177">
        <v>45747</v>
      </c>
      <c r="AO115" s="177">
        <v>45747</v>
      </c>
      <c r="AP115" s="151"/>
      <c r="AQ115" s="146">
        <v>208892.29</v>
      </c>
      <c r="AR115" s="146">
        <v>102</v>
      </c>
      <c r="AS115" s="146">
        <v>1</v>
      </c>
      <c r="AT115" s="146">
        <v>213.07</v>
      </c>
      <c r="AU115" s="186">
        <v>213.07013599999999</v>
      </c>
      <c r="AV115" s="151"/>
      <c r="AW115" s="151"/>
      <c r="AX115" s="159"/>
      <c r="AY115" s="151"/>
      <c r="AZ115" s="148">
        <v>4.0000000000000002E-4</v>
      </c>
      <c r="BA115" s="149">
        <v>1.0000000000000001E-5</v>
      </c>
      <c r="BB115" s="196"/>
    </row>
    <row r="116" spans="1:54" x14ac:dyDescent="0.2">
      <c r="A116" s="144" t="s">
        <v>1217</v>
      </c>
      <c r="B116" s="145" t="s">
        <v>1217</v>
      </c>
      <c r="C116" s="151"/>
      <c r="D116" s="151"/>
      <c r="E116" s="151"/>
      <c r="F116" s="145" t="s">
        <v>3391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3392</v>
      </c>
      <c r="P116" s="151"/>
      <c r="Q116" s="145" t="s">
        <v>410</v>
      </c>
      <c r="R116" s="151"/>
      <c r="S116" s="145" t="s">
        <v>1210</v>
      </c>
      <c r="T116" s="146">
        <v>0.67</v>
      </c>
      <c r="U116" s="145" t="s">
        <v>823</v>
      </c>
      <c r="V116" s="148">
        <v>7.0000000000000007E-2</v>
      </c>
      <c r="W116" s="145"/>
      <c r="X116" s="151"/>
      <c r="Y116" s="151"/>
      <c r="Z116" s="148">
        <v>6.7000000000000004E-2</v>
      </c>
      <c r="AA116" s="145" t="s">
        <v>3369</v>
      </c>
      <c r="AB116" s="145" t="s">
        <v>412</v>
      </c>
      <c r="AC116" s="151" t="s">
        <v>771</v>
      </c>
      <c r="AD116" s="151">
        <v>130000</v>
      </c>
      <c r="AE116" s="188">
        <v>0.68</v>
      </c>
      <c r="AF116" s="145" t="s">
        <v>3445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7">
        <v>45747</v>
      </c>
      <c r="AO116" s="177">
        <v>45747</v>
      </c>
      <c r="AP116" s="151"/>
      <c r="AQ116" s="146">
        <v>204188.37</v>
      </c>
      <c r="AR116" s="146">
        <v>102.37</v>
      </c>
      <c r="AS116" s="146">
        <v>1</v>
      </c>
      <c r="AT116" s="146">
        <v>209.02799999999999</v>
      </c>
      <c r="AU116" s="186">
        <v>209.02763399999998</v>
      </c>
      <c r="AV116" s="151"/>
      <c r="AW116" s="151"/>
      <c r="AX116" s="159"/>
      <c r="AY116" s="151"/>
      <c r="AZ116" s="148">
        <v>4.0000000000000002E-4</v>
      </c>
      <c r="BA116" s="149">
        <v>1.0000000000000001E-5</v>
      </c>
      <c r="BB116" s="196"/>
    </row>
    <row r="117" spans="1:54" x14ac:dyDescent="0.2">
      <c r="A117" s="144" t="s">
        <v>1217</v>
      </c>
      <c r="B117" s="145" t="s">
        <v>1217</v>
      </c>
      <c r="C117" s="151"/>
      <c r="D117" s="151"/>
      <c r="E117" s="151"/>
      <c r="F117" s="145" t="s">
        <v>3393</v>
      </c>
      <c r="G117" s="145" t="s">
        <v>1012</v>
      </c>
      <c r="H117" s="151"/>
      <c r="I117" s="145" t="s">
        <v>204</v>
      </c>
      <c r="J117" s="151"/>
      <c r="K117" s="145" t="s">
        <v>454</v>
      </c>
      <c r="L117" s="145" t="s">
        <v>339</v>
      </c>
      <c r="M117" s="145" t="s">
        <v>338</v>
      </c>
      <c r="N117" s="151"/>
      <c r="O117" s="145" t="s">
        <v>3394</v>
      </c>
      <c r="P117" s="145" t="s">
        <v>1547</v>
      </c>
      <c r="Q117" s="145" t="s">
        <v>413</v>
      </c>
      <c r="R117" s="145" t="s">
        <v>408</v>
      </c>
      <c r="S117" s="145" t="s">
        <v>1210</v>
      </c>
      <c r="T117" s="146">
        <v>5.51</v>
      </c>
      <c r="U117" s="145" t="s">
        <v>824</v>
      </c>
      <c r="V117" s="148">
        <v>3.3099999999999997E-2</v>
      </c>
      <c r="W117" s="145"/>
      <c r="X117" s="151"/>
      <c r="Y117" s="151"/>
      <c r="Z117" s="148">
        <v>3.3300000000000003E-2</v>
      </c>
      <c r="AA117" s="145" t="s">
        <v>3312</v>
      </c>
      <c r="AB117" s="145" t="s">
        <v>412</v>
      </c>
      <c r="AC117" s="151"/>
      <c r="AD117" s="151"/>
      <c r="AE117" s="188"/>
      <c r="AF117" s="151" t="s">
        <v>3445</v>
      </c>
      <c r="AG117" s="151"/>
      <c r="AH117" s="151"/>
      <c r="AI117" s="151"/>
      <c r="AJ117" s="151"/>
      <c r="AK117" s="145" t="s">
        <v>886</v>
      </c>
      <c r="AL117" s="151"/>
      <c r="AM117" s="145" t="s">
        <v>889</v>
      </c>
      <c r="AN117" s="177">
        <v>45747</v>
      </c>
      <c r="AO117" s="177">
        <v>45747</v>
      </c>
      <c r="AP117" s="151"/>
      <c r="AQ117" s="146">
        <v>175124.01</v>
      </c>
      <c r="AR117" s="146">
        <v>117.05</v>
      </c>
      <c r="AS117" s="146">
        <v>1</v>
      </c>
      <c r="AT117" s="146">
        <v>204.983</v>
      </c>
      <c r="AU117" s="186">
        <v>204.982654</v>
      </c>
      <c r="AV117" s="151"/>
      <c r="AW117" s="151"/>
      <c r="AX117" s="159"/>
      <c r="AY117" s="151"/>
      <c r="AZ117" s="148">
        <v>3.8999999999999999E-4</v>
      </c>
      <c r="BA117" s="149">
        <v>1.0000000000000001E-5</v>
      </c>
      <c r="BB117" s="196"/>
    </row>
    <row r="118" spans="1:54" x14ac:dyDescent="0.2">
      <c r="A118" s="144" t="s">
        <v>1217</v>
      </c>
      <c r="B118" s="145" t="s">
        <v>1217</v>
      </c>
      <c r="C118" s="151"/>
      <c r="D118" s="151"/>
      <c r="E118" s="151"/>
      <c r="F118" s="145" t="s">
        <v>3395</v>
      </c>
      <c r="G118" s="145" t="s">
        <v>1012</v>
      </c>
      <c r="H118" s="145" t="s">
        <v>784</v>
      </c>
      <c r="I118" s="145" t="s">
        <v>204</v>
      </c>
      <c r="J118" s="151"/>
      <c r="K118" s="145" t="s">
        <v>443</v>
      </c>
      <c r="L118" s="145" t="s">
        <v>339</v>
      </c>
      <c r="M118" s="145" t="s">
        <v>338</v>
      </c>
      <c r="N118" s="151"/>
      <c r="O118" s="145" t="s">
        <v>3396</v>
      </c>
      <c r="P118" s="151"/>
      <c r="Q118" s="145" t="s">
        <v>410</v>
      </c>
      <c r="R118" s="151"/>
      <c r="S118" s="145" t="s">
        <v>1210</v>
      </c>
      <c r="T118" s="146">
        <v>0.67</v>
      </c>
      <c r="U118" s="145" t="s">
        <v>823</v>
      </c>
      <c r="V118" s="148">
        <v>7.0000000000000007E-2</v>
      </c>
      <c r="W118" s="145"/>
      <c r="X118" s="151"/>
      <c r="Y118" s="151"/>
      <c r="Z118" s="148">
        <v>5.7000000000000002E-2</v>
      </c>
      <c r="AA118" s="145" t="s">
        <v>3369</v>
      </c>
      <c r="AB118" s="145" t="s">
        <v>412</v>
      </c>
      <c r="AC118" s="151" t="s">
        <v>771</v>
      </c>
      <c r="AD118" s="151">
        <v>130000</v>
      </c>
      <c r="AE118" s="188">
        <v>0.68</v>
      </c>
      <c r="AF118" s="145" t="s">
        <v>3445</v>
      </c>
      <c r="AG118" s="151"/>
      <c r="AH118" s="151"/>
      <c r="AI118" s="151"/>
      <c r="AJ118" s="145" t="s">
        <v>338</v>
      </c>
      <c r="AK118" s="145" t="s">
        <v>886</v>
      </c>
      <c r="AL118" s="151"/>
      <c r="AM118" s="145" t="s">
        <v>889</v>
      </c>
      <c r="AN118" s="177">
        <v>45747</v>
      </c>
      <c r="AO118" s="177">
        <v>45747</v>
      </c>
      <c r="AP118" s="151"/>
      <c r="AQ118" s="146">
        <v>156120.15</v>
      </c>
      <c r="AR118" s="146">
        <v>101.89</v>
      </c>
      <c r="AS118" s="146">
        <v>1</v>
      </c>
      <c r="AT118" s="146">
        <v>159.071</v>
      </c>
      <c r="AU118" s="186">
        <v>159.070821</v>
      </c>
      <c r="AV118" s="151"/>
      <c r="AW118" s="151"/>
      <c r="AX118" s="159"/>
      <c r="AY118" s="151"/>
      <c r="AZ118" s="148">
        <v>2.9999999999999997E-4</v>
      </c>
      <c r="BA118" s="149">
        <v>1.0000000000000001E-5</v>
      </c>
      <c r="BB118" s="196"/>
    </row>
    <row r="119" spans="1:54" x14ac:dyDescent="0.2">
      <c r="A119" s="144" t="s">
        <v>1217</v>
      </c>
      <c r="B119" s="145" t="s">
        <v>1217</v>
      </c>
      <c r="C119" s="151"/>
      <c r="D119" s="151"/>
      <c r="E119" s="151"/>
      <c r="F119" s="145" t="s">
        <v>3397</v>
      </c>
      <c r="G119" s="145" t="s">
        <v>1012</v>
      </c>
      <c r="H119" s="145" t="s">
        <v>784</v>
      </c>
      <c r="I119" s="145" t="s">
        <v>204</v>
      </c>
      <c r="J119" s="151"/>
      <c r="K119" s="145" t="s">
        <v>443</v>
      </c>
      <c r="L119" s="145" t="s">
        <v>339</v>
      </c>
      <c r="M119" s="145" t="s">
        <v>338</v>
      </c>
      <c r="N119" s="151"/>
      <c r="O119" s="145" t="s">
        <v>3398</v>
      </c>
      <c r="P119" s="151"/>
      <c r="Q119" s="145" t="s">
        <v>410</v>
      </c>
      <c r="R119" s="151"/>
      <c r="S119" s="145" t="s">
        <v>1210</v>
      </c>
      <c r="T119" s="146">
        <v>0.67</v>
      </c>
      <c r="U119" s="145" t="s">
        <v>823</v>
      </c>
      <c r="V119" s="148">
        <v>7.0000000000000007E-2</v>
      </c>
      <c r="W119" s="145"/>
      <c r="X119" s="151"/>
      <c r="Y119" s="151"/>
      <c r="Z119" s="148">
        <v>5.7500000000000002E-2</v>
      </c>
      <c r="AA119" s="145" t="s">
        <v>3369</v>
      </c>
      <c r="AB119" s="145" t="s">
        <v>412</v>
      </c>
      <c r="AC119" s="151" t="s">
        <v>771</v>
      </c>
      <c r="AD119" s="151">
        <v>130000</v>
      </c>
      <c r="AE119" s="188">
        <v>0.68</v>
      </c>
      <c r="AF119" s="145" t="s">
        <v>3445</v>
      </c>
      <c r="AG119" s="151"/>
      <c r="AH119" s="151"/>
      <c r="AI119" s="151"/>
      <c r="AJ119" s="145" t="s">
        <v>338</v>
      </c>
      <c r="AK119" s="145" t="s">
        <v>886</v>
      </c>
      <c r="AL119" s="151"/>
      <c r="AM119" s="145" t="s">
        <v>889</v>
      </c>
      <c r="AN119" s="177">
        <v>45747</v>
      </c>
      <c r="AO119" s="177">
        <v>45747</v>
      </c>
      <c r="AP119" s="151"/>
      <c r="AQ119" s="146">
        <v>156120.28</v>
      </c>
      <c r="AR119" s="146">
        <v>101.86</v>
      </c>
      <c r="AS119" s="146">
        <v>1</v>
      </c>
      <c r="AT119" s="146">
        <v>159.024</v>
      </c>
      <c r="AU119" s="186">
        <v>159.02411699999999</v>
      </c>
      <c r="AV119" s="151"/>
      <c r="AW119" s="151"/>
      <c r="AX119" s="159"/>
      <c r="AY119" s="151"/>
      <c r="AZ119" s="148">
        <v>2.9999999999999997E-4</v>
      </c>
      <c r="BA119" s="149">
        <v>1.0000000000000001E-5</v>
      </c>
      <c r="BB119" s="196"/>
    </row>
    <row r="120" spans="1:54" x14ac:dyDescent="0.2">
      <c r="A120" s="144" t="s">
        <v>1217</v>
      </c>
      <c r="B120" s="145" t="s">
        <v>1217</v>
      </c>
      <c r="C120" s="151"/>
      <c r="D120" s="151"/>
      <c r="E120" s="151"/>
      <c r="F120" s="145" t="s">
        <v>3399</v>
      </c>
      <c r="G120" s="145" t="s">
        <v>1012</v>
      </c>
      <c r="H120" s="145" t="s">
        <v>784</v>
      </c>
      <c r="I120" s="145" t="s">
        <v>204</v>
      </c>
      <c r="J120" s="151"/>
      <c r="K120" s="145" t="s">
        <v>443</v>
      </c>
      <c r="L120" s="145" t="s">
        <v>339</v>
      </c>
      <c r="M120" s="145" t="s">
        <v>338</v>
      </c>
      <c r="N120" s="151"/>
      <c r="O120" s="145" t="s">
        <v>3400</v>
      </c>
      <c r="P120" s="151"/>
      <c r="Q120" s="145" t="s">
        <v>410</v>
      </c>
      <c r="R120" s="151"/>
      <c r="S120" s="145" t="s">
        <v>1210</v>
      </c>
      <c r="T120" s="146">
        <v>0.67</v>
      </c>
      <c r="U120" s="145" t="s">
        <v>823</v>
      </c>
      <c r="V120" s="148">
        <v>7.0000000000000007E-2</v>
      </c>
      <c r="W120" s="145"/>
      <c r="X120" s="151"/>
      <c r="Y120" s="151"/>
      <c r="Z120" s="148">
        <v>6.5100000000000005E-2</v>
      </c>
      <c r="AA120" s="145" t="s">
        <v>3369</v>
      </c>
      <c r="AB120" s="145" t="s">
        <v>412</v>
      </c>
      <c r="AC120" s="151" t="s">
        <v>771</v>
      </c>
      <c r="AD120" s="151">
        <v>130000</v>
      </c>
      <c r="AE120" s="188">
        <v>0.68</v>
      </c>
      <c r="AF120" s="145" t="s">
        <v>3445</v>
      </c>
      <c r="AG120" s="151"/>
      <c r="AH120" s="151"/>
      <c r="AI120" s="151"/>
      <c r="AJ120" s="145" t="s">
        <v>338</v>
      </c>
      <c r="AK120" s="145" t="s">
        <v>886</v>
      </c>
      <c r="AL120" s="151"/>
      <c r="AM120" s="145" t="s">
        <v>889</v>
      </c>
      <c r="AN120" s="177">
        <v>45747</v>
      </c>
      <c r="AO120" s="177">
        <v>45747</v>
      </c>
      <c r="AP120" s="151"/>
      <c r="AQ120" s="146">
        <v>156545.5</v>
      </c>
      <c r="AR120" s="146">
        <v>101.37</v>
      </c>
      <c r="AS120" s="146">
        <v>1</v>
      </c>
      <c r="AT120" s="146">
        <v>158.69</v>
      </c>
      <c r="AU120" s="186">
        <v>158.69017300000002</v>
      </c>
      <c r="AV120" s="151"/>
      <c r="AW120" s="151"/>
      <c r="AX120" s="159"/>
      <c r="AY120" s="151"/>
      <c r="AZ120" s="148">
        <v>2.9999999999999997E-4</v>
      </c>
      <c r="BA120" s="149">
        <v>1.0000000000000001E-5</v>
      </c>
      <c r="BB120" s="196"/>
    </row>
    <row r="121" spans="1:54" x14ac:dyDescent="0.2">
      <c r="A121" s="144" t="s">
        <v>1217</v>
      </c>
      <c r="B121" s="145" t="s">
        <v>1217</v>
      </c>
      <c r="C121" s="151"/>
      <c r="D121" s="151"/>
      <c r="E121" s="151"/>
      <c r="F121" s="145" t="s">
        <v>3401</v>
      </c>
      <c r="G121" s="145" t="s">
        <v>1012</v>
      </c>
      <c r="H121" s="145" t="s">
        <v>784</v>
      </c>
      <c r="I121" s="145" t="s">
        <v>204</v>
      </c>
      <c r="J121" s="151"/>
      <c r="K121" s="145" t="s">
        <v>443</v>
      </c>
      <c r="L121" s="145" t="s">
        <v>339</v>
      </c>
      <c r="M121" s="145" t="s">
        <v>338</v>
      </c>
      <c r="N121" s="151"/>
      <c r="O121" s="145" t="s">
        <v>3402</v>
      </c>
      <c r="P121" s="151"/>
      <c r="Q121" s="145" t="s">
        <v>410</v>
      </c>
      <c r="R121" s="151"/>
      <c r="S121" s="145" t="s">
        <v>1210</v>
      </c>
      <c r="T121" s="146">
        <v>0.67</v>
      </c>
      <c r="U121" s="145" t="s">
        <v>823</v>
      </c>
      <c r="V121" s="148">
        <v>7.0000000000000007E-2</v>
      </c>
      <c r="W121" s="145"/>
      <c r="X121" s="151"/>
      <c r="Y121" s="151"/>
      <c r="Z121" s="148">
        <v>6.2100000000000002E-2</v>
      </c>
      <c r="AA121" s="145" t="s">
        <v>3369</v>
      </c>
      <c r="AB121" s="145" t="s">
        <v>412</v>
      </c>
      <c r="AC121" s="151" t="s">
        <v>771</v>
      </c>
      <c r="AD121" s="151">
        <v>130000</v>
      </c>
      <c r="AE121" s="188">
        <v>0.68</v>
      </c>
      <c r="AF121" s="145" t="s">
        <v>3445</v>
      </c>
      <c r="AG121" s="151"/>
      <c r="AH121" s="151"/>
      <c r="AI121" s="151"/>
      <c r="AJ121" s="145" t="s">
        <v>338</v>
      </c>
      <c r="AK121" s="145" t="s">
        <v>886</v>
      </c>
      <c r="AL121" s="151"/>
      <c r="AM121" s="145" t="s">
        <v>889</v>
      </c>
      <c r="AN121" s="177">
        <v>45747</v>
      </c>
      <c r="AO121" s="177">
        <v>45747</v>
      </c>
      <c r="AP121" s="151"/>
      <c r="AQ121" s="146">
        <v>156109.98000000001</v>
      </c>
      <c r="AR121" s="146">
        <v>101.56</v>
      </c>
      <c r="AS121" s="146">
        <v>1</v>
      </c>
      <c r="AT121" s="146">
        <v>158.54499999999999</v>
      </c>
      <c r="AU121" s="186">
        <v>158.54529600000001</v>
      </c>
      <c r="AV121" s="151"/>
      <c r="AW121" s="151"/>
      <c r="AX121" s="159"/>
      <c r="AY121" s="151"/>
      <c r="AZ121" s="148">
        <v>2.9999999999999997E-4</v>
      </c>
      <c r="BA121" s="149">
        <v>1.0000000000000001E-5</v>
      </c>
      <c r="BB121" s="196"/>
    </row>
    <row r="122" spans="1:54" x14ac:dyDescent="0.2">
      <c r="A122" s="144" t="s">
        <v>1217</v>
      </c>
      <c r="B122" s="145" t="s">
        <v>1217</v>
      </c>
      <c r="C122" s="151"/>
      <c r="D122" s="151"/>
      <c r="E122" s="151"/>
      <c r="F122" s="145" t="s">
        <v>3403</v>
      </c>
      <c r="G122" s="145" t="s">
        <v>1012</v>
      </c>
      <c r="H122" s="145" t="s">
        <v>784</v>
      </c>
      <c r="I122" s="145" t="s">
        <v>204</v>
      </c>
      <c r="J122" s="151"/>
      <c r="K122" s="145" t="s">
        <v>443</v>
      </c>
      <c r="L122" s="145" t="s">
        <v>339</v>
      </c>
      <c r="M122" s="145" t="s">
        <v>338</v>
      </c>
      <c r="N122" s="151"/>
      <c r="O122" s="145" t="s">
        <v>3404</v>
      </c>
      <c r="P122" s="151"/>
      <c r="Q122" s="145" t="s">
        <v>410</v>
      </c>
      <c r="R122" s="151"/>
      <c r="S122" s="145" t="s">
        <v>1210</v>
      </c>
      <c r="T122" s="146">
        <v>0.67</v>
      </c>
      <c r="U122" s="145" t="s">
        <v>823</v>
      </c>
      <c r="V122" s="148">
        <v>7.0000000000000007E-2</v>
      </c>
      <c r="W122" s="145"/>
      <c r="X122" s="151"/>
      <c r="Y122" s="151"/>
      <c r="Z122" s="148">
        <v>5.6500000000000002E-2</v>
      </c>
      <c r="AA122" s="145" t="s">
        <v>3369</v>
      </c>
      <c r="AB122" s="145" t="s">
        <v>412</v>
      </c>
      <c r="AC122" s="151" t="s">
        <v>771</v>
      </c>
      <c r="AD122" s="151">
        <v>130000</v>
      </c>
      <c r="AE122" s="188">
        <v>0.68</v>
      </c>
      <c r="AF122" s="145" t="s">
        <v>3445</v>
      </c>
      <c r="AG122" s="151"/>
      <c r="AH122" s="151"/>
      <c r="AI122" s="151"/>
      <c r="AJ122" s="145" t="s">
        <v>338</v>
      </c>
      <c r="AK122" s="145" t="s">
        <v>886</v>
      </c>
      <c r="AL122" s="151"/>
      <c r="AM122" s="145" t="s">
        <v>889</v>
      </c>
      <c r="AN122" s="177">
        <v>45747</v>
      </c>
      <c r="AO122" s="177">
        <v>45747</v>
      </c>
      <c r="AP122" s="151"/>
      <c r="AQ122" s="146">
        <v>135248.64000000001</v>
      </c>
      <c r="AR122" s="146">
        <v>101.92</v>
      </c>
      <c r="AS122" s="146">
        <v>1</v>
      </c>
      <c r="AT122" s="146">
        <v>137.845</v>
      </c>
      <c r="AU122" s="186">
        <v>137.84541399999998</v>
      </c>
      <c r="AV122" s="151"/>
      <c r="AW122" s="151"/>
      <c r="AX122" s="159"/>
      <c r="AY122" s="151"/>
      <c r="AZ122" s="148">
        <v>2.5999999999999998E-4</v>
      </c>
      <c r="BA122" s="149">
        <v>1.0000000000000001E-5</v>
      </c>
      <c r="BB122" s="196"/>
    </row>
    <row r="123" spans="1:54" x14ac:dyDescent="0.2">
      <c r="A123" s="144" t="s">
        <v>1217</v>
      </c>
      <c r="B123" s="145" t="s">
        <v>1217</v>
      </c>
      <c r="C123" s="151"/>
      <c r="D123" s="151"/>
      <c r="E123" s="151"/>
      <c r="F123" s="145" t="s">
        <v>3405</v>
      </c>
      <c r="G123" s="145" t="s">
        <v>1012</v>
      </c>
      <c r="H123" s="145" t="s">
        <v>784</v>
      </c>
      <c r="I123" s="145" t="s">
        <v>204</v>
      </c>
      <c r="J123" s="151"/>
      <c r="K123" s="145" t="s">
        <v>443</v>
      </c>
      <c r="L123" s="145" t="s">
        <v>339</v>
      </c>
      <c r="M123" s="145" t="s">
        <v>338</v>
      </c>
      <c r="N123" s="151"/>
      <c r="O123" s="145" t="s">
        <v>3406</v>
      </c>
      <c r="P123" s="151"/>
      <c r="Q123" s="145" t="s">
        <v>410</v>
      </c>
      <c r="R123" s="151"/>
      <c r="S123" s="145" t="s">
        <v>1210</v>
      </c>
      <c r="T123" s="146">
        <v>0.67</v>
      </c>
      <c r="U123" s="145" t="s">
        <v>823</v>
      </c>
      <c r="V123" s="148">
        <v>7.0000000000000007E-2</v>
      </c>
      <c r="W123" s="145"/>
      <c r="X123" s="151"/>
      <c r="Y123" s="151"/>
      <c r="Z123" s="148">
        <v>6.4299999999999996E-2</v>
      </c>
      <c r="AA123" s="145" t="s">
        <v>3369</v>
      </c>
      <c r="AB123" s="145" t="s">
        <v>412</v>
      </c>
      <c r="AC123" s="151" t="s">
        <v>771</v>
      </c>
      <c r="AD123" s="151">
        <v>130000</v>
      </c>
      <c r="AE123" s="188">
        <v>0.68</v>
      </c>
      <c r="AF123" s="145" t="s">
        <v>3445</v>
      </c>
      <c r="AG123" s="151"/>
      <c r="AH123" s="151"/>
      <c r="AI123" s="151"/>
      <c r="AJ123" s="145" t="s">
        <v>338</v>
      </c>
      <c r="AK123" s="145" t="s">
        <v>886</v>
      </c>
      <c r="AL123" s="151"/>
      <c r="AM123" s="145" t="s">
        <v>889</v>
      </c>
      <c r="AN123" s="177">
        <v>45747</v>
      </c>
      <c r="AO123" s="177">
        <v>45747</v>
      </c>
      <c r="AP123" s="151"/>
      <c r="AQ123" s="146">
        <v>115671.93</v>
      </c>
      <c r="AR123" s="146">
        <v>101.42</v>
      </c>
      <c r="AS123" s="146">
        <v>1</v>
      </c>
      <c r="AT123" s="146">
        <v>117.31399999999999</v>
      </c>
      <c r="AU123" s="186">
        <v>117.31447100000001</v>
      </c>
      <c r="AV123" s="151"/>
      <c r="AW123" s="151"/>
      <c r="AX123" s="159"/>
      <c r="AY123" s="151"/>
      <c r="AZ123" s="148">
        <v>2.2000000000000001E-4</v>
      </c>
      <c r="BA123" s="149">
        <v>0</v>
      </c>
      <c r="BB123" s="196"/>
    </row>
    <row r="124" spans="1:54" x14ac:dyDescent="0.2">
      <c r="A124" s="144" t="s">
        <v>1217</v>
      </c>
      <c r="B124" s="145" t="s">
        <v>1217</v>
      </c>
      <c r="C124" s="151"/>
      <c r="D124" s="151"/>
      <c r="E124" s="151"/>
      <c r="F124" s="145" t="s">
        <v>3407</v>
      </c>
      <c r="G124" s="145" t="s">
        <v>1012</v>
      </c>
      <c r="H124" s="145" t="s">
        <v>784</v>
      </c>
      <c r="I124" s="145" t="s">
        <v>204</v>
      </c>
      <c r="J124" s="151"/>
      <c r="K124" s="145" t="s">
        <v>443</v>
      </c>
      <c r="L124" s="145" t="s">
        <v>339</v>
      </c>
      <c r="M124" s="145" t="s">
        <v>338</v>
      </c>
      <c r="N124" s="151"/>
      <c r="O124" s="145" t="s">
        <v>3408</v>
      </c>
      <c r="P124" s="151"/>
      <c r="Q124" s="145" t="s">
        <v>410</v>
      </c>
      <c r="R124" s="151"/>
      <c r="S124" s="145" t="s">
        <v>1210</v>
      </c>
      <c r="T124" s="146">
        <v>0.67</v>
      </c>
      <c r="U124" s="145" t="s">
        <v>823</v>
      </c>
      <c r="V124" s="148">
        <v>7.0000000000000007E-2</v>
      </c>
      <c r="W124" s="145"/>
      <c r="X124" s="151"/>
      <c r="Y124" s="151"/>
      <c r="Z124" s="148">
        <v>6.0600000000000001E-2</v>
      </c>
      <c r="AA124" s="145" t="s">
        <v>3369</v>
      </c>
      <c r="AB124" s="145" t="s">
        <v>412</v>
      </c>
      <c r="AC124" s="151" t="s">
        <v>771</v>
      </c>
      <c r="AD124" s="151">
        <v>130000</v>
      </c>
      <c r="AE124" s="188">
        <v>0.68</v>
      </c>
      <c r="AF124" s="145" t="s">
        <v>3445</v>
      </c>
      <c r="AG124" s="151"/>
      <c r="AH124" s="151"/>
      <c r="AI124" s="151"/>
      <c r="AJ124" s="145" t="s">
        <v>338</v>
      </c>
      <c r="AK124" s="145" t="s">
        <v>886</v>
      </c>
      <c r="AL124" s="151"/>
      <c r="AM124" s="145" t="s">
        <v>889</v>
      </c>
      <c r="AN124" s="177">
        <v>45747</v>
      </c>
      <c r="AO124" s="177">
        <v>45747</v>
      </c>
      <c r="AP124" s="151"/>
      <c r="AQ124" s="146">
        <v>114394.98</v>
      </c>
      <c r="AR124" s="146">
        <v>101.66</v>
      </c>
      <c r="AS124" s="146">
        <v>1</v>
      </c>
      <c r="AT124" s="146">
        <v>116.294</v>
      </c>
      <c r="AU124" s="186">
        <v>116.293937</v>
      </c>
      <c r="AV124" s="151"/>
      <c r="AW124" s="151"/>
      <c r="AX124" s="159"/>
      <c r="AY124" s="151"/>
      <c r="AZ124" s="148">
        <v>2.2000000000000001E-4</v>
      </c>
      <c r="BA124" s="149">
        <v>0</v>
      </c>
      <c r="BB124" s="196"/>
    </row>
    <row r="125" spans="1:54" x14ac:dyDescent="0.2">
      <c r="A125" s="144" t="s">
        <v>1217</v>
      </c>
      <c r="B125" s="145" t="s">
        <v>1217</v>
      </c>
      <c r="C125" s="151"/>
      <c r="D125" s="151"/>
      <c r="E125" s="151"/>
      <c r="F125" s="145" t="s">
        <v>3409</v>
      </c>
      <c r="G125" s="145" t="s">
        <v>1012</v>
      </c>
      <c r="H125" s="145" t="s">
        <v>784</v>
      </c>
      <c r="I125" s="145" t="s">
        <v>204</v>
      </c>
      <c r="J125" s="151"/>
      <c r="K125" s="145" t="s">
        <v>443</v>
      </c>
      <c r="L125" s="145" t="s">
        <v>339</v>
      </c>
      <c r="M125" s="145" t="s">
        <v>338</v>
      </c>
      <c r="N125" s="151"/>
      <c r="O125" s="145" t="s">
        <v>3410</v>
      </c>
      <c r="P125" s="151"/>
      <c r="Q125" s="145" t="s">
        <v>410</v>
      </c>
      <c r="R125" s="151"/>
      <c r="S125" s="145" t="s">
        <v>1210</v>
      </c>
      <c r="T125" s="146">
        <v>0.67</v>
      </c>
      <c r="U125" s="145" t="s">
        <v>823</v>
      </c>
      <c r="V125" s="148">
        <v>7.0000000000000007E-2</v>
      </c>
      <c r="W125" s="145"/>
      <c r="X125" s="151"/>
      <c r="Y125" s="151"/>
      <c r="Z125" s="148">
        <v>5.5899999999999998E-2</v>
      </c>
      <c r="AA125" s="145" t="s">
        <v>3369</v>
      </c>
      <c r="AB125" s="145" t="s">
        <v>412</v>
      </c>
      <c r="AC125" s="151" t="s">
        <v>771</v>
      </c>
      <c r="AD125" s="151">
        <v>130000</v>
      </c>
      <c r="AE125" s="188">
        <v>0.68</v>
      </c>
      <c r="AF125" s="145" t="s">
        <v>3445</v>
      </c>
      <c r="AG125" s="151"/>
      <c r="AH125" s="151"/>
      <c r="AI125" s="151"/>
      <c r="AJ125" s="145" t="s">
        <v>338</v>
      </c>
      <c r="AK125" s="145" t="s">
        <v>886</v>
      </c>
      <c r="AL125" s="151"/>
      <c r="AM125" s="145" t="s">
        <v>889</v>
      </c>
      <c r="AN125" s="177">
        <v>45747</v>
      </c>
      <c r="AO125" s="177">
        <v>45747</v>
      </c>
      <c r="AP125" s="151"/>
      <c r="AQ125" s="146">
        <v>104140</v>
      </c>
      <c r="AR125" s="146">
        <v>101.96</v>
      </c>
      <c r="AS125" s="146">
        <v>1</v>
      </c>
      <c r="AT125" s="146">
        <v>106.181</v>
      </c>
      <c r="AU125" s="186">
        <v>106.181144</v>
      </c>
      <c r="AV125" s="151"/>
      <c r="AW125" s="151"/>
      <c r="AX125" s="159"/>
      <c r="AY125" s="151"/>
      <c r="AZ125" s="148">
        <v>2.0000000000000001E-4</v>
      </c>
      <c r="BA125" s="149">
        <v>0</v>
      </c>
      <c r="BB125" s="196"/>
    </row>
    <row r="126" spans="1:54" x14ac:dyDescent="0.2">
      <c r="A126" s="144" t="s">
        <v>1217</v>
      </c>
      <c r="B126" s="145" t="s">
        <v>1217</v>
      </c>
      <c r="C126" s="151"/>
      <c r="D126" s="151"/>
      <c r="E126" s="151"/>
      <c r="F126" s="145" t="s">
        <v>3411</v>
      </c>
      <c r="G126" s="145" t="s">
        <v>1012</v>
      </c>
      <c r="H126" s="145" t="s">
        <v>793</v>
      </c>
      <c r="I126" s="145" t="s">
        <v>204</v>
      </c>
      <c r="J126" s="151"/>
      <c r="K126" s="145" t="s">
        <v>447</v>
      </c>
      <c r="L126" s="145" t="s">
        <v>339</v>
      </c>
      <c r="M126" s="145" t="s">
        <v>338</v>
      </c>
      <c r="N126" s="151"/>
      <c r="O126" s="145" t="s">
        <v>3412</v>
      </c>
      <c r="P126" s="151"/>
      <c r="Q126" s="145" t="s">
        <v>410</v>
      </c>
      <c r="R126" s="151"/>
      <c r="S126" s="145" t="s">
        <v>1210</v>
      </c>
      <c r="T126" s="146">
        <v>0.01</v>
      </c>
      <c r="U126" s="145" t="s">
        <v>824</v>
      </c>
      <c r="V126" s="148">
        <v>0</v>
      </c>
      <c r="W126" s="145"/>
      <c r="X126" s="151"/>
      <c r="Y126" s="151"/>
      <c r="Z126" s="148">
        <v>1E-4</v>
      </c>
      <c r="AA126" s="145" t="s">
        <v>3413</v>
      </c>
      <c r="AB126" s="145" t="s">
        <v>412</v>
      </c>
      <c r="AC126" s="151" t="s">
        <v>764</v>
      </c>
      <c r="AD126" s="151"/>
      <c r="AE126" s="188"/>
      <c r="AF126" s="145" t="s">
        <v>3445</v>
      </c>
      <c r="AG126" s="151"/>
      <c r="AH126" s="151"/>
      <c r="AI126" s="151"/>
      <c r="AJ126" s="151"/>
      <c r="AK126" s="145" t="s">
        <v>314</v>
      </c>
      <c r="AL126" s="151"/>
      <c r="AM126" s="145" t="s">
        <v>888</v>
      </c>
      <c r="AN126" s="177">
        <v>45529</v>
      </c>
      <c r="AO126" s="177">
        <v>45529</v>
      </c>
      <c r="AP126" s="151"/>
      <c r="AQ126" s="146">
        <v>3446189.01</v>
      </c>
      <c r="AR126" s="146">
        <v>0.01</v>
      </c>
      <c r="AS126" s="146">
        <v>1</v>
      </c>
      <c r="AT126" s="146">
        <v>0.34499999999999997</v>
      </c>
      <c r="AU126" s="186">
        <v>0.34461900000000001</v>
      </c>
      <c r="AV126" s="151"/>
      <c r="AW126" s="151"/>
      <c r="AX126" s="159"/>
      <c r="AY126" s="151"/>
      <c r="AZ126" s="148">
        <v>0</v>
      </c>
      <c r="BA126" s="149">
        <v>0</v>
      </c>
      <c r="BB126" s="196"/>
    </row>
    <row r="127" spans="1:54" x14ac:dyDescent="0.2">
      <c r="A127" s="144" t="s">
        <v>1217</v>
      </c>
      <c r="B127" s="145" t="s">
        <v>1217</v>
      </c>
      <c r="C127" s="151"/>
      <c r="D127" s="151"/>
      <c r="E127" s="151"/>
      <c r="F127" s="145" t="s">
        <v>3414</v>
      </c>
      <c r="G127" s="145" t="s">
        <v>1012</v>
      </c>
      <c r="H127" s="145" t="s">
        <v>793</v>
      </c>
      <c r="I127" s="145" t="s">
        <v>204</v>
      </c>
      <c r="J127" s="151"/>
      <c r="K127" s="145" t="s">
        <v>447</v>
      </c>
      <c r="L127" s="145" t="s">
        <v>339</v>
      </c>
      <c r="M127" s="145" t="s">
        <v>338</v>
      </c>
      <c r="N127" s="151"/>
      <c r="O127" s="145" t="s">
        <v>3412</v>
      </c>
      <c r="P127" s="151"/>
      <c r="Q127" s="145" t="s">
        <v>410</v>
      </c>
      <c r="R127" s="151"/>
      <c r="S127" s="145" t="s">
        <v>1210</v>
      </c>
      <c r="T127" s="146">
        <v>0.01</v>
      </c>
      <c r="U127" s="145" t="s">
        <v>823</v>
      </c>
      <c r="V127" s="148">
        <v>0</v>
      </c>
      <c r="W127" s="145"/>
      <c r="X127" s="151"/>
      <c r="Y127" s="151"/>
      <c r="Z127" s="148">
        <v>1E-4</v>
      </c>
      <c r="AA127" s="145" t="s">
        <v>3415</v>
      </c>
      <c r="AB127" s="145" t="s">
        <v>412</v>
      </c>
      <c r="AC127" s="151" t="s">
        <v>764</v>
      </c>
      <c r="AD127" s="151"/>
      <c r="AE127" s="188"/>
      <c r="AF127" s="145" t="s">
        <v>3445</v>
      </c>
      <c r="AG127" s="151"/>
      <c r="AH127" s="151"/>
      <c r="AI127" s="151"/>
      <c r="AJ127" s="151"/>
      <c r="AK127" s="145" t="s">
        <v>314</v>
      </c>
      <c r="AL127" s="151"/>
      <c r="AM127" s="145" t="s">
        <v>888</v>
      </c>
      <c r="AN127" s="177">
        <v>45529</v>
      </c>
      <c r="AO127" s="177">
        <v>45529</v>
      </c>
      <c r="AP127" s="151"/>
      <c r="AQ127" s="146">
        <v>264914.38</v>
      </c>
      <c r="AR127" s="146">
        <v>0.01</v>
      </c>
      <c r="AS127" s="146">
        <v>1</v>
      </c>
      <c r="AT127" s="146">
        <v>2.5999999999999999E-2</v>
      </c>
      <c r="AU127" s="186">
        <v>2.6491000000000001E-2</v>
      </c>
      <c r="AV127" s="151"/>
      <c r="AW127" s="151"/>
      <c r="AX127" s="159"/>
      <c r="AY127" s="151"/>
      <c r="AZ127" s="148">
        <v>0</v>
      </c>
      <c r="BA127" s="149">
        <v>0</v>
      </c>
      <c r="BB127" s="196"/>
    </row>
    <row r="128" spans="1:54" x14ac:dyDescent="0.2">
      <c r="A128" s="144" t="s">
        <v>1217</v>
      </c>
      <c r="B128" s="145" t="s">
        <v>1217</v>
      </c>
      <c r="C128" s="151"/>
      <c r="D128" s="151"/>
      <c r="E128" s="151"/>
      <c r="F128" s="145" t="s">
        <v>3380</v>
      </c>
      <c r="G128" s="145" t="s">
        <v>1012</v>
      </c>
      <c r="H128" s="145" t="s">
        <v>784</v>
      </c>
      <c r="I128" s="145" t="s">
        <v>204</v>
      </c>
      <c r="J128" s="151"/>
      <c r="K128" s="145" t="s">
        <v>443</v>
      </c>
      <c r="L128" s="145" t="s">
        <v>339</v>
      </c>
      <c r="M128" s="145" t="s">
        <v>338</v>
      </c>
      <c r="N128" s="151"/>
      <c r="O128" s="145" t="s">
        <v>3381</v>
      </c>
      <c r="P128" s="151"/>
      <c r="Q128" s="145" t="s">
        <v>410</v>
      </c>
      <c r="R128" s="151"/>
      <c r="S128" s="145" t="s">
        <v>1210</v>
      </c>
      <c r="T128" s="146">
        <v>0.67</v>
      </c>
      <c r="U128" s="145" t="s">
        <v>823</v>
      </c>
      <c r="V128" s="148">
        <v>7.0000000000000007E-2</v>
      </c>
      <c r="W128" s="145"/>
      <c r="X128" s="151"/>
      <c r="Y128" s="151"/>
      <c r="Z128" s="148">
        <v>8.3299999999999999E-2</v>
      </c>
      <c r="AA128" s="145" t="s">
        <v>3369</v>
      </c>
      <c r="AB128" s="145" t="s">
        <v>412</v>
      </c>
      <c r="AC128" s="151" t="s">
        <v>771</v>
      </c>
      <c r="AD128" s="151">
        <v>130000</v>
      </c>
      <c r="AE128" s="188">
        <v>0.68</v>
      </c>
      <c r="AF128" s="145" t="s">
        <v>3445</v>
      </c>
      <c r="AG128" s="151"/>
      <c r="AH128" s="151"/>
      <c r="AI128" s="151"/>
      <c r="AJ128" s="145" t="s">
        <v>338</v>
      </c>
      <c r="AK128" s="145" t="s">
        <v>886</v>
      </c>
      <c r="AL128" s="151"/>
      <c r="AM128" s="145" t="s">
        <v>889</v>
      </c>
      <c r="AN128" s="177">
        <v>45747</v>
      </c>
      <c r="AO128" s="177">
        <v>45747</v>
      </c>
      <c r="AP128" s="151"/>
      <c r="AQ128" s="146">
        <v>-64690.98</v>
      </c>
      <c r="AR128" s="146">
        <v>100.22</v>
      </c>
      <c r="AS128" s="146">
        <v>1</v>
      </c>
      <c r="AT128" s="146">
        <v>-64.832999999999998</v>
      </c>
      <c r="AU128" s="186">
        <v>-64.833300000000008</v>
      </c>
      <c r="AV128" s="151"/>
      <c r="AW128" s="151"/>
      <c r="AX128" s="159"/>
      <c r="AY128" s="151"/>
      <c r="AZ128" s="148">
        <v>-1.2E-4</v>
      </c>
      <c r="BA128" s="149">
        <v>0</v>
      </c>
      <c r="BB128" s="196"/>
    </row>
    <row r="129" spans="1:54" x14ac:dyDescent="0.2">
      <c r="A129" s="144" t="s">
        <v>1217</v>
      </c>
      <c r="B129" s="145" t="s">
        <v>1217</v>
      </c>
      <c r="C129" s="151"/>
      <c r="D129" s="151"/>
      <c r="E129" s="151"/>
      <c r="F129" s="145" t="s">
        <v>3416</v>
      </c>
      <c r="G129" s="145" t="s">
        <v>1012</v>
      </c>
      <c r="H129" s="145" t="s">
        <v>811</v>
      </c>
      <c r="I129" s="145" t="s">
        <v>205</v>
      </c>
      <c r="J129" s="151"/>
      <c r="K129" s="145" t="s">
        <v>454</v>
      </c>
      <c r="L129" s="145" t="s">
        <v>339</v>
      </c>
      <c r="M129" s="145" t="s">
        <v>338</v>
      </c>
      <c r="N129" s="151" t="s">
        <v>3444</v>
      </c>
      <c r="O129" s="145" t="s">
        <v>3333</v>
      </c>
      <c r="P129" s="145" t="s">
        <v>1439</v>
      </c>
      <c r="Q129" s="145" t="s">
        <v>413</v>
      </c>
      <c r="R129" s="145" t="s">
        <v>408</v>
      </c>
      <c r="S129" s="145" t="s">
        <v>1211</v>
      </c>
      <c r="T129" s="146">
        <v>1.8</v>
      </c>
      <c r="U129" s="145" t="s">
        <v>823</v>
      </c>
      <c r="V129" s="148">
        <v>0.110153</v>
      </c>
      <c r="W129" s="145"/>
      <c r="X129" s="151"/>
      <c r="Y129" s="151"/>
      <c r="Z129" s="148">
        <v>9.7299999999999998E-2</v>
      </c>
      <c r="AA129" s="145" t="s">
        <v>3417</v>
      </c>
      <c r="AB129" s="145" t="s">
        <v>412</v>
      </c>
      <c r="AC129" s="151" t="s">
        <v>485</v>
      </c>
      <c r="AD129" s="151">
        <v>2800000</v>
      </c>
      <c r="AE129" s="188">
        <v>0.6</v>
      </c>
      <c r="AF129" s="145" t="s">
        <v>3445</v>
      </c>
      <c r="AG129" s="151"/>
      <c r="AH129" s="151"/>
      <c r="AI129" s="151"/>
      <c r="AJ129" s="145" t="s">
        <v>339</v>
      </c>
      <c r="AK129" s="145" t="s">
        <v>886</v>
      </c>
      <c r="AL129" s="151"/>
      <c r="AM129" s="145" t="s">
        <v>889</v>
      </c>
      <c r="AN129" s="177">
        <v>45747</v>
      </c>
      <c r="AO129" s="177">
        <v>45747</v>
      </c>
      <c r="AP129" s="188">
        <v>1.4999999999999999E-2</v>
      </c>
      <c r="AQ129" s="146">
        <v>5458486.75</v>
      </c>
      <c r="AR129" s="146">
        <v>101.79</v>
      </c>
      <c r="AS129" s="146">
        <v>3.718</v>
      </c>
      <c r="AT129" s="146">
        <v>20657.928</v>
      </c>
      <c r="AU129" s="186">
        <v>5556.193663</v>
      </c>
      <c r="AV129" s="151"/>
      <c r="AW129" s="151"/>
      <c r="AX129" s="159"/>
      <c r="AY129" s="151"/>
      <c r="AZ129" s="148">
        <v>3.9170000000000003E-2</v>
      </c>
      <c r="BA129" s="149">
        <v>8.4999999999999995E-4</v>
      </c>
      <c r="BB129" s="196"/>
    </row>
    <row r="130" spans="1:54" x14ac:dyDescent="0.2">
      <c r="A130" s="144" t="s">
        <v>1217</v>
      </c>
      <c r="B130" s="145" t="s">
        <v>1217</v>
      </c>
      <c r="C130" s="151"/>
      <c r="D130" s="151"/>
      <c r="E130" s="151"/>
      <c r="F130" s="145" t="s">
        <v>3418</v>
      </c>
      <c r="G130" s="145" t="s">
        <v>1012</v>
      </c>
      <c r="H130" s="145" t="s">
        <v>811</v>
      </c>
      <c r="I130" s="145" t="s">
        <v>205</v>
      </c>
      <c r="J130" s="151"/>
      <c r="K130" s="145" t="s">
        <v>454</v>
      </c>
      <c r="L130" s="145" t="s">
        <v>339</v>
      </c>
      <c r="M130" s="145" t="s">
        <v>338</v>
      </c>
      <c r="N130" s="151" t="s">
        <v>3444</v>
      </c>
      <c r="O130" s="145" t="s">
        <v>3419</v>
      </c>
      <c r="P130" s="145" t="s">
        <v>1439</v>
      </c>
      <c r="Q130" s="145" t="s">
        <v>413</v>
      </c>
      <c r="R130" s="145" t="s">
        <v>408</v>
      </c>
      <c r="S130" s="145" t="s">
        <v>1211</v>
      </c>
      <c r="T130" s="146">
        <v>1.83</v>
      </c>
      <c r="U130" s="145" t="s">
        <v>823</v>
      </c>
      <c r="V130" s="148">
        <v>0.107045</v>
      </c>
      <c r="W130" s="145"/>
      <c r="X130" s="151"/>
      <c r="Y130" s="151"/>
      <c r="Z130" s="148">
        <v>9.6199999999999994E-2</v>
      </c>
      <c r="AA130" s="145" t="s">
        <v>3417</v>
      </c>
      <c r="AB130" s="145" t="s">
        <v>412</v>
      </c>
      <c r="AC130" s="151" t="s">
        <v>485</v>
      </c>
      <c r="AD130" s="151">
        <v>2800000</v>
      </c>
      <c r="AE130" s="188">
        <v>0.6</v>
      </c>
      <c r="AF130" s="145" t="s">
        <v>3445</v>
      </c>
      <c r="AG130" s="151"/>
      <c r="AH130" s="151"/>
      <c r="AI130" s="151"/>
      <c r="AJ130" s="145" t="s">
        <v>339</v>
      </c>
      <c r="AK130" s="145" t="s">
        <v>886</v>
      </c>
      <c r="AL130" s="151"/>
      <c r="AM130" s="145" t="s">
        <v>889</v>
      </c>
      <c r="AN130" s="177">
        <v>45747</v>
      </c>
      <c r="AO130" s="177">
        <v>45747</v>
      </c>
      <c r="AP130" s="188">
        <v>1.4999999999999999E-2</v>
      </c>
      <c r="AQ130" s="146">
        <v>2762553.82</v>
      </c>
      <c r="AR130" s="146">
        <v>99.15</v>
      </c>
      <c r="AS130" s="146">
        <v>3.718</v>
      </c>
      <c r="AT130" s="146">
        <v>10183.870000000001</v>
      </c>
      <c r="AU130" s="186">
        <v>2739.0721129999997</v>
      </c>
      <c r="AV130" s="151"/>
      <c r="AW130" s="151"/>
      <c r="AX130" s="159"/>
      <c r="AY130" s="151"/>
      <c r="AZ130" s="148">
        <v>1.9310000000000001E-2</v>
      </c>
      <c r="BA130" s="149">
        <v>4.2000000000000002E-4</v>
      </c>
      <c r="BB130" s="196"/>
    </row>
    <row r="131" spans="1:54" x14ac:dyDescent="0.2">
      <c r="A131" s="144" t="s">
        <v>1217</v>
      </c>
      <c r="B131" s="145" t="s">
        <v>1217</v>
      </c>
      <c r="C131" s="151"/>
      <c r="D131" s="151"/>
      <c r="E131" s="151"/>
      <c r="F131" s="145" t="s">
        <v>3420</v>
      </c>
      <c r="G131" s="145" t="s">
        <v>1012</v>
      </c>
      <c r="H131" s="145" t="s">
        <v>811</v>
      </c>
      <c r="I131" s="145" t="s">
        <v>205</v>
      </c>
      <c r="J131" s="151"/>
      <c r="K131" s="145" t="s">
        <v>454</v>
      </c>
      <c r="L131" s="145" t="s">
        <v>339</v>
      </c>
      <c r="M131" s="145" t="s">
        <v>338</v>
      </c>
      <c r="N131" s="151" t="s">
        <v>3444</v>
      </c>
      <c r="O131" s="145" t="s">
        <v>2676</v>
      </c>
      <c r="P131" s="145" t="s">
        <v>1439</v>
      </c>
      <c r="Q131" s="145" t="s">
        <v>413</v>
      </c>
      <c r="R131" s="145" t="s">
        <v>408</v>
      </c>
      <c r="S131" s="145" t="s">
        <v>1211</v>
      </c>
      <c r="T131" s="146">
        <v>1.83</v>
      </c>
      <c r="U131" s="145" t="s">
        <v>823</v>
      </c>
      <c r="V131" s="148">
        <v>0.107045</v>
      </c>
      <c r="W131" s="145"/>
      <c r="X131" s="151"/>
      <c r="Y131" s="151"/>
      <c r="Z131" s="148">
        <v>9.5799999999999996E-2</v>
      </c>
      <c r="AA131" s="145" t="s">
        <v>3417</v>
      </c>
      <c r="AB131" s="145" t="s">
        <v>412</v>
      </c>
      <c r="AC131" s="151" t="s">
        <v>485</v>
      </c>
      <c r="AD131" s="151">
        <v>2800000</v>
      </c>
      <c r="AE131" s="188">
        <v>0.6</v>
      </c>
      <c r="AF131" s="145" t="s">
        <v>3445</v>
      </c>
      <c r="AG131" s="151"/>
      <c r="AH131" s="151"/>
      <c r="AI131" s="151"/>
      <c r="AJ131" s="145" t="s">
        <v>339</v>
      </c>
      <c r="AK131" s="145" t="s">
        <v>886</v>
      </c>
      <c r="AL131" s="151"/>
      <c r="AM131" s="145" t="s">
        <v>889</v>
      </c>
      <c r="AN131" s="177">
        <v>45747</v>
      </c>
      <c r="AO131" s="177">
        <v>45747</v>
      </c>
      <c r="AP131" s="188">
        <v>1.4999999999999999E-2</v>
      </c>
      <c r="AQ131" s="146">
        <v>2727529.67</v>
      </c>
      <c r="AR131" s="146">
        <v>99.21</v>
      </c>
      <c r="AS131" s="146">
        <v>3.718</v>
      </c>
      <c r="AT131" s="146">
        <v>10060.842000000001</v>
      </c>
      <c r="AU131" s="186">
        <v>2705.9821860000002</v>
      </c>
      <c r="AV131" s="151"/>
      <c r="AW131" s="151"/>
      <c r="AX131" s="159"/>
      <c r="AY131" s="151"/>
      <c r="AZ131" s="148">
        <v>1.908E-2</v>
      </c>
      <c r="BA131" s="149">
        <v>4.0999999999999999E-4</v>
      </c>
      <c r="BB131" s="196"/>
    </row>
    <row r="132" spans="1:54" x14ac:dyDescent="0.2">
      <c r="A132" s="144" t="s">
        <v>1217</v>
      </c>
      <c r="B132" s="145" t="s">
        <v>1217</v>
      </c>
      <c r="C132" s="151"/>
      <c r="D132" s="151"/>
      <c r="E132" s="151"/>
      <c r="F132" s="145" t="s">
        <v>3421</v>
      </c>
      <c r="G132" s="145" t="s">
        <v>1012</v>
      </c>
      <c r="H132" s="145" t="s">
        <v>811</v>
      </c>
      <c r="I132" s="145" t="s">
        <v>205</v>
      </c>
      <c r="J132" s="151"/>
      <c r="K132" s="145" t="s">
        <v>454</v>
      </c>
      <c r="L132" s="145" t="s">
        <v>339</v>
      </c>
      <c r="M132" s="145" t="s">
        <v>338</v>
      </c>
      <c r="N132" s="151" t="s">
        <v>3444</v>
      </c>
      <c r="O132" s="145" t="s">
        <v>3422</v>
      </c>
      <c r="P132" s="145" t="s">
        <v>1439</v>
      </c>
      <c r="Q132" s="145" t="s">
        <v>413</v>
      </c>
      <c r="R132" s="145" t="s">
        <v>408</v>
      </c>
      <c r="S132" s="145" t="s">
        <v>1211</v>
      </c>
      <c r="T132" s="146">
        <v>1.83</v>
      </c>
      <c r="U132" s="145" t="s">
        <v>823</v>
      </c>
      <c r="V132" s="148">
        <v>0.107045</v>
      </c>
      <c r="W132" s="145"/>
      <c r="X132" s="151"/>
      <c r="Y132" s="151"/>
      <c r="Z132" s="148">
        <v>9.5399999999999999E-2</v>
      </c>
      <c r="AA132" s="145" t="s">
        <v>3417</v>
      </c>
      <c r="AB132" s="145" t="s">
        <v>412</v>
      </c>
      <c r="AC132" s="151" t="s">
        <v>485</v>
      </c>
      <c r="AD132" s="151">
        <v>2800000</v>
      </c>
      <c r="AE132" s="188">
        <v>0.6</v>
      </c>
      <c r="AF132" s="145" t="s">
        <v>3445</v>
      </c>
      <c r="AG132" s="151"/>
      <c r="AH132" s="151"/>
      <c r="AI132" s="151"/>
      <c r="AJ132" s="145" t="s">
        <v>339</v>
      </c>
      <c r="AK132" s="145" t="s">
        <v>886</v>
      </c>
      <c r="AL132" s="151"/>
      <c r="AM132" s="145" t="s">
        <v>889</v>
      </c>
      <c r="AN132" s="177">
        <v>45747</v>
      </c>
      <c r="AO132" s="177">
        <v>45747</v>
      </c>
      <c r="AP132" s="188">
        <v>1.4999999999999999E-2</v>
      </c>
      <c r="AQ132" s="146">
        <v>1534773.9</v>
      </c>
      <c r="AR132" s="146">
        <v>99.28</v>
      </c>
      <c r="AS132" s="146">
        <v>3.718</v>
      </c>
      <c r="AT132" s="146">
        <v>5665.2039999999997</v>
      </c>
      <c r="AU132" s="186">
        <v>1523.723528</v>
      </c>
      <c r="AV132" s="151"/>
      <c r="AW132" s="151"/>
      <c r="AX132" s="159"/>
      <c r="AY132" s="151"/>
      <c r="AZ132" s="148">
        <v>1.074E-2</v>
      </c>
      <c r="BA132" s="149">
        <v>2.3000000000000001E-4</v>
      </c>
      <c r="BB132" s="196"/>
    </row>
    <row r="133" spans="1:54" x14ac:dyDescent="0.2">
      <c r="A133" s="144" t="s">
        <v>1217</v>
      </c>
      <c r="B133" s="145" t="s">
        <v>1217</v>
      </c>
      <c r="C133" s="151"/>
      <c r="D133" s="151"/>
      <c r="E133" s="151"/>
      <c r="F133" s="145" t="s">
        <v>3423</v>
      </c>
      <c r="G133" s="145" t="s">
        <v>1012</v>
      </c>
      <c r="H133" s="145" t="s">
        <v>811</v>
      </c>
      <c r="I133" s="145" t="s">
        <v>205</v>
      </c>
      <c r="J133" s="151"/>
      <c r="K133" s="145" t="s">
        <v>454</v>
      </c>
      <c r="L133" s="145" t="s">
        <v>339</v>
      </c>
      <c r="M133" s="145" t="s">
        <v>338</v>
      </c>
      <c r="N133" s="151" t="s">
        <v>3444</v>
      </c>
      <c r="O133" s="145" t="s">
        <v>3328</v>
      </c>
      <c r="P133" s="145" t="s">
        <v>1439</v>
      </c>
      <c r="Q133" s="145" t="s">
        <v>413</v>
      </c>
      <c r="R133" s="145" t="s">
        <v>408</v>
      </c>
      <c r="S133" s="145" t="s">
        <v>1211</v>
      </c>
      <c r="T133" s="146">
        <v>1.83</v>
      </c>
      <c r="U133" s="145" t="s">
        <v>823</v>
      </c>
      <c r="V133" s="148">
        <v>9.6748000000000001E-2</v>
      </c>
      <c r="W133" s="145"/>
      <c r="X133" s="151"/>
      <c r="Y133" s="151"/>
      <c r="Z133" s="148">
        <v>9.4399999999999998E-2</v>
      </c>
      <c r="AA133" s="145" t="s">
        <v>3417</v>
      </c>
      <c r="AB133" s="145" t="s">
        <v>412</v>
      </c>
      <c r="AC133" s="151" t="s">
        <v>485</v>
      </c>
      <c r="AD133" s="151">
        <v>2800000</v>
      </c>
      <c r="AE133" s="188">
        <v>0.6</v>
      </c>
      <c r="AF133" s="145" t="s">
        <v>3445</v>
      </c>
      <c r="AG133" s="151"/>
      <c r="AH133" s="151"/>
      <c r="AI133" s="151"/>
      <c r="AJ133" s="145" t="s">
        <v>339</v>
      </c>
      <c r="AK133" s="145" t="s">
        <v>886</v>
      </c>
      <c r="AL133" s="151"/>
      <c r="AM133" s="145" t="s">
        <v>889</v>
      </c>
      <c r="AN133" s="177">
        <v>45747</v>
      </c>
      <c r="AO133" s="177">
        <v>45747</v>
      </c>
      <c r="AP133" s="188">
        <v>1.4999999999999999E-2</v>
      </c>
      <c r="AQ133" s="146">
        <v>1118648.8400000001</v>
      </c>
      <c r="AR133" s="146">
        <v>99.45</v>
      </c>
      <c r="AS133" s="146">
        <v>3.718</v>
      </c>
      <c r="AT133" s="146">
        <v>4136.2610000000004</v>
      </c>
      <c r="AU133" s="186">
        <v>1112.496271</v>
      </c>
      <c r="AV133" s="151"/>
      <c r="AW133" s="151"/>
      <c r="AX133" s="159"/>
      <c r="AY133" s="151"/>
      <c r="AZ133" s="148">
        <v>7.8399999999999997E-3</v>
      </c>
      <c r="BA133" s="149">
        <v>1.7000000000000001E-4</v>
      </c>
      <c r="BB133" s="196"/>
    </row>
    <row r="134" spans="1:54" x14ac:dyDescent="0.2">
      <c r="A134" s="144" t="s">
        <v>1205</v>
      </c>
      <c r="B134" s="145" t="s">
        <v>1214</v>
      </c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45"/>
      <c r="X134" s="151"/>
      <c r="Y134" s="151"/>
      <c r="Z134" s="151"/>
      <c r="AA134" s="151"/>
      <c r="AB134" s="159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9"/>
      <c r="AY134" s="151"/>
      <c r="AZ134" s="151"/>
      <c r="BA134" s="178"/>
      <c r="BB134" s="196"/>
    </row>
    <row r="135" spans="1:54" x14ac:dyDescent="0.2">
      <c r="A135" s="152" t="s">
        <v>1217</v>
      </c>
      <c r="B135" s="153" t="s">
        <v>1219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3"/>
      <c r="X135" s="155"/>
      <c r="Y135" s="155"/>
      <c r="Z135" s="155"/>
      <c r="AA135" s="155"/>
      <c r="AB135" s="160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  <c r="AV135" s="155"/>
      <c r="AW135" s="155"/>
      <c r="AX135" s="160"/>
      <c r="AY135" s="155"/>
      <c r="AZ135" s="155"/>
      <c r="BA135" s="175"/>
      <c r="BB135" s="196"/>
    </row>
    <row r="136" spans="1:54" x14ac:dyDescent="0.2">
      <c r="A136" s="196" t="s">
        <v>3461</v>
      </c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/>
      <c r="AX136" s="196"/>
      <c r="AY136" s="196"/>
      <c r="AZ136" s="196"/>
      <c r="BA136" s="196"/>
    </row>
    <row r="137" spans="1:54" x14ac:dyDescent="0.2">
      <c r="A137" s="2" t="s">
        <v>3460</v>
      </c>
    </row>
    <row r="138" spans="1:54" x14ac:dyDescent="0.2">
      <c r="A138" s="198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6:BA136"/>
    <mergeCell ref="BB2:BB135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3487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196" t="s">
        <v>3462</v>
      </c>
    </row>
    <row r="3" spans="1:31" x14ac:dyDescent="0.2">
      <c r="A3" s="144" t="s">
        <v>1205</v>
      </c>
      <c r="B3" s="145" t="s">
        <v>1205</v>
      </c>
      <c r="C3" s="145" t="s">
        <v>1612</v>
      </c>
      <c r="D3" s="145" t="s">
        <v>1613</v>
      </c>
      <c r="E3" s="145" t="s">
        <v>309</v>
      </c>
      <c r="F3" s="145" t="s">
        <v>3433</v>
      </c>
      <c r="G3" s="145" t="s">
        <v>3434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3435</v>
      </c>
      <c r="O3" s="145" t="s">
        <v>3436</v>
      </c>
      <c r="P3" s="145" t="s">
        <v>413</v>
      </c>
      <c r="Q3" s="145" t="s">
        <v>409</v>
      </c>
      <c r="R3" s="145" t="s">
        <v>1211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2">
        <v>45744</v>
      </c>
      <c r="Y3" s="146">
        <v>1628341</v>
      </c>
      <c r="Z3" s="146">
        <v>3.718</v>
      </c>
      <c r="AA3" s="146">
        <v>105.29900000000001</v>
      </c>
      <c r="AB3" s="146">
        <v>6374.97</v>
      </c>
      <c r="AC3" s="148">
        <v>0.99973999999999996</v>
      </c>
      <c r="AD3" s="149">
        <v>6.0600000000000003E-3</v>
      </c>
      <c r="AE3" s="196"/>
    </row>
    <row r="4" spans="1:31" x14ac:dyDescent="0.2">
      <c r="A4" s="144" t="s">
        <v>1205</v>
      </c>
      <c r="B4" s="145" t="s">
        <v>1205</v>
      </c>
      <c r="C4" s="145" t="s">
        <v>2764</v>
      </c>
      <c r="D4" s="145" t="s">
        <v>2765</v>
      </c>
      <c r="E4" s="145" t="s">
        <v>314</v>
      </c>
      <c r="F4" s="145" t="s">
        <v>3437</v>
      </c>
      <c r="G4" s="145" t="s">
        <v>3438</v>
      </c>
      <c r="H4" s="145" t="s">
        <v>312</v>
      </c>
      <c r="I4" s="145" t="s">
        <v>976</v>
      </c>
      <c r="J4" s="145" t="s">
        <v>205</v>
      </c>
      <c r="K4" s="145" t="s">
        <v>204</v>
      </c>
      <c r="L4" s="145" t="s">
        <v>339</v>
      </c>
      <c r="M4" s="161"/>
      <c r="N4" s="145" t="s">
        <v>2767</v>
      </c>
      <c r="O4" s="161"/>
      <c r="P4" s="145" t="s">
        <v>410</v>
      </c>
      <c r="Q4" s="161"/>
      <c r="R4" s="145" t="s">
        <v>1211</v>
      </c>
      <c r="S4" s="161"/>
      <c r="T4" s="161"/>
      <c r="U4" s="148">
        <v>0</v>
      </c>
      <c r="V4" s="145" t="s">
        <v>314</v>
      </c>
      <c r="W4" s="145" t="s">
        <v>889</v>
      </c>
      <c r="X4" s="172">
        <v>45305</v>
      </c>
      <c r="Y4" s="146">
        <v>193.83</v>
      </c>
      <c r="Z4" s="146">
        <v>3.718</v>
      </c>
      <c r="AA4" s="146">
        <v>2.3370000000000002</v>
      </c>
      <c r="AB4" s="146">
        <v>1.6839999999999999</v>
      </c>
      <c r="AC4" s="148">
        <v>2.5999999999999998E-4</v>
      </c>
      <c r="AD4" s="149">
        <v>0</v>
      </c>
      <c r="AE4" s="196"/>
    </row>
    <row r="5" spans="1:31" x14ac:dyDescent="0.2">
      <c r="A5" s="144" t="s">
        <v>1217</v>
      </c>
      <c r="B5" s="145" t="s">
        <v>1217</v>
      </c>
      <c r="C5" s="145" t="s">
        <v>1612</v>
      </c>
      <c r="D5" s="145" t="s">
        <v>1613</v>
      </c>
      <c r="E5" s="145" t="s">
        <v>309</v>
      </c>
      <c r="F5" s="145" t="s">
        <v>3433</v>
      </c>
      <c r="G5" s="145" t="s">
        <v>3434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3435</v>
      </c>
      <c r="O5" s="145" t="s">
        <v>3436</v>
      </c>
      <c r="P5" s="145" t="s">
        <v>413</v>
      </c>
      <c r="Q5" s="145" t="s">
        <v>409</v>
      </c>
      <c r="R5" s="145" t="s">
        <v>1211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2">
        <v>45744</v>
      </c>
      <c r="Y5" s="146">
        <v>36487495</v>
      </c>
      <c r="Z5" s="146">
        <v>3.718</v>
      </c>
      <c r="AA5" s="146">
        <v>105.29900000000001</v>
      </c>
      <c r="AB5" s="146">
        <v>142848.88500000001</v>
      </c>
      <c r="AC5" s="148">
        <v>0.99968000000000001</v>
      </c>
      <c r="AD5" s="149">
        <v>5.8799999999999998E-3</v>
      </c>
      <c r="AE5" s="196"/>
    </row>
    <row r="6" spans="1:31" x14ac:dyDescent="0.2">
      <c r="A6" s="144" t="s">
        <v>1217</v>
      </c>
      <c r="B6" s="145" t="s">
        <v>1217</v>
      </c>
      <c r="C6" s="145" t="s">
        <v>2764</v>
      </c>
      <c r="D6" s="145" t="s">
        <v>2765</v>
      </c>
      <c r="E6" s="145" t="s">
        <v>314</v>
      </c>
      <c r="F6" s="145" t="s">
        <v>3437</v>
      </c>
      <c r="G6" s="145" t="s">
        <v>3438</v>
      </c>
      <c r="H6" s="145" t="s">
        <v>312</v>
      </c>
      <c r="I6" s="145" t="s">
        <v>976</v>
      </c>
      <c r="J6" s="145" t="s">
        <v>205</v>
      </c>
      <c r="K6" s="145" t="s">
        <v>204</v>
      </c>
      <c r="L6" s="145" t="s">
        <v>339</v>
      </c>
      <c r="M6" s="161"/>
      <c r="N6" s="145" t="s">
        <v>2767</v>
      </c>
      <c r="O6" s="161"/>
      <c r="P6" s="145" t="s">
        <v>410</v>
      </c>
      <c r="Q6" s="161"/>
      <c r="R6" s="145" t="s">
        <v>1211</v>
      </c>
      <c r="S6" s="161"/>
      <c r="T6" s="161"/>
      <c r="U6" s="148">
        <v>0</v>
      </c>
      <c r="V6" s="145" t="s">
        <v>314</v>
      </c>
      <c r="W6" s="145" t="s">
        <v>889</v>
      </c>
      <c r="X6" s="172">
        <v>45305</v>
      </c>
      <c r="Y6" s="146">
        <v>5196.09</v>
      </c>
      <c r="Z6" s="146">
        <v>3.718</v>
      </c>
      <c r="AA6" s="146">
        <v>2.3370000000000002</v>
      </c>
      <c r="AB6" s="146">
        <v>45.151000000000003</v>
      </c>
      <c r="AC6" s="148">
        <v>3.2000000000000003E-4</v>
      </c>
      <c r="AD6" s="149">
        <v>0</v>
      </c>
      <c r="AE6" s="196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196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196"/>
    </row>
    <row r="9" spans="1:31" x14ac:dyDescent="0.2">
      <c r="A9" s="144" t="s">
        <v>1217</v>
      </c>
      <c r="B9" s="145" t="s">
        <v>1218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196"/>
    </row>
    <row r="10" spans="1:31" x14ac:dyDescent="0.2">
      <c r="A10" s="152" t="s">
        <v>1217</v>
      </c>
      <c r="B10" s="153" t="s">
        <v>1219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196"/>
    </row>
    <row r="11" spans="1:31" x14ac:dyDescent="0.2">
      <c r="A11" s="201" t="s">
        <v>3461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</row>
    <row r="12" spans="1:31" x14ac:dyDescent="0.2">
      <c r="A12" s="97" t="s">
        <v>3460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202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3488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196" t="s">
        <v>3462</v>
      </c>
    </row>
    <row r="3" spans="1:23" x14ac:dyDescent="0.2">
      <c r="A3" s="144" t="s">
        <v>1205</v>
      </c>
      <c r="B3" s="145" t="s">
        <v>1206</v>
      </c>
      <c r="C3" s="161"/>
      <c r="D3" s="150"/>
      <c r="E3" s="158"/>
      <c r="F3" s="161"/>
      <c r="G3" s="161"/>
      <c r="H3" s="158"/>
      <c r="I3" s="158"/>
      <c r="J3" s="161"/>
      <c r="K3" s="161"/>
      <c r="L3" s="150"/>
      <c r="M3" s="158"/>
      <c r="N3" s="161"/>
      <c r="O3" s="161"/>
      <c r="P3" s="161"/>
      <c r="Q3" s="145"/>
      <c r="R3" s="161"/>
      <c r="S3" s="161"/>
      <c r="T3" s="161"/>
      <c r="U3" s="161"/>
      <c r="V3" s="166"/>
      <c r="W3" s="196"/>
    </row>
    <row r="4" spans="1:23" x14ac:dyDescent="0.2">
      <c r="A4" s="144" t="s">
        <v>1205</v>
      </c>
      <c r="B4" s="145" t="s">
        <v>1214</v>
      </c>
      <c r="C4" s="161"/>
      <c r="D4" s="150"/>
      <c r="E4" s="158"/>
      <c r="F4" s="161"/>
      <c r="G4" s="161"/>
      <c r="H4" s="158"/>
      <c r="I4" s="158"/>
      <c r="J4" s="161"/>
      <c r="K4" s="161"/>
      <c r="L4" s="150"/>
      <c r="M4" s="158"/>
      <c r="N4" s="161"/>
      <c r="O4" s="161"/>
      <c r="P4" s="161"/>
      <c r="Q4" s="150"/>
      <c r="R4" s="161"/>
      <c r="S4" s="145"/>
      <c r="T4" s="161"/>
      <c r="U4" s="161"/>
      <c r="V4" s="166"/>
      <c r="W4" s="196"/>
    </row>
    <row r="5" spans="1:23" x14ac:dyDescent="0.2">
      <c r="A5" s="144" t="s">
        <v>1205</v>
      </c>
      <c r="B5" s="145" t="s">
        <v>1205</v>
      </c>
      <c r="C5" s="161"/>
      <c r="D5" s="150"/>
      <c r="E5" s="158"/>
      <c r="F5" s="161"/>
      <c r="G5" s="161"/>
      <c r="H5" s="158"/>
      <c r="I5" s="158"/>
      <c r="J5" s="161"/>
      <c r="K5" s="161"/>
      <c r="L5" s="150"/>
      <c r="M5" s="158"/>
      <c r="N5" s="161"/>
      <c r="O5" s="161"/>
      <c r="P5" s="161"/>
      <c r="Q5" s="150"/>
      <c r="R5" s="161"/>
      <c r="S5" s="145"/>
      <c r="T5" s="161"/>
      <c r="U5" s="161"/>
      <c r="V5" s="166"/>
      <c r="W5" s="196"/>
    </row>
    <row r="6" spans="1:23" x14ac:dyDescent="0.2">
      <c r="A6" s="144" t="s">
        <v>1217</v>
      </c>
      <c r="B6" s="145" t="s">
        <v>1218</v>
      </c>
      <c r="C6" s="161"/>
      <c r="D6" s="150"/>
      <c r="E6" s="158"/>
      <c r="F6" s="161"/>
      <c r="G6" s="161"/>
      <c r="H6" s="158"/>
      <c r="I6" s="158"/>
      <c r="J6" s="161"/>
      <c r="K6" s="161"/>
      <c r="L6" s="150"/>
      <c r="M6" s="158"/>
      <c r="N6" s="161"/>
      <c r="O6" s="161"/>
      <c r="P6" s="161"/>
      <c r="Q6" s="150"/>
      <c r="R6" s="161"/>
      <c r="S6" s="145"/>
      <c r="T6" s="161"/>
      <c r="U6" s="161"/>
      <c r="V6" s="166"/>
      <c r="W6" s="196"/>
    </row>
    <row r="7" spans="1:23" x14ac:dyDescent="0.2">
      <c r="A7" s="144" t="s">
        <v>1217</v>
      </c>
      <c r="B7" s="145" t="s">
        <v>1219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196"/>
    </row>
    <row r="8" spans="1:23" x14ac:dyDescent="0.2">
      <c r="A8" s="152" t="s">
        <v>1217</v>
      </c>
      <c r="B8" s="153" t="s">
        <v>1217</v>
      </c>
      <c r="C8" s="164"/>
      <c r="D8" s="168"/>
      <c r="E8" s="163"/>
      <c r="F8" s="164"/>
      <c r="G8" s="164"/>
      <c r="H8" s="163"/>
      <c r="I8" s="163"/>
      <c r="J8" s="164"/>
      <c r="K8" s="164"/>
      <c r="L8" s="168"/>
      <c r="M8" s="163"/>
      <c r="N8" s="164"/>
      <c r="O8" s="164"/>
      <c r="P8" s="164"/>
      <c r="Q8" s="168"/>
      <c r="R8" s="164"/>
      <c r="S8" s="164"/>
      <c r="T8" s="164"/>
      <c r="U8" s="164"/>
      <c r="V8" s="167"/>
      <c r="W8" s="196"/>
    </row>
    <row r="9" spans="1:23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</row>
    <row r="10" spans="1:23" x14ac:dyDescent="0.2">
      <c r="A10" s="97" t="s">
        <v>3460</v>
      </c>
      <c r="B10" s="97"/>
      <c r="C10" s="97"/>
      <c r="D10" s="96"/>
      <c r="E10" s="14"/>
      <c r="F10" s="97"/>
      <c r="G10" s="97"/>
      <c r="H10" s="14"/>
      <c r="I10" s="14"/>
      <c r="J10" s="97"/>
      <c r="K10" s="97"/>
      <c r="L10" s="96"/>
      <c r="M10" s="14"/>
      <c r="N10" s="97"/>
      <c r="O10" s="97"/>
      <c r="P10" s="97"/>
      <c r="Q10" s="96"/>
      <c r="R10" s="97"/>
      <c r="S10" s="97"/>
      <c r="T10" s="97"/>
      <c r="U10" s="97"/>
      <c r="V10" s="97"/>
    </row>
    <row r="11" spans="1:23" x14ac:dyDescent="0.2">
      <c r="A11" s="202"/>
      <c r="B11" s="97"/>
      <c r="C11" s="97"/>
      <c r="D11" s="96"/>
      <c r="E11" s="14"/>
      <c r="F11" s="97"/>
      <c r="G11" s="97"/>
      <c r="H11" s="14"/>
      <c r="I11" s="14"/>
      <c r="J11" s="97"/>
      <c r="K11" s="97"/>
      <c r="L11" s="96"/>
      <c r="M11" s="14"/>
      <c r="N11" s="97"/>
      <c r="O11" s="97"/>
      <c r="P11" s="97"/>
      <c r="Q11" s="96"/>
      <c r="R11" s="97"/>
      <c r="S11" s="97"/>
      <c r="T11" s="97"/>
      <c r="U11" s="97"/>
      <c r="V11" s="97"/>
    </row>
    <row r="12" spans="1:23" x14ac:dyDescent="0.2">
      <c r="A12" s="97"/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97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3489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196" t="s">
        <v>3462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196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196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196"/>
    </row>
    <row r="6" spans="1:25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196"/>
    </row>
    <row r="7" spans="1:25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196"/>
    </row>
    <row r="8" spans="1:25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196"/>
    </row>
    <row r="9" spans="1:25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</row>
    <row r="10" spans="1:25" x14ac:dyDescent="0.2">
      <c r="A10" s="97" t="s">
        <v>3460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202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3490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196" t="s">
        <v>3462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196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196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196"/>
    </row>
    <row r="6" spans="1:24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196"/>
    </row>
    <row r="7" spans="1:24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196"/>
    </row>
    <row r="8" spans="1:24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196"/>
    </row>
    <row r="9" spans="1:24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</row>
    <row r="10" spans="1:24" x14ac:dyDescent="0.2">
      <c r="A10" s="97" t="s">
        <v>3460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202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3491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196" t="s">
        <v>3462</v>
      </c>
    </row>
    <row r="3" spans="1:19" x14ac:dyDescent="0.2">
      <c r="A3" s="144" t="s">
        <v>1205</v>
      </c>
      <c r="B3" s="145" t="s">
        <v>1205</v>
      </c>
      <c r="C3" s="145" t="s">
        <v>3439</v>
      </c>
      <c r="D3" s="145" t="s">
        <v>3440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45"/>
      <c r="J3" s="145" t="s">
        <v>1210</v>
      </c>
      <c r="K3" s="173">
        <v>45502</v>
      </c>
      <c r="L3" s="146">
        <v>198.53200000000001</v>
      </c>
      <c r="M3" s="146">
        <v>1</v>
      </c>
      <c r="N3" s="146">
        <v>198.53200000000001</v>
      </c>
      <c r="O3" s="161"/>
      <c r="P3" s="158"/>
      <c r="Q3" s="148">
        <v>1</v>
      </c>
      <c r="R3" s="149">
        <v>1.9000000000000001E-4</v>
      </c>
      <c r="S3" s="196"/>
    </row>
    <row r="4" spans="1:19" x14ac:dyDescent="0.2">
      <c r="A4" s="144" t="s">
        <v>1217</v>
      </c>
      <c r="B4" s="145" t="s">
        <v>1217</v>
      </c>
      <c r="C4" s="145" t="s">
        <v>3439</v>
      </c>
      <c r="D4" s="145" t="s">
        <v>3440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45"/>
      <c r="J4" s="145" t="s">
        <v>1210</v>
      </c>
      <c r="K4" s="173">
        <v>45502</v>
      </c>
      <c r="L4" s="146">
        <v>4349.7719999999999</v>
      </c>
      <c r="M4" s="146">
        <v>1</v>
      </c>
      <c r="N4" s="146">
        <v>4349.7719999999999</v>
      </c>
      <c r="O4" s="161"/>
      <c r="P4" s="158"/>
      <c r="Q4" s="148">
        <v>1</v>
      </c>
      <c r="R4" s="149">
        <v>1.8000000000000001E-4</v>
      </c>
      <c r="S4" s="196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196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196"/>
    </row>
    <row r="7" spans="1:19" x14ac:dyDescent="0.2">
      <c r="A7" s="144" t="s">
        <v>1217</v>
      </c>
      <c r="B7" s="145" t="s">
        <v>1218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196"/>
    </row>
    <row r="8" spans="1:19" x14ac:dyDescent="0.2">
      <c r="A8" s="152" t="s">
        <v>1217</v>
      </c>
      <c r="B8" s="153" t="s">
        <v>1219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196"/>
    </row>
    <row r="9" spans="1:19" x14ac:dyDescent="0.2">
      <c r="A9" s="201" t="s">
        <v>3461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</row>
    <row r="10" spans="1:19" x14ac:dyDescent="0.2">
      <c r="A10" s="97" t="s">
        <v>3460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202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3492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196" t="s">
        <v>3462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89"/>
      <c r="U3" s="196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4"/>
      <c r="U4" s="196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4"/>
      <c r="U5" s="196"/>
      <c r="V5" s="96"/>
    </row>
    <row r="6" spans="1:22" ht="14.1" customHeight="1" x14ac:dyDescent="0.2">
      <c r="A6" s="144" t="s">
        <v>1217</v>
      </c>
      <c r="B6" s="145" t="s">
        <v>1218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4"/>
      <c r="U6" s="196"/>
      <c r="V6" s="96"/>
    </row>
    <row r="7" spans="1:22" ht="14.1" customHeight="1" x14ac:dyDescent="0.2">
      <c r="A7" s="144" t="s">
        <v>1217</v>
      </c>
      <c r="B7" s="145" t="s">
        <v>1219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4"/>
      <c r="U7" s="196"/>
      <c r="V7" s="96"/>
    </row>
    <row r="8" spans="1:22" ht="14.1" customHeight="1" x14ac:dyDescent="0.2">
      <c r="A8" s="152" t="s">
        <v>1217</v>
      </c>
      <c r="B8" s="153" t="s">
        <v>1217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90"/>
      <c r="U8" s="196"/>
      <c r="V8" s="96"/>
    </row>
    <row r="9" spans="1:22" ht="14.1" customHeight="1" x14ac:dyDescent="0.2">
      <c r="A9" s="196" t="s">
        <v>3461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96"/>
      <c r="V9" s="96"/>
    </row>
    <row r="10" spans="1:22" ht="14.1" customHeight="1" x14ac:dyDescent="0.2">
      <c r="A10" s="96" t="s">
        <v>3460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31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3493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196" t="s">
        <v>3462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2837</v>
      </c>
      <c r="E3" s="150"/>
      <c r="F3" s="161"/>
      <c r="G3" s="145" t="s">
        <v>2838</v>
      </c>
      <c r="H3" s="145" t="s">
        <v>2839</v>
      </c>
      <c r="I3" s="145" t="s">
        <v>312</v>
      </c>
      <c r="J3" s="145" t="s">
        <v>1211</v>
      </c>
      <c r="K3" s="173">
        <v>43116</v>
      </c>
      <c r="L3" s="146">
        <v>533.19899999999996</v>
      </c>
      <c r="M3" s="146">
        <v>1982.433882</v>
      </c>
      <c r="N3" s="146">
        <v>101.65300000000001</v>
      </c>
      <c r="O3" s="146">
        <v>377.945854</v>
      </c>
      <c r="P3" s="185">
        <v>0.19064739431244243</v>
      </c>
      <c r="Q3" s="191">
        <v>46265</v>
      </c>
      <c r="R3" s="196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2951</v>
      </c>
      <c r="E4" s="150"/>
      <c r="F4" s="161"/>
      <c r="G4" s="145" t="s">
        <v>2952</v>
      </c>
      <c r="H4" s="145" t="s">
        <v>2953</v>
      </c>
      <c r="I4" s="145" t="s">
        <v>314</v>
      </c>
      <c r="J4" s="145" t="s">
        <v>1210</v>
      </c>
      <c r="K4" s="173">
        <v>42982</v>
      </c>
      <c r="L4" s="146">
        <v>1123.645</v>
      </c>
      <c r="M4" s="146">
        <v>1123.645</v>
      </c>
      <c r="N4" s="146">
        <v>569.41700000000003</v>
      </c>
      <c r="O4" s="146">
        <v>569.41700000000003</v>
      </c>
      <c r="P4" s="185">
        <v>0.50675880727453959</v>
      </c>
      <c r="Q4" s="191">
        <v>46996</v>
      </c>
      <c r="R4" s="196"/>
      <c r="S4" s="96"/>
      <c r="T4" s="96"/>
      <c r="U4" s="96"/>
      <c r="V4" s="14"/>
    </row>
    <row r="5" spans="1:22" ht="14.1" customHeight="1" x14ac:dyDescent="0.2">
      <c r="A5" s="144" t="s">
        <v>1205</v>
      </c>
      <c r="B5" s="145" t="s">
        <v>1205</v>
      </c>
      <c r="C5" s="150" t="s">
        <v>1068</v>
      </c>
      <c r="D5" s="145" t="s">
        <v>2924</v>
      </c>
      <c r="E5" s="150"/>
      <c r="F5" s="161"/>
      <c r="G5" s="145" t="s">
        <v>2925</v>
      </c>
      <c r="H5" s="145" t="s">
        <v>2926</v>
      </c>
      <c r="I5" s="145" t="s">
        <v>314</v>
      </c>
      <c r="J5" s="145" t="s">
        <v>1210</v>
      </c>
      <c r="K5" s="173">
        <v>43782</v>
      </c>
      <c r="L5" s="146">
        <v>2136.7489999999998</v>
      </c>
      <c r="M5" s="146">
        <v>2136.7489999999998</v>
      </c>
      <c r="N5" s="146">
        <v>342.80900000000003</v>
      </c>
      <c r="O5" s="146">
        <v>342.80900000000003</v>
      </c>
      <c r="P5" s="185">
        <v>0.16043484751835616</v>
      </c>
      <c r="Q5" s="191">
        <v>46691</v>
      </c>
      <c r="R5" s="196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3125</v>
      </c>
      <c r="E6" s="150"/>
      <c r="F6" s="161"/>
      <c r="G6" s="145" t="s">
        <v>3126</v>
      </c>
      <c r="H6" s="145" t="s">
        <v>3127</v>
      </c>
      <c r="I6" s="145" t="s">
        <v>314</v>
      </c>
      <c r="J6" s="145" t="s">
        <v>1211</v>
      </c>
      <c r="K6" s="173">
        <v>43082</v>
      </c>
      <c r="L6" s="146">
        <v>302.20815492509996</v>
      </c>
      <c r="M6" s="146">
        <v>1123.6099200115218</v>
      </c>
      <c r="N6" s="146">
        <v>9.3881549250999807</v>
      </c>
      <c r="O6" s="146">
        <v>34.90516001152173</v>
      </c>
      <c r="P6" s="185">
        <v>3.1065193880776526E-2</v>
      </c>
      <c r="Q6" s="191">
        <v>46735</v>
      </c>
      <c r="R6" s="196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3074</v>
      </c>
      <c r="E7" s="150"/>
      <c r="F7" s="161"/>
      <c r="G7" s="145" t="s">
        <v>3075</v>
      </c>
      <c r="H7" s="145" t="s">
        <v>3076</v>
      </c>
      <c r="I7" s="145" t="s">
        <v>314</v>
      </c>
      <c r="J7" s="145" t="s">
        <v>1211</v>
      </c>
      <c r="K7" s="173">
        <v>43971</v>
      </c>
      <c r="L7" s="146">
        <v>469.791</v>
      </c>
      <c r="M7" s="146">
        <v>1746.6829380000001</v>
      </c>
      <c r="N7" s="146">
        <v>127.904</v>
      </c>
      <c r="O7" s="146">
        <v>475.54707199999996</v>
      </c>
      <c r="P7" s="185">
        <v>0.272257237792976</v>
      </c>
      <c r="Q7" s="191">
        <v>47624</v>
      </c>
      <c r="R7" s="196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2954</v>
      </c>
      <c r="E8" s="150"/>
      <c r="F8" s="161"/>
      <c r="G8" s="145" t="s">
        <v>2890</v>
      </c>
      <c r="H8" s="145" t="s">
        <v>2955</v>
      </c>
      <c r="I8" s="145" t="s">
        <v>314</v>
      </c>
      <c r="J8" s="145" t="s">
        <v>1210</v>
      </c>
      <c r="K8" s="173">
        <v>42572</v>
      </c>
      <c r="L8" s="146">
        <v>560.06799999999998</v>
      </c>
      <c r="M8" s="146">
        <v>560.06799999999998</v>
      </c>
      <c r="N8" s="146">
        <v>242.53899999999999</v>
      </c>
      <c r="O8" s="146">
        <v>242.53899999999999</v>
      </c>
      <c r="P8" s="185">
        <v>0.43305277216338017</v>
      </c>
      <c r="Q8" s="191">
        <v>46225</v>
      </c>
      <c r="R8" s="196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3114</v>
      </c>
      <c r="H9" s="145" t="s">
        <v>3115</v>
      </c>
      <c r="I9" s="145" t="s">
        <v>314</v>
      </c>
      <c r="J9" s="145" t="s">
        <v>1212</v>
      </c>
      <c r="K9" s="173">
        <v>43396</v>
      </c>
      <c r="L9" s="146">
        <v>354.27596401147497</v>
      </c>
      <c r="M9" s="146">
        <v>1424.862499657751</v>
      </c>
      <c r="N9" s="146">
        <v>90.645234011474997</v>
      </c>
      <c r="O9" s="146">
        <v>364.56606667075124</v>
      </c>
      <c r="P9" s="187">
        <v>0.25586052461786263</v>
      </c>
      <c r="Q9" s="191">
        <v>46203</v>
      </c>
      <c r="R9" s="196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2866</v>
      </c>
      <c r="E10" s="150"/>
      <c r="F10" s="161"/>
      <c r="G10" s="145" t="s">
        <v>2867</v>
      </c>
      <c r="H10" s="145" t="s">
        <v>2868</v>
      </c>
      <c r="I10" s="145" t="s">
        <v>314</v>
      </c>
      <c r="J10" s="145" t="s">
        <v>1211</v>
      </c>
      <c r="K10" s="173">
        <v>44286</v>
      </c>
      <c r="L10" s="146">
        <v>478.19299999999998</v>
      </c>
      <c r="M10" s="146">
        <v>1777.921574</v>
      </c>
      <c r="N10" s="146">
        <v>226.08999</v>
      </c>
      <c r="O10" s="146">
        <v>840.60258282000007</v>
      </c>
      <c r="P10" s="187">
        <v>0.47280071017350733</v>
      </c>
      <c r="Q10" s="191">
        <v>47848</v>
      </c>
      <c r="R10" s="196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1" t="s">
        <v>1068</v>
      </c>
      <c r="D11" s="145" t="s">
        <v>3048</v>
      </c>
      <c r="E11" s="151"/>
      <c r="F11" s="161"/>
      <c r="G11" s="145" t="s">
        <v>3049</v>
      </c>
      <c r="H11" s="145" t="s">
        <v>3050</v>
      </c>
      <c r="I11" s="145" t="s">
        <v>314</v>
      </c>
      <c r="J11" s="145" t="s">
        <v>1212</v>
      </c>
      <c r="K11" s="173">
        <v>44651</v>
      </c>
      <c r="L11" s="146">
        <v>474.00000000000006</v>
      </c>
      <c r="M11" s="146">
        <v>1906.3806000000002</v>
      </c>
      <c r="N11" s="146">
        <v>70.625990000000044</v>
      </c>
      <c r="O11" s="146">
        <v>284.05066918100016</v>
      </c>
      <c r="P11" s="187">
        <v>0.14899997890295366</v>
      </c>
      <c r="Q11" s="191">
        <v>48305</v>
      </c>
      <c r="R11" s="196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3068</v>
      </c>
      <c r="E12" s="151"/>
      <c r="F12" s="161"/>
      <c r="G12" s="145" t="s">
        <v>3181</v>
      </c>
      <c r="H12" s="145" t="s">
        <v>3182</v>
      </c>
      <c r="I12" s="145" t="s">
        <v>314</v>
      </c>
      <c r="J12" s="145" t="s">
        <v>1211</v>
      </c>
      <c r="K12" s="173">
        <v>45475</v>
      </c>
      <c r="L12" s="146">
        <v>417.12</v>
      </c>
      <c r="M12" s="146">
        <v>1550.8521599999999</v>
      </c>
      <c r="N12" s="146">
        <v>316.74498</v>
      </c>
      <c r="O12" s="146">
        <v>1177.65783564</v>
      </c>
      <c r="P12" s="187">
        <v>0.75936176639815878</v>
      </c>
      <c r="Q12" s="191">
        <v>49127</v>
      </c>
      <c r="R12" s="196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314</v>
      </c>
      <c r="E13" s="151"/>
      <c r="F13" s="161"/>
      <c r="G13" s="145" t="s">
        <v>2965</v>
      </c>
      <c r="H13" s="145" t="s">
        <v>2966</v>
      </c>
      <c r="I13" s="145" t="s">
        <v>314</v>
      </c>
      <c r="J13" s="145" t="s">
        <v>1211</v>
      </c>
      <c r="K13" s="172">
        <v>39387</v>
      </c>
      <c r="L13" s="146">
        <v>25</v>
      </c>
      <c r="M13" s="146">
        <v>92.95</v>
      </c>
      <c r="N13" s="146">
        <v>0.48047999999999957</v>
      </c>
      <c r="O13" s="146">
        <v>1.7864246399999983</v>
      </c>
      <c r="P13" s="187">
        <v>1.9219199999999981E-2</v>
      </c>
      <c r="Q13" s="191">
        <v>46387</v>
      </c>
      <c r="R13" s="196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3166</v>
      </c>
      <c r="E14" s="151"/>
      <c r="F14" s="150"/>
      <c r="G14" s="145" t="s">
        <v>3167</v>
      </c>
      <c r="H14" s="145" t="s">
        <v>3168</v>
      </c>
      <c r="I14" s="145" t="s">
        <v>314</v>
      </c>
      <c r="J14" s="145" t="s">
        <v>1211</v>
      </c>
      <c r="K14" s="172">
        <v>44651</v>
      </c>
      <c r="L14" s="146">
        <v>632</v>
      </c>
      <c r="M14" s="146">
        <v>2349.7759999999998</v>
      </c>
      <c r="N14" s="146">
        <v>452.09999000000005</v>
      </c>
      <c r="O14" s="146">
        <v>1680.90776282</v>
      </c>
      <c r="P14" s="187">
        <v>0.71534808544303796</v>
      </c>
      <c r="Q14" s="191">
        <v>48307</v>
      </c>
      <c r="R14" s="196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314</v>
      </c>
      <c r="E15" s="151"/>
      <c r="F15" s="150"/>
      <c r="G15" s="145" t="s">
        <v>3024</v>
      </c>
      <c r="H15" s="145" t="s">
        <v>3025</v>
      </c>
      <c r="I15" s="145" t="s">
        <v>314</v>
      </c>
      <c r="J15" s="145" t="s">
        <v>1211</v>
      </c>
      <c r="K15" s="172">
        <v>44742</v>
      </c>
      <c r="L15" s="146">
        <v>490.0558178</v>
      </c>
      <c r="M15" s="146">
        <v>1822.0275305804</v>
      </c>
      <c r="N15" s="146">
        <v>45.336137800000024</v>
      </c>
      <c r="O15" s="146">
        <v>168.55976034040009</v>
      </c>
      <c r="P15" s="187">
        <v>9.2512191781595102E-2</v>
      </c>
      <c r="Q15" s="191">
        <v>48415</v>
      </c>
      <c r="R15" s="196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2904</v>
      </c>
      <c r="E16" s="151"/>
      <c r="F16" s="150"/>
      <c r="G16" s="145" t="s">
        <v>2905</v>
      </c>
      <c r="H16" s="145" t="s">
        <v>2906</v>
      </c>
      <c r="I16" s="145" t="s">
        <v>314</v>
      </c>
      <c r="J16" s="145" t="s">
        <v>1211</v>
      </c>
      <c r="K16" s="172">
        <v>45475</v>
      </c>
      <c r="L16" s="146">
        <v>525</v>
      </c>
      <c r="M16" s="146">
        <v>1951.95</v>
      </c>
      <c r="N16" s="146">
        <v>336.80900000000003</v>
      </c>
      <c r="O16" s="146">
        <v>1252.255862</v>
      </c>
      <c r="P16" s="187">
        <v>0.64154095238095232</v>
      </c>
      <c r="Q16" s="191">
        <v>49127</v>
      </c>
      <c r="R16" s="196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3065</v>
      </c>
      <c r="E17" s="151"/>
      <c r="F17" s="150"/>
      <c r="G17" s="145" t="s">
        <v>3112</v>
      </c>
      <c r="H17" s="145" t="s">
        <v>3113</v>
      </c>
      <c r="I17" s="145" t="s">
        <v>314</v>
      </c>
      <c r="J17" s="145" t="s">
        <v>1211</v>
      </c>
      <c r="K17" s="172">
        <v>45140</v>
      </c>
      <c r="L17" s="146">
        <v>474.00099999999998</v>
      </c>
      <c r="M17" s="146">
        <v>1762.3357179999998</v>
      </c>
      <c r="N17" s="146">
        <v>252.35599999999999</v>
      </c>
      <c r="O17" s="146">
        <v>938.25960799999996</v>
      </c>
      <c r="P17" s="187">
        <v>0.53239550127531376</v>
      </c>
      <c r="Q17" s="191">
        <v>47848</v>
      </c>
      <c r="R17" s="196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3166</v>
      </c>
      <c r="E18" s="151"/>
      <c r="F18" s="150"/>
      <c r="G18" s="145" t="s">
        <v>3217</v>
      </c>
      <c r="H18" s="145" t="s">
        <v>3218</v>
      </c>
      <c r="I18" s="145" t="s">
        <v>314</v>
      </c>
      <c r="J18" s="145" t="s">
        <v>1211</v>
      </c>
      <c r="K18" s="172">
        <v>44651</v>
      </c>
      <c r="L18" s="146">
        <v>63.2</v>
      </c>
      <c r="M18" s="146">
        <v>234.9776</v>
      </c>
      <c r="N18" s="146">
        <v>33.024990000000003</v>
      </c>
      <c r="O18" s="146">
        <v>122.78691282000001</v>
      </c>
      <c r="P18" s="187">
        <v>0.52254731012658229</v>
      </c>
      <c r="Q18" s="191">
        <v>46478</v>
      </c>
      <c r="R18" s="196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2852</v>
      </c>
      <c r="E19" s="151"/>
      <c r="F19" s="150"/>
      <c r="G19" s="145" t="s">
        <v>2853</v>
      </c>
      <c r="H19" s="145" t="s">
        <v>2854</v>
      </c>
      <c r="I19" s="145" t="s">
        <v>314</v>
      </c>
      <c r="J19" s="145" t="s">
        <v>1210</v>
      </c>
      <c r="K19" s="172">
        <v>43802</v>
      </c>
      <c r="L19" s="146">
        <v>2152.4989999999998</v>
      </c>
      <c r="M19" s="146">
        <v>2152.4989999999998</v>
      </c>
      <c r="N19" s="146">
        <v>638.35500000000002</v>
      </c>
      <c r="O19" s="146">
        <v>638.35500000000002</v>
      </c>
      <c r="P19" s="187">
        <v>0.29656459770713017</v>
      </c>
      <c r="Q19" s="191">
        <v>46721</v>
      </c>
      <c r="R19" s="196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3160</v>
      </c>
      <c r="E20" s="151"/>
      <c r="F20" s="150"/>
      <c r="G20" s="145" t="s">
        <v>3161</v>
      </c>
      <c r="H20" s="145" t="s">
        <v>3162</v>
      </c>
      <c r="I20" s="145" t="s">
        <v>314</v>
      </c>
      <c r="J20" s="145" t="s">
        <v>1211</v>
      </c>
      <c r="K20" s="172">
        <v>44139</v>
      </c>
      <c r="L20" s="146">
        <v>199.24700000000001</v>
      </c>
      <c r="M20" s="146">
        <v>740.80034599999999</v>
      </c>
      <c r="N20" s="146">
        <v>20.922000000000001</v>
      </c>
      <c r="O20" s="146">
        <v>77.787995999999993</v>
      </c>
      <c r="P20" s="187">
        <v>0.10500534512439334</v>
      </c>
      <c r="Q20" s="191">
        <v>48883</v>
      </c>
      <c r="R20" s="196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3219</v>
      </c>
      <c r="E21" s="151"/>
      <c r="F21" s="150"/>
      <c r="G21" s="145" t="s">
        <v>3220</v>
      </c>
      <c r="H21" s="145" t="s">
        <v>3221</v>
      </c>
      <c r="I21" s="145" t="s">
        <v>314</v>
      </c>
      <c r="J21" s="145" t="s">
        <v>1211</v>
      </c>
      <c r="K21" s="172">
        <v>45722</v>
      </c>
      <c r="L21" s="146">
        <v>350</v>
      </c>
      <c r="M21" s="146">
        <v>1301.3</v>
      </c>
      <c r="N21" s="146">
        <v>316.65108999999995</v>
      </c>
      <c r="O21" s="146">
        <v>1177.30875262</v>
      </c>
      <c r="P21" s="187">
        <v>0.90471739999999989</v>
      </c>
      <c r="Q21" s="191">
        <v>49374</v>
      </c>
      <c r="R21" s="196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3080</v>
      </c>
      <c r="E22" s="151"/>
      <c r="F22" s="150"/>
      <c r="G22" s="145" t="s">
        <v>2992</v>
      </c>
      <c r="H22" s="145" t="s">
        <v>3081</v>
      </c>
      <c r="I22" s="145" t="s">
        <v>314</v>
      </c>
      <c r="J22" s="145" t="s">
        <v>1211</v>
      </c>
      <c r="K22" s="172">
        <v>45449</v>
      </c>
      <c r="L22" s="146">
        <v>525</v>
      </c>
      <c r="M22" s="146">
        <v>1951.95</v>
      </c>
      <c r="N22" s="146">
        <v>175.36</v>
      </c>
      <c r="O22" s="146">
        <v>651.98847999999998</v>
      </c>
      <c r="P22" s="187">
        <v>0.3340190476190476</v>
      </c>
      <c r="Q22" s="191">
        <v>49101</v>
      </c>
      <c r="R22" s="196"/>
    </row>
    <row r="23" spans="1:18" ht="14.1" customHeight="1" x14ac:dyDescent="0.2">
      <c r="A23" s="144" t="s">
        <v>1205</v>
      </c>
      <c r="B23" s="145" t="s">
        <v>1205</v>
      </c>
      <c r="C23" s="151" t="s">
        <v>1068</v>
      </c>
      <c r="D23" s="145" t="s">
        <v>3172</v>
      </c>
      <c r="E23" s="151"/>
      <c r="F23" s="150"/>
      <c r="G23" s="145" t="s">
        <v>3173</v>
      </c>
      <c r="H23" s="145" t="s">
        <v>3174</v>
      </c>
      <c r="I23" s="145" t="s">
        <v>314</v>
      </c>
      <c r="J23" s="145" t="s">
        <v>1211</v>
      </c>
      <c r="K23" s="172">
        <v>44538</v>
      </c>
      <c r="L23" s="146">
        <v>430.96899999999999</v>
      </c>
      <c r="M23" s="146">
        <v>1602.342742</v>
      </c>
      <c r="N23" s="146">
        <v>91.206999999999994</v>
      </c>
      <c r="O23" s="146">
        <v>339.10762599999998</v>
      </c>
      <c r="P23" s="187">
        <v>0.21163239119287</v>
      </c>
      <c r="Q23" s="192">
        <v>47093</v>
      </c>
      <c r="R23" s="196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2927</v>
      </c>
      <c r="E24" s="151"/>
      <c r="F24" s="151"/>
      <c r="G24" s="145" t="s">
        <v>2928</v>
      </c>
      <c r="H24" s="145" t="s">
        <v>2929</v>
      </c>
      <c r="I24" s="145" t="s">
        <v>314</v>
      </c>
      <c r="J24" s="145" t="s">
        <v>1211</v>
      </c>
      <c r="K24" s="177">
        <v>43194</v>
      </c>
      <c r="L24" s="146">
        <v>291.15100000000001</v>
      </c>
      <c r="M24" s="146">
        <v>1082.4994180000001</v>
      </c>
      <c r="N24" s="146">
        <v>23.290640000000014</v>
      </c>
      <c r="O24" s="146">
        <v>86.594599520000045</v>
      </c>
      <c r="P24" s="188">
        <v>7.9995054112814351E-2</v>
      </c>
      <c r="Q24" s="193">
        <v>46842</v>
      </c>
      <c r="R24" s="196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3056</v>
      </c>
      <c r="E25" s="151"/>
      <c r="F25" s="151"/>
      <c r="G25" s="145" t="s">
        <v>3057</v>
      </c>
      <c r="H25" s="145" t="s">
        <v>3058</v>
      </c>
      <c r="I25" s="145" t="s">
        <v>314</v>
      </c>
      <c r="J25" s="145" t="s">
        <v>1211</v>
      </c>
      <c r="K25" s="177">
        <v>43230</v>
      </c>
      <c r="L25" s="146">
        <v>587.47068999999999</v>
      </c>
      <c r="M25" s="146">
        <v>2184.2160254199998</v>
      </c>
      <c r="N25" s="146">
        <v>87.827689999999947</v>
      </c>
      <c r="O25" s="146">
        <v>326.54335141999979</v>
      </c>
      <c r="P25" s="188">
        <v>0.14950139895489925</v>
      </c>
      <c r="Q25" s="193">
        <v>47938</v>
      </c>
      <c r="R25" s="196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3068</v>
      </c>
      <c r="E26" s="151"/>
      <c r="F26" s="151"/>
      <c r="G26" s="145" t="s">
        <v>3222</v>
      </c>
      <c r="H26" s="145" t="s">
        <v>3223</v>
      </c>
      <c r="I26" s="145" t="s">
        <v>314</v>
      </c>
      <c r="J26" s="145" t="s">
        <v>1211</v>
      </c>
      <c r="K26" s="177">
        <v>45512</v>
      </c>
      <c r="L26" s="146">
        <v>56.88</v>
      </c>
      <c r="M26" s="146">
        <v>211.47984</v>
      </c>
      <c r="N26" s="146">
        <v>49.082799999999999</v>
      </c>
      <c r="O26" s="146">
        <v>182.48985039999999</v>
      </c>
      <c r="P26" s="188">
        <v>0.86291842475386782</v>
      </c>
      <c r="Q26" s="193">
        <v>49164</v>
      </c>
      <c r="R26" s="196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2933</v>
      </c>
      <c r="E27" s="151"/>
      <c r="F27" s="151"/>
      <c r="G27" s="145" t="s">
        <v>2934</v>
      </c>
      <c r="H27" s="145" t="s">
        <v>2935</v>
      </c>
      <c r="I27" s="145" t="s">
        <v>314</v>
      </c>
      <c r="J27" s="145" t="s">
        <v>1211</v>
      </c>
      <c r="K27" s="177">
        <v>44143</v>
      </c>
      <c r="L27" s="146">
        <v>286.91500000000002</v>
      </c>
      <c r="M27" s="146">
        <v>1066.7499700000001</v>
      </c>
      <c r="N27" s="146">
        <v>109.02769000000001</v>
      </c>
      <c r="O27" s="146">
        <v>405.36495142000001</v>
      </c>
      <c r="P27" s="188">
        <v>0.37999996514647194</v>
      </c>
      <c r="Q27" s="193">
        <v>45688</v>
      </c>
      <c r="R27" s="196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314</v>
      </c>
      <c r="E28" s="151"/>
      <c r="F28" s="151"/>
      <c r="G28" s="145" t="s">
        <v>3191</v>
      </c>
      <c r="H28" s="145" t="s">
        <v>3192</v>
      </c>
      <c r="I28" s="145" t="s">
        <v>314</v>
      </c>
      <c r="J28" s="145" t="s">
        <v>1211</v>
      </c>
      <c r="K28" s="177">
        <v>45055</v>
      </c>
      <c r="L28" s="146">
        <v>221.2</v>
      </c>
      <c r="M28" s="146">
        <v>822.42160000000001</v>
      </c>
      <c r="N28" s="146">
        <v>105.43300000000001</v>
      </c>
      <c r="O28" s="146">
        <v>391.99989399999998</v>
      </c>
      <c r="P28" s="188">
        <v>0.47664104882459313</v>
      </c>
      <c r="Q28" s="193">
        <v>49309</v>
      </c>
      <c r="R28" s="196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3183</v>
      </c>
      <c r="E29" s="151"/>
      <c r="F29" s="151"/>
      <c r="G29" s="145" t="s">
        <v>3184</v>
      </c>
      <c r="H29" s="145" t="s">
        <v>3185</v>
      </c>
      <c r="I29" s="145" t="s">
        <v>314</v>
      </c>
      <c r="J29" s="145" t="s">
        <v>1211</v>
      </c>
      <c r="K29" s="177">
        <v>45574</v>
      </c>
      <c r="L29" s="146">
        <v>455</v>
      </c>
      <c r="M29" s="146">
        <v>1691.69</v>
      </c>
      <c r="N29" s="146">
        <v>319.738</v>
      </c>
      <c r="O29" s="146">
        <v>1188.7858840000001</v>
      </c>
      <c r="P29" s="188">
        <v>0.70272087912087922</v>
      </c>
      <c r="Q29" s="193">
        <v>48983</v>
      </c>
      <c r="R29" s="196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2994</v>
      </c>
      <c r="E30" s="151"/>
      <c r="F30" s="151"/>
      <c r="G30" s="145" t="s">
        <v>2995</v>
      </c>
      <c r="H30" s="145" t="s">
        <v>2996</v>
      </c>
      <c r="I30" s="145" t="s">
        <v>314</v>
      </c>
      <c r="J30" s="145" t="s">
        <v>1211</v>
      </c>
      <c r="K30" s="177">
        <v>43565</v>
      </c>
      <c r="L30" s="146">
        <v>751.64112999999998</v>
      </c>
      <c r="M30" s="146">
        <v>2794.60172134</v>
      </c>
      <c r="N30" s="146">
        <v>141.16109000000009</v>
      </c>
      <c r="O30" s="146">
        <v>524.83693262000031</v>
      </c>
      <c r="P30" s="188">
        <v>0.18780383931358316</v>
      </c>
      <c r="Q30" s="193">
        <v>46748</v>
      </c>
      <c r="R30" s="196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2892</v>
      </c>
      <c r="E31" s="151"/>
      <c r="F31" s="151"/>
      <c r="G31" s="145" t="s">
        <v>2893</v>
      </c>
      <c r="H31" s="145" t="s">
        <v>2894</v>
      </c>
      <c r="I31" s="145" t="s">
        <v>314</v>
      </c>
      <c r="J31" s="145" t="s">
        <v>1210</v>
      </c>
      <c r="K31" s="177">
        <v>44722</v>
      </c>
      <c r="L31" s="146">
        <v>1106</v>
      </c>
      <c r="M31" s="146">
        <v>1106</v>
      </c>
      <c r="N31" s="146">
        <v>180.124</v>
      </c>
      <c r="O31" s="146">
        <v>180.124</v>
      </c>
      <c r="P31" s="188">
        <v>0.16286075949367088</v>
      </c>
      <c r="Q31" s="193">
        <v>48286</v>
      </c>
      <c r="R31" s="196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2916</v>
      </c>
      <c r="E32" s="151"/>
      <c r="F32" s="151"/>
      <c r="G32" s="145" t="s">
        <v>2917</v>
      </c>
      <c r="H32" s="145" t="s">
        <v>2918</v>
      </c>
      <c r="I32" s="145" t="s">
        <v>314</v>
      </c>
      <c r="J32" s="145" t="s">
        <v>1210</v>
      </c>
      <c r="K32" s="177">
        <v>45056</v>
      </c>
      <c r="L32" s="146">
        <v>1580</v>
      </c>
      <c r="M32" s="146">
        <v>1580</v>
      </c>
      <c r="N32" s="146">
        <v>760.37300000000005</v>
      </c>
      <c r="O32" s="146">
        <v>760.37300000000005</v>
      </c>
      <c r="P32" s="188">
        <v>0.4812487341772152</v>
      </c>
      <c r="Q32" s="193">
        <v>48944</v>
      </c>
      <c r="R32" s="196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2956</v>
      </c>
      <c r="E33" s="151"/>
      <c r="F33" s="151"/>
      <c r="G33" s="145" t="s">
        <v>2956</v>
      </c>
      <c r="H33" s="145" t="s">
        <v>2957</v>
      </c>
      <c r="I33" s="145" t="s">
        <v>314</v>
      </c>
      <c r="J33" s="145" t="s">
        <v>1210</v>
      </c>
      <c r="K33" s="177">
        <v>45576</v>
      </c>
      <c r="L33" s="146">
        <v>1750</v>
      </c>
      <c r="M33" s="146">
        <v>1750</v>
      </c>
      <c r="N33" s="146">
        <v>1602.771</v>
      </c>
      <c r="O33" s="146">
        <v>1602.771</v>
      </c>
      <c r="P33" s="188">
        <v>0.91586914285714283</v>
      </c>
      <c r="Q33" s="193">
        <v>50022</v>
      </c>
      <c r="R33" s="196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3140</v>
      </c>
      <c r="E34" s="151"/>
      <c r="F34" s="151"/>
      <c r="G34" s="145" t="s">
        <v>3141</v>
      </c>
      <c r="H34" s="145" t="s">
        <v>3142</v>
      </c>
      <c r="I34" s="145" t="s">
        <v>314</v>
      </c>
      <c r="J34" s="145" t="s">
        <v>1212</v>
      </c>
      <c r="K34" s="177">
        <v>45271</v>
      </c>
      <c r="L34" s="146">
        <v>474</v>
      </c>
      <c r="M34" s="146">
        <v>1906.3806</v>
      </c>
      <c r="N34" s="146">
        <v>214.41105999999999</v>
      </c>
      <c r="O34" s="146">
        <v>862.33984221399999</v>
      </c>
      <c r="P34" s="188">
        <v>0.45234400843881856</v>
      </c>
      <c r="Q34" s="193">
        <v>48884</v>
      </c>
      <c r="R34" s="196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2936</v>
      </c>
      <c r="E35" s="151"/>
      <c r="F35" s="151"/>
      <c r="G35" s="145" t="s">
        <v>2937</v>
      </c>
      <c r="H35" s="145" t="s">
        <v>2938</v>
      </c>
      <c r="I35" s="145" t="s">
        <v>314</v>
      </c>
      <c r="J35" s="145" t="s">
        <v>1211</v>
      </c>
      <c r="K35" s="177">
        <v>44938</v>
      </c>
      <c r="L35" s="146">
        <v>316</v>
      </c>
      <c r="M35" s="146">
        <v>1174.8879999999999</v>
      </c>
      <c r="N35" s="146">
        <v>183.43799999999996</v>
      </c>
      <c r="O35" s="146">
        <v>682.02248399999996</v>
      </c>
      <c r="P35" s="188">
        <v>0.5804999999999999</v>
      </c>
      <c r="Q35" s="193">
        <v>47515</v>
      </c>
      <c r="R35" s="196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3128</v>
      </c>
      <c r="E36" s="151"/>
      <c r="F36" s="151"/>
      <c r="G36" s="145" t="s">
        <v>3129</v>
      </c>
      <c r="H36" s="145" t="s">
        <v>3130</v>
      </c>
      <c r="I36" s="145" t="s">
        <v>314</v>
      </c>
      <c r="J36" s="145" t="s">
        <v>1212</v>
      </c>
      <c r="K36" s="177">
        <v>45302</v>
      </c>
      <c r="L36" s="146">
        <v>474</v>
      </c>
      <c r="M36" s="146">
        <v>1906.3806</v>
      </c>
      <c r="N36" s="146">
        <v>258.90626000000003</v>
      </c>
      <c r="O36" s="146">
        <v>1041.2950870939999</v>
      </c>
      <c r="P36" s="188">
        <v>0.54621573839662452</v>
      </c>
      <c r="Q36" s="193">
        <v>49021</v>
      </c>
      <c r="R36" s="196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3097</v>
      </c>
      <c r="E37" s="151"/>
      <c r="F37" s="151"/>
      <c r="G37" s="145" t="s">
        <v>3195</v>
      </c>
      <c r="H37" s="145" t="s">
        <v>3196</v>
      </c>
      <c r="I37" s="145" t="s">
        <v>314</v>
      </c>
      <c r="J37" s="145" t="s">
        <v>1212</v>
      </c>
      <c r="K37" s="177">
        <v>45089</v>
      </c>
      <c r="L37" s="146">
        <v>261.74225000000001</v>
      </c>
      <c r="M37" s="146">
        <v>1052.7011552749998</v>
      </c>
      <c r="N37" s="146">
        <v>166.26962</v>
      </c>
      <c r="O37" s="146">
        <v>668.71978467799988</v>
      </c>
      <c r="P37" s="188">
        <v>0.63524180754157955</v>
      </c>
      <c r="Q37" s="193">
        <v>50040</v>
      </c>
      <c r="R37" s="196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3188</v>
      </c>
      <c r="E38" s="151"/>
      <c r="F38" s="151"/>
      <c r="G38" s="145" t="s">
        <v>3189</v>
      </c>
      <c r="H38" s="145" t="s">
        <v>3190</v>
      </c>
      <c r="I38" s="145" t="s">
        <v>314</v>
      </c>
      <c r="J38" s="145" t="s">
        <v>1210</v>
      </c>
      <c r="K38" s="177">
        <v>45119</v>
      </c>
      <c r="L38" s="146">
        <v>1580</v>
      </c>
      <c r="M38" s="146">
        <v>1580</v>
      </c>
      <c r="N38" s="146">
        <v>1190.1020000000001</v>
      </c>
      <c r="O38" s="146">
        <v>1190.1020000000001</v>
      </c>
      <c r="P38" s="188">
        <v>0.75322911392405067</v>
      </c>
      <c r="Q38" s="193">
        <v>47848</v>
      </c>
      <c r="R38" s="196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3143</v>
      </c>
      <c r="E39" s="151"/>
      <c r="F39" s="151"/>
      <c r="G39" s="145" t="s">
        <v>3144</v>
      </c>
      <c r="H39" s="145" t="s">
        <v>3145</v>
      </c>
      <c r="I39" s="145" t="s">
        <v>314</v>
      </c>
      <c r="J39" s="145" t="s">
        <v>1211</v>
      </c>
      <c r="K39" s="177">
        <v>44420</v>
      </c>
      <c r="L39" s="146">
        <v>480</v>
      </c>
      <c r="M39" s="146">
        <v>1784.64</v>
      </c>
      <c r="N39" s="146">
        <v>297.19</v>
      </c>
      <c r="O39" s="146">
        <v>1104.9524199999998</v>
      </c>
      <c r="P39" s="188">
        <v>0.61914583333333328</v>
      </c>
      <c r="Q39" s="193">
        <v>48822</v>
      </c>
      <c r="R39" s="196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3003</v>
      </c>
      <c r="E40" s="151"/>
      <c r="F40" s="151"/>
      <c r="G40" s="145" t="s">
        <v>3004</v>
      </c>
      <c r="H40" s="145" t="s">
        <v>3005</v>
      </c>
      <c r="I40" s="145" t="s">
        <v>314</v>
      </c>
      <c r="J40" s="145" t="s">
        <v>1211</v>
      </c>
      <c r="K40" s="177">
        <v>44116</v>
      </c>
      <c r="L40" s="146">
        <v>777.70100000000002</v>
      </c>
      <c r="M40" s="146">
        <v>2891.4923180000001</v>
      </c>
      <c r="N40" s="146">
        <v>108.875</v>
      </c>
      <c r="O40" s="146">
        <v>404.79725000000002</v>
      </c>
      <c r="P40" s="188">
        <v>0.13999596245857984</v>
      </c>
      <c r="Q40" s="193">
        <v>47573</v>
      </c>
      <c r="R40" s="196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2988</v>
      </c>
      <c r="E41" s="151"/>
      <c r="F41" s="151"/>
      <c r="G41" s="145" t="s">
        <v>2989</v>
      </c>
      <c r="H41" s="145" t="s">
        <v>2990</v>
      </c>
      <c r="I41" s="145" t="s">
        <v>314</v>
      </c>
      <c r="J41" s="145" t="s">
        <v>1211</v>
      </c>
      <c r="K41" s="177">
        <v>43843</v>
      </c>
      <c r="L41" s="146">
        <v>763.29499999999996</v>
      </c>
      <c r="M41" s="146">
        <v>2837.9308099999998</v>
      </c>
      <c r="N41" s="146">
        <v>145.024</v>
      </c>
      <c r="O41" s="146">
        <v>539.19923199999994</v>
      </c>
      <c r="P41" s="188">
        <v>0.1899973142756077</v>
      </c>
      <c r="Q41" s="193">
        <v>47483</v>
      </c>
      <c r="R41" s="196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2901</v>
      </c>
      <c r="E42" s="151"/>
      <c r="F42" s="151"/>
      <c r="G42" s="145" t="s">
        <v>2902</v>
      </c>
      <c r="H42" s="145" t="s">
        <v>2903</v>
      </c>
      <c r="I42" s="145" t="s">
        <v>314</v>
      </c>
      <c r="J42" s="145" t="s">
        <v>1211</v>
      </c>
      <c r="K42" s="177">
        <v>44633</v>
      </c>
      <c r="L42" s="146">
        <v>317.70999999999998</v>
      </c>
      <c r="M42" s="146">
        <v>1181.24578</v>
      </c>
      <c r="N42" s="146">
        <v>125.161</v>
      </c>
      <c r="O42" s="146">
        <v>465.34859799999998</v>
      </c>
      <c r="P42" s="188">
        <v>0.39394731044033865</v>
      </c>
      <c r="Q42" s="193">
        <v>48286</v>
      </c>
      <c r="R42" s="196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3157</v>
      </c>
      <c r="E43" s="151"/>
      <c r="F43" s="151"/>
      <c r="G43" s="145" t="s">
        <v>3158</v>
      </c>
      <c r="H43" s="145" t="s">
        <v>3159</v>
      </c>
      <c r="I43" s="145" t="s">
        <v>314</v>
      </c>
      <c r="J43" s="145" t="s">
        <v>1212</v>
      </c>
      <c r="K43" s="177">
        <v>45671</v>
      </c>
      <c r="L43" s="146">
        <v>350</v>
      </c>
      <c r="M43" s="146">
        <v>1407.6649999999997</v>
      </c>
      <c r="N43" s="146">
        <v>179.53029000000001</v>
      </c>
      <c r="O43" s="146">
        <v>722.05287335100002</v>
      </c>
      <c r="P43" s="188">
        <v>0.51294368571428584</v>
      </c>
      <c r="Q43" s="193">
        <v>48227</v>
      </c>
      <c r="R43" s="196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3032</v>
      </c>
      <c r="E44" s="151"/>
      <c r="F44" s="151"/>
      <c r="G44" s="145" t="s">
        <v>3033</v>
      </c>
      <c r="H44" s="145" t="s">
        <v>3034</v>
      </c>
      <c r="I44" s="145" t="s">
        <v>314</v>
      </c>
      <c r="J44" s="145" t="s">
        <v>1212</v>
      </c>
      <c r="K44" s="177">
        <v>43965</v>
      </c>
      <c r="L44" s="146">
        <v>469.791</v>
      </c>
      <c r="M44" s="146">
        <v>1889.4524228999999</v>
      </c>
      <c r="N44" s="146">
        <v>15.855640000000014</v>
      </c>
      <c r="O44" s="146">
        <v>63.769798516000044</v>
      </c>
      <c r="P44" s="188">
        <v>3.3750412417436718E-2</v>
      </c>
      <c r="Q44" s="193">
        <v>46507</v>
      </c>
      <c r="R44" s="196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314</v>
      </c>
      <c r="E45" s="151"/>
      <c r="F45" s="151"/>
      <c r="G45" s="145" t="s">
        <v>2858</v>
      </c>
      <c r="H45" s="145" t="s">
        <v>2859</v>
      </c>
      <c r="I45" s="145" t="s">
        <v>314</v>
      </c>
      <c r="J45" s="145" t="s">
        <v>1212</v>
      </c>
      <c r="K45" s="177">
        <v>44026</v>
      </c>
      <c r="L45" s="146">
        <v>465.16199999999998</v>
      </c>
      <c r="M45" s="146">
        <v>1870.8350477999998</v>
      </c>
      <c r="N45" s="146">
        <v>151.85499999999999</v>
      </c>
      <c r="O45" s="146">
        <v>610.74562449999996</v>
      </c>
      <c r="P45" s="188">
        <v>0.32645615935953493</v>
      </c>
      <c r="Q45" s="193">
        <v>47664</v>
      </c>
      <c r="R45" s="196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3163</v>
      </c>
      <c r="E46" s="151"/>
      <c r="F46" s="151"/>
      <c r="G46" s="145" t="s">
        <v>3164</v>
      </c>
      <c r="H46" s="145" t="s">
        <v>3165</v>
      </c>
      <c r="I46" s="145" t="s">
        <v>314</v>
      </c>
      <c r="J46" s="145" t="s">
        <v>1211</v>
      </c>
      <c r="K46" s="177">
        <v>44742</v>
      </c>
      <c r="L46" s="146">
        <v>632</v>
      </c>
      <c r="M46" s="146">
        <v>2349.7759999999998</v>
      </c>
      <c r="N46" s="146">
        <v>442.39999</v>
      </c>
      <c r="O46" s="146">
        <v>1644.8431628199999</v>
      </c>
      <c r="P46" s="188">
        <v>0.69999998417721521</v>
      </c>
      <c r="Q46" s="193">
        <v>49490</v>
      </c>
      <c r="R46" s="196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2988</v>
      </c>
      <c r="E47" s="151"/>
      <c r="F47" s="151"/>
      <c r="G47" s="145" t="s">
        <v>3011</v>
      </c>
      <c r="H47" s="145" t="s">
        <v>3012</v>
      </c>
      <c r="I47" s="145" t="s">
        <v>314</v>
      </c>
      <c r="J47" s="145" t="s">
        <v>1211</v>
      </c>
      <c r="K47" s="177">
        <v>44453</v>
      </c>
      <c r="L47" s="146">
        <v>800</v>
      </c>
      <c r="M47" s="146">
        <v>2974.4</v>
      </c>
      <c r="N47" s="146">
        <v>80</v>
      </c>
      <c r="O47" s="146">
        <v>297.44</v>
      </c>
      <c r="P47" s="188">
        <v>0.1</v>
      </c>
      <c r="Q47" s="193">
        <v>47745</v>
      </c>
      <c r="R47" s="196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2872</v>
      </c>
      <c r="E48" s="151"/>
      <c r="F48" s="151"/>
      <c r="G48" s="145" t="s">
        <v>2873</v>
      </c>
      <c r="H48" s="145" t="s">
        <v>2874</v>
      </c>
      <c r="I48" s="145" t="s">
        <v>314</v>
      </c>
      <c r="J48" s="145" t="s">
        <v>1211</v>
      </c>
      <c r="K48" s="177">
        <v>43327</v>
      </c>
      <c r="L48" s="146">
        <v>439.85899999999998</v>
      </c>
      <c r="M48" s="146">
        <v>1635.3957619999999</v>
      </c>
      <c r="N48" s="146">
        <v>21.012</v>
      </c>
      <c r="O48" s="146">
        <v>78.122615999999994</v>
      </c>
      <c r="P48" s="188">
        <v>4.7769853521242037E-2</v>
      </c>
      <c r="Q48" s="193">
        <v>46965</v>
      </c>
      <c r="R48" s="196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3208</v>
      </c>
      <c r="E49" s="151"/>
      <c r="F49" s="151"/>
      <c r="G49" s="145" t="s">
        <v>3209</v>
      </c>
      <c r="H49" s="145" t="s">
        <v>3210</v>
      </c>
      <c r="I49" s="145" t="s">
        <v>314</v>
      </c>
      <c r="J49" s="145" t="s">
        <v>1211</v>
      </c>
      <c r="K49" s="177">
        <v>43116</v>
      </c>
      <c r="L49" s="146">
        <v>230.84299999999999</v>
      </c>
      <c r="M49" s="146">
        <v>858.27427399999999</v>
      </c>
      <c r="N49" s="146">
        <v>37.186619999999998</v>
      </c>
      <c r="O49" s="146">
        <v>138.25985315999998</v>
      </c>
      <c r="P49" s="188">
        <v>0.16109052472892829</v>
      </c>
      <c r="Q49" s="193">
        <v>46752</v>
      </c>
      <c r="R49" s="196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3154</v>
      </c>
      <c r="E50" s="151"/>
      <c r="F50" s="151"/>
      <c r="G50" s="145" t="s">
        <v>3155</v>
      </c>
      <c r="H50" s="145" t="s">
        <v>3156</v>
      </c>
      <c r="I50" s="145" t="s">
        <v>314</v>
      </c>
      <c r="J50" s="145" t="s">
        <v>1211</v>
      </c>
      <c r="K50" s="177">
        <v>44525</v>
      </c>
      <c r="L50" s="146">
        <v>160</v>
      </c>
      <c r="M50" s="146">
        <v>594.88</v>
      </c>
      <c r="N50" s="146">
        <v>13.6</v>
      </c>
      <c r="O50" s="146">
        <v>50.564800000000005</v>
      </c>
      <c r="P50" s="188">
        <v>8.5000000000000006E-2</v>
      </c>
      <c r="Q50" s="193">
        <v>47073</v>
      </c>
      <c r="R50" s="196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2877</v>
      </c>
      <c r="E51" s="151"/>
      <c r="F51" s="151"/>
      <c r="G51" s="145" t="s">
        <v>2878</v>
      </c>
      <c r="H51" s="145" t="s">
        <v>2879</v>
      </c>
      <c r="I51" s="145" t="s">
        <v>314</v>
      </c>
      <c r="J51" s="145" t="s">
        <v>1210</v>
      </c>
      <c r="K51" s="177">
        <v>44636</v>
      </c>
      <c r="L51" s="146">
        <v>2091.52</v>
      </c>
      <c r="M51" s="146">
        <v>2091.52</v>
      </c>
      <c r="N51" s="146">
        <v>1568.347</v>
      </c>
      <c r="O51" s="146">
        <v>1568.347</v>
      </c>
      <c r="P51" s="188">
        <v>0.74985991049571599</v>
      </c>
      <c r="Q51" s="193">
        <v>48290</v>
      </c>
      <c r="R51" s="196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3000</v>
      </c>
      <c r="E52" s="151"/>
      <c r="F52" s="151"/>
      <c r="G52" s="145" t="s">
        <v>3001</v>
      </c>
      <c r="H52" s="145" t="s">
        <v>3002</v>
      </c>
      <c r="I52" s="145" t="s">
        <v>314</v>
      </c>
      <c r="J52" s="145" t="s">
        <v>1211</v>
      </c>
      <c r="K52" s="177">
        <v>43207</v>
      </c>
      <c r="L52" s="146">
        <v>379.13706000000002</v>
      </c>
      <c r="M52" s="146">
        <v>1409.6315890800001</v>
      </c>
      <c r="N52" s="146">
        <v>11.099529999999969</v>
      </c>
      <c r="O52" s="146">
        <v>41.268052539999886</v>
      </c>
      <c r="P52" s="188">
        <v>2.9275771669485355E-2</v>
      </c>
      <c r="Q52" s="193">
        <v>46842</v>
      </c>
      <c r="R52" s="196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2863</v>
      </c>
      <c r="E53" s="151"/>
      <c r="F53" s="151"/>
      <c r="G53" s="145" t="s">
        <v>2864</v>
      </c>
      <c r="H53" s="145" t="s">
        <v>2865</v>
      </c>
      <c r="I53" s="145" t="s">
        <v>314</v>
      </c>
      <c r="J53" s="145" t="s">
        <v>1211</v>
      </c>
      <c r="K53" s="177">
        <v>43664</v>
      </c>
      <c r="L53" s="146">
        <v>458.536</v>
      </c>
      <c r="M53" s="146">
        <v>1704.8368479999999</v>
      </c>
      <c r="N53" s="146">
        <v>112.327</v>
      </c>
      <c r="O53" s="146">
        <v>417.63178600000003</v>
      </c>
      <c r="P53" s="188">
        <v>0.24496877017289811</v>
      </c>
      <c r="Q53" s="193">
        <v>46934</v>
      </c>
      <c r="R53" s="196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3119</v>
      </c>
      <c r="E54" s="151"/>
      <c r="F54" s="151"/>
      <c r="G54" s="145" t="s">
        <v>3120</v>
      </c>
      <c r="H54" s="145" t="s">
        <v>3121</v>
      </c>
      <c r="I54" s="145" t="s">
        <v>314</v>
      </c>
      <c r="J54" s="145" t="s">
        <v>1212</v>
      </c>
      <c r="K54" s="177">
        <v>44029</v>
      </c>
      <c r="L54" s="146">
        <v>615.72400000000005</v>
      </c>
      <c r="M54" s="146">
        <v>2476.3803555999998</v>
      </c>
      <c r="N54" s="146">
        <v>44.538420000000045</v>
      </c>
      <c r="O54" s="146">
        <v>179.12907139800015</v>
      </c>
      <c r="P54" s="188">
        <v>7.2335039725591396E-2</v>
      </c>
      <c r="Q54" s="193">
        <v>46568</v>
      </c>
      <c r="R54" s="196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3100</v>
      </c>
      <c r="E55" s="151"/>
      <c r="F55" s="151"/>
      <c r="G55" s="145" t="s">
        <v>3101</v>
      </c>
      <c r="H55" s="145" t="s">
        <v>3102</v>
      </c>
      <c r="I55" s="145" t="s">
        <v>314</v>
      </c>
      <c r="J55" s="145" t="s">
        <v>1211</v>
      </c>
      <c r="K55" s="177">
        <v>45124</v>
      </c>
      <c r="L55" s="146">
        <v>328.92</v>
      </c>
      <c r="M55" s="146">
        <v>1222.9245600000002</v>
      </c>
      <c r="N55" s="146">
        <v>33.869999999999997</v>
      </c>
      <c r="O55" s="146">
        <v>125.92866000000001</v>
      </c>
      <c r="P55" s="188">
        <v>0.10297336738416636</v>
      </c>
      <c r="Q55" s="193">
        <v>47848</v>
      </c>
      <c r="R55" s="196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2907</v>
      </c>
      <c r="E56" s="151"/>
      <c r="F56" s="151"/>
      <c r="G56" s="145" t="s">
        <v>2908</v>
      </c>
      <c r="H56" s="145" t="s">
        <v>2909</v>
      </c>
      <c r="I56" s="145" t="s">
        <v>314</v>
      </c>
      <c r="J56" s="145" t="s">
        <v>1211</v>
      </c>
      <c r="K56" s="177">
        <v>45215</v>
      </c>
      <c r="L56" s="146">
        <v>474</v>
      </c>
      <c r="M56" s="146">
        <v>1762.3320000000001</v>
      </c>
      <c r="N56" s="146">
        <v>267.81</v>
      </c>
      <c r="O56" s="146">
        <v>995.71758</v>
      </c>
      <c r="P56" s="188">
        <v>0.56499999999999995</v>
      </c>
      <c r="Q56" s="193">
        <v>48869</v>
      </c>
      <c r="R56" s="196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2958</v>
      </c>
      <c r="E57" s="151"/>
      <c r="F57" s="151"/>
      <c r="G57" s="145" t="s">
        <v>2959</v>
      </c>
      <c r="H57" s="145" t="s">
        <v>2960</v>
      </c>
      <c r="I57" s="145" t="s">
        <v>314</v>
      </c>
      <c r="J57" s="145" t="s">
        <v>1210</v>
      </c>
      <c r="K57" s="177">
        <v>42753</v>
      </c>
      <c r="L57" s="146">
        <v>1107.7021499999998</v>
      </c>
      <c r="M57" s="146">
        <v>1107.7021499999998</v>
      </c>
      <c r="N57" s="146">
        <v>83.097149999999914</v>
      </c>
      <c r="O57" s="146">
        <v>83.097149999999914</v>
      </c>
      <c r="P57" s="188">
        <v>7.5017593854087863E-2</v>
      </c>
      <c r="Q57" s="193">
        <v>45838</v>
      </c>
      <c r="R57" s="196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2930</v>
      </c>
      <c r="E58" s="151"/>
      <c r="F58" s="151"/>
      <c r="G58" s="145" t="s">
        <v>2931</v>
      </c>
      <c r="H58" s="145" t="s">
        <v>2932</v>
      </c>
      <c r="I58" s="145" t="s">
        <v>314</v>
      </c>
      <c r="J58" s="145" t="s">
        <v>1210</v>
      </c>
      <c r="K58" s="177">
        <v>45034</v>
      </c>
      <c r="L58" s="146">
        <v>1580</v>
      </c>
      <c r="M58" s="146">
        <v>1580</v>
      </c>
      <c r="N58" s="146">
        <v>1106</v>
      </c>
      <c r="O58" s="146">
        <v>1106</v>
      </c>
      <c r="P58" s="188">
        <v>0.7</v>
      </c>
      <c r="Q58" s="193">
        <v>48944</v>
      </c>
      <c r="R58" s="196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3091</v>
      </c>
      <c r="E59" s="151"/>
      <c r="F59" s="151"/>
      <c r="G59" s="145" t="s">
        <v>3092</v>
      </c>
      <c r="H59" s="145" t="s">
        <v>3093</v>
      </c>
      <c r="I59" s="145" t="s">
        <v>314</v>
      </c>
      <c r="J59" s="145" t="s">
        <v>1211</v>
      </c>
      <c r="K59" s="177">
        <v>44731</v>
      </c>
      <c r="L59" s="146">
        <v>640</v>
      </c>
      <c r="M59" s="146">
        <v>2379.52</v>
      </c>
      <c r="N59" s="146">
        <v>306.59803999999997</v>
      </c>
      <c r="O59" s="146">
        <v>1139.93151272</v>
      </c>
      <c r="P59" s="188">
        <v>0.47905943750000002</v>
      </c>
      <c r="Q59" s="193">
        <v>47299</v>
      </c>
      <c r="R59" s="196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3038</v>
      </c>
      <c r="E60" s="151"/>
      <c r="F60" s="151"/>
      <c r="G60" s="145" t="s">
        <v>3039</v>
      </c>
      <c r="H60" s="145" t="s">
        <v>3040</v>
      </c>
      <c r="I60" s="145" t="s">
        <v>314</v>
      </c>
      <c r="J60" s="145" t="s">
        <v>1212</v>
      </c>
      <c r="K60" s="177">
        <v>44427</v>
      </c>
      <c r="L60" s="146">
        <v>478.01</v>
      </c>
      <c r="M60" s="146">
        <v>1922.5084189999998</v>
      </c>
      <c r="N60" s="146">
        <v>65.744129999999998</v>
      </c>
      <c r="O60" s="146">
        <v>264.41631644700004</v>
      </c>
      <c r="P60" s="188">
        <v>0.13753714357440225</v>
      </c>
      <c r="Q60" s="193">
        <v>46265</v>
      </c>
      <c r="R60" s="196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2982</v>
      </c>
      <c r="E61" s="151"/>
      <c r="F61" s="151"/>
      <c r="G61" s="145" t="s">
        <v>2983</v>
      </c>
      <c r="H61" s="145" t="s">
        <v>2984</v>
      </c>
      <c r="I61" s="145" t="s">
        <v>314</v>
      </c>
      <c r="J61" s="145" t="s">
        <v>1211</v>
      </c>
      <c r="K61" s="177">
        <v>43727</v>
      </c>
      <c r="L61" s="146">
        <v>756.35299999999995</v>
      </c>
      <c r="M61" s="146">
        <v>2812.1204539999999</v>
      </c>
      <c r="N61" s="146">
        <v>91.693119999999993</v>
      </c>
      <c r="O61" s="146">
        <v>340.91502015999998</v>
      </c>
      <c r="P61" s="188">
        <v>0.12123058942054833</v>
      </c>
      <c r="Q61" s="193">
        <v>47360</v>
      </c>
      <c r="R61" s="196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2988</v>
      </c>
      <c r="E62" s="151"/>
      <c r="F62" s="151"/>
      <c r="G62" s="145" t="s">
        <v>3152</v>
      </c>
      <c r="H62" s="145" t="s">
        <v>3153</v>
      </c>
      <c r="I62" s="145" t="s">
        <v>314</v>
      </c>
      <c r="J62" s="145" t="s">
        <v>1211</v>
      </c>
      <c r="K62" s="177">
        <v>45371</v>
      </c>
      <c r="L62" s="146">
        <v>525</v>
      </c>
      <c r="M62" s="146">
        <v>1951.95</v>
      </c>
      <c r="N62" s="146">
        <v>367.5</v>
      </c>
      <c r="O62" s="146">
        <v>1366.365</v>
      </c>
      <c r="P62" s="188">
        <v>0.7</v>
      </c>
      <c r="Q62" s="193">
        <v>49023</v>
      </c>
      <c r="R62" s="196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3062</v>
      </c>
      <c r="E63" s="151"/>
      <c r="F63" s="151"/>
      <c r="G63" s="145" t="s">
        <v>3063</v>
      </c>
      <c r="H63" s="145" t="s">
        <v>3064</v>
      </c>
      <c r="I63" s="145" t="s">
        <v>314</v>
      </c>
      <c r="J63" s="145" t="s">
        <v>1211</v>
      </c>
      <c r="K63" s="177">
        <v>43971</v>
      </c>
      <c r="L63" s="146">
        <v>626.04399999999998</v>
      </c>
      <c r="M63" s="146">
        <v>2327.6315920000002</v>
      </c>
      <c r="N63" s="146">
        <v>143.86340000000001</v>
      </c>
      <c r="O63" s="146">
        <v>534.8841212000001</v>
      </c>
      <c r="P63" s="188">
        <v>0.22979758611215825</v>
      </c>
      <c r="Q63" s="193">
        <v>46142</v>
      </c>
      <c r="R63" s="196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3085</v>
      </c>
      <c r="E64" s="151"/>
      <c r="F64" s="151"/>
      <c r="G64" s="145" t="s">
        <v>3086</v>
      </c>
      <c r="H64" s="145" t="s">
        <v>3087</v>
      </c>
      <c r="I64" s="145" t="s">
        <v>314</v>
      </c>
      <c r="J64" s="145" t="s">
        <v>1211</v>
      </c>
      <c r="K64" s="177">
        <v>45218</v>
      </c>
      <c r="L64" s="146">
        <v>350</v>
      </c>
      <c r="M64" s="146">
        <v>1301.3</v>
      </c>
      <c r="N64" s="146">
        <v>3.5183099999999978</v>
      </c>
      <c r="O64" s="146">
        <v>13.081076579999992</v>
      </c>
      <c r="P64" s="188">
        <v>1.005231428571428E-2</v>
      </c>
      <c r="Q64" s="193">
        <v>48884</v>
      </c>
      <c r="R64" s="196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2840</v>
      </c>
      <c r="E65" s="151"/>
      <c r="F65" s="151"/>
      <c r="G65" s="145" t="s">
        <v>2961</v>
      </c>
      <c r="H65" s="145" t="s">
        <v>2962</v>
      </c>
      <c r="I65" s="145" t="s">
        <v>314</v>
      </c>
      <c r="J65" s="145" t="s">
        <v>1210</v>
      </c>
      <c r="K65" s="177">
        <v>45250</v>
      </c>
      <c r="L65" s="146">
        <v>2212</v>
      </c>
      <c r="M65" s="146">
        <v>2212</v>
      </c>
      <c r="N65" s="146">
        <v>2069.7049999999999</v>
      </c>
      <c r="O65" s="146">
        <v>2069.7049999999999</v>
      </c>
      <c r="P65" s="188">
        <v>0.9356713381555154</v>
      </c>
      <c r="Q65" s="193">
        <v>48913</v>
      </c>
      <c r="R65" s="196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2904</v>
      </c>
      <c r="E66" s="151"/>
      <c r="F66" s="151"/>
      <c r="G66" s="145" t="s">
        <v>3054</v>
      </c>
      <c r="H66" s="145" t="s">
        <v>3055</v>
      </c>
      <c r="I66" s="145" t="s">
        <v>314</v>
      </c>
      <c r="J66" s="145" t="s">
        <v>1211</v>
      </c>
      <c r="K66" s="177">
        <v>44259</v>
      </c>
      <c r="L66" s="146">
        <v>771.72400000000005</v>
      </c>
      <c r="M66" s="146">
        <v>2869.269832</v>
      </c>
      <c r="N66" s="146">
        <v>322.61500000000001</v>
      </c>
      <c r="O66" s="146">
        <v>1199.4825700000001</v>
      </c>
      <c r="P66" s="188">
        <v>0.418044534056217</v>
      </c>
      <c r="Q66" s="193">
        <v>47907</v>
      </c>
      <c r="R66" s="196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3071</v>
      </c>
      <c r="E67" s="151"/>
      <c r="F67" s="151"/>
      <c r="G67" s="145" t="s">
        <v>3072</v>
      </c>
      <c r="H67" s="145" t="s">
        <v>3073</v>
      </c>
      <c r="I67" s="145" t="s">
        <v>314</v>
      </c>
      <c r="J67" s="145" t="s">
        <v>1212</v>
      </c>
      <c r="K67" s="177">
        <v>44613</v>
      </c>
      <c r="L67" s="146">
        <v>384</v>
      </c>
      <c r="M67" s="146">
        <v>1544.4096</v>
      </c>
      <c r="N67" s="146">
        <v>86.400609999999986</v>
      </c>
      <c r="O67" s="146">
        <v>347.49461335899991</v>
      </c>
      <c r="P67" s="188">
        <v>0.22500158854166663</v>
      </c>
      <c r="Q67" s="193">
        <v>48265</v>
      </c>
      <c r="R67" s="196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314</v>
      </c>
      <c r="E68" s="151"/>
      <c r="F68" s="151"/>
      <c r="G68" s="145" t="s">
        <v>2980</v>
      </c>
      <c r="H68" s="145" t="s">
        <v>2981</v>
      </c>
      <c r="I68" s="145" t="s">
        <v>314</v>
      </c>
      <c r="J68" s="145" t="s">
        <v>1211</v>
      </c>
      <c r="K68" s="177">
        <v>43761</v>
      </c>
      <c r="L68" s="146">
        <v>950.34799999999996</v>
      </c>
      <c r="M68" s="146">
        <v>3533.3938640000001</v>
      </c>
      <c r="N68" s="146">
        <v>170.86349999999999</v>
      </c>
      <c r="O68" s="146">
        <v>635.27049299999999</v>
      </c>
      <c r="P68" s="188">
        <v>0.17979045570675165</v>
      </c>
      <c r="Q68" s="193">
        <v>47422</v>
      </c>
      <c r="R68" s="196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3109</v>
      </c>
      <c r="E69" s="151"/>
      <c r="F69" s="151"/>
      <c r="G69" s="145" t="s">
        <v>3110</v>
      </c>
      <c r="H69" s="145" t="s">
        <v>3111</v>
      </c>
      <c r="I69" s="145" t="s">
        <v>314</v>
      </c>
      <c r="J69" s="145" t="s">
        <v>1212</v>
      </c>
      <c r="K69" s="177">
        <v>43335</v>
      </c>
      <c r="L69" s="146">
        <v>323.57382195616543</v>
      </c>
      <c r="M69" s="146">
        <v>1301.3815545255015</v>
      </c>
      <c r="N69" s="146">
        <v>24.784371956165415</v>
      </c>
      <c r="O69" s="146">
        <v>99.68026557050166</v>
      </c>
      <c r="P69" s="188">
        <v>7.6595726459982152E-2</v>
      </c>
      <c r="Q69" s="193">
        <v>46965</v>
      </c>
      <c r="R69" s="196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3013</v>
      </c>
      <c r="E70" s="151"/>
      <c r="F70" s="151"/>
      <c r="G70" s="145" t="s">
        <v>3014</v>
      </c>
      <c r="H70" s="145" t="s">
        <v>3015</v>
      </c>
      <c r="I70" s="145" t="s">
        <v>314</v>
      </c>
      <c r="J70" s="145" t="s">
        <v>1211</v>
      </c>
      <c r="K70" s="177">
        <v>43914</v>
      </c>
      <c r="L70" s="146">
        <v>388.78376502731788</v>
      </c>
      <c r="M70" s="146">
        <v>1445.4980383715679</v>
      </c>
      <c r="N70" s="146">
        <v>10.617585027317865</v>
      </c>
      <c r="O70" s="146">
        <v>39.476181131567827</v>
      </c>
      <c r="P70" s="188">
        <v>2.7309743827836592E-2</v>
      </c>
      <c r="Q70" s="193">
        <v>47542</v>
      </c>
      <c r="R70" s="196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2904</v>
      </c>
      <c r="E71" s="151"/>
      <c r="F71" s="151"/>
      <c r="G71" s="145" t="s">
        <v>3006</v>
      </c>
      <c r="H71" s="145" t="s">
        <v>3007</v>
      </c>
      <c r="I71" s="145" t="s">
        <v>314</v>
      </c>
      <c r="J71" s="145" t="s">
        <v>1211</v>
      </c>
      <c r="K71" s="177">
        <v>44858</v>
      </c>
      <c r="L71" s="146">
        <v>591.11800000000005</v>
      </c>
      <c r="M71" s="146">
        <v>2197.7767239999998</v>
      </c>
      <c r="N71" s="146">
        <v>55.398000000000003</v>
      </c>
      <c r="O71" s="146">
        <v>205.969764</v>
      </c>
      <c r="P71" s="188">
        <v>9.3717328858197516E-2</v>
      </c>
      <c r="Q71" s="193">
        <v>49096</v>
      </c>
      <c r="R71" s="196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2898</v>
      </c>
      <c r="E72" s="151"/>
      <c r="F72" s="151"/>
      <c r="G72" s="145" t="s">
        <v>2899</v>
      </c>
      <c r="H72" s="145" t="s">
        <v>2900</v>
      </c>
      <c r="I72" s="145" t="s">
        <v>314</v>
      </c>
      <c r="J72" s="145" t="s">
        <v>1211</v>
      </c>
      <c r="K72" s="177">
        <v>44524</v>
      </c>
      <c r="L72" s="146">
        <v>320</v>
      </c>
      <c r="M72" s="146">
        <v>1189.76</v>
      </c>
      <c r="N72" s="146">
        <v>48</v>
      </c>
      <c r="O72" s="146">
        <v>178.464</v>
      </c>
      <c r="P72" s="188">
        <v>0.15</v>
      </c>
      <c r="Q72" s="193">
        <v>47081</v>
      </c>
      <c r="R72" s="196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314</v>
      </c>
      <c r="E73" s="151"/>
      <c r="F73" s="151"/>
      <c r="G73" s="145" t="s">
        <v>3186</v>
      </c>
      <c r="H73" s="145" t="s">
        <v>3187</v>
      </c>
      <c r="I73" s="145" t="s">
        <v>314</v>
      </c>
      <c r="J73" s="145" t="s">
        <v>1211</v>
      </c>
      <c r="K73" s="177">
        <v>43521</v>
      </c>
      <c r="L73" s="146">
        <v>345.98628293375236</v>
      </c>
      <c r="M73" s="146">
        <v>1286.376999947691</v>
      </c>
      <c r="N73" s="146">
        <v>55.986272933752332</v>
      </c>
      <c r="O73" s="146">
        <v>208.15696276769117</v>
      </c>
      <c r="P73" s="188">
        <v>0.16181645254552562</v>
      </c>
      <c r="Q73" s="193">
        <v>47149</v>
      </c>
      <c r="R73" s="196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3051</v>
      </c>
      <c r="E74" s="151"/>
      <c r="F74" s="151"/>
      <c r="G74" s="145" t="s">
        <v>3052</v>
      </c>
      <c r="H74" s="145" t="s">
        <v>3053</v>
      </c>
      <c r="I74" s="145" t="s">
        <v>314</v>
      </c>
      <c r="J74" s="145" t="s">
        <v>1211</v>
      </c>
      <c r="K74" s="177">
        <v>44342</v>
      </c>
      <c r="L74" s="146">
        <v>637.79459999999995</v>
      </c>
      <c r="M74" s="146">
        <v>2371.3203227999998</v>
      </c>
      <c r="N74" s="146">
        <v>88.566280000000035</v>
      </c>
      <c r="O74" s="146">
        <v>329.28942904000007</v>
      </c>
      <c r="P74" s="188">
        <v>0.13886332684535119</v>
      </c>
      <c r="Q74" s="193">
        <v>47995</v>
      </c>
      <c r="R74" s="196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3106</v>
      </c>
      <c r="E75" s="151"/>
      <c r="F75" s="151"/>
      <c r="G75" s="145" t="s">
        <v>3107</v>
      </c>
      <c r="H75" s="145" t="s">
        <v>3108</v>
      </c>
      <c r="I75" s="145" t="s">
        <v>314</v>
      </c>
      <c r="J75" s="145" t="s">
        <v>1211</v>
      </c>
      <c r="K75" s="177">
        <v>44769</v>
      </c>
      <c r="L75" s="146">
        <v>379.2</v>
      </c>
      <c r="M75" s="146">
        <v>1409.8656000000001</v>
      </c>
      <c r="N75" s="146">
        <v>9.48</v>
      </c>
      <c r="O75" s="146">
        <v>35.246639999999999</v>
      </c>
      <c r="P75" s="188">
        <v>2.4999999999999998E-2</v>
      </c>
      <c r="Q75" s="193">
        <v>48352</v>
      </c>
      <c r="R75" s="196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3200</v>
      </c>
      <c r="E76" s="151"/>
      <c r="F76" s="151"/>
      <c r="G76" s="145" t="s">
        <v>3201</v>
      </c>
      <c r="H76" s="145" t="s">
        <v>3202</v>
      </c>
      <c r="I76" s="145" t="s">
        <v>314</v>
      </c>
      <c r="J76" s="145" t="s">
        <v>1211</v>
      </c>
      <c r="K76" s="177">
        <v>45498</v>
      </c>
      <c r="L76" s="146">
        <v>395</v>
      </c>
      <c r="M76" s="146">
        <v>1468.61</v>
      </c>
      <c r="N76" s="146">
        <v>316</v>
      </c>
      <c r="O76" s="146">
        <v>1174.8879999999999</v>
      </c>
      <c r="P76" s="188">
        <v>0.8</v>
      </c>
      <c r="Q76" s="193">
        <v>49150</v>
      </c>
      <c r="R76" s="196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2939</v>
      </c>
      <c r="E77" s="151"/>
      <c r="F77" s="151"/>
      <c r="G77" s="145" t="s">
        <v>2940</v>
      </c>
      <c r="H77" s="145" t="s">
        <v>2941</v>
      </c>
      <c r="I77" s="145" t="s">
        <v>314</v>
      </c>
      <c r="J77" s="145" t="s">
        <v>1210</v>
      </c>
      <c r="K77" s="177">
        <v>43398</v>
      </c>
      <c r="L77" s="146">
        <v>1188.7078000000001</v>
      </c>
      <c r="M77" s="146">
        <v>1188.7078000000001</v>
      </c>
      <c r="N77" s="146">
        <v>290.66780000000006</v>
      </c>
      <c r="O77" s="146">
        <v>290.66780000000006</v>
      </c>
      <c r="P77" s="188">
        <v>0.24452417995406445</v>
      </c>
      <c r="Q77" s="193">
        <v>47026</v>
      </c>
      <c r="R77" s="196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3137</v>
      </c>
      <c r="E78" s="151"/>
      <c r="F78" s="151"/>
      <c r="G78" s="145" t="s">
        <v>3138</v>
      </c>
      <c r="H78" s="145" t="s">
        <v>3139</v>
      </c>
      <c r="I78" s="145" t="s">
        <v>314</v>
      </c>
      <c r="J78" s="145" t="s">
        <v>1211</v>
      </c>
      <c r="K78" s="177">
        <v>44525</v>
      </c>
      <c r="L78" s="146">
        <v>224</v>
      </c>
      <c r="M78" s="146">
        <v>832.83199999999999</v>
      </c>
      <c r="N78" s="146">
        <v>17.696000000000002</v>
      </c>
      <c r="O78" s="146">
        <v>65.793728000000002</v>
      </c>
      <c r="P78" s="188">
        <v>7.9000000000000001E-2</v>
      </c>
      <c r="Q78" s="193">
        <v>47082</v>
      </c>
      <c r="R78" s="196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3029</v>
      </c>
      <c r="E79" s="151"/>
      <c r="F79" s="151"/>
      <c r="G79" s="145" t="s">
        <v>3030</v>
      </c>
      <c r="H79" s="145" t="s">
        <v>3031</v>
      </c>
      <c r="I79" s="145" t="s">
        <v>314</v>
      </c>
      <c r="J79" s="145" t="s">
        <v>1211</v>
      </c>
      <c r="K79" s="177">
        <v>44315</v>
      </c>
      <c r="L79" s="146">
        <v>474.82</v>
      </c>
      <c r="M79" s="146">
        <v>1765.38076</v>
      </c>
      <c r="N79" s="146">
        <v>87.754989999999992</v>
      </c>
      <c r="O79" s="146">
        <v>326.27305281999998</v>
      </c>
      <c r="P79" s="188">
        <v>0.18481738342951012</v>
      </c>
      <c r="Q79" s="193">
        <v>47968</v>
      </c>
      <c r="R79" s="196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2869</v>
      </c>
      <c r="E80" s="151"/>
      <c r="F80" s="151"/>
      <c r="G80" s="145" t="s">
        <v>2880</v>
      </c>
      <c r="H80" s="145" t="s">
        <v>2881</v>
      </c>
      <c r="I80" s="145" t="s">
        <v>314</v>
      </c>
      <c r="J80" s="145" t="s">
        <v>1210</v>
      </c>
      <c r="K80" s="177">
        <v>43611</v>
      </c>
      <c r="L80" s="146">
        <v>1345.0129999999999</v>
      </c>
      <c r="M80" s="146">
        <v>1345.0129999999999</v>
      </c>
      <c r="N80" s="146">
        <v>57.094000000000001</v>
      </c>
      <c r="O80" s="146">
        <v>57.094000000000001</v>
      </c>
      <c r="P80" s="188">
        <v>4.2448660347520803E-2</v>
      </c>
      <c r="Q80" s="193">
        <v>47238</v>
      </c>
      <c r="R80" s="196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3178</v>
      </c>
      <c r="E81" s="151"/>
      <c r="F81" s="151"/>
      <c r="G81" s="145" t="s">
        <v>3179</v>
      </c>
      <c r="H81" s="145" t="s">
        <v>3180</v>
      </c>
      <c r="I81" s="145" t="s">
        <v>314</v>
      </c>
      <c r="J81" s="145" t="s">
        <v>1211</v>
      </c>
      <c r="K81" s="177">
        <v>44769</v>
      </c>
      <c r="L81" s="146">
        <v>268.60000000000002</v>
      </c>
      <c r="M81" s="146">
        <v>998.65480000000002</v>
      </c>
      <c r="N81" s="146">
        <v>126.23629999999999</v>
      </c>
      <c r="O81" s="146">
        <v>469.34656339999992</v>
      </c>
      <c r="P81" s="188">
        <v>0.46997877885331341</v>
      </c>
      <c r="Q81" s="193">
        <v>48055</v>
      </c>
      <c r="R81" s="196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3146</v>
      </c>
      <c r="E82" s="151"/>
      <c r="F82" s="151"/>
      <c r="G82" s="145" t="s">
        <v>3147</v>
      </c>
      <c r="H82" s="145" t="s">
        <v>3148</v>
      </c>
      <c r="I82" s="145" t="s">
        <v>314</v>
      </c>
      <c r="J82" s="145" t="s">
        <v>1211</v>
      </c>
      <c r="K82" s="177">
        <v>44525</v>
      </c>
      <c r="L82" s="146">
        <v>318.20400000000001</v>
      </c>
      <c r="M82" s="146">
        <v>1183.0824720000001</v>
      </c>
      <c r="N82" s="146">
        <v>160.16800000000001</v>
      </c>
      <c r="O82" s="146">
        <v>595.50462399999992</v>
      </c>
      <c r="P82" s="188">
        <v>0.50335005216779172</v>
      </c>
      <c r="Q82" s="193">
        <v>47083</v>
      </c>
      <c r="R82" s="196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3203</v>
      </c>
      <c r="E83" s="151"/>
      <c r="F83" s="151"/>
      <c r="G83" s="145" t="s">
        <v>3204</v>
      </c>
      <c r="H83" s="145" t="s">
        <v>3205</v>
      </c>
      <c r="I83" s="145" t="s">
        <v>314</v>
      </c>
      <c r="J83" s="145" t="s">
        <v>1211</v>
      </c>
      <c r="K83" s="177">
        <v>45350</v>
      </c>
      <c r="L83" s="146">
        <v>350</v>
      </c>
      <c r="M83" s="146">
        <v>1301.3</v>
      </c>
      <c r="N83" s="146">
        <v>271.50693999999999</v>
      </c>
      <c r="O83" s="146">
        <v>1009.4628029200001</v>
      </c>
      <c r="P83" s="188">
        <v>0.77573411428571437</v>
      </c>
      <c r="Q83" s="193">
        <v>49003</v>
      </c>
      <c r="R83" s="196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3131</v>
      </c>
      <c r="E84" s="151"/>
      <c r="F84" s="151"/>
      <c r="G84" s="145" t="s">
        <v>3132</v>
      </c>
      <c r="H84" s="145" t="s">
        <v>3133</v>
      </c>
      <c r="I84" s="145" t="s">
        <v>314</v>
      </c>
      <c r="J84" s="145" t="s">
        <v>1211</v>
      </c>
      <c r="K84" s="177">
        <v>45012</v>
      </c>
      <c r="L84" s="146">
        <v>252.8</v>
      </c>
      <c r="M84" s="146">
        <v>939.91039999999998</v>
      </c>
      <c r="N84" s="146">
        <v>59.652000000000001</v>
      </c>
      <c r="O84" s="146">
        <v>221.786136</v>
      </c>
      <c r="P84" s="188">
        <v>0.23596518987341772</v>
      </c>
      <c r="Q84" s="193">
        <v>47543</v>
      </c>
      <c r="R84" s="196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314</v>
      </c>
      <c r="E85" s="151"/>
      <c r="F85" s="151"/>
      <c r="G85" s="145" t="s">
        <v>3046</v>
      </c>
      <c r="H85" s="145" t="s">
        <v>3047</v>
      </c>
      <c r="I85" s="145" t="s">
        <v>314</v>
      </c>
      <c r="J85" s="145" t="s">
        <v>1211</v>
      </c>
      <c r="K85" s="177">
        <v>43643</v>
      </c>
      <c r="L85" s="146">
        <v>458.536</v>
      </c>
      <c r="M85" s="146">
        <v>1704.8368479999999</v>
      </c>
      <c r="N85" s="146">
        <v>33.241</v>
      </c>
      <c r="O85" s="146">
        <v>123.59003800000001</v>
      </c>
      <c r="P85" s="188">
        <v>7.2493762757995017E-2</v>
      </c>
      <c r="Q85" s="193">
        <v>47269</v>
      </c>
      <c r="R85" s="196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314</v>
      </c>
      <c r="E86" s="151"/>
      <c r="F86" s="151"/>
      <c r="G86" s="145" t="s">
        <v>3044</v>
      </c>
      <c r="H86" s="145" t="s">
        <v>3045</v>
      </c>
      <c r="I86" s="145" t="s">
        <v>314</v>
      </c>
      <c r="J86" s="145" t="s">
        <v>1211</v>
      </c>
      <c r="K86" s="177">
        <v>44769</v>
      </c>
      <c r="L86" s="146">
        <v>662.45699999999999</v>
      </c>
      <c r="M86" s="146">
        <v>2463.0151260000002</v>
      </c>
      <c r="N86" s="146">
        <v>83.84</v>
      </c>
      <c r="O86" s="146">
        <v>311.71712000000002</v>
      </c>
      <c r="P86" s="188">
        <v>0.12655915780194035</v>
      </c>
      <c r="Q86" s="193">
        <v>47543</v>
      </c>
      <c r="R86" s="196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2922</v>
      </c>
      <c r="E87" s="151"/>
      <c r="F87" s="151"/>
      <c r="G87" s="145" t="s">
        <v>2922</v>
      </c>
      <c r="H87" s="145" t="s">
        <v>2923</v>
      </c>
      <c r="I87" s="145" t="s">
        <v>314</v>
      </c>
      <c r="J87" s="145" t="s">
        <v>1210</v>
      </c>
      <c r="K87" s="177">
        <v>44192</v>
      </c>
      <c r="L87" s="146">
        <v>796.31100000000004</v>
      </c>
      <c r="M87" s="146">
        <v>796.31100000000004</v>
      </c>
      <c r="N87" s="146">
        <v>151.40798999999998</v>
      </c>
      <c r="O87" s="146">
        <v>151.40798999999998</v>
      </c>
      <c r="P87" s="188">
        <v>0.19013675561432655</v>
      </c>
      <c r="Q87" s="193">
        <v>46905</v>
      </c>
      <c r="R87" s="196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2977</v>
      </c>
      <c r="E88" s="151"/>
      <c r="F88" s="151"/>
      <c r="G88" s="145" t="s">
        <v>2978</v>
      </c>
      <c r="H88" s="145" t="s">
        <v>2979</v>
      </c>
      <c r="I88" s="145" t="s">
        <v>314</v>
      </c>
      <c r="J88" s="145" t="s">
        <v>1211</v>
      </c>
      <c r="K88" s="177">
        <v>44679</v>
      </c>
      <c r="L88" s="146">
        <v>790</v>
      </c>
      <c r="M88" s="146">
        <v>2937.22</v>
      </c>
      <c r="N88" s="146">
        <v>97.29</v>
      </c>
      <c r="O88" s="146">
        <v>361.72421999999995</v>
      </c>
      <c r="P88" s="188">
        <v>0.1231518987341772</v>
      </c>
      <c r="Q88" s="193">
        <v>47664</v>
      </c>
      <c r="R88" s="196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2997</v>
      </c>
      <c r="E89" s="151"/>
      <c r="F89" s="151"/>
      <c r="G89" s="145" t="s">
        <v>2998</v>
      </c>
      <c r="H89" s="145" t="s">
        <v>2999</v>
      </c>
      <c r="I89" s="145" t="s">
        <v>314</v>
      </c>
      <c r="J89" s="145" t="s">
        <v>1211</v>
      </c>
      <c r="K89" s="177">
        <v>43340</v>
      </c>
      <c r="L89" s="146">
        <v>444.63799999999998</v>
      </c>
      <c r="M89" s="146">
        <v>1653.164084</v>
      </c>
      <c r="N89" s="146">
        <v>13.339</v>
      </c>
      <c r="O89" s="146">
        <v>49.594402000000002</v>
      </c>
      <c r="P89" s="188">
        <v>2.9999685137122784E-2</v>
      </c>
      <c r="Q89" s="193">
        <v>48060</v>
      </c>
      <c r="R89" s="196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3068</v>
      </c>
      <c r="E90" s="151"/>
      <c r="F90" s="151"/>
      <c r="G90" s="145" t="s">
        <v>3069</v>
      </c>
      <c r="H90" s="145" t="s">
        <v>3070</v>
      </c>
      <c r="I90" s="145" t="s">
        <v>314</v>
      </c>
      <c r="J90" s="145" t="s">
        <v>1211</v>
      </c>
      <c r="K90" s="177">
        <v>44195</v>
      </c>
      <c r="L90" s="146">
        <v>515.48479999999995</v>
      </c>
      <c r="M90" s="146">
        <v>1916.5724864000001</v>
      </c>
      <c r="N90" s="146">
        <v>199.23294000000001</v>
      </c>
      <c r="O90" s="146">
        <v>740.74807091999992</v>
      </c>
      <c r="P90" s="188">
        <v>0.38649624586408754</v>
      </c>
      <c r="Q90" s="193">
        <v>47817</v>
      </c>
      <c r="R90" s="196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2904</v>
      </c>
      <c r="E91" s="151"/>
      <c r="F91" s="151"/>
      <c r="G91" s="145" t="s">
        <v>3019</v>
      </c>
      <c r="H91" s="145" t="s">
        <v>3020</v>
      </c>
      <c r="I91" s="145" t="s">
        <v>314</v>
      </c>
      <c r="J91" s="145" t="s">
        <v>1211</v>
      </c>
      <c r="K91" s="177">
        <v>43614</v>
      </c>
      <c r="L91" s="146">
        <v>717.13099999999997</v>
      </c>
      <c r="M91" s="146">
        <v>2666.2930580000002</v>
      </c>
      <c r="N91" s="146">
        <v>133.24</v>
      </c>
      <c r="O91" s="146">
        <v>495.38632000000001</v>
      </c>
      <c r="P91" s="188">
        <v>0.18579590060951207</v>
      </c>
      <c r="Q91" s="193">
        <v>47046</v>
      </c>
      <c r="R91" s="196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3197</v>
      </c>
      <c r="E92" s="151"/>
      <c r="F92" s="151"/>
      <c r="G92" s="145" t="s">
        <v>3198</v>
      </c>
      <c r="H92" s="145" t="s">
        <v>3199</v>
      </c>
      <c r="I92" s="145" t="s">
        <v>314</v>
      </c>
      <c r="J92" s="145" t="s">
        <v>1211</v>
      </c>
      <c r="K92" s="177">
        <v>44393</v>
      </c>
      <c r="L92" s="146">
        <v>318.20400000000001</v>
      </c>
      <c r="M92" s="146">
        <v>1183.0824720000001</v>
      </c>
      <c r="N92" s="146">
        <v>229.08789000000002</v>
      </c>
      <c r="O92" s="146">
        <v>851.74877502000004</v>
      </c>
      <c r="P92" s="188">
        <v>0.71994032130331487</v>
      </c>
      <c r="Q92" s="193">
        <v>46203</v>
      </c>
      <c r="R92" s="196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3193</v>
      </c>
      <c r="E93" s="151"/>
      <c r="F93" s="151"/>
      <c r="G93" s="145" t="s">
        <v>3161</v>
      </c>
      <c r="H93" s="145" t="s">
        <v>3194</v>
      </c>
      <c r="I93" s="145" t="s">
        <v>314</v>
      </c>
      <c r="J93" s="145" t="s">
        <v>1211</v>
      </c>
      <c r="K93" s="177">
        <v>44133</v>
      </c>
      <c r="L93" s="146">
        <v>119.548</v>
      </c>
      <c r="M93" s="146">
        <v>444.47946399999995</v>
      </c>
      <c r="N93" s="146">
        <v>27.497</v>
      </c>
      <c r="O93" s="146">
        <v>102.233846</v>
      </c>
      <c r="P93" s="188">
        <v>0.23000803024726471</v>
      </c>
      <c r="Q93" s="193">
        <v>48883</v>
      </c>
      <c r="R93" s="196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2852</v>
      </c>
      <c r="E94" s="151"/>
      <c r="F94" s="151"/>
      <c r="G94" s="145" t="s">
        <v>2885</v>
      </c>
      <c r="H94" s="145" t="s">
        <v>2886</v>
      </c>
      <c r="I94" s="145" t="s">
        <v>314</v>
      </c>
      <c r="J94" s="145" t="s">
        <v>1210</v>
      </c>
      <c r="K94" s="177">
        <v>43130</v>
      </c>
      <c r="L94" s="146">
        <v>1455</v>
      </c>
      <c r="M94" s="146">
        <v>1455</v>
      </c>
      <c r="N94" s="146">
        <v>117.315</v>
      </c>
      <c r="O94" s="146">
        <v>117.315</v>
      </c>
      <c r="P94" s="188">
        <v>8.0628865979381445E-2</v>
      </c>
      <c r="Q94" s="193">
        <v>46783</v>
      </c>
      <c r="R94" s="196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3026</v>
      </c>
      <c r="E95" s="151"/>
      <c r="F95" s="151"/>
      <c r="G95" s="145" t="s">
        <v>3027</v>
      </c>
      <c r="H95" s="145" t="s">
        <v>3028</v>
      </c>
      <c r="I95" s="145" t="s">
        <v>314</v>
      </c>
      <c r="J95" s="145" t="s">
        <v>1212</v>
      </c>
      <c r="K95" s="177">
        <v>43495</v>
      </c>
      <c r="L95" s="146">
        <v>872.67465691566804</v>
      </c>
      <c r="M95" s="146">
        <v>3509.8102026491247</v>
      </c>
      <c r="N95" s="146">
        <v>107.51265691566805</v>
      </c>
      <c r="O95" s="146">
        <v>432.40515484912532</v>
      </c>
      <c r="P95" s="188">
        <v>0.12319901358847146</v>
      </c>
      <c r="Q95" s="193">
        <v>45961</v>
      </c>
      <c r="R95" s="196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3065</v>
      </c>
      <c r="E96" s="151"/>
      <c r="F96" s="151"/>
      <c r="G96" s="145" t="s">
        <v>3066</v>
      </c>
      <c r="H96" s="145" t="s">
        <v>3067</v>
      </c>
      <c r="I96" s="145" t="s">
        <v>314</v>
      </c>
      <c r="J96" s="145" t="s">
        <v>1211</v>
      </c>
      <c r="K96" s="177">
        <v>44651</v>
      </c>
      <c r="L96" s="146">
        <v>576</v>
      </c>
      <c r="M96" s="146">
        <v>2141.5680000000002</v>
      </c>
      <c r="N96" s="146">
        <v>197.28798999999998</v>
      </c>
      <c r="O96" s="146">
        <v>733.51674681999998</v>
      </c>
      <c r="P96" s="188">
        <v>0.34251387152777779</v>
      </c>
      <c r="Q96" s="193">
        <v>48303</v>
      </c>
      <c r="R96" s="196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2840</v>
      </c>
      <c r="E97" s="151"/>
      <c r="F97" s="151"/>
      <c r="G97" s="145" t="s">
        <v>2841</v>
      </c>
      <c r="H97" s="145" t="s">
        <v>2842</v>
      </c>
      <c r="I97" s="145" t="s">
        <v>314</v>
      </c>
      <c r="J97" s="145" t="s">
        <v>1210</v>
      </c>
      <c r="K97" s="177">
        <v>43615</v>
      </c>
      <c r="L97" s="146">
        <v>3025.306</v>
      </c>
      <c r="M97" s="146">
        <v>3025.306</v>
      </c>
      <c r="N97" s="146">
        <v>362.65960000000007</v>
      </c>
      <c r="O97" s="146">
        <v>362.65960000000007</v>
      </c>
      <c r="P97" s="188">
        <v>0.11987534484114998</v>
      </c>
      <c r="Q97" s="193">
        <v>46507</v>
      </c>
      <c r="R97" s="196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3211</v>
      </c>
      <c r="E98" s="151"/>
      <c r="F98" s="151"/>
      <c r="G98" s="145" t="s">
        <v>3212</v>
      </c>
      <c r="H98" s="145" t="s">
        <v>3213</v>
      </c>
      <c r="I98" s="145" t="s">
        <v>314</v>
      </c>
      <c r="J98" s="145" t="s">
        <v>1211</v>
      </c>
      <c r="K98" s="177">
        <v>44742</v>
      </c>
      <c r="L98" s="146">
        <v>505.6</v>
      </c>
      <c r="M98" s="146">
        <v>1879.8208</v>
      </c>
      <c r="N98" s="146">
        <v>433.86505999999997</v>
      </c>
      <c r="O98" s="146">
        <v>1613.11029308</v>
      </c>
      <c r="P98" s="188">
        <v>0.85811918512658225</v>
      </c>
      <c r="Q98" s="193">
        <v>48395</v>
      </c>
      <c r="R98" s="196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3149</v>
      </c>
      <c r="E99" s="151"/>
      <c r="F99" s="151"/>
      <c r="G99" s="145" t="s">
        <v>3150</v>
      </c>
      <c r="H99" s="145" t="s">
        <v>3151</v>
      </c>
      <c r="I99" s="145" t="s">
        <v>314</v>
      </c>
      <c r="J99" s="145" t="s">
        <v>1211</v>
      </c>
      <c r="K99" s="177">
        <v>45503</v>
      </c>
      <c r="L99" s="146">
        <v>350</v>
      </c>
      <c r="M99" s="146">
        <v>1301.3</v>
      </c>
      <c r="N99" s="146">
        <v>157.5</v>
      </c>
      <c r="O99" s="146">
        <v>585.58500000000004</v>
      </c>
      <c r="P99" s="188">
        <v>0.45</v>
      </c>
      <c r="Q99" s="193">
        <v>49155</v>
      </c>
      <c r="R99" s="196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2869</v>
      </c>
      <c r="E100" s="151"/>
      <c r="F100" s="151"/>
      <c r="G100" s="145" t="s">
        <v>2870</v>
      </c>
      <c r="H100" s="145" t="s">
        <v>2871</v>
      </c>
      <c r="I100" s="145" t="s">
        <v>314</v>
      </c>
      <c r="J100" s="145" t="s">
        <v>1210</v>
      </c>
      <c r="K100" s="177">
        <v>44286</v>
      </c>
      <c r="L100" s="146">
        <v>1876.6189999999999</v>
      </c>
      <c r="M100" s="146">
        <v>1876.6189999999999</v>
      </c>
      <c r="N100" s="146">
        <v>614.93199000000004</v>
      </c>
      <c r="O100" s="146">
        <v>614.93199000000004</v>
      </c>
      <c r="P100" s="188">
        <v>0.32768078656349531</v>
      </c>
      <c r="Q100" s="193">
        <v>48669</v>
      </c>
      <c r="R100" s="196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2882</v>
      </c>
      <c r="E101" s="151"/>
      <c r="F101" s="151"/>
      <c r="G101" s="145" t="s">
        <v>2883</v>
      </c>
      <c r="H101" s="145" t="s">
        <v>2884</v>
      </c>
      <c r="I101" s="145" t="s">
        <v>314</v>
      </c>
      <c r="J101" s="145" t="s">
        <v>1210</v>
      </c>
      <c r="K101" s="177">
        <v>44651</v>
      </c>
      <c r="L101" s="146">
        <v>1280</v>
      </c>
      <c r="M101" s="146">
        <v>1280</v>
      </c>
      <c r="N101" s="146">
        <v>335.46898999999996</v>
      </c>
      <c r="O101" s="146">
        <v>335.46898999999996</v>
      </c>
      <c r="P101" s="188">
        <v>0.26208514843749997</v>
      </c>
      <c r="Q101" s="193">
        <v>48304</v>
      </c>
      <c r="R101" s="196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2942</v>
      </c>
      <c r="E102" s="151"/>
      <c r="F102" s="151"/>
      <c r="G102" s="145" t="s">
        <v>2943</v>
      </c>
      <c r="H102" s="145" t="s">
        <v>2944</v>
      </c>
      <c r="I102" s="145" t="s">
        <v>314</v>
      </c>
      <c r="J102" s="145" t="s">
        <v>1211</v>
      </c>
      <c r="K102" s="177">
        <v>45504</v>
      </c>
      <c r="L102" s="146">
        <v>420</v>
      </c>
      <c r="M102" s="146">
        <v>1561.56</v>
      </c>
      <c r="N102" s="146">
        <v>306.83600000000001</v>
      </c>
      <c r="O102" s="146">
        <v>1140.8162479999999</v>
      </c>
      <c r="P102" s="188">
        <v>0.73056190476190475</v>
      </c>
      <c r="Q102" s="193">
        <v>49156</v>
      </c>
      <c r="R102" s="196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3016</v>
      </c>
      <c r="E103" s="151"/>
      <c r="F103" s="151"/>
      <c r="G103" s="145" t="s">
        <v>3017</v>
      </c>
      <c r="H103" s="145" t="s">
        <v>3018</v>
      </c>
      <c r="I103" s="145" t="s">
        <v>314</v>
      </c>
      <c r="J103" s="145" t="s">
        <v>1212</v>
      </c>
      <c r="K103" s="177">
        <v>44143</v>
      </c>
      <c r="L103" s="146">
        <v>520.86900000000003</v>
      </c>
      <c r="M103" s="146">
        <v>2094.8830310999997</v>
      </c>
      <c r="N103" s="146">
        <v>93.732440000000054</v>
      </c>
      <c r="O103" s="146">
        <v>376.98250043600018</v>
      </c>
      <c r="P103" s="188">
        <v>0.17995396155271298</v>
      </c>
      <c r="Q103" s="193">
        <v>48518</v>
      </c>
      <c r="R103" s="196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3097</v>
      </c>
      <c r="E104" s="151"/>
      <c r="F104" s="151"/>
      <c r="G104" s="145" t="s">
        <v>3098</v>
      </c>
      <c r="H104" s="145" t="s">
        <v>3099</v>
      </c>
      <c r="I104" s="145" t="s">
        <v>314</v>
      </c>
      <c r="J104" s="145" t="s">
        <v>1212</v>
      </c>
      <c r="K104" s="177">
        <v>44143</v>
      </c>
      <c r="L104" s="146">
        <v>286.13400000000001</v>
      </c>
      <c r="M104" s="146">
        <v>1150.8023346</v>
      </c>
      <c r="N104" s="146">
        <v>18.566479999999981</v>
      </c>
      <c r="O104" s="146">
        <v>74.672525911999927</v>
      </c>
      <c r="P104" s="188">
        <v>6.4887360467473218E-2</v>
      </c>
      <c r="Q104" s="193">
        <v>48052</v>
      </c>
      <c r="R104" s="196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3021</v>
      </c>
      <c r="E105" s="151"/>
      <c r="F105" s="151"/>
      <c r="G105" s="145" t="s">
        <v>3022</v>
      </c>
      <c r="H105" s="145" t="s">
        <v>3023</v>
      </c>
      <c r="I105" s="145" t="s">
        <v>314</v>
      </c>
      <c r="J105" s="145" t="s">
        <v>1212</v>
      </c>
      <c r="K105" s="177">
        <v>44143</v>
      </c>
      <c r="L105" s="146">
        <v>442.33821999999998</v>
      </c>
      <c r="M105" s="146">
        <v>1779.0400870179997</v>
      </c>
      <c r="N105" s="146">
        <v>17.962849999999978</v>
      </c>
      <c r="O105" s="146">
        <v>72.244786414999894</v>
      </c>
      <c r="P105" s="188">
        <v>4.0608858081492429E-2</v>
      </c>
      <c r="Q105" s="193">
        <v>47664</v>
      </c>
      <c r="R105" s="196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3088</v>
      </c>
      <c r="E106" s="151"/>
      <c r="F106" s="151"/>
      <c r="G106" s="145" t="s">
        <v>3089</v>
      </c>
      <c r="H106" s="145" t="s">
        <v>3090</v>
      </c>
      <c r="I106" s="145" t="s">
        <v>314</v>
      </c>
      <c r="J106" s="145" t="s">
        <v>1211</v>
      </c>
      <c r="K106" s="177">
        <v>43934</v>
      </c>
      <c r="L106" s="146">
        <v>310.27199999999999</v>
      </c>
      <c r="M106" s="146">
        <v>1153.5912960000001</v>
      </c>
      <c r="N106" s="146">
        <v>9.3079999999999998</v>
      </c>
      <c r="O106" s="146">
        <v>34.607143999999998</v>
      </c>
      <c r="P106" s="188">
        <v>2.999948432343234E-2</v>
      </c>
      <c r="Q106" s="193">
        <v>47573</v>
      </c>
      <c r="R106" s="196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3169</v>
      </c>
      <c r="E107" s="151"/>
      <c r="F107" s="151"/>
      <c r="G107" s="145" t="s">
        <v>3170</v>
      </c>
      <c r="H107" s="145" t="s">
        <v>3171</v>
      </c>
      <c r="I107" s="145" t="s">
        <v>314</v>
      </c>
      <c r="J107" s="145" t="s">
        <v>1211</v>
      </c>
      <c r="K107" s="177">
        <v>42710</v>
      </c>
      <c r="L107" s="146">
        <v>313.32882000000001</v>
      </c>
      <c r="M107" s="146">
        <v>1164.95655276</v>
      </c>
      <c r="N107" s="146">
        <v>52.019790000000015</v>
      </c>
      <c r="O107" s="146">
        <v>193.40957922000004</v>
      </c>
      <c r="P107" s="188">
        <v>0.16602299782062821</v>
      </c>
      <c r="Q107" s="193">
        <v>46363</v>
      </c>
      <c r="R107" s="196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2860</v>
      </c>
      <c r="E108" s="151"/>
      <c r="F108" s="151"/>
      <c r="G108" s="145" t="s">
        <v>2861</v>
      </c>
      <c r="H108" s="145" t="s">
        <v>2862</v>
      </c>
      <c r="I108" s="145" t="s">
        <v>314</v>
      </c>
      <c r="J108" s="145" t="s">
        <v>1211</v>
      </c>
      <c r="K108" s="177">
        <v>42576</v>
      </c>
      <c r="L108" s="146">
        <v>275</v>
      </c>
      <c r="M108" s="146">
        <v>1022.45</v>
      </c>
      <c r="N108" s="146">
        <v>29.5</v>
      </c>
      <c r="O108" s="146">
        <v>109.681</v>
      </c>
      <c r="P108" s="188">
        <v>0.10727272727272727</v>
      </c>
      <c r="Q108" s="193">
        <v>46229</v>
      </c>
      <c r="R108" s="196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2948</v>
      </c>
      <c r="E109" s="151"/>
      <c r="F109" s="151"/>
      <c r="G109" s="145" t="s">
        <v>2949</v>
      </c>
      <c r="H109" s="145" t="s">
        <v>2950</v>
      </c>
      <c r="I109" s="145" t="s">
        <v>314</v>
      </c>
      <c r="J109" s="145" t="s">
        <v>1211</v>
      </c>
      <c r="K109" s="177">
        <v>41148</v>
      </c>
      <c r="L109" s="146">
        <v>200</v>
      </c>
      <c r="M109" s="146">
        <v>743.6</v>
      </c>
      <c r="N109" s="146">
        <v>18.053000000000001</v>
      </c>
      <c r="O109" s="146">
        <v>67.121054000000001</v>
      </c>
      <c r="P109" s="188">
        <v>9.0265000000000012E-2</v>
      </c>
      <c r="Q109" s="193">
        <v>45657</v>
      </c>
      <c r="R109" s="196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2889</v>
      </c>
      <c r="E110" s="151"/>
      <c r="F110" s="151"/>
      <c r="G110" s="145" t="s">
        <v>2890</v>
      </c>
      <c r="H110" s="145" t="s">
        <v>2891</v>
      </c>
      <c r="I110" s="145" t="s">
        <v>314</v>
      </c>
      <c r="J110" s="145" t="s">
        <v>1210</v>
      </c>
      <c r="K110" s="177">
        <v>44560</v>
      </c>
      <c r="L110" s="146">
        <v>1904.8489999999999</v>
      </c>
      <c r="M110" s="146">
        <v>1904.8489999999999</v>
      </c>
      <c r="N110" s="146">
        <v>895.74699999999996</v>
      </c>
      <c r="O110" s="146">
        <v>895.74699999999996</v>
      </c>
      <c r="P110" s="188">
        <v>0.47024567301660131</v>
      </c>
      <c r="Q110" s="193">
        <v>47118</v>
      </c>
      <c r="R110" s="196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3214</v>
      </c>
      <c r="E111" s="151"/>
      <c r="F111" s="151"/>
      <c r="G111" s="145" t="s">
        <v>3215</v>
      </c>
      <c r="H111" s="145" t="s">
        <v>3216</v>
      </c>
      <c r="I111" s="145" t="s">
        <v>314</v>
      </c>
      <c r="J111" s="145" t="s">
        <v>1211</v>
      </c>
      <c r="K111" s="177">
        <v>44560</v>
      </c>
      <c r="L111" s="146">
        <v>192</v>
      </c>
      <c r="M111" s="146">
        <v>713.85599999999999</v>
      </c>
      <c r="N111" s="146">
        <v>117.17899</v>
      </c>
      <c r="O111" s="146">
        <v>435.67148481999999</v>
      </c>
      <c r="P111" s="188">
        <v>0.61030723958333333</v>
      </c>
      <c r="Q111" s="193">
        <v>47118</v>
      </c>
      <c r="R111" s="196"/>
    </row>
    <row r="112" spans="1:18" ht="14.25" x14ac:dyDescent="0.2">
      <c r="A112" s="144" t="s">
        <v>1205</v>
      </c>
      <c r="B112" s="145" t="s">
        <v>1205</v>
      </c>
      <c r="C112" s="151" t="s">
        <v>1068</v>
      </c>
      <c r="D112" s="145" t="s">
        <v>3214</v>
      </c>
      <c r="E112" s="151"/>
      <c r="F112" s="151"/>
      <c r="G112" s="145" t="s">
        <v>3224</v>
      </c>
      <c r="H112" s="145" t="s">
        <v>3225</v>
      </c>
      <c r="I112" s="145" t="s">
        <v>314</v>
      </c>
      <c r="J112" s="145" t="s">
        <v>1211</v>
      </c>
      <c r="K112" s="177">
        <v>44560</v>
      </c>
      <c r="L112" s="146">
        <v>128</v>
      </c>
      <c r="M112" s="146">
        <v>475.904</v>
      </c>
      <c r="N112" s="146">
        <v>121.42499000000001</v>
      </c>
      <c r="O112" s="146">
        <v>451.45811282000005</v>
      </c>
      <c r="P112" s="188">
        <v>0.94863273437500006</v>
      </c>
      <c r="Q112" s="193">
        <v>47118</v>
      </c>
      <c r="R112" s="196"/>
    </row>
    <row r="113" spans="1:18" ht="14.25" x14ac:dyDescent="0.2">
      <c r="A113" s="144" t="s">
        <v>1205</v>
      </c>
      <c r="B113" s="145" t="s">
        <v>1205</v>
      </c>
      <c r="C113" s="151" t="s">
        <v>1068</v>
      </c>
      <c r="D113" s="145" t="s">
        <v>2895</v>
      </c>
      <c r="E113" s="151"/>
      <c r="F113" s="151"/>
      <c r="G113" s="145" t="s">
        <v>2896</v>
      </c>
      <c r="H113" s="145" t="s">
        <v>2897</v>
      </c>
      <c r="I113" s="145" t="s">
        <v>314</v>
      </c>
      <c r="J113" s="145" t="s">
        <v>1211</v>
      </c>
      <c r="K113" s="177">
        <v>44560</v>
      </c>
      <c r="L113" s="146">
        <v>480</v>
      </c>
      <c r="M113" s="146">
        <v>1784.64</v>
      </c>
      <c r="N113" s="146">
        <v>343.27098999999998</v>
      </c>
      <c r="O113" s="146">
        <v>1276.2815408199999</v>
      </c>
      <c r="P113" s="188">
        <v>0.71514789583333338</v>
      </c>
      <c r="Q113" s="193">
        <v>47118</v>
      </c>
      <c r="R113" s="196"/>
    </row>
    <row r="114" spans="1:18" ht="14.25" x14ac:dyDescent="0.2">
      <c r="A114" s="144" t="s">
        <v>1217</v>
      </c>
      <c r="B114" s="145" t="s">
        <v>1217</v>
      </c>
      <c r="C114" s="151" t="s">
        <v>1068</v>
      </c>
      <c r="D114" s="145" t="s">
        <v>2837</v>
      </c>
      <c r="E114" s="151"/>
      <c r="F114" s="151"/>
      <c r="G114" s="145" t="s">
        <v>2838</v>
      </c>
      <c r="H114" s="145" t="s">
        <v>2839</v>
      </c>
      <c r="I114" s="145" t="s">
        <v>312</v>
      </c>
      <c r="J114" s="145" t="s">
        <v>1211</v>
      </c>
      <c r="K114" s="177">
        <v>43116</v>
      </c>
      <c r="L114" s="146">
        <v>12724.078</v>
      </c>
      <c r="M114" s="146">
        <v>47308.122003999997</v>
      </c>
      <c r="N114" s="146">
        <v>2425.7779999999998</v>
      </c>
      <c r="O114" s="146">
        <v>9019.0426040000002</v>
      </c>
      <c r="P114" s="188">
        <v>0.19064469739968587</v>
      </c>
      <c r="Q114" s="193">
        <v>46265</v>
      </c>
      <c r="R114" s="196"/>
    </row>
    <row r="115" spans="1:18" ht="14.25" x14ac:dyDescent="0.2">
      <c r="A115" s="144" t="s">
        <v>1217</v>
      </c>
      <c r="B115" s="145" t="s">
        <v>1217</v>
      </c>
      <c r="C115" s="151" t="s">
        <v>1068</v>
      </c>
      <c r="D115" s="145" t="s">
        <v>2951</v>
      </c>
      <c r="E115" s="151"/>
      <c r="F115" s="151"/>
      <c r="G115" s="145" t="s">
        <v>2952</v>
      </c>
      <c r="H115" s="145" t="s">
        <v>2953</v>
      </c>
      <c r="I115" s="145" t="s">
        <v>314</v>
      </c>
      <c r="J115" s="145" t="s">
        <v>1210</v>
      </c>
      <c r="K115" s="177">
        <v>42982</v>
      </c>
      <c r="L115" s="146">
        <v>27270.223999999998</v>
      </c>
      <c r="M115" s="146">
        <v>27270.223999999998</v>
      </c>
      <c r="N115" s="146">
        <v>13819.378000000001</v>
      </c>
      <c r="O115" s="146">
        <v>13819.378000000001</v>
      </c>
      <c r="P115" s="188">
        <v>0.50675704020619705</v>
      </c>
      <c r="Q115" s="193">
        <v>46996</v>
      </c>
      <c r="R115" s="196"/>
    </row>
    <row r="116" spans="1:18" ht="14.25" x14ac:dyDescent="0.2">
      <c r="A116" s="144" t="s">
        <v>1217</v>
      </c>
      <c r="B116" s="145" t="s">
        <v>1217</v>
      </c>
      <c r="C116" s="151" t="s">
        <v>1068</v>
      </c>
      <c r="D116" s="145" t="s">
        <v>2924</v>
      </c>
      <c r="E116" s="151"/>
      <c r="F116" s="151"/>
      <c r="G116" s="145" t="s">
        <v>2925</v>
      </c>
      <c r="H116" s="145" t="s">
        <v>2926</v>
      </c>
      <c r="I116" s="145" t="s">
        <v>314</v>
      </c>
      <c r="J116" s="145" t="s">
        <v>1210</v>
      </c>
      <c r="K116" s="177">
        <v>43782</v>
      </c>
      <c r="L116" s="146">
        <v>48573.053</v>
      </c>
      <c r="M116" s="146">
        <v>48573.053</v>
      </c>
      <c r="N116" s="146">
        <v>7792.7969999999996</v>
      </c>
      <c r="O116" s="146">
        <v>7792.7969999999996</v>
      </c>
      <c r="P116" s="188">
        <v>0.16043457264257199</v>
      </c>
      <c r="Q116" s="193">
        <v>46691</v>
      </c>
      <c r="R116" s="196"/>
    </row>
    <row r="117" spans="1:18" ht="14.25" x14ac:dyDescent="0.2">
      <c r="A117" s="144" t="s">
        <v>1217</v>
      </c>
      <c r="B117" s="145" t="s">
        <v>1217</v>
      </c>
      <c r="C117" s="151" t="s">
        <v>1068</v>
      </c>
      <c r="D117" s="145" t="s">
        <v>3125</v>
      </c>
      <c r="E117" s="151"/>
      <c r="F117" s="151"/>
      <c r="G117" s="145" t="s">
        <v>3126</v>
      </c>
      <c r="H117" s="145" t="s">
        <v>3127</v>
      </c>
      <c r="I117" s="145" t="s">
        <v>314</v>
      </c>
      <c r="J117" s="145" t="s">
        <v>1211</v>
      </c>
      <c r="K117" s="177">
        <v>43082</v>
      </c>
      <c r="L117" s="146">
        <v>7255.4639297214999</v>
      </c>
      <c r="M117" s="146">
        <v>26975.814890704536</v>
      </c>
      <c r="N117" s="146">
        <v>225.44992972149979</v>
      </c>
      <c r="O117" s="146">
        <v>838.22283870453623</v>
      </c>
      <c r="P117" s="188">
        <v>3.1073123911202968E-2</v>
      </c>
      <c r="Q117" s="193">
        <v>46735</v>
      </c>
      <c r="R117" s="196"/>
    </row>
    <row r="118" spans="1:18" ht="14.25" x14ac:dyDescent="0.2">
      <c r="A118" s="144" t="s">
        <v>1217</v>
      </c>
      <c r="B118" s="145" t="s">
        <v>1217</v>
      </c>
      <c r="C118" s="151" t="s">
        <v>1068</v>
      </c>
      <c r="D118" s="145" t="s">
        <v>3074</v>
      </c>
      <c r="E118" s="151"/>
      <c r="F118" s="151"/>
      <c r="G118" s="145" t="s">
        <v>3075</v>
      </c>
      <c r="H118" s="145" t="s">
        <v>3076</v>
      </c>
      <c r="I118" s="145" t="s">
        <v>314</v>
      </c>
      <c r="J118" s="145" t="s">
        <v>1211</v>
      </c>
      <c r="K118" s="177">
        <v>43971</v>
      </c>
      <c r="L118" s="146">
        <v>10433.111000000001</v>
      </c>
      <c r="M118" s="146">
        <v>38790.306698</v>
      </c>
      <c r="N118" s="146">
        <v>2840.54</v>
      </c>
      <c r="O118" s="146">
        <v>10561.12772</v>
      </c>
      <c r="P118" s="188">
        <v>0.27226203190975351</v>
      </c>
      <c r="Q118" s="193">
        <v>47624</v>
      </c>
      <c r="R118" s="196"/>
    </row>
    <row r="119" spans="1:18" ht="14.25" x14ac:dyDescent="0.2">
      <c r="A119" s="144" t="s">
        <v>1217</v>
      </c>
      <c r="B119" s="145" t="s">
        <v>1217</v>
      </c>
      <c r="C119" s="151" t="s">
        <v>1068</v>
      </c>
      <c r="D119" s="145" t="s">
        <v>2954</v>
      </c>
      <c r="E119" s="151"/>
      <c r="F119" s="151"/>
      <c r="G119" s="145" t="s">
        <v>2890</v>
      </c>
      <c r="H119" s="145" t="s">
        <v>2955</v>
      </c>
      <c r="I119" s="145" t="s">
        <v>314</v>
      </c>
      <c r="J119" s="145" t="s">
        <v>1210</v>
      </c>
      <c r="K119" s="177">
        <v>42572</v>
      </c>
      <c r="L119" s="146">
        <v>13706.379000000001</v>
      </c>
      <c r="M119" s="146">
        <v>13706.379000000001</v>
      </c>
      <c r="N119" s="146">
        <v>5935.5190000000002</v>
      </c>
      <c r="O119" s="146">
        <v>5935.5190000000002</v>
      </c>
      <c r="P119" s="188">
        <v>0.43304792607879877</v>
      </c>
      <c r="Q119" s="193">
        <v>46225</v>
      </c>
      <c r="R119" s="196"/>
    </row>
    <row r="120" spans="1:18" ht="14.25" x14ac:dyDescent="0.2">
      <c r="A120" s="144" t="s">
        <v>1217</v>
      </c>
      <c r="B120" s="145" t="s">
        <v>1217</v>
      </c>
      <c r="C120" s="151" t="s">
        <v>1068</v>
      </c>
      <c r="D120" s="145" t="s">
        <v>314</v>
      </c>
      <c r="E120" s="151"/>
      <c r="F120" s="151"/>
      <c r="G120" s="145" t="s">
        <v>3114</v>
      </c>
      <c r="H120" s="145" t="s">
        <v>3115</v>
      </c>
      <c r="I120" s="145" t="s">
        <v>314</v>
      </c>
      <c r="J120" s="145" t="s">
        <v>1212</v>
      </c>
      <c r="K120" s="177">
        <v>43396</v>
      </c>
      <c r="L120" s="146">
        <v>8362.5614740354504</v>
      </c>
      <c r="M120" s="146">
        <v>33633.38599242318</v>
      </c>
      <c r="N120" s="146">
        <v>2139.65007403545</v>
      </c>
      <c r="O120" s="146">
        <v>8605.458632763175</v>
      </c>
      <c r="P120" s="188">
        <v>0.2558606092976124</v>
      </c>
      <c r="Q120" s="193">
        <v>46203</v>
      </c>
      <c r="R120" s="196"/>
    </row>
    <row r="121" spans="1:18" ht="14.25" x14ac:dyDescent="0.2">
      <c r="A121" s="144" t="s">
        <v>1217</v>
      </c>
      <c r="B121" s="145" t="s">
        <v>1217</v>
      </c>
      <c r="C121" s="151" t="s">
        <v>1068</v>
      </c>
      <c r="D121" s="145" t="s">
        <v>2866</v>
      </c>
      <c r="E121" s="151"/>
      <c r="F121" s="151"/>
      <c r="G121" s="145" t="s">
        <v>2867</v>
      </c>
      <c r="H121" s="145" t="s">
        <v>2868</v>
      </c>
      <c r="I121" s="145" t="s">
        <v>314</v>
      </c>
      <c r="J121" s="145" t="s">
        <v>1211</v>
      </c>
      <c r="K121" s="177">
        <v>44286</v>
      </c>
      <c r="L121" s="146">
        <v>10459.924000000001</v>
      </c>
      <c r="M121" s="146">
        <v>38889.997431999996</v>
      </c>
      <c r="N121" s="146">
        <v>4945.449990000001</v>
      </c>
      <c r="O121" s="146">
        <v>18387.183062820004</v>
      </c>
      <c r="P121" s="188">
        <v>0.47279980141347117</v>
      </c>
      <c r="Q121" s="193">
        <v>47848</v>
      </c>
      <c r="R121" s="196"/>
    </row>
    <row r="122" spans="1:18" ht="14.25" x14ac:dyDescent="0.2">
      <c r="A122" s="144" t="s">
        <v>1217</v>
      </c>
      <c r="B122" s="145" t="s">
        <v>1217</v>
      </c>
      <c r="C122" s="151" t="s">
        <v>1068</v>
      </c>
      <c r="D122" s="145" t="s">
        <v>3048</v>
      </c>
      <c r="E122" s="151"/>
      <c r="F122" s="151"/>
      <c r="G122" s="145" t="s">
        <v>3049</v>
      </c>
      <c r="H122" s="145" t="s">
        <v>3050</v>
      </c>
      <c r="I122" s="145" t="s">
        <v>314</v>
      </c>
      <c r="J122" s="145" t="s">
        <v>1212</v>
      </c>
      <c r="K122" s="177">
        <v>44651</v>
      </c>
      <c r="L122" s="146">
        <v>11298</v>
      </c>
      <c r="M122" s="146">
        <v>45439.426199999994</v>
      </c>
      <c r="N122" s="146">
        <v>1683.4019900000003</v>
      </c>
      <c r="O122" s="146">
        <v>6770.4744635810002</v>
      </c>
      <c r="P122" s="188">
        <v>0.14899999911488762</v>
      </c>
      <c r="Q122" s="193">
        <v>48305</v>
      </c>
      <c r="R122" s="196"/>
    </row>
    <row r="123" spans="1:18" ht="14.25" x14ac:dyDescent="0.2">
      <c r="A123" s="144" t="s">
        <v>1217</v>
      </c>
      <c r="B123" s="145" t="s">
        <v>1217</v>
      </c>
      <c r="C123" s="151" t="s">
        <v>1068</v>
      </c>
      <c r="D123" s="145" t="s">
        <v>3068</v>
      </c>
      <c r="E123" s="151"/>
      <c r="F123" s="151"/>
      <c r="G123" s="145" t="s">
        <v>3181</v>
      </c>
      <c r="H123" s="145" t="s">
        <v>3182</v>
      </c>
      <c r="I123" s="145" t="s">
        <v>314</v>
      </c>
      <c r="J123" s="145" t="s">
        <v>1211</v>
      </c>
      <c r="K123" s="177">
        <v>45475</v>
      </c>
      <c r="L123" s="146">
        <v>9942.24</v>
      </c>
      <c r="M123" s="146">
        <v>36965.248319999999</v>
      </c>
      <c r="N123" s="146">
        <v>7549.7570500000002</v>
      </c>
      <c r="O123" s="146">
        <v>28069.996711899999</v>
      </c>
      <c r="P123" s="188">
        <v>0.75936177863338639</v>
      </c>
      <c r="Q123" s="193">
        <v>49127</v>
      </c>
      <c r="R123" s="196"/>
    </row>
    <row r="124" spans="1:18" ht="14.25" x14ac:dyDescent="0.2">
      <c r="A124" s="144" t="s">
        <v>1217</v>
      </c>
      <c r="B124" s="145" t="s">
        <v>1217</v>
      </c>
      <c r="C124" s="151" t="s">
        <v>1068</v>
      </c>
      <c r="D124" s="145" t="s">
        <v>314</v>
      </c>
      <c r="E124" s="151"/>
      <c r="F124" s="151"/>
      <c r="G124" s="145" t="s">
        <v>2965</v>
      </c>
      <c r="H124" s="145" t="s">
        <v>2966</v>
      </c>
      <c r="I124" s="145" t="s">
        <v>314</v>
      </c>
      <c r="J124" s="145" t="s">
        <v>1211</v>
      </c>
      <c r="K124" s="177">
        <v>39387</v>
      </c>
      <c r="L124" s="146">
        <v>634</v>
      </c>
      <c r="M124" s="146">
        <v>2357.212</v>
      </c>
      <c r="N124" s="146">
        <v>12.184969999999971</v>
      </c>
      <c r="O124" s="146">
        <v>45.303718459999892</v>
      </c>
      <c r="P124" s="188">
        <v>1.9219195583596169E-2</v>
      </c>
      <c r="Q124" s="193">
        <v>46387</v>
      </c>
      <c r="R124" s="196"/>
    </row>
    <row r="125" spans="1:18" ht="14.25" x14ac:dyDescent="0.2">
      <c r="A125" s="144" t="s">
        <v>1217</v>
      </c>
      <c r="B125" s="145" t="s">
        <v>1217</v>
      </c>
      <c r="C125" s="151" t="s">
        <v>1068</v>
      </c>
      <c r="D125" s="145" t="s">
        <v>3166</v>
      </c>
      <c r="E125" s="151"/>
      <c r="F125" s="151"/>
      <c r="G125" s="145" t="s">
        <v>3167</v>
      </c>
      <c r="H125" s="145" t="s">
        <v>3168</v>
      </c>
      <c r="I125" s="145" t="s">
        <v>314</v>
      </c>
      <c r="J125" s="145" t="s">
        <v>1211</v>
      </c>
      <c r="K125" s="177">
        <v>44651</v>
      </c>
      <c r="L125" s="146">
        <v>15064</v>
      </c>
      <c r="M125" s="146">
        <v>56007.951999999997</v>
      </c>
      <c r="N125" s="146">
        <v>10776.01799</v>
      </c>
      <c r="O125" s="146">
        <v>40065.234886820006</v>
      </c>
      <c r="P125" s="188">
        <v>0.71534904341476369</v>
      </c>
      <c r="Q125" s="193">
        <v>48307</v>
      </c>
      <c r="R125" s="196"/>
    </row>
    <row r="126" spans="1:18" ht="14.25" x14ac:dyDescent="0.2">
      <c r="A126" s="144" t="s">
        <v>1217</v>
      </c>
      <c r="B126" s="145" t="s">
        <v>1217</v>
      </c>
      <c r="C126" s="151" t="s">
        <v>1068</v>
      </c>
      <c r="D126" s="145" t="s">
        <v>314</v>
      </c>
      <c r="E126" s="151"/>
      <c r="F126" s="151"/>
      <c r="G126" s="145" t="s">
        <v>3024</v>
      </c>
      <c r="H126" s="145" t="s">
        <v>3025</v>
      </c>
      <c r="I126" s="145" t="s">
        <v>314</v>
      </c>
      <c r="J126" s="145" t="s">
        <v>1211</v>
      </c>
      <c r="K126" s="177">
        <v>44742</v>
      </c>
      <c r="L126" s="146">
        <v>11680.6975306</v>
      </c>
      <c r="M126" s="146">
        <v>43428.833418770795</v>
      </c>
      <c r="N126" s="146">
        <v>1080.6074705999997</v>
      </c>
      <c r="O126" s="146">
        <v>4017.6985756907984</v>
      </c>
      <c r="P126" s="188">
        <v>9.2512238055058371E-2</v>
      </c>
      <c r="Q126" s="193">
        <v>48415</v>
      </c>
      <c r="R126" s="196"/>
    </row>
    <row r="127" spans="1:18" ht="14.25" x14ac:dyDescent="0.2">
      <c r="A127" s="144" t="s">
        <v>1217</v>
      </c>
      <c r="B127" s="145" t="s">
        <v>1217</v>
      </c>
      <c r="C127" s="151" t="s">
        <v>1068</v>
      </c>
      <c r="D127" s="145" t="s">
        <v>2904</v>
      </c>
      <c r="E127" s="151"/>
      <c r="F127" s="151"/>
      <c r="G127" s="145" t="s">
        <v>2905</v>
      </c>
      <c r="H127" s="145" t="s">
        <v>2906</v>
      </c>
      <c r="I127" s="145" t="s">
        <v>314</v>
      </c>
      <c r="J127" s="145" t="s">
        <v>1211</v>
      </c>
      <c r="K127" s="177">
        <v>45475</v>
      </c>
      <c r="L127" s="146">
        <v>11700</v>
      </c>
      <c r="M127" s="146">
        <v>43500.6</v>
      </c>
      <c r="N127" s="146">
        <v>7506.076</v>
      </c>
      <c r="O127" s="146">
        <v>27907.590568</v>
      </c>
      <c r="P127" s="188">
        <v>0.64154495726495731</v>
      </c>
      <c r="Q127" s="193">
        <v>49127</v>
      </c>
      <c r="R127" s="196"/>
    </row>
    <row r="128" spans="1:18" ht="14.25" x14ac:dyDescent="0.2">
      <c r="A128" s="144" t="s">
        <v>1217</v>
      </c>
      <c r="B128" s="145" t="s">
        <v>1217</v>
      </c>
      <c r="C128" s="151" t="s">
        <v>1068</v>
      </c>
      <c r="D128" s="145" t="s">
        <v>3065</v>
      </c>
      <c r="E128" s="151"/>
      <c r="F128" s="151"/>
      <c r="G128" s="145" t="s">
        <v>3112</v>
      </c>
      <c r="H128" s="145" t="s">
        <v>3113</v>
      </c>
      <c r="I128" s="145" t="s">
        <v>314</v>
      </c>
      <c r="J128" s="145" t="s">
        <v>1211</v>
      </c>
      <c r="K128" s="177">
        <v>45140</v>
      </c>
      <c r="L128" s="146">
        <v>11298</v>
      </c>
      <c r="M128" s="146">
        <v>42005.964</v>
      </c>
      <c r="N128" s="146">
        <v>6014.9849999999997</v>
      </c>
      <c r="O128" s="146">
        <v>22363.714230000001</v>
      </c>
      <c r="P128" s="188">
        <v>0.53239378651088687</v>
      </c>
      <c r="Q128" s="193">
        <v>47848</v>
      </c>
      <c r="R128" s="196"/>
    </row>
    <row r="129" spans="1:18" ht="14.25" x14ac:dyDescent="0.2">
      <c r="A129" s="144" t="s">
        <v>1217</v>
      </c>
      <c r="B129" s="145" t="s">
        <v>1217</v>
      </c>
      <c r="C129" s="151" t="s">
        <v>1068</v>
      </c>
      <c r="D129" s="145" t="s">
        <v>3166</v>
      </c>
      <c r="E129" s="151"/>
      <c r="F129" s="151"/>
      <c r="G129" s="145" t="s">
        <v>3217</v>
      </c>
      <c r="H129" s="145" t="s">
        <v>3218</v>
      </c>
      <c r="I129" s="145" t="s">
        <v>314</v>
      </c>
      <c r="J129" s="145" t="s">
        <v>1211</v>
      </c>
      <c r="K129" s="177">
        <v>44651</v>
      </c>
      <c r="L129" s="146">
        <v>1506.4</v>
      </c>
      <c r="M129" s="146">
        <v>5600.7952000000005</v>
      </c>
      <c r="N129" s="146">
        <v>787.16399000000001</v>
      </c>
      <c r="O129" s="146">
        <v>2926.6757148199999</v>
      </c>
      <c r="P129" s="188">
        <v>0.5225464617631439</v>
      </c>
      <c r="Q129" s="193">
        <v>46478</v>
      </c>
      <c r="R129" s="196"/>
    </row>
    <row r="130" spans="1:18" ht="14.25" x14ac:dyDescent="0.2">
      <c r="A130" s="144" t="s">
        <v>1217</v>
      </c>
      <c r="B130" s="145" t="s">
        <v>1217</v>
      </c>
      <c r="C130" s="151" t="s">
        <v>1068</v>
      </c>
      <c r="D130" s="145" t="s">
        <v>2852</v>
      </c>
      <c r="E130" s="151"/>
      <c r="F130" s="151"/>
      <c r="G130" s="145" t="s">
        <v>2853</v>
      </c>
      <c r="H130" s="145" t="s">
        <v>2854</v>
      </c>
      <c r="I130" s="145" t="s">
        <v>314</v>
      </c>
      <c r="J130" s="145" t="s">
        <v>1210</v>
      </c>
      <c r="K130" s="177">
        <v>43802</v>
      </c>
      <c r="L130" s="146">
        <v>48650.273999999998</v>
      </c>
      <c r="M130" s="146">
        <v>48650.273999999998</v>
      </c>
      <c r="N130" s="146">
        <v>14427.960999999999</v>
      </c>
      <c r="O130" s="146">
        <v>14427.960999999999</v>
      </c>
      <c r="P130" s="188">
        <v>0.29656484565739549</v>
      </c>
      <c r="Q130" s="193">
        <v>46721</v>
      </c>
      <c r="R130" s="196"/>
    </row>
    <row r="131" spans="1:18" ht="14.25" x14ac:dyDescent="0.2">
      <c r="A131" s="144" t="s">
        <v>1217</v>
      </c>
      <c r="B131" s="145" t="s">
        <v>1217</v>
      </c>
      <c r="C131" s="151" t="s">
        <v>1068</v>
      </c>
      <c r="D131" s="145" t="s">
        <v>3160</v>
      </c>
      <c r="E131" s="151"/>
      <c r="F131" s="151"/>
      <c r="G131" s="145" t="s">
        <v>3161</v>
      </c>
      <c r="H131" s="145" t="s">
        <v>3162</v>
      </c>
      <c r="I131" s="145" t="s">
        <v>314</v>
      </c>
      <c r="J131" s="145" t="s">
        <v>1211</v>
      </c>
      <c r="K131" s="177">
        <v>44139</v>
      </c>
      <c r="L131" s="146">
        <v>4358.3019999999997</v>
      </c>
      <c r="M131" s="146">
        <v>16204.166835999999</v>
      </c>
      <c r="N131" s="146">
        <v>457.61900000000003</v>
      </c>
      <c r="O131" s="146">
        <v>1701.4274419999999</v>
      </c>
      <c r="P131" s="188">
        <v>0.10499937819820655</v>
      </c>
      <c r="Q131" s="193">
        <v>48883</v>
      </c>
      <c r="R131" s="196"/>
    </row>
    <row r="132" spans="1:18" ht="14.25" x14ac:dyDescent="0.2">
      <c r="A132" s="144" t="s">
        <v>1217</v>
      </c>
      <c r="B132" s="145" t="s">
        <v>1217</v>
      </c>
      <c r="C132" s="151" t="s">
        <v>1068</v>
      </c>
      <c r="D132" s="145" t="s">
        <v>3219</v>
      </c>
      <c r="E132" s="151"/>
      <c r="F132" s="151"/>
      <c r="G132" s="145" t="s">
        <v>3220</v>
      </c>
      <c r="H132" s="145" t="s">
        <v>3221</v>
      </c>
      <c r="I132" s="145" t="s">
        <v>314</v>
      </c>
      <c r="J132" s="145" t="s">
        <v>1211</v>
      </c>
      <c r="K132" s="177">
        <v>45722</v>
      </c>
      <c r="L132" s="146">
        <v>7800</v>
      </c>
      <c r="M132" s="146">
        <v>29000.400000000001</v>
      </c>
      <c r="N132" s="146">
        <v>7056.8255300000001</v>
      </c>
      <c r="O132" s="146">
        <v>26237.277320540001</v>
      </c>
      <c r="P132" s="188">
        <v>0.9047212217948718</v>
      </c>
      <c r="Q132" s="193">
        <v>49374</v>
      </c>
      <c r="R132" s="196"/>
    </row>
    <row r="133" spans="1:18" ht="14.25" x14ac:dyDescent="0.2">
      <c r="A133" s="144" t="s">
        <v>1217</v>
      </c>
      <c r="B133" s="145" t="s">
        <v>1217</v>
      </c>
      <c r="C133" s="151" t="s">
        <v>1068</v>
      </c>
      <c r="D133" s="145" t="s">
        <v>3080</v>
      </c>
      <c r="E133" s="151"/>
      <c r="F133" s="151"/>
      <c r="G133" s="145" t="s">
        <v>2992</v>
      </c>
      <c r="H133" s="145" t="s">
        <v>3081</v>
      </c>
      <c r="I133" s="145" t="s">
        <v>314</v>
      </c>
      <c r="J133" s="145" t="s">
        <v>1211</v>
      </c>
      <c r="K133" s="177">
        <v>45449</v>
      </c>
      <c r="L133" s="146">
        <v>11700</v>
      </c>
      <c r="M133" s="146">
        <v>43500.6</v>
      </c>
      <c r="N133" s="146">
        <v>3908.0419999999999</v>
      </c>
      <c r="O133" s="146">
        <v>14530.100155999999</v>
      </c>
      <c r="P133" s="188">
        <v>0.33402068376068372</v>
      </c>
      <c r="Q133" s="193">
        <v>49101</v>
      </c>
      <c r="R133" s="196"/>
    </row>
    <row r="134" spans="1:18" ht="14.25" x14ac:dyDescent="0.2">
      <c r="A134" s="144" t="s">
        <v>1217</v>
      </c>
      <c r="B134" s="145" t="s">
        <v>1217</v>
      </c>
      <c r="C134" s="151" t="s">
        <v>1068</v>
      </c>
      <c r="D134" s="145" t="s">
        <v>3172</v>
      </c>
      <c r="E134" s="151"/>
      <c r="F134" s="151"/>
      <c r="G134" s="145" t="s">
        <v>3173</v>
      </c>
      <c r="H134" s="145" t="s">
        <v>3174</v>
      </c>
      <c r="I134" s="145" t="s">
        <v>314</v>
      </c>
      <c r="J134" s="145" t="s">
        <v>1211</v>
      </c>
      <c r="K134" s="177">
        <v>44538</v>
      </c>
      <c r="L134" s="146">
        <v>9443.5679999999993</v>
      </c>
      <c r="M134" s="146">
        <v>35111.185824</v>
      </c>
      <c r="N134" s="146">
        <v>1998.6659999999999</v>
      </c>
      <c r="O134" s="146">
        <v>7431.0401879999999</v>
      </c>
      <c r="P134" s="188">
        <v>0.21164309930314473</v>
      </c>
      <c r="Q134" s="193">
        <v>47093</v>
      </c>
      <c r="R134" s="196"/>
    </row>
    <row r="135" spans="1:18" ht="14.25" x14ac:dyDescent="0.2">
      <c r="A135" s="144" t="s">
        <v>1217</v>
      </c>
      <c r="B135" s="145" t="s">
        <v>1217</v>
      </c>
      <c r="C135" s="151" t="s">
        <v>1068</v>
      </c>
      <c r="D135" s="145" t="s">
        <v>2927</v>
      </c>
      <c r="E135" s="151"/>
      <c r="F135" s="151"/>
      <c r="G135" s="145" t="s">
        <v>2928</v>
      </c>
      <c r="H135" s="145" t="s">
        <v>2929</v>
      </c>
      <c r="I135" s="145" t="s">
        <v>314</v>
      </c>
      <c r="J135" s="145" t="s">
        <v>1211</v>
      </c>
      <c r="K135" s="177">
        <v>43194</v>
      </c>
      <c r="L135" s="146">
        <v>6894.0730000000003</v>
      </c>
      <c r="M135" s="146">
        <v>25632.163414000002</v>
      </c>
      <c r="N135" s="146">
        <v>551.52586000000031</v>
      </c>
      <c r="O135" s="146">
        <v>2050.5731474800014</v>
      </c>
      <c r="P135" s="188">
        <v>8.0000002901042727E-2</v>
      </c>
      <c r="Q135" s="193">
        <v>46842</v>
      </c>
      <c r="R135" s="196"/>
    </row>
    <row r="136" spans="1:18" ht="14.25" x14ac:dyDescent="0.2">
      <c r="A136" s="144" t="s">
        <v>1217</v>
      </c>
      <c r="B136" s="145" t="s">
        <v>1217</v>
      </c>
      <c r="C136" s="151" t="s">
        <v>1068</v>
      </c>
      <c r="D136" s="145" t="s">
        <v>3056</v>
      </c>
      <c r="E136" s="151"/>
      <c r="F136" s="151"/>
      <c r="G136" s="145" t="s">
        <v>3057</v>
      </c>
      <c r="H136" s="145" t="s">
        <v>3058</v>
      </c>
      <c r="I136" s="145" t="s">
        <v>314</v>
      </c>
      <c r="J136" s="145" t="s">
        <v>1211</v>
      </c>
      <c r="K136" s="177">
        <v>43230</v>
      </c>
      <c r="L136" s="146">
        <v>13842.651380000001</v>
      </c>
      <c r="M136" s="146">
        <v>51466.977830839998</v>
      </c>
      <c r="N136" s="146">
        <v>2069.476380000001</v>
      </c>
      <c r="O136" s="146">
        <v>7694.313180840003</v>
      </c>
      <c r="P136" s="188">
        <v>0.14949999990536503</v>
      </c>
      <c r="Q136" s="193">
        <v>47938</v>
      </c>
      <c r="R136" s="196"/>
    </row>
    <row r="137" spans="1:18" ht="14.25" x14ac:dyDescent="0.2">
      <c r="A137" s="144" t="s">
        <v>1217</v>
      </c>
      <c r="B137" s="145" t="s">
        <v>1217</v>
      </c>
      <c r="C137" s="151" t="s">
        <v>1068</v>
      </c>
      <c r="D137" s="145" t="s">
        <v>3068</v>
      </c>
      <c r="E137" s="151"/>
      <c r="F137" s="151"/>
      <c r="G137" s="145" t="s">
        <v>3222</v>
      </c>
      <c r="H137" s="145" t="s">
        <v>3223</v>
      </c>
      <c r="I137" s="145" t="s">
        <v>314</v>
      </c>
      <c r="J137" s="145" t="s">
        <v>1211</v>
      </c>
      <c r="K137" s="177">
        <v>45512</v>
      </c>
      <c r="L137" s="146">
        <v>1355.76</v>
      </c>
      <c r="M137" s="146">
        <v>5040.7156799999993</v>
      </c>
      <c r="N137" s="146">
        <v>1169.91041</v>
      </c>
      <c r="O137" s="146">
        <v>4349.7269043799988</v>
      </c>
      <c r="P137" s="188">
        <v>0.86291851802678932</v>
      </c>
      <c r="Q137" s="193">
        <v>49164</v>
      </c>
      <c r="R137" s="196"/>
    </row>
    <row r="138" spans="1:18" ht="14.25" x14ac:dyDescent="0.2">
      <c r="A138" s="144" t="s">
        <v>1217</v>
      </c>
      <c r="B138" s="145" t="s">
        <v>1217</v>
      </c>
      <c r="C138" s="151" t="s">
        <v>1068</v>
      </c>
      <c r="D138" s="145" t="s">
        <v>2933</v>
      </c>
      <c r="E138" s="151"/>
      <c r="F138" s="151"/>
      <c r="G138" s="145" t="s">
        <v>2934</v>
      </c>
      <c r="H138" s="145" t="s">
        <v>2935</v>
      </c>
      <c r="I138" s="145" t="s">
        <v>314</v>
      </c>
      <c r="J138" s="145" t="s">
        <v>1211</v>
      </c>
      <c r="K138" s="177">
        <v>44143</v>
      </c>
      <c r="L138" s="146">
        <v>6275.9560000000001</v>
      </c>
      <c r="M138" s="146">
        <v>23334.004408000001</v>
      </c>
      <c r="N138" s="146">
        <v>2384.8632699999998</v>
      </c>
      <c r="O138" s="146">
        <v>8866.9216378599995</v>
      </c>
      <c r="P138" s="188">
        <v>0.37999999840661725</v>
      </c>
      <c r="Q138" s="193">
        <v>45688</v>
      </c>
      <c r="R138" s="196"/>
    </row>
    <row r="139" spans="1:18" ht="14.25" x14ac:dyDescent="0.2">
      <c r="A139" s="144" t="s">
        <v>1217</v>
      </c>
      <c r="B139" s="145" t="s">
        <v>1217</v>
      </c>
      <c r="C139" s="151" t="s">
        <v>1068</v>
      </c>
      <c r="D139" s="145" t="s">
        <v>314</v>
      </c>
      <c r="E139" s="151"/>
      <c r="F139" s="151"/>
      <c r="G139" s="145" t="s">
        <v>3191</v>
      </c>
      <c r="H139" s="145" t="s">
        <v>3192</v>
      </c>
      <c r="I139" s="145" t="s">
        <v>314</v>
      </c>
      <c r="J139" s="145" t="s">
        <v>1211</v>
      </c>
      <c r="K139" s="177">
        <v>45055</v>
      </c>
      <c r="L139" s="146">
        <v>5272.4</v>
      </c>
      <c r="M139" s="146">
        <v>19602.783199999998</v>
      </c>
      <c r="N139" s="146">
        <v>2513.0320000000002</v>
      </c>
      <c r="O139" s="146">
        <v>9343.4529760000005</v>
      </c>
      <c r="P139" s="188">
        <v>0.47663910173734925</v>
      </c>
      <c r="Q139" s="193">
        <v>49309</v>
      </c>
      <c r="R139" s="196"/>
    </row>
    <row r="140" spans="1:18" ht="14.25" x14ac:dyDescent="0.2">
      <c r="A140" s="144" t="s">
        <v>1217</v>
      </c>
      <c r="B140" s="145" t="s">
        <v>1217</v>
      </c>
      <c r="C140" s="151" t="s">
        <v>1068</v>
      </c>
      <c r="D140" s="145" t="s">
        <v>3183</v>
      </c>
      <c r="E140" s="151"/>
      <c r="F140" s="151"/>
      <c r="G140" s="145" t="s">
        <v>3184</v>
      </c>
      <c r="H140" s="145" t="s">
        <v>3185</v>
      </c>
      <c r="I140" s="145" t="s">
        <v>314</v>
      </c>
      <c r="J140" s="145" t="s">
        <v>1211</v>
      </c>
      <c r="K140" s="177">
        <v>45574</v>
      </c>
      <c r="L140" s="146">
        <v>10140</v>
      </c>
      <c r="M140" s="146">
        <v>37700.519999999997</v>
      </c>
      <c r="N140" s="146">
        <v>7125.5320000000002</v>
      </c>
      <c r="O140" s="146">
        <v>26492.727975999998</v>
      </c>
      <c r="P140" s="188">
        <v>0.70271518737672578</v>
      </c>
      <c r="Q140" s="193">
        <v>48983</v>
      </c>
      <c r="R140" s="196"/>
    </row>
    <row r="141" spans="1:18" ht="14.25" x14ac:dyDescent="0.2">
      <c r="A141" s="144" t="s">
        <v>1217</v>
      </c>
      <c r="B141" s="145" t="s">
        <v>1217</v>
      </c>
      <c r="C141" s="151" t="s">
        <v>1068</v>
      </c>
      <c r="D141" s="145" t="s">
        <v>2994</v>
      </c>
      <c r="E141" s="151"/>
      <c r="F141" s="151"/>
      <c r="G141" s="145" t="s">
        <v>2995</v>
      </c>
      <c r="H141" s="145" t="s">
        <v>2996</v>
      </c>
      <c r="I141" s="145" t="s">
        <v>314</v>
      </c>
      <c r="J141" s="145" t="s">
        <v>1211</v>
      </c>
      <c r="K141" s="177">
        <v>43565</v>
      </c>
      <c r="L141" s="146">
        <v>17710.004550000001</v>
      </c>
      <c r="M141" s="146">
        <v>65845.796916899999</v>
      </c>
      <c r="N141" s="146">
        <v>3326.2685700000002</v>
      </c>
      <c r="O141" s="146">
        <v>12367.06654326</v>
      </c>
      <c r="P141" s="188">
        <v>0.18781861747178377</v>
      </c>
      <c r="Q141" s="193">
        <v>46748</v>
      </c>
      <c r="R141" s="196"/>
    </row>
    <row r="142" spans="1:18" ht="14.25" x14ac:dyDescent="0.2">
      <c r="A142" s="144" t="s">
        <v>1217</v>
      </c>
      <c r="B142" s="145" t="s">
        <v>1217</v>
      </c>
      <c r="C142" s="151" t="s">
        <v>1068</v>
      </c>
      <c r="D142" s="145" t="s">
        <v>2892</v>
      </c>
      <c r="E142" s="151"/>
      <c r="F142" s="151"/>
      <c r="G142" s="145" t="s">
        <v>2893</v>
      </c>
      <c r="H142" s="145" t="s">
        <v>2894</v>
      </c>
      <c r="I142" s="145" t="s">
        <v>314</v>
      </c>
      <c r="J142" s="145" t="s">
        <v>1210</v>
      </c>
      <c r="K142" s="177">
        <v>44722</v>
      </c>
      <c r="L142" s="146">
        <v>26362</v>
      </c>
      <c r="M142" s="146">
        <v>26362</v>
      </c>
      <c r="N142" s="146">
        <v>4295.7479999999996</v>
      </c>
      <c r="O142" s="146">
        <v>4295.7479999999996</v>
      </c>
      <c r="P142" s="188">
        <v>0.16295227979667704</v>
      </c>
      <c r="Q142" s="193">
        <v>48286</v>
      </c>
      <c r="R142" s="196"/>
    </row>
    <row r="143" spans="1:18" ht="14.25" x14ac:dyDescent="0.2">
      <c r="A143" s="144" t="s">
        <v>1217</v>
      </c>
      <c r="B143" s="145" t="s">
        <v>1217</v>
      </c>
      <c r="C143" s="151" t="s">
        <v>1068</v>
      </c>
      <c r="D143" s="145" t="s">
        <v>2916</v>
      </c>
      <c r="E143" s="151"/>
      <c r="F143" s="151"/>
      <c r="G143" s="145" t="s">
        <v>2917</v>
      </c>
      <c r="H143" s="145" t="s">
        <v>2918</v>
      </c>
      <c r="I143" s="145" t="s">
        <v>314</v>
      </c>
      <c r="J143" s="145" t="s">
        <v>1210</v>
      </c>
      <c r="K143" s="177">
        <v>45056</v>
      </c>
      <c r="L143" s="146">
        <v>37660</v>
      </c>
      <c r="M143" s="146">
        <v>37660</v>
      </c>
      <c r="N143" s="146">
        <v>18123.717000000001</v>
      </c>
      <c r="O143" s="146">
        <v>18123.717000000001</v>
      </c>
      <c r="P143" s="188">
        <v>0.48124580456718002</v>
      </c>
      <c r="Q143" s="193">
        <v>48944</v>
      </c>
      <c r="R143" s="196"/>
    </row>
    <row r="144" spans="1:18" ht="14.25" x14ac:dyDescent="0.2">
      <c r="A144" s="144" t="s">
        <v>1217</v>
      </c>
      <c r="B144" s="145" t="s">
        <v>1217</v>
      </c>
      <c r="C144" s="151" t="s">
        <v>1068</v>
      </c>
      <c r="D144" s="145" t="s">
        <v>2956</v>
      </c>
      <c r="E144" s="151"/>
      <c r="F144" s="151"/>
      <c r="G144" s="145" t="s">
        <v>2956</v>
      </c>
      <c r="H144" s="145" t="s">
        <v>2957</v>
      </c>
      <c r="I144" s="145" t="s">
        <v>314</v>
      </c>
      <c r="J144" s="145" t="s">
        <v>1210</v>
      </c>
      <c r="K144" s="177">
        <v>45576</v>
      </c>
      <c r="L144" s="146">
        <v>39000</v>
      </c>
      <c r="M144" s="146">
        <v>39000</v>
      </c>
      <c r="N144" s="146">
        <v>35718.892999999996</v>
      </c>
      <c r="O144" s="146">
        <v>35718.892999999996</v>
      </c>
      <c r="P144" s="188">
        <v>0.91586905128205132</v>
      </c>
      <c r="Q144" s="193">
        <v>50022</v>
      </c>
      <c r="R144" s="196"/>
    </row>
    <row r="145" spans="1:18" ht="14.25" x14ac:dyDescent="0.2">
      <c r="A145" s="144" t="s">
        <v>1217</v>
      </c>
      <c r="B145" s="145" t="s">
        <v>1217</v>
      </c>
      <c r="C145" s="151" t="s">
        <v>1068</v>
      </c>
      <c r="D145" s="145" t="s">
        <v>3140</v>
      </c>
      <c r="E145" s="151"/>
      <c r="F145" s="151"/>
      <c r="G145" s="145" t="s">
        <v>3141</v>
      </c>
      <c r="H145" s="145" t="s">
        <v>3142</v>
      </c>
      <c r="I145" s="145" t="s">
        <v>314</v>
      </c>
      <c r="J145" s="145" t="s">
        <v>1212</v>
      </c>
      <c r="K145" s="177">
        <v>45271</v>
      </c>
      <c r="L145" s="146">
        <v>11298</v>
      </c>
      <c r="M145" s="146">
        <v>45439.426199999994</v>
      </c>
      <c r="N145" s="146">
        <v>5110.5825599999998</v>
      </c>
      <c r="O145" s="146">
        <v>20554.251998063995</v>
      </c>
      <c r="P145" s="188">
        <v>0.45234400424853954</v>
      </c>
      <c r="Q145" s="193">
        <v>48884</v>
      </c>
      <c r="R145" s="196"/>
    </row>
    <row r="146" spans="1:18" ht="14.25" x14ac:dyDescent="0.2">
      <c r="A146" s="144" t="s">
        <v>1217</v>
      </c>
      <c r="B146" s="145" t="s">
        <v>1217</v>
      </c>
      <c r="C146" s="151" t="s">
        <v>1068</v>
      </c>
      <c r="D146" s="145" t="s">
        <v>2936</v>
      </c>
      <c r="E146" s="151"/>
      <c r="F146" s="151"/>
      <c r="G146" s="145" t="s">
        <v>2937</v>
      </c>
      <c r="H146" s="145" t="s">
        <v>2938</v>
      </c>
      <c r="I146" s="145" t="s">
        <v>314</v>
      </c>
      <c r="J146" s="145" t="s">
        <v>1211</v>
      </c>
      <c r="K146" s="177">
        <v>44938</v>
      </c>
      <c r="L146" s="146">
        <v>7532</v>
      </c>
      <c r="M146" s="146">
        <v>28003.975999999999</v>
      </c>
      <c r="N146" s="146">
        <v>4372.326</v>
      </c>
      <c r="O146" s="146">
        <v>16256.308068</v>
      </c>
      <c r="P146" s="188">
        <v>0.58050000000000002</v>
      </c>
      <c r="Q146" s="193">
        <v>47515</v>
      </c>
      <c r="R146" s="196"/>
    </row>
    <row r="147" spans="1:18" ht="14.25" x14ac:dyDescent="0.2">
      <c r="A147" s="144" t="s">
        <v>1217</v>
      </c>
      <c r="B147" s="145" t="s">
        <v>1217</v>
      </c>
      <c r="C147" s="151" t="s">
        <v>1068</v>
      </c>
      <c r="D147" s="145" t="s">
        <v>3128</v>
      </c>
      <c r="E147" s="151"/>
      <c r="F147" s="151"/>
      <c r="G147" s="145" t="s">
        <v>3129</v>
      </c>
      <c r="H147" s="145" t="s">
        <v>3130</v>
      </c>
      <c r="I147" s="145" t="s">
        <v>314</v>
      </c>
      <c r="J147" s="145" t="s">
        <v>1212</v>
      </c>
      <c r="K147" s="177">
        <v>45302</v>
      </c>
      <c r="L147" s="146">
        <v>11298</v>
      </c>
      <c r="M147" s="146">
        <v>45439.426199999994</v>
      </c>
      <c r="N147" s="146">
        <v>6171.1456500000004</v>
      </c>
      <c r="O147" s="146">
        <v>24819.730689734999</v>
      </c>
      <c r="P147" s="188">
        <v>0.54621575942644718</v>
      </c>
      <c r="Q147" s="193">
        <v>49021</v>
      </c>
      <c r="R147" s="196"/>
    </row>
    <row r="148" spans="1:18" ht="14.25" x14ac:dyDescent="0.2">
      <c r="A148" s="144" t="s">
        <v>1217</v>
      </c>
      <c r="B148" s="145" t="s">
        <v>1217</v>
      </c>
      <c r="C148" s="151" t="s">
        <v>1068</v>
      </c>
      <c r="D148" s="145" t="s">
        <v>3097</v>
      </c>
      <c r="E148" s="151"/>
      <c r="F148" s="151"/>
      <c r="G148" s="145" t="s">
        <v>3195</v>
      </c>
      <c r="H148" s="145" t="s">
        <v>3196</v>
      </c>
      <c r="I148" s="145" t="s">
        <v>314</v>
      </c>
      <c r="J148" s="145" t="s">
        <v>1212</v>
      </c>
      <c r="K148" s="177">
        <v>45089</v>
      </c>
      <c r="L148" s="146">
        <v>6238.7419600000003</v>
      </c>
      <c r="M148" s="146">
        <v>25091.596288923996</v>
      </c>
      <c r="N148" s="146">
        <v>3963.1163199999996</v>
      </c>
      <c r="O148" s="146">
        <v>15939.257527407999</v>
      </c>
      <c r="P148" s="188">
        <v>0.63524286553438414</v>
      </c>
      <c r="Q148" s="193">
        <v>50040</v>
      </c>
      <c r="R148" s="196"/>
    </row>
    <row r="149" spans="1:18" ht="14.25" x14ac:dyDescent="0.2">
      <c r="A149" s="144" t="s">
        <v>1217</v>
      </c>
      <c r="B149" s="145" t="s">
        <v>1217</v>
      </c>
      <c r="C149" s="151" t="s">
        <v>1068</v>
      </c>
      <c r="D149" s="145" t="s">
        <v>3188</v>
      </c>
      <c r="E149" s="151"/>
      <c r="F149" s="151"/>
      <c r="G149" s="145" t="s">
        <v>3189</v>
      </c>
      <c r="H149" s="145" t="s">
        <v>3190</v>
      </c>
      <c r="I149" s="145" t="s">
        <v>314</v>
      </c>
      <c r="J149" s="145" t="s">
        <v>1210</v>
      </c>
      <c r="K149" s="177">
        <v>45119</v>
      </c>
      <c r="L149" s="146">
        <v>37660</v>
      </c>
      <c r="M149" s="146">
        <v>37660</v>
      </c>
      <c r="N149" s="146">
        <v>28366.595000000001</v>
      </c>
      <c r="O149" s="146">
        <v>28366.595000000001</v>
      </c>
      <c r="P149" s="188">
        <v>0.75322875730217742</v>
      </c>
      <c r="Q149" s="193">
        <v>47848</v>
      </c>
      <c r="R149" s="196"/>
    </row>
    <row r="150" spans="1:18" ht="14.25" x14ac:dyDescent="0.2">
      <c r="A150" s="144" t="s">
        <v>1217</v>
      </c>
      <c r="B150" s="145" t="s">
        <v>1217</v>
      </c>
      <c r="C150" s="151" t="s">
        <v>1068</v>
      </c>
      <c r="D150" s="145" t="s">
        <v>3143</v>
      </c>
      <c r="E150" s="151"/>
      <c r="F150" s="151"/>
      <c r="G150" s="145" t="s">
        <v>3144</v>
      </c>
      <c r="H150" s="145" t="s">
        <v>3145</v>
      </c>
      <c r="I150" s="145" t="s">
        <v>314</v>
      </c>
      <c r="J150" s="145" t="s">
        <v>1211</v>
      </c>
      <c r="K150" s="177">
        <v>44420</v>
      </c>
      <c r="L150" s="146">
        <v>10518</v>
      </c>
      <c r="M150" s="146">
        <v>39105.923999999999</v>
      </c>
      <c r="N150" s="146">
        <v>6512.1369999999997</v>
      </c>
      <c r="O150" s="146">
        <v>24212.125366</v>
      </c>
      <c r="P150" s="188">
        <v>0.61914213728845791</v>
      </c>
      <c r="Q150" s="193">
        <v>48822</v>
      </c>
      <c r="R150" s="196"/>
    </row>
    <row r="151" spans="1:18" ht="14.25" x14ac:dyDescent="0.2">
      <c r="A151" s="144" t="s">
        <v>1217</v>
      </c>
      <c r="B151" s="145" t="s">
        <v>1217</v>
      </c>
      <c r="C151" s="151" t="s">
        <v>1068</v>
      </c>
      <c r="D151" s="145" t="s">
        <v>3003</v>
      </c>
      <c r="E151" s="151"/>
      <c r="F151" s="151"/>
      <c r="G151" s="145" t="s">
        <v>3004</v>
      </c>
      <c r="H151" s="145" t="s">
        <v>3005</v>
      </c>
      <c r="I151" s="145" t="s">
        <v>314</v>
      </c>
      <c r="J151" s="145" t="s">
        <v>1211</v>
      </c>
      <c r="K151" s="177">
        <v>44116</v>
      </c>
      <c r="L151" s="146">
        <v>17360.77</v>
      </c>
      <c r="M151" s="146">
        <v>64547.342859999997</v>
      </c>
      <c r="N151" s="146">
        <v>2430.5070000000001</v>
      </c>
      <c r="O151" s="146">
        <v>9036.6250259999997</v>
      </c>
      <c r="P151" s="188">
        <v>0.13999995391909462</v>
      </c>
      <c r="Q151" s="193">
        <v>47573</v>
      </c>
      <c r="R151" s="196"/>
    </row>
    <row r="152" spans="1:18" ht="14.25" x14ac:dyDescent="0.2">
      <c r="A152" s="144" t="s">
        <v>1217</v>
      </c>
      <c r="B152" s="145" t="s">
        <v>1217</v>
      </c>
      <c r="C152" s="151" t="s">
        <v>1068</v>
      </c>
      <c r="D152" s="145" t="s">
        <v>2988</v>
      </c>
      <c r="E152" s="151"/>
      <c r="F152" s="151"/>
      <c r="G152" s="145" t="s">
        <v>2989</v>
      </c>
      <c r="H152" s="145" t="s">
        <v>2990</v>
      </c>
      <c r="I152" s="145" t="s">
        <v>314</v>
      </c>
      <c r="J152" s="145" t="s">
        <v>1211</v>
      </c>
      <c r="K152" s="177">
        <v>43843</v>
      </c>
      <c r="L152" s="146">
        <v>17346.528999999999</v>
      </c>
      <c r="M152" s="146">
        <v>64494.394821999995</v>
      </c>
      <c r="N152" s="146">
        <v>3295.8429999999998</v>
      </c>
      <c r="O152" s="146">
        <v>12253.944273999999</v>
      </c>
      <c r="P152" s="188">
        <v>0.19000014354456735</v>
      </c>
      <c r="Q152" s="193">
        <v>47483</v>
      </c>
      <c r="R152" s="196"/>
    </row>
    <row r="153" spans="1:18" ht="14.25" x14ac:dyDescent="0.2">
      <c r="A153" s="144" t="s">
        <v>1217</v>
      </c>
      <c r="B153" s="145" t="s">
        <v>1217</v>
      </c>
      <c r="C153" s="151" t="s">
        <v>1068</v>
      </c>
      <c r="D153" s="145" t="s">
        <v>2901</v>
      </c>
      <c r="E153" s="151"/>
      <c r="F153" s="151"/>
      <c r="G153" s="145" t="s">
        <v>2902</v>
      </c>
      <c r="H153" s="145" t="s">
        <v>2903</v>
      </c>
      <c r="I153" s="145" t="s">
        <v>314</v>
      </c>
      <c r="J153" s="145" t="s">
        <v>1211</v>
      </c>
      <c r="K153" s="177">
        <v>44633</v>
      </c>
      <c r="L153" s="146">
        <v>7027.64</v>
      </c>
      <c r="M153" s="146">
        <v>26128.765520000001</v>
      </c>
      <c r="N153" s="146">
        <v>2768.5210000000002</v>
      </c>
      <c r="O153" s="146">
        <v>10293.361078</v>
      </c>
      <c r="P153" s="188">
        <v>0.39394747027451604</v>
      </c>
      <c r="Q153" s="193">
        <v>48286</v>
      </c>
      <c r="R153" s="196"/>
    </row>
    <row r="154" spans="1:18" ht="14.25" x14ac:dyDescent="0.2">
      <c r="A154" s="144" t="s">
        <v>1217</v>
      </c>
      <c r="B154" s="145" t="s">
        <v>1217</v>
      </c>
      <c r="C154" s="151" t="s">
        <v>1068</v>
      </c>
      <c r="D154" s="145" t="s">
        <v>3157</v>
      </c>
      <c r="E154" s="151"/>
      <c r="F154" s="151"/>
      <c r="G154" s="145" t="s">
        <v>3158</v>
      </c>
      <c r="H154" s="145" t="s">
        <v>3159</v>
      </c>
      <c r="I154" s="145" t="s">
        <v>314</v>
      </c>
      <c r="J154" s="145" t="s">
        <v>1212</v>
      </c>
      <c r="K154" s="177">
        <v>45671</v>
      </c>
      <c r="L154" s="146">
        <v>7800</v>
      </c>
      <c r="M154" s="146">
        <v>31370.819999999996</v>
      </c>
      <c r="N154" s="146">
        <v>4000.8682599999997</v>
      </c>
      <c r="O154" s="146">
        <v>16091.092054893996</v>
      </c>
      <c r="P154" s="188">
        <v>0.51293182820512817</v>
      </c>
      <c r="Q154" s="193">
        <v>48227</v>
      </c>
      <c r="R154" s="196"/>
    </row>
    <row r="155" spans="1:18" ht="14.25" x14ac:dyDescent="0.2">
      <c r="A155" s="144" t="s">
        <v>1217</v>
      </c>
      <c r="B155" s="145" t="s">
        <v>1217</v>
      </c>
      <c r="C155" s="151" t="s">
        <v>1068</v>
      </c>
      <c r="D155" s="145" t="s">
        <v>3032</v>
      </c>
      <c r="E155" s="151"/>
      <c r="F155" s="151"/>
      <c r="G155" s="145" t="s">
        <v>3033</v>
      </c>
      <c r="H155" s="145" t="s">
        <v>3034</v>
      </c>
      <c r="I155" s="145" t="s">
        <v>314</v>
      </c>
      <c r="J155" s="145" t="s">
        <v>1212</v>
      </c>
      <c r="K155" s="177">
        <v>43965</v>
      </c>
      <c r="L155" s="146">
        <v>10433.11</v>
      </c>
      <c r="M155" s="146">
        <v>41960.925108999996</v>
      </c>
      <c r="N155" s="146">
        <v>352.12408000000005</v>
      </c>
      <c r="O155" s="146">
        <v>1416.2078373520001</v>
      </c>
      <c r="P155" s="188">
        <v>3.3750634278752939E-2</v>
      </c>
      <c r="Q155" s="193">
        <v>46507</v>
      </c>
      <c r="R155" s="196"/>
    </row>
    <row r="156" spans="1:18" ht="14.25" x14ac:dyDescent="0.2">
      <c r="A156" s="144" t="s">
        <v>1217</v>
      </c>
      <c r="B156" s="145" t="s">
        <v>1217</v>
      </c>
      <c r="C156" s="151" t="s">
        <v>1068</v>
      </c>
      <c r="D156" s="145" t="s">
        <v>314</v>
      </c>
      <c r="E156" s="151"/>
      <c r="F156" s="151"/>
      <c r="G156" s="145" t="s">
        <v>2858</v>
      </c>
      <c r="H156" s="145" t="s">
        <v>2859</v>
      </c>
      <c r="I156" s="145" t="s">
        <v>314</v>
      </c>
      <c r="J156" s="145" t="s">
        <v>1212</v>
      </c>
      <c r="K156" s="177">
        <v>44026</v>
      </c>
      <c r="L156" s="146">
        <v>10426.954</v>
      </c>
      <c r="M156" s="146">
        <v>41936.166292599999</v>
      </c>
      <c r="N156" s="146">
        <v>3403.9409999999998</v>
      </c>
      <c r="O156" s="146">
        <v>13690.310307899999</v>
      </c>
      <c r="P156" s="188">
        <v>0.32645593334352485</v>
      </c>
      <c r="Q156" s="193">
        <v>47664</v>
      </c>
      <c r="R156" s="196"/>
    </row>
    <row r="157" spans="1:18" ht="14.25" x14ac:dyDescent="0.2">
      <c r="A157" s="144" t="s">
        <v>1217</v>
      </c>
      <c r="B157" s="145" t="s">
        <v>1217</v>
      </c>
      <c r="C157" s="151" t="s">
        <v>1068</v>
      </c>
      <c r="D157" s="145" t="s">
        <v>3163</v>
      </c>
      <c r="E157" s="151"/>
      <c r="F157" s="151"/>
      <c r="G157" s="145" t="s">
        <v>3164</v>
      </c>
      <c r="H157" s="145" t="s">
        <v>3165</v>
      </c>
      <c r="I157" s="145" t="s">
        <v>314</v>
      </c>
      <c r="J157" s="145" t="s">
        <v>1211</v>
      </c>
      <c r="K157" s="177">
        <v>44742</v>
      </c>
      <c r="L157" s="146">
        <v>15064</v>
      </c>
      <c r="M157" s="146">
        <v>56007.951999999997</v>
      </c>
      <c r="N157" s="146">
        <v>10544.79999</v>
      </c>
      <c r="O157" s="146">
        <v>39205.566362819998</v>
      </c>
      <c r="P157" s="188">
        <v>0.69999999933616563</v>
      </c>
      <c r="Q157" s="193">
        <v>49490</v>
      </c>
      <c r="R157" s="196"/>
    </row>
    <row r="158" spans="1:18" ht="14.25" x14ac:dyDescent="0.2">
      <c r="A158" s="144" t="s">
        <v>1217</v>
      </c>
      <c r="B158" s="145" t="s">
        <v>1217</v>
      </c>
      <c r="C158" s="151" t="s">
        <v>1068</v>
      </c>
      <c r="D158" s="145" t="s">
        <v>2988</v>
      </c>
      <c r="E158" s="151"/>
      <c r="F158" s="151"/>
      <c r="G158" s="145" t="s">
        <v>3011</v>
      </c>
      <c r="H158" s="145" t="s">
        <v>3012</v>
      </c>
      <c r="I158" s="145" t="s">
        <v>314</v>
      </c>
      <c r="J158" s="145" t="s">
        <v>1211</v>
      </c>
      <c r="K158" s="177">
        <v>44453</v>
      </c>
      <c r="L158" s="146">
        <v>17530</v>
      </c>
      <c r="M158" s="146">
        <v>65176.54</v>
      </c>
      <c r="N158" s="146">
        <v>1753</v>
      </c>
      <c r="O158" s="146">
        <v>6517.6540000000005</v>
      </c>
      <c r="P158" s="188">
        <v>0.1</v>
      </c>
      <c r="Q158" s="193">
        <v>47745</v>
      </c>
      <c r="R158" s="196"/>
    </row>
    <row r="159" spans="1:18" ht="14.25" x14ac:dyDescent="0.2">
      <c r="A159" s="144" t="s">
        <v>1217</v>
      </c>
      <c r="B159" s="145" t="s">
        <v>1217</v>
      </c>
      <c r="C159" s="151" t="s">
        <v>1068</v>
      </c>
      <c r="D159" s="145" t="s">
        <v>2872</v>
      </c>
      <c r="E159" s="151"/>
      <c r="F159" s="151"/>
      <c r="G159" s="145" t="s">
        <v>2873</v>
      </c>
      <c r="H159" s="145" t="s">
        <v>2874</v>
      </c>
      <c r="I159" s="145" t="s">
        <v>314</v>
      </c>
      <c r="J159" s="145" t="s">
        <v>1211</v>
      </c>
      <c r="K159" s="177">
        <v>43327</v>
      </c>
      <c r="L159" s="146">
        <v>10370.876</v>
      </c>
      <c r="M159" s="146">
        <v>38558.916968000005</v>
      </c>
      <c r="N159" s="146">
        <v>495.49900000000002</v>
      </c>
      <c r="O159" s="146">
        <v>1842.2652819999998</v>
      </c>
      <c r="P159" s="188">
        <v>4.7777931198868827E-2</v>
      </c>
      <c r="Q159" s="193">
        <v>46965</v>
      </c>
      <c r="R159" s="196"/>
    </row>
    <row r="160" spans="1:18" ht="14.25" x14ac:dyDescent="0.2">
      <c r="A160" s="144" t="s">
        <v>1217</v>
      </c>
      <c r="B160" s="145" t="s">
        <v>1217</v>
      </c>
      <c r="C160" s="151" t="s">
        <v>1068</v>
      </c>
      <c r="D160" s="145" t="s">
        <v>3208</v>
      </c>
      <c r="E160" s="151"/>
      <c r="F160" s="151"/>
      <c r="G160" s="145" t="s">
        <v>3209</v>
      </c>
      <c r="H160" s="145" t="s">
        <v>3210</v>
      </c>
      <c r="I160" s="145" t="s">
        <v>314</v>
      </c>
      <c r="J160" s="145" t="s">
        <v>1211</v>
      </c>
      <c r="K160" s="177">
        <v>43116</v>
      </c>
      <c r="L160" s="146">
        <v>5514.1379999999999</v>
      </c>
      <c r="M160" s="146">
        <v>20501.565083999998</v>
      </c>
      <c r="N160" s="146">
        <v>889.11800000000005</v>
      </c>
      <c r="O160" s="146">
        <v>3305.7407239999998</v>
      </c>
      <c r="P160" s="188">
        <v>0.16124333486031725</v>
      </c>
      <c r="Q160" s="193">
        <v>46752</v>
      </c>
      <c r="R160" s="196"/>
    </row>
    <row r="161" spans="1:18" ht="14.25" x14ac:dyDescent="0.2">
      <c r="A161" s="144" t="s">
        <v>1217</v>
      </c>
      <c r="B161" s="145" t="s">
        <v>1217</v>
      </c>
      <c r="C161" s="151" t="s">
        <v>1068</v>
      </c>
      <c r="D161" s="145" t="s">
        <v>3154</v>
      </c>
      <c r="E161" s="151"/>
      <c r="F161" s="151"/>
      <c r="G161" s="145" t="s">
        <v>3155</v>
      </c>
      <c r="H161" s="145" t="s">
        <v>3156</v>
      </c>
      <c r="I161" s="145" t="s">
        <v>314</v>
      </c>
      <c r="J161" s="145" t="s">
        <v>1211</v>
      </c>
      <c r="K161" s="177">
        <v>44525</v>
      </c>
      <c r="L161" s="146">
        <v>3506</v>
      </c>
      <c r="M161" s="146">
        <v>13035.308000000001</v>
      </c>
      <c r="N161" s="146">
        <v>298.01</v>
      </c>
      <c r="O161" s="146">
        <v>1108.00118</v>
      </c>
      <c r="P161" s="188">
        <v>8.4999999999999992E-2</v>
      </c>
      <c r="Q161" s="193">
        <v>47073</v>
      </c>
      <c r="R161" s="196"/>
    </row>
    <row r="162" spans="1:18" ht="14.25" x14ac:dyDescent="0.2">
      <c r="A162" s="144" t="s">
        <v>1217</v>
      </c>
      <c r="B162" s="145" t="s">
        <v>1217</v>
      </c>
      <c r="C162" s="151" t="s">
        <v>1068</v>
      </c>
      <c r="D162" s="145" t="s">
        <v>2877</v>
      </c>
      <c r="E162" s="151"/>
      <c r="F162" s="151"/>
      <c r="G162" s="145" t="s">
        <v>2878</v>
      </c>
      <c r="H162" s="145" t="s">
        <v>2879</v>
      </c>
      <c r="I162" s="145" t="s">
        <v>314</v>
      </c>
      <c r="J162" s="145" t="s">
        <v>1210</v>
      </c>
      <c r="K162" s="177">
        <v>44636</v>
      </c>
      <c r="L162" s="146">
        <v>45830.432000000001</v>
      </c>
      <c r="M162" s="146">
        <v>45830.432000000001</v>
      </c>
      <c r="N162" s="146">
        <v>34366.409</v>
      </c>
      <c r="O162" s="146">
        <v>34366.409</v>
      </c>
      <c r="P162" s="188">
        <v>0.74986002750312286</v>
      </c>
      <c r="Q162" s="193">
        <v>48290</v>
      </c>
      <c r="R162" s="196"/>
    </row>
    <row r="163" spans="1:18" ht="14.25" x14ac:dyDescent="0.2">
      <c r="A163" s="144" t="s">
        <v>1217</v>
      </c>
      <c r="B163" s="145" t="s">
        <v>1217</v>
      </c>
      <c r="C163" s="151" t="s">
        <v>1068</v>
      </c>
      <c r="D163" s="145" t="s">
        <v>3000</v>
      </c>
      <c r="E163" s="151"/>
      <c r="F163" s="151"/>
      <c r="G163" s="145" t="s">
        <v>3001</v>
      </c>
      <c r="H163" s="145" t="s">
        <v>3002</v>
      </c>
      <c r="I163" s="145" t="s">
        <v>314</v>
      </c>
      <c r="J163" s="145" t="s">
        <v>1211</v>
      </c>
      <c r="K163" s="177">
        <v>43207</v>
      </c>
      <c r="L163" s="146">
        <v>8956.9571400000004</v>
      </c>
      <c r="M163" s="146">
        <v>33301.966646520006</v>
      </c>
      <c r="N163" s="146">
        <v>262.21895000000114</v>
      </c>
      <c r="O163" s="146">
        <v>974.93005610000409</v>
      </c>
      <c r="P163" s="188">
        <v>2.9275449899049209E-2</v>
      </c>
      <c r="Q163" s="193">
        <v>46842</v>
      </c>
      <c r="R163" s="196"/>
    </row>
    <row r="164" spans="1:18" ht="14.25" x14ac:dyDescent="0.2">
      <c r="A164" s="144" t="s">
        <v>1217</v>
      </c>
      <c r="B164" s="145" t="s">
        <v>1217</v>
      </c>
      <c r="C164" s="151" t="s">
        <v>1068</v>
      </c>
      <c r="D164" s="145" t="s">
        <v>2863</v>
      </c>
      <c r="E164" s="151"/>
      <c r="F164" s="151"/>
      <c r="G164" s="145" t="s">
        <v>2864</v>
      </c>
      <c r="H164" s="145" t="s">
        <v>2865</v>
      </c>
      <c r="I164" s="145" t="s">
        <v>314</v>
      </c>
      <c r="J164" s="145" t="s">
        <v>1211</v>
      </c>
      <c r="K164" s="177">
        <v>43664</v>
      </c>
      <c r="L164" s="146">
        <v>10413.029</v>
      </c>
      <c r="M164" s="146">
        <v>38715.641821999998</v>
      </c>
      <c r="N164" s="146">
        <v>2550.8690000000001</v>
      </c>
      <c r="O164" s="146">
        <v>9484.1309419999998</v>
      </c>
      <c r="P164" s="188">
        <v>0.24496897108420615</v>
      </c>
      <c r="Q164" s="193">
        <v>46934</v>
      </c>
      <c r="R164" s="196"/>
    </row>
    <row r="165" spans="1:18" ht="14.25" x14ac:dyDescent="0.2">
      <c r="A165" s="144" t="s">
        <v>1217</v>
      </c>
      <c r="B165" s="145" t="s">
        <v>1217</v>
      </c>
      <c r="C165" s="151" t="s">
        <v>1068</v>
      </c>
      <c r="D165" s="145" t="s">
        <v>3119</v>
      </c>
      <c r="E165" s="151"/>
      <c r="F165" s="151"/>
      <c r="G165" s="145" t="s">
        <v>3120</v>
      </c>
      <c r="H165" s="145" t="s">
        <v>3121</v>
      </c>
      <c r="I165" s="145" t="s">
        <v>314</v>
      </c>
      <c r="J165" s="145" t="s">
        <v>1212</v>
      </c>
      <c r="K165" s="177">
        <v>44029</v>
      </c>
      <c r="L165" s="146">
        <v>13893.066000000001</v>
      </c>
      <c r="M165" s="146">
        <v>55876.522145399998</v>
      </c>
      <c r="N165" s="146">
        <v>1004.9554299999998</v>
      </c>
      <c r="O165" s="146">
        <v>4041.8302439169988</v>
      </c>
      <c r="P165" s="188">
        <v>7.2335036053236892E-2</v>
      </c>
      <c r="Q165" s="193">
        <v>46568</v>
      </c>
      <c r="R165" s="196"/>
    </row>
    <row r="166" spans="1:18" ht="14.25" x14ac:dyDescent="0.2">
      <c r="A166" s="144" t="s">
        <v>1217</v>
      </c>
      <c r="B166" s="145" t="s">
        <v>1217</v>
      </c>
      <c r="C166" s="151" t="s">
        <v>1068</v>
      </c>
      <c r="D166" s="145" t="s">
        <v>3100</v>
      </c>
      <c r="E166" s="151"/>
      <c r="F166" s="151"/>
      <c r="G166" s="145" t="s">
        <v>3101</v>
      </c>
      <c r="H166" s="145" t="s">
        <v>3102</v>
      </c>
      <c r="I166" s="145" t="s">
        <v>314</v>
      </c>
      <c r="J166" s="145" t="s">
        <v>1211</v>
      </c>
      <c r="K166" s="177">
        <v>45124</v>
      </c>
      <c r="L166" s="146">
        <v>7839.951</v>
      </c>
      <c r="M166" s="146">
        <v>29148.937817999999</v>
      </c>
      <c r="N166" s="146">
        <v>807.30700000000002</v>
      </c>
      <c r="O166" s="146">
        <v>3001.5674260000001</v>
      </c>
      <c r="P166" s="188">
        <v>0.10297347521687317</v>
      </c>
      <c r="Q166" s="193">
        <v>47848</v>
      </c>
      <c r="R166" s="196"/>
    </row>
    <row r="167" spans="1:18" ht="14.25" x14ac:dyDescent="0.2">
      <c r="A167" s="144" t="s">
        <v>1217</v>
      </c>
      <c r="B167" s="145" t="s">
        <v>1217</v>
      </c>
      <c r="C167" s="151" t="s">
        <v>1068</v>
      </c>
      <c r="D167" s="145" t="s">
        <v>2907</v>
      </c>
      <c r="E167" s="151"/>
      <c r="F167" s="151"/>
      <c r="G167" s="145" t="s">
        <v>2908</v>
      </c>
      <c r="H167" s="145" t="s">
        <v>2909</v>
      </c>
      <c r="I167" s="145" t="s">
        <v>314</v>
      </c>
      <c r="J167" s="145" t="s">
        <v>1211</v>
      </c>
      <c r="K167" s="177">
        <v>45215</v>
      </c>
      <c r="L167" s="146">
        <v>11298</v>
      </c>
      <c r="M167" s="146">
        <v>42005.964</v>
      </c>
      <c r="N167" s="146">
        <v>6383.37</v>
      </c>
      <c r="O167" s="146">
        <v>23733.36966</v>
      </c>
      <c r="P167" s="188">
        <v>0.56500000000000006</v>
      </c>
      <c r="Q167" s="193">
        <v>48869</v>
      </c>
      <c r="R167" s="196"/>
    </row>
    <row r="168" spans="1:18" ht="14.25" x14ac:dyDescent="0.2">
      <c r="A168" s="144" t="s">
        <v>1217</v>
      </c>
      <c r="B168" s="145" t="s">
        <v>1217</v>
      </c>
      <c r="C168" s="151" t="s">
        <v>1068</v>
      </c>
      <c r="D168" s="145" t="s">
        <v>2958</v>
      </c>
      <c r="E168" s="151"/>
      <c r="F168" s="151"/>
      <c r="G168" s="145" t="s">
        <v>2959</v>
      </c>
      <c r="H168" s="145" t="s">
        <v>2960</v>
      </c>
      <c r="I168" s="145" t="s">
        <v>314</v>
      </c>
      <c r="J168" s="145" t="s">
        <v>1210</v>
      </c>
      <c r="K168" s="177">
        <v>42753</v>
      </c>
      <c r="L168" s="146">
        <v>27416.522270000001</v>
      </c>
      <c r="M168" s="146">
        <v>27416.522270000001</v>
      </c>
      <c r="N168" s="146">
        <v>2056.7722699999995</v>
      </c>
      <c r="O168" s="146">
        <v>2056.7722699999995</v>
      </c>
      <c r="P168" s="188">
        <v>7.5019444470190252E-2</v>
      </c>
      <c r="Q168" s="193">
        <v>45838</v>
      </c>
      <c r="R168" s="196"/>
    </row>
    <row r="169" spans="1:18" ht="14.25" x14ac:dyDescent="0.2">
      <c r="A169" s="144" t="s">
        <v>1217</v>
      </c>
      <c r="B169" s="145" t="s">
        <v>1217</v>
      </c>
      <c r="C169" s="151" t="s">
        <v>1068</v>
      </c>
      <c r="D169" s="145" t="s">
        <v>2930</v>
      </c>
      <c r="E169" s="151"/>
      <c r="F169" s="151"/>
      <c r="G169" s="145" t="s">
        <v>2931</v>
      </c>
      <c r="H169" s="145" t="s">
        <v>2932</v>
      </c>
      <c r="I169" s="145" t="s">
        <v>314</v>
      </c>
      <c r="J169" s="145" t="s">
        <v>1210</v>
      </c>
      <c r="K169" s="177">
        <v>45034</v>
      </c>
      <c r="L169" s="146">
        <v>37660</v>
      </c>
      <c r="M169" s="146">
        <v>37660</v>
      </c>
      <c r="N169" s="146">
        <v>26362</v>
      </c>
      <c r="O169" s="146">
        <v>26362</v>
      </c>
      <c r="P169" s="188">
        <v>0.7</v>
      </c>
      <c r="Q169" s="193">
        <v>48944</v>
      </c>
      <c r="R169" s="196"/>
    </row>
    <row r="170" spans="1:18" ht="14.25" x14ac:dyDescent="0.2">
      <c r="A170" s="144" t="s">
        <v>1217</v>
      </c>
      <c r="B170" s="145" t="s">
        <v>1217</v>
      </c>
      <c r="C170" s="151" t="s">
        <v>1068</v>
      </c>
      <c r="D170" s="145" t="s">
        <v>3091</v>
      </c>
      <c r="E170" s="151"/>
      <c r="F170" s="151"/>
      <c r="G170" s="145" t="s">
        <v>3092</v>
      </c>
      <c r="H170" s="145" t="s">
        <v>3093</v>
      </c>
      <c r="I170" s="145" t="s">
        <v>314</v>
      </c>
      <c r="J170" s="145" t="s">
        <v>1211</v>
      </c>
      <c r="K170" s="177">
        <v>44731</v>
      </c>
      <c r="L170" s="146">
        <v>14024</v>
      </c>
      <c r="M170" s="146">
        <v>52141.232000000004</v>
      </c>
      <c r="N170" s="146">
        <v>6718.3341900000005</v>
      </c>
      <c r="O170" s="146">
        <v>24978.766518420001</v>
      </c>
      <c r="P170" s="188">
        <v>0.47905976825442098</v>
      </c>
      <c r="Q170" s="193">
        <v>47299</v>
      </c>
      <c r="R170" s="196"/>
    </row>
    <row r="171" spans="1:18" ht="14.25" x14ac:dyDescent="0.2">
      <c r="A171" s="144" t="s">
        <v>1217</v>
      </c>
      <c r="B171" s="145" t="s">
        <v>1217</v>
      </c>
      <c r="C171" s="151" t="s">
        <v>1068</v>
      </c>
      <c r="D171" s="145" t="s">
        <v>3038</v>
      </c>
      <c r="E171" s="151"/>
      <c r="F171" s="151"/>
      <c r="G171" s="145" t="s">
        <v>3039</v>
      </c>
      <c r="H171" s="145" t="s">
        <v>3040</v>
      </c>
      <c r="I171" s="145" t="s">
        <v>314</v>
      </c>
      <c r="J171" s="145" t="s">
        <v>1212</v>
      </c>
      <c r="K171" s="177">
        <v>44427</v>
      </c>
      <c r="L171" s="146">
        <v>10509.975</v>
      </c>
      <c r="M171" s="146">
        <v>42270.068452499996</v>
      </c>
      <c r="N171" s="146">
        <v>1445.5117499999999</v>
      </c>
      <c r="O171" s="146">
        <v>5813.7037073249994</v>
      </c>
      <c r="P171" s="188">
        <v>0.13753712544511287</v>
      </c>
      <c r="Q171" s="193">
        <v>46265</v>
      </c>
      <c r="R171" s="196"/>
    </row>
    <row r="172" spans="1:18" ht="14.25" x14ac:dyDescent="0.2">
      <c r="A172" s="144" t="s">
        <v>1217</v>
      </c>
      <c r="B172" s="145" t="s">
        <v>1217</v>
      </c>
      <c r="C172" s="151" t="s">
        <v>1068</v>
      </c>
      <c r="D172" s="145" t="s">
        <v>2982</v>
      </c>
      <c r="E172" s="151"/>
      <c r="F172" s="151"/>
      <c r="G172" s="145" t="s">
        <v>2983</v>
      </c>
      <c r="H172" s="145" t="s">
        <v>2984</v>
      </c>
      <c r="I172" s="145" t="s">
        <v>314</v>
      </c>
      <c r="J172" s="145" t="s">
        <v>1211</v>
      </c>
      <c r="K172" s="177">
        <v>43727</v>
      </c>
      <c r="L172" s="146">
        <v>17323.534</v>
      </c>
      <c r="M172" s="146">
        <v>64408.899411999999</v>
      </c>
      <c r="N172" s="146">
        <v>2100.1390399999991</v>
      </c>
      <c r="O172" s="146">
        <v>7808.3169507199964</v>
      </c>
      <c r="P172" s="188">
        <v>0.12123040483541055</v>
      </c>
      <c r="Q172" s="193">
        <v>47360</v>
      </c>
      <c r="R172" s="196"/>
    </row>
    <row r="173" spans="1:18" ht="14.25" x14ac:dyDescent="0.2">
      <c r="A173" s="144" t="s">
        <v>1217</v>
      </c>
      <c r="B173" s="145" t="s">
        <v>1217</v>
      </c>
      <c r="C173" s="151" t="s">
        <v>1068</v>
      </c>
      <c r="D173" s="145" t="s">
        <v>2988</v>
      </c>
      <c r="E173" s="151"/>
      <c r="F173" s="151"/>
      <c r="G173" s="145" t="s">
        <v>3152</v>
      </c>
      <c r="H173" s="145" t="s">
        <v>3153</v>
      </c>
      <c r="I173" s="145" t="s">
        <v>314</v>
      </c>
      <c r="J173" s="145" t="s">
        <v>1211</v>
      </c>
      <c r="K173" s="177">
        <v>45371</v>
      </c>
      <c r="L173" s="146">
        <v>11700</v>
      </c>
      <c r="M173" s="146">
        <v>43500.6</v>
      </c>
      <c r="N173" s="146">
        <v>8190</v>
      </c>
      <c r="O173" s="146">
        <v>30450.42</v>
      </c>
      <c r="P173" s="188">
        <v>0.7</v>
      </c>
      <c r="Q173" s="193">
        <v>49023</v>
      </c>
      <c r="R173" s="196"/>
    </row>
    <row r="174" spans="1:18" ht="14.25" x14ac:dyDescent="0.2">
      <c r="A174" s="144" t="s">
        <v>1217</v>
      </c>
      <c r="B174" s="145" t="s">
        <v>1217</v>
      </c>
      <c r="C174" s="151" t="s">
        <v>1068</v>
      </c>
      <c r="D174" s="145" t="s">
        <v>3062</v>
      </c>
      <c r="E174" s="151"/>
      <c r="F174" s="151"/>
      <c r="G174" s="145" t="s">
        <v>3063</v>
      </c>
      <c r="H174" s="145" t="s">
        <v>3064</v>
      </c>
      <c r="I174" s="145" t="s">
        <v>314</v>
      </c>
      <c r="J174" s="145" t="s">
        <v>1211</v>
      </c>
      <c r="K174" s="177">
        <v>43971</v>
      </c>
      <c r="L174" s="146">
        <v>13917.475</v>
      </c>
      <c r="M174" s="146">
        <v>51745.172049999994</v>
      </c>
      <c r="N174" s="146">
        <v>3198.2080099999998</v>
      </c>
      <c r="O174" s="146">
        <v>11890.93738118</v>
      </c>
      <c r="P174" s="188">
        <v>0.22979800646309767</v>
      </c>
      <c r="Q174" s="193">
        <v>46142</v>
      </c>
      <c r="R174" s="196"/>
    </row>
    <row r="175" spans="1:18" ht="14.25" x14ac:dyDescent="0.2">
      <c r="A175" s="144" t="s">
        <v>1217</v>
      </c>
      <c r="B175" s="145" t="s">
        <v>1217</v>
      </c>
      <c r="C175" s="151" t="s">
        <v>1068</v>
      </c>
      <c r="D175" s="145" t="s">
        <v>3085</v>
      </c>
      <c r="E175" s="151"/>
      <c r="F175" s="151"/>
      <c r="G175" s="145" t="s">
        <v>3086</v>
      </c>
      <c r="H175" s="145" t="s">
        <v>3087</v>
      </c>
      <c r="I175" s="145" t="s">
        <v>314</v>
      </c>
      <c r="J175" s="145" t="s">
        <v>1211</v>
      </c>
      <c r="K175" s="177">
        <v>45218</v>
      </c>
      <c r="L175" s="146">
        <v>7800</v>
      </c>
      <c r="M175" s="146">
        <v>29000.400000000001</v>
      </c>
      <c r="N175" s="146">
        <v>78.405700000000166</v>
      </c>
      <c r="O175" s="146">
        <v>291.51239260000068</v>
      </c>
      <c r="P175" s="188">
        <v>1.0052012820512842E-2</v>
      </c>
      <c r="Q175" s="193">
        <v>48884</v>
      </c>
      <c r="R175" s="196"/>
    </row>
    <row r="176" spans="1:18" ht="14.25" x14ac:dyDescent="0.2">
      <c r="A176" s="144" t="s">
        <v>1217</v>
      </c>
      <c r="B176" s="145" t="s">
        <v>1217</v>
      </c>
      <c r="C176" s="151" t="s">
        <v>1068</v>
      </c>
      <c r="D176" s="145" t="s">
        <v>2840</v>
      </c>
      <c r="E176" s="151"/>
      <c r="F176" s="151"/>
      <c r="G176" s="145" t="s">
        <v>2961</v>
      </c>
      <c r="H176" s="145" t="s">
        <v>2962</v>
      </c>
      <c r="I176" s="145" t="s">
        <v>314</v>
      </c>
      <c r="J176" s="145" t="s">
        <v>1210</v>
      </c>
      <c r="K176" s="177">
        <v>45250</v>
      </c>
      <c r="L176" s="146">
        <v>52724</v>
      </c>
      <c r="M176" s="146">
        <v>52724</v>
      </c>
      <c r="N176" s="146">
        <v>49332.347000000002</v>
      </c>
      <c r="O176" s="146">
        <v>49332.347000000002</v>
      </c>
      <c r="P176" s="188">
        <v>0.93567155375161215</v>
      </c>
      <c r="Q176" s="193">
        <v>48913</v>
      </c>
      <c r="R176" s="196"/>
    </row>
    <row r="177" spans="1:18" ht="14.25" x14ac:dyDescent="0.2">
      <c r="A177" s="144" t="s">
        <v>1217</v>
      </c>
      <c r="B177" s="145" t="s">
        <v>1217</v>
      </c>
      <c r="C177" s="151" t="s">
        <v>1068</v>
      </c>
      <c r="D177" s="145" t="s">
        <v>2904</v>
      </c>
      <c r="E177" s="151"/>
      <c r="F177" s="151"/>
      <c r="G177" s="145" t="s">
        <v>3054</v>
      </c>
      <c r="H177" s="145" t="s">
        <v>3055</v>
      </c>
      <c r="I177" s="145" t="s">
        <v>314</v>
      </c>
      <c r="J177" s="145" t="s">
        <v>1211</v>
      </c>
      <c r="K177" s="177">
        <v>44259</v>
      </c>
      <c r="L177" s="146">
        <v>16905.008999999998</v>
      </c>
      <c r="M177" s="146">
        <v>62852.823462</v>
      </c>
      <c r="N177" s="146">
        <v>7066.9849999999997</v>
      </c>
      <c r="O177" s="146">
        <v>26275.050230000001</v>
      </c>
      <c r="P177" s="188">
        <v>0.41804088953753293</v>
      </c>
      <c r="Q177" s="193">
        <v>47907</v>
      </c>
      <c r="R177" s="196"/>
    </row>
    <row r="178" spans="1:18" ht="14.25" x14ac:dyDescent="0.2">
      <c r="A178" s="144" t="s">
        <v>1217</v>
      </c>
      <c r="B178" s="145" t="s">
        <v>1217</v>
      </c>
      <c r="C178" s="151" t="s">
        <v>1068</v>
      </c>
      <c r="D178" s="145" t="s">
        <v>3071</v>
      </c>
      <c r="E178" s="151"/>
      <c r="F178" s="151"/>
      <c r="G178" s="145" t="s">
        <v>3072</v>
      </c>
      <c r="H178" s="145" t="s">
        <v>3073</v>
      </c>
      <c r="I178" s="145" t="s">
        <v>314</v>
      </c>
      <c r="J178" s="145" t="s">
        <v>1212</v>
      </c>
      <c r="K178" s="177">
        <v>44613</v>
      </c>
      <c r="L178" s="146">
        <v>8424</v>
      </c>
      <c r="M178" s="146">
        <v>33880.485599999993</v>
      </c>
      <c r="N178" s="146">
        <v>1895.4134800000004</v>
      </c>
      <c r="O178" s="146">
        <v>7623.1634752120017</v>
      </c>
      <c r="P178" s="188">
        <v>0.22500160018993359</v>
      </c>
      <c r="Q178" s="193">
        <v>48265</v>
      </c>
      <c r="R178" s="196"/>
    </row>
    <row r="179" spans="1:18" ht="14.25" x14ac:dyDescent="0.2">
      <c r="A179" s="144" t="s">
        <v>1217</v>
      </c>
      <c r="B179" s="145" t="s">
        <v>1217</v>
      </c>
      <c r="C179" s="151" t="s">
        <v>1068</v>
      </c>
      <c r="D179" s="145" t="s">
        <v>314</v>
      </c>
      <c r="E179" s="151"/>
      <c r="F179" s="151"/>
      <c r="G179" s="145" t="s">
        <v>2980</v>
      </c>
      <c r="H179" s="145" t="s">
        <v>2981</v>
      </c>
      <c r="I179" s="145" t="s">
        <v>314</v>
      </c>
      <c r="J179" s="145" t="s">
        <v>1211</v>
      </c>
      <c r="K179" s="177">
        <v>43761</v>
      </c>
      <c r="L179" s="146">
        <v>21443.43003</v>
      </c>
      <c r="M179" s="146">
        <v>79726.672851540003</v>
      </c>
      <c r="N179" s="146">
        <v>3855.3206899999977</v>
      </c>
      <c r="O179" s="146">
        <v>14334.08232541999</v>
      </c>
      <c r="P179" s="188">
        <v>0.17979029868851618</v>
      </c>
      <c r="Q179" s="193">
        <v>47422</v>
      </c>
      <c r="R179" s="196"/>
    </row>
    <row r="180" spans="1:18" ht="14.25" x14ac:dyDescent="0.2">
      <c r="A180" s="144" t="s">
        <v>1217</v>
      </c>
      <c r="B180" s="145" t="s">
        <v>1217</v>
      </c>
      <c r="C180" s="151" t="s">
        <v>1068</v>
      </c>
      <c r="D180" s="145" t="s">
        <v>3109</v>
      </c>
      <c r="E180" s="151"/>
      <c r="F180" s="151"/>
      <c r="G180" s="145" t="s">
        <v>3110</v>
      </c>
      <c r="H180" s="145" t="s">
        <v>3111</v>
      </c>
      <c r="I180" s="145" t="s">
        <v>314</v>
      </c>
      <c r="J180" s="145" t="s">
        <v>1212</v>
      </c>
      <c r="K180" s="177">
        <v>43335</v>
      </c>
      <c r="L180" s="146">
        <v>7657.8375634397889</v>
      </c>
      <c r="M180" s="146">
        <v>30799.056896398484</v>
      </c>
      <c r="N180" s="146">
        <v>586.55239343978928</v>
      </c>
      <c r="O180" s="146">
        <v>2359.0550711754881</v>
      </c>
      <c r="P180" s="188">
        <v>7.6595042475191707E-2</v>
      </c>
      <c r="Q180" s="193">
        <v>46965</v>
      </c>
      <c r="R180" s="196"/>
    </row>
    <row r="181" spans="1:18" ht="14.25" x14ac:dyDescent="0.2">
      <c r="A181" s="144" t="s">
        <v>1217</v>
      </c>
      <c r="B181" s="145" t="s">
        <v>1217</v>
      </c>
      <c r="C181" s="151" t="s">
        <v>1068</v>
      </c>
      <c r="D181" s="145" t="s">
        <v>3013</v>
      </c>
      <c r="E181" s="151"/>
      <c r="F181" s="151"/>
      <c r="G181" s="145" t="s">
        <v>3014</v>
      </c>
      <c r="H181" s="145" t="s">
        <v>3015</v>
      </c>
      <c r="I181" s="145" t="s">
        <v>314</v>
      </c>
      <c r="J181" s="145" t="s">
        <v>1211</v>
      </c>
      <c r="K181" s="177">
        <v>43914</v>
      </c>
      <c r="L181" s="146">
        <v>8690.3504773094373</v>
      </c>
      <c r="M181" s="146">
        <v>32310.723074636488</v>
      </c>
      <c r="N181" s="146">
        <v>237.33124730943703</v>
      </c>
      <c r="O181" s="146">
        <v>882.39757749648686</v>
      </c>
      <c r="P181" s="188">
        <v>2.7309744057976773E-2</v>
      </c>
      <c r="Q181" s="193">
        <v>47542</v>
      </c>
      <c r="R181" s="196"/>
    </row>
    <row r="182" spans="1:18" ht="14.25" x14ac:dyDescent="0.2">
      <c r="A182" s="144" t="s">
        <v>1217</v>
      </c>
      <c r="B182" s="145" t="s">
        <v>1217</v>
      </c>
      <c r="C182" s="151" t="s">
        <v>1068</v>
      </c>
      <c r="D182" s="145" t="s">
        <v>2904</v>
      </c>
      <c r="E182" s="151"/>
      <c r="F182" s="151"/>
      <c r="G182" s="145" t="s">
        <v>3006</v>
      </c>
      <c r="H182" s="145" t="s">
        <v>3007</v>
      </c>
      <c r="I182" s="145" t="s">
        <v>314</v>
      </c>
      <c r="J182" s="145" t="s">
        <v>1211</v>
      </c>
      <c r="K182" s="177">
        <v>44858</v>
      </c>
      <c r="L182" s="146">
        <v>14089.593000000001</v>
      </c>
      <c r="M182" s="146">
        <v>52385.106774</v>
      </c>
      <c r="N182" s="146">
        <v>1320.538</v>
      </c>
      <c r="O182" s="146">
        <v>4909.760284</v>
      </c>
      <c r="P182" s="188">
        <v>9.3724353854650028E-2</v>
      </c>
      <c r="Q182" s="193">
        <v>49096</v>
      </c>
      <c r="R182" s="196"/>
    </row>
    <row r="183" spans="1:18" ht="14.25" x14ac:dyDescent="0.2">
      <c r="A183" s="144" t="s">
        <v>1217</v>
      </c>
      <c r="B183" s="145" t="s">
        <v>1217</v>
      </c>
      <c r="C183" s="151" t="s">
        <v>1068</v>
      </c>
      <c r="D183" s="145" t="s">
        <v>2898</v>
      </c>
      <c r="E183" s="151"/>
      <c r="F183" s="151"/>
      <c r="G183" s="145" t="s">
        <v>2899</v>
      </c>
      <c r="H183" s="145" t="s">
        <v>2900</v>
      </c>
      <c r="I183" s="145" t="s">
        <v>314</v>
      </c>
      <c r="J183" s="145" t="s">
        <v>1211</v>
      </c>
      <c r="K183" s="177">
        <v>44524</v>
      </c>
      <c r="L183" s="146">
        <v>7012</v>
      </c>
      <c r="M183" s="146">
        <v>26070.616000000002</v>
      </c>
      <c r="N183" s="146">
        <v>1051.8</v>
      </c>
      <c r="O183" s="146">
        <v>3910.5924</v>
      </c>
      <c r="P183" s="188">
        <v>0.15</v>
      </c>
      <c r="Q183" s="193">
        <v>47081</v>
      </c>
      <c r="R183" s="196"/>
    </row>
    <row r="184" spans="1:18" ht="14.25" x14ac:dyDescent="0.2">
      <c r="A184" s="144" t="s">
        <v>1217</v>
      </c>
      <c r="B184" s="145" t="s">
        <v>1217</v>
      </c>
      <c r="C184" s="151" t="s">
        <v>1068</v>
      </c>
      <c r="D184" s="145" t="s">
        <v>314</v>
      </c>
      <c r="E184" s="151"/>
      <c r="F184" s="151"/>
      <c r="G184" s="145" t="s">
        <v>3186</v>
      </c>
      <c r="H184" s="145" t="s">
        <v>3187</v>
      </c>
      <c r="I184" s="145" t="s">
        <v>314</v>
      </c>
      <c r="J184" s="145" t="s">
        <v>1211</v>
      </c>
      <c r="K184" s="177">
        <v>43521</v>
      </c>
      <c r="L184" s="146">
        <v>8188.2379002205971</v>
      </c>
      <c r="M184" s="146">
        <v>30443.868513020181</v>
      </c>
      <c r="N184" s="146">
        <v>1324.9944602205967</v>
      </c>
      <c r="O184" s="146">
        <v>4926.3294031001788</v>
      </c>
      <c r="P184" s="188">
        <v>0.16181680068002183</v>
      </c>
      <c r="Q184" s="193">
        <v>47149</v>
      </c>
      <c r="R184" s="196"/>
    </row>
    <row r="185" spans="1:18" ht="14.25" x14ac:dyDescent="0.2">
      <c r="A185" s="144" t="s">
        <v>1217</v>
      </c>
      <c r="B185" s="145" t="s">
        <v>1217</v>
      </c>
      <c r="C185" s="151" t="s">
        <v>1068</v>
      </c>
      <c r="D185" s="145" t="s">
        <v>3051</v>
      </c>
      <c r="E185" s="151"/>
      <c r="F185" s="151"/>
      <c r="G185" s="145" t="s">
        <v>3052</v>
      </c>
      <c r="H185" s="145" t="s">
        <v>3053</v>
      </c>
      <c r="I185" s="145" t="s">
        <v>314</v>
      </c>
      <c r="J185" s="145" t="s">
        <v>1211</v>
      </c>
      <c r="K185" s="177">
        <v>44342</v>
      </c>
      <c r="L185" s="146">
        <v>14037.35102</v>
      </c>
      <c r="M185" s="146">
        <v>52190.871092359994</v>
      </c>
      <c r="N185" s="146">
        <v>1949.2735899999998</v>
      </c>
      <c r="O185" s="146">
        <v>7247.3992076199993</v>
      </c>
      <c r="P185" s="188">
        <v>0.13886335015935222</v>
      </c>
      <c r="Q185" s="193">
        <v>47995</v>
      </c>
      <c r="R185" s="196"/>
    </row>
    <row r="186" spans="1:18" ht="14.25" x14ac:dyDescent="0.2">
      <c r="A186" s="144" t="s">
        <v>1217</v>
      </c>
      <c r="B186" s="145" t="s">
        <v>1217</v>
      </c>
      <c r="C186" s="151" t="s">
        <v>1068</v>
      </c>
      <c r="D186" s="145" t="s">
        <v>3106</v>
      </c>
      <c r="E186" s="151"/>
      <c r="F186" s="151"/>
      <c r="G186" s="145" t="s">
        <v>3107</v>
      </c>
      <c r="H186" s="145" t="s">
        <v>3108</v>
      </c>
      <c r="I186" s="145" t="s">
        <v>314</v>
      </c>
      <c r="J186" s="145" t="s">
        <v>1211</v>
      </c>
      <c r="K186" s="177">
        <v>44769</v>
      </c>
      <c r="L186" s="146">
        <v>9038.4</v>
      </c>
      <c r="M186" s="146">
        <v>33604.771200000003</v>
      </c>
      <c r="N186" s="146">
        <v>225.96</v>
      </c>
      <c r="O186" s="146">
        <v>840.11928</v>
      </c>
      <c r="P186" s="188">
        <v>2.4999999999999998E-2</v>
      </c>
      <c r="Q186" s="193">
        <v>48352</v>
      </c>
      <c r="R186" s="196"/>
    </row>
    <row r="187" spans="1:18" ht="14.25" x14ac:dyDescent="0.2">
      <c r="A187" s="144" t="s">
        <v>1217</v>
      </c>
      <c r="B187" s="145" t="s">
        <v>1217</v>
      </c>
      <c r="C187" s="151" t="s">
        <v>1068</v>
      </c>
      <c r="D187" s="145" t="s">
        <v>3200</v>
      </c>
      <c r="E187" s="151"/>
      <c r="F187" s="151"/>
      <c r="G187" s="145" t="s">
        <v>3201</v>
      </c>
      <c r="H187" s="145" t="s">
        <v>3202</v>
      </c>
      <c r="I187" s="145" t="s">
        <v>314</v>
      </c>
      <c r="J187" s="145" t="s">
        <v>1211</v>
      </c>
      <c r="K187" s="177">
        <v>45498</v>
      </c>
      <c r="L187" s="146">
        <v>9415</v>
      </c>
      <c r="M187" s="146">
        <v>35004.97</v>
      </c>
      <c r="N187" s="146">
        <v>7532</v>
      </c>
      <c r="O187" s="146">
        <v>28003.975999999999</v>
      </c>
      <c r="P187" s="188">
        <v>0.8</v>
      </c>
      <c r="Q187" s="193">
        <v>49150</v>
      </c>
      <c r="R187" s="196"/>
    </row>
    <row r="188" spans="1:18" ht="14.25" x14ac:dyDescent="0.2">
      <c r="A188" s="144" t="s">
        <v>1217</v>
      </c>
      <c r="B188" s="145" t="s">
        <v>1217</v>
      </c>
      <c r="C188" s="151" t="s">
        <v>1068</v>
      </c>
      <c r="D188" s="145" t="s">
        <v>2939</v>
      </c>
      <c r="E188" s="151"/>
      <c r="F188" s="151"/>
      <c r="G188" s="145" t="s">
        <v>2940</v>
      </c>
      <c r="H188" s="145" t="s">
        <v>2941</v>
      </c>
      <c r="I188" s="145" t="s">
        <v>314</v>
      </c>
      <c r="J188" s="145" t="s">
        <v>1210</v>
      </c>
      <c r="K188" s="177">
        <v>43398</v>
      </c>
      <c r="L188" s="146">
        <v>27694.498780000002</v>
      </c>
      <c r="M188" s="146">
        <v>27694.498780000002</v>
      </c>
      <c r="N188" s="146">
        <v>6771.9587800000008</v>
      </c>
      <c r="O188" s="146">
        <v>6771.9587800000008</v>
      </c>
      <c r="P188" s="188">
        <v>0.24452360859805389</v>
      </c>
      <c r="Q188" s="193">
        <v>47026</v>
      </c>
      <c r="R188" s="196"/>
    </row>
    <row r="189" spans="1:18" ht="14.25" x14ac:dyDescent="0.2">
      <c r="A189" s="144" t="s">
        <v>1217</v>
      </c>
      <c r="B189" s="145" t="s">
        <v>1217</v>
      </c>
      <c r="C189" s="151" t="s">
        <v>1068</v>
      </c>
      <c r="D189" s="145" t="s">
        <v>3137</v>
      </c>
      <c r="E189" s="151"/>
      <c r="F189" s="151"/>
      <c r="G189" s="145" t="s">
        <v>3138</v>
      </c>
      <c r="H189" s="145" t="s">
        <v>3139</v>
      </c>
      <c r="I189" s="145" t="s">
        <v>314</v>
      </c>
      <c r="J189" s="145" t="s">
        <v>1211</v>
      </c>
      <c r="K189" s="177">
        <v>44525</v>
      </c>
      <c r="L189" s="146">
        <v>4908.3999999999996</v>
      </c>
      <c r="M189" s="146">
        <v>18249.431199999999</v>
      </c>
      <c r="N189" s="146">
        <v>387.76359999999966</v>
      </c>
      <c r="O189" s="146">
        <v>1441.7050647999986</v>
      </c>
      <c r="P189" s="188">
        <v>7.8999999999999931E-2</v>
      </c>
      <c r="Q189" s="193">
        <v>47082</v>
      </c>
      <c r="R189" s="196"/>
    </row>
    <row r="190" spans="1:18" ht="14.25" x14ac:dyDescent="0.2">
      <c r="A190" s="144" t="s">
        <v>1217</v>
      </c>
      <c r="B190" s="145" t="s">
        <v>1217</v>
      </c>
      <c r="C190" s="151" t="s">
        <v>1068</v>
      </c>
      <c r="D190" s="145" t="s">
        <v>3029</v>
      </c>
      <c r="E190" s="151"/>
      <c r="F190" s="151"/>
      <c r="G190" s="145" t="s">
        <v>3030</v>
      </c>
      <c r="H190" s="145" t="s">
        <v>3031</v>
      </c>
      <c r="I190" s="145" t="s">
        <v>314</v>
      </c>
      <c r="J190" s="145" t="s">
        <v>1211</v>
      </c>
      <c r="K190" s="177">
        <v>44315</v>
      </c>
      <c r="L190" s="146">
        <v>10488.75</v>
      </c>
      <c r="M190" s="146">
        <v>38997.172500000001</v>
      </c>
      <c r="N190" s="146">
        <v>1938.5529900000001</v>
      </c>
      <c r="O190" s="146">
        <v>7207.5400168200003</v>
      </c>
      <c r="P190" s="188">
        <v>0.18482211798355383</v>
      </c>
      <c r="Q190" s="193">
        <v>47968</v>
      </c>
      <c r="R190" s="196"/>
    </row>
    <row r="191" spans="1:18" ht="14.25" x14ac:dyDescent="0.2">
      <c r="A191" s="144" t="s">
        <v>1217</v>
      </c>
      <c r="B191" s="145" t="s">
        <v>1217</v>
      </c>
      <c r="C191" s="151" t="s">
        <v>1068</v>
      </c>
      <c r="D191" s="145" t="s">
        <v>2869</v>
      </c>
      <c r="E191" s="151"/>
      <c r="F191" s="151"/>
      <c r="G191" s="145" t="s">
        <v>2880</v>
      </c>
      <c r="H191" s="145" t="s">
        <v>2881</v>
      </c>
      <c r="I191" s="145" t="s">
        <v>314</v>
      </c>
      <c r="J191" s="145" t="s">
        <v>1210</v>
      </c>
      <c r="K191" s="177">
        <v>43611</v>
      </c>
      <c r="L191" s="146">
        <v>30831.723999999998</v>
      </c>
      <c r="M191" s="146">
        <v>30831.723999999998</v>
      </c>
      <c r="N191" s="146">
        <v>1308.6569999999999</v>
      </c>
      <c r="O191" s="146">
        <v>1308.6569999999999</v>
      </c>
      <c r="P191" s="188">
        <v>4.2445145136872656E-2</v>
      </c>
      <c r="Q191" s="193">
        <v>47238</v>
      </c>
      <c r="R191" s="196"/>
    </row>
    <row r="192" spans="1:18" ht="14.25" x14ac:dyDescent="0.2">
      <c r="A192" s="144" t="s">
        <v>1217</v>
      </c>
      <c r="B192" s="145" t="s">
        <v>1217</v>
      </c>
      <c r="C192" s="151" t="s">
        <v>1068</v>
      </c>
      <c r="D192" s="145" t="s">
        <v>3178</v>
      </c>
      <c r="E192" s="151"/>
      <c r="F192" s="151"/>
      <c r="G192" s="145" t="s">
        <v>3179</v>
      </c>
      <c r="H192" s="145" t="s">
        <v>3180</v>
      </c>
      <c r="I192" s="145" t="s">
        <v>314</v>
      </c>
      <c r="J192" s="145" t="s">
        <v>1211</v>
      </c>
      <c r="K192" s="177">
        <v>44769</v>
      </c>
      <c r="L192" s="146">
        <v>6402.2</v>
      </c>
      <c r="M192" s="146">
        <v>23803.3796</v>
      </c>
      <c r="N192" s="146">
        <v>3008.91437</v>
      </c>
      <c r="O192" s="146">
        <v>11187.143627660002</v>
      </c>
      <c r="P192" s="188">
        <v>0.46998131423573147</v>
      </c>
      <c r="Q192" s="193">
        <v>48055</v>
      </c>
      <c r="R192" s="196"/>
    </row>
    <row r="193" spans="1:18" ht="14.25" x14ac:dyDescent="0.2">
      <c r="A193" s="144" t="s">
        <v>1217</v>
      </c>
      <c r="B193" s="145" t="s">
        <v>1217</v>
      </c>
      <c r="C193" s="151" t="s">
        <v>1068</v>
      </c>
      <c r="D193" s="145" t="s">
        <v>3146</v>
      </c>
      <c r="E193" s="151"/>
      <c r="F193" s="151"/>
      <c r="G193" s="145" t="s">
        <v>3147</v>
      </c>
      <c r="H193" s="145" t="s">
        <v>3148</v>
      </c>
      <c r="I193" s="145" t="s">
        <v>314</v>
      </c>
      <c r="J193" s="145" t="s">
        <v>1211</v>
      </c>
      <c r="K193" s="177">
        <v>44525</v>
      </c>
      <c r="L193" s="146">
        <v>7008.0990000000002</v>
      </c>
      <c r="M193" s="146">
        <v>26056.112082</v>
      </c>
      <c r="N193" s="146">
        <v>3527.1750000000002</v>
      </c>
      <c r="O193" s="146">
        <v>13114.03665</v>
      </c>
      <c r="P193" s="188">
        <v>0.50329982495966452</v>
      </c>
      <c r="Q193" s="193">
        <v>47083</v>
      </c>
      <c r="R193" s="196"/>
    </row>
    <row r="194" spans="1:18" ht="14.25" x14ac:dyDescent="0.2">
      <c r="A194" s="144" t="s">
        <v>1217</v>
      </c>
      <c r="B194" s="145" t="s">
        <v>1217</v>
      </c>
      <c r="C194" s="151" t="s">
        <v>1068</v>
      </c>
      <c r="D194" s="145" t="s">
        <v>3203</v>
      </c>
      <c r="E194" s="151"/>
      <c r="F194" s="151"/>
      <c r="G194" s="145" t="s">
        <v>3204</v>
      </c>
      <c r="H194" s="145" t="s">
        <v>3205</v>
      </c>
      <c r="I194" s="145" t="s">
        <v>314</v>
      </c>
      <c r="J194" s="145" t="s">
        <v>1211</v>
      </c>
      <c r="K194" s="177">
        <v>45350</v>
      </c>
      <c r="L194" s="146">
        <v>7800</v>
      </c>
      <c r="M194" s="146">
        <v>29000.400000000001</v>
      </c>
      <c r="N194" s="146">
        <v>6050.7263100000009</v>
      </c>
      <c r="O194" s="146">
        <v>22496.600420580002</v>
      </c>
      <c r="P194" s="188">
        <v>0.77573414230769244</v>
      </c>
      <c r="Q194" s="193">
        <v>49003</v>
      </c>
      <c r="R194" s="196"/>
    </row>
    <row r="195" spans="1:18" ht="14.25" x14ac:dyDescent="0.2">
      <c r="A195" s="144" t="s">
        <v>1217</v>
      </c>
      <c r="B195" s="145" t="s">
        <v>1217</v>
      </c>
      <c r="C195" s="151" t="s">
        <v>1068</v>
      </c>
      <c r="D195" s="145" t="s">
        <v>3131</v>
      </c>
      <c r="E195" s="151"/>
      <c r="F195" s="151"/>
      <c r="G195" s="145" t="s">
        <v>3132</v>
      </c>
      <c r="H195" s="145" t="s">
        <v>3133</v>
      </c>
      <c r="I195" s="145" t="s">
        <v>314</v>
      </c>
      <c r="J195" s="145" t="s">
        <v>1211</v>
      </c>
      <c r="K195" s="177">
        <v>45012</v>
      </c>
      <c r="L195" s="146">
        <v>6025.6</v>
      </c>
      <c r="M195" s="146">
        <v>22403.180800000002</v>
      </c>
      <c r="N195" s="146">
        <v>1421.8330000000001</v>
      </c>
      <c r="O195" s="146">
        <v>5286.375094</v>
      </c>
      <c r="P195" s="188">
        <v>0.23596538104089218</v>
      </c>
      <c r="Q195" s="193">
        <v>47543</v>
      </c>
      <c r="R195" s="196"/>
    </row>
    <row r="196" spans="1:18" ht="14.25" x14ac:dyDescent="0.2">
      <c r="A196" s="144" t="s">
        <v>1217</v>
      </c>
      <c r="B196" s="145" t="s">
        <v>1217</v>
      </c>
      <c r="C196" s="151" t="s">
        <v>1068</v>
      </c>
      <c r="D196" s="145" t="s">
        <v>314</v>
      </c>
      <c r="E196" s="151"/>
      <c r="F196" s="151"/>
      <c r="G196" s="145" t="s">
        <v>3046</v>
      </c>
      <c r="H196" s="145" t="s">
        <v>3047</v>
      </c>
      <c r="I196" s="145" t="s">
        <v>314</v>
      </c>
      <c r="J196" s="145" t="s">
        <v>1211</v>
      </c>
      <c r="K196" s="177">
        <v>43643</v>
      </c>
      <c r="L196" s="146">
        <v>10413.029</v>
      </c>
      <c r="M196" s="146">
        <v>38715.641821999998</v>
      </c>
      <c r="N196" s="146">
        <v>754.822</v>
      </c>
      <c r="O196" s="146">
        <v>2806.4281959999998</v>
      </c>
      <c r="P196" s="188">
        <v>7.2488226048347704E-2</v>
      </c>
      <c r="Q196" s="193">
        <v>47269</v>
      </c>
      <c r="R196" s="196"/>
    </row>
    <row r="197" spans="1:18" ht="14.25" x14ac:dyDescent="0.2">
      <c r="A197" s="144" t="s">
        <v>1217</v>
      </c>
      <c r="B197" s="145" t="s">
        <v>1217</v>
      </c>
      <c r="C197" s="151" t="s">
        <v>1068</v>
      </c>
      <c r="D197" s="145" t="s">
        <v>314</v>
      </c>
      <c r="E197" s="151"/>
      <c r="F197" s="151"/>
      <c r="G197" s="145" t="s">
        <v>3044</v>
      </c>
      <c r="H197" s="145" t="s">
        <v>3045</v>
      </c>
      <c r="I197" s="145" t="s">
        <v>314</v>
      </c>
      <c r="J197" s="145" t="s">
        <v>1211</v>
      </c>
      <c r="K197" s="177">
        <v>44769</v>
      </c>
      <c r="L197" s="146">
        <v>15789.960999999999</v>
      </c>
      <c r="M197" s="146">
        <v>58707.074997999996</v>
      </c>
      <c r="N197" s="146">
        <v>1998.4290000000001</v>
      </c>
      <c r="O197" s="146">
        <v>7430.1590219999998</v>
      </c>
      <c r="P197" s="188">
        <v>0.12656326383580049</v>
      </c>
      <c r="Q197" s="193">
        <v>47543</v>
      </c>
      <c r="R197" s="196"/>
    </row>
    <row r="198" spans="1:18" ht="14.25" x14ac:dyDescent="0.2">
      <c r="A198" s="144" t="s">
        <v>1217</v>
      </c>
      <c r="B198" s="145" t="s">
        <v>1217</v>
      </c>
      <c r="C198" s="151" t="s">
        <v>1068</v>
      </c>
      <c r="D198" s="145" t="s">
        <v>2922</v>
      </c>
      <c r="E198" s="151"/>
      <c r="F198" s="151"/>
      <c r="G198" s="145" t="s">
        <v>2922</v>
      </c>
      <c r="H198" s="145" t="s">
        <v>2923</v>
      </c>
      <c r="I198" s="145" t="s">
        <v>314</v>
      </c>
      <c r="J198" s="145" t="s">
        <v>1210</v>
      </c>
      <c r="K198" s="177">
        <v>44192</v>
      </c>
      <c r="L198" s="146">
        <v>17432.021000000001</v>
      </c>
      <c r="M198" s="146">
        <v>17432.021000000001</v>
      </c>
      <c r="N198" s="146">
        <v>3314.4599900000003</v>
      </c>
      <c r="O198" s="146">
        <v>3314.4599900000003</v>
      </c>
      <c r="P198" s="188">
        <v>0.19013630089133096</v>
      </c>
      <c r="Q198" s="193">
        <v>46905</v>
      </c>
      <c r="R198" s="196"/>
    </row>
    <row r="199" spans="1:18" ht="14.25" x14ac:dyDescent="0.2">
      <c r="A199" s="144" t="s">
        <v>1217</v>
      </c>
      <c r="B199" s="145" t="s">
        <v>1217</v>
      </c>
      <c r="C199" s="151" t="s">
        <v>1068</v>
      </c>
      <c r="D199" s="145" t="s">
        <v>2977</v>
      </c>
      <c r="E199" s="151"/>
      <c r="F199" s="151"/>
      <c r="G199" s="145" t="s">
        <v>2978</v>
      </c>
      <c r="H199" s="145" t="s">
        <v>2979</v>
      </c>
      <c r="I199" s="145" t="s">
        <v>314</v>
      </c>
      <c r="J199" s="145" t="s">
        <v>1211</v>
      </c>
      <c r="K199" s="177">
        <v>44679</v>
      </c>
      <c r="L199" s="146">
        <v>18830</v>
      </c>
      <c r="M199" s="146">
        <v>70009.94</v>
      </c>
      <c r="N199" s="146">
        <v>2318.9169999999999</v>
      </c>
      <c r="O199" s="146">
        <v>8621.7334059999994</v>
      </c>
      <c r="P199" s="188">
        <v>0.12315013276686139</v>
      </c>
      <c r="Q199" s="193">
        <v>47664</v>
      </c>
      <c r="R199" s="196"/>
    </row>
    <row r="200" spans="1:18" ht="14.25" x14ac:dyDescent="0.2">
      <c r="A200" s="144" t="s">
        <v>1217</v>
      </c>
      <c r="B200" s="145" t="s">
        <v>1217</v>
      </c>
      <c r="C200" s="151" t="s">
        <v>1068</v>
      </c>
      <c r="D200" s="145" t="s">
        <v>2997</v>
      </c>
      <c r="E200" s="151"/>
      <c r="F200" s="151"/>
      <c r="G200" s="145" t="s">
        <v>2998</v>
      </c>
      <c r="H200" s="145" t="s">
        <v>2999</v>
      </c>
      <c r="I200" s="145" t="s">
        <v>314</v>
      </c>
      <c r="J200" s="145" t="s">
        <v>1211</v>
      </c>
      <c r="K200" s="177">
        <v>43340</v>
      </c>
      <c r="L200" s="146">
        <v>10388.108</v>
      </c>
      <c r="M200" s="146">
        <v>38622.985544000003</v>
      </c>
      <c r="N200" s="146">
        <v>311.64299999999992</v>
      </c>
      <c r="O200" s="146">
        <v>1158.688674</v>
      </c>
      <c r="P200" s="188">
        <v>2.9999976896659137E-2</v>
      </c>
      <c r="Q200" s="193">
        <v>48060</v>
      </c>
      <c r="R200" s="196"/>
    </row>
    <row r="201" spans="1:18" ht="14.25" x14ac:dyDescent="0.2">
      <c r="A201" s="144" t="s">
        <v>1217</v>
      </c>
      <c r="B201" s="145" t="s">
        <v>1217</v>
      </c>
      <c r="C201" s="151" t="s">
        <v>1068</v>
      </c>
      <c r="D201" s="145" t="s">
        <v>3068</v>
      </c>
      <c r="E201" s="151"/>
      <c r="F201" s="151"/>
      <c r="G201" s="145" t="s">
        <v>3069</v>
      </c>
      <c r="H201" s="145" t="s">
        <v>3070</v>
      </c>
      <c r="I201" s="145" t="s">
        <v>314</v>
      </c>
      <c r="J201" s="145" t="s">
        <v>1211</v>
      </c>
      <c r="K201" s="177">
        <v>44195</v>
      </c>
      <c r="L201" s="146">
        <v>11302.895640000001</v>
      </c>
      <c r="M201" s="146">
        <v>42024.165989519999</v>
      </c>
      <c r="N201" s="146">
        <v>4368.527790000001</v>
      </c>
      <c r="O201" s="146">
        <v>16242.186323220003</v>
      </c>
      <c r="P201" s="188">
        <v>0.38649633944598655</v>
      </c>
      <c r="Q201" s="193">
        <v>47817</v>
      </c>
      <c r="R201" s="196"/>
    </row>
    <row r="202" spans="1:18" ht="14.25" x14ac:dyDescent="0.2">
      <c r="A202" s="144" t="s">
        <v>1217</v>
      </c>
      <c r="B202" s="145" t="s">
        <v>1217</v>
      </c>
      <c r="C202" s="151" t="s">
        <v>1068</v>
      </c>
      <c r="D202" s="145" t="s">
        <v>2904</v>
      </c>
      <c r="E202" s="151"/>
      <c r="F202" s="151"/>
      <c r="G202" s="145" t="s">
        <v>3019</v>
      </c>
      <c r="H202" s="145" t="s">
        <v>3020</v>
      </c>
      <c r="I202" s="145" t="s">
        <v>314</v>
      </c>
      <c r="J202" s="145" t="s">
        <v>1211</v>
      </c>
      <c r="K202" s="177">
        <v>43614</v>
      </c>
      <c r="L202" s="146">
        <v>16339.145</v>
      </c>
      <c r="M202" s="146">
        <v>60748.94111</v>
      </c>
      <c r="N202" s="146">
        <v>3035.8910000000001</v>
      </c>
      <c r="O202" s="146">
        <v>11287.442738</v>
      </c>
      <c r="P202" s="188">
        <v>0.18580476518202146</v>
      </c>
      <c r="Q202" s="193">
        <v>47046</v>
      </c>
      <c r="R202" s="196"/>
    </row>
    <row r="203" spans="1:18" ht="14.25" x14ac:dyDescent="0.2">
      <c r="A203" s="144" t="s">
        <v>1217</v>
      </c>
      <c r="B203" s="145" t="s">
        <v>1217</v>
      </c>
      <c r="C203" s="151" t="s">
        <v>1068</v>
      </c>
      <c r="D203" s="145" t="s">
        <v>3197</v>
      </c>
      <c r="E203" s="151"/>
      <c r="F203" s="151"/>
      <c r="G203" s="145" t="s">
        <v>3198</v>
      </c>
      <c r="H203" s="145" t="s">
        <v>3199</v>
      </c>
      <c r="I203" s="145" t="s">
        <v>314</v>
      </c>
      <c r="J203" s="145" t="s">
        <v>1211</v>
      </c>
      <c r="K203" s="177">
        <v>44393</v>
      </c>
      <c r="L203" s="146">
        <v>7008.0990000000002</v>
      </c>
      <c r="M203" s="146">
        <v>26056.112082</v>
      </c>
      <c r="N203" s="146">
        <v>5045.4137300000002</v>
      </c>
      <c r="O203" s="146">
        <v>18758.848248139999</v>
      </c>
      <c r="P203" s="188">
        <v>0.71994041893529193</v>
      </c>
      <c r="Q203" s="193">
        <v>46203</v>
      </c>
      <c r="R203" s="196"/>
    </row>
    <row r="204" spans="1:18" ht="14.25" x14ac:dyDescent="0.2">
      <c r="A204" s="144" t="s">
        <v>1217</v>
      </c>
      <c r="B204" s="145" t="s">
        <v>1217</v>
      </c>
      <c r="C204" s="151" t="s">
        <v>1068</v>
      </c>
      <c r="D204" s="145" t="s">
        <v>3193</v>
      </c>
      <c r="E204" s="151"/>
      <c r="F204" s="151"/>
      <c r="G204" s="145" t="s">
        <v>3161</v>
      </c>
      <c r="H204" s="145" t="s">
        <v>3194</v>
      </c>
      <c r="I204" s="145" t="s">
        <v>314</v>
      </c>
      <c r="J204" s="145" t="s">
        <v>1211</v>
      </c>
      <c r="K204" s="177">
        <v>44133</v>
      </c>
      <c r="L204" s="146">
        <v>2614.9810000000002</v>
      </c>
      <c r="M204" s="146">
        <v>9722.4993579999991</v>
      </c>
      <c r="N204" s="146">
        <v>601.44399999999996</v>
      </c>
      <c r="O204" s="146">
        <v>2236.1687919999999</v>
      </c>
      <c r="P204" s="188">
        <v>0.22999937666851117</v>
      </c>
      <c r="Q204" s="193">
        <v>48883</v>
      </c>
      <c r="R204" s="196"/>
    </row>
    <row r="205" spans="1:18" ht="14.25" x14ac:dyDescent="0.2">
      <c r="A205" s="144" t="s">
        <v>1217</v>
      </c>
      <c r="B205" s="145" t="s">
        <v>1217</v>
      </c>
      <c r="C205" s="151" t="s">
        <v>1068</v>
      </c>
      <c r="D205" s="145" t="s">
        <v>2852</v>
      </c>
      <c r="E205" s="151"/>
      <c r="F205" s="151"/>
      <c r="G205" s="145" t="s">
        <v>2885</v>
      </c>
      <c r="H205" s="145" t="s">
        <v>2886</v>
      </c>
      <c r="I205" s="145" t="s">
        <v>314</v>
      </c>
      <c r="J205" s="145" t="s">
        <v>1210</v>
      </c>
      <c r="K205" s="177">
        <v>43130</v>
      </c>
      <c r="L205" s="146">
        <v>34505</v>
      </c>
      <c r="M205" s="146">
        <v>34505</v>
      </c>
      <c r="N205" s="146">
        <v>2782.116</v>
      </c>
      <c r="O205" s="146">
        <v>2782.116</v>
      </c>
      <c r="P205" s="188">
        <v>8.0629358064048695E-2</v>
      </c>
      <c r="Q205" s="193">
        <v>46783</v>
      </c>
      <c r="R205" s="196"/>
    </row>
    <row r="206" spans="1:18" ht="14.25" x14ac:dyDescent="0.2">
      <c r="A206" s="144" t="s">
        <v>1217</v>
      </c>
      <c r="B206" s="145" t="s">
        <v>1217</v>
      </c>
      <c r="C206" s="151" t="s">
        <v>1068</v>
      </c>
      <c r="D206" s="145" t="s">
        <v>3026</v>
      </c>
      <c r="E206" s="151"/>
      <c r="F206" s="151"/>
      <c r="G206" s="145" t="s">
        <v>3027</v>
      </c>
      <c r="H206" s="145" t="s">
        <v>3028</v>
      </c>
      <c r="I206" s="145" t="s">
        <v>314</v>
      </c>
      <c r="J206" s="145" t="s">
        <v>1212</v>
      </c>
      <c r="K206" s="177">
        <v>43495</v>
      </c>
      <c r="L206" s="146">
        <v>20424.226368133601</v>
      </c>
      <c r="M206" s="146">
        <v>82144.196029996514</v>
      </c>
      <c r="N206" s="146">
        <v>2516.2422881336024</v>
      </c>
      <c r="O206" s="146">
        <v>10120.074858644535</v>
      </c>
      <c r="P206" s="188">
        <v>0.12319890324264661</v>
      </c>
      <c r="Q206" s="193">
        <v>45961</v>
      </c>
      <c r="R206" s="196"/>
    </row>
    <row r="207" spans="1:18" ht="14.25" x14ac:dyDescent="0.2">
      <c r="A207" s="144" t="s">
        <v>1217</v>
      </c>
      <c r="B207" s="145" t="s">
        <v>1217</v>
      </c>
      <c r="C207" s="151" t="s">
        <v>1068</v>
      </c>
      <c r="D207" s="145" t="s">
        <v>3065</v>
      </c>
      <c r="E207" s="151"/>
      <c r="F207" s="151"/>
      <c r="G207" s="145" t="s">
        <v>3066</v>
      </c>
      <c r="H207" s="145" t="s">
        <v>3067</v>
      </c>
      <c r="I207" s="145" t="s">
        <v>314</v>
      </c>
      <c r="J207" s="145" t="s">
        <v>1211</v>
      </c>
      <c r="K207" s="177">
        <v>44651</v>
      </c>
      <c r="L207" s="146">
        <v>12636</v>
      </c>
      <c r="M207" s="146">
        <v>46980.648000000001</v>
      </c>
      <c r="N207" s="146">
        <v>4327.9829900000004</v>
      </c>
      <c r="O207" s="146">
        <v>16091.44075682</v>
      </c>
      <c r="P207" s="188">
        <v>0.34251210747071859</v>
      </c>
      <c r="Q207" s="193">
        <v>48303</v>
      </c>
      <c r="R207" s="196"/>
    </row>
    <row r="208" spans="1:18" ht="14.25" x14ac:dyDescent="0.2">
      <c r="A208" s="144" t="s">
        <v>1217</v>
      </c>
      <c r="B208" s="145" t="s">
        <v>1217</v>
      </c>
      <c r="C208" s="151" t="s">
        <v>1068</v>
      </c>
      <c r="D208" s="145" t="s">
        <v>2840</v>
      </c>
      <c r="E208" s="151"/>
      <c r="F208" s="151"/>
      <c r="G208" s="145" t="s">
        <v>2841</v>
      </c>
      <c r="H208" s="145" t="s">
        <v>2842</v>
      </c>
      <c r="I208" s="145" t="s">
        <v>314</v>
      </c>
      <c r="J208" s="145" t="s">
        <v>1210</v>
      </c>
      <c r="K208" s="177">
        <v>43615</v>
      </c>
      <c r="L208" s="146">
        <v>69351.240999999995</v>
      </c>
      <c r="M208" s="146">
        <v>69351.240999999995</v>
      </c>
      <c r="N208" s="146">
        <v>8313.4806000000008</v>
      </c>
      <c r="O208" s="146">
        <v>8313.4806000000008</v>
      </c>
      <c r="P208" s="188">
        <v>0.11987500843712373</v>
      </c>
      <c r="Q208" s="193">
        <v>46507</v>
      </c>
      <c r="R208" s="196"/>
    </row>
    <row r="209" spans="1:18" ht="14.25" x14ac:dyDescent="0.2">
      <c r="A209" s="144" t="s">
        <v>1217</v>
      </c>
      <c r="B209" s="145" t="s">
        <v>1217</v>
      </c>
      <c r="C209" s="151" t="s">
        <v>1068</v>
      </c>
      <c r="D209" s="145" t="s">
        <v>3211</v>
      </c>
      <c r="E209" s="151"/>
      <c r="F209" s="151"/>
      <c r="G209" s="145" t="s">
        <v>3212</v>
      </c>
      <c r="H209" s="145" t="s">
        <v>3213</v>
      </c>
      <c r="I209" s="145" t="s">
        <v>314</v>
      </c>
      <c r="J209" s="145" t="s">
        <v>1211</v>
      </c>
      <c r="K209" s="177">
        <v>44742</v>
      </c>
      <c r="L209" s="146">
        <v>12051.2</v>
      </c>
      <c r="M209" s="146">
        <v>44806.361600000004</v>
      </c>
      <c r="N209" s="146">
        <v>10341.36659</v>
      </c>
      <c r="O209" s="146">
        <v>38449.200981620001</v>
      </c>
      <c r="P209" s="188">
        <v>0.85811924040759424</v>
      </c>
      <c r="Q209" s="193">
        <v>48395</v>
      </c>
      <c r="R209" s="196"/>
    </row>
    <row r="210" spans="1:18" ht="14.25" x14ac:dyDescent="0.2">
      <c r="A210" s="144" t="s">
        <v>1217</v>
      </c>
      <c r="B210" s="145" t="s">
        <v>1217</v>
      </c>
      <c r="C210" s="151" t="s">
        <v>1068</v>
      </c>
      <c r="D210" s="145" t="s">
        <v>3149</v>
      </c>
      <c r="E210" s="151"/>
      <c r="F210" s="151"/>
      <c r="G210" s="145" t="s">
        <v>3150</v>
      </c>
      <c r="H210" s="145" t="s">
        <v>3151</v>
      </c>
      <c r="I210" s="145" t="s">
        <v>314</v>
      </c>
      <c r="J210" s="145" t="s">
        <v>1211</v>
      </c>
      <c r="K210" s="177">
        <v>45503</v>
      </c>
      <c r="L210" s="146">
        <v>7800</v>
      </c>
      <c r="M210" s="146">
        <v>29000.400000000001</v>
      </c>
      <c r="N210" s="146">
        <v>3510</v>
      </c>
      <c r="O210" s="146">
        <v>13050.18</v>
      </c>
      <c r="P210" s="188">
        <v>0.45</v>
      </c>
      <c r="Q210" s="193">
        <v>49155</v>
      </c>
      <c r="R210" s="196"/>
    </row>
    <row r="211" spans="1:18" ht="14.25" x14ac:dyDescent="0.2">
      <c r="A211" s="144" t="s">
        <v>1217</v>
      </c>
      <c r="B211" s="145" t="s">
        <v>1217</v>
      </c>
      <c r="C211" s="151" t="s">
        <v>1068</v>
      </c>
      <c r="D211" s="145" t="s">
        <v>2869</v>
      </c>
      <c r="E211" s="151"/>
      <c r="F211" s="151"/>
      <c r="G211" s="145" t="s">
        <v>2870</v>
      </c>
      <c r="H211" s="145" t="s">
        <v>2871</v>
      </c>
      <c r="I211" s="145" t="s">
        <v>314</v>
      </c>
      <c r="J211" s="145" t="s">
        <v>1210</v>
      </c>
      <c r="K211" s="177">
        <v>44286</v>
      </c>
      <c r="L211" s="146">
        <v>43019.071000000004</v>
      </c>
      <c r="M211" s="146">
        <v>43019.071000000004</v>
      </c>
      <c r="N211" s="146">
        <v>14096.544989999999</v>
      </c>
      <c r="O211" s="146">
        <v>14096.544989999999</v>
      </c>
      <c r="P211" s="188">
        <v>0.3276812972088588</v>
      </c>
      <c r="Q211" s="193">
        <v>48669</v>
      </c>
      <c r="R211" s="196"/>
    </row>
    <row r="212" spans="1:18" ht="14.25" x14ac:dyDescent="0.2">
      <c r="A212" s="144" t="s">
        <v>1217</v>
      </c>
      <c r="B212" s="145" t="s">
        <v>1217</v>
      </c>
      <c r="C212" s="151" t="s">
        <v>1068</v>
      </c>
      <c r="D212" s="145" t="s">
        <v>2882</v>
      </c>
      <c r="E212" s="151"/>
      <c r="F212" s="151"/>
      <c r="G212" s="145" t="s">
        <v>2883</v>
      </c>
      <c r="H212" s="145" t="s">
        <v>2884</v>
      </c>
      <c r="I212" s="145" t="s">
        <v>314</v>
      </c>
      <c r="J212" s="145" t="s">
        <v>1210</v>
      </c>
      <c r="K212" s="177">
        <v>44651</v>
      </c>
      <c r="L212" s="146">
        <v>28048</v>
      </c>
      <c r="M212" s="146">
        <v>28048</v>
      </c>
      <c r="N212" s="146">
        <v>7346.894989999998</v>
      </c>
      <c r="O212" s="146">
        <v>7346.894989999998</v>
      </c>
      <c r="P212" s="188">
        <v>0.26194006667142039</v>
      </c>
      <c r="Q212" s="193">
        <v>48304</v>
      </c>
      <c r="R212" s="196"/>
    </row>
    <row r="213" spans="1:18" ht="14.25" x14ac:dyDescent="0.2">
      <c r="A213" s="144" t="s">
        <v>1217</v>
      </c>
      <c r="B213" s="145" t="s">
        <v>1217</v>
      </c>
      <c r="C213" s="151" t="s">
        <v>1068</v>
      </c>
      <c r="D213" s="145" t="s">
        <v>2942</v>
      </c>
      <c r="E213" s="151"/>
      <c r="F213" s="151"/>
      <c r="G213" s="145" t="s">
        <v>2943</v>
      </c>
      <c r="H213" s="145" t="s">
        <v>2944</v>
      </c>
      <c r="I213" s="145" t="s">
        <v>314</v>
      </c>
      <c r="J213" s="145" t="s">
        <v>1211</v>
      </c>
      <c r="K213" s="177">
        <v>45504</v>
      </c>
      <c r="L213" s="146">
        <v>9360</v>
      </c>
      <c r="M213" s="146">
        <v>34800.480000000003</v>
      </c>
      <c r="N213" s="146">
        <v>6838.0730000000003</v>
      </c>
      <c r="O213" s="146">
        <v>25423.955414</v>
      </c>
      <c r="P213" s="188">
        <v>0.73056335470085476</v>
      </c>
      <c r="Q213" s="193">
        <v>49156</v>
      </c>
      <c r="R213" s="196"/>
    </row>
    <row r="214" spans="1:18" ht="14.25" x14ac:dyDescent="0.2">
      <c r="A214" s="144" t="s">
        <v>1217</v>
      </c>
      <c r="B214" s="145" t="s">
        <v>1217</v>
      </c>
      <c r="C214" s="151" t="s">
        <v>1068</v>
      </c>
      <c r="D214" s="145" t="s">
        <v>3016</v>
      </c>
      <c r="E214" s="151"/>
      <c r="F214" s="151"/>
      <c r="G214" s="145" t="s">
        <v>3017</v>
      </c>
      <c r="H214" s="145" t="s">
        <v>3018</v>
      </c>
      <c r="I214" s="145" t="s">
        <v>314</v>
      </c>
      <c r="J214" s="145" t="s">
        <v>1212</v>
      </c>
      <c r="K214" s="177">
        <v>44143</v>
      </c>
      <c r="L214" s="146">
        <v>11402.314</v>
      </c>
      <c r="M214" s="146">
        <v>45858.966676599994</v>
      </c>
      <c r="N214" s="146">
        <v>2051.8923900000004</v>
      </c>
      <c r="O214" s="146">
        <v>8252.5060033410009</v>
      </c>
      <c r="P214" s="188">
        <v>0.17995403301470217</v>
      </c>
      <c r="Q214" s="193">
        <v>48518</v>
      </c>
      <c r="R214" s="196"/>
    </row>
    <row r="215" spans="1:18" ht="14.25" x14ac:dyDescent="0.2">
      <c r="A215" s="144" t="s">
        <v>1217</v>
      </c>
      <c r="B215" s="145" t="s">
        <v>1217</v>
      </c>
      <c r="C215" s="151" t="s">
        <v>1068</v>
      </c>
      <c r="D215" s="145" t="s">
        <v>3097</v>
      </c>
      <c r="E215" s="151"/>
      <c r="F215" s="151"/>
      <c r="G215" s="145" t="s">
        <v>3098</v>
      </c>
      <c r="H215" s="145" t="s">
        <v>3099</v>
      </c>
      <c r="I215" s="145" t="s">
        <v>314</v>
      </c>
      <c r="J215" s="145" t="s">
        <v>1212</v>
      </c>
      <c r="K215" s="177">
        <v>44143</v>
      </c>
      <c r="L215" s="146">
        <v>6258.8630000000003</v>
      </c>
      <c r="M215" s="146">
        <v>25172.521099699996</v>
      </c>
      <c r="N215" s="146">
        <v>563.46096999999975</v>
      </c>
      <c r="O215" s="146">
        <v>2266.1836752429986</v>
      </c>
      <c r="P215" s="188">
        <v>9.0026091000873443E-2</v>
      </c>
      <c r="Q215" s="193">
        <v>48052</v>
      </c>
      <c r="R215" s="196"/>
    </row>
    <row r="216" spans="1:18" ht="14.25" x14ac:dyDescent="0.2">
      <c r="A216" s="144" t="s">
        <v>1217</v>
      </c>
      <c r="B216" s="145" t="s">
        <v>1217</v>
      </c>
      <c r="C216" s="151" t="s">
        <v>1068</v>
      </c>
      <c r="D216" s="145" t="s">
        <v>3021</v>
      </c>
      <c r="E216" s="151"/>
      <c r="F216" s="151"/>
      <c r="G216" s="145" t="s">
        <v>3022</v>
      </c>
      <c r="H216" s="145" t="s">
        <v>3023</v>
      </c>
      <c r="I216" s="145" t="s">
        <v>314</v>
      </c>
      <c r="J216" s="145" t="s">
        <v>1212</v>
      </c>
      <c r="K216" s="177">
        <v>44143</v>
      </c>
      <c r="L216" s="146">
        <v>9789.8022100000017</v>
      </c>
      <c r="M216" s="146">
        <v>39373.605508399</v>
      </c>
      <c r="N216" s="146">
        <v>397.5517700000014</v>
      </c>
      <c r="O216" s="146">
        <v>1598.9134637630057</v>
      </c>
      <c r="P216" s="188">
        <v>4.0608764249998201E-2</v>
      </c>
      <c r="Q216" s="193">
        <v>47664</v>
      </c>
      <c r="R216" s="196"/>
    </row>
    <row r="217" spans="1:18" ht="14.25" x14ac:dyDescent="0.2">
      <c r="A217" s="144" t="s">
        <v>1217</v>
      </c>
      <c r="B217" s="145" t="s">
        <v>1217</v>
      </c>
      <c r="C217" s="151" t="s">
        <v>1068</v>
      </c>
      <c r="D217" s="145" t="s">
        <v>3088</v>
      </c>
      <c r="E217" s="151"/>
      <c r="F217" s="151"/>
      <c r="G217" s="145" t="s">
        <v>3089</v>
      </c>
      <c r="H217" s="145" t="s">
        <v>3090</v>
      </c>
      <c r="I217" s="145" t="s">
        <v>314</v>
      </c>
      <c r="J217" s="145" t="s">
        <v>1211</v>
      </c>
      <c r="K217" s="177">
        <v>43934</v>
      </c>
      <c r="L217" s="146">
        <v>6947.8919999999998</v>
      </c>
      <c r="M217" s="146">
        <v>25832.262456</v>
      </c>
      <c r="N217" s="146">
        <v>208.43700000000001</v>
      </c>
      <c r="O217" s="146">
        <v>774.96876599999996</v>
      </c>
      <c r="P217" s="188">
        <v>3.0000034542851269E-2</v>
      </c>
      <c r="Q217" s="193">
        <v>47573</v>
      </c>
      <c r="R217" s="196"/>
    </row>
    <row r="218" spans="1:18" ht="14.25" x14ac:dyDescent="0.2">
      <c r="A218" s="144" t="s">
        <v>1217</v>
      </c>
      <c r="B218" s="145" t="s">
        <v>1217</v>
      </c>
      <c r="C218" s="151" t="s">
        <v>1068</v>
      </c>
      <c r="D218" s="145" t="s">
        <v>3169</v>
      </c>
      <c r="E218" s="151"/>
      <c r="F218" s="151"/>
      <c r="G218" s="145" t="s">
        <v>3170</v>
      </c>
      <c r="H218" s="145" t="s">
        <v>3171</v>
      </c>
      <c r="I218" s="145" t="s">
        <v>314</v>
      </c>
      <c r="J218" s="145" t="s">
        <v>1211</v>
      </c>
      <c r="K218" s="177">
        <v>42710</v>
      </c>
      <c r="L218" s="146">
        <v>8626.4919700000009</v>
      </c>
      <c r="M218" s="146">
        <v>32073.297144460004</v>
      </c>
      <c r="N218" s="146">
        <v>1432.1783000000007</v>
      </c>
      <c r="O218" s="146">
        <v>5324.8389194000029</v>
      </c>
      <c r="P218" s="188">
        <v>0.16602093933207482</v>
      </c>
      <c r="Q218" s="193">
        <v>46363</v>
      </c>
      <c r="R218" s="196"/>
    </row>
    <row r="219" spans="1:18" ht="14.25" x14ac:dyDescent="0.2">
      <c r="A219" s="144" t="s">
        <v>1217</v>
      </c>
      <c r="B219" s="145" t="s">
        <v>1217</v>
      </c>
      <c r="C219" s="151" t="s">
        <v>1068</v>
      </c>
      <c r="D219" s="145" t="s">
        <v>2860</v>
      </c>
      <c r="E219" s="151"/>
      <c r="F219" s="151"/>
      <c r="G219" s="145" t="s">
        <v>2861</v>
      </c>
      <c r="H219" s="145" t="s">
        <v>2862</v>
      </c>
      <c r="I219" s="145" t="s">
        <v>314</v>
      </c>
      <c r="J219" s="145" t="s">
        <v>1211</v>
      </c>
      <c r="K219" s="177">
        <v>42576</v>
      </c>
      <c r="L219" s="146">
        <v>6920</v>
      </c>
      <c r="M219" s="146">
        <v>25728.560000000001</v>
      </c>
      <c r="N219" s="146">
        <v>742.33</v>
      </c>
      <c r="O219" s="146">
        <v>2759.9829399999999</v>
      </c>
      <c r="P219" s="188">
        <v>0.10727312138728323</v>
      </c>
      <c r="Q219" s="193">
        <v>46229</v>
      </c>
      <c r="R219" s="196"/>
    </row>
    <row r="220" spans="1:18" ht="14.25" x14ac:dyDescent="0.2">
      <c r="A220" s="144" t="s">
        <v>1217</v>
      </c>
      <c r="B220" s="145" t="s">
        <v>1217</v>
      </c>
      <c r="C220" s="151" t="s">
        <v>1068</v>
      </c>
      <c r="D220" s="145" t="s">
        <v>2948</v>
      </c>
      <c r="E220" s="151"/>
      <c r="F220" s="151"/>
      <c r="G220" s="145" t="s">
        <v>2949</v>
      </c>
      <c r="H220" s="145" t="s">
        <v>2950</v>
      </c>
      <c r="I220" s="145" t="s">
        <v>314</v>
      </c>
      <c r="J220" s="145" t="s">
        <v>1211</v>
      </c>
      <c r="K220" s="177">
        <v>41148</v>
      </c>
      <c r="L220" s="146">
        <v>5066.6581638637244</v>
      </c>
      <c r="M220" s="146">
        <v>18837.835053245326</v>
      </c>
      <c r="N220" s="146">
        <v>457.43427386372446</v>
      </c>
      <c r="O220" s="146">
        <v>1700.7406302253273</v>
      </c>
      <c r="P220" s="188">
        <v>9.0283231879786999E-2</v>
      </c>
      <c r="Q220" s="193">
        <v>45657</v>
      </c>
      <c r="R220" s="196"/>
    </row>
    <row r="221" spans="1:18" ht="14.25" x14ac:dyDescent="0.2">
      <c r="A221" s="144" t="s">
        <v>1217</v>
      </c>
      <c r="B221" s="145" t="s">
        <v>1217</v>
      </c>
      <c r="C221" s="151" t="s">
        <v>1068</v>
      </c>
      <c r="D221" s="145" t="s">
        <v>2889</v>
      </c>
      <c r="E221" s="151"/>
      <c r="F221" s="151"/>
      <c r="G221" s="145" t="s">
        <v>2890</v>
      </c>
      <c r="H221" s="145" t="s">
        <v>2891</v>
      </c>
      <c r="I221" s="145" t="s">
        <v>314</v>
      </c>
      <c r="J221" s="145" t="s">
        <v>1210</v>
      </c>
      <c r="K221" s="177">
        <v>44560</v>
      </c>
      <c r="L221" s="146">
        <v>41740.042000000001</v>
      </c>
      <c r="M221" s="146">
        <v>41740.042000000001</v>
      </c>
      <c r="N221" s="146">
        <v>19628.098000000002</v>
      </c>
      <c r="O221" s="146">
        <v>19628.098000000002</v>
      </c>
      <c r="P221" s="188">
        <v>0.47024624460128717</v>
      </c>
      <c r="Q221" s="193">
        <v>47118</v>
      </c>
      <c r="R221" s="196"/>
    </row>
    <row r="222" spans="1:18" ht="14.25" x14ac:dyDescent="0.2">
      <c r="A222" s="144" t="s">
        <v>1217</v>
      </c>
      <c r="B222" s="145" t="s">
        <v>1217</v>
      </c>
      <c r="C222" s="151" t="s">
        <v>1068</v>
      </c>
      <c r="D222" s="145" t="s">
        <v>3214</v>
      </c>
      <c r="E222" s="151"/>
      <c r="F222" s="151"/>
      <c r="G222" s="145" t="s">
        <v>3215</v>
      </c>
      <c r="H222" s="145" t="s">
        <v>3216</v>
      </c>
      <c r="I222" s="145" t="s">
        <v>314</v>
      </c>
      <c r="J222" s="145" t="s">
        <v>1211</v>
      </c>
      <c r="K222" s="177">
        <v>44560</v>
      </c>
      <c r="L222" s="146">
        <v>4207.2</v>
      </c>
      <c r="M222" s="146">
        <v>15642.3696</v>
      </c>
      <c r="N222" s="146">
        <v>2567.5409900000004</v>
      </c>
      <c r="O222" s="146">
        <v>9546.1174008199996</v>
      </c>
      <c r="P222" s="188">
        <v>0.610273100874691</v>
      </c>
      <c r="Q222" s="193">
        <v>47118</v>
      </c>
      <c r="R222" s="196"/>
    </row>
    <row r="223" spans="1:18" ht="14.25" x14ac:dyDescent="0.2">
      <c r="A223" s="144" t="s">
        <v>1217</v>
      </c>
      <c r="B223" s="145" t="s">
        <v>1217</v>
      </c>
      <c r="C223" s="151" t="s">
        <v>1068</v>
      </c>
      <c r="D223" s="145" t="s">
        <v>3214</v>
      </c>
      <c r="E223" s="151"/>
      <c r="F223" s="151"/>
      <c r="G223" s="145" t="s">
        <v>3224</v>
      </c>
      <c r="H223" s="145" t="s">
        <v>3225</v>
      </c>
      <c r="I223" s="145" t="s">
        <v>314</v>
      </c>
      <c r="J223" s="145" t="s">
        <v>1211</v>
      </c>
      <c r="K223" s="177">
        <v>44560</v>
      </c>
      <c r="L223" s="146">
        <v>2804.8</v>
      </c>
      <c r="M223" s="146">
        <v>10428.2464</v>
      </c>
      <c r="N223" s="146">
        <v>2660.7229900000002</v>
      </c>
      <c r="O223" s="146">
        <v>9892.5680768200018</v>
      </c>
      <c r="P223" s="188">
        <v>0.94863198445521968</v>
      </c>
      <c r="Q223" s="193">
        <v>47118</v>
      </c>
      <c r="R223" s="196"/>
    </row>
    <row r="224" spans="1:18" ht="14.25" x14ac:dyDescent="0.2">
      <c r="A224" s="144" t="s">
        <v>1217</v>
      </c>
      <c r="B224" s="145" t="s">
        <v>1217</v>
      </c>
      <c r="C224" s="151" t="s">
        <v>1068</v>
      </c>
      <c r="D224" s="145" t="s">
        <v>2895</v>
      </c>
      <c r="E224" s="151"/>
      <c r="F224" s="151"/>
      <c r="G224" s="145" t="s">
        <v>2896</v>
      </c>
      <c r="H224" s="145" t="s">
        <v>2897</v>
      </c>
      <c r="I224" s="145" t="s">
        <v>314</v>
      </c>
      <c r="J224" s="145" t="s">
        <v>1211</v>
      </c>
      <c r="K224" s="177">
        <v>44560</v>
      </c>
      <c r="L224" s="146">
        <v>10518</v>
      </c>
      <c r="M224" s="146">
        <v>39105.923999999999</v>
      </c>
      <c r="N224" s="146">
        <v>7521.9369900000002</v>
      </c>
      <c r="O224" s="146">
        <v>27966.561728820001</v>
      </c>
      <c r="P224" s="188">
        <v>0.71514898174557895</v>
      </c>
      <c r="Q224" s="193">
        <v>47118</v>
      </c>
      <c r="R224" s="196"/>
    </row>
    <row r="225" spans="1:18" ht="14.25" x14ac:dyDescent="0.2">
      <c r="A225" s="144" t="s">
        <v>1205</v>
      </c>
      <c r="B225" s="145" t="s">
        <v>1206</v>
      </c>
      <c r="C225" s="151"/>
      <c r="D225" s="151"/>
      <c r="E225" s="151"/>
      <c r="F225" s="151"/>
      <c r="G225" s="151"/>
      <c r="H225" s="151"/>
      <c r="I225" s="151"/>
      <c r="J225" s="151"/>
      <c r="K225" s="151"/>
      <c r="L225" s="146"/>
      <c r="M225" s="146"/>
      <c r="N225" s="146"/>
      <c r="O225" s="146"/>
      <c r="P225" s="151"/>
      <c r="Q225" s="178"/>
      <c r="R225" s="196"/>
    </row>
    <row r="226" spans="1:18" ht="14.25" x14ac:dyDescent="0.2">
      <c r="A226" s="144" t="s">
        <v>1205</v>
      </c>
      <c r="B226" s="145" t="s">
        <v>1214</v>
      </c>
      <c r="C226" s="151"/>
      <c r="D226" s="151"/>
      <c r="E226" s="151"/>
      <c r="F226" s="151"/>
      <c r="G226" s="151"/>
      <c r="H226" s="151"/>
      <c r="I226" s="151"/>
      <c r="J226" s="151"/>
      <c r="K226" s="151"/>
      <c r="L226" s="146"/>
      <c r="M226" s="146"/>
      <c r="N226" s="146"/>
      <c r="O226" s="146"/>
      <c r="P226" s="151"/>
      <c r="Q226" s="178"/>
      <c r="R226" s="196"/>
    </row>
    <row r="227" spans="1:18" ht="14.25" x14ac:dyDescent="0.2">
      <c r="A227" s="144" t="s">
        <v>1217</v>
      </c>
      <c r="B227" s="145" t="s">
        <v>1218</v>
      </c>
      <c r="C227" s="151"/>
      <c r="D227" s="151"/>
      <c r="E227" s="151"/>
      <c r="F227" s="151"/>
      <c r="G227" s="151"/>
      <c r="H227" s="151"/>
      <c r="I227" s="151"/>
      <c r="J227" s="151"/>
      <c r="K227" s="151"/>
      <c r="L227" s="146"/>
      <c r="M227" s="146"/>
      <c r="N227" s="146"/>
      <c r="O227" s="146"/>
      <c r="P227" s="151"/>
      <c r="Q227" s="178"/>
      <c r="R227" s="196"/>
    </row>
    <row r="228" spans="1:18" ht="14.25" x14ac:dyDescent="0.2">
      <c r="A228" s="152" t="s">
        <v>1217</v>
      </c>
      <c r="B228" s="153" t="s">
        <v>1219</v>
      </c>
      <c r="C228" s="155"/>
      <c r="D228" s="155"/>
      <c r="E228" s="155"/>
      <c r="F228" s="155"/>
      <c r="G228" s="155"/>
      <c r="H228" s="155"/>
      <c r="I228" s="155"/>
      <c r="J228" s="155"/>
      <c r="K228" s="155"/>
      <c r="L228" s="154"/>
      <c r="M228" s="154"/>
      <c r="N228" s="154"/>
      <c r="O228" s="154"/>
      <c r="P228" s="155"/>
      <c r="Q228" s="175"/>
      <c r="R228" s="196"/>
    </row>
    <row r="229" spans="1:18" ht="14.1" customHeight="1" x14ac:dyDescent="0.2">
      <c r="A229" s="196" t="s">
        <v>3461</v>
      </c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spans="1:18" ht="14.1" customHeight="1" x14ac:dyDescent="0.2">
      <c r="A230" s="2" t="s">
        <v>3460</v>
      </c>
    </row>
    <row r="231" spans="1:18" ht="14.1" customHeight="1" x14ac:dyDescent="0.2">
      <c r="A231" s="198"/>
    </row>
  </sheetData>
  <sheetProtection formatColumns="0"/>
  <dataConsolidate/>
  <mergeCells count="2">
    <mergeCell ref="A229:Q229"/>
    <mergeCell ref="R2:R228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2025-05-28T10:27:10Z</dcterms:modified>
  <cp:category/>
  <cp:contentStatus/>
</cp:coreProperties>
</file>