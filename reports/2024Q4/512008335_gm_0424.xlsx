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 codeName="חוברת_עבודה_זו"/>
  <mc:AlternateContent xmlns:mc="http://schemas.openxmlformats.org/markup-compatibility/2006">
    <mc:Choice Requires="x15">
      <x15ac:absPath xmlns:x15ac="http://schemas.microsoft.com/office/spreadsheetml/2010/11/ac" url="I:\EXCEL\account\Name\ALL\PDF דוחות לאוצר 2025אקסל\רשימות לטיפול יניב\קו הבריאות\מחדש 17.09\"/>
    </mc:Choice>
  </mc:AlternateContent>
  <xr:revisionPtr revIDLastSave="0" documentId="13_ncr:1_{DFF73D52-DA0F-409D-B16C-6EF6A6C38D01}" xr6:coauthVersionLast="47" xr6:coauthVersionMax="47" xr10:uidLastSave="{00000000-0000-0000-0000-000000000000}"/>
  <bookViews>
    <workbookView xWindow="-120" yWindow="-120" windowWidth="29040" windowHeight="15840" tabRatio="840" xr2:uid="{00000000-000D-0000-FFFF-FFFF00000000}"/>
  </bookViews>
  <sheets>
    <sheet name="עמוד פתיחה" sheetId="38" r:id="rId1"/>
    <sheet name="סכום נכסים" sheetId="2" r:id="rId2"/>
    <sheet name="מזומנים ושווי מזומנים" sheetId="3" r:id="rId3"/>
    <sheet name="איגרות חוב ממשלתיות" sheetId="4" r:id="rId4"/>
    <sheet name="ניירות ערך מסחריים" sheetId="5" r:id="rId5"/>
    <sheet name="איגרות חוב" sheetId="6" r:id="rId6"/>
    <sheet name="מניות מבכ ויהש" sheetId="7" r:id="rId7"/>
    <sheet name="קרנות סל" sheetId="8" r:id="rId8"/>
    <sheet name="קרנות נאמנות" sheetId="9" r:id="rId9"/>
    <sheet name="כתבי אופציה" sheetId="10" r:id="rId10"/>
    <sheet name="אופציות" sheetId="11" r:id="rId11"/>
    <sheet name="חוזים עתידיים" sheetId="12" r:id="rId12"/>
    <sheet name="מוצרים מובנים" sheetId="13" r:id="rId13"/>
    <sheet name="לא סחיר איגרות חוב ממשלתיות" sheetId="14" r:id="rId14"/>
    <sheet name="לא סחיר איגרות חוב מיועדות" sheetId="15" r:id="rId15"/>
    <sheet name="אפיק השקעה מובטח תשואה" sheetId="48" r:id="rId16"/>
    <sheet name="לא סחיר ניירות ערך מסחריים" sheetId="16" r:id="rId17"/>
    <sheet name="לא סחיר איגרות חוב" sheetId="17" r:id="rId18"/>
    <sheet name="לא סחיר מניות מבכ ויהש" sheetId="18" r:id="rId19"/>
    <sheet name="קרנות השקעה" sheetId="19" r:id="rId20"/>
    <sheet name="לא סחיר כתבי אופציה" sheetId="20" r:id="rId21"/>
    <sheet name="לא סחיר אופציות" sheetId="21" r:id="rId22"/>
    <sheet name="לא סחיר נגזרים אחרים" sheetId="40" r:id="rId23"/>
    <sheet name="הלוואות" sheetId="23" r:id="rId24"/>
    <sheet name="לא סחיר מוצרים מובנים" sheetId="24" r:id="rId25"/>
    <sheet name="פיקדונות מעל 3 חודשים" sheetId="25" r:id="rId26"/>
    <sheet name="זכויות מקרקעין" sheetId="26" r:id="rId27"/>
    <sheet name="השקעה בחברות מוחזקות" sheetId="27" r:id="rId28"/>
    <sheet name="נכסים אחרים" sheetId="28" r:id="rId29"/>
    <sheet name="מסגרות אשראי" sheetId="29" r:id="rId30"/>
    <sheet name="יתרות התחייבות להשקעה" sheetId="47" r:id="rId31"/>
    <sheet name="אפשרויות בחירה" sheetId="49" r:id="rId32"/>
    <sheet name="מיפוי סעיפים" sheetId="58" r:id="rId33"/>
    <sheet name="File Name Info" sheetId="41" state="hidden" r:id="rId34"/>
  </sheets>
  <externalReferences>
    <externalReference r:id="rId35"/>
  </externalReferences>
  <definedNames>
    <definedName name="_xlnm._FilterDatabase" localSheetId="31" hidden="1">'אפשרויות בחירה'!$A$1:$D$1040</definedName>
    <definedName name="_xlnm._FilterDatabase" localSheetId="30" hidden="1">'יתרות התחייבות להשקעה'!$A$1:$Q$33</definedName>
    <definedName name="_xlnm._FilterDatabase" localSheetId="2" hidden="1">'מזומנים ושווי מזומנים'!$A$1:$N$1</definedName>
    <definedName name="_xlnm._FilterDatabase" localSheetId="32" hidden="1">'מיפוי סעיפים'!$A$1:$D$795</definedName>
    <definedName name="Additional_Factor">'אפשרויות בחירה'!$C$701:$C$850</definedName>
    <definedName name="Amoritization">'אפשרויות בחירה'!$C$546:$C$550</definedName>
    <definedName name="Capsule">'אפשרויות בחירה'!$C$926:$C$928</definedName>
    <definedName name="Company_Name">'File Name Info'!$A$34:$A$120</definedName>
    <definedName name="Company_Name_ID">'File Name Info'!$A$34:$B$120</definedName>
    <definedName name="Consortium">'אפשרויות בחירה'!$C$514:$C$515</definedName>
    <definedName name="Country_list">'אפשרויות בחירה'!$C$4:$C$85</definedName>
    <definedName name="Country_list_funds">'אפשרויות בחירה'!$C$4:$C$103</definedName>
    <definedName name="CSA">'אפשרויות בחירה'!$C$688:$C$689</definedName>
    <definedName name="Delivery">'אפשרויות בחירה'!$C$666:$C$667</definedName>
    <definedName name="Dependence_Independence">'אפשרויות בחירה'!$C$654:$C$655</definedName>
    <definedName name="Duration_Underlying_Interest_Rate">'אפשרויות בחירה'!$C$680:$C$687</definedName>
    <definedName name="File_Type">'File Name Info'!$A$10:$A$12</definedName>
    <definedName name="Full_File_Type">'File Name Info'!$A$11:$B$13</definedName>
    <definedName name="Full_Type">'File Name Info'!$A$2:$B$8</definedName>
    <definedName name="Full_Type_Nostro">'File Name Info'!$A$3:$B$6</definedName>
    <definedName name="Full_Year">'File Name Info'!$A$22:$B$31</definedName>
    <definedName name="Fund_Strategy">'אפשרויות בחירה'!$C$597:$C$621</definedName>
    <definedName name="Fund_type">'אפשרויות בחירה'!$C$328:$C$498</definedName>
    <definedName name="Holding_interest">'אפשרויות בחירה'!$C$146:$C$147</definedName>
    <definedName name="In_the_books">'אפשרויות בחירה'!$C$656:$C$657</definedName>
    <definedName name="Industry_Sector">'אפשרויות בחירה'!$C$1129:$C$1245</definedName>
    <definedName name="Industry_sector_all">'אפשרויות בחירה'!$C$202:$C$327</definedName>
    <definedName name="Industry_sectors">'אפשרויות בחירה'!$C$202:$C$327</definedName>
    <definedName name="israel_abroad">'אפשרויות בחירה'!$C$2:$C$3</definedName>
    <definedName name="Issuer_Number_Banks">'אפשרויות בחירה'!$C$111:$C$113</definedName>
    <definedName name="Issuer_Number_Fund">'אפשרויות בחירה'!$C$114:$C$117</definedName>
    <definedName name="issuer_number_loan">'אפשרויות בחירה'!$C$118:$C$126</definedName>
    <definedName name="Issuer_Number_Type">'אפשרויות בחירה'!$C$104:$C$110</definedName>
    <definedName name="Issuer_Number_Type_2">'אפשרויות בחירה'!$C$1076:$C$1079</definedName>
    <definedName name="Issuer_Number_Type_3">'אפשרויות בחירה'!$C$1081:$C$1085</definedName>
    <definedName name="Issuer_Number_Type_V2" localSheetId="31">'אפשרויות בחירה'!$C$104:$C$110</definedName>
    <definedName name="Issuer_Type_TFunds">'אפשרויות בחירה'!$C$1087:$C$1089</definedName>
    <definedName name="Leading_factor">'אפשרויות בחירה'!$C$692:$C$700</definedName>
    <definedName name="Linked_Type">'אפשרויות בחירה'!$C$516:$C$519</definedName>
    <definedName name="other_investments">'אפשרויות בחירה'!$C$1000:$C$1033</definedName>
    <definedName name="Penalty">'אפשרויות בחירה'!$C$851:$C$852</definedName>
    <definedName name="QTR">'File Name Info'!$A$15:$A$19</definedName>
    <definedName name="Rating_Agency">'אפשרויות בחירה'!$C$188:$C$201</definedName>
    <definedName name="real_estate_lifestage">'אפשרויות בחירה'!$C$634:$C$642</definedName>
    <definedName name="real_estate_loans">'אפשרויות בחירה'!$C$553:$C$591</definedName>
    <definedName name="Real_Estate_Main_Use">'אפשרויות בחירה'!$C$622:$C$633</definedName>
    <definedName name="Recourse_Nonrecourse">'אפשרויות בחירה'!$C$544:$C$545</definedName>
    <definedName name="Repayment_Rights">'אפשרויות בחירה'!$C$551:$C$552</definedName>
    <definedName name="Reset_frequency">'אפשרויות בחירה'!$C$658:$C$665</definedName>
    <definedName name="Security_ID_Number_Type">'אפשרויות בחירה'!$C$1113:$C$1116</definedName>
    <definedName name="Security_Number_Loans" localSheetId="31">'אפשרויות בחירה'!$C$131</definedName>
    <definedName name="Stock_Exchange">'אפשרויות בחירה'!$C$1283:$C$1315</definedName>
    <definedName name="Stock_Exchange_Gov_Bonds">'אפשרויות בחירה'!$C$148:$C$181</definedName>
    <definedName name="Subordination_Risk">'אפשרויות בחירה'!$C$186:$C$187</definedName>
    <definedName name="Tradeable_Status">'אפשרויות בחירה'!$C$1272:$C$1281</definedName>
    <definedName name="Tradeable_Status_All">'אפשרויות בחירה'!$C$135:$C$145</definedName>
    <definedName name="tradeable_status_bonds">'אפשרויות בחירה'!$C$1248:$C$1253</definedName>
    <definedName name="tradeable_status_funds">'אפשרויות בחירה'!$C$1118:$C$1119</definedName>
    <definedName name="tradeable_status_stock">'אפשרויות בחירה'!$C$1255:$C$1259</definedName>
    <definedName name="Tradeable_Status_v2">'אפשרויות בחירה'!$C$1121:$C$1126</definedName>
    <definedName name="tradeable_status_warrants">'אפשרויות בחירה'!$C$1261:$C$1265</definedName>
    <definedName name="tradeable_status_warrants_v2">'אפשרויות בחירה'!$C$1267:$C$1269</definedName>
    <definedName name="Transaction" localSheetId="31">'אפשרויות בחירה'!$C$643:$C$646</definedName>
    <definedName name="Type">'File Name Info'!$A$2:$A$8</definedName>
    <definedName name="Type_of_Interest_Rate">'אפשרויות בחירה'!$C$592:$C$594</definedName>
    <definedName name="Type_of_Security">'אפשרויות בחירה'!$C$520:$C$543</definedName>
    <definedName name="Type_of_Security_ID">'אפשרויות בחירה'!$C$127:$C$131</definedName>
    <definedName name="Type_of_Security_ID_Fund">'אפשרויות בחירה'!$C$132:$C$134</definedName>
    <definedName name="Type_of_Security_ID_V2" localSheetId="31">'אפשרויות בחירה'!$C$127:$C$131</definedName>
    <definedName name="Underlying_Asset">'אפשרויות בחירה'!$C$499:$C$513</definedName>
    <definedName name="Underlying_Asset_Structured">'אפשרויות בחירה'!$C$1094:$C$1105</definedName>
    <definedName name="Underlying_Interest_Rates">'אפשרויות בחירה'!$C$668:$C$679</definedName>
    <definedName name="Underlying_Interest_Rates_Der" localSheetId="31">'אפשרויות בחירה'!$C$670:$C$679</definedName>
    <definedName name="Valuation">'אפשרויות בחירה'!$C$649:$C$653</definedName>
    <definedName name="Valuation_Loans">'אפשרויות בחירה'!$C$1091:$C$1092</definedName>
    <definedName name="Valuation_Method">'אפשרויות בחירה'!$C$643:$C$648</definedName>
    <definedName name="Valuation_Realestate">'אפשרויות בחירה'!$C$1108:$C$1111</definedName>
    <definedName name="What_is_rated">'אפשרויות בחירה'!$C$182:$C$185</definedName>
    <definedName name="what_is_rated_loans">'אפשרויות בחירה'!$C$183:$C$185</definedName>
    <definedName name="YEAR">'File Name Info'!$A$21:$A$31</definedName>
    <definedName name="Yes_No_Bad_Debt">'אפשרויות בחירה'!$C$595:$C$596</definedName>
    <definedName name="Z_AE318230_F718_49FC_82EB_7CAC3DCD05F1_.wvu.FilterData" localSheetId="2" hidden="1">'מזומנים ושווי מזומנים'!$A$1:$N$1</definedName>
    <definedName name="Z_AE318230_F718_49FC_82EB_7CAC3DCD05F1_.wvu.Rows" localSheetId="10" hidden="1">אופציות!#REF!</definedName>
    <definedName name="Z_AE318230_F718_49FC_82EB_7CAC3DCD05F1_.wvu.Rows" localSheetId="5" hidden="1">'איגרות חוב'!#REF!</definedName>
    <definedName name="Z_AE318230_F718_49FC_82EB_7CAC3DCD05F1_.wvu.Rows" localSheetId="3" hidden="1">'איגרות חוב ממשלתיות'!#REF!</definedName>
    <definedName name="Z_AE318230_F718_49FC_82EB_7CAC3DCD05F1_.wvu.Rows" localSheetId="15" hidden="1">'אפיק השקעה מובטח תשואה'!#REF!</definedName>
    <definedName name="Z_AE318230_F718_49FC_82EB_7CAC3DCD05F1_.wvu.Rows" localSheetId="27" hidden="1">'השקעה בחברות מוחזקות'!#REF!</definedName>
    <definedName name="Z_AE318230_F718_49FC_82EB_7CAC3DCD05F1_.wvu.Rows" localSheetId="26" hidden="1">'זכויות מקרקעין'!#REF!</definedName>
    <definedName name="Z_AE318230_F718_49FC_82EB_7CAC3DCD05F1_.wvu.Rows" localSheetId="11" hidden="1">'חוזים עתידיים'!#REF!</definedName>
    <definedName name="Z_AE318230_F718_49FC_82EB_7CAC3DCD05F1_.wvu.Rows" localSheetId="30" hidden="1">'יתרות התחייבות להשקעה'!#REF!</definedName>
    <definedName name="Z_AE318230_F718_49FC_82EB_7CAC3DCD05F1_.wvu.Rows" localSheetId="9" hidden="1">'כתבי אופציה'!#REF!</definedName>
    <definedName name="Z_AE318230_F718_49FC_82EB_7CAC3DCD05F1_.wvu.Rows" localSheetId="21" hidden="1">'לא סחיר אופציות'!#REF!</definedName>
    <definedName name="Z_AE318230_F718_49FC_82EB_7CAC3DCD05F1_.wvu.Rows" localSheetId="17" hidden="1">'לא סחיר איגרות חוב'!#REF!</definedName>
    <definedName name="Z_AE318230_F718_49FC_82EB_7CAC3DCD05F1_.wvu.Rows" localSheetId="14" hidden="1">'לא סחיר איגרות חוב מיועדות'!#REF!</definedName>
    <definedName name="Z_AE318230_F718_49FC_82EB_7CAC3DCD05F1_.wvu.Rows" localSheetId="13" hidden="1">'לא סחיר איגרות חוב ממשלתיות'!#REF!</definedName>
    <definedName name="Z_AE318230_F718_49FC_82EB_7CAC3DCD05F1_.wvu.Rows" localSheetId="20" hidden="1">'לא סחיר כתבי אופציה'!#REF!</definedName>
    <definedName name="Z_AE318230_F718_49FC_82EB_7CAC3DCD05F1_.wvu.Rows" localSheetId="24" hidden="1">'לא סחיר מוצרים מובנים'!#REF!</definedName>
    <definedName name="Z_AE318230_F718_49FC_82EB_7CAC3DCD05F1_.wvu.Rows" localSheetId="18" hidden="1">'לא סחיר מניות מבכ ויהש'!#REF!</definedName>
    <definedName name="Z_AE318230_F718_49FC_82EB_7CAC3DCD05F1_.wvu.Rows" localSheetId="16" hidden="1">'לא סחיר ניירות ערך מסחריים'!#REF!</definedName>
    <definedName name="Z_AE318230_F718_49FC_82EB_7CAC3DCD05F1_.wvu.Rows" localSheetId="12" hidden="1">'מוצרים מובנים'!#REF!</definedName>
    <definedName name="Z_AE318230_F718_49FC_82EB_7CAC3DCD05F1_.wvu.Rows" localSheetId="6" hidden="1">'מניות מבכ ויהש'!#REF!</definedName>
    <definedName name="Z_AE318230_F718_49FC_82EB_7CAC3DCD05F1_.wvu.Rows" localSheetId="29" hidden="1">'מסגרות אשראי'!#REF!</definedName>
    <definedName name="Z_AE318230_F718_49FC_82EB_7CAC3DCD05F1_.wvu.Rows" localSheetId="4" hidden="1">'ניירות ערך מסחריים'!#REF!</definedName>
    <definedName name="Z_AE318230_F718_49FC_82EB_7CAC3DCD05F1_.wvu.Rows" localSheetId="28" hidden="1">'נכסים אחרים'!#REF!</definedName>
    <definedName name="Z_AE318230_F718_49FC_82EB_7CAC3DCD05F1_.wvu.Rows" localSheetId="25" hidden="1">'פיקדונות מעל 3 חודשים'!#REF!</definedName>
    <definedName name="Z_AE318230_F718_49FC_82EB_7CAC3DCD05F1_.wvu.Rows" localSheetId="19" hidden="1">'קרנות השקעה'!#REF!</definedName>
    <definedName name="Z_AE318230_F718_49FC_82EB_7CAC3DCD05F1_.wvu.Rows" localSheetId="8" hidden="1">'קרנות נאמנות'!#REF!</definedName>
    <definedName name="Z_AE318230_F718_49FC_82EB_7CAC3DCD05F1_.wvu.Rows" localSheetId="7" hidden="1">'קרנות סל'!#REF!</definedName>
  </definedNames>
  <calcPr calcId="191029"/>
  <customWorkbookViews>
    <customWorkbookView name="נירית שימרון - Personal View" guid="{AE318230-F718-49FC-82EB-7CAC3DCD05F1}" mergeInterval="0" personalView="1" maximized="1" xWindow="-8" yWindow="-8" windowWidth="1696" windowHeight="1026" tabRatio="894" activeSheetId="3" showComments="commIndAndComment"/>
  </customWorkbookView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32" i="2" l="1"/>
  <c r="C30" i="2"/>
  <c r="B29" i="2"/>
  <c r="D29" i="2" s="1"/>
  <c r="B28" i="2"/>
  <c r="D28" i="2" s="1"/>
  <c r="B27" i="2"/>
  <c r="D27" i="2" s="1"/>
  <c r="B26" i="2"/>
  <c r="D26" i="2" s="1"/>
  <c r="B25" i="2"/>
  <c r="D25" i="2" s="1"/>
  <c r="B24" i="2"/>
  <c r="D24" i="2" s="1"/>
  <c r="B23" i="2"/>
  <c r="D23" i="2" s="1"/>
  <c r="B22" i="2"/>
  <c r="D22" i="2" s="1"/>
  <c r="B21" i="2"/>
  <c r="D21" i="2" s="1"/>
  <c r="B20" i="2"/>
  <c r="D20" i="2" s="1"/>
  <c r="B19" i="2"/>
  <c r="D19" i="2" s="1"/>
  <c r="B18" i="2"/>
  <c r="D18" i="2" s="1"/>
  <c r="B17" i="2"/>
  <c r="D17" i="2" s="1"/>
  <c r="B16" i="2"/>
  <c r="D16" i="2" s="1"/>
  <c r="B15" i="2"/>
  <c r="D15" i="2" s="1"/>
  <c r="B14" i="2"/>
  <c r="D14" i="2" s="1"/>
  <c r="B13" i="2"/>
  <c r="D13" i="2" s="1"/>
  <c r="B12" i="2"/>
  <c r="D12" i="2" s="1"/>
  <c r="B11" i="2"/>
  <c r="D11" i="2" s="1"/>
  <c r="B10" i="2"/>
  <c r="D10" i="2" s="1"/>
  <c r="B9" i="2"/>
  <c r="D9" i="2" s="1"/>
  <c r="B8" i="2"/>
  <c r="D8" i="2" s="1"/>
  <c r="B7" i="2"/>
  <c r="D7" i="2" s="1"/>
  <c r="B6" i="2"/>
  <c r="D6" i="2" s="1"/>
  <c r="B5" i="2"/>
  <c r="D5" i="2" s="1"/>
  <c r="B4" i="2"/>
  <c r="D4" i="2" s="1"/>
  <c r="B3" i="2"/>
  <c r="D13" i="38"/>
  <c r="D15" i="38" s="1"/>
  <c r="B30" i="2" l="1"/>
  <c r="D3" i="2"/>
  <c r="D30" i="2" s="1"/>
</calcChain>
</file>

<file path=xl/sharedStrings.xml><?xml version="1.0" encoding="utf-8"?>
<sst xmlns="http://schemas.openxmlformats.org/spreadsheetml/2006/main" count="16687" uniqueCount="2476">
  <si>
    <t>מספר קופה/קרן/ח.פ. עבור חברת ביטוח</t>
  </si>
  <si>
    <t>מספר מסלול</t>
  </si>
  <si>
    <t>שם מנפיק</t>
  </si>
  <si>
    <t>שם נייר ערך</t>
  </si>
  <si>
    <t>מספר נייר ערך</t>
  </si>
  <si>
    <t>מאפיין עיקרי</t>
  </si>
  <si>
    <t>ישראל/חו"ל</t>
  </si>
  <si>
    <t>מדינה לפי חשיפה כלכלית</t>
  </si>
  <si>
    <t>זירת מסחר</t>
  </si>
  <si>
    <t>דירוג</t>
  </si>
  <si>
    <t>שם מדרג</t>
  </si>
  <si>
    <t>מטבע פעילות</t>
  </si>
  <si>
    <t>מח"מ</t>
  </si>
  <si>
    <t>מועד פדיון</t>
  </si>
  <si>
    <t>שיעור ריבית</t>
  </si>
  <si>
    <t>תשואה לפדיון</t>
  </si>
  <si>
    <t>סכום לקבל (במטבע הפעילות)</t>
  </si>
  <si>
    <t>ערך נקוב (יחידות)</t>
  </si>
  <si>
    <t>שער חליפין</t>
  </si>
  <si>
    <t>שער נייר הערך</t>
  </si>
  <si>
    <t>שווי הוגן (באלפי ש"ח)</t>
  </si>
  <si>
    <t>עלות מופחתת (באלפי ש"ח)</t>
  </si>
  <si>
    <t>השיטה שיושמה בדוח הכספי</t>
  </si>
  <si>
    <t>שיעור מערך נקוב מונפק</t>
  </si>
  <si>
    <t>שיעור מנכסי אפיק ההשקעה</t>
  </si>
  <si>
    <t>שיעור מסך נכסי ההשקעה</t>
  </si>
  <si>
    <t>בנק ישראל- מק"מ</t>
  </si>
  <si>
    <t>מ.ק.מ. 315</t>
  </si>
  <si>
    <t>IL0082503181</t>
  </si>
  <si>
    <t>מק"מ קצר משנים עשר חודשים</t>
  </si>
  <si>
    <t>ישראל</t>
  </si>
  <si>
    <t>TASE </t>
  </si>
  <si>
    <t>RF</t>
  </si>
  <si>
    <t>פנימי</t>
  </si>
  <si>
    <t>ILS</t>
  </si>
  <si>
    <t>05/03/2025</t>
  </si>
  <si>
    <t>שווי הוגן</t>
  </si>
  <si>
    <t>מ.ק.מ. 415</t>
  </si>
  <si>
    <t>IL0082504171</t>
  </si>
  <si>
    <t>02/04/2025</t>
  </si>
  <si>
    <t>מלווה קצר מועד 1115</t>
  </si>
  <si>
    <t>IL0082511184</t>
  </si>
  <si>
    <t>05/11/2025</t>
  </si>
  <si>
    <t>מלווה קצר מועד 215</t>
  </si>
  <si>
    <t>IL0082502191</t>
  </si>
  <si>
    <t>TASE</t>
  </si>
  <si>
    <t>05/02/2025</t>
  </si>
  <si>
    <t>מלווה קצר מועד 515</t>
  </si>
  <si>
    <t>IL0082505160</t>
  </si>
  <si>
    <t>07/05/2025</t>
  </si>
  <si>
    <t>מלווה קצר מועד 615</t>
  </si>
  <si>
    <t>IL0082506150</t>
  </si>
  <si>
    <t>04/06/2025</t>
  </si>
  <si>
    <t>גליל</t>
  </si>
  <si>
    <t>ממשל צמודה 0527</t>
  </si>
  <si>
    <t>IL0011408478</t>
  </si>
  <si>
    <t>צמוד למדד המחירים לצרכן בריבית קבועה</t>
  </si>
  <si>
    <t>31/05/2027</t>
  </si>
  <si>
    <t>ממשל צמודה 1131</t>
  </si>
  <si>
    <t>IL0011722209</t>
  </si>
  <si>
    <t>30/11/2031</t>
  </si>
  <si>
    <t>שחר</t>
  </si>
  <si>
    <t>ממשל שקלית 0226</t>
  </si>
  <si>
    <t>IL0011746976</t>
  </si>
  <si>
    <t>לא צמוד למדד המחירים לצרכן ריבית קבועה</t>
  </si>
  <si>
    <t>27/02/2026</t>
  </si>
  <si>
    <t>ממשל שקלית 0335</t>
  </si>
  <si>
    <t>IL0012023326</t>
  </si>
  <si>
    <t>30/03/2035</t>
  </si>
  <si>
    <t>ממשל שקלית 0825</t>
  </si>
  <si>
    <t>IL0011355570</t>
  </si>
  <si>
    <t>31/08/2025</t>
  </si>
  <si>
    <t>ממשלתי צמודה 0536</t>
  </si>
  <si>
    <t>IL0010977085</t>
  </si>
  <si>
    <t>30/05/2036</t>
  </si>
  <si>
    <t>ממשלתי שקלי  1026</t>
  </si>
  <si>
    <t>IL0010994569</t>
  </si>
  <si>
    <t>30/10/2026</t>
  </si>
  <si>
    <t>ממשלתי שקלית 0142</t>
  </si>
  <si>
    <t>IL0011254005</t>
  </si>
  <si>
    <t>31/01/2042</t>
  </si>
  <si>
    <t>ממשלתית צמודה 0.5% 0529</t>
  </si>
  <si>
    <t>IL0011570236</t>
  </si>
  <si>
    <t>31/05/2029</t>
  </si>
  <si>
    <t>ממשלתית צמודה 0726</t>
  </si>
  <si>
    <t>IL0011695645</t>
  </si>
  <si>
    <t>31/07/2026</t>
  </si>
  <si>
    <t>ממשלתית צמודה 1.10% 1028</t>
  </si>
  <si>
    <t>IL0011973265</t>
  </si>
  <si>
    <t>31/10/2028</t>
  </si>
  <si>
    <t>ממשלתית שקלית 1.00% 03/30</t>
  </si>
  <si>
    <t>IL0011609851</t>
  </si>
  <si>
    <t>31/03/2030</t>
  </si>
  <si>
    <t>ממשלתית שקלית 1.3% 04/32</t>
  </si>
  <si>
    <t>IL0011806606</t>
  </si>
  <si>
    <t>30/04/2032</t>
  </si>
  <si>
    <t>US TREASURY Bills</t>
  </si>
  <si>
    <t>T 3 3/8 05/15/33</t>
  </si>
  <si>
    <t>US91282CHC82</t>
  </si>
  <si>
    <t>צמוד מט"ח בריבית קבועה</t>
  </si>
  <si>
    <t>חו"ל</t>
  </si>
  <si>
    <t>ארה"ב</t>
  </si>
  <si>
    <t>FOREIGN_GOV_SEC</t>
  </si>
  <si>
    <t>AA+</t>
  </si>
  <si>
    <t>Fitch</t>
  </si>
  <si>
    <t>USD</t>
  </si>
  <si>
    <t>15/05/2033</t>
  </si>
  <si>
    <t>T 3 7/8 08/15/34</t>
  </si>
  <si>
    <t>US91282CLF67</t>
  </si>
  <si>
    <t>אחר</t>
  </si>
  <si>
    <t>15/08/2034</t>
  </si>
  <si>
    <t>ממשל צמודה 1025</t>
  </si>
  <si>
    <t>IL0011359127</t>
  </si>
  <si>
    <t>31/10/2025</t>
  </si>
  <si>
    <t>ממשל שיקלית 0928</t>
  </si>
  <si>
    <t>IL0011508798</t>
  </si>
  <si>
    <t>28/09/2028</t>
  </si>
  <si>
    <t>ממשל שקלית 0327</t>
  </si>
  <si>
    <t>IL0011393449</t>
  </si>
  <si>
    <t>31/03/2027</t>
  </si>
  <si>
    <t>מספר מזהה לווה</t>
  </si>
  <si>
    <t>סוג מספר מזהה לווה</t>
  </si>
  <si>
    <t>שם הלוואה</t>
  </si>
  <si>
    <t>מספר הלוואה</t>
  </si>
  <si>
    <t>תאריך העמדת מסגרת אשראי</t>
  </si>
  <si>
    <t>בעל עניין/צד קשור</t>
  </si>
  <si>
    <t>דירוג הלוואה/המנפיק</t>
  </si>
  <si>
    <t>סוג הריבית</t>
  </si>
  <si>
    <t>סכום מסגרת האשראי הראשוני (במטבע הפעילות)</t>
  </si>
  <si>
    <t>סכום מסגרת האשראי הראשוני (באלפי ש"ח)</t>
  </si>
  <si>
    <t>שיעור יתרת מסגרת אשראי</t>
  </si>
  <si>
    <t>שם הנכס האחר</t>
  </si>
  <si>
    <t>מספר הנכס האחר</t>
  </si>
  <si>
    <t>תאריך עסקה</t>
  </si>
  <si>
    <t>תאריך שערוך אחרון</t>
  </si>
  <si>
    <t>שווי מטבעי</t>
  </si>
  <si>
    <t>זכאים</t>
  </si>
  <si>
    <t>28080000</t>
  </si>
  <si>
    <t>חייבים וזכאים</t>
  </si>
  <si>
    <t>לא</t>
  </si>
  <si>
    <t>31/12/2024</t>
  </si>
  <si>
    <t>חייבים</t>
  </si>
  <si>
    <t>27960000</t>
  </si>
  <si>
    <t>זכאים מס עמיתים</t>
  </si>
  <si>
    <t>28200000</t>
  </si>
  <si>
    <t>חייבים וזכאים מס</t>
  </si>
  <si>
    <t>אמפל אמ ב חש 1/2014</t>
  </si>
  <si>
    <t>IL0011311847</t>
  </si>
  <si>
    <t xml:space="preserve">חייבים בגין תקבולים </t>
  </si>
  <si>
    <t>13/11/2022</t>
  </si>
  <si>
    <t>אמפל אמריקן אגח ב' חוב שלא שול</t>
  </si>
  <si>
    <t>1125624</t>
  </si>
  <si>
    <t>אמפל אמריקן אגח ב חש 1/13</t>
  </si>
  <si>
    <t>1127679</t>
  </si>
  <si>
    <t>אמפל אמריקן חש2/15 )מנע 110378</t>
  </si>
  <si>
    <t>IL0011103780</t>
  </si>
  <si>
    <t>מספר מנפיק</t>
  </si>
  <si>
    <t>סוג מספר מזהה מנפיק</t>
  </si>
  <si>
    <t>סוג מספר נייר ערך</t>
  </si>
  <si>
    <t>ענף מסחר</t>
  </si>
  <si>
    <t>סוג גורם משערך</t>
  </si>
  <si>
    <t>תלות/אי-תלות המשערך</t>
  </si>
  <si>
    <t>תאריך אחרון בו נבחנה בפועל ירידת ערך</t>
  </si>
  <si>
    <t>שיעור אחזקה באמצעי שליטה</t>
  </si>
  <si>
    <t>שווי מאזני (באלפי ש"ח)</t>
  </si>
  <si>
    <t>שם הנכס</t>
  </si>
  <si>
    <t>מדינת מיקום נדל"ן</t>
  </si>
  <si>
    <t>תאריך רכישה</t>
  </si>
  <si>
    <t>שימוש עיקרי בנכס</t>
  </si>
  <si>
    <t>מחזור חיי הנכס</t>
  </si>
  <si>
    <t>כתובת הנכס</t>
  </si>
  <si>
    <t>שיעור תשואה בפועל במהלך הרבעון</t>
  </si>
  <si>
    <t>השיטה שבאמצעותה נקבע שווי הנכס</t>
  </si>
  <si>
    <t>שם גורם משערך</t>
  </si>
  <si>
    <t>שווי הוגן (במטבע הפעילות)</t>
  </si>
  <si>
    <t>עלות מופחתת (במטבע הפעילות)</t>
  </si>
  <si>
    <t>שם הבנק</t>
  </si>
  <si>
    <t>מספר מזהה בנק</t>
  </si>
  <si>
    <t>סוג מספר מזהה בנק</t>
  </si>
  <si>
    <t>תאריך פקיעת פיקדון</t>
  </si>
  <si>
    <t>דירוג הבנק</t>
  </si>
  <si>
    <t>שער פיקדון</t>
  </si>
  <si>
    <t>נכס בסיס</t>
  </si>
  <si>
    <t>דירוג נייר הערך/המנפיק</t>
  </si>
  <si>
    <t>קובץ דיווח עבור רשימת נכסים ברמת הנכס הבודד (חוזר גופים מוסדיים 2015-9-14)</t>
  </si>
  <si>
    <t>יש לבחור תחום:</t>
  </si>
  <si>
    <t>נכסי עמיתים - קופות גמל</t>
  </si>
  <si>
    <t>האם מדובר בקובץ לממומנה או לציבור:</t>
  </si>
  <si>
    <t>יש לבחור את רבעון הדיווח:</t>
  </si>
  <si>
    <t>יש לבחור את שנת הדיווח:</t>
  </si>
  <si>
    <t>יש לבחור את הגוף המוסדי:</t>
  </si>
  <si>
    <t>ח.פ. הגוף המוסדי:</t>
  </si>
  <si>
    <t>שם קובץ לשמירה</t>
  </si>
  <si>
    <r>
      <t xml:space="preserve">פרטי האחראי על הדיווח </t>
    </r>
    <r>
      <rPr>
        <b/>
        <u/>
        <sz val="11"/>
        <color theme="1"/>
        <rFont val="Arial"/>
        <family val="2"/>
      </rPr>
      <t>בגוף המוסדי</t>
    </r>
  </si>
  <si>
    <t>שם:</t>
  </si>
  <si>
    <t>מספר טלפון:</t>
  </si>
  <si>
    <t>כתובת מייל:</t>
  </si>
  <si>
    <t>הוראות למילוי הדיווח:</t>
  </si>
  <si>
    <t>יש לדווח לפי ההנחיות בחלק ג' לנספח 5.4.3.2 שבפרק 3 שבחלק 4 לשער 5 בחוזר המאוחד - "רשימת נכסים ברמת הנכס הבודד".</t>
  </si>
  <si>
    <t>שם שותף כללי קרן השקעות</t>
  </si>
  <si>
    <t>מספר מזהה שותף כללי קרן השקעות</t>
  </si>
  <si>
    <t>סוג מספר מזהה שותף כללי קרן השקעות</t>
  </si>
  <si>
    <t>שם קרן השקעה</t>
  </si>
  <si>
    <t>מספר מזהה קרן השקעה</t>
  </si>
  <si>
    <t>סוג מספר מזהה קרן השקעות</t>
  </si>
  <si>
    <t>תאריך העמדת התחייבות לקרן השקעה</t>
  </si>
  <si>
    <t>סכום המחויבות הראשוני (במטבע הדיווח של קרן ההשקעה)</t>
  </si>
  <si>
    <t>סכום המחויבות הראשוני (באלפי ש"ח)</t>
  </si>
  <si>
    <t>יתרת המחויבות לתקופת הדיווח (במטבע הדיווח של קרן ההשקעה)</t>
  </si>
  <si>
    <t>יתרת המחויבות לתקופת הדיווח (באלפי ש"ח)</t>
  </si>
  <si>
    <t>שיעור יתרת המחויבות</t>
  </si>
  <si>
    <t>תאריך פקיעת מחויבות להשקעה</t>
  </si>
  <si>
    <t>שם גיליון
(רלוונטי לגיליונות עם עמודה "מאפיין עיקרי")</t>
  </si>
  <si>
    <t>שם עמודה</t>
  </si>
  <si>
    <t>אפשרות בחירה</t>
  </si>
  <si>
    <t>הערות והסברים</t>
  </si>
  <si>
    <t xml:space="preserve">ישראל/חו"ל </t>
  </si>
  <si>
    <t>מדינה לפי חשיפה כלכלית; מדינת התאגדות קרן השקעה, מיקום משרד השותף הכללי, מדינת מיקום נדל"ן</t>
  </si>
  <si>
    <t>אוסטריה</t>
  </si>
  <si>
    <t>אוסטרליה</t>
  </si>
  <si>
    <t>אזור תעלת פנמה</t>
  </si>
  <si>
    <t>אזרביג'אן</t>
  </si>
  <si>
    <t>איחוד האמירויות הערביות</t>
  </si>
  <si>
    <t>איטליה</t>
  </si>
  <si>
    <t>איי הבתולה הבריטיים</t>
  </si>
  <si>
    <t>איי הבתולה של ארצות הברית</t>
  </si>
  <si>
    <t>איי סיישל</t>
  </si>
  <si>
    <t>איי קיימן</t>
  </si>
  <si>
    <t>איי שלמה הבריטיים</t>
  </si>
  <si>
    <t>איסלנד</t>
  </si>
  <si>
    <t>אירלנד</t>
  </si>
  <si>
    <t>אנדורה</t>
  </si>
  <si>
    <t>אסטוניה</t>
  </si>
  <si>
    <t>ארגנטינה</t>
  </si>
  <si>
    <t>אתיופיה</t>
  </si>
  <si>
    <t>בהמס</t>
  </si>
  <si>
    <t>בולגריה</t>
  </si>
  <si>
    <t>בוליביה</t>
  </si>
  <si>
    <t>בחריין</t>
  </si>
  <si>
    <t>בלגיה</t>
  </si>
  <si>
    <t>בליז</t>
  </si>
  <si>
    <t>ברזיל</t>
  </si>
  <si>
    <t>בריטניה</t>
  </si>
  <si>
    <t>ברמודה</t>
  </si>
  <si>
    <t>גאורגיה</t>
  </si>
  <si>
    <t>גיברלטר</t>
  </si>
  <si>
    <t>גמייקה</t>
  </si>
  <si>
    <t>גרמניה</t>
  </si>
  <si>
    <t>ג'רזי (Jersey)</t>
  </si>
  <si>
    <t>גרנזי (Guernsey)</t>
  </si>
  <si>
    <t>דנמרק</t>
  </si>
  <si>
    <t>דרום אפריקה</t>
  </si>
  <si>
    <t>דרום קוריאה</t>
  </si>
  <si>
    <t>הודו</t>
  </si>
  <si>
    <t>הולנד</t>
  </si>
  <si>
    <t>הונג קונג</t>
  </si>
  <si>
    <t>הונגריה</t>
  </si>
  <si>
    <t>הונדורס</t>
  </si>
  <si>
    <t>טייוואן</t>
  </si>
  <si>
    <t>יוון</t>
  </si>
  <si>
    <t>יפן</t>
  </si>
  <si>
    <t>ירדן</t>
  </si>
  <si>
    <t>לוכסמבורג</t>
  </si>
  <si>
    <t>לטביה</t>
  </si>
  <si>
    <t>ליטא</t>
  </si>
  <si>
    <t>ליכטנשטיין</t>
  </si>
  <si>
    <t>מאוריציוס</t>
  </si>
  <si>
    <t>מולדובה</t>
  </si>
  <si>
    <t>מונקו</t>
  </si>
  <si>
    <t>מלדיבים</t>
  </si>
  <si>
    <t>מלטה</t>
  </si>
  <si>
    <t>מלזיה</t>
  </si>
  <si>
    <t>מצרים</t>
  </si>
  <si>
    <t>מקסיקו</t>
  </si>
  <si>
    <t>מרוקו</t>
  </si>
  <si>
    <t>נורבגיה</t>
  </si>
  <si>
    <t>ניו זילנד</t>
  </si>
  <si>
    <t>סין</t>
  </si>
  <si>
    <t>סינגפור</t>
  </si>
  <si>
    <t>סלובניה</t>
  </si>
  <si>
    <t>סלובקיה</t>
  </si>
  <si>
    <t>ספרד</t>
  </si>
  <si>
    <t>סרביה</t>
  </si>
  <si>
    <t>ערב הסעודית</t>
  </si>
  <si>
    <t>פולין</t>
  </si>
  <si>
    <t>פורטוגל</t>
  </si>
  <si>
    <t>פינלנד</t>
  </si>
  <si>
    <t>פנמה</t>
  </si>
  <si>
    <t>צילה</t>
  </si>
  <si>
    <t>צכיה</t>
  </si>
  <si>
    <t>צרפת</t>
  </si>
  <si>
    <t>קנדה</t>
  </si>
  <si>
    <t>קפריסין</t>
  </si>
  <si>
    <t>רומניה</t>
  </si>
  <si>
    <t>רוסיה</t>
  </si>
  <si>
    <t>שוודיה</t>
  </si>
  <si>
    <t>שוויץ</t>
  </si>
  <si>
    <t>תורכיה</t>
  </si>
  <si>
    <t>אסיה</t>
  </si>
  <si>
    <t>אפריקה</t>
  </si>
  <si>
    <t>אמריקה הצפונית</t>
  </si>
  <si>
    <t>אמריקה הדרומית</t>
  </si>
  <si>
    <t>אירופה</t>
  </si>
  <si>
    <t>אוקיאניה</t>
  </si>
  <si>
    <t>גלובלי ללא ארה"ב</t>
  </si>
  <si>
    <t>גלובלי</t>
  </si>
  <si>
    <t>Emerging Markets - Americas</t>
  </si>
  <si>
    <r>
      <rPr>
        <strike/>
        <sz val="11"/>
        <color theme="1"/>
        <rFont val="Arial"/>
        <family val="2"/>
      </rPr>
      <t>שווקים מתעוררים</t>
    </r>
    <r>
      <rPr>
        <sz val="11"/>
        <color theme="1"/>
        <rFont val="Arial"/>
        <family val="2"/>
      </rPr>
      <t xml:space="preserve"> לפי הגדרת MSCI</t>
    </r>
  </si>
  <si>
    <t>Emerging Markets - Euope, Middle East &amp; Africa</t>
  </si>
  <si>
    <t>לפי הגדרת MSCI</t>
  </si>
  <si>
    <t>Emerging Markets - Asia</t>
  </si>
  <si>
    <t>Developed Markets - Americas</t>
  </si>
  <si>
    <t>Developed Markets - Europe</t>
  </si>
  <si>
    <t>Developed Markets - Pacific</t>
  </si>
  <si>
    <t>Frontier Markets - Euope</t>
  </si>
  <si>
    <t>Frontier Markets - Africa</t>
  </si>
  <si>
    <t>Frontier Markets - Middle East</t>
  </si>
  <si>
    <t>Frontier Markets - Asia</t>
  </si>
  <si>
    <t>ח.פ.</t>
  </si>
  <si>
    <t>מספר שותפות</t>
  </si>
  <si>
    <t>מספר תאגיד או שותפות בחו"ל</t>
  </si>
  <si>
    <t>LEI</t>
  </si>
  <si>
    <t>סימול בנק</t>
  </si>
  <si>
    <t>SWIFT</t>
  </si>
  <si>
    <t>סוג מספר מזהה מנהל קרן השקעות</t>
  </si>
  <si>
    <t>מרשם</t>
  </si>
  <si>
    <t>ת"ז</t>
  </si>
  <si>
    <t>דרכון</t>
  </si>
  <si>
    <t>ISIN</t>
  </si>
  <si>
    <t>OCC</t>
  </si>
  <si>
    <t>FIGI</t>
  </si>
  <si>
    <t>טיקר</t>
  </si>
  <si>
    <t>סוג מספר קרן השקעה</t>
  </si>
  <si>
    <t>סטאטוס סחירות</t>
  </si>
  <si>
    <t>סחיר</t>
  </si>
  <si>
    <t>לא סחיר</t>
  </si>
  <si>
    <t>חסום</t>
  </si>
  <si>
    <t>ני"ע אשר מכירתו מוגבלת לפי הוראות דין או חוזה לתקופה שנקבעה.</t>
  </si>
  <si>
    <t>השעיה</t>
  </si>
  <si>
    <t xml:space="preserve">ני"ע שהמסחר בו בזירת המסחר בה הור נסחר הופסק לפרק זמן </t>
  </si>
  <si>
    <t>בהשאלה</t>
  </si>
  <si>
    <t>לא חסום בהשעיה</t>
  </si>
  <si>
    <t>לא חסום בהשאלה</t>
  </si>
  <si>
    <t>חסום בהשעיה</t>
  </si>
  <si>
    <t>חסום בהשאלה</t>
  </si>
  <si>
    <t>בשלבי רישום למסחר</t>
  </si>
  <si>
    <t>בעל  עניין/צד קשור</t>
  </si>
  <si>
    <t>כן</t>
  </si>
  <si>
    <t>TASE - Tel Aviv Stock Exchange</t>
  </si>
  <si>
    <t>TASE-UP</t>
  </si>
  <si>
    <t>פלטפורמת TASE-UP</t>
  </si>
  <si>
    <t>NYSE</t>
  </si>
  <si>
    <t>NYSE - New York Stock Exchange</t>
  </si>
  <si>
    <t>NASDAQ</t>
  </si>
  <si>
    <t>NASDAQ - National Association of Securities Dealers Automated Quotations</t>
  </si>
  <si>
    <t>JPX</t>
  </si>
  <si>
    <t>JPX - Japan Exchange Group</t>
  </si>
  <si>
    <t>AMEX</t>
  </si>
  <si>
    <t>AMEX - American Stock Exchange</t>
  </si>
  <si>
    <t>ADX</t>
  </si>
  <si>
    <t>ADX - Abu Dhabi Securities Exchange</t>
  </si>
  <si>
    <t>ASX</t>
  </si>
  <si>
    <t>ASX -  Australian Securities Exchange</t>
  </si>
  <si>
    <t>BOVESPA</t>
  </si>
  <si>
    <t>BOVESPA -  Brazilian Stock Exchange</t>
  </si>
  <si>
    <t>BSE</t>
  </si>
  <si>
    <t>BSE - Bombay Stock Exchange</t>
  </si>
  <si>
    <t>CBOE</t>
  </si>
  <si>
    <t>CBOE - Chicago Board Options Exchange</t>
  </si>
  <si>
    <t>CME</t>
  </si>
  <si>
    <t>CME - Chicago Mercantile Exchange</t>
  </si>
  <si>
    <t>EURONEXT</t>
  </si>
  <si>
    <t>EURONEXT - Euronext Group Stock Exchange</t>
  </si>
  <si>
    <t>EUREX</t>
  </si>
  <si>
    <t>EUREX - Eurex Exchange</t>
  </si>
  <si>
    <t>FWB</t>
  </si>
  <si>
    <t>FWB - Frankfurt Stock Exchange</t>
  </si>
  <si>
    <t>HKSE</t>
  </si>
  <si>
    <t>HKSE - Hong Kong Stock Exchange</t>
  </si>
  <si>
    <t>ICE</t>
  </si>
  <si>
    <t>ICE - Intercontinental Exchange</t>
  </si>
  <si>
    <t>ISE</t>
  </si>
  <si>
    <t>ISE - Irish Stock Exchange</t>
  </si>
  <si>
    <t>JSE</t>
  </si>
  <si>
    <t>JSE - Johannesburg Stock Exchange</t>
  </si>
  <si>
    <t>KRX</t>
  </si>
  <si>
    <t>KRX - Korea Exchange</t>
  </si>
  <si>
    <t>LSE</t>
  </si>
  <si>
    <t>LSE - London Stock Exchange</t>
  </si>
  <si>
    <t>MICEX - RTS</t>
  </si>
  <si>
    <t>MICEX- RTS - Moscow Exchange</t>
  </si>
  <si>
    <t>NASDAQD</t>
  </si>
  <si>
    <t>NASDAQD - NASDAQ Dubai</t>
  </si>
  <si>
    <t>NSE</t>
  </si>
  <si>
    <t>NSE - National Stock Exchange of India</t>
  </si>
  <si>
    <t>SSE</t>
  </si>
  <si>
    <t>SSE - Shanghai Stock Exchange</t>
  </si>
  <si>
    <t>SZSE</t>
  </si>
  <si>
    <t>SZSE - Shenzen Stock Market</t>
  </si>
  <si>
    <t>SGX</t>
  </si>
  <si>
    <t>SGX - Singapore Exchange</t>
  </si>
  <si>
    <t>BME</t>
  </si>
  <si>
    <t>BME - Spanish Exchanges</t>
  </si>
  <si>
    <t>SIX</t>
  </si>
  <si>
    <t>SIX - Swiss Exchange</t>
  </si>
  <si>
    <t>TSEC</t>
  </si>
  <si>
    <t>TSEC - Taiwan Stock Exchange Corporation</t>
  </si>
  <si>
    <t>TSE</t>
  </si>
  <si>
    <t>TSE - Tokyo Stock Exchange</t>
  </si>
  <si>
    <t>TSX</t>
  </si>
  <si>
    <t>TSX - Toronto Stock Exchange</t>
  </si>
  <si>
    <t>זירת מסחר פיקטבית עבור הדיווח של אג"ח שהנפיקה ממשלה זרה</t>
  </si>
  <si>
    <t xml:space="preserve">דירוג נייר הערך/הלוואה/המנפיק </t>
  </si>
  <si>
    <t>נייר ערך</t>
  </si>
  <si>
    <t>הלוואה</t>
  </si>
  <si>
    <t>מנפיק</t>
  </si>
  <si>
    <t>NR</t>
  </si>
  <si>
    <t>נחיתות חוזית</t>
  </si>
  <si>
    <t>החוב נחות</t>
  </si>
  <si>
    <t>החוב לא נחות</t>
  </si>
  <si>
    <t>S&amp;P מעלות</t>
  </si>
  <si>
    <t>סטנדרד &amp; פורסס מעלות בע"מ (S&amp;P)</t>
  </si>
  <si>
    <t>מידרוג Moodys</t>
  </si>
  <si>
    <t>מידרוג בע"מ (Moody's)</t>
  </si>
  <si>
    <t>AM Best</t>
  </si>
  <si>
    <t>A.M Best Company, Inc</t>
  </si>
  <si>
    <t>DBRS</t>
  </si>
  <si>
    <t>DBRS Ratings Limited.</t>
  </si>
  <si>
    <t>Egan-Jones</t>
  </si>
  <si>
    <t>Egan-Jones Ratings Co.</t>
  </si>
  <si>
    <t>Fitch Investors Service, L.P.</t>
  </si>
  <si>
    <t>HR Ratings</t>
  </si>
  <si>
    <t>HR Ratings de México, S.A. de C.V.</t>
  </si>
  <si>
    <t>Japan Credit</t>
  </si>
  <si>
    <t>Japan Credit Rating Agency Ltd.</t>
  </si>
  <si>
    <t>Kroll</t>
  </si>
  <si>
    <t>Kroll Bond Rating Agency, Inc</t>
  </si>
  <si>
    <t>Moodys</t>
  </si>
  <si>
    <t>Moody's Investor Service</t>
  </si>
  <si>
    <t>S&amp;P</t>
  </si>
  <si>
    <t>Standard &amp; Poor's Corporation</t>
  </si>
  <si>
    <t>Not rated</t>
  </si>
  <si>
    <t>אג"ח מובנות</t>
  </si>
  <si>
    <t>אופנה והלבשה</t>
  </si>
  <si>
    <t>אחסנה</t>
  </si>
  <si>
    <t>אלקטרוניקה ואופטיקה</t>
  </si>
  <si>
    <t>אנרגיה</t>
  </si>
  <si>
    <t>אנרגיה מתחדשת</t>
  </si>
  <si>
    <t>אנשים פרטיים</t>
  </si>
  <si>
    <t>אשראי חוץ בנקאי</t>
  </si>
  <si>
    <t>ביוטכנולוגיה</t>
  </si>
  <si>
    <t>ביטוח</t>
  </si>
  <si>
    <t>ביטחוניות</t>
  </si>
  <si>
    <t>בנייה</t>
  </si>
  <si>
    <t>בנקים</t>
  </si>
  <si>
    <t>השקעות בהיי-טק</t>
  </si>
  <si>
    <t>השקעות במדעי החיים</t>
  </si>
  <si>
    <t>השקעה ואחזקות</t>
  </si>
  <si>
    <t>חברות ללא פעילות ומעטפת</t>
  </si>
  <si>
    <t>חברות מעטפת</t>
  </si>
  <si>
    <t>חיפושי נפט וגז</t>
  </si>
  <si>
    <t>חשמל</t>
  </si>
  <si>
    <t>כימיה, גומי ופלסטיק</t>
  </si>
  <si>
    <t>ליסינג</t>
  </si>
  <si>
    <t>מוליכים למחצה</t>
  </si>
  <si>
    <t>מזון</t>
  </si>
  <si>
    <t>מכשור רפואי</t>
  </si>
  <si>
    <t>מלונאות ותיירות</t>
  </si>
  <si>
    <t>מסחר</t>
  </si>
  <si>
    <t>מתכת ומוצרי בניה</t>
  </si>
  <si>
    <t>נדל"ן מניב בישראל</t>
  </si>
  <si>
    <t>נדל"ן מניב בחו"ל</t>
  </si>
  <si>
    <t>עץ, נייר ודפוס</t>
  </si>
  <si>
    <t>פארמה</t>
  </si>
  <si>
    <t>פודטק</t>
  </si>
  <si>
    <t>ציוד תקשורת</t>
  </si>
  <si>
    <t>קנאביס</t>
  </si>
  <si>
    <t>קלינטק</t>
  </si>
  <si>
    <t>קרנות היי טק</t>
  </si>
  <si>
    <t>קרנות סל</t>
  </si>
  <si>
    <t>רובוטיקה ותלת מימד</t>
  </si>
  <si>
    <t>רשויות מקומיות</t>
  </si>
  <si>
    <t>רשתות שיווק</t>
  </si>
  <si>
    <t>שירותי מידע</t>
  </si>
  <si>
    <t>שירותים</t>
  </si>
  <si>
    <t>שירותים פיננסיים</t>
  </si>
  <si>
    <t>שירותים ציבוריים</t>
  </si>
  <si>
    <t>תוכנה ואינטרנט</t>
  </si>
  <si>
    <t>תחבורה</t>
  </si>
  <si>
    <t>תעופה</t>
  </si>
  <si>
    <t>תעשיה</t>
  </si>
  <si>
    <t>תקשורת ומדיה</t>
  </si>
  <si>
    <t>תשתיות</t>
  </si>
  <si>
    <t>Energy Equipment &amp; Services</t>
  </si>
  <si>
    <t>Oil, Gas &amp; Consumable Fuels</t>
  </si>
  <si>
    <t>Chemicals</t>
  </si>
  <si>
    <t>Construction Materials</t>
  </si>
  <si>
    <t>Containers &amp; Packaging</t>
  </si>
  <si>
    <t>Metals &amp; Mining</t>
  </si>
  <si>
    <t>Paper &amp; Forest Products</t>
  </si>
  <si>
    <t>Aerospace &amp; Defense</t>
  </si>
  <si>
    <t>Building Products</t>
  </si>
  <si>
    <t>Construction &amp; Engineering</t>
  </si>
  <si>
    <t>Electrical Equipment</t>
  </si>
  <si>
    <t>Industrial Conglomerates</t>
  </si>
  <si>
    <t>Machinery</t>
  </si>
  <si>
    <t>Trading Companies &amp; Distributors</t>
  </si>
  <si>
    <t>Commercial Services &amp; Supplies</t>
  </si>
  <si>
    <t>Professional Services</t>
  </si>
  <si>
    <t>Air Freight &amp; Logistics</t>
  </si>
  <si>
    <t>Passenger Airlines</t>
  </si>
  <si>
    <r>
      <rPr>
        <strike/>
        <sz val="11"/>
        <color theme="1"/>
        <rFont val="Arial"/>
        <family val="2"/>
      </rPr>
      <t>Airlines</t>
    </r>
    <r>
      <rPr>
        <sz val="11"/>
        <color theme="1"/>
        <rFont val="Arial"/>
        <family val="2"/>
      </rPr>
      <t xml:space="preserve"> Passenger Airlines</t>
    </r>
  </si>
  <si>
    <t>Marine Transportation</t>
  </si>
  <si>
    <r>
      <rPr>
        <strike/>
        <sz val="11"/>
        <color theme="1"/>
        <rFont val="Arial"/>
        <family val="2"/>
      </rPr>
      <t>Marine</t>
    </r>
    <r>
      <rPr>
        <sz val="11"/>
        <color theme="1"/>
        <rFont val="Arial"/>
        <family val="2"/>
      </rPr>
      <t xml:space="preserve"> Marine Transportation</t>
    </r>
  </si>
  <si>
    <t>Ground Transportation</t>
  </si>
  <si>
    <r>
      <rPr>
        <strike/>
        <sz val="11"/>
        <color theme="1"/>
        <rFont val="Arial"/>
        <family val="2"/>
      </rPr>
      <t>Road &amp; Rail</t>
    </r>
    <r>
      <rPr>
        <sz val="11"/>
        <color theme="1"/>
        <rFont val="Arial"/>
        <family val="2"/>
      </rPr>
      <t xml:space="preserve"> Ground Transportation</t>
    </r>
  </si>
  <si>
    <t>Transportation Infrastructure</t>
  </si>
  <si>
    <t>Automobile Components</t>
  </si>
  <si>
    <r>
      <rPr>
        <strike/>
        <sz val="11"/>
        <color theme="1"/>
        <rFont val="Arial"/>
        <family val="2"/>
      </rPr>
      <t>Auto Components</t>
    </r>
    <r>
      <rPr>
        <sz val="11"/>
        <color theme="1"/>
        <rFont val="Arial"/>
        <family val="2"/>
      </rPr>
      <t xml:space="preserve"> Automobile Components</t>
    </r>
  </si>
  <si>
    <t>Automobiles</t>
  </si>
  <si>
    <t>Household Durables</t>
  </si>
  <si>
    <t>Leisure Products</t>
  </si>
  <si>
    <t>Textiles, Apparel &amp; Luxury Goods</t>
  </si>
  <si>
    <t>Hotels, Restaurants &amp; Leisure</t>
  </si>
  <si>
    <t>Diversified Consumer Services</t>
  </si>
  <si>
    <t>Distributors</t>
  </si>
  <si>
    <t>Broadline Retail</t>
  </si>
  <si>
    <r>
      <rPr>
        <strike/>
        <sz val="11"/>
        <color theme="1"/>
        <rFont val="Arial"/>
        <family val="2"/>
      </rPr>
      <t>Multiline Retail</t>
    </r>
    <r>
      <rPr>
        <sz val="11"/>
        <color theme="1"/>
        <rFont val="Arial"/>
        <family val="2"/>
      </rPr>
      <t xml:space="preserve"> Broadline Retail</t>
    </r>
  </si>
  <si>
    <t>Specialty Retail</t>
  </si>
  <si>
    <t>Consumer Staples Distribution &amp; Retail</t>
  </si>
  <si>
    <r>
      <rPr>
        <strike/>
        <sz val="11"/>
        <color theme="1"/>
        <rFont val="Arial"/>
        <family val="2"/>
      </rPr>
      <t>Food &amp; Staples Retailing</t>
    </r>
    <r>
      <rPr>
        <sz val="11"/>
        <color theme="1"/>
        <rFont val="Arial"/>
        <family val="2"/>
      </rPr>
      <t xml:space="preserve"> Consumer Staples Distribution &amp; Retail</t>
    </r>
  </si>
  <si>
    <t>Beverages</t>
  </si>
  <si>
    <t>Food Products</t>
  </si>
  <si>
    <t>Tobacco</t>
  </si>
  <si>
    <t>Household Products</t>
  </si>
  <si>
    <t>Personal Care Products</t>
  </si>
  <si>
    <r>
      <rPr>
        <strike/>
        <sz val="11"/>
        <color theme="1"/>
        <rFont val="Arial"/>
        <family val="2"/>
      </rPr>
      <t>Personal Products</t>
    </r>
    <r>
      <rPr>
        <sz val="11"/>
        <color theme="1"/>
        <rFont val="Arial"/>
        <family val="2"/>
      </rPr>
      <t xml:space="preserve"> Personal Care Products</t>
    </r>
  </si>
  <si>
    <t>Health Care Equipment &amp; Supplies</t>
  </si>
  <si>
    <t>Health Care Providers &amp; Services</t>
  </si>
  <si>
    <t>Health Care Technology</t>
  </si>
  <si>
    <t>Biotechnology</t>
  </si>
  <si>
    <t>Pharmaceuticals</t>
  </si>
  <si>
    <t>Life Sciences Tools &amp; Services</t>
  </si>
  <si>
    <t>Banks</t>
  </si>
  <si>
    <t>Financial Services</t>
  </si>
  <si>
    <r>
      <rPr>
        <strike/>
        <sz val="11"/>
        <color theme="1"/>
        <rFont val="Arial"/>
        <family val="2"/>
      </rPr>
      <t>Diversified Financial Services</t>
    </r>
    <r>
      <rPr>
        <sz val="11"/>
        <color theme="1"/>
        <rFont val="Arial"/>
        <family val="2"/>
      </rPr>
      <t xml:space="preserve"> Financial Services</t>
    </r>
  </si>
  <si>
    <t>Consumer Finance</t>
  </si>
  <si>
    <t>Capital Markets</t>
  </si>
  <si>
    <t>Mortgage Real Estate Investment Trusts (REITs)</t>
  </si>
  <si>
    <t>Insurance</t>
  </si>
  <si>
    <t>IT Services</t>
  </si>
  <si>
    <t>Software</t>
  </si>
  <si>
    <t>Communications Equipment</t>
  </si>
  <si>
    <t>Technology Hardware, Storage &amp; Peripherals</t>
  </si>
  <si>
    <t>Electronic Equipment, Instruments &amp; Components</t>
  </si>
  <si>
    <t>Semiconductors &amp; Semiconductor Equipment</t>
  </si>
  <si>
    <t>Diversified Telecommunication Services</t>
  </si>
  <si>
    <t>Wireless Telecommunication Services</t>
  </si>
  <si>
    <t>Media</t>
  </si>
  <si>
    <t>Entertainment</t>
  </si>
  <si>
    <t>Interactive Media &amp; Services</t>
  </si>
  <si>
    <t>Electric Utilities</t>
  </si>
  <si>
    <t>Gas Utilities</t>
  </si>
  <si>
    <t>Multi-Utilities</t>
  </si>
  <si>
    <t>Water Utilities</t>
  </si>
  <si>
    <t>Independent Power and Renewable Electricity Producers</t>
  </si>
  <si>
    <t>Diversified REITs</t>
  </si>
  <si>
    <t>Equity Real Estate Investment Trusts</t>
  </si>
  <si>
    <t>Industrial REITs</t>
  </si>
  <si>
    <t>Hotel &amp; Resort REITs</t>
  </si>
  <si>
    <t>Office REITs</t>
  </si>
  <si>
    <t>Health Care REITs</t>
  </si>
  <si>
    <t>Residential REITs</t>
  </si>
  <si>
    <t>Retail REITs</t>
  </si>
  <si>
    <t>Specialized REITs</t>
  </si>
  <si>
    <t>Real Estate Management &amp; Development</t>
  </si>
  <si>
    <t>Other</t>
  </si>
  <si>
    <t>סיווג הקרן</t>
  </si>
  <si>
    <t>(ומעלה ו/ או מדינה AA) אג"ח בארץ - כללי-אג"ח כללי בארץ - ללא מניות-אג"ח כללי בארץ בדירוג גבוה בלבד</t>
  </si>
  <si>
    <t>(ממונפות ואסטרטגיות - אסטרטגיות (לא ממונפות</t>
  </si>
  <si>
    <t>125 מניות בארץ - מניות כללי-ת"א</t>
  </si>
  <si>
    <t>20 אג"ח בארץ - חברות והמרה-תל בונד צמוד מדד-תל בונד</t>
  </si>
  <si>
    <t>35 מניות בארץ - מניות כללי-ת"א</t>
  </si>
  <si>
    <t>40 אג"ח בארץ - חברות והמרה-תל בונד צמוד מדד-תל בונד</t>
  </si>
  <si>
    <t>60 אג"ח בארץ - חברות והמרה-תל בונד צמוד מדד-תל בונד</t>
  </si>
  <si>
    <t>90 מניות בארץ - מניות כללי-ת"א</t>
  </si>
  <si>
    <t>All Cap מניות בארץ - מניות לפי שווי שוק-מניות</t>
  </si>
  <si>
    <t>Banks מניות בחו"ל - מניות לפי ענפים בחו"ל - מנוטרלת מט"ח-אירופה- מניות</t>
  </si>
  <si>
    <t>CNX NIFTY - מניות בחו"ל - מניות גיאוגרפי - חשופת מט"ח-אסיה הודו</t>
  </si>
  <si>
    <t>DAX 30 - מניות בחו"ל - מניות גיאוגרפי - חשופת מט"ח-אירופה גרמניה</t>
  </si>
  <si>
    <t>DAX 30 - מניות בחו"ל - מניות גיאוגרפי - מנוטרלת מט"ח-אירופה גרמניה</t>
  </si>
  <si>
    <t>DJ INDUSTRIAL AVERAGE - מניות בחו"ל - מניות גיאוגרפי - חשופת מט"ח-ארה"ב</t>
  </si>
  <si>
    <t>EURO STOXX 50 - מניות בחו"ל - מניות גיאוגרפי - חשופת מט"ח-אירופה כללי</t>
  </si>
  <si>
    <t>EURO STOXX 50 - מניות בחו"ל - מניות גיאוגרפי - מנוטרלת מט"ח-אירופה כללי</t>
  </si>
  <si>
    <t>Financial מניות בחו"ל - מניות לפי ענפים בחו"ל - חשופת מט"ח-ארה"ב- מניות</t>
  </si>
  <si>
    <t>FTSE 250 INDEX - מניות בחו"ל - מניות גיאוגרפי - מנוטרלת מט"ח-אירופה אנגליה</t>
  </si>
  <si>
    <t>FTSE China 50 - מניות בחו"ל - מניות גיאוגרפי - חשופת מט"ח-אסיה סין</t>
  </si>
  <si>
    <t>Health Care מניות בחו"ל - מניות לפי ענפים בחו"ל - חשופת מט"ח-ארה"ב- מניות</t>
  </si>
  <si>
    <t>Health Care מניות בחו"ל - מניות לפי ענפים בחו"ל - מנוטרלת מט"ח-ארה"ב- מניות</t>
  </si>
  <si>
    <t>IBOVESPA - מניות בחו"ל - מניות גיאוגרפי - חשופת מט"ח-שווקים מתעוררים ברזיל</t>
  </si>
  <si>
    <t>IBOXX USD LIQUID INVESTMENT GRADE TOP 30 INDEX - אג"ח בחו"ל - אג"ח חשופת דולר</t>
  </si>
  <si>
    <t>Large &amp; Mid Cap מניות בארץ - מניות לפי שווי שוק-מניות</t>
  </si>
  <si>
    <t>MDAX - מניות בחו"ל - מניות גיאוגרפי - מנוטרלת מט"ח-אירופה גרמניה</t>
  </si>
  <si>
    <t>MSCI AC WORLD INDEX - מניות בחו"ל - מניות כללי בחו"ל - חשופת מט"ח-מניות כללי בחו"ל</t>
  </si>
  <si>
    <t>MSCI EMERGING MARKETS - מניות בחו"ל - מניות גיאוגרפי - חשופת מט"ח-שווקים מתעוררים כללי</t>
  </si>
  <si>
    <t>NASDAQ 100 - מניות בחו"ל - מניות גיאוגרפי - חשופת מט"ח-ארה"ב</t>
  </si>
  <si>
    <t>NASDAQ 100 - מניות בחו"ל - מניות גיאוגרפי - מנוטרלת מט"ח-ארה"ב</t>
  </si>
  <si>
    <t>NIKKEI 225 - מניות בחו"ל - מניות גיאוגרפי - חשופת מט"ח-אסיה יפן</t>
  </si>
  <si>
    <t>NIKKEI 225 - מניות בחו"ל - מניות גיאוגרפי - מנוטרלת מט"ח-אסיה יפן</t>
  </si>
  <si>
    <t>Regional Banks מניות בחו"ל - מניות לפי ענפים בחו"ל - חשופת מט"ח-ארה"ב- מניות</t>
  </si>
  <si>
    <t>RUSSELL 2000 - מניות בחו"ל - מניות גיאוגרפי - חשופת מט"ח-ארה"ב</t>
  </si>
  <si>
    <t>RUSSELL 2000 - מניות בחו"ל - מניות גיאוגרפי - מנוטרלת מט"ח-ארה"ב</t>
  </si>
  <si>
    <t>S&amp;P 500 - מניות בחו"ל - מניות גיאוגרפי - חשופת מט"ח-ארה"ב</t>
  </si>
  <si>
    <t>S&amp;P 500 - מניות בחו"ל - מניות גיאוגרפי - מנוטרלת מט"ח-ארה"ב</t>
  </si>
  <si>
    <t>S&amp;P/ASX 200 - מניות בחו"ל - מניות גיאוגרפי - חשופת מט"ח-חו"ל גיאוגרפי אחר - אוסטרליה</t>
  </si>
  <si>
    <t>Small Cap מניות בארץ - מניות לפי שווי שוק-מניות</t>
  </si>
  <si>
    <t>SME60 מניות בארץ - מניות כללי-ת"א</t>
  </si>
  <si>
    <t>STOXX EUROPE 600 - מניות בחו"ל - מניות גיאוגרפי - מנוטרלת מט"ח-אירופה כללי</t>
  </si>
  <si>
    <t>STOXX EUROPE 600 -מניות בחו"ל - מניות גיאוגרפי - חשופת מט"ח-אירופה כללי</t>
  </si>
  <si>
    <t>Technology מניות בחו"ל - מניות לפי ענפים בחו"ל - חשופת מט"ח-ארה"ב- מניות</t>
  </si>
  <si>
    <t>Technology מניות בחו"ל - מניות לפי ענפים בחו"ל - מנוטרלת מט"ח-ארה"ב- מניות</t>
  </si>
  <si>
    <t>אג"ח בארץ - חברות והמרה-חברות והמרה אחר</t>
  </si>
  <si>
    <t>אג"ח בארץ - חברות והמרה-חברות והמרה בסיכון גבוה</t>
  </si>
  <si>
    <t>אג"ח בארץ - חברות והמרה-חברות והמרה ללא מניות-חברות והמרה ללא מניות וללא סימן קריאה</t>
  </si>
  <si>
    <t>אג"ח בארץ - חברות והמרה-חברות והמרה ללא מניות-חברות והמרה ללא מניות וללא סימן קריאה, עם מגבלת מח"מ עד 5 שנים</t>
  </si>
  <si>
    <t>אג"ח בארץ - חברות והמרה-חברות והמרה ללא מניות-חברות והמרה ללא מניות עם סימן קריאה</t>
  </si>
  <si>
    <t>אג"ח בארץ - חברות והמרה-חברות והמרה עם מניות-חברות והמרה עם מניות ועם סימן קריאה</t>
  </si>
  <si>
    <t>אג"ח בארץ - חברות והמרה-חברות והמרה עם מניות-חברות והמרה עם מניות ללא סימן קריאה</t>
  </si>
  <si>
    <t>אג"ח בארץ - חברות והמרה-חברות והמרה שקלי ללא מניות</t>
  </si>
  <si>
    <t>אג"ח בארץ - חברות והמרה-חברות והמרה שקלי עם מניות</t>
  </si>
  <si>
    <t>אג"ח בארץ - חברות והמרה-תל בונד אחר-אג"ח תל בונד משולבת</t>
  </si>
  <si>
    <t>אג"ח בארץ - חברות והמרה-תל בונד אחר-מדד תל בונד אחר</t>
  </si>
  <si>
    <t>אג"ח בארץ - חברות והמרה-תל בונד אחר-תל בונד מאגר</t>
  </si>
  <si>
    <t>אג"ח בארץ - חברות והמרה-תל בונד צמוד מדד-תל בונד- תשואות</t>
  </si>
  <si>
    <t>אג"ח בארץ - חברות והמרה-תל בונד צמוד מדד-תל בונד צמוד מדד- אחר</t>
  </si>
  <si>
    <t>אג"ח בארץ - חברות והמרה-תל בונד צמוד מדד-תל בונד צמודות</t>
  </si>
  <si>
    <t>אג"ח בארץ - חברות והמרה-תל בונד צמוד מדד-תל בונד צמודות- בנקים</t>
  </si>
  <si>
    <t>אג"ח בארץ - חברות והמרה-תל בונד צמוד מדד-תל בונד צמודות- יתר</t>
  </si>
  <si>
    <t>אג"ח בארץ - חברות והמרה-תל בונד שקלי-תל בונד- לא צמודות</t>
  </si>
  <si>
    <t>אג"ח בארץ - חברות והמרה-תל בונד שקלי-תל בונד- ריבית משתנה</t>
  </si>
  <si>
    <t>אג"ח בארץ - חברות והמרה-תל בונד שקלי-תל בונד- שקלי</t>
  </si>
  <si>
    <t>אג"ח בארץ - חברות והמרה-תל בונד שקלי-תל בונד- תשואות שקל</t>
  </si>
  <si>
    <t>אג"ח בארץ - חברות והמרה-תל בונד שקלי-תל בונד שקלי- אחר</t>
  </si>
  <si>
    <t>אג"ח בארץ - כללי-אג"ח כללי בארץ- עד 15% מניות</t>
  </si>
  <si>
    <t>אג"ח בארץ - כללי-אג"ח כללי בארץ- עד 25% מניות</t>
  </si>
  <si>
    <t>אג"ח בארץ - כללי-אג"ח כללי בארץ- עד 5% מניות</t>
  </si>
  <si>
    <t>אג"ח בארץ - כללי-אג"ח כללי בארץ - חשיפה מרבית מעל 30% מניות</t>
  </si>
  <si>
    <t>אג"ח בארץ - כללי-אג"ח כללי בארץ - ללא מניות-אג"ח כללי בארץ ללא מניות וללא סימן קריאה</t>
  </si>
  <si>
    <t>אג"ח בארץ - כללי-אג"ח כללי בארץ - ללא מניות-אג"ח כללי בארץ ללא מניות וללא סימן קריאה, עם מגבלת מח"מ עד 5 שנים</t>
  </si>
  <si>
    <t>אג"ח בארץ - כללי-אג"ח כללי בארץ - ללא מניות-אג"ח כללי בארץ ללא מניות עם סימן קריאה</t>
  </si>
  <si>
    <t>אג"ח בארץ - כללי-אג"ח כללי בארץ - עד 10% מניות-אג"ח כללי בארץ- עד 10% מניות ועם סימן קריאה</t>
  </si>
  <si>
    <t>אג"ח בארץ - כללי-אג"ח כללי בארץ - עד 10% מניות-אג"ח כללי בארץ- עד 10% מניות ללא סימן קריאה</t>
  </si>
  <si>
    <t>אג"ח בארץ - כללי-אג"ח כללי בארץ - עד 20% מניות</t>
  </si>
  <si>
    <t>אג"ח בארץ - כללי-אג"ח כללי בארץ - עד 30% מניות</t>
  </si>
  <si>
    <t>אג"ח בארץ - מדינה-אג"ח מדינה כללי- עד 20% מניות</t>
  </si>
  <si>
    <t>אג"ח בארץ - מדינה-אג"ח מדינה כללי - ללא מניות</t>
  </si>
  <si>
    <t>אג"ח בארץ - מדינה-אג"ח מדינה כללי - עד 10% מניות</t>
  </si>
  <si>
    <t>אג"ח בארץ - מדינה-אג"ח מדינה משולבת - חשיפה מרבית מעל 10% מניות</t>
  </si>
  <si>
    <t>אג"ח בארץ - מדינה-אג"ח מדינה משולבת - ללא מניות</t>
  </si>
  <si>
    <t>אג"ח בארץ - מדינה-אג"ח מדינה משולבת - עד 10% מניות</t>
  </si>
  <si>
    <t>אג"ח בארץ - מדינה-אג"ח מדינה צמוד מדד- ללא מניות</t>
  </si>
  <si>
    <t>אג"ח בארץ - מדינה-אג"ח מדינה צמוד מדד- עד 10% מניות</t>
  </si>
  <si>
    <t>אג"ח בארץ - מדינה-אג"ח מדינה צמוד מדד-צמודות מדד- מדד אחר</t>
  </si>
  <si>
    <t>אג"ח בארץ - מדינה-אג"ח מדינה צמוד מדד-צמודות מדד - ממשלתיות</t>
  </si>
  <si>
    <t>אג"ח בארץ - מדינה-אג"ח מדינה צמוד מדד-צמודות מדד - ממשלתיות 0-2 שנים</t>
  </si>
  <si>
    <t>אג"ח בארץ - מדינה-אג"ח מדינה צמוד מדד-צמודות מדד - ממשלתיות 2-5 שנים</t>
  </si>
  <si>
    <t>אג"ח בארץ - מדינה-אג"ח מדינה צמוד מדד-צמודות מדד - ממשלתיות 5-10 שנים</t>
  </si>
  <si>
    <t>אג"ח בארץ - מדינה-אג"ח מדינה שקליות- ללא מניות</t>
  </si>
  <si>
    <t>אג"ח בארץ - מדינה-אג"ח מדינה שקליות- עד 10% מניות</t>
  </si>
  <si>
    <t>אג"ח בארץ - מדינה-אג"ח מדינה שקליות -מק"מ</t>
  </si>
  <si>
    <t>אג"ח בארץ - מדינה-אג"ח מדינה שקליות -שקליות- מדד אחר</t>
  </si>
  <si>
    <t>אג"ח בארץ - מדינה-אג"ח מדינה שקליות -שקליות ממשלתיות</t>
  </si>
  <si>
    <t>אג"ח בארץ - מדינה-אג"ח מדינה שקליות -שקליות ריבית משתנה ממשלתיות</t>
  </si>
  <si>
    <t>אג"ח בארץ - מדינה-אג"ח מדינה שקליות -שקליות ריבית קבועה ממשלתיות</t>
  </si>
  <si>
    <t>אג"ח בארץ - מדינה-אג"ח מדינה שקליות -שקליות ריבית קבועה ממשלתיות 0-2 שנים</t>
  </si>
  <si>
    <t>אג"ח בארץ - מדינה-אג"ח מדינה שקליות -שקליות ריבית קבועה ממשלתיות 2-5 שנים</t>
  </si>
  <si>
    <t>אג"ח בארץ - מדינה-אג"ח מדינה שקליות -שקליות ריבית קבועה ממשלתיות 5+ שנים</t>
  </si>
  <si>
    <t>אג"ח בארץ - מדינה-אג"ח ממשלתיות</t>
  </si>
  <si>
    <t>אג"ח בארץ משולבת - כללי-אג"ח כללי בארץ משולבת - חשיפה מרבית מעל 30% מניות</t>
  </si>
  <si>
    <t>אג"ח בארץ משולבת - כללי-אג"ח כללי בארץ משולבת - ללא מניות</t>
  </si>
  <si>
    <t>אג"ח בארץ משולבת - כללי-אג"ח כללי בארץ משולבת - עד 10% מניות</t>
  </si>
  <si>
    <t>אג"ח בארץ משולבת - כללי-אג"ח כללי בארץ משולבת - עד 20% מניות</t>
  </si>
  <si>
    <t>אג"ח בארץ משולבת - כללי-אג"ח כללי בארץ משולבת - עד 30% מניות</t>
  </si>
  <si>
    <t>אג"ח בחו"ל - אג"ח חשופת דולר - מדד אחר</t>
  </si>
  <si>
    <t>אג"ח בחו"ל - אג"ח מנוטרלת מט"ח</t>
  </si>
  <si>
    <t>אג"ח בחו"ל - אג"ח חשופת דולר</t>
  </si>
  <si>
    <t>אג"ח בחו"ל - אג"ח חשופת מט"ח</t>
  </si>
  <si>
    <t>אג"ח בחו"ל - אג"ח מוגנת מט"ח</t>
  </si>
  <si>
    <t>אג"ח בחו"ל - אג"ח נקובת מט"ח</t>
  </si>
  <si>
    <t>אגד קרנות - אגד חוץ</t>
  </si>
  <si>
    <t>אגד קרנות - אגד ישראלי</t>
  </si>
  <si>
    <t>גמישות</t>
  </si>
  <si>
    <t>ממונפות-ממונפות בחסר בסיכון גבוה-אג"ח בארץ</t>
  </si>
  <si>
    <t>ממונפות-ממונפות בחסר בסיכון גבוה-מניות בארץ</t>
  </si>
  <si>
    <t>ממונפות-ממונפות בחסר בסיכון גבוה-מניות בחו"ל</t>
  </si>
  <si>
    <t>ממונפות-ממונפות בסיכון גבוה-מניות בארץ</t>
  </si>
  <si>
    <t>ממונפות-ממונפות בסיכון גבוה-מניות בחו"ל</t>
  </si>
  <si>
    <t>ממונפות ואסטרטגיות-ממונפות אחר</t>
  </si>
  <si>
    <t>ממונפות ואסטרטגיות-ממונפות בסיכון גבוה</t>
  </si>
  <si>
    <t>מניות בארץ - מניות בארץ משולבת</t>
  </si>
  <si>
    <t>מניות בארץ - מניות כללי-מדד אחר</t>
  </si>
  <si>
    <t>מניות בארץ - מניות כללי-ת"א צמיחה</t>
  </si>
  <si>
    <t>מניות בארץ - מניות כללי-תל- דיב</t>
  </si>
  <si>
    <t>מניות בארץ - מניות לפי ענפים</t>
  </si>
  <si>
    <t>מניות בארץ - מניות לפי ענפים-מדד אחר</t>
  </si>
  <si>
    <t>מניות בארץ - מניות לפי ענפים-ת"א בנקים</t>
  </si>
  <si>
    <t>מניות בארץ - מניות לפי ענפים-ת"א גלובל- בלוטק</t>
  </si>
  <si>
    <t>מניות בארץ - מניות לפי ענפים-ת"א נדל"ן</t>
  </si>
  <si>
    <t>מניות בארץ - מניות לפי ענפים-ת"א נפט וגז</t>
  </si>
  <si>
    <t>מניות בארץ - מניות לפי ענפים-ת"א פיננסים</t>
  </si>
  <si>
    <t>מניות בחו"ל - מניות בחו"ל משולבת</t>
  </si>
  <si>
    <t>מניות בחו"ל - מניות גיאוגרפי-ארה"ב חשופת מט"ח</t>
  </si>
  <si>
    <t>מניות בחו"ל - מניות גיאוגרפי-מניות גיאוגרפי אחר חשופת מט"ח</t>
  </si>
  <si>
    <t>מניות בחו"ל - מניות גיאוגרפי-מניות גיאוגרפי מוגנת מט"ח</t>
  </si>
  <si>
    <t>מניות בחו"ל - מניות גיאוגרפי - חשופת מט"ח-אירופה - מדד אחר</t>
  </si>
  <si>
    <t>מניות בחו"ל - מניות גיאוגרפי - חשופת מט"ח-אסיה - מדד אחר</t>
  </si>
  <si>
    <t>מניות בחו"ל - מניות גיאוגרפי - חשופת מט"ח-ארה"ב - מדד אחר</t>
  </si>
  <si>
    <t>מניות בחו"ל - מניות גיאוגרפי - חשופת מט"ח-חו"ל גיאוגרפי אחר - מדד אחר</t>
  </si>
  <si>
    <t>מניות בחו"ל - מניות גיאוגרפי - מנוטרלת מט"ח-אירופה - מדד אחר</t>
  </si>
  <si>
    <t>מניות בחו"ל - מניות גיאוגרפי - מנוטרלת מט"ח-אסיה - מדד אחר</t>
  </si>
  <si>
    <t>מניות בחו"ל - מניות גיאוגרפי - מנוטרלת מט"ח-ארה"ב - מדד אחר</t>
  </si>
  <si>
    <t>מניות בחו"ל - מניות גיאוגרפי - מנוטרלת מט"ח-חו"ל גיאוגרפי אחר</t>
  </si>
  <si>
    <t>מניות בחו"ל - מניות גיאוגרפי - מנוטרלת מט"ח-שווקים מתעוררים</t>
  </si>
  <si>
    <t>מניות בחו"ל - מניות כללי בחו"ל - מניות חו"ל נקובת מט"ח</t>
  </si>
  <si>
    <t>מניות בחו"ל - מניות כללי בחו"ל - מניות כללי בחו"ל חשופת מט"ח</t>
  </si>
  <si>
    <t>מניות בחו"ל - מניות כללי בחו"ל - מניות כללי בחו"ל מוגנת מט"ח</t>
  </si>
  <si>
    <t>מניות בחו"ל - מניות כללי בחו"ל - חשופת מט"ח-מניות כללי בחו"ל - מדד אחר</t>
  </si>
  <si>
    <t>מניות בחו"ל - מניות כללי בחו"ל - מנוטרלת מט"ח-מניות כללי בחו"ל</t>
  </si>
  <si>
    <t>מניות בחו"ל - מניות לפי ענפים בחו"ל</t>
  </si>
  <si>
    <t>מניות בחו"ל - מניות לפי ענפים בחו"ל - חשופת מט"ח-ענפים אחרים</t>
  </si>
  <si>
    <t>מניות בחו"ל - מניות לפי ענפים בחו"ל - מנוטרלת מט"ח-ענפים אחרים</t>
  </si>
  <si>
    <t>סחורות-מדד סחורות</t>
  </si>
  <si>
    <t>סחורות-סחורה</t>
  </si>
  <si>
    <t>קרן גידור בנאמנות</t>
  </si>
  <si>
    <t>קרן כספית-כספית מט"חית עם קונצרני-חשופת דולר</t>
  </si>
  <si>
    <t>קרן כספית-כספית מט"חית עם קונצרני-נקובת מט"ח</t>
  </si>
  <si>
    <t>קרן כספית-כספית שקלית-כספית שקלית ללא קונצרני</t>
  </si>
  <si>
    <t>קרן כספית-כספית שקלית-כספית שקלית עם קונצרני</t>
  </si>
  <si>
    <t>קרן סגורה-קרן טכנולוגיה עילית</t>
  </si>
  <si>
    <t>Asset Allocation Funds</t>
  </si>
  <si>
    <t>Bond/Fixed Income Funds</t>
  </si>
  <si>
    <t>Commodity Funds</t>
  </si>
  <si>
    <t>Currency Funds</t>
  </si>
  <si>
    <t>Equity Funds</t>
  </si>
  <si>
    <t>Index Funds</t>
  </si>
  <si>
    <t>Real Estate Funds</t>
  </si>
  <si>
    <t>Sustainable Funds</t>
  </si>
  <si>
    <t>נכס בסיס/סוג הנכס</t>
  </si>
  <si>
    <t>אשראי בגין נדל"ן יזמי</t>
  </si>
  <si>
    <t>אשראי קמעונאי</t>
  </si>
  <si>
    <t>בעלי חיים</t>
  </si>
  <si>
    <t>גרעינים וחיטה</t>
  </si>
  <si>
    <t>מדד המחירים לצרכן</t>
  </si>
  <si>
    <t>מדדי סחורות</t>
  </si>
  <si>
    <t>מט"ח</t>
  </si>
  <si>
    <t>מניות לרבות מדדי מניות</t>
  </si>
  <si>
    <t>משכנתאות או תיקי משכנתאות</t>
  </si>
  <si>
    <t>מתכות</t>
  </si>
  <si>
    <t>סחורות חקלאיות רכות</t>
  </si>
  <si>
    <t>ריבית ואג"ח</t>
  </si>
  <si>
    <t>קונסורציום/סינדיקציה</t>
  </si>
  <si>
    <t>סוג הצמדה</t>
  </si>
  <si>
    <t>לא צמוד</t>
  </si>
  <si>
    <t>צמוד למדד המחירים לצרכן</t>
  </si>
  <si>
    <t>צמוד למט"ח</t>
  </si>
  <si>
    <t>צמוד למדד אחר</t>
  </si>
  <si>
    <t>סוג בטוחה</t>
  </si>
  <si>
    <t>אג"ח סחיר</t>
  </si>
  <si>
    <t>אג"ח לא סחיר</t>
  </si>
  <si>
    <t>בטוחה פיזית אחרת</t>
  </si>
  <si>
    <t>בטוחה פיננסית אחרת</t>
  </si>
  <si>
    <t>חסכון עמיתים/מבוטחים</t>
  </si>
  <si>
    <t>כלי רכב</t>
  </si>
  <si>
    <t>ללא בטחונות</t>
  </si>
  <si>
    <t>מניות סחירות</t>
  </si>
  <si>
    <t>מניות לא סחירות</t>
  </si>
  <si>
    <t>נגזרי אשראי</t>
  </si>
  <si>
    <t>נדל"ן אחר - נדל"ן מניב</t>
  </si>
  <si>
    <r>
      <t xml:space="preserve">נדל"ן </t>
    </r>
    <r>
      <rPr>
        <b/>
        <sz val="11"/>
        <color theme="1"/>
        <rFont val="Arial"/>
        <family val="2"/>
        <scheme val="minor"/>
      </rPr>
      <t>שלא</t>
    </r>
    <r>
      <rPr>
        <sz val="11"/>
        <color theme="1"/>
        <rFont val="Arial"/>
        <family val="2"/>
        <charset val="177"/>
        <scheme val="minor"/>
      </rPr>
      <t xml:space="preserve"> בגינו ניתנה ההלוואה</t>
    </r>
  </si>
  <si>
    <t>נדל"ן אחר - נדל"ן לא מניב</t>
  </si>
  <si>
    <t>נדל"ן אחר - קרקע</t>
  </si>
  <si>
    <t>נדל"ן עבורו התקבלה ההלוואה</t>
  </si>
  <si>
    <t>ערבות בנקאית</t>
  </si>
  <si>
    <t>קרנות השקעה</t>
  </si>
  <si>
    <t>שעבוד שוטף</t>
  </si>
  <si>
    <t>שעבוד שלילי</t>
  </si>
  <si>
    <t>תזרים עמלות</t>
  </si>
  <si>
    <t>תזרים מזומנים</t>
  </si>
  <si>
    <t>תזרים מפרויקטים</t>
  </si>
  <si>
    <t>זכות חזרה</t>
  </si>
  <si>
    <t>מבנה לוח סילוקין</t>
  </si>
  <si>
    <t>בולט (Bullet)</t>
  </si>
  <si>
    <t>בלון</t>
  </si>
  <si>
    <t>קרן שווה</t>
  </si>
  <si>
    <t>שפיצר</t>
  </si>
  <si>
    <t xml:space="preserve">אחר </t>
  </si>
  <si>
    <t>זכות פירעון מוקדם</t>
  </si>
  <si>
    <t>מאפיין הלווואת מתואמות זכויות מקרקעין</t>
  </si>
  <si>
    <t>נדל"ן מניב - משרדים</t>
  </si>
  <si>
    <t>נדל"ן מניב
 - מסחר</t>
  </si>
  <si>
    <t>נדל"ן מניב
 - מגורים (כולל דיור מוגן)</t>
  </si>
  <si>
    <t>נדל"ן מניב
 - מלונאות</t>
  </si>
  <si>
    <t>נדל"ן מניב
 - לוגיסטיקה</t>
  </si>
  <si>
    <t>נדל"ן מניב
 - תעשייה</t>
  </si>
  <si>
    <t>נדל"ן מניב
 - אחר/לא מסווג</t>
  </si>
  <si>
    <t>ייזום נדל"ן לבניה של נכס ספציפי - משרדים</t>
  </si>
  <si>
    <t>ייזום נדל"ן לבניה של נכס ספציפי - מסחר</t>
  </si>
  <si>
    <t>ייזום נדל"ן לבניה של נכס ספציפי - מגורים (כולל דיור מוגן)</t>
  </si>
  <si>
    <t>ייזום נדל"ן לבניה של נכס ספציפי -   מזה: בליווי פיננסי סגור</t>
  </si>
  <si>
    <t>ייזום נדל"ן לבניה של נכס ספציפי - מלונאות</t>
  </si>
  <si>
    <t>ייזום נדל"ן לבניה של נכס ספציפי - לוגיסטיקה</t>
  </si>
  <si>
    <t>ייזום נדל"ן לבניה של נכס ספציפי - תעשייה</t>
  </si>
  <si>
    <t>ייזום נדל"ן לבניה של נכס ספציפי - אחר/לא מסווג</t>
  </si>
  <si>
    <t>קבוצות רכישה - משרדים</t>
  </si>
  <si>
    <t>קבוצות רכישה - מסחר</t>
  </si>
  <si>
    <t>קבוצות רכישה - מגורים (כולל דיור מוגן)</t>
  </si>
  <si>
    <t>קבוצות רכישה - אחר/לא מסווג</t>
  </si>
  <si>
    <t>קרקעות - משרדים</t>
  </si>
  <si>
    <t>קרקעות - מסחר</t>
  </si>
  <si>
    <t>קרקעות - מגורים (כולל דיור מוגן)</t>
  </si>
  <si>
    <t>קרקעות - מלונאות</t>
  </si>
  <si>
    <t>קרקעות - לוגיסטיקה</t>
  </si>
  <si>
    <t>קרקעות - תעשייה</t>
  </si>
  <si>
    <t>קרקעות - אחר/לא מסווג</t>
  </si>
  <si>
    <t>קרקעות - שאינן זמינות לבניה</t>
  </si>
  <si>
    <t>תשתיות - שלב הקמה</t>
  </si>
  <si>
    <t>תשתיות - שלב תפעול</t>
  </si>
  <si>
    <t>פעילות שוטפת של התאגיד - משרדים</t>
  </si>
  <si>
    <t>פעילות שוטפת של התאגיד - מסחר</t>
  </si>
  <si>
    <t>פעילות שוטפת של התאגיד - מגורים (כולל דיור מוגן)</t>
  </si>
  <si>
    <t>פעילות שוטפת של התאגיד - מלונאות</t>
  </si>
  <si>
    <t>פעילות שוטפת של התאגיד - אחר/לא מסווג</t>
  </si>
  <si>
    <t>אשראי לקבלנים - הון חוזר</t>
  </si>
  <si>
    <t>אשראי לקבלנים - ערבויות מכרז, ביצוע וכד'</t>
  </si>
  <si>
    <t>אשראי לקבלנים - למטרות ארוכות טווח</t>
  </si>
  <si>
    <t xml:space="preserve">אשראי אחר בענף הנדל"ן
 (לרבות אשראי לכל מטרה) - אשראי לפעילות הונית </t>
  </si>
  <si>
    <t>אשראי אחר בענף הנדל"ן
 (לרבות אשראי לכל מטרה) - אחר/לא מסווג</t>
  </si>
  <si>
    <t>משתנה</t>
  </si>
  <si>
    <t xml:space="preserve">קבועה </t>
  </si>
  <si>
    <t>האם סווג כחוב בעייתי</t>
  </si>
  <si>
    <t>אסטרטגיית קרן ההשקעה</t>
  </si>
  <si>
    <t>FOF/Managed Account</t>
  </si>
  <si>
    <t>Co-Investment/Direct</t>
  </si>
  <si>
    <t>Core</t>
  </si>
  <si>
    <t>Core-Plus</t>
  </si>
  <si>
    <t>Debt Infrastructure</t>
  </si>
  <si>
    <t>Opportunistic Infrastructure</t>
  </si>
  <si>
    <t>Value Added Infrastructure</t>
  </si>
  <si>
    <t>Value Added Real Estate</t>
  </si>
  <si>
    <t>Direct Real Estate</t>
  </si>
  <si>
    <t>Opportunistic Real Estate</t>
  </si>
  <si>
    <t>Distressed Real Estate</t>
  </si>
  <si>
    <t>Direct Lending Debt</t>
  </si>
  <si>
    <t>Mezzanine Debt</t>
  </si>
  <si>
    <t>Special Situations Debt</t>
  </si>
  <si>
    <t>Distressed Debt</t>
  </si>
  <si>
    <t>Venture Debt</t>
  </si>
  <si>
    <t>Balanced</t>
  </si>
  <si>
    <t>Buyout</t>
  </si>
  <si>
    <t>Leveraged Buyout</t>
  </si>
  <si>
    <t>Growth Venture Capital</t>
  </si>
  <si>
    <t>Seed/Early Stage Venture Capital</t>
  </si>
  <si>
    <t>Secondaries</t>
  </si>
  <si>
    <t>Turnaround</t>
  </si>
  <si>
    <t>סעיף מאזני</t>
  </si>
  <si>
    <t>זכויות אוויר (Air Rights)</t>
  </si>
  <si>
    <t>חממת שרתים</t>
  </si>
  <si>
    <t>חניון</t>
  </si>
  <si>
    <t>לוגיסטיקה ותעשייה</t>
  </si>
  <si>
    <t>מגדלי תקשורת</t>
  </si>
  <si>
    <t>מגורים (כולל דיור מוגן)</t>
  </si>
  <si>
    <t>מלונאות</t>
  </si>
  <si>
    <t>משרדים</t>
  </si>
  <si>
    <t>קניון</t>
  </si>
  <si>
    <t>קרקע/זכויות מקרקעין</t>
  </si>
  <si>
    <t>בתכנון/בהיתרים</t>
  </si>
  <si>
    <t>בתכנון / בהיתרים</t>
  </si>
  <si>
    <t>שלבים התחלתיים</t>
  </si>
  <si>
    <t>בבנייה שלבים התחלתיים (עד 30% ביצוע) – לפי אומדן עלות השקעה כוללת צפויה</t>
  </si>
  <si>
    <t>שלבים מתקדמים</t>
  </si>
  <si>
    <t>בבנייה שלבים מתקדמים (עד 70% ביצוע) - לפי אומדן עלות השקעה כוללת צפויה</t>
  </si>
  <si>
    <t>בשלבי גמר</t>
  </si>
  <si>
    <t>בבנייה בשלבי גמר (מעל 70% ביצוע) - לפי אומדן עלות השקעה כוללת צפויה</t>
  </si>
  <si>
    <t>בשימוש</t>
  </si>
  <si>
    <t xml:space="preserve">בשימוש </t>
  </si>
  <si>
    <t>בשיפוץ</t>
  </si>
  <si>
    <t>בשיפוץ – שיפוץ מהותי שאומדן עלותו מהווה מעל ל-50% משווי הנכס.</t>
  </si>
  <si>
    <t>בהסבה/שינויי ייעוד</t>
  </si>
  <si>
    <t>בהסבה/שינוי ייעוד – אם מעל ל-50% משווי הנכס מוסב לשימוש אחר.</t>
  </si>
  <si>
    <t>בהרחבה</t>
  </si>
  <si>
    <t xml:space="preserve">השיטה שבאמצעותה נקבע שווי הנכס </t>
  </si>
  <si>
    <t>שיטת החילוץ</t>
  </si>
  <si>
    <t>Residual</t>
  </si>
  <si>
    <t xml:space="preserve">שיטה השוואתית </t>
  </si>
  <si>
    <t>Comparison</t>
  </si>
  <si>
    <t xml:space="preserve">היוון תזרים </t>
  </si>
  <si>
    <t>Discounted Cash Flows</t>
  </si>
  <si>
    <t>שיטת ההכנסה</t>
  </si>
  <si>
    <t>Direct Capitalization</t>
  </si>
  <si>
    <t>משולב</t>
  </si>
  <si>
    <t>גורם תלוי/פנימי</t>
  </si>
  <si>
    <t>דיווח מנהל הקרן</t>
  </si>
  <si>
    <t>חברת ציטוט</t>
  </si>
  <si>
    <t>מומחה בלתי תלוי</t>
  </si>
  <si>
    <t>קיימת תלות</t>
  </si>
  <si>
    <t>אי-תלות</t>
  </si>
  <si>
    <t>עלות מופחתת</t>
  </si>
  <si>
    <t>תדירות Reset</t>
  </si>
  <si>
    <t>יומי</t>
  </si>
  <si>
    <t>שבועי</t>
  </si>
  <si>
    <t>חודשי</t>
  </si>
  <si>
    <t>רבעוני</t>
  </si>
  <si>
    <t>חצי-שנתי</t>
  </si>
  <si>
    <t>שנתי</t>
  </si>
  <si>
    <t>ללא</t>
  </si>
  <si>
    <t>סוג הסליקה</t>
  </si>
  <si>
    <t>Delivery</t>
  </si>
  <si>
    <t>No-delivery</t>
  </si>
  <si>
    <t>ריבית עוגן</t>
  </si>
  <si>
    <t>ריבית בנק ישראל</t>
  </si>
  <si>
    <t>ריבית פריים</t>
  </si>
  <si>
    <t>Libor</t>
  </si>
  <si>
    <t>€STR</t>
  </si>
  <si>
    <t>Eonia</t>
  </si>
  <si>
    <t>Euribor</t>
  </si>
  <si>
    <t>SOFR</t>
  </si>
  <si>
    <t>Sonia</t>
  </si>
  <si>
    <t>Telbor</t>
  </si>
  <si>
    <t>Tona</t>
  </si>
  <si>
    <t>תקופת ריבית עוגן</t>
  </si>
  <si>
    <t>נספח התחשבנות בטחונות (CSA)</t>
  </si>
  <si>
    <t>קיים חוזה</t>
  </si>
  <si>
    <t>לא קיים חוזה</t>
  </si>
  <si>
    <t>גורם מצטט</t>
  </si>
  <si>
    <t>הצד הנגדי</t>
  </si>
  <si>
    <t>גורם אחר</t>
  </si>
  <si>
    <t>פקטור מוביל</t>
  </si>
  <si>
    <t>מדדי מניות</t>
  </si>
  <si>
    <t>מדינה/איזור גאוגרפי</t>
  </si>
  <si>
    <t>ממונף</t>
  </si>
  <si>
    <t>מניות</t>
  </si>
  <si>
    <t>שווי שוק</t>
  </si>
  <si>
    <t>תנודתיות</t>
  </si>
  <si>
    <t>פקטור נוסף</t>
  </si>
  <si>
    <t>כווית</t>
  </si>
  <si>
    <t>Emerging Markets</t>
  </si>
  <si>
    <r>
      <rPr>
        <strike/>
        <sz val="11"/>
        <color theme="1"/>
        <rFont val="Arial"/>
        <family val="2"/>
        <scheme val="minor"/>
      </rPr>
      <t>שווקים מתעוררים</t>
    </r>
    <r>
      <rPr>
        <sz val="11"/>
        <color theme="1"/>
        <rFont val="Arial"/>
        <family val="2"/>
        <scheme val="minor"/>
      </rPr>
      <t xml:space="preserve"> לפי הגדרת MSCI</t>
    </r>
  </si>
  <si>
    <t>Developed Markets</t>
  </si>
  <si>
    <t>Frontier Markets</t>
  </si>
  <si>
    <t>גלובלי בלי ארה"ב</t>
  </si>
  <si>
    <t>מדדים</t>
  </si>
  <si>
    <t>ריביות</t>
  </si>
  <si>
    <t>מט"ח/₪</t>
  </si>
  <si>
    <t>מט"ח/מט"ח</t>
  </si>
  <si>
    <t>Mega cap</t>
  </si>
  <si>
    <t>Large cap</t>
  </si>
  <si>
    <t>Mid cap</t>
  </si>
  <si>
    <t>Small cap</t>
  </si>
  <si>
    <t>האם קיים קנס בגין יציאה מוקדמת</t>
  </si>
  <si>
    <t>מזומנים ושווי מזומנים</t>
  </si>
  <si>
    <t>מזומן ועו"ש בש"ח</t>
  </si>
  <si>
    <t>בטחונות שוטפים</t>
  </si>
  <si>
    <t>מזומן ועו"ש נקוב במט"ח</t>
  </si>
  <si>
    <t>פח"ק/פר"י</t>
  </si>
  <si>
    <t>פק"מ לתקופה של עד שלושה חודשים</t>
  </si>
  <si>
    <t>פקדון במט"ח עד שלושה חודשים</t>
  </si>
  <si>
    <t>פקדון צמוד למדד המחירים לצרכן עד שלושה חודשים</t>
  </si>
  <si>
    <t>פקדון צמוד מט"ח עד שלושה חודשים (פצ"מ)</t>
  </si>
  <si>
    <t>קופה קטנה</t>
  </si>
  <si>
    <t>איגרות חוב ממשלתיות</t>
  </si>
  <si>
    <t>צמוד למדד המחירים לצרכן בריבית משתנה</t>
  </si>
  <si>
    <t>לא צמוד למדד המחירים לצרכן ריבית משתנה</t>
  </si>
  <si>
    <t>צמוד מט"ח בריבית משתנה</t>
  </si>
  <si>
    <t>נקוב במט"ח</t>
  </si>
  <si>
    <t>ניירות ערך מסחריים</t>
  </si>
  <si>
    <t>איגרות חוב</t>
  </si>
  <si>
    <t>לא צמוד למדד המחירים לצרכן</t>
  </si>
  <si>
    <t>אג"ח להמרה לא צמוד למדד המחירים לצרכן</t>
  </si>
  <si>
    <t>אג"ח להמרה צמוד למדד המחירים לצרכן</t>
  </si>
  <si>
    <t>אג"ח להמרה צמוד למט"ח</t>
  </si>
  <si>
    <t>אג"ח להמרה צמוד למדד אחר</t>
  </si>
  <si>
    <t>אג"ח שנרכש ביון 04/11/2008 ועד 31/03/2015 ונמדד בעלות מופחתת</t>
  </si>
  <si>
    <t>מניות, מניות בכורה ויחידות השתתפות</t>
  </si>
  <si>
    <t>מניות בכורה</t>
  </si>
  <si>
    <t>יחידות השתתפות</t>
  </si>
  <si>
    <t>חברה בפירוק</t>
  </si>
  <si>
    <t xml:space="preserve"> In liquidation/administration</t>
  </si>
  <si>
    <t>SPAC</t>
  </si>
  <si>
    <t>Special Puropse Acquistion Company/Blank Check Company</t>
  </si>
  <si>
    <t>TASE UP</t>
  </si>
  <si>
    <t>עוקב אחר מדדי מניות בישראל</t>
  </si>
  <si>
    <t>עוקב אחר מדדי מניות בחו"ל</t>
  </si>
  <si>
    <t>עוקב אחר מדדים אחרים בישראל</t>
  </si>
  <si>
    <t>עוקב אחר מדדים אחרים בחו"ל</t>
  </si>
  <si>
    <t>מכירה בחסר (שורט)</t>
  </si>
  <si>
    <t>קרנות נאמנות</t>
  </si>
  <si>
    <t>אג"ח קונצרני</t>
  </si>
  <si>
    <t>אג"ח ממשלתי</t>
  </si>
  <si>
    <t>אופציות</t>
  </si>
  <si>
    <t>מניה</t>
  </si>
  <si>
    <t>מדד</t>
  </si>
  <si>
    <t>קרן סל</t>
  </si>
  <si>
    <t>סחורה</t>
  </si>
  <si>
    <t>מוצרים מובנים</t>
  </si>
  <si>
    <t>קרן מובטחת</t>
  </si>
  <si>
    <t>קרן לא מובטחת</t>
  </si>
  <si>
    <t>מוצר מאוגח - שכבת חוב (Tranche) בדרוג AA- ומעלה</t>
  </si>
  <si>
    <t>מוצר מאוגח - שכבת חוב (Tranche) בדרוג BBB- ומעלה</t>
  </si>
  <si>
    <t>מוצר מאוגח - שכבת חוב (Tranche) בדרוג BB+ ומטה</t>
  </si>
  <si>
    <t>מוצר מאוגח - שכבת הון (Equity Tranche)</t>
  </si>
  <si>
    <t>לא סחיר איגרות חוב ממשלתיות</t>
  </si>
  <si>
    <t>לא סחיר איגרות חוב מיועדות</t>
  </si>
  <si>
    <t>חץ</t>
  </si>
  <si>
    <t>מירון בקרן פנסיה ותיקה</t>
  </si>
  <si>
    <t>ערד בקרן פנסיה ותיקה</t>
  </si>
  <si>
    <t>ערד בקרן פנסיה מקיפה חדשה</t>
  </si>
  <si>
    <t>פיקדון חשכ"ל</t>
  </si>
  <si>
    <t>אפיק השקעה מובטח תשואה</t>
  </si>
  <si>
    <t>החזקה באפיק השקעה מובטח תשואה</t>
  </si>
  <si>
    <t>התאמה לשווי ההוגן</t>
  </si>
  <si>
    <t xml:space="preserve">נכס או התחייבות בגין השלמת המדינה לתשואת היעד </t>
  </si>
  <si>
    <t>לא סחיר ניירות ערך מסחריים</t>
  </si>
  <si>
    <t>נש"ר</t>
  </si>
  <si>
    <t>לא סחיר איגרות חוב</t>
  </si>
  <si>
    <t>אג"ח להמרה לא צמוד למדד</t>
  </si>
  <si>
    <t>אג"ח לא סחיר שנרכש בין 04/11/2008 ועד 31/03/2015 ונמדד לפי עלות מופחתת</t>
  </si>
  <si>
    <t>לא סחיר מניות, מניות בכורה ויחידות השתתפות</t>
  </si>
  <si>
    <t>יחידות השתתפות אינשורטק</t>
  </si>
  <si>
    <t>יחידות השתתפות פינטק</t>
  </si>
  <si>
    <t>יחידות השתתפות תשתיות</t>
  </si>
  <si>
    <t>יחידות השתתפות אחרות</t>
  </si>
  <si>
    <t>מניות בכורה לא סחירות</t>
  </si>
  <si>
    <t>PIPE</t>
  </si>
  <si>
    <t>Private Equity in Public Equity</t>
  </si>
  <si>
    <t>משאבים טבעיים</t>
  </si>
  <si>
    <t>פרייבט אקוויטי</t>
  </si>
  <si>
    <t>קרן אנרגיה ותשתיות</t>
  </si>
  <si>
    <t>קרן גידור (Hedge Fund)</t>
  </si>
  <si>
    <t>קרן חוב</t>
  </si>
  <si>
    <t>קרן נדל"ן</t>
  </si>
  <si>
    <t>קרן השקעה אחרת</t>
  </si>
  <si>
    <t>לא סחיר אופציות</t>
  </si>
  <si>
    <t>ריבית</t>
  </si>
  <si>
    <t>הלוואות</t>
  </si>
  <si>
    <t>חברה מוחזקת</t>
  </si>
  <si>
    <t>יחיד שאינו עמית/מבוטח</t>
  </si>
  <si>
    <t>נושא משרה/עובד</t>
  </si>
  <si>
    <t>סוכן</t>
  </si>
  <si>
    <t>עמית/מבוטח</t>
  </si>
  <si>
    <t>תאגיד</t>
  </si>
  <si>
    <t>לא סחיר נגזרים אחרים</t>
  </si>
  <si>
    <t>Unfunded Swap</t>
  </si>
  <si>
    <t>Funded Swap</t>
  </si>
  <si>
    <t>Unfunded Forward</t>
  </si>
  <si>
    <t>Funded Forward</t>
  </si>
  <si>
    <t>Unfunded Interest Rate Swap</t>
  </si>
  <si>
    <t>Funded Interest Rate Swap</t>
  </si>
  <si>
    <t>Unfunded Total Return/Equity Swap</t>
  </si>
  <si>
    <t>Funded Total Return/Equity Swap</t>
  </si>
  <si>
    <t>Repo</t>
  </si>
  <si>
    <t>עסקאות REPO</t>
  </si>
  <si>
    <t>לא סחיר מוצרים מובנים</t>
  </si>
  <si>
    <t>שכבת חוב (Tranche) בדרוג AA- ומעלה</t>
  </si>
  <si>
    <t>שכבת חוב (Tranche) בדרוג BBB- ומעלה</t>
  </si>
  <si>
    <t>שכבת חוב (Tranche) בדרוג BB+ ומטה</t>
  </si>
  <si>
    <t>שכבת הון (Equity Tranch)</t>
  </si>
  <si>
    <t>פיקדונות מעל 3 חודשים</t>
  </si>
  <si>
    <t>בטחונות לא שוטפים</t>
  </si>
  <si>
    <t>בטחונות לתקופה של מעל 3 חודשים</t>
  </si>
  <si>
    <t>זכויות מקרקעין</t>
  </si>
  <si>
    <t>נדל"ן מניב</t>
  </si>
  <si>
    <t>נדל"ן לא מניב</t>
  </si>
  <si>
    <t>נכסים אחרים</t>
  </si>
  <si>
    <t>התחייבות הממשלה בגין אי העלאת גיל הפרישה לנשים</t>
  </si>
  <si>
    <t>סיוע ממשלתי</t>
  </si>
  <si>
    <t>דיבידנד לקבל</t>
  </si>
  <si>
    <t>הכנסות עו"ש לקבל</t>
  </si>
  <si>
    <t>הפרשה למס</t>
  </si>
  <si>
    <t>התחייבות Forward</t>
  </si>
  <si>
    <t>זכאים בגין נדל"ן</t>
  </si>
  <si>
    <t>חוב בפיגור</t>
  </si>
  <si>
    <t>חייבים בגין מקדמות</t>
  </si>
  <si>
    <t xml:space="preserve">חייבים בגין עסקה עתידית </t>
  </si>
  <si>
    <t xml:space="preserve">חייבים בנאמנות </t>
  </si>
  <si>
    <t>חייבים והכנסות שכר דירה לקבל</t>
  </si>
  <si>
    <t>חייבים הלוואות</t>
  </si>
  <si>
    <t>חייבים העברות</t>
  </si>
  <si>
    <t>חייבים וזכאים בגין שיקוף</t>
  </si>
  <si>
    <t>חייבים וזכאים עמיתים</t>
  </si>
  <si>
    <t>חייבים זכאים במט"ח</t>
  </si>
  <si>
    <t>חייבים זכאים בש"ח</t>
  </si>
  <si>
    <t>חייבים/זכאים עמלת up front</t>
  </si>
  <si>
    <t>חלוקה בפועל מקרן השקעה</t>
  </si>
  <si>
    <t>יצירות אומנות</t>
  </si>
  <si>
    <t>מס במקור</t>
  </si>
  <si>
    <t>מעבר הפרשים</t>
  </si>
  <si>
    <t>מעבר מיזוגים</t>
  </si>
  <si>
    <t>מעבר נכסים</t>
  </si>
  <si>
    <t>מעבר פקדונות</t>
  </si>
  <si>
    <t>מקדמות מס</t>
  </si>
  <si>
    <t>עודפים</t>
  </si>
  <si>
    <t>פיגורים</t>
  </si>
  <si>
    <t>קיקר</t>
  </si>
  <si>
    <t>השקעה בחברות מוחזקות</t>
  </si>
  <si>
    <t>חברת בת</t>
  </si>
  <si>
    <t>חברה כלולה</t>
  </si>
  <si>
    <t>יתרות התחייבות להשקעה</t>
  </si>
  <si>
    <t>התחייבות להשקעה</t>
  </si>
  <si>
    <t>שם גיליון</t>
  </si>
  <si>
    <t>שם סעיף</t>
  </si>
  <si>
    <t>מספר סעיף</t>
  </si>
  <si>
    <t>מידע שניתן לדווח רק לרשות</t>
  </si>
  <si>
    <t>ü</t>
  </si>
  <si>
    <t xml:space="preserve">שם נייר ערך </t>
  </si>
  <si>
    <t xml:space="preserve">סוג מספר מזהה מנפיק </t>
  </si>
  <si>
    <t xml:space="preserve">דירוג נייר הערך/המנפיק </t>
  </si>
  <si>
    <t>מניות, מב"כ ויה"ש</t>
  </si>
  <si>
    <t>כתבי אופציה</t>
  </si>
  <si>
    <t>נכס בסיס (כתב אופציה)</t>
  </si>
  <si>
    <t>תאריך פקיעה</t>
  </si>
  <si>
    <t>שער מימוש</t>
  </si>
  <si>
    <t>יחס המרה</t>
  </si>
  <si>
    <t>חוזים עתידיים</t>
  </si>
  <si>
    <t>מספר קרן</t>
  </si>
  <si>
    <t>חודש הנפקת שכבה</t>
  </si>
  <si>
    <t>חודש הבדיקה</t>
  </si>
  <si>
    <t>שווי הנכסים באפיק (באלפי ש"ח)</t>
  </si>
  <si>
    <t xml:space="preserve">תאריך אחרון בו נבחנה בפועל ירידת ערך </t>
  </si>
  <si>
    <t>לא סחיר מניות, מב"כ ויה"ש</t>
  </si>
  <si>
    <t>מדינת התאגדות קרן השקעה</t>
  </si>
  <si>
    <t>מיקום משרד השותף הכללי</t>
  </si>
  <si>
    <t>NAV (במטבע הדיווח של קרן ההשקעה)</t>
  </si>
  <si>
    <t>שיעור החזקה בקרן השקעה</t>
  </si>
  <si>
    <t>לא סחיר כתבי אופציה</t>
  </si>
  <si>
    <t>מספר עסקה (רגל 1)</t>
  </si>
  <si>
    <t>מטבע פעילות (רגל 1)</t>
  </si>
  <si>
    <t>ערך נקוב (רגל 1)</t>
  </si>
  <si>
    <t>שווי הוגן במטבע הנסחר (רגל 1)</t>
  </si>
  <si>
    <t>שיעור מנכסי אפיק ההשקעה (רגל 1)</t>
  </si>
  <si>
    <t>שיעור מסך נכסי ההשקעה (רגל 1)</t>
  </si>
  <si>
    <t>מספר עסקה (רגל 2)</t>
  </si>
  <si>
    <t>מטבע פעילות (רגל 2)</t>
  </si>
  <si>
    <t>ערך נקוב (רגל 2)</t>
  </si>
  <si>
    <t>שווי הוגן במטבע הנסחר (רגל 2)</t>
  </si>
  <si>
    <t>שיעור מנכסי אפיק ההשקעה (רגל 2)</t>
  </si>
  <si>
    <t>שיעור מסך נכסי אפיק ההשקעה (רגל 2)</t>
  </si>
  <si>
    <t>שווי הוגן (נטו באלפי ש"ח)</t>
  </si>
  <si>
    <t>סוג הנכס</t>
  </si>
  <si>
    <t>מועד ההתקשרות בעסקה</t>
  </si>
  <si>
    <t>מועד סיום חוזי</t>
  </si>
  <si>
    <t>נספח התחשבנות בטחונות - CSA</t>
  </si>
  <si>
    <t>שיעור ריבית עוגן</t>
  </si>
  <si>
    <t>שער נכס הבסיס במועד ההתקשרות בעסקה</t>
  </si>
  <si>
    <t>שער הנגזר במועד ההתקשרות בעסקה</t>
  </si>
  <si>
    <t>שיעור הקנס בגין יציאה מוקדמת</t>
  </si>
  <si>
    <t>צד נגדי - Counterparty</t>
  </si>
  <si>
    <t>מאפיין הלוואות מתואמות עבור זכויות מקרקעין</t>
  </si>
  <si>
    <t>קונסורציום/ סינדיקציה</t>
  </si>
  <si>
    <t>מספר קונסורציום/ סינדיקציה</t>
  </si>
  <si>
    <t>תאריך העמדת הלוואה</t>
  </si>
  <si>
    <t xml:space="preserve">דירוג הלוואה/המנפיק </t>
  </si>
  <si>
    <t>שיעור תוספת/הפחתה לריבית העוגן</t>
  </si>
  <si>
    <t>שווי הבטוחות העומדות כנגד ההלוואה</t>
  </si>
  <si>
    <t>שיעור הבטוחות מהחוב</t>
  </si>
  <si>
    <t>מועד עדכון אחרון לשווי הבטוחות</t>
  </si>
  <si>
    <t>יעוד הלוואה</t>
  </si>
  <si>
    <t>שיעור ריבית בגין אי-ניצול מסגרת האשראי</t>
  </si>
  <si>
    <t>ערך נקוב</t>
  </si>
  <si>
    <t>שער הלוואה</t>
  </si>
  <si>
    <t>השקעה בחברה מוחזקת</t>
  </si>
  <si>
    <t>השקעה בחברות מוחזקת</t>
  </si>
  <si>
    <t>מסגרות אשראי</t>
  </si>
  <si>
    <t>ידווח בקבצי נכסי הנוסטרו בלבד</t>
  </si>
  <si>
    <t>סך הכל נכסים</t>
  </si>
  <si>
    <t>יתרות התחייבויות להשקעה</t>
  </si>
  <si>
    <t>בנק הפועלים בע"מ</t>
  </si>
  <si>
    <t>12-509</t>
  </si>
  <si>
    <t>AAA</t>
  </si>
  <si>
    <t>SGD</t>
  </si>
  <si>
    <t>JPY</t>
  </si>
  <si>
    <t>CHF</t>
  </si>
  <si>
    <t>בנק לאומי לישראל בע"מ</t>
  </si>
  <si>
    <t>10-800</t>
  </si>
  <si>
    <t>EUR</t>
  </si>
  <si>
    <t>AUD</t>
  </si>
  <si>
    <t>GBP</t>
  </si>
  <si>
    <t>HKD</t>
  </si>
  <si>
    <t>DKK</t>
  </si>
  <si>
    <t>סוג קובץ</t>
  </si>
  <si>
    <t>נכסי מבוטחים - חברת ביטוח</t>
  </si>
  <si>
    <t>in</t>
  </si>
  <si>
    <t>gm</t>
  </si>
  <si>
    <t>נכסי עמיתים - קרנות פנסיה</t>
  </si>
  <si>
    <t>pn</t>
  </si>
  <si>
    <t>נכסי אפיק השקעה מובטח תשואה</t>
  </si>
  <si>
    <t>ca</t>
  </si>
  <si>
    <t>נכסי נוסטרו - חברת ביטוח</t>
  </si>
  <si>
    <t>ni</t>
  </si>
  <si>
    <t>נכסי נוסטרו - חברה מנהלת</t>
  </si>
  <si>
    <t>nf</t>
  </si>
  <si>
    <t>יעוד הקובץ</t>
  </si>
  <si>
    <t>לממונה</t>
  </si>
  <si>
    <t>לציבור</t>
  </si>
  <si>
    <t>p</t>
  </si>
  <si>
    <t>רבעון</t>
  </si>
  <si>
    <t>01</t>
  </si>
  <si>
    <t>02</t>
  </si>
  <si>
    <t>03</t>
  </si>
  <si>
    <t>04</t>
  </si>
  <si>
    <t>שנה</t>
  </si>
  <si>
    <t>שם גוף מוסדי</t>
  </si>
  <si>
    <t>אי. אם. איי - עזר חברה לביטוח משכנתאות בע"מ</t>
  </si>
  <si>
    <t>איי. די. איי. חברה לביטוח בע"מ</t>
  </si>
  <si>
    <t>איי.אי.ג'י חברה לביטוח בע"מ</t>
  </si>
  <si>
    <t>איילון חברה לביטוח בע"מ</t>
  </si>
  <si>
    <t>אינפיניטי השתלמות, גמל ופנסיה בע"מ</t>
  </si>
  <si>
    <t>אלטשולר שחם גמל ופנסיה בע"מ</t>
  </si>
  <si>
    <t>אנליסט קופות גמל בע"מ</t>
  </si>
  <si>
    <t>ארם גמולים - חברה לניהול קופות גמל בע''מ</t>
  </si>
  <si>
    <t>אשרא - החברה הישראלית לביטוח יצוא בע"מ</t>
  </si>
  <si>
    <t>ב.ס.ס.ח. - החברה הישראלית לביטוח אשראי בע"מ</t>
  </si>
  <si>
    <t>ביטוח חקלאי אגודה מרכזית בע"מ</t>
  </si>
  <si>
    <t>גילעד גימלאות לעובדים דתיים בע"מ</t>
  </si>
  <si>
    <t>גל - ניהול קופות גמל לעובדי הוראה בע"מ</t>
  </si>
  <si>
    <t>דיויד שילד חברה לביטוח בע"מ</t>
  </si>
  <si>
    <t>החברה המנהלת של מינהל קרן ההשתלמות לפקידים עובדי המנהל והשירותים בע"מ</t>
  </si>
  <si>
    <t>החברה המנהלת של קרן הגמלאות של חברי "דן" בע"מ</t>
  </si>
  <si>
    <t>החברה המנהלת של קרן השתלמות של עובדי חברת החשמל לישראל בע"מ</t>
  </si>
  <si>
    <t>החברה המנהלת של רום קרן ההשתלמות לעובדי הרשויות המקומיות בע"מ</t>
  </si>
  <si>
    <t>החברה לניהול קופות התגמולים והפיצויים של עובדי בנק לאומי בע"מ</t>
  </si>
  <si>
    <t>החברה לניהול קופת התגמולים והפנסיה של עובדי הסוכנות היהודית לארץ ישראל בע"מ</t>
  </si>
  <si>
    <t>החברה לניהול קרן ההשתלמות להנדסאים וטכנאים בע"מ</t>
  </si>
  <si>
    <t>החברה לניהול קרן ההשתלמות לעובדי המדינה בע"מ</t>
  </si>
  <si>
    <t>החברה לניהול קרן השתלמות לאקדמאים במדעי החברה והרוח בע"מ</t>
  </si>
  <si>
    <t>החברה לניהול קרן השתלמות לביוכימאים  ומקרוביולוגים בע"מ</t>
  </si>
  <si>
    <t>החברה לניהול קרן השתלמות למשפטנים בע"מ</t>
  </si>
  <si>
    <t>החברה לניהול קרן השתלמות לשופטים בע"מ</t>
  </si>
  <si>
    <t>הכשרה חברה לביטוח בע"מ</t>
  </si>
  <si>
    <t>הלמן-אלדובי חח"י גמל בע"מ</t>
  </si>
  <si>
    <t>הנדסאים וטכנאים - חברה לניהול קופות גמל בע"מ</t>
  </si>
  <si>
    <t>הפניקס אקסלנס פנסיה וגמל בע"מ</t>
  </si>
  <si>
    <t>הפניקס חברה לביטוח בע"מ</t>
  </si>
  <si>
    <t>הראל חברה לביטוח בע"מ</t>
  </si>
  <si>
    <t>הראל פנסיה וגמל בע"מ</t>
  </si>
  <si>
    <t>ווישור חברה לביטוח בע"מ</t>
  </si>
  <si>
    <t>חברה לניהול קופות גמל של העובדים בעיריית תל - אביב יפו בע"מ</t>
  </si>
  <si>
    <t>חברת ב'ת למ'ד דל'ת בע"מ</t>
  </si>
  <si>
    <t>חברת הגמל לעובדי האוניברסיטה העברית בע"מ</t>
  </si>
  <si>
    <t>יהב - פ.ר.ח. - חברה לניהול קופות גמל בע"מ</t>
  </si>
  <si>
    <t>יהב אחים ואחיות - חברה לניהול קופות גמל בע"מ</t>
  </si>
  <si>
    <t>יהב רופאים - חברה לניהול קופות גמל בע"מ</t>
  </si>
  <si>
    <t>יוזמה קרן פנסיה לעצמאים בע"מ</t>
  </si>
  <si>
    <t>ילין לפידות ניהול קופות גמל בע"מ</t>
  </si>
  <si>
    <t>כלל חברה לביטוח אשראי בע"מ</t>
  </si>
  <si>
    <t>כלל חברה לביטוח בע"מ</t>
  </si>
  <si>
    <t>כלל פנסיה וגמל בע"מ</t>
  </si>
  <si>
    <t>לאומי קמ"פ בע"מ</t>
  </si>
  <si>
    <t>ליברה חברה לביטוח בע"מ</t>
  </si>
  <si>
    <t>לעתיד חברה לניהול קרנות פנסיה בע"מ</t>
  </si>
  <si>
    <t>מבטחים מוסד לביטוח סוציאלי של העובדים בע"מ</t>
  </si>
  <si>
    <t>מגדל חברה לביטוח בע"מ</t>
  </si>
  <si>
    <t>מגדל מקפת קרנות פנסיה וקופות גמל בע"מ</t>
  </si>
  <si>
    <t>מור גמל ופנסיה בע"מ</t>
  </si>
  <si>
    <t>מחוג - מינהל גמל לעובדי חברת חשמל לישראל בע"מ</t>
  </si>
  <si>
    <t>מחר - חברה לניהול קופות גמל בע"מ</t>
  </si>
  <si>
    <t>מיטב דש גמל ופנסיה בע"מ</t>
  </si>
  <si>
    <t>מנורה מבטחים ביטוח בע"מ</t>
  </si>
  <si>
    <t>מנורה מבטחים והסתדרות המהנדסים ניהול קופות גמל בע"מ</t>
  </si>
  <si>
    <t>מנורה מבטחים פנסיה וגמל בע"מ</t>
  </si>
  <si>
    <t>נתיב קרן הפנסיה של פועלי ועובדי מפעלי משק ההסתדרות בע"מ</t>
  </si>
  <si>
    <t>סלייס גמל בע"מ</t>
  </si>
  <si>
    <t>עגור חברה לניהול קופות גמל וקרנות השתלמות בע"מ</t>
  </si>
  <si>
    <t>עו"ס - חברה לניהול קופות גמל בע"מ</t>
  </si>
  <si>
    <t>עוצ"מ - אגודה שיתופית לניהול קופות גמל בע"מ</t>
  </si>
  <si>
    <t>עוצ"מ חברה לניהול קופות גמל והשתלמות בע"מ</t>
  </si>
  <si>
    <t>עמ"י - חברה לניהול קופות גמל ענפיות בע"מ</t>
  </si>
  <si>
    <t>ענבל חברה לביטוח בע"מ</t>
  </si>
  <si>
    <t>ק.ל.ע. - חברה לניהול קרן השתלמות לעובדים סוציאליים בע"מ</t>
  </si>
  <si>
    <t>קו הבריאות חברה לניהול קופות גמל בע"מ</t>
  </si>
  <si>
    <t>קופת הפנסיה לעובדי הדסה בע"מ</t>
  </si>
  <si>
    <t>קופת תגמולים של עובדי אל על נתיבי אוויר לישראל בע"מ אגודה שיתופית</t>
  </si>
  <si>
    <t>קופת תגמולים של עובדי התעשיה האוירית לישראל בע"מ</t>
  </si>
  <si>
    <t>קופת"ג של עובדי עירית חיפה</t>
  </si>
  <si>
    <t>קרן ביטוח הדדי לחברי הסתדרות עובדי המדינה בישראל בע"מ</t>
  </si>
  <si>
    <t>קרן ביטוח ופנסיה לפועלים חקלאים ובלתי מקצועיים בישראל אגודה שיתופית בע"מ</t>
  </si>
  <si>
    <t>קרן הביטוח והפנסיה של פועלי בנין ועבודות ציבוריות אגודה שיתופית בע"מ</t>
  </si>
  <si>
    <t>קרן הגמלאות המרכזית של עובדי ההסתדרות בע"מ</t>
  </si>
  <si>
    <t>קרן הגמלאות של חברי אגד בע"מ</t>
  </si>
  <si>
    <t>קרן החסכון לצבא הקבע - חברה לניהול קופות גמל בע"מ</t>
  </si>
  <si>
    <t>קרן לביטוח נזקי טבע בחקלאות בע"מ</t>
  </si>
  <si>
    <t>קרן מקפת מרכז לפנסיה ותגמולים אגודה שיתופית בע"מ</t>
  </si>
  <si>
    <t>קרנות השתלמות למורים ולגננות - חברה מנהלת בע"מ</t>
  </si>
  <si>
    <t>קרנות השתלמות למורים תיכוניים, מורי סמינרים ומפקחים - חברה מנהלת בע"מ</t>
  </si>
  <si>
    <t>רעות חברה לניהול קופות גמל בע"מ</t>
  </si>
  <si>
    <t>ש. שלמה חברה לביטוח בע"מ</t>
  </si>
  <si>
    <t>שומרה חברה לביטוח בע"מ</t>
  </si>
  <si>
    <t>שיבולת - חברה לניהול קופות גמל בע"מ</t>
  </si>
  <si>
    <t>תגמולים של עובדים בעירית ת"א-יפו א.ש. בע"מ</t>
  </si>
  <si>
    <t>שיעור מנכסי ההשקעה (רגל 2)</t>
  </si>
  <si>
    <t>שיעור מסך אפיק ההשקעה (רגל 2)</t>
  </si>
  <si>
    <t>שווי הוגן (נטו  באלפי ש"ח)</t>
  </si>
  <si>
    <t>301</t>
  </si>
  <si>
    <t>7209</t>
  </si>
  <si>
    <t>610528610002</t>
  </si>
  <si>
    <t>17/09/2024</t>
  </si>
  <si>
    <t>17/09/2025</t>
  </si>
  <si>
    <t>0</t>
  </si>
  <si>
    <t>לאומי</t>
  </si>
  <si>
    <t>624446470002</t>
  </si>
  <si>
    <t>13/11/2024</t>
  </si>
  <si>
    <t>21/01/2025</t>
  </si>
  <si>
    <t>62953061</t>
  </si>
  <si>
    <t>04/12/2024</t>
  </si>
  <si>
    <t>62993589</t>
  </si>
  <si>
    <t>05/12/2024</t>
  </si>
  <si>
    <t>631296830002</t>
  </si>
  <si>
    <t>11/12/2024</t>
  </si>
  <si>
    <t>7210</t>
  </si>
  <si>
    <t>610528590002</t>
  </si>
  <si>
    <t>624445560002</t>
  </si>
  <si>
    <t>624454460002</t>
  </si>
  <si>
    <t>62993588</t>
  </si>
  <si>
    <t>631296800002</t>
  </si>
  <si>
    <t>63419763</t>
  </si>
  <si>
    <t>24/12/2024</t>
  </si>
  <si>
    <t>7211</t>
  </si>
  <si>
    <t>610528630002</t>
  </si>
  <si>
    <t>624446560002</t>
  </si>
  <si>
    <t>631296790002</t>
  </si>
  <si>
    <t>512475203</t>
  </si>
  <si>
    <t>ח.פ</t>
  </si>
  <si>
    <t>דרך ארץ  2 א קב 2</t>
  </si>
  <si>
    <t>6318</t>
  </si>
  <si>
    <t>03/01/2000</t>
  </si>
  <si>
    <t>קבועה</t>
  </si>
  <si>
    <t>other</t>
  </si>
  <si>
    <t>06/06/2029</t>
  </si>
  <si>
    <t>דרך ארץ 10 א קב. 2</t>
  </si>
  <si>
    <t>6326</t>
  </si>
  <si>
    <t>31/12/2001</t>
  </si>
  <si>
    <t>דרך ארץ 11 א קב. 2</t>
  </si>
  <si>
    <t>6327</t>
  </si>
  <si>
    <t>31/03/2002</t>
  </si>
  <si>
    <t>דרך ארץ 12 א קב.2</t>
  </si>
  <si>
    <t>6328</t>
  </si>
  <si>
    <t>30/06/2002</t>
  </si>
  <si>
    <t>דרך ארץ 13 א קב. 2</t>
  </si>
  <si>
    <t>6329</t>
  </si>
  <si>
    <t>30/09/2002</t>
  </si>
  <si>
    <t>דרך ארץ 14 א קב.2</t>
  </si>
  <si>
    <t>6330</t>
  </si>
  <si>
    <t>31/12/2002</t>
  </si>
  <si>
    <t>דרך ארץ 15 א קב.2</t>
  </si>
  <si>
    <t>6331</t>
  </si>
  <si>
    <t>31/03/2003</t>
  </si>
  <si>
    <t>דרך ארץ 16 א קב. 2</t>
  </si>
  <si>
    <t>6332</t>
  </si>
  <si>
    <t>30/06/2003</t>
  </si>
  <si>
    <t>דרך ארץ 17 א קב. 2</t>
  </si>
  <si>
    <t>6333</t>
  </si>
  <si>
    <t>30/09/2003</t>
  </si>
  <si>
    <t>דרך ארץ 18 א קב. 2</t>
  </si>
  <si>
    <t>6334</t>
  </si>
  <si>
    <t>31/12/2003</t>
  </si>
  <si>
    <t>דרך ארץ 19 א קב. 2</t>
  </si>
  <si>
    <t>6335</t>
  </si>
  <si>
    <t>28/04/2004</t>
  </si>
  <si>
    <t>דרך ארץ 1א קב. 2</t>
  </si>
  <si>
    <t>6317</t>
  </si>
  <si>
    <t>28/10/1999</t>
  </si>
  <si>
    <t>דרך ארץ 3 א קב.2</t>
  </si>
  <si>
    <t>6319</t>
  </si>
  <si>
    <t>30/03/2000</t>
  </si>
  <si>
    <t>דרך ארץ 4 א קב.2</t>
  </si>
  <si>
    <t>6320</t>
  </si>
  <si>
    <t>06/07/2000</t>
  </si>
  <si>
    <t>דרך ארץ 5 א קב.2</t>
  </si>
  <si>
    <t>6321</t>
  </si>
  <si>
    <t>05/10/2000</t>
  </si>
  <si>
    <t>דרך ארץ 6 א קב.2</t>
  </si>
  <si>
    <t>6322</t>
  </si>
  <si>
    <t>31/12/2000</t>
  </si>
  <si>
    <t>דרך ארץ 7 א קב. 2</t>
  </si>
  <si>
    <t>6323</t>
  </si>
  <si>
    <t>29/03/2001</t>
  </si>
  <si>
    <t>30/06/2027</t>
  </si>
  <si>
    <t>דרך ארץ 8 א קב. 2</t>
  </si>
  <si>
    <t>6324</t>
  </si>
  <si>
    <t>28/06/2001</t>
  </si>
  <si>
    <t>דרך ארץ 9 א קב. 2</t>
  </si>
  <si>
    <t>6325</t>
  </si>
  <si>
    <t>30/09/2001</t>
  </si>
  <si>
    <t>דרך ארץ מזאנין 2</t>
  </si>
  <si>
    <t>9219060</t>
  </si>
  <si>
    <t>16/03/2011</t>
  </si>
  <si>
    <t>A</t>
  </si>
  <si>
    <t>31/01/2025</t>
  </si>
  <si>
    <t>חוצה ישראל 1 (14)</t>
  </si>
  <si>
    <t>9001270</t>
  </si>
  <si>
    <t>חוצה ישראל 1 (15)</t>
  </si>
  <si>
    <t>9001280</t>
  </si>
  <si>
    <t>חוצה ישראל 1 (16)</t>
  </si>
  <si>
    <t>9001290</t>
  </si>
  <si>
    <t>חוצה ישראל 1 (17)</t>
  </si>
  <si>
    <t>9001300</t>
  </si>
  <si>
    <t>חוצה ישראל 1 (18)</t>
  </si>
  <si>
    <t>9001310</t>
  </si>
  <si>
    <t>חוצה ישראל 1 (19)</t>
  </si>
  <si>
    <t>9001320</t>
  </si>
  <si>
    <t>חוצה ישראל אג"ח 1</t>
  </si>
  <si>
    <t>9001000</t>
  </si>
  <si>
    <t>9001020</t>
  </si>
  <si>
    <t>חוצה ישראל אג"ח 1 (10)</t>
  </si>
  <si>
    <t>9001190</t>
  </si>
  <si>
    <t>חוצה ישראל אג"ח 1 (11)</t>
  </si>
  <si>
    <t>9001210</t>
  </si>
  <si>
    <t>חוצה ישראל אג"ח 1 (12)</t>
  </si>
  <si>
    <t>9001230</t>
  </si>
  <si>
    <t>חוצה ישראל אג"ח 1 (13)</t>
  </si>
  <si>
    <t>9001250</t>
  </si>
  <si>
    <t>חוצה ישראל אג"ח 1 (3)</t>
  </si>
  <si>
    <t>9001040</t>
  </si>
  <si>
    <t>חוצה ישראל אג"ח 1 (4)</t>
  </si>
  <si>
    <t>9001070</t>
  </si>
  <si>
    <t>חוצה ישראל אג"ח 1 (6)</t>
  </si>
  <si>
    <t>9001110</t>
  </si>
  <si>
    <t>חוצה ישראל אג"ח 1 (7)</t>
  </si>
  <si>
    <t>9001130</t>
  </si>
  <si>
    <t>חוצה ישראל אג"ח 1 (8)</t>
  </si>
  <si>
    <t>9001150</t>
  </si>
  <si>
    <t>חוצה ישראל אג"ח 1 (9)</t>
  </si>
  <si>
    <t>9001170</t>
  </si>
  <si>
    <t>חוצה ישראל אג"ח 1(5)</t>
  </si>
  <si>
    <t>9001080</t>
  </si>
  <si>
    <t>כביש 6 צפון  הגדלת מינוף</t>
  </si>
  <si>
    <t>29994226</t>
  </si>
  <si>
    <t>25/03/2021</t>
  </si>
  <si>
    <t>AA-</t>
  </si>
  <si>
    <t>30/06/2048</t>
  </si>
  <si>
    <t>כביש 6 צפון  הלוואה לזמן ארוך</t>
  </si>
  <si>
    <t>29994227</t>
  </si>
  <si>
    <t>510960586</t>
  </si>
  <si>
    <t>הלוואות קו הב. קבועה</t>
  </si>
  <si>
    <t>29993374</t>
  </si>
  <si>
    <t>02/05/2021</t>
  </si>
  <si>
    <t>05/01/2032</t>
  </si>
  <si>
    <t>ע.י נופר אנרגי' בע"מ</t>
  </si>
  <si>
    <t>514599943</t>
  </si>
  <si>
    <t>נופר אנרגי- כתבי אופציה ל.ס.</t>
  </si>
  <si>
    <t>983730193</t>
  </si>
  <si>
    <t>IL0011708778</t>
  </si>
  <si>
    <t>02/01/2025</t>
  </si>
  <si>
    <t>04/01/2024</t>
  </si>
  <si>
    <t>Scoutcam LTD</t>
  </si>
  <si>
    <t>549300FBP1ANSJE5TE25</t>
  </si>
  <si>
    <t>Scoutcam OP</t>
  </si>
  <si>
    <t>29994261</t>
  </si>
  <si>
    <t>29/04/2021</t>
  </si>
  <si>
    <t>08/07/2024</t>
  </si>
  <si>
    <t>שווי הוגן (בש"ח)</t>
  </si>
  <si>
    <t>CIFC Senior Secured Corporate</t>
  </si>
  <si>
    <t>3912000TN89ESDWHS93</t>
  </si>
  <si>
    <t>CIFC SEN.SEC.COR</t>
  </si>
  <si>
    <t>KYG2139S1194</t>
  </si>
  <si>
    <t>Invesco investment management limited</t>
  </si>
  <si>
    <t>ECPGFXU8A2SHKVVGJI15</t>
  </si>
  <si>
    <t>INV-US SEN-G</t>
  </si>
  <si>
    <t>LU0564079282</t>
  </si>
  <si>
    <t>מיטב קרנות נאמנות בע"מ</t>
  </si>
  <si>
    <t>513534974</t>
  </si>
  <si>
    <t>תכלית ת"א 125(TTF(40</t>
  </si>
  <si>
    <t>IL0051146574</t>
  </si>
  <si>
    <t>מניות בישראל</t>
  </si>
  <si>
    <t>מגדל קרנות נאמנות בע"מ</t>
  </si>
  <si>
    <t>511303661</t>
  </si>
  <si>
    <t>MTF סל תא 125</t>
  </si>
  <si>
    <t>IL0011502833</t>
  </si>
  <si>
    <t>MTF סל תא 90</t>
  </si>
  <si>
    <t>IL0011502593</t>
  </si>
  <si>
    <t>הראל קרנות נאמנות בע"מ</t>
  </si>
  <si>
    <t>511776783</t>
  </si>
  <si>
    <t>הראל סל תא 90</t>
  </si>
  <si>
    <t>IL0011489312</t>
  </si>
  <si>
    <t>מור ניהול קרנות נאמנות בע"מ</t>
  </si>
  <si>
    <t>514884485</t>
  </si>
  <si>
    <t>מור סל (A4) ת"א -125</t>
  </si>
  <si>
    <t>IL0011961534</t>
  </si>
  <si>
    <t>קסם קרנות נאמנות בע"מ</t>
  </si>
  <si>
    <t>510938608</t>
  </si>
  <si>
    <t>קסם קרן סל תא 125</t>
  </si>
  <si>
    <t>IL0011463564</t>
  </si>
  <si>
    <t>קסם תא 90</t>
  </si>
  <si>
    <t>IL0011463317</t>
  </si>
  <si>
    <t>תכלית סל תא 90</t>
  </si>
  <si>
    <t>IL0011437832</t>
  </si>
  <si>
    <t>Invesco QQQ  trust NAS1</t>
  </si>
  <si>
    <t>US46090E1038</t>
  </si>
  <si>
    <t>INVESCO S&amp;P 500 EQUITY</t>
  </si>
  <si>
    <t>IE00B3YCGJ38</t>
  </si>
  <si>
    <t xml:space="preserve">BlackRock  Asset Managment </t>
  </si>
  <si>
    <t>254900UWHMJRRODS3Z64</t>
  </si>
  <si>
    <t>ISH $ CORP BD $A</t>
  </si>
  <si>
    <t>IE00BYXYYJ35</t>
  </si>
  <si>
    <t xml:space="preserve"> iShares Global Clean Energy ET</t>
  </si>
  <si>
    <t>549300JFYFTF85QAQR28</t>
  </si>
  <si>
    <t>ISH $SH HY CP $A</t>
  </si>
  <si>
    <t>IE00BZ17CN18</t>
  </si>
  <si>
    <t>ISH CORE ERSTX50</t>
  </si>
  <si>
    <t>DE0005933956</t>
  </si>
  <si>
    <t>ISH S&amp;P US BANKS</t>
  </si>
  <si>
    <t>IE00BD3V0B10</t>
  </si>
  <si>
    <t>ISH S&amp;P500</t>
  </si>
  <si>
    <t>IE00B4LN9N13</t>
  </si>
  <si>
    <t>Ishares $ Short Duration Corp Bond</t>
  </si>
  <si>
    <t>IE00BYXYYP94</t>
  </si>
  <si>
    <t>Ishares DJ construction</t>
  </si>
  <si>
    <t>US4642887529</t>
  </si>
  <si>
    <t>ISHARES NASDAQ100 ETF USD</t>
  </si>
  <si>
    <t>IE00B53SZB19</t>
  </si>
  <si>
    <t>State Street Corp</t>
  </si>
  <si>
    <t>07F5H7W3ET8ZLWNMFP29</t>
  </si>
  <si>
    <t>SPDR BLOOMBERG SASB</t>
  </si>
  <si>
    <t>IE0004TYCC17</t>
  </si>
  <si>
    <t>EUREX </t>
  </si>
  <si>
    <t>SPDR S&amp;P 500 UCITS</t>
  </si>
  <si>
    <t>IE000XZSV718</t>
  </si>
  <si>
    <t>SPDR S&amp;P CHINA ETF</t>
  </si>
  <si>
    <t>US78463X4007</t>
  </si>
  <si>
    <t>SPDR US ENERGY</t>
  </si>
  <si>
    <t>IE00BWBXM492</t>
  </si>
  <si>
    <t>Vanguard Group</t>
  </si>
  <si>
    <t>549300Y88GQ3VLJIBX57</t>
  </si>
  <si>
    <t>Vanguard S&amp;P 500 etf</t>
  </si>
  <si>
    <t>US9229083632</t>
  </si>
  <si>
    <t>WisdomTree Europe ltd</t>
  </si>
  <si>
    <t>213800B789JS6Y4H8936</t>
  </si>
  <si>
    <t>Wisdomtree Japan</t>
  </si>
  <si>
    <t>US97717W8516</t>
  </si>
  <si>
    <t>אלביט מערכות בע"מ</t>
  </si>
  <si>
    <t>520043027</t>
  </si>
  <si>
    <t>אלביט מערכות</t>
  </si>
  <si>
    <t>IL0010811243</t>
  </si>
  <si>
    <t>אלוני-חץ נכסים והשקעות בע"מ</t>
  </si>
  <si>
    <t>520038506</t>
  </si>
  <si>
    <t>אלוני חץ</t>
  </si>
  <si>
    <t>IL0003900136</t>
  </si>
  <si>
    <t>אמות השקעות בע"מ</t>
  </si>
  <si>
    <t>520026683</t>
  </si>
  <si>
    <t>אמות</t>
  </si>
  <si>
    <t>IL0010972789</t>
  </si>
  <si>
    <t>אנלייט אנרגיה מתחדשת בע"מ</t>
  </si>
  <si>
    <t>520041146</t>
  </si>
  <si>
    <t>אנלייט אנרגיה</t>
  </si>
  <si>
    <t>IL0007200111</t>
  </si>
  <si>
    <t>אנרג'יקס אנרגיות מתחדשות בע"מ</t>
  </si>
  <si>
    <t>513901371</t>
  </si>
  <si>
    <t>אנרג'יקס</t>
  </si>
  <si>
    <t>IL0011233553</t>
  </si>
  <si>
    <t>אפריקה ישראל מגורים בע"מ</t>
  </si>
  <si>
    <t>520034760</t>
  </si>
  <si>
    <t>אפריקה מגורים</t>
  </si>
  <si>
    <t>IL0010979487</t>
  </si>
  <si>
    <t>בזק החברה הישראלית לתקשורת בע"מ</t>
  </si>
  <si>
    <t>520031931</t>
  </si>
  <si>
    <t>בזק</t>
  </si>
  <si>
    <t>IL0002300114</t>
  </si>
  <si>
    <t>בנק דיסקונט לישראל בע"מ</t>
  </si>
  <si>
    <t>520007030</t>
  </si>
  <si>
    <t>דיסקונט</t>
  </si>
  <si>
    <t>IL0006912120</t>
  </si>
  <si>
    <t>י.ח.דמרי בניה ופיתוח בע"מ</t>
  </si>
  <si>
    <t>511399388</t>
  </si>
  <si>
    <t>דמרי</t>
  </si>
  <si>
    <t>IL0010903156</t>
  </si>
  <si>
    <t>הפניקס אחזקות בע"מ</t>
  </si>
  <si>
    <t>520017450</t>
  </si>
  <si>
    <t>הפניקס</t>
  </si>
  <si>
    <t>IL0007670123</t>
  </si>
  <si>
    <t>טבע תעשיות פרמצבטיות בע"מ</t>
  </si>
  <si>
    <t>520013954</t>
  </si>
  <si>
    <t>טבע</t>
  </si>
  <si>
    <t>IL0006290147</t>
  </si>
  <si>
    <t>ישראל קנדה (ט.ר) בעמ</t>
  </si>
  <si>
    <t>520039298</t>
  </si>
  <si>
    <t>ישראל קנדה</t>
  </si>
  <si>
    <t>IL0004340191</t>
  </si>
  <si>
    <t>כלל החזקות עסקי ביטוח בע"מ</t>
  </si>
  <si>
    <t>520036120</t>
  </si>
  <si>
    <t>כלל ביטוח</t>
  </si>
  <si>
    <t>IL0002240146</t>
  </si>
  <si>
    <t>520018078</t>
  </si>
  <si>
    <t>IL0006046119</t>
  </si>
  <si>
    <t>בנק מזרחי טפחות בע"מ</t>
  </si>
  <si>
    <t>520000522</t>
  </si>
  <si>
    <t>מזרחי טפחות</t>
  </si>
  <si>
    <t>IL0006954379</t>
  </si>
  <si>
    <t>מטריקס אי.טי בע"מ</t>
  </si>
  <si>
    <t>520039413</t>
  </si>
  <si>
    <t>מטריקס</t>
  </si>
  <si>
    <t>IL0004450156</t>
  </si>
  <si>
    <t>מליסרון בע"מ</t>
  </si>
  <si>
    <t>520037789</t>
  </si>
  <si>
    <t>מליסרון</t>
  </si>
  <si>
    <t>IL0003230146</t>
  </si>
  <si>
    <t>נאוויטס פטרוליום, שותפות מוגבלת</t>
  </si>
  <si>
    <t>550263107</t>
  </si>
  <si>
    <t>נאוויטס פט יהש</t>
  </si>
  <si>
    <t>IL0011419699</t>
  </si>
  <si>
    <t>נובה מכשירי מדידה בע"מ</t>
  </si>
  <si>
    <t>511812463</t>
  </si>
  <si>
    <t>נובה</t>
  </si>
  <si>
    <t>IL0010845571</t>
  </si>
  <si>
    <t>ניו-מד אנרג'י- שותפות מוגבלת</t>
  </si>
  <si>
    <t>550013098</t>
  </si>
  <si>
    <t>ניו-מד אנרג'י יהש</t>
  </si>
  <si>
    <t>IL0004750209</t>
  </si>
  <si>
    <t>נייס מערכות בע"מ</t>
  </si>
  <si>
    <t>520036872</t>
  </si>
  <si>
    <t>נייס</t>
  </si>
  <si>
    <t>IL0002730112</t>
  </si>
  <si>
    <t>נקסט ויז'ן</t>
  </si>
  <si>
    <t>514259019</t>
  </si>
  <si>
    <t>IL0011765935</t>
  </si>
  <si>
    <t>קבוצת עזריאלי בע"מ (לשעבר קנית מימון)</t>
  </si>
  <si>
    <t>510960719</t>
  </si>
  <si>
    <t>עזריאלי קבוצה</t>
  </si>
  <si>
    <t>IL0011194789</t>
  </si>
  <si>
    <t>520000118</t>
  </si>
  <si>
    <t>פועלים</t>
  </si>
  <si>
    <t>IL0006625771</t>
  </si>
  <si>
    <t>פוקס-ויזל בע"מ</t>
  </si>
  <si>
    <t>512157603</t>
  </si>
  <si>
    <t>פוקס- ויזל</t>
  </si>
  <si>
    <t>IL0010870223</t>
  </si>
  <si>
    <t>פורמולה מערכות (1985)בע"מ</t>
  </si>
  <si>
    <t>520036690</t>
  </si>
  <si>
    <t>פורמולה מערכות</t>
  </si>
  <si>
    <t>IL0002560162</t>
  </si>
  <si>
    <t>קמטק בע"מ</t>
  </si>
  <si>
    <t>511235434</t>
  </si>
  <si>
    <t>קמטק</t>
  </si>
  <si>
    <t>IL0010952641</t>
  </si>
  <si>
    <t>רציו חיפושי נפט (1992) - שותפות מוגבלת</t>
  </si>
  <si>
    <t>550012777</t>
  </si>
  <si>
    <t>רציו יהש</t>
  </si>
  <si>
    <t>IL0003940157</t>
  </si>
  <si>
    <t>שופר-סל בע"מ</t>
  </si>
  <si>
    <t>520022732</t>
  </si>
  <si>
    <t>שופרסל</t>
  </si>
  <si>
    <t>IL0007770378</t>
  </si>
  <si>
    <t>Advanced Micro Devices inc</t>
  </si>
  <si>
    <t>R2I72C950HOYXII45366</t>
  </si>
  <si>
    <t>Advanced Micro Devices</t>
  </si>
  <si>
    <t>US0079031078</t>
  </si>
  <si>
    <t>ALPHABET INC</t>
  </si>
  <si>
    <t>5493006MHB84DD0ZWV18</t>
  </si>
  <si>
    <t>ALPHABET  INC  CL C ׂ</t>
  </si>
  <si>
    <t>US02079K1079</t>
  </si>
  <si>
    <t>amazon.com</t>
  </si>
  <si>
    <t>ZXTILKJKG63JELOEG630</t>
  </si>
  <si>
    <t>Amazon inc</t>
  </si>
  <si>
    <t>US0231351067</t>
  </si>
  <si>
    <t>APPLE COMPUTER INC</t>
  </si>
  <si>
    <t>HWUPKR0MPOU8FGXBT394</t>
  </si>
  <si>
    <t>Apple computer inc</t>
  </si>
  <si>
    <t>US0378331005</t>
  </si>
  <si>
    <t>ASML HOLDING NV-NY</t>
  </si>
  <si>
    <t>724500Y6DUVHQD6OXN27</t>
  </si>
  <si>
    <t>asml holding nv-ny</t>
  </si>
  <si>
    <t>USN070592100</t>
  </si>
  <si>
    <t>Broadcom Inc</t>
  </si>
  <si>
    <t>549300WV6GIDOZJTV909</t>
  </si>
  <si>
    <t>BROADCOM INC</t>
  </si>
  <si>
    <t>US11135F1012</t>
  </si>
  <si>
    <t>Camtek Ltd</t>
  </si>
  <si>
    <t>COSTCO WHOLESAL</t>
  </si>
  <si>
    <t>29DX7H14B9S6O3FD6V18</t>
  </si>
  <si>
    <t>COSTCO WHOLESALE CORP</t>
  </si>
  <si>
    <t>US22160K1051</t>
  </si>
  <si>
    <t>Food &amp; Staples Retailing Consumer Staples Distribution &amp; Retail</t>
  </si>
  <si>
    <t>JP MORGAN ASSET MANAGEMENT</t>
  </si>
  <si>
    <t>8I5DZWZKVSZI1NUHU748</t>
  </si>
  <si>
    <t>JPmorgan Chase</t>
  </si>
  <si>
    <t>US46625H1005</t>
  </si>
  <si>
    <t>MASTERCARD INC</t>
  </si>
  <si>
    <t>AR5L2ODV9HN37376R084</t>
  </si>
  <si>
    <t>Mastercard inc-cla</t>
  </si>
  <si>
    <t>US57636Q1040</t>
  </si>
  <si>
    <t>Diversified Financial Services Financial Services</t>
  </si>
  <si>
    <t>MICROSOFT CORP</t>
  </si>
  <si>
    <t>INR2EJN1ERAN0W5ZP974</t>
  </si>
  <si>
    <t>Microsoft corp</t>
  </si>
  <si>
    <t>US5949181045</t>
  </si>
  <si>
    <t>Nice Sys Adr</t>
  </si>
  <si>
    <t>US6536561086</t>
  </si>
  <si>
    <t>NVIDIA CORP</t>
  </si>
  <si>
    <t>549300S4KLFTLO7GSQ80</t>
  </si>
  <si>
    <t>Nvidia crop</t>
  </si>
  <si>
    <t>US67066G1040</t>
  </si>
  <si>
    <t xml:space="preserve">אורמת טכנולגיות אינק </t>
  </si>
  <si>
    <t>5493000TSHHWY24VHM09</t>
  </si>
  <si>
    <t>Ormat Technologies</t>
  </si>
  <si>
    <t>US6866881021</t>
  </si>
  <si>
    <t>TAIWAN Semiconductor</t>
  </si>
  <si>
    <t>549300KB6NK5SBD14S87</t>
  </si>
  <si>
    <t>Taiwan Semiconductor Adr</t>
  </si>
  <si>
    <t>US8740391003</t>
  </si>
  <si>
    <t>טיוואן</t>
  </si>
  <si>
    <t>VISA  Inc - CLASS  A</t>
  </si>
  <si>
    <t>549300JZ4OKEHW3DPJ59</t>
  </si>
  <si>
    <t>VISA inc-class a</t>
  </si>
  <si>
    <t>US92826C8394</t>
  </si>
  <si>
    <t>ביונ תלת מימד בע"מ</t>
  </si>
  <si>
    <t>514669506</t>
  </si>
  <si>
    <t>IL0011755613</t>
  </si>
  <si>
    <t>איירפורט סיטי בע"מ</t>
  </si>
  <si>
    <t>511659401</t>
  </si>
  <si>
    <t>איירפורט אגח ה</t>
  </si>
  <si>
    <t>IL0011334872</t>
  </si>
  <si>
    <t>AA</t>
  </si>
  <si>
    <t>28/02/2029</t>
  </si>
  <si>
    <t>אלבר שירותי מימונית בע"מ</t>
  </si>
  <si>
    <t>512025891</t>
  </si>
  <si>
    <t>אלבר אגח יט</t>
  </si>
  <si>
    <t>IL0011918245</t>
  </si>
  <si>
    <t>A+</t>
  </si>
  <si>
    <t>15/05/2028</t>
  </si>
  <si>
    <t>אלבר אגח כ</t>
  </si>
  <si>
    <t>IL0011918328</t>
  </si>
  <si>
    <t>20/06/2028</t>
  </si>
  <si>
    <t>אלדן תחבורה בע"מ</t>
  </si>
  <si>
    <t>510454333</t>
  </si>
  <si>
    <t>אלדן תחבורה אגח ח</t>
  </si>
  <si>
    <t>IL0011924425</t>
  </si>
  <si>
    <t>30/09/2029</t>
  </si>
  <si>
    <t>אלוני חץ אגח טו</t>
  </si>
  <si>
    <t>IL0011894149</t>
  </si>
  <si>
    <t>01/03/2037</t>
  </si>
  <si>
    <t>אלוני חץ אגח יב</t>
  </si>
  <si>
    <t>IL0039004952</t>
  </si>
  <si>
    <t>28/02/2031</t>
  </si>
  <si>
    <t>אלקטרה בע"מ</t>
  </si>
  <si>
    <t>520028911</t>
  </si>
  <si>
    <t>אלקטרה אגח ה</t>
  </si>
  <si>
    <t>IL0073902228</t>
  </si>
  <si>
    <t>10/01/2031</t>
  </si>
  <si>
    <t>אמות אגח ד</t>
  </si>
  <si>
    <t>IL0011331498</t>
  </si>
  <si>
    <t>02/07/2028</t>
  </si>
  <si>
    <t>אמות אגח ו</t>
  </si>
  <si>
    <t>IL0011586091</t>
  </si>
  <si>
    <t>03/10/2029</t>
  </si>
  <si>
    <t>אמות אגח ח</t>
  </si>
  <si>
    <t>IL0011727828</t>
  </si>
  <si>
    <t>אנלייט אנר אגח ו</t>
  </si>
  <si>
    <t>IL0072001733</t>
  </si>
  <si>
    <t>01/09/2026</t>
  </si>
  <si>
    <t>אנלייט אנרגיה אגח ד</t>
  </si>
  <si>
    <t>IL0072002566</t>
  </si>
  <si>
    <t>02/09/2029</t>
  </si>
  <si>
    <t>ארפורט אגח ט</t>
  </si>
  <si>
    <t>IL0011609448</t>
  </si>
  <si>
    <t>30/08/2035</t>
  </si>
  <si>
    <t>בתי זקוק לנפט בע"מ</t>
  </si>
  <si>
    <t>520036658</t>
  </si>
  <si>
    <t>בזן אגח יב</t>
  </si>
  <si>
    <t>IL0025905782</t>
  </si>
  <si>
    <t>25/09/2029</t>
  </si>
  <si>
    <t>ביג מרכזי קניות (2004) בע"מ</t>
  </si>
  <si>
    <t>513623314</t>
  </si>
  <si>
    <t>ביג אגח ז</t>
  </si>
  <si>
    <t>IL0011360844</t>
  </si>
  <si>
    <t>11/05/2025</t>
  </si>
  <si>
    <t>ביג אגח טו</t>
  </si>
  <si>
    <t>IL0011622219</t>
  </si>
  <si>
    <t>31/01/2030</t>
  </si>
  <si>
    <t>ביג אגח כ</t>
  </si>
  <si>
    <t>IL0011861882</t>
  </si>
  <si>
    <t>01/05/2033</t>
  </si>
  <si>
    <t>פז בית זיקוק לנפט-אשדוד בע"מ</t>
  </si>
  <si>
    <t>513775163</t>
  </si>
  <si>
    <t>בית זיקוק אשדוד אגח 2</t>
  </si>
  <si>
    <t>IL0011994881</t>
  </si>
  <si>
    <t>A-</t>
  </si>
  <si>
    <t>30/04/2029</t>
  </si>
  <si>
    <t>חברת גב-ים לקרקעות בע"מ</t>
  </si>
  <si>
    <t>520001736</t>
  </si>
  <si>
    <t>גב ים אגח ט</t>
  </si>
  <si>
    <t>IL0075902192</t>
  </si>
  <si>
    <t>30/06/2033</t>
  </si>
  <si>
    <t>גב ים סד' ו'</t>
  </si>
  <si>
    <t>IL0075901285</t>
  </si>
  <si>
    <t>31/03/2026</t>
  </si>
  <si>
    <t>ג'י סיטי בע"מ</t>
  </si>
  <si>
    <t>520033234</t>
  </si>
  <si>
    <t>ג'י סיטי  אגח יג</t>
  </si>
  <si>
    <t>IL0012606526</t>
  </si>
  <si>
    <t>30/06/2028</t>
  </si>
  <si>
    <t>דיסקונט מנפיקים בע"מ</t>
  </si>
  <si>
    <t>520029935</t>
  </si>
  <si>
    <t>דיסק מנ אגח טו</t>
  </si>
  <si>
    <t>IL0074803045</t>
  </si>
  <si>
    <t>15/08/2032</t>
  </si>
  <si>
    <t>דיסקונט אגח יד</t>
  </si>
  <si>
    <t>IL0074801635</t>
  </si>
  <si>
    <t>05/12/2030</t>
  </si>
  <si>
    <t>דיסקונט מנ נד י</t>
  </si>
  <si>
    <t>IL0012110693</t>
  </si>
  <si>
    <t>30/11/2030</t>
  </si>
  <si>
    <t>חברת הכשרת הישוב בישראל בע"מ</t>
  </si>
  <si>
    <t>520020116</t>
  </si>
  <si>
    <t>הכשרת הישוב אגח 25</t>
  </si>
  <si>
    <t>IL0011915274</t>
  </si>
  <si>
    <t>31/12/2029</t>
  </si>
  <si>
    <t>הכשרת ישוב אגח 21</t>
  </si>
  <si>
    <t>IL0061202243</t>
  </si>
  <si>
    <t>31/12/2027</t>
  </si>
  <si>
    <t>הפניקס אגח 5</t>
  </si>
  <si>
    <t>IL0076702849</t>
  </si>
  <si>
    <t>01/05/2030</t>
  </si>
  <si>
    <t>הראל ביטוח מימון והנפקות בע"מ</t>
  </si>
  <si>
    <t>513834200</t>
  </si>
  <si>
    <t>הראל הנפק אגח כ 31/12/2036</t>
  </si>
  <si>
    <t>IL0012079849</t>
  </si>
  <si>
    <t>01/01/2034</t>
  </si>
  <si>
    <t>הראל הנפקות אגח יט</t>
  </si>
  <si>
    <t>IL0011927725</t>
  </si>
  <si>
    <t>הראל השקעות בביטוח ושרותים פיננסים בע"מ</t>
  </si>
  <si>
    <t>520033986</t>
  </si>
  <si>
    <t>הראל השקעות אגח א</t>
  </si>
  <si>
    <t>IL0058501102</t>
  </si>
  <si>
    <t>31/12/2035</t>
  </si>
  <si>
    <t>החברה לישראל בע"מ</t>
  </si>
  <si>
    <t>520028010</t>
  </si>
  <si>
    <t>חברה לישראל אגח 14</t>
  </si>
  <si>
    <t>IL0057603016</t>
  </si>
  <si>
    <t>חברת החשמל לישראל בע"מ</t>
  </si>
  <si>
    <t>520000472</t>
  </si>
  <si>
    <t>חשמל     אגח 29</t>
  </si>
  <si>
    <t>IL0060002362</t>
  </si>
  <si>
    <t>01/03/2026</t>
  </si>
  <si>
    <t>חשמל אגח 27</t>
  </si>
  <si>
    <t>IL0060002107</t>
  </si>
  <si>
    <t>12/04/2029</t>
  </si>
  <si>
    <t>חשמל אגח 31</t>
  </si>
  <si>
    <t>IL0060002859</t>
  </si>
  <si>
    <t>21/09/2031</t>
  </si>
  <si>
    <t>יוניברסל מוטורס  ישראל בע"מ</t>
  </si>
  <si>
    <t>511809071</t>
  </si>
  <si>
    <t>יוניברסל אגח ד</t>
  </si>
  <si>
    <t>IL0011722530</t>
  </si>
  <si>
    <t>11/02/2029</t>
  </si>
  <si>
    <t>יוניברסל אגח ה</t>
  </si>
  <si>
    <t>IL0011926081</t>
  </si>
  <si>
    <t>10/02/2031</t>
  </si>
  <si>
    <t>ישרס חברה להשקעות בע"מ</t>
  </si>
  <si>
    <t>520017807</t>
  </si>
  <si>
    <t>ישרס אגח טו</t>
  </si>
  <si>
    <t>IL0061302076</t>
  </si>
  <si>
    <t>16/05/2027</t>
  </si>
  <si>
    <t>ישרס אגח יח</t>
  </si>
  <si>
    <t>IL0061302803</t>
  </si>
  <si>
    <t>10/04/2030</t>
  </si>
  <si>
    <t>כללביט מימון בע"מ</t>
  </si>
  <si>
    <t>513754069</t>
  </si>
  <si>
    <t>כלל אגח יא</t>
  </si>
  <si>
    <t>IL0011606477</t>
  </si>
  <si>
    <t>לאומי   אגח 179</t>
  </si>
  <si>
    <t>IL0060403727</t>
  </si>
  <si>
    <t>30/06/2026</t>
  </si>
  <si>
    <t>לאומי אגח  185</t>
  </si>
  <si>
    <t>IL0012018219</t>
  </si>
  <si>
    <t>31/08/2029</t>
  </si>
  <si>
    <t>לאומי אגח 182</t>
  </si>
  <si>
    <t>IL0060405391</t>
  </si>
  <si>
    <t>25/11/2027</t>
  </si>
  <si>
    <t>לאומי אגח 186</t>
  </si>
  <si>
    <t>IL0012018391</t>
  </si>
  <si>
    <t>30/11/2033</t>
  </si>
  <si>
    <t>לאומי אגח סד 183</t>
  </si>
  <si>
    <t>IL0060405474</t>
  </si>
  <si>
    <t>25/11/2029</t>
  </si>
  <si>
    <t>לאומי התח נד 403</t>
  </si>
  <si>
    <t>IL0060404303</t>
  </si>
  <si>
    <t>28/02/2025</t>
  </si>
  <si>
    <t>לאומי כתבי התח נד סד' 402</t>
  </si>
  <si>
    <t>IL0060403982</t>
  </si>
  <si>
    <t>31/07/2028</t>
  </si>
  <si>
    <t>מבנה נדל"ן (כ.ד)  בע"מ</t>
  </si>
  <si>
    <t>520024126</t>
  </si>
  <si>
    <t>מבני תעשיה  אגח כ</t>
  </si>
  <si>
    <t>IL0022604958</t>
  </si>
  <si>
    <t>מבני תעשיה אגח יז</t>
  </si>
  <si>
    <t>IL0022604461</t>
  </si>
  <si>
    <t>מגדל ביטוח גיוס הון בע"מ</t>
  </si>
  <si>
    <t>513230029</t>
  </si>
  <si>
    <t>מגדל ביטוח הון אגח יד</t>
  </si>
  <si>
    <t>IL0012075219</t>
  </si>
  <si>
    <t>מגדל הון אגח יג 31/12/2032</t>
  </si>
  <si>
    <t>IL0012075136</t>
  </si>
  <si>
    <t>31/12/2032</t>
  </si>
  <si>
    <t>מגה אור החזקות בע"מ</t>
  </si>
  <si>
    <t>513257873</t>
  </si>
  <si>
    <t>מגה אור אגח 8</t>
  </si>
  <si>
    <t>IL0011476020</t>
  </si>
  <si>
    <t>מגה אור אגח ז</t>
  </si>
  <si>
    <t>IL0011416968</t>
  </si>
  <si>
    <t>30/08/2027</t>
  </si>
  <si>
    <t>מזרחי טפחות חברה להנפקות בע"מ</t>
  </si>
  <si>
    <t>520032046</t>
  </si>
  <si>
    <t>מז  הנפק    46 1.22% 9/2027</t>
  </si>
  <si>
    <t>IL0023102259</t>
  </si>
  <si>
    <t>28/09/2027</t>
  </si>
  <si>
    <t>מז טפ הנ אגח 62</t>
  </si>
  <si>
    <t>IL0023104982</t>
  </si>
  <si>
    <t>22/10/2028</t>
  </si>
  <si>
    <t>מז טפ הנפ אגח61</t>
  </si>
  <si>
    <t>IL0023104644</t>
  </si>
  <si>
    <t>04/12/2026</t>
  </si>
  <si>
    <t>מז טפחות הנפ אגח57</t>
  </si>
  <si>
    <t>IL0023104230</t>
  </si>
  <si>
    <t>02/03/2025</t>
  </si>
  <si>
    <t>מזטפ הנפ הת65</t>
  </si>
  <si>
    <t>IL0011916751</t>
  </si>
  <si>
    <t>08/06/2028</t>
  </si>
  <si>
    <t>מזרחי טפ הנפק התח 69</t>
  </si>
  <si>
    <t>IL0012021593</t>
  </si>
  <si>
    <t>25/06/2029</t>
  </si>
  <si>
    <t>מזרחי טפחות הנפק אגח 64</t>
  </si>
  <si>
    <t>IL0023105559</t>
  </si>
  <si>
    <t>13/04/2031</t>
  </si>
  <si>
    <t xml:space="preserve">מימון ישיר מקבוצת ישיר 2006 בע"מ </t>
  </si>
  <si>
    <t>513893123</t>
  </si>
  <si>
    <t>מימון ישיר אגח ג</t>
  </si>
  <si>
    <t>IL0011712143</t>
  </si>
  <si>
    <t>31/12/2025</t>
  </si>
  <si>
    <t>מימון ישיר אגח ה</t>
  </si>
  <si>
    <t>IL0011828311</t>
  </si>
  <si>
    <t>31/07/2031</t>
  </si>
  <si>
    <t>מימון ישיר אגח ו</t>
  </si>
  <si>
    <t>IL0011916595</t>
  </si>
  <si>
    <t>מימון ישיר ד</t>
  </si>
  <si>
    <t>IL0011756603</t>
  </si>
  <si>
    <t>01/02/2026</t>
  </si>
  <si>
    <t>מליסרון  אגח יט</t>
  </si>
  <si>
    <t>IL0032303989</t>
  </si>
  <si>
    <t>01/07/2029</t>
  </si>
  <si>
    <t>נפטא חברה ישראלית לנפט בע"מ</t>
  </si>
  <si>
    <t>520020942</t>
  </si>
  <si>
    <t>נפטא אגח ח</t>
  </si>
  <si>
    <t>IL0064301695</t>
  </si>
  <si>
    <t>26/01/2025</t>
  </si>
  <si>
    <t>עזריאלי אגח ד</t>
  </si>
  <si>
    <t>IL0011386500</t>
  </si>
  <si>
    <t>05/07/2030</t>
  </si>
  <si>
    <t>עזריאלי אגח ה</t>
  </si>
  <si>
    <t>IL0011566036</t>
  </si>
  <si>
    <t>עזריאלי אגח ז</t>
  </si>
  <si>
    <t>IL0011786725</t>
  </si>
  <si>
    <t>02/07/2036</t>
  </si>
  <si>
    <t>עזריאלי קבוצה אגח ב סחיר</t>
  </si>
  <si>
    <t>IL0011344368</t>
  </si>
  <si>
    <t>01/04/2025</t>
  </si>
  <si>
    <t>פועלים אגח 100</t>
  </si>
  <si>
    <t>IL0066204889</t>
  </si>
  <si>
    <t>09/12/2031</t>
  </si>
  <si>
    <t>פועלים אגח 200</t>
  </si>
  <si>
    <t>IL0066204962</t>
  </si>
  <si>
    <t>פועלים אגח 201</t>
  </si>
  <si>
    <t>IL0011913451</t>
  </si>
  <si>
    <t>29/11/2032</t>
  </si>
  <si>
    <t>פועלים אגח 203</t>
  </si>
  <si>
    <t>IL0011998684</t>
  </si>
  <si>
    <t>02/12/2030</t>
  </si>
  <si>
    <t>פועלים התח נד יב</t>
  </si>
  <si>
    <t>IL0012141219</t>
  </si>
  <si>
    <t>28/11/2032</t>
  </si>
  <si>
    <t>פועלים התחייבות נדחים ו</t>
  </si>
  <si>
    <t>IL0066205530</t>
  </si>
  <si>
    <t>13/03/2028</t>
  </si>
  <si>
    <t>פורמולה אג"ח ג</t>
  </si>
  <si>
    <t>IL0025602090</t>
  </si>
  <si>
    <t>01/12/2026</t>
  </si>
  <si>
    <t>הפניקס גיוסי הון (2009) בע"מ</t>
  </si>
  <si>
    <t>514290345</t>
  </si>
  <si>
    <t>פניקס הון אגח יא</t>
  </si>
  <si>
    <t>IL0011593592</t>
  </si>
  <si>
    <t>פניקס הון אגח יד</t>
  </si>
  <si>
    <t>IL0012019464</t>
  </si>
  <si>
    <t>28/02/2030</t>
  </si>
  <si>
    <t>חברת פרטנר תקשורת בע"מ</t>
  </si>
  <si>
    <t>520044314</t>
  </si>
  <si>
    <t>פרטנר אגח ז</t>
  </si>
  <si>
    <t>IL0011563975</t>
  </si>
  <si>
    <t>25/06/2027</t>
  </si>
  <si>
    <t>רבוע כחול נדל"ן בע"מ</t>
  </si>
  <si>
    <t>513765859</t>
  </si>
  <si>
    <t>רבוע נדלן אגח ו</t>
  </si>
  <si>
    <t>IL0011406076</t>
  </si>
  <si>
    <t>30/11/2026</t>
  </si>
  <si>
    <t>שופרסל אגח ז</t>
  </si>
  <si>
    <t>IL0077702582</t>
  </si>
  <si>
    <t>20/08/2030</t>
  </si>
  <si>
    <t>שיכון ובינוי בע"מ</t>
  </si>
  <si>
    <t>520036104</t>
  </si>
  <si>
    <t>שיכון ובינוי אגח 6</t>
  </si>
  <si>
    <t>IL0011297335</t>
  </si>
  <si>
    <t>שיכון ובינוי אנרגיה בע"מ</t>
  </si>
  <si>
    <t>510459928</t>
  </si>
  <si>
    <t>שיכון ובינוי אנרגיה אגח א'</t>
  </si>
  <si>
    <t>IL0011985715</t>
  </si>
  <si>
    <t>30/06/2034</t>
  </si>
  <si>
    <t>ש.שלמה החזקות בע"מ</t>
  </si>
  <si>
    <t>520034372</t>
  </si>
  <si>
    <t>שלמה החז אגח יט</t>
  </si>
  <si>
    <t>IL0011927311</t>
  </si>
  <si>
    <t>21/12/2031</t>
  </si>
  <si>
    <t>שלמה החז אגח כ</t>
  </si>
  <si>
    <t>IL0011927493</t>
  </si>
  <si>
    <t>תמר פטרוליום בעמ</t>
  </si>
  <si>
    <t>515334662</t>
  </si>
  <si>
    <t>תמר פטרו אגח ב</t>
  </si>
  <si>
    <t>IL0011435935</t>
  </si>
  <si>
    <t>30/08/2028</t>
  </si>
  <si>
    <t>HAPOAL 3.255 01/21/32</t>
  </si>
  <si>
    <t>IL0066204707</t>
  </si>
  <si>
    <t>BBB-</t>
  </si>
  <si>
    <t>21/01/2032</t>
  </si>
  <si>
    <t>LUMIIT 3.275 01/29/3</t>
  </si>
  <si>
    <t>IL0060404899</t>
  </si>
  <si>
    <t>29/01/2031</t>
  </si>
  <si>
    <t>MZRHIT 3.077 04/07/3</t>
  </si>
  <si>
    <t>IL0069508369</t>
  </si>
  <si>
    <t>07/04/2031</t>
  </si>
  <si>
    <t>אדגר השקעות ופיתוח בע"מ</t>
  </si>
  <si>
    <t>520035171</t>
  </si>
  <si>
    <t>אדגר אגח ט</t>
  </si>
  <si>
    <t>IL0018201900</t>
  </si>
  <si>
    <t>01/07/2025</t>
  </si>
  <si>
    <t>כלל ביטוח אגח א</t>
  </si>
  <si>
    <t>IL0011934812</t>
  </si>
  <si>
    <t>28/02/2028</t>
  </si>
  <si>
    <t>כלל ביטוח אגח ג</t>
  </si>
  <si>
    <t>IL0012013913</t>
  </si>
  <si>
    <t>02/11/2031</t>
  </si>
  <si>
    <t>כלל מימון אגח יב</t>
  </si>
  <si>
    <t>IL0011799280</t>
  </si>
  <si>
    <t>31/03/2032</t>
  </si>
  <si>
    <t>מזרחי טפחות הנפק 49</t>
  </si>
  <si>
    <t>IL0023102820</t>
  </si>
  <si>
    <t>23/06/2026</t>
  </si>
  <si>
    <t>פועלים אגח 202</t>
  </si>
  <si>
    <t>IL0011998502</t>
  </si>
  <si>
    <t>30/04/2028</t>
  </si>
  <si>
    <t>פועלים ט' קוקו צמוד</t>
  </si>
  <si>
    <t>IL0011998841</t>
  </si>
  <si>
    <t>03/04/2025</t>
  </si>
  <si>
    <t>חברה לישראל אגח 15</t>
  </si>
  <si>
    <t>IL0057603271</t>
  </si>
  <si>
    <t>31/07/2030</t>
  </si>
  <si>
    <t>סלע קפיטל נדל"ן בע"מ</t>
  </si>
  <si>
    <t>513992529</t>
  </si>
  <si>
    <t>סלע נדלן אגח ב</t>
  </si>
  <si>
    <t>IL0011329278</t>
  </si>
  <si>
    <t>13/01/2025</t>
  </si>
  <si>
    <t>חוזים עתידיים בחול</t>
  </si>
  <si>
    <t>10527</t>
  </si>
  <si>
    <t>ESH5_SP500 EMINI FUT MAR25</t>
  </si>
  <si>
    <t>ESH5 Index</t>
  </si>
  <si>
    <t>CME </t>
  </si>
  <si>
    <t>HWAH5_SP500 MIC EMINI  MAR 25</t>
  </si>
  <si>
    <t>HWAH5</t>
  </si>
  <si>
    <t>NQH5_NASDAQ 100 MINI FUT Mar25</t>
  </si>
  <si>
    <t>NQH5 Index</t>
  </si>
  <si>
    <t>אלומיי קפיטל בע"מ</t>
  </si>
  <si>
    <t>520039868</t>
  </si>
  <si>
    <t>אלומיי אופ 2</t>
  </si>
  <si>
    <t>IL0012030826</t>
  </si>
  <si>
    <t>IL0010826357</t>
  </si>
  <si>
    <t>05/01/2028</t>
  </si>
  <si>
    <t>ביג אפ 7</t>
  </si>
  <si>
    <t>IL0012143454</t>
  </si>
  <si>
    <t>IL0010972607</t>
  </si>
  <si>
    <t>01/06/2026</t>
  </si>
  <si>
    <t>בית בכפר בע"מ</t>
  </si>
  <si>
    <t>511605719</t>
  </si>
  <si>
    <t>בית בכפר   אר 1</t>
  </si>
  <si>
    <t>IL0011836645</t>
  </si>
  <si>
    <t>IL0011836561</t>
  </si>
  <si>
    <t>30/01/2025</t>
  </si>
  <si>
    <t>זוז פאוור בע"מ</t>
  </si>
  <si>
    <t>514881564</t>
  </si>
  <si>
    <t>זוז פאוור אופ 3</t>
  </si>
  <si>
    <t>IL0011853210</t>
  </si>
  <si>
    <t>IL0011741845</t>
  </si>
  <si>
    <t>20/03/2025</t>
  </si>
  <si>
    <t>ביונ תלת מימד אופציה 2</t>
  </si>
  <si>
    <t>IL0011755878</t>
  </si>
  <si>
    <t>סקודיקס בע"מ</t>
  </si>
  <si>
    <t>513973297</t>
  </si>
  <si>
    <t>סקודיקס    אפ</t>
  </si>
  <si>
    <t>IL0011785081</t>
  </si>
  <si>
    <t>IL0011784902</t>
  </si>
  <si>
    <t>שמיים אימפרוב בע"מ</t>
  </si>
  <si>
    <t>515181014</t>
  </si>
  <si>
    <t>שמיים אופ 1</t>
  </si>
  <si>
    <t>IL0011762478</t>
  </si>
  <si>
    <t>IL0011762395</t>
  </si>
  <si>
    <t>01/06/2025</t>
  </si>
  <si>
    <t>NAV
(במטבע הדיווח של קרן ההשקעה)</t>
  </si>
  <si>
    <t>BRIDGES ISRAEL GP GROWTH FUND 1 LIMITED PARTNERSHI</t>
  </si>
  <si>
    <t>540279767</t>
  </si>
  <si>
    <t>Fimi Israel opportunity 5</t>
  </si>
  <si>
    <t>07/03/2019</t>
  </si>
  <si>
    <t>12/12/2024</t>
  </si>
  <si>
    <t>Primavera Capital GP IV Ltd.</t>
  </si>
  <si>
    <t>320581761</t>
  </si>
  <si>
    <t>FIRST TIME 2</t>
  </si>
  <si>
    <t>22/04/2018</t>
  </si>
  <si>
    <t>08/09/2024</t>
  </si>
  <si>
    <t>FORTISSIMO CAPITA FUND</t>
  </si>
  <si>
    <t>530278498</t>
  </si>
  <si>
    <t>Fortissimo Capital Fund III</t>
  </si>
  <si>
    <t>04/07/2012</t>
  </si>
  <si>
    <t>26/11/2024</t>
  </si>
  <si>
    <t>Klirmark IV</t>
  </si>
  <si>
    <t>90210</t>
  </si>
  <si>
    <t>klirmark IV</t>
  </si>
  <si>
    <t>23/04/2023</t>
  </si>
  <si>
    <t>30/12/2024</t>
  </si>
  <si>
    <t>Viola Private Equity I L.P</t>
  </si>
  <si>
    <t>12169</t>
  </si>
  <si>
    <t>VIOLA PRIVATE EQUITY</t>
  </si>
  <si>
    <t> אבא אבן 12 , הרצליה</t>
  </si>
  <si>
    <t>25/09/2008</t>
  </si>
  <si>
    <t>גרופ 11 קרן 5</t>
  </si>
  <si>
    <t>1992</t>
  </si>
  <si>
    <t>בברלי הילס קליפורניה</t>
  </si>
  <si>
    <t>09/11/2021</t>
  </si>
  <si>
    <t>25/11/2024</t>
  </si>
  <si>
    <t>פימי 6 אופורטיוניטי ישראל</t>
  </si>
  <si>
    <t> יגאל אלון 94 , תל אביב</t>
  </si>
  <si>
    <t> ישראל</t>
  </si>
  <si>
    <t>09/04/2024</t>
  </si>
  <si>
    <t>19/11/2024</t>
  </si>
  <si>
    <t>קוגיטו קפיטל אל.אמ.אי שותף כללי, שותפות מוגבלת</t>
  </si>
  <si>
    <t>550270912</t>
  </si>
  <si>
    <t>קוגיטו בי.אמ.אי</t>
  </si>
  <si>
    <t>04/09/2017</t>
  </si>
  <si>
    <t>28/11/2024</t>
  </si>
  <si>
    <t>2138005O9XJIJN4JPN90</t>
  </si>
  <si>
    <t>קוגיטו קפיטל</t>
  </si>
  <si>
    <t>31/12/2020</t>
  </si>
  <si>
    <t>Klirmark Opportunity L.P</t>
  </si>
  <si>
    <t>CO-121764</t>
  </si>
  <si>
    <t>קלירמארק 3</t>
  </si>
  <si>
    <t>13/11/2019</t>
  </si>
  <si>
    <t>ויטלייף פרטנרס (ישראל) ש.מ</t>
  </si>
  <si>
    <t>550226906</t>
  </si>
  <si>
    <t>קרן השקעה ויטה לייף 2</t>
  </si>
  <si>
    <t>22/05/2007</t>
  </si>
  <si>
    <t>פורטיסימו ניהול הון בע"מ</t>
  </si>
  <si>
    <t>530278514</t>
  </si>
  <si>
    <t>קרן השקעה פורטיסימו 2</t>
  </si>
  <si>
    <t>06/11/2008</t>
  </si>
  <si>
    <t>קרן פימי אופורטיוניטי 4 ס</t>
  </si>
  <si>
    <t>08/01/2008</t>
  </si>
  <si>
    <t>26/12/2024</t>
  </si>
  <si>
    <t>Plenus Mezzanine</t>
  </si>
  <si>
    <t>27372</t>
  </si>
  <si>
    <t>קרן פלנוס 3 (ס)</t>
  </si>
  <si>
    <t> אבא אבן 13 , הרצליה</t>
  </si>
  <si>
    <t>24/10/2007</t>
  </si>
  <si>
    <t>26/06/2024</t>
  </si>
  <si>
    <t>תמוז פיננסים (שותף כללי)  בע"מ</t>
  </si>
  <si>
    <t>515373843</t>
  </si>
  <si>
    <t>תמוז קרן צמיחה, שותפות מוגבלת</t>
  </si>
  <si>
    <t>30/08/2016</t>
  </si>
  <si>
    <t>27/12/2022</t>
  </si>
  <si>
    <t>( קרן )KLIRMARK</t>
  </si>
  <si>
    <t>30/03/2009</t>
  </si>
  <si>
    <t>20/06/2024</t>
  </si>
  <si>
    <t>AP Fund III GP, LLC</t>
  </si>
  <si>
    <t>84-2057868</t>
  </si>
  <si>
    <t>Blue Atlantic Fund 3 A</t>
  </si>
  <si>
    <t>12/08/2019</t>
  </si>
  <si>
    <t>Oak Street Real Estate Capital Fund</t>
  </si>
  <si>
    <t>9492</t>
  </si>
  <si>
    <t>Blue Owl Real Estate Fund VI</t>
  </si>
  <si>
    <t>11/05/2023</t>
  </si>
  <si>
    <t>18/12/2024</t>
  </si>
  <si>
    <t xml:space="preserve">Direct Lending Fund III General Partner </t>
  </si>
  <si>
    <t xml:space="preserve"> B216569</t>
  </si>
  <si>
    <t>Direct Lending Fund III</t>
  </si>
  <si>
    <t> לוקסמבורג</t>
  </si>
  <si>
    <t>11-13 Boulevard de la Foire, L-1528, Luxembourg</t>
  </si>
  <si>
    <t>07/05/2019</t>
  </si>
  <si>
    <t>22/12/2024</t>
  </si>
  <si>
    <t>אלקו בע"מ</t>
  </si>
  <si>
    <t>520025370</t>
  </si>
  <si>
    <t>Electra America Principal Hospitality</t>
  </si>
  <si>
    <t>15/03/2022</t>
  </si>
  <si>
    <t>08/12/2024</t>
  </si>
  <si>
    <t>EQT Infrastructure V</t>
  </si>
  <si>
    <t>2020 2423 842</t>
  </si>
  <si>
    <t>12/08/2021</t>
  </si>
  <si>
    <t>Hamilton Lane Advisors, LLC</t>
  </si>
  <si>
    <t xml:space="preserve">98-1588386 </t>
  </si>
  <si>
    <t>Hamilton Lane CI IV</t>
  </si>
  <si>
    <t>29/05/2019</t>
  </si>
  <si>
    <t>HGI Multifamily Credit Fund</t>
  </si>
  <si>
    <t>89918</t>
  </si>
  <si>
    <t>HGI Multifamily Credit Fund, LP</t>
  </si>
  <si>
    <t>12/07/2023</t>
  </si>
  <si>
    <t>ICG Fund</t>
  </si>
  <si>
    <t>12787</t>
  </si>
  <si>
    <t>ICG EUROPE VIL</t>
  </si>
  <si>
    <t>22/08/2018</t>
  </si>
  <si>
    <t>ICG NORTH AMEIRCA</t>
  </si>
  <si>
    <t>25/02/2019</t>
  </si>
  <si>
    <t>Insight Associates XII Buyout Annex, L.P.</t>
  </si>
  <si>
    <t>851058800</t>
  </si>
  <si>
    <t>Insight Venture Partners XII</t>
  </si>
  <si>
    <t>02/09/2021</t>
  </si>
  <si>
    <t>Moneta Capital</t>
  </si>
  <si>
    <t>540296522</t>
  </si>
  <si>
    <t>24/01/2019</t>
  </si>
  <si>
    <t>MV CREDIT</t>
  </si>
  <si>
    <t>13175</t>
  </si>
  <si>
    <t>Mv Senior 2</t>
  </si>
  <si>
    <t>21/07/2020</t>
  </si>
  <si>
    <t xml:space="preserve">Pantheon PGIF IV GP (Lux) </t>
  </si>
  <si>
    <t>B 283012</t>
  </si>
  <si>
    <t>PANTHEON ACCESS</t>
  </si>
  <si>
    <t>10/05/2018</t>
  </si>
  <si>
    <t>Pantheon Global Infrastructure Fund IV (Luxembourg</t>
  </si>
  <si>
    <t>25/07/2023</t>
  </si>
  <si>
    <t>23/12/2024</t>
  </si>
  <si>
    <t>Starlight Bond FP I LP</t>
  </si>
  <si>
    <t>90109</t>
  </si>
  <si>
    <t>24/01/2023</t>
  </si>
  <si>
    <t>20/11/2024</t>
  </si>
  <si>
    <t>Helios General 3 ltd</t>
  </si>
  <si>
    <t>7836236</t>
  </si>
  <si>
    <t>VINTAGE 5 ACCESS</t>
  </si>
  <si>
    <t>27/12/2018</t>
  </si>
  <si>
    <t>Vintage Fund of Funds IV</t>
  </si>
  <si>
    <t>17/05/2016</t>
  </si>
  <si>
    <t>Vintage Secondary Fund IV</t>
  </si>
  <si>
    <t>31/05/2018</t>
  </si>
  <si>
    <t>Viola Opportunity I</t>
  </si>
  <si>
    <t>89813</t>
  </si>
  <si>
    <t>Viola Opportunity I, L.P.</t>
  </si>
  <si>
    <t>28/02/2022</t>
  </si>
  <si>
    <t>Apexus Logisitcs RE Fund L.P</t>
  </si>
  <si>
    <t>89867</t>
  </si>
  <si>
    <t>אייפקס 9</t>
  </si>
  <si>
    <t> דלוואר</t>
  </si>
  <si>
    <t>10101 Fondren Road, Houston, TX 77096</t>
  </si>
  <si>
    <t>14/04/2022</t>
  </si>
  <si>
    <t>25/12/2024</t>
  </si>
  <si>
    <t>ALTO FUND</t>
  </si>
  <si>
    <t>27092</t>
  </si>
  <si>
    <t>אלטו נדלן 3</t>
  </si>
  <si>
    <t> ארה"ב</t>
  </si>
  <si>
    <t> ראול ולנברג 8 ,  תל אביב</t>
  </si>
  <si>
    <t>בלו אטלנטיק 2</t>
  </si>
  <si>
    <t>22/06/2017</t>
  </si>
  <si>
    <t>בלו אטלנטיק פרטנרס</t>
  </si>
  <si>
    <t>20/06/2016</t>
  </si>
  <si>
    <t>וינטאג' קו אינווסט 3</t>
  </si>
  <si>
    <t>09/01/2020</t>
  </si>
  <si>
    <t>16/12/2024</t>
  </si>
  <si>
    <t>Apax IX USD GP LP Inc</t>
  </si>
  <si>
    <t>550254411</t>
  </si>
  <si>
    <t>קרן אייפקס אירופה 7</t>
  </si>
  <si>
    <t>ג'רנסי</t>
  </si>
  <si>
    <t>  1 Glategny Esplanade, St Peter Port, Guernsey, GY1</t>
  </si>
  <si>
    <t>25/06/2007</t>
  </si>
  <si>
    <t>אלקטרה נדל"ן בע"מ</t>
  </si>
  <si>
    <t>510607328</t>
  </si>
  <si>
    <t>קרן אלקטרה נדלן 2</t>
  </si>
  <si>
    <t>29/11/2018</t>
  </si>
  <si>
    <t>בראק קפיטל פרופרטיז אן וי</t>
  </si>
  <si>
    <t>34250659</t>
  </si>
  <si>
    <t>קרן בראק קפיטל</t>
  </si>
  <si>
    <t> קפריסין</t>
  </si>
  <si>
    <t>15/03/2007</t>
  </si>
  <si>
    <t>540298221</t>
  </si>
  <si>
    <t>קרן גידור קולצ'יס</t>
  </si>
  <si>
    <t> איי קיימן</t>
  </si>
  <si>
    <t> 50 California st, San Francisco, CA</t>
  </si>
  <si>
    <t>03/07/2019</t>
  </si>
  <si>
    <t>Forma Fund</t>
  </si>
  <si>
    <t>530278654</t>
  </si>
  <si>
    <t>קרן פורמה</t>
  </si>
  <si>
    <t>17/08/2017</t>
  </si>
  <si>
    <t>א. רוטשילד ת ניהול נכסים בע"מ</t>
  </si>
  <si>
    <t>513872440</t>
  </si>
  <si>
    <t>קרן רוטשילד נדלן</t>
  </si>
  <si>
    <t> 20, Boulevard Emmanuel Servais, L-2535 Luxembourg</t>
  </si>
  <si>
    <t>15/09/2013</t>
  </si>
  <si>
    <t>אלון חברת הדלק לישראל בע"מ</t>
  </si>
  <si>
    <t>520041690</t>
  </si>
  <si>
    <t>אלון דלק בנאמנות</t>
  </si>
  <si>
    <t>7430</t>
  </si>
  <si>
    <t>27/09/2018</t>
  </si>
  <si>
    <t>08/01/2019</t>
  </si>
  <si>
    <t>CIVAN ADVANCED TECHNOGIES</t>
  </si>
  <si>
    <t>514154244</t>
  </si>
  <si>
    <t>Civan Advanced Technologies Ltd</t>
  </si>
  <si>
    <t>29994641</t>
  </si>
  <si>
    <t>Technology Hardware Storage</t>
  </si>
  <si>
    <t>25/03/2024</t>
  </si>
  <si>
    <t>31/03/2024</t>
  </si>
  <si>
    <t>ויולה ג נרשיין ניהול 2</t>
  </si>
  <si>
    <t>7562</t>
  </si>
  <si>
    <t>23/08/2018</t>
  </si>
  <si>
    <t>07/10/2024</t>
  </si>
  <si>
    <t>LUSIX</t>
  </si>
  <si>
    <t>89830</t>
  </si>
  <si>
    <t>62020191</t>
  </si>
  <si>
    <t>16/03/2022</t>
  </si>
  <si>
    <t>28/08/2024</t>
  </si>
  <si>
    <t>וויו (veev) גרופ</t>
  </si>
  <si>
    <t>832652993</t>
  </si>
  <si>
    <t>C  וויו גרופ קו הבריאות</t>
  </si>
  <si>
    <t>US9224741010</t>
  </si>
  <si>
    <t>28/11/2023</t>
  </si>
  <si>
    <t>31/12/2023</t>
  </si>
  <si>
    <t xml:space="preserve">י.ח.ק להשקעות שותפות מוגבלת </t>
  </si>
  <si>
    <t>550016091</t>
  </si>
  <si>
    <t>י.ח.ק.  אגח ב רמ</t>
  </si>
  <si>
    <t>IL0011817835</t>
  </si>
  <si>
    <t>17/11/2021</t>
  </si>
  <si>
    <t>31/12/2028</t>
  </si>
  <si>
    <t>כלל תעשיות בע"מ</t>
  </si>
  <si>
    <t>520021874</t>
  </si>
  <si>
    <t>כלל תעש אגח טז-רמ</t>
  </si>
  <si>
    <t>IL0060802381</t>
  </si>
  <si>
    <t>27/10/2021</t>
  </si>
  <si>
    <t>אי תלות</t>
  </si>
  <si>
    <t>מת"ם - מרכז תעשיות מדע חיפה בע"מ</t>
  </si>
  <si>
    <t>510687403</t>
  </si>
  <si>
    <t>מתם מרכז תעשיות מדע חיפה אגח א ר.מ</t>
  </si>
  <si>
    <t>IL0011389991</t>
  </si>
  <si>
    <t>04/03/2024</t>
  </si>
  <si>
    <t>20/07/2040</t>
  </si>
  <si>
    <t>עוגן-אג"ח חברתית 2 בע"מ</t>
  </si>
  <si>
    <t>516556545</t>
  </si>
  <si>
    <t>עוגן חברתית 2 אגחא-רמ</t>
  </si>
  <si>
    <t>IL0011968315</t>
  </si>
  <si>
    <t>19/06/2023</t>
  </si>
  <si>
    <t>15/03/2026</t>
  </si>
  <si>
    <t>לוויתן בונד בע"מ</t>
  </si>
  <si>
    <t>516223864</t>
  </si>
  <si>
    <t>LVIATH 6 1/2 30/06/2027</t>
  </si>
  <si>
    <t>IL0011677825</t>
  </si>
  <si>
    <t>18/10/2023</t>
  </si>
  <si>
    <t>BB-</t>
  </si>
  <si>
    <t>קרור אחזקות בע"מ</t>
  </si>
  <si>
    <t>520001546</t>
  </si>
  <si>
    <t>זכאי ריבית קרדן ב</t>
  </si>
  <si>
    <t>7561</t>
  </si>
  <si>
    <t>31/12/2018</t>
  </si>
  <si>
    <t>20/12/2050</t>
  </si>
  <si>
    <t>לאומי שטר הון 25.1.2002</t>
  </si>
  <si>
    <t>6401380</t>
  </si>
  <si>
    <t>25/12/2002</t>
  </si>
  <si>
    <t>01/12/2028</t>
  </si>
  <si>
    <t>אגרקסקו חברה ליצוא חקלאי בע"מ</t>
  </si>
  <si>
    <t>510155625</t>
  </si>
  <si>
    <t>אגרקסו אגח א'-חש 04/2012</t>
  </si>
  <si>
    <t>1126770</t>
  </si>
  <si>
    <t>27/12/2007</t>
  </si>
  <si>
    <t>31/03/2020</t>
  </si>
  <si>
    <t>30/11/2024</t>
  </si>
  <si>
    <t>אגרקסקו אגח א לס 2017</t>
  </si>
  <si>
    <t>IL0011091803</t>
  </si>
  <si>
    <t>C</t>
  </si>
  <si>
    <t>30/04/2017</t>
  </si>
  <si>
    <t>אלון חברת הדלק אגח סד' א-קו הבריאות</t>
  </si>
  <si>
    <t>IL0011015679</t>
  </si>
  <si>
    <t>26/02/2023</t>
  </si>
  <si>
    <t>R/S</t>
  </si>
  <si>
    <t>22/01/2023</t>
  </si>
  <si>
    <t>23/10/2023</t>
  </si>
  <si>
    <t>אמפל-אמריקן ישראל קורפוריישן</t>
  </si>
  <si>
    <t>130435685</t>
  </si>
  <si>
    <t>אמפל אמריקן אגח ב</t>
  </si>
  <si>
    <t>28/04/2008</t>
  </si>
  <si>
    <t>31/01/2016</t>
  </si>
  <si>
    <t>וי.אי.די. התפלת מי אשקלון</t>
  </si>
  <si>
    <t>513102384</t>
  </si>
  <si>
    <t>וי.אי.די. אג"ח מאוחד 0706</t>
  </si>
  <si>
    <t>IL0010979974</t>
  </si>
  <si>
    <t>23/04/2006</t>
  </si>
  <si>
    <t>22/10/2025</t>
  </si>
  <si>
    <t>05/12/2018</t>
  </si>
  <si>
    <t>אלה פקדונות בע"מ</t>
  </si>
  <si>
    <t>515666881</t>
  </si>
  <si>
    <t>אלה פקדון אגח ה</t>
  </si>
  <si>
    <t>IL0011625774</t>
  </si>
  <si>
    <t>Apax Europe VII GP Co Limited</t>
  </si>
  <si>
    <t>46200  </t>
  </si>
  <si>
    <t>APAX EUROPE VII</t>
  </si>
  <si>
    <t>Oak Street Real Estate Capital Fund VI, LP</t>
  </si>
  <si>
    <t>Blue Owl RE Fund VI</t>
  </si>
  <si>
    <t>Brack Capital</t>
  </si>
  <si>
    <t>Electra America Hospitality AKA LLC</t>
  </si>
  <si>
    <t>86-3690594</t>
  </si>
  <si>
    <t>EQT Infrastructure V (General Partner) S.à r.l.</t>
  </si>
  <si>
    <t>B243992</t>
  </si>
  <si>
    <t>EQT Infrastructure V (יורו)</t>
  </si>
  <si>
    <t>FIMI 4 2007 Ltd.</t>
  </si>
  <si>
    <t>Fimi Israel Opportunity 4</t>
  </si>
  <si>
    <t>FIMI 6 2016 Ltd.</t>
  </si>
  <si>
    <t>Fimi Israel Opportunity 6</t>
  </si>
  <si>
    <t>Firstime Ventures II General Partner L.P</t>
  </si>
  <si>
    <t>C0-86950</t>
  </si>
  <si>
    <t>First Time II</t>
  </si>
  <si>
    <t>Hamilton Lane Co-Investment GP IV LLC</t>
  </si>
  <si>
    <t>26-2962336</t>
  </si>
  <si>
    <t>Hamilton Co-invest IV</t>
  </si>
  <si>
    <t>HGI Multifamily Credit Fund GP LLC</t>
  </si>
  <si>
    <t>Insight Venture Management LLC</t>
  </si>
  <si>
    <t>98-1583518</t>
  </si>
  <si>
    <t>Insight Partners XII</t>
  </si>
  <si>
    <t>Pantheon Access GP S.à r.l</t>
  </si>
  <si>
    <t>B 201.101</t>
  </si>
  <si>
    <t>Pantheon Access Feeder 2017</t>
  </si>
  <si>
    <t>Pantheon PGIF IV GP (LUX) S.à r.l</t>
  </si>
  <si>
    <t>PGIF IV  פנתאון</t>
  </si>
  <si>
    <t>Starlight Bond FP I GP LIMITED</t>
  </si>
  <si>
    <t>RN154766</t>
  </si>
  <si>
    <t>Starlight Bond FP I</t>
  </si>
  <si>
    <t>Vintage Co-Investment III GP, L.P.</t>
  </si>
  <si>
    <t>Vintage Growth Fund III</t>
  </si>
  <si>
    <t>VINTAGE INVESTMENTS 9 LIMITED PARTNERSHIP</t>
  </si>
  <si>
    <t>Vintage IV</t>
  </si>
  <si>
    <t>Vintage Investments 10 Limited Partnership</t>
  </si>
  <si>
    <t>MC-91593</t>
  </si>
  <si>
    <t>Vintage Secondary IV</t>
  </si>
  <si>
    <t>Vintage Investments 11 (Access), L.P.</t>
  </si>
  <si>
    <t>MC-96011</t>
  </si>
  <si>
    <t>Vintage V Acess</t>
  </si>
  <si>
    <t>Viola Opportunity GP I, LP</t>
  </si>
  <si>
    <t xml:space="preserve"> 114992 Cayman</t>
  </si>
  <si>
    <t>MONETA FUND G.P LTD</t>
  </si>
  <si>
    <t>מונטה</t>
  </si>
  <si>
    <t>FORTISSIMO CAPITAL FUND II (GP) , L.P</t>
  </si>
  <si>
    <t>פורטיסימו 2</t>
  </si>
  <si>
    <t>FORTISSIMO CAPITAL FUND III (GP) , L.P</t>
  </si>
  <si>
    <t>פורטיסימו 3</t>
  </si>
  <si>
    <t>FORMA FUND GENERAL PARTNER LTD</t>
  </si>
  <si>
    <t>פורמה</t>
  </si>
  <si>
    <t xml:space="preserve"> קוגיטו קפיטל אל.אמ.אי שותף כללי, שותפות מוגבלת. ש.מ </t>
  </si>
  <si>
    <t>קוגיטו קפיטל BME</t>
  </si>
  <si>
    <t xml:space="preserve">  קוגיטו קפיטל שותף כללי בע"מ. </t>
  </si>
  <si>
    <t>קוגיטו קפיטל SME</t>
  </si>
  <si>
    <t>רוטשילד</t>
  </si>
  <si>
    <t>Direct Lending Fund III General Partner S.a.r.l.</t>
  </si>
  <si>
    <t>B216569</t>
  </si>
  <si>
    <t>Direct Lending III</t>
  </si>
  <si>
    <t>ICG Europe Fund VII GP S.à r.l.</t>
  </si>
  <si>
    <t>B222269</t>
  </si>
  <si>
    <t>ICG Europe VII</t>
  </si>
  <si>
    <t>ICG North American Private Debt II</t>
  </si>
  <si>
    <t>Special Situations 2019 Investors, LLC</t>
  </si>
  <si>
    <t>CO-101523</t>
  </si>
  <si>
    <t>Klirmark Fund III</t>
  </si>
  <si>
    <t xml:space="preserve">Klirmark Opportunity Fund </t>
  </si>
  <si>
    <t>CO – 121764</t>
  </si>
  <si>
    <t>Klirmark Fund IV</t>
  </si>
  <si>
    <t>MV Senior GP S.à r.l.</t>
  </si>
  <si>
    <t>MV Credit Senior II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</si>
</sst>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5">
    <numFmt numFmtId="43" formatCode="_ * #,##0.00_ ;_ * \-#,##0.00_ ;_ * &quot;-&quot;??_ ;_ @_ "/>
    <numFmt numFmtId="165" formatCode="0.000"/>
    <numFmt numFmtId="166" formatCode="0.000000"/>
    <numFmt numFmtId="167" formatCode="0.000%"/>
    <numFmt numFmtId="168" formatCode="dd/mm/yyyy"/>
  </numFmts>
  <fonts count="28">
    <font>
      <sz val="11"/>
      <color theme="1"/>
      <name val="Arial"/>
      <family val="2"/>
      <scheme val="minor"/>
    </font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scheme val="minor"/>
    </font>
    <font>
      <sz val="11"/>
      <color theme="1"/>
      <name val="Arial"/>
      <family val="2"/>
    </font>
    <font>
      <sz val="11"/>
      <color theme="1"/>
      <name val="Arial"/>
      <family val="2"/>
      <scheme val="minor"/>
    </font>
    <font>
      <b/>
      <sz val="11"/>
      <color theme="1"/>
      <name val="Arial"/>
      <family val="2"/>
    </font>
    <font>
      <sz val="10"/>
      <color theme="0"/>
      <name val="Arial"/>
      <family val="2"/>
    </font>
    <font>
      <b/>
      <sz val="10"/>
      <color theme="0"/>
      <name val="Arial"/>
      <family val="2"/>
    </font>
    <font>
      <sz val="10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b/>
      <sz val="10"/>
      <color theme="1"/>
      <name val="Arial"/>
      <family val="2"/>
    </font>
    <font>
      <sz val="10"/>
      <color theme="3"/>
      <name val="Arial"/>
      <family val="2"/>
    </font>
    <font>
      <sz val="10"/>
      <color theme="2" tint="-0.749992370372631"/>
      <name val="Open Sans"/>
      <family val="2"/>
    </font>
    <font>
      <b/>
      <sz val="11"/>
      <color theme="1"/>
      <name val="Arial"/>
      <family val="2"/>
      <scheme val="minor"/>
    </font>
    <font>
      <b/>
      <sz val="14"/>
      <color theme="0"/>
      <name val="Arial"/>
      <family val="2"/>
    </font>
    <font>
      <b/>
      <u/>
      <sz val="10"/>
      <color theme="1"/>
      <name val="Arial"/>
      <family val="2"/>
      <scheme val="minor"/>
    </font>
    <font>
      <i/>
      <sz val="11"/>
      <color theme="1"/>
      <name val="Arial"/>
      <family val="2"/>
      <scheme val="minor"/>
    </font>
    <font>
      <sz val="12"/>
      <color theme="1"/>
      <name val="David"/>
      <family val="2"/>
    </font>
    <font>
      <b/>
      <sz val="12"/>
      <color theme="1"/>
      <name val="David"/>
      <family val="2"/>
    </font>
    <font>
      <b/>
      <sz val="11"/>
      <color theme="0"/>
      <name val="Arial"/>
      <family val="2"/>
    </font>
    <font>
      <b/>
      <sz val="12"/>
      <color theme="9" tint="-0.499984740745262"/>
      <name val="Wingdings"/>
      <charset val="2"/>
    </font>
    <font>
      <b/>
      <sz val="12"/>
      <color theme="9" tint="-0.499984740745262"/>
      <name val="David"/>
      <family val="2"/>
    </font>
    <font>
      <strike/>
      <sz val="11"/>
      <color theme="1"/>
      <name val="Arial"/>
      <family val="2"/>
    </font>
    <font>
      <strike/>
      <sz val="11"/>
      <color theme="1"/>
      <name val="Arial"/>
      <family val="2"/>
      <scheme val="minor"/>
    </font>
    <font>
      <sz val="11"/>
      <name val="Arial"/>
      <family val="2"/>
      <scheme val="minor"/>
    </font>
    <font>
      <sz val="11"/>
      <name val="Arial"/>
      <family val="2"/>
      <scheme val="minor"/>
    </font>
    <font>
      <b/>
      <u/>
      <sz val="11"/>
      <color theme="1"/>
      <name val="Arial"/>
      <family val="2"/>
    </font>
    <font>
      <sz val="11"/>
      <color rgb="FF000000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21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39994506668294322"/>
      </top>
      <bottom style="thin">
        <color theme="4" tint="0.39994506668294322"/>
      </bottom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39994506668294322"/>
      </top>
      <bottom/>
      <diagonal/>
    </border>
    <border>
      <left style="thin">
        <color theme="4" tint="0.39994506668294322"/>
      </left>
      <right style="thin">
        <color theme="4" tint="0.39994506668294322"/>
      </right>
      <top/>
      <bottom/>
      <diagonal/>
    </border>
    <border>
      <left style="thin">
        <color theme="4" tint="0.39994506668294322"/>
      </left>
      <right style="thin">
        <color theme="4" tint="0.39994506668294322"/>
      </right>
      <top/>
      <bottom style="thin">
        <color theme="4" tint="0.39994506668294322"/>
      </bottom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39991454817346722"/>
      </top>
      <bottom/>
      <diagonal/>
    </border>
    <border>
      <left style="hair">
        <color theme="1"/>
      </left>
      <right style="hair">
        <color theme="1"/>
      </right>
      <top style="hair">
        <color theme="1"/>
      </top>
      <bottom style="hair">
        <color theme="1"/>
      </bottom>
      <diagonal/>
    </border>
    <border>
      <left style="thin">
        <color theme="2" tint="-0.24994659260841701"/>
      </left>
      <right style="thin">
        <color theme="2" tint="-0.24994659260841701"/>
      </right>
      <top style="thin">
        <color theme="2" tint="-0.24994659260841701"/>
      </top>
      <bottom style="thin">
        <color theme="2" tint="-0.24994659260841701"/>
      </bottom>
      <diagonal/>
    </border>
    <border>
      <left style="hair">
        <color theme="1"/>
      </left>
      <right/>
      <top style="hair">
        <color theme="1"/>
      </top>
      <bottom style="hair">
        <color theme="1"/>
      </bottom>
      <diagonal/>
    </border>
    <border>
      <left/>
      <right style="hair">
        <color theme="1"/>
      </right>
      <top style="hair">
        <color theme="1"/>
      </top>
      <bottom style="hair">
        <color theme="1"/>
      </bottom>
      <diagonal/>
    </border>
    <border>
      <left style="dashed">
        <color auto="1"/>
      </left>
      <right/>
      <top style="dashed">
        <color auto="1"/>
      </top>
      <bottom/>
      <diagonal/>
    </border>
    <border>
      <left/>
      <right/>
      <top style="dashed">
        <color auto="1"/>
      </top>
      <bottom/>
      <diagonal/>
    </border>
    <border>
      <left/>
      <right style="dashed">
        <color auto="1"/>
      </right>
      <top style="dashed">
        <color auto="1"/>
      </top>
      <bottom/>
      <diagonal/>
    </border>
    <border>
      <left/>
      <right style="thin">
        <color theme="4" tint="0.39994506668294322"/>
      </right>
      <top/>
      <bottom/>
      <diagonal/>
    </border>
    <border>
      <left style="thin">
        <color theme="4" tint="0.39994506668294322"/>
      </left>
      <right/>
      <top/>
      <bottom/>
      <diagonal/>
    </border>
    <border>
      <left/>
      <right style="thin">
        <color theme="4" tint="0.39994506668294322"/>
      </right>
      <top style="thin">
        <color theme="4" tint="0.39994506668294322"/>
      </top>
      <bottom style="thin">
        <color theme="4" tint="0.39994506668294322"/>
      </bottom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</borders>
  <cellStyleXfs count="7">
    <xf numFmtId="0" fontId="0" fillId="0" borderId="0"/>
    <xf numFmtId="43" fontId="9" fillId="0" borderId="0"/>
    <xf numFmtId="0" fontId="9" fillId="0" borderId="0"/>
    <xf numFmtId="0" fontId="9" fillId="0" borderId="0"/>
    <xf numFmtId="9" fontId="9" fillId="0" borderId="0"/>
    <xf numFmtId="43" fontId="2" fillId="0" borderId="0" applyFont="0" applyFill="0" applyBorder="0" applyAlignment="0" applyProtection="0"/>
    <xf numFmtId="9" fontId="2" fillId="0" borderId="0"/>
  </cellStyleXfs>
  <cellXfs count="177">
    <xf numFmtId="0" fontId="0" fillId="0" borderId="0" xfId="0" applyNumberFormat="1" applyFont="1" applyFill="1" applyBorder="1"/>
    <xf numFmtId="0" fontId="0" fillId="0" borderId="0" xfId="0" applyNumberFormat="1" applyFont="1" applyFill="1" applyBorder="1" applyAlignment="1">
      <alignment horizontal="center"/>
    </xf>
    <xf numFmtId="0" fontId="4" fillId="0" borderId="0" xfId="0" applyNumberFormat="1" applyFont="1" applyFill="1" applyBorder="1"/>
    <xf numFmtId="0" fontId="3" fillId="0" borderId="0" xfId="0" applyNumberFormat="1" applyFont="1" applyFill="1" applyBorder="1"/>
    <xf numFmtId="0" fontId="2" fillId="0" borderId="0" xfId="0" applyNumberFormat="1" applyFont="1" applyFill="1" applyBorder="1"/>
    <xf numFmtId="0" fontId="2" fillId="0" borderId="0" xfId="0" applyNumberFormat="1" applyFont="1" applyFill="1" applyBorder="1" applyAlignment="1">
      <alignment horizontal="center"/>
    </xf>
    <xf numFmtId="0" fontId="10" fillId="4" borderId="0" xfId="0" applyNumberFormat="1" applyFont="1" applyFill="1" applyBorder="1"/>
    <xf numFmtId="0" fontId="11" fillId="0" borderId="0" xfId="0" applyNumberFormat="1" applyFont="1" applyFill="1" applyBorder="1"/>
    <xf numFmtId="0" fontId="0" fillId="0" borderId="0" xfId="0" applyNumberFormat="1" applyFont="1" applyFill="1" applyBorder="1" applyAlignment="1">
      <alignment horizontal="right"/>
    </xf>
    <xf numFmtId="0" fontId="0" fillId="0" borderId="0" xfId="0" applyNumberFormat="1" applyFont="1" applyFill="1" applyBorder="1" applyProtection="1">
      <protection locked="0"/>
    </xf>
    <xf numFmtId="0" fontId="5" fillId="4" borderId="0" xfId="0" applyNumberFormat="1" applyFont="1" applyFill="1" applyBorder="1"/>
    <xf numFmtId="0" fontId="3" fillId="0" borderId="0" xfId="0" applyNumberFormat="1" applyFont="1" applyFill="1" applyBorder="1" applyProtection="1">
      <protection locked="0"/>
    </xf>
    <xf numFmtId="0" fontId="7" fillId="3" borderId="2" xfId="0" applyNumberFormat="1" applyFont="1" applyFill="1" applyBorder="1" applyAlignment="1">
      <alignment horizontal="center" vertical="center" wrapText="1"/>
    </xf>
    <xf numFmtId="0" fontId="4" fillId="0" borderId="0" xfId="0" applyNumberFormat="1" applyFont="1" applyFill="1" applyBorder="1" applyProtection="1">
      <protection locked="0"/>
    </xf>
    <xf numFmtId="0" fontId="3" fillId="2" borderId="3" xfId="0" applyNumberFormat="1" applyFont="1" applyFill="1" applyBorder="1" applyAlignment="1">
      <alignment horizontal="right"/>
    </xf>
    <xf numFmtId="0" fontId="3" fillId="0" borderId="3" xfId="0" applyNumberFormat="1" applyFont="1" applyFill="1" applyBorder="1" applyAlignment="1">
      <alignment horizontal="right"/>
    </xf>
    <xf numFmtId="0" fontId="13" fillId="0" borderId="0" xfId="0" applyNumberFormat="1" applyFont="1" applyFill="1" applyBorder="1"/>
    <xf numFmtId="14" fontId="2" fillId="0" borderId="0" xfId="0" applyNumberFormat="1" applyFont="1" applyFill="1" applyBorder="1" applyAlignment="1">
      <alignment horizontal="center"/>
    </xf>
    <xf numFmtId="0" fontId="2" fillId="0" borderId="0" xfId="0" applyNumberFormat="1" applyFont="1" applyFill="1" applyBorder="1" applyProtection="1">
      <protection locked="0"/>
    </xf>
    <xf numFmtId="0" fontId="12" fillId="5" borderId="0" xfId="2" applyNumberFormat="1" applyFont="1" applyFill="1" applyBorder="1" applyAlignment="1" applyProtection="1">
      <alignment horizontal="left" vertical="center" wrapText="1" indent="1"/>
      <protection locked="0"/>
    </xf>
    <xf numFmtId="0" fontId="14" fillId="3" borderId="7" xfId="0" applyNumberFormat="1" applyFont="1" applyFill="1" applyBorder="1" applyAlignment="1">
      <alignment vertical="center"/>
    </xf>
    <xf numFmtId="0" fontId="14" fillId="3" borderId="0" xfId="0" applyNumberFormat="1" applyFont="1" applyFill="1" applyBorder="1" applyAlignment="1">
      <alignment vertical="center"/>
    </xf>
    <xf numFmtId="49" fontId="0" fillId="0" borderId="0" xfId="0" applyNumberFormat="1" applyFont="1" applyFill="1" applyBorder="1" applyAlignment="1">
      <alignment horizontal="right"/>
    </xf>
    <xf numFmtId="49" fontId="13" fillId="0" borderId="0" xfId="0" applyNumberFormat="1" applyFont="1" applyFill="1" applyBorder="1" applyAlignment="1">
      <alignment horizontal="right"/>
    </xf>
    <xf numFmtId="0" fontId="16" fillId="0" borderId="0" xfId="0" applyNumberFormat="1" applyFont="1" applyFill="1" applyBorder="1"/>
    <xf numFmtId="0" fontId="17" fillId="0" borderId="1" xfId="0" applyNumberFormat="1" applyFont="1" applyFill="1" applyBorder="1" applyAlignment="1">
      <alignment vertical="center" wrapText="1" readingOrder="2"/>
    </xf>
    <xf numFmtId="0" fontId="17" fillId="0" borderId="1" xfId="0" applyNumberFormat="1" applyFont="1" applyFill="1" applyBorder="1" applyAlignment="1">
      <alignment horizontal="right" vertical="center" wrapText="1" readingOrder="2"/>
    </xf>
    <xf numFmtId="2" fontId="17" fillId="0" borderId="1" xfId="0" applyNumberFormat="1" applyFont="1" applyFill="1" applyBorder="1" applyAlignment="1">
      <alignment vertical="center" wrapText="1" readingOrder="2"/>
    </xf>
    <xf numFmtId="165" fontId="17" fillId="0" borderId="1" xfId="0" applyNumberFormat="1" applyFont="1" applyFill="1" applyBorder="1" applyAlignment="1">
      <alignment vertical="center" wrapText="1" readingOrder="2"/>
    </xf>
    <xf numFmtId="1" fontId="0" fillId="0" borderId="0" xfId="0" applyNumberFormat="1" applyFont="1" applyFill="1" applyBorder="1" applyAlignment="1">
      <alignment horizontal="right"/>
    </xf>
    <xf numFmtId="0" fontId="18" fillId="0" borderId="1" xfId="0" applyNumberFormat="1" applyFont="1" applyFill="1" applyBorder="1" applyAlignment="1">
      <alignment vertical="center" wrapText="1" readingOrder="2"/>
    </xf>
    <xf numFmtId="0" fontId="6" fillId="3" borderId="10" xfId="0" applyNumberFormat="1" applyFont="1" applyFill="1" applyBorder="1" applyAlignment="1">
      <alignment horizontal="center" vertical="center" wrapText="1"/>
    </xf>
    <xf numFmtId="0" fontId="7" fillId="3" borderId="10" xfId="0" applyNumberFormat="1" applyFont="1" applyFill="1" applyBorder="1" applyAlignment="1">
      <alignment horizontal="center" vertical="center" wrapText="1"/>
    </xf>
    <xf numFmtId="0" fontId="7" fillId="3" borderId="10" xfId="0" applyNumberFormat="1" applyFont="1" applyFill="1" applyBorder="1" applyAlignment="1">
      <alignment horizontal="right" vertical="center" wrapText="1"/>
    </xf>
    <xf numFmtId="0" fontId="8" fillId="0" borderId="10" xfId="0" applyNumberFormat="1" applyFont="1" applyFill="1" applyBorder="1"/>
    <xf numFmtId="0" fontId="8" fillId="0" borderId="10" xfId="0" applyNumberFormat="1" applyFont="1" applyFill="1" applyBorder="1" applyAlignment="1">
      <alignment horizontal="center" vertical="center" wrapText="1"/>
    </xf>
    <xf numFmtId="0" fontId="15" fillId="0" borderId="10" xfId="0" applyNumberFormat="1" applyFont="1" applyFill="1" applyBorder="1" applyAlignment="1">
      <alignment horizontal="center" vertical="center" wrapText="1"/>
    </xf>
    <xf numFmtId="0" fontId="19" fillId="3" borderId="3" xfId="0" applyNumberFormat="1" applyFont="1" applyFill="1" applyBorder="1" applyAlignment="1">
      <alignment horizontal="center" vertical="center" wrapText="1"/>
    </xf>
    <xf numFmtId="0" fontId="0" fillId="2" borderId="3" xfId="0" applyNumberFormat="1" applyFont="1" applyFill="1" applyBorder="1" applyAlignment="1">
      <alignment horizontal="right"/>
    </xf>
    <xf numFmtId="0" fontId="0" fillId="0" borderId="3" xfId="0" applyNumberFormat="1" applyFont="1" applyFill="1" applyBorder="1"/>
    <xf numFmtId="0" fontId="0" fillId="0" borderId="3" xfId="0" applyNumberFormat="1" applyFont="1" applyFill="1" applyBorder="1" applyAlignment="1">
      <alignment horizontal="right"/>
    </xf>
    <xf numFmtId="0" fontId="0" fillId="0" borderId="4" xfId="0" applyNumberFormat="1" applyFont="1" applyFill="1" applyBorder="1" applyAlignment="1">
      <alignment horizontal="right"/>
    </xf>
    <xf numFmtId="0" fontId="0" fillId="2" borderId="4" xfId="0" applyNumberFormat="1" applyFont="1" applyFill="1" applyBorder="1" applyAlignment="1">
      <alignment horizontal="right"/>
    </xf>
    <xf numFmtId="0" fontId="0" fillId="2" borderId="6" xfId="0" applyNumberFormat="1" applyFont="1" applyFill="1" applyBorder="1" applyAlignment="1">
      <alignment horizontal="right"/>
    </xf>
    <xf numFmtId="0" fontId="0" fillId="0" borderId="6" xfId="0" applyNumberFormat="1" applyFont="1" applyFill="1" applyBorder="1" applyAlignment="1">
      <alignment horizontal="right"/>
    </xf>
    <xf numFmtId="0" fontId="2" fillId="2" borderId="4" xfId="0" applyNumberFormat="1" applyFont="1" applyFill="1" applyBorder="1" applyAlignment="1">
      <alignment horizontal="center"/>
    </xf>
    <xf numFmtId="0" fontId="2" fillId="2" borderId="5" xfId="0" applyNumberFormat="1" applyFont="1" applyFill="1" applyBorder="1" applyAlignment="1">
      <alignment horizontal="center"/>
    </xf>
    <xf numFmtId="0" fontId="0" fillId="0" borderId="4" xfId="0" applyNumberFormat="1" applyFont="1" applyFill="1" applyBorder="1" applyAlignment="1">
      <alignment horizontal="center" vertical="top"/>
    </xf>
    <xf numFmtId="0" fontId="0" fillId="0" borderId="5" xfId="0" applyNumberFormat="1" applyFont="1" applyFill="1" applyBorder="1" applyAlignment="1">
      <alignment horizontal="center" vertical="top"/>
    </xf>
    <xf numFmtId="0" fontId="0" fillId="0" borderId="6" xfId="0" applyNumberFormat="1" applyFont="1" applyFill="1" applyBorder="1" applyAlignment="1">
      <alignment horizontal="center" vertical="top"/>
    </xf>
    <xf numFmtId="0" fontId="0" fillId="0" borderId="4" xfId="0" applyNumberFormat="1" applyFont="1" applyFill="1" applyBorder="1" applyAlignment="1">
      <alignment horizontal="right" vertical="top"/>
    </xf>
    <xf numFmtId="0" fontId="0" fillId="0" borderId="5" xfId="0" applyNumberFormat="1" applyFont="1" applyFill="1" applyBorder="1" applyAlignment="1">
      <alignment horizontal="right" vertical="top"/>
    </xf>
    <xf numFmtId="0" fontId="0" fillId="0" borderId="6" xfId="0" applyNumberFormat="1" applyFont="1" applyFill="1" applyBorder="1" applyAlignment="1">
      <alignment horizontal="right" vertical="top"/>
    </xf>
    <xf numFmtId="0" fontId="2" fillId="0" borderId="4" xfId="0" applyNumberFormat="1" applyFont="1" applyFill="1" applyBorder="1" applyAlignment="1">
      <alignment horizontal="right" vertical="top"/>
    </xf>
    <xf numFmtId="0" fontId="2" fillId="0" borderId="5" xfId="0" applyNumberFormat="1" applyFont="1" applyFill="1" applyBorder="1" applyAlignment="1">
      <alignment horizontal="right" vertical="top"/>
    </xf>
    <xf numFmtId="0" fontId="2" fillId="0" borderId="6" xfId="0" applyNumberFormat="1" applyFont="1" applyFill="1" applyBorder="1" applyAlignment="1">
      <alignment horizontal="right" vertical="top"/>
    </xf>
    <xf numFmtId="0" fontId="0" fillId="0" borderId="4" xfId="0" applyNumberFormat="1" applyFont="1" applyFill="1" applyBorder="1" applyAlignment="1">
      <alignment vertical="top"/>
    </xf>
    <xf numFmtId="0" fontId="0" fillId="0" borderId="5" xfId="0" applyNumberFormat="1" applyFont="1" applyFill="1" applyBorder="1" applyAlignment="1">
      <alignment vertical="top"/>
    </xf>
    <xf numFmtId="0" fontId="0" fillId="0" borderId="6" xfId="0" applyNumberFormat="1" applyFont="1" applyFill="1" applyBorder="1" applyAlignment="1">
      <alignment vertical="top"/>
    </xf>
    <xf numFmtId="0" fontId="0" fillId="2" borderId="4" xfId="0" applyNumberFormat="1" applyFont="1" applyFill="1" applyBorder="1" applyAlignment="1">
      <alignment vertical="top"/>
    </xf>
    <xf numFmtId="0" fontId="0" fillId="2" borderId="5" xfId="0" applyNumberFormat="1" applyFont="1" applyFill="1" applyBorder="1" applyAlignment="1">
      <alignment vertical="top"/>
    </xf>
    <xf numFmtId="0" fontId="0" fillId="2" borderId="6" xfId="0" applyNumberFormat="1" applyFont="1" applyFill="1" applyBorder="1" applyAlignment="1">
      <alignment vertical="top"/>
    </xf>
    <xf numFmtId="0" fontId="0" fillId="0" borderId="5" xfId="0" applyNumberFormat="1" applyFont="1" applyFill="1" applyBorder="1" applyAlignment="1">
      <alignment horizontal="center"/>
    </xf>
    <xf numFmtId="0" fontId="2" fillId="0" borderId="4" xfId="0" applyNumberFormat="1" applyFont="1" applyFill="1" applyBorder="1" applyAlignment="1">
      <alignment horizontal="center"/>
    </xf>
    <xf numFmtId="0" fontId="2" fillId="0" borderId="5" xfId="0" applyNumberFormat="1" applyFont="1" applyFill="1" applyBorder="1" applyAlignment="1">
      <alignment horizontal="center"/>
    </xf>
    <xf numFmtId="0" fontId="2" fillId="0" borderId="6" xfId="0" applyNumberFormat="1" applyFont="1" applyFill="1" applyBorder="1" applyAlignment="1">
      <alignment horizontal="center"/>
    </xf>
    <xf numFmtId="0" fontId="0" fillId="2" borderId="4" xfId="0" applyNumberFormat="1" applyFont="1" applyFill="1" applyBorder="1" applyAlignment="1">
      <alignment horizontal="right" vertical="top"/>
    </xf>
    <xf numFmtId="0" fontId="0" fillId="2" borderId="5" xfId="0" applyNumberFormat="1" applyFont="1" applyFill="1" applyBorder="1" applyAlignment="1">
      <alignment horizontal="right" vertical="top"/>
    </xf>
    <xf numFmtId="0" fontId="0" fillId="2" borderId="4" xfId="0" applyNumberFormat="1" applyFont="1" applyFill="1" applyBorder="1" applyAlignment="1">
      <alignment horizontal="center"/>
    </xf>
    <xf numFmtId="0" fontId="0" fillId="2" borderId="5" xfId="0" applyNumberFormat="1" applyFont="1" applyFill="1" applyBorder="1" applyAlignment="1">
      <alignment horizontal="center"/>
    </xf>
    <xf numFmtId="0" fontId="0" fillId="2" borderId="4" xfId="0" applyNumberFormat="1" applyFont="1" applyFill="1" applyBorder="1" applyAlignment="1">
      <alignment vertical="center" wrapText="1"/>
    </xf>
    <xf numFmtId="0" fontId="0" fillId="2" borderId="6" xfId="0" applyNumberFormat="1" applyFont="1" applyFill="1" applyBorder="1" applyAlignment="1">
      <alignment vertical="center" wrapText="1"/>
    </xf>
    <xf numFmtId="0" fontId="2" fillId="0" borderId="9" xfId="0" applyNumberFormat="1" applyFont="1" applyFill="1" applyBorder="1" applyAlignment="1">
      <alignment horizontal="right" vertical="top"/>
    </xf>
    <xf numFmtId="0" fontId="0" fillId="2" borderId="4" xfId="0" applyNumberFormat="1" applyFont="1" applyFill="1" applyBorder="1" applyAlignment="1">
      <alignment horizontal="right" vertical="top" wrapText="1"/>
    </xf>
    <xf numFmtId="0" fontId="0" fillId="2" borderId="5" xfId="0" applyNumberFormat="1" applyFont="1" applyFill="1" applyBorder="1" applyAlignment="1">
      <alignment horizontal="right" vertical="top" wrapText="1"/>
    </xf>
    <xf numFmtId="0" fontId="2" fillId="2" borderId="4" xfId="0" applyNumberFormat="1" applyFont="1" applyFill="1" applyBorder="1" applyAlignment="1">
      <alignment horizontal="right" vertical="top"/>
    </xf>
    <xf numFmtId="0" fontId="2" fillId="2" borderId="9" xfId="0" applyNumberFormat="1" applyFont="1" applyFill="1" applyBorder="1" applyAlignment="1">
      <alignment horizontal="right" vertical="top"/>
    </xf>
    <xf numFmtId="0" fontId="2" fillId="2" borderId="5" xfId="0" applyNumberFormat="1" applyFont="1" applyFill="1" applyBorder="1" applyAlignment="1">
      <alignment horizontal="right" vertical="top"/>
    </xf>
    <xf numFmtId="0" fontId="3" fillId="0" borderId="4" xfId="0" applyNumberFormat="1" applyFont="1" applyFill="1" applyBorder="1" applyAlignment="1">
      <alignment horizontal="right" vertical="top"/>
    </xf>
    <xf numFmtId="0" fontId="3" fillId="0" borderId="6" xfId="0" applyNumberFormat="1" applyFont="1" applyFill="1" applyBorder="1" applyAlignment="1">
      <alignment horizontal="right" vertical="top"/>
    </xf>
    <xf numFmtId="0" fontId="0" fillId="0" borderId="4" xfId="0" applyNumberFormat="1" applyFont="1" applyFill="1" applyBorder="1" applyAlignment="1">
      <alignment horizontal="right" vertical="top" wrapText="1"/>
    </xf>
    <xf numFmtId="0" fontId="0" fillId="0" borderId="5" xfId="0" applyNumberFormat="1" applyFont="1" applyFill="1" applyBorder="1" applyAlignment="1">
      <alignment horizontal="right" vertical="top" wrapText="1"/>
    </xf>
    <xf numFmtId="0" fontId="0" fillId="2" borderId="4" xfId="0" applyNumberFormat="1" applyFont="1" applyFill="1" applyBorder="1" applyAlignment="1">
      <alignment vertical="top" wrapText="1"/>
    </xf>
    <xf numFmtId="0" fontId="0" fillId="2" borderId="5" xfId="0" applyNumberFormat="1" applyFont="1" applyFill="1" applyBorder="1" applyAlignment="1">
      <alignment vertical="top" wrapText="1"/>
    </xf>
    <xf numFmtId="0" fontId="0" fillId="0" borderId="4" xfId="0" applyNumberFormat="1" applyFont="1" applyFill="1" applyBorder="1" applyAlignment="1">
      <alignment vertical="top" wrapText="1"/>
    </xf>
    <xf numFmtId="0" fontId="0" fillId="0" borderId="5" xfId="0" applyNumberFormat="1" applyFont="1" applyFill="1" applyBorder="1" applyAlignment="1">
      <alignment vertical="top" wrapText="1"/>
    </xf>
    <xf numFmtId="0" fontId="12" fillId="5" borderId="11" xfId="2" applyNumberFormat="1" applyFont="1" applyFill="1" applyBorder="1" applyAlignment="1" applyProtection="1">
      <alignment horizontal="right" vertical="center" wrapText="1"/>
      <protection locked="0"/>
    </xf>
    <xf numFmtId="0" fontId="12" fillId="5" borderId="11" xfId="2" applyNumberFormat="1" applyFont="1" applyFill="1" applyBorder="1" applyAlignment="1">
      <alignment horizontal="right" vertical="center" wrapText="1"/>
    </xf>
    <xf numFmtId="0" fontId="12" fillId="5" borderId="11" xfId="2" applyNumberFormat="1" applyFont="1" applyFill="1" applyBorder="1" applyAlignment="1" applyProtection="1">
      <alignment horizontal="left" vertical="center" wrapText="1" indent="1"/>
      <protection locked="0"/>
    </xf>
    <xf numFmtId="0" fontId="12" fillId="5" borderId="11" xfId="2" applyNumberFormat="1" applyFont="1" applyFill="1" applyBorder="1" applyAlignment="1" applyProtection="1">
      <alignment vertical="center" wrapText="1"/>
      <protection locked="0"/>
    </xf>
    <xf numFmtId="0" fontId="7" fillId="3" borderId="12" xfId="0" applyNumberFormat="1" applyFont="1" applyFill="1" applyBorder="1" applyAlignment="1">
      <alignment horizontal="right" vertical="center"/>
    </xf>
    <xf numFmtId="0" fontId="7" fillId="3" borderId="2" xfId="0" applyNumberFormat="1" applyFont="1" applyFill="1" applyBorder="1" applyAlignment="1">
      <alignment horizontal="center" vertical="center" wrapText="1" readingOrder="2"/>
    </xf>
    <xf numFmtId="0" fontId="18" fillId="0" borderId="14" xfId="0" applyNumberFormat="1" applyFont="1" applyFill="1" applyBorder="1"/>
    <xf numFmtId="0" fontId="18" fillId="0" borderId="15" xfId="0" applyNumberFormat="1" applyFont="1" applyFill="1" applyBorder="1"/>
    <xf numFmtId="0" fontId="18" fillId="0" borderId="16" xfId="0" applyNumberFormat="1" applyFont="1" applyFill="1" applyBorder="1" applyAlignment="1">
      <alignment horizontal="right"/>
    </xf>
    <xf numFmtId="0" fontId="20" fillId="0" borderId="1" xfId="0" applyNumberFormat="1" applyFont="1" applyFill="1" applyBorder="1" applyAlignment="1">
      <alignment horizontal="center" vertical="center" wrapText="1" readingOrder="2"/>
    </xf>
    <xf numFmtId="0" fontId="21" fillId="0" borderId="1" xfId="0" applyNumberFormat="1" applyFont="1" applyFill="1" applyBorder="1" applyAlignment="1">
      <alignment vertical="center" wrapText="1" readingOrder="2"/>
    </xf>
    <xf numFmtId="0" fontId="2" fillId="2" borderId="4" xfId="0" applyNumberFormat="1" applyFont="1" applyFill="1" applyBorder="1" applyAlignment="1">
      <alignment horizontal="right"/>
    </xf>
    <xf numFmtId="0" fontId="3" fillId="0" borderId="17" xfId="0" applyNumberFormat="1" applyFont="1" applyFill="1" applyBorder="1" applyAlignment="1">
      <alignment horizontal="right" vertical="top"/>
    </xf>
    <xf numFmtId="0" fontId="0" fillId="0" borderId="4" xfId="0" applyNumberFormat="1" applyFont="1" applyFill="1" applyBorder="1" applyAlignment="1">
      <alignment horizontal="center"/>
    </xf>
    <xf numFmtId="0" fontId="0" fillId="2" borderId="5" xfId="0" applyNumberFormat="1" applyFont="1" applyFill="1" applyBorder="1" applyAlignment="1">
      <alignment horizontal="right"/>
    </xf>
    <xf numFmtId="0" fontId="2" fillId="2" borderId="5" xfId="0" applyNumberFormat="1" applyFont="1" applyFill="1" applyBorder="1" applyAlignment="1">
      <alignment horizontal="right"/>
    </xf>
    <xf numFmtId="0" fontId="0" fillId="0" borderId="18" xfId="0" applyNumberFormat="1" applyFont="1" applyFill="1" applyBorder="1" applyAlignment="1">
      <alignment horizontal="right" vertical="top"/>
    </xf>
    <xf numFmtId="0" fontId="0" fillId="0" borderId="19" xfId="0" applyNumberFormat="1" applyFont="1" applyFill="1" applyBorder="1" applyAlignment="1">
      <alignment horizontal="right"/>
    </xf>
    <xf numFmtId="0" fontId="0" fillId="0" borderId="0" xfId="0" applyNumberFormat="1" applyFont="1" applyFill="1" applyBorder="1" applyAlignment="1">
      <alignment vertical="top"/>
    </xf>
    <xf numFmtId="0" fontId="0" fillId="0" borderId="6" xfId="0" applyNumberFormat="1" applyFont="1" applyFill="1" applyBorder="1" applyAlignment="1">
      <alignment horizontal="right" vertical="top" wrapText="1"/>
    </xf>
    <xf numFmtId="0" fontId="0" fillId="0" borderId="6" xfId="0" applyNumberFormat="1" applyFont="1" applyFill="1" applyBorder="1" applyAlignment="1">
      <alignment vertical="top" wrapText="1"/>
    </xf>
    <xf numFmtId="0" fontId="13" fillId="2" borderId="3" xfId="0" applyNumberFormat="1" applyFont="1" applyFill="1" applyBorder="1" applyAlignment="1">
      <alignment horizontal="right"/>
    </xf>
    <xf numFmtId="0" fontId="2" fillId="2" borderId="3" xfId="0" applyNumberFormat="1" applyFont="1" applyFill="1" applyBorder="1" applyAlignment="1">
      <alignment horizontal="right"/>
    </xf>
    <xf numFmtId="0" fontId="22" fillId="2" borderId="3" xfId="0" applyNumberFormat="1" applyFont="1" applyFill="1" applyBorder="1" applyAlignment="1">
      <alignment horizontal="right"/>
    </xf>
    <xf numFmtId="0" fontId="0" fillId="0" borderId="3" xfId="0" applyNumberFormat="1" applyFont="1" applyFill="1" applyBorder="1" applyAlignment="1">
      <alignment horizontal="right" readingOrder="1"/>
    </xf>
    <xf numFmtId="0" fontId="0" fillId="0" borderId="3" xfId="0" applyNumberFormat="1" applyFont="1" applyFill="1" applyBorder="1" applyAlignment="1">
      <alignment readingOrder="1"/>
    </xf>
    <xf numFmtId="0" fontId="23" fillId="2" borderId="3" xfId="0" applyNumberFormat="1" applyFont="1" applyFill="1" applyBorder="1" applyAlignment="1">
      <alignment horizontal="right"/>
    </xf>
    <xf numFmtId="0" fontId="3" fillId="6" borderId="3" xfId="0" applyNumberFormat="1" applyFont="1" applyFill="1" applyBorder="1" applyAlignment="1">
      <alignment horizontal="right"/>
    </xf>
    <xf numFmtId="0" fontId="24" fillId="0" borderId="0" xfId="0" applyNumberFormat="1" applyFont="1" applyFill="1" applyBorder="1" applyProtection="1">
      <protection locked="0"/>
    </xf>
    <xf numFmtId="0" fontId="24" fillId="0" borderId="0" xfId="0" applyNumberFormat="1" applyFont="1" applyFill="1" applyBorder="1"/>
    <xf numFmtId="43" fontId="7" fillId="3" borderId="10" xfId="1" applyNumberFormat="1" applyFont="1" applyFill="1" applyBorder="1" applyAlignment="1">
      <alignment horizontal="center" vertical="center" wrapText="1"/>
    </xf>
    <xf numFmtId="43" fontId="8" fillId="0" borderId="10" xfId="1" applyNumberFormat="1" applyFont="1" applyFill="1" applyBorder="1" applyAlignment="1">
      <alignment horizontal="center" vertical="center" wrapText="1"/>
    </xf>
    <xf numFmtId="43" fontId="15" fillId="0" borderId="10" xfId="1" applyNumberFormat="1" applyFont="1" applyFill="1" applyBorder="1" applyAlignment="1">
      <alignment horizontal="center" vertical="center" wrapText="1"/>
    </xf>
    <xf numFmtId="43" fontId="7" fillId="3" borderId="13" xfId="1" applyNumberFormat="1" applyFont="1" applyFill="1" applyBorder="1" applyAlignment="1">
      <alignment horizontal="center" vertical="center"/>
    </xf>
    <xf numFmtId="10" fontId="7" fillId="3" borderId="2" xfId="4" applyNumberFormat="1" applyFont="1" applyFill="1" applyBorder="1" applyAlignment="1">
      <alignment horizontal="center" vertical="center" wrapText="1"/>
    </xf>
    <xf numFmtId="10" fontId="0" fillId="0" borderId="0" xfId="4" applyNumberFormat="1" applyFont="1" applyFill="1" applyBorder="1"/>
    <xf numFmtId="10" fontId="2" fillId="0" borderId="0" xfId="4" applyNumberFormat="1" applyFont="1" applyFill="1" applyBorder="1"/>
    <xf numFmtId="4" fontId="0" fillId="0" borderId="0" xfId="0" applyNumberFormat="1" applyFont="1" applyFill="1" applyBorder="1" applyAlignment="1">
      <alignment horizontal="center"/>
    </xf>
    <xf numFmtId="4" fontId="4" fillId="0" borderId="0" xfId="0" applyNumberFormat="1" applyFont="1" applyFill="1" applyBorder="1"/>
    <xf numFmtId="4" fontId="3" fillId="0" borderId="0" xfId="0" applyNumberFormat="1" applyFont="1" applyFill="1" applyBorder="1"/>
    <xf numFmtId="4" fontId="4" fillId="0" borderId="0" xfId="0" applyNumberFormat="1" applyFont="1" applyFill="1" applyBorder="1" applyProtection="1">
      <protection locked="0"/>
    </xf>
    <xf numFmtId="4" fontId="3" fillId="0" borderId="0" xfId="0" applyNumberFormat="1" applyFont="1" applyFill="1" applyBorder="1" applyProtection="1">
      <protection locked="0"/>
    </xf>
    <xf numFmtId="4" fontId="24" fillId="0" borderId="0" xfId="0" applyNumberFormat="1" applyFont="1" applyFill="1" applyBorder="1" applyProtection="1">
      <protection locked="0"/>
    </xf>
    <xf numFmtId="4" fontId="24" fillId="0" borderId="0" xfId="0" applyNumberFormat="1" applyFont="1" applyFill="1" applyBorder="1"/>
    <xf numFmtId="4" fontId="2" fillId="0" borderId="0" xfId="0" applyNumberFormat="1" applyFont="1" applyFill="1" applyBorder="1" applyProtection="1">
      <protection locked="0"/>
    </xf>
    <xf numFmtId="4" fontId="2" fillId="0" borderId="0" xfId="0" applyNumberFormat="1" applyFont="1" applyFill="1" applyBorder="1" applyAlignment="1">
      <alignment horizontal="center"/>
    </xf>
    <xf numFmtId="4" fontId="2" fillId="0" borderId="0" xfId="0" applyNumberFormat="1" applyFont="1" applyFill="1" applyBorder="1"/>
    <xf numFmtId="166" fontId="7" fillId="3" borderId="2" xfId="0" applyNumberFormat="1" applyFont="1" applyFill="1" applyBorder="1" applyAlignment="1">
      <alignment horizontal="center" vertical="center" wrapText="1"/>
    </xf>
    <xf numFmtId="166" fontId="4" fillId="0" borderId="0" xfId="0" applyNumberFormat="1" applyFont="1" applyFill="1" applyBorder="1"/>
    <xf numFmtId="167" fontId="7" fillId="3" borderId="2" xfId="4" applyNumberFormat="1" applyFont="1" applyFill="1" applyBorder="1" applyAlignment="1">
      <alignment horizontal="center" vertical="center" wrapText="1"/>
    </xf>
    <xf numFmtId="167" fontId="25" fillId="0" borderId="0" xfId="4" applyNumberFormat="1" applyFont="1" applyFill="1" applyBorder="1" applyAlignment="1">
      <alignment horizontal="center"/>
    </xf>
    <xf numFmtId="167" fontId="0" fillId="0" borderId="0" xfId="4" applyNumberFormat="1" applyFont="1" applyFill="1" applyBorder="1"/>
    <xf numFmtId="167" fontId="4" fillId="0" borderId="0" xfId="4" applyNumberFormat="1" applyFont="1" applyFill="1" applyBorder="1"/>
    <xf numFmtId="167" fontId="7" fillId="3" borderId="2" xfId="0" applyNumberFormat="1" applyFont="1" applyFill="1" applyBorder="1" applyAlignment="1">
      <alignment horizontal="center" vertical="center" wrapText="1"/>
    </xf>
    <xf numFmtId="167" fontId="4" fillId="0" borderId="0" xfId="0" applyNumberFormat="1" applyFont="1" applyFill="1" applyBorder="1"/>
    <xf numFmtId="167" fontId="3" fillId="0" borderId="0" xfId="4" applyNumberFormat="1" applyFont="1" applyFill="1" applyBorder="1"/>
    <xf numFmtId="167" fontId="3" fillId="0" borderId="0" xfId="0" applyNumberFormat="1" applyFont="1" applyFill="1" applyBorder="1"/>
    <xf numFmtId="166" fontId="3" fillId="0" borderId="0" xfId="0" applyNumberFormat="1" applyFont="1" applyFill="1" applyBorder="1"/>
    <xf numFmtId="165" fontId="7" fillId="3" borderId="2" xfId="0" applyNumberFormat="1" applyFont="1" applyFill="1" applyBorder="1" applyAlignment="1">
      <alignment horizontal="center" vertical="center" wrapText="1"/>
    </xf>
    <xf numFmtId="165" fontId="3" fillId="0" borderId="0" xfId="0" applyNumberFormat="1" applyFont="1" applyFill="1" applyBorder="1"/>
    <xf numFmtId="167" fontId="0" fillId="0" borderId="0" xfId="0" applyNumberFormat="1" applyFont="1" applyFill="1" applyBorder="1"/>
    <xf numFmtId="167" fontId="4" fillId="0" borderId="0" xfId="4" applyNumberFormat="1" applyFont="1" applyFill="1" applyBorder="1" applyProtection="1">
      <protection locked="0"/>
    </xf>
    <xf numFmtId="167" fontId="4" fillId="0" borderId="0" xfId="0" applyNumberFormat="1" applyFont="1" applyFill="1" applyBorder="1" applyProtection="1">
      <protection locked="0"/>
    </xf>
    <xf numFmtId="166" fontId="4" fillId="0" borderId="0" xfId="0" applyNumberFormat="1" applyFont="1" applyFill="1" applyBorder="1" applyProtection="1">
      <protection locked="0"/>
    </xf>
    <xf numFmtId="165" fontId="4" fillId="0" borderId="0" xfId="0" applyNumberFormat="1" applyFont="1" applyFill="1" applyBorder="1" applyProtection="1">
      <protection locked="0"/>
    </xf>
    <xf numFmtId="165" fontId="4" fillId="0" borderId="0" xfId="0" applyNumberFormat="1" applyFont="1" applyFill="1" applyBorder="1"/>
    <xf numFmtId="166" fontId="3" fillId="0" borderId="0" xfId="0" applyNumberFormat="1" applyFont="1" applyFill="1" applyBorder="1" applyProtection="1">
      <protection locked="0"/>
    </xf>
    <xf numFmtId="165" fontId="3" fillId="0" borderId="0" xfId="0" applyNumberFormat="1" applyFont="1" applyFill="1" applyBorder="1" applyProtection="1">
      <protection locked="0"/>
    </xf>
    <xf numFmtId="167" fontId="3" fillId="0" borderId="0" xfId="0" applyNumberFormat="1" applyFont="1" applyFill="1" applyBorder="1" applyProtection="1">
      <protection locked="0"/>
    </xf>
    <xf numFmtId="168" fontId="7" fillId="3" borderId="2" xfId="0" applyNumberFormat="1" applyFont="1" applyFill="1" applyBorder="1" applyAlignment="1">
      <alignment horizontal="center" vertical="center" wrapText="1"/>
    </xf>
    <xf numFmtId="168" fontId="4" fillId="0" borderId="0" xfId="0" applyNumberFormat="1" applyFont="1" applyFill="1" applyBorder="1" applyProtection="1">
      <protection locked="0"/>
    </xf>
    <xf numFmtId="168" fontId="4" fillId="0" borderId="0" xfId="0" applyNumberFormat="1" applyFont="1" applyFill="1" applyBorder="1"/>
    <xf numFmtId="168" fontId="7" fillId="3" borderId="8" xfId="0" applyNumberFormat="1" applyFont="1" applyFill="1" applyBorder="1" applyAlignment="1">
      <alignment horizontal="center" vertical="center" wrapText="1"/>
    </xf>
    <xf numFmtId="168" fontId="0" fillId="0" borderId="0" xfId="0" applyNumberFormat="1" applyFont="1" applyFill="1" applyBorder="1"/>
    <xf numFmtId="168" fontId="2" fillId="0" borderId="0" xfId="0" applyNumberFormat="1" applyFont="1" applyFill="1" applyBorder="1" applyProtection="1">
      <protection locked="0"/>
    </xf>
    <xf numFmtId="167" fontId="2" fillId="0" borderId="0" xfId="0" applyNumberFormat="1" applyFont="1" applyFill="1" applyBorder="1" applyProtection="1">
      <protection locked="0"/>
    </xf>
    <xf numFmtId="10" fontId="7" fillId="3" borderId="2" xfId="0" applyNumberFormat="1" applyFont="1" applyFill="1" applyBorder="1" applyAlignment="1">
      <alignment horizontal="center" vertical="center" wrapText="1"/>
    </xf>
    <xf numFmtId="10" fontId="4" fillId="0" borderId="0" xfId="0" applyNumberFormat="1" applyFont="1" applyFill="1" applyBorder="1" applyProtection="1">
      <protection locked="0"/>
    </xf>
    <xf numFmtId="10" fontId="4" fillId="0" borderId="0" xfId="0" applyNumberFormat="1" applyFont="1" applyFill="1" applyBorder="1"/>
    <xf numFmtId="2" fontId="7" fillId="3" borderId="2" xfId="0" applyNumberFormat="1" applyFont="1" applyFill="1" applyBorder="1" applyAlignment="1">
      <alignment horizontal="center" vertical="center" wrapText="1"/>
    </xf>
    <xf numFmtId="165" fontId="2" fillId="0" borderId="0" xfId="0" applyNumberFormat="1" applyFont="1" applyFill="1" applyBorder="1" applyAlignment="1">
      <alignment horizontal="center"/>
    </xf>
    <xf numFmtId="165" fontId="2" fillId="0" borderId="0" xfId="0" applyNumberFormat="1" applyFont="1" applyFill="1" applyBorder="1"/>
    <xf numFmtId="0" fontId="2" fillId="0" borderId="0" xfId="0" applyFont="1"/>
    <xf numFmtId="0" fontId="2" fillId="0" borderId="0" xfId="0" applyFont="1" applyProtection="1">
      <protection locked="0"/>
    </xf>
    <xf numFmtId="14" fontId="2" fillId="0" borderId="0" xfId="0" applyNumberFormat="1" applyFont="1"/>
    <xf numFmtId="4" fontId="27" fillId="0" borderId="20" xfId="0" applyNumberFormat="1" applyFont="1" applyBorder="1" applyAlignment="1">
      <alignment horizontal="right" vertical="center" wrapText="1"/>
    </xf>
    <xf numFmtId="43" fontId="2" fillId="0" borderId="0" xfId="5" applyFont="1"/>
    <xf numFmtId="43" fontId="27" fillId="0" borderId="20" xfId="5" applyFont="1" applyFill="1" applyBorder="1" applyAlignment="1">
      <alignment horizontal="right" vertical="center" wrapText="1"/>
    </xf>
    <xf numFmtId="10" fontId="2" fillId="0" borderId="0" xfId="6" applyNumberFormat="1"/>
    <xf numFmtId="14" fontId="2" fillId="0" borderId="0" xfId="0" applyNumberFormat="1" applyFont="1" applyProtection="1">
      <protection locked="0"/>
    </xf>
    <xf numFmtId="0" fontId="0" fillId="0" borderId="0" xfId="0" applyFont="1"/>
  </cellXfs>
  <cellStyles count="7">
    <cellStyle name="Comma" xfId="1" builtinId="3"/>
    <cellStyle name="Comma 3" xfId="5" xr:uid="{C366DD98-EEEF-4E1A-A445-4729B137C5A7}"/>
    <cellStyle name="Normal" xfId="0" builtinId="0"/>
    <cellStyle name="Normal 3" xfId="2" xr:uid="{00000000-0005-0000-0000-000002000000}"/>
    <cellStyle name="Normal 9" xfId="3" xr:uid="{00000000-0005-0000-0000-000003000000}"/>
    <cellStyle name="Percent" xfId="4" builtinId="5"/>
    <cellStyle name="Percent 2" xfId="6" xr:uid="{B12385C9-55CE-4CF9-BAFB-E1070D973906}"/>
  </cellStyles>
  <dxfs count="8"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</dxfs>
  <tableStyles count="1" defaultTableStyle="TableStyleMedium2" defaultPivotStyle="PivotStyleLight16">
    <tableStyle name="Invisible" pivot="0" table="0" count="0" xr9:uid="{CA87097F-178A-465C-8EC9-938A0A88FC84}"/>
  </tableStyles>
  <colors>
    <mruColors>
      <color rgb="FFB2B2B2"/>
      <color rgb="FF7F93AD"/>
      <color rgb="FF7A8FAA"/>
      <color rgb="FF60779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calcChain" Target="calcChain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externalLink" Target="externalLinks/externalLink1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Documents\&#1511;&#1493;&#1489;&#1509;%20&#1491;&#1497;&#1493;&#1493;&#1495;%20&#1504;&#1499;&#1505;%20&#1489;&#1493;&#1491;&#1491;%20&#1504;&#1490;&#1494;&#1512;&#1497;&#1501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אפשרויות בחירה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L28"/>
  <sheetViews>
    <sheetView showGridLines="0" rightToLeft="1" tabSelected="1" workbookViewId="0">
      <selection activeCell="D11" sqref="D11"/>
    </sheetView>
  </sheetViews>
  <sheetFormatPr defaultColWidth="0" defaultRowHeight="14.25"/>
  <cols>
    <col min="1" max="1" width="29.5" bestFit="1" customWidth="1"/>
    <col min="2" max="2" width="11" customWidth="1"/>
    <col min="3" max="3" width="4.625" customWidth="1"/>
    <col min="4" max="4" width="67.5" customWidth="1"/>
    <col min="5" max="9" width="9" hidden="1" customWidth="1"/>
    <col min="10" max="10" width="34.75" hidden="1" customWidth="1"/>
    <col min="11" max="11" width="25.875" hidden="1" customWidth="1"/>
    <col min="12" max="12" width="21.5" hidden="1" customWidth="1"/>
  </cols>
  <sheetData>
    <row r="1" spans="1:4" ht="18">
      <c r="A1" s="20" t="s">
        <v>184</v>
      </c>
      <c r="B1" s="21"/>
      <c r="C1" s="21"/>
      <c r="D1" s="21"/>
    </row>
    <row r="3" spans="1:4">
      <c r="A3" t="s">
        <v>185</v>
      </c>
      <c r="D3" s="86" t="s">
        <v>186</v>
      </c>
    </row>
    <row r="5" spans="1:4">
      <c r="A5" t="s">
        <v>187</v>
      </c>
      <c r="D5" s="86" t="s">
        <v>1201</v>
      </c>
    </row>
    <row r="7" spans="1:4">
      <c r="A7" t="s">
        <v>188</v>
      </c>
      <c r="D7" s="86" t="s">
        <v>1208</v>
      </c>
    </row>
    <row r="8" spans="1:4">
      <c r="D8" s="19"/>
    </row>
    <row r="9" spans="1:4">
      <c r="A9" t="s">
        <v>189</v>
      </c>
      <c r="D9" s="86">
        <v>2024</v>
      </c>
    </row>
    <row r="11" spans="1:4">
      <c r="A11" t="s">
        <v>190</v>
      </c>
      <c r="D11" s="86" t="s">
        <v>1278</v>
      </c>
    </row>
    <row r="13" spans="1:4">
      <c r="A13" t="s">
        <v>191</v>
      </c>
      <c r="D13" s="87">
        <f>IFERROR(VLOOKUP(D11,'File Name Info'!A35:B121,2,0),"תא מחושב")</f>
        <v>512008335</v>
      </c>
    </row>
    <row r="15" spans="1:4" ht="15">
      <c r="A15" s="10" t="s">
        <v>192</v>
      </c>
      <c r="D15" s="87" t="str">
        <f>IF(D5="לממונה",CONCATENATE(D13, "_",VLOOKUP(D3,Full_Type,2,0),"_",D7,VLOOKUP(D9,Full_Year,2,0),".xlxs"),IF(D5="לציבור",CONCATENATE(D13,"_",VLOOKUP(D3,Full_Type_Nostro,2,0),"_",VLOOKUP(D5,Full_File_Type,2,0),"_",D7,VLOOKUP(D9,Full_Year,2,0),".xlsx"),"שם קובץ לשמירה"))</f>
        <v>512008335_gm_0424.xlxs</v>
      </c>
    </row>
    <row r="16" spans="1:4" ht="15">
      <c r="A16" s="10"/>
      <c r="D16" s="19"/>
    </row>
    <row r="17" spans="1:4" ht="15">
      <c r="A17" s="10" t="s">
        <v>193</v>
      </c>
      <c r="B17" s="8" t="s">
        <v>194</v>
      </c>
      <c r="C17" s="8"/>
      <c r="D17" s="88"/>
    </row>
    <row r="18" spans="1:4">
      <c r="A18" s="6"/>
      <c r="D18" s="9"/>
    </row>
    <row r="19" spans="1:4">
      <c r="A19" s="6"/>
      <c r="B19" s="8" t="s">
        <v>195</v>
      </c>
      <c r="C19" s="8"/>
      <c r="D19" s="88"/>
    </row>
    <row r="20" spans="1:4">
      <c r="A20" s="6"/>
      <c r="D20" s="9"/>
    </row>
    <row r="21" spans="1:4">
      <c r="A21" s="6"/>
      <c r="B21" s="8" t="s">
        <v>196</v>
      </c>
      <c r="C21" s="8"/>
      <c r="D21" s="89"/>
    </row>
    <row r="22" spans="1:4">
      <c r="A22" s="6"/>
      <c r="B22" s="7"/>
      <c r="C22" s="7"/>
    </row>
    <row r="23" spans="1:4" ht="15">
      <c r="A23" s="10" t="s">
        <v>197</v>
      </c>
      <c r="D23" t="s">
        <v>198</v>
      </c>
    </row>
    <row r="28" spans="1:4" ht="14.1" customHeight="1"/>
  </sheetData>
  <conditionalFormatting sqref="D3">
    <cfRule type="containsText" dxfId="7" priority="13" operator="containsText" text="Please fill in data">
      <formula>NOT(ISERROR(SEARCH("Please fill in data",D3)))</formula>
    </cfRule>
  </conditionalFormatting>
  <conditionalFormatting sqref="D5">
    <cfRule type="containsText" dxfId="6" priority="7" operator="containsText" text="Please fill in data">
      <formula>NOT(ISERROR(SEARCH("Please fill in data",D5)))</formula>
    </cfRule>
  </conditionalFormatting>
  <conditionalFormatting sqref="D7:D9">
    <cfRule type="containsText" dxfId="5" priority="5" operator="containsText" text="Please fill in data">
      <formula>NOT(ISERROR(SEARCH("Please fill in data",D7)))</formula>
    </cfRule>
  </conditionalFormatting>
  <conditionalFormatting sqref="D11">
    <cfRule type="containsText" dxfId="4" priority="4" operator="containsText" text="Please fill in data">
      <formula>NOT(ISERROR(SEARCH("Please fill in data",D11)))</formula>
    </cfRule>
  </conditionalFormatting>
  <conditionalFormatting sqref="D13">
    <cfRule type="containsText" dxfId="3" priority="3" operator="containsText" text="Please fill in data">
      <formula>NOT(ISERROR(SEARCH("Please fill in data",D13)))</formula>
    </cfRule>
  </conditionalFormatting>
  <conditionalFormatting sqref="D15:D17">
    <cfRule type="containsText" dxfId="2" priority="1" operator="containsText" text="Please fill in data">
      <formula>NOT(ISERROR(SEARCH("Please fill in data",D15)))</formula>
    </cfRule>
  </conditionalFormatting>
  <conditionalFormatting sqref="D19">
    <cfRule type="containsText" dxfId="1" priority="20" operator="containsText" text="Please fill in data">
      <formula>NOT(ISERROR(SEARCH("Please fill in data",D19)))</formula>
    </cfRule>
  </conditionalFormatting>
  <conditionalFormatting sqref="D21">
    <cfRule type="containsText" dxfId="0" priority="19" operator="containsText" text="Please fill in data">
      <formula>NOT(ISERROR(SEARCH("Please fill in data",D21)))</formula>
    </cfRule>
  </conditionalFormatting>
  <dataValidations count="5">
    <dataValidation type="list" allowBlank="1" showInputMessage="1" showErrorMessage="1" sqref="D3" xr:uid="{00000000-0002-0000-0000-000000000000}">
      <formula1>Type</formula1>
    </dataValidation>
    <dataValidation type="list" allowBlank="1" showInputMessage="1" showErrorMessage="1" sqref="D5" xr:uid="{00000000-0002-0000-0000-000001000000}">
      <formula1>File_Type</formula1>
    </dataValidation>
    <dataValidation type="list" allowBlank="1" showInputMessage="1" showErrorMessage="1" sqref="D7" xr:uid="{00000000-0002-0000-0000-000002000000}">
      <formula1>QTR</formula1>
    </dataValidation>
    <dataValidation type="list" allowBlank="1" showInputMessage="1" showErrorMessage="1" sqref="D9" xr:uid="{00000000-0002-0000-0000-000003000000}">
      <formula1>YEAR</formula1>
    </dataValidation>
    <dataValidation type="list" allowBlank="1" showInputMessage="1" showErrorMessage="1" sqref="D11" xr:uid="{00000000-0002-0000-0000-000004000000}">
      <formula1>Company_Name</formula1>
    </dataValidation>
  </dataValidations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3"/>
  <dimension ref="A1:L32"/>
  <sheetViews>
    <sheetView showGridLines="0" rightToLeft="1" workbookViewId="0">
      <selection activeCell="A2" sqref="A2"/>
    </sheetView>
  </sheetViews>
  <sheetFormatPr defaultColWidth="0" defaultRowHeight="14.25"/>
  <cols>
    <col min="1" max="1" width="42.75" customWidth="1"/>
    <col min="2" max="5" width="13" customWidth="1"/>
    <col min="6" max="6" width="11.125" hidden="1" customWidth="1"/>
    <col min="7" max="8" width="8.625" hidden="1" customWidth="1"/>
    <col min="9" max="10" width="9" hidden="1" customWidth="1"/>
    <col min="11" max="12" width="8.625" hidden="1" customWidth="1"/>
  </cols>
  <sheetData>
    <row r="1" spans="1:4" ht="18.75" customHeight="1">
      <c r="A1" s="31"/>
      <c r="B1" s="116"/>
      <c r="C1" s="90" t="s">
        <v>1172</v>
      </c>
      <c r="D1" s="119"/>
    </row>
    <row r="2" spans="1:4" ht="39.75" customHeight="1">
      <c r="A2" s="31"/>
      <c r="B2" s="116" t="s">
        <v>36</v>
      </c>
      <c r="C2" s="32" t="s">
        <v>906</v>
      </c>
      <c r="D2" s="116" t="s">
        <v>22</v>
      </c>
    </row>
    <row r="3" spans="1:4">
      <c r="A3" s="34" t="s">
        <v>959</v>
      </c>
      <c r="B3" s="117">
        <f>SUM('מזומנים ושווי מזומנים'!O:O)</f>
        <v>147417.40999999997</v>
      </c>
      <c r="C3" s="35"/>
      <c r="D3" s="117">
        <f>B3+C3</f>
        <v>147417.40999999997</v>
      </c>
    </row>
    <row r="4" spans="1:4">
      <c r="A4" s="34" t="s">
        <v>969</v>
      </c>
      <c r="B4" s="117">
        <f>SUM('איגרות חוב ממשלתיות'!U:U)</f>
        <v>462436.03700000007</v>
      </c>
      <c r="C4" s="35"/>
      <c r="D4" s="117">
        <f t="shared" ref="D4:D29" si="0">B4+C4</f>
        <v>462436.03700000007</v>
      </c>
    </row>
    <row r="5" spans="1:4">
      <c r="A5" s="34" t="s">
        <v>974</v>
      </c>
      <c r="B5" s="117">
        <f>SUM('ניירות ערך מסחריים'!AD:AD)</f>
        <v>0</v>
      </c>
      <c r="C5" s="35"/>
      <c r="D5" s="117">
        <f t="shared" si="0"/>
        <v>0</v>
      </c>
    </row>
    <row r="6" spans="1:4">
      <c r="A6" s="34" t="s">
        <v>975</v>
      </c>
      <c r="B6" s="117">
        <f>SUM('איגרות חוב'!AD:AD)</f>
        <v>235475.07299999986</v>
      </c>
      <c r="C6" s="35"/>
      <c r="D6" s="117">
        <f t="shared" si="0"/>
        <v>235475.07299999986</v>
      </c>
    </row>
    <row r="7" spans="1:4">
      <c r="A7" s="34" t="s">
        <v>982</v>
      </c>
      <c r="B7" s="117">
        <f>SUM('מניות מבכ ויהש'!U:U)</f>
        <v>210578.32699999999</v>
      </c>
      <c r="C7" s="35"/>
      <c r="D7" s="117">
        <f t="shared" si="0"/>
        <v>210578.32699999999</v>
      </c>
    </row>
    <row r="8" spans="1:4">
      <c r="A8" s="34" t="s">
        <v>479</v>
      </c>
      <c r="B8" s="117">
        <f>SUM('קרנות סל'!T:T)</f>
        <v>169388.71800000002</v>
      </c>
      <c r="C8" s="35"/>
      <c r="D8" s="117">
        <f t="shared" si="0"/>
        <v>169388.71800000002</v>
      </c>
    </row>
    <row r="9" spans="1:4">
      <c r="A9" s="34" t="s">
        <v>995</v>
      </c>
      <c r="B9" s="117">
        <f>SUM('קרנות נאמנות'!T:T)</f>
        <v>14310.630999999999</v>
      </c>
      <c r="C9" s="35"/>
      <c r="D9" s="117">
        <f t="shared" si="0"/>
        <v>14310.630999999999</v>
      </c>
    </row>
    <row r="10" spans="1:4">
      <c r="A10" s="34" t="s">
        <v>1117</v>
      </c>
      <c r="B10" s="117">
        <f>SUM('כתבי אופציה'!W:W)</f>
        <v>348.21800000000002</v>
      </c>
      <c r="C10" s="35"/>
      <c r="D10" s="117">
        <f t="shared" si="0"/>
        <v>348.21800000000002</v>
      </c>
    </row>
    <row r="11" spans="1:4">
      <c r="A11" s="34" t="s">
        <v>998</v>
      </c>
      <c r="B11" s="117">
        <f>SUM(אופציות!V:V)</f>
        <v>0</v>
      </c>
      <c r="C11" s="35"/>
      <c r="D11" s="117">
        <f t="shared" si="0"/>
        <v>0</v>
      </c>
    </row>
    <row r="12" spans="1:4">
      <c r="A12" s="34" t="s">
        <v>1122</v>
      </c>
      <c r="B12" s="117">
        <f>SUM('חוזים עתידיים'!R:R)</f>
        <v>-9227.8369999999995</v>
      </c>
      <c r="C12" s="35"/>
      <c r="D12" s="117">
        <f t="shared" si="0"/>
        <v>-9227.8369999999995</v>
      </c>
    </row>
    <row r="13" spans="1:4">
      <c r="A13" s="34" t="s">
        <v>1003</v>
      </c>
      <c r="B13" s="117">
        <f>SUM('מוצרים מובנים'!Z:Z)</f>
        <v>5578.598</v>
      </c>
      <c r="C13" s="35"/>
      <c r="D13" s="117">
        <f t="shared" si="0"/>
        <v>5578.598</v>
      </c>
    </row>
    <row r="14" spans="1:4">
      <c r="A14" s="34" t="s">
        <v>1010</v>
      </c>
      <c r="B14" s="117">
        <f>SUM('לא סחיר איגרות חוב ממשלתיות'!U:U)</f>
        <v>0</v>
      </c>
      <c r="C14" s="35"/>
      <c r="D14" s="117">
        <f t="shared" si="0"/>
        <v>0</v>
      </c>
    </row>
    <row r="15" spans="1:4">
      <c r="A15" s="34" t="s">
        <v>1011</v>
      </c>
      <c r="B15" s="117">
        <f>SUM('לא סחיר איגרות חוב מיועדות'!N:N)</f>
        <v>0</v>
      </c>
      <c r="C15" s="35"/>
      <c r="D15" s="117">
        <f t="shared" si="0"/>
        <v>0</v>
      </c>
    </row>
    <row r="16" spans="1:4">
      <c r="A16" s="34" t="s">
        <v>1017</v>
      </c>
      <c r="B16" s="117">
        <f>SUM('אפיק השקעה מובטח תשואה'!F:F)</f>
        <v>0</v>
      </c>
      <c r="C16" s="35"/>
      <c r="D16" s="117">
        <f t="shared" si="0"/>
        <v>0</v>
      </c>
    </row>
    <row r="17" spans="1:4">
      <c r="A17" s="34" t="s">
        <v>1021</v>
      </c>
      <c r="B17" s="117">
        <f>SUM('לא סחיר ניירות ערך מסחריים'!AI:AI)</f>
        <v>0</v>
      </c>
      <c r="C17" s="35"/>
      <c r="D17" s="117">
        <f t="shared" si="0"/>
        <v>0</v>
      </c>
    </row>
    <row r="18" spans="1:4">
      <c r="A18" s="34" t="s">
        <v>1023</v>
      </c>
      <c r="B18" s="117">
        <f>SUM('לא סחיר איגרות חוב'!AG:AG)</f>
        <v>10373.127</v>
      </c>
      <c r="C18" s="35"/>
      <c r="D18" s="117">
        <f t="shared" si="0"/>
        <v>10373.127</v>
      </c>
    </row>
    <row r="19" spans="1:4">
      <c r="A19" s="34" t="s">
        <v>1026</v>
      </c>
      <c r="B19" s="117">
        <f>SUM('לא סחיר מניות מבכ ויהש'!X:X)</f>
        <v>2297.5239999999999</v>
      </c>
      <c r="C19" s="35"/>
      <c r="D19" s="117">
        <f t="shared" si="0"/>
        <v>2297.5239999999999</v>
      </c>
    </row>
    <row r="20" spans="1:4">
      <c r="A20" s="34" t="s">
        <v>783</v>
      </c>
      <c r="B20" s="117">
        <f>SUM('קרנות השקעה'!W:W)</f>
        <v>161151.66499999998</v>
      </c>
      <c r="C20" s="35"/>
      <c r="D20" s="117">
        <f t="shared" si="0"/>
        <v>161151.66499999998</v>
      </c>
    </row>
    <row r="21" spans="1:4">
      <c r="A21" s="34" t="s">
        <v>1133</v>
      </c>
      <c r="B21" s="117">
        <f>SUM('לא סחיר כתבי אופציה'!Z:Z)</f>
        <v>307.53100000000001</v>
      </c>
      <c r="C21" s="35"/>
      <c r="D21" s="117">
        <f t="shared" si="0"/>
        <v>307.53100000000001</v>
      </c>
    </row>
    <row r="22" spans="1:4">
      <c r="A22" s="34" t="s">
        <v>1041</v>
      </c>
      <c r="B22" s="117">
        <f>SUM('לא סחיר אופציות'!Z:Z)</f>
        <v>0</v>
      </c>
      <c r="C22" s="35"/>
      <c r="D22" s="117">
        <f t="shared" si="0"/>
        <v>0</v>
      </c>
    </row>
    <row r="23" spans="1:4">
      <c r="A23" s="34" t="s">
        <v>1050</v>
      </c>
      <c r="B23" s="117">
        <f>SUM('לא סחיר נגזרים אחרים'!R:R)</f>
        <v>3369.0699999999997</v>
      </c>
      <c r="C23" s="35"/>
      <c r="D23" s="117">
        <f t="shared" si="0"/>
        <v>3369.0699999999997</v>
      </c>
    </row>
    <row r="24" spans="1:4">
      <c r="A24" s="34" t="s">
        <v>1043</v>
      </c>
      <c r="B24" s="117">
        <f>SUM(הלוואות!AT:AT)</f>
        <v>13836.179</v>
      </c>
      <c r="C24" s="35"/>
      <c r="D24" s="117">
        <f t="shared" si="0"/>
        <v>13836.179</v>
      </c>
    </row>
    <row r="25" spans="1:4">
      <c r="A25" s="34" t="s">
        <v>1061</v>
      </c>
      <c r="B25" s="117">
        <f>SUM('לא סחיר מוצרים מובנים'!AB:AB)</f>
        <v>0</v>
      </c>
      <c r="C25" s="35"/>
      <c r="D25" s="117">
        <f t="shared" si="0"/>
        <v>0</v>
      </c>
    </row>
    <row r="26" spans="1:4">
      <c r="A26" s="34" t="s">
        <v>1066</v>
      </c>
      <c r="B26" s="117">
        <f>SUM('פיקדונות מעל 3 חודשים'!T:T)</f>
        <v>0</v>
      </c>
      <c r="C26" s="35"/>
      <c r="D26" s="117">
        <f t="shared" si="0"/>
        <v>0</v>
      </c>
    </row>
    <row r="27" spans="1:4">
      <c r="A27" s="34" t="s">
        <v>1069</v>
      </c>
      <c r="B27" s="117">
        <f>SUM('זכויות מקרקעין'!S:S)</f>
        <v>0</v>
      </c>
      <c r="C27" s="35"/>
      <c r="D27" s="117">
        <f t="shared" si="0"/>
        <v>0</v>
      </c>
    </row>
    <row r="28" spans="1:4">
      <c r="A28" s="34" t="s">
        <v>1103</v>
      </c>
      <c r="B28" s="117">
        <f>SUM('השקעה בחברות מוחזקות'!U:U)</f>
        <v>0</v>
      </c>
      <c r="C28" s="35"/>
      <c r="D28" s="117">
        <f t="shared" si="0"/>
        <v>0</v>
      </c>
    </row>
    <row r="29" spans="1:4">
      <c r="A29" s="34" t="s">
        <v>1072</v>
      </c>
      <c r="B29" s="117">
        <f>SUM('נכסים אחרים'!N:N)</f>
        <v>-438.01099999999997</v>
      </c>
      <c r="C29" s="35"/>
      <c r="D29" s="117">
        <f t="shared" si="0"/>
        <v>-438.01099999999997</v>
      </c>
    </row>
    <row r="30" spans="1:4">
      <c r="A30" s="33" t="s">
        <v>1173</v>
      </c>
      <c r="B30" s="118">
        <f>IF(SUM(B3:B29)=0,0.0001,SUM(B3:B29))</f>
        <v>1427202.2600000002</v>
      </c>
      <c r="C30" s="36">
        <f t="shared" ref="C30:E30" si="1">SUM(C3:C29)</f>
        <v>0</v>
      </c>
      <c r="D30" s="118">
        <f t="shared" si="1"/>
        <v>1427202.2600000002</v>
      </c>
    </row>
    <row r="31" spans="1:4">
      <c r="A31" s="34" t="s">
        <v>1171</v>
      </c>
      <c r="B31" s="117"/>
      <c r="C31" s="35"/>
      <c r="D31" s="117"/>
    </row>
    <row r="32" spans="1:4">
      <c r="A32" s="34" t="s">
        <v>1174</v>
      </c>
      <c r="B32" s="117">
        <f>SUM('יתרות התחייבות להשקעה'!O:O)</f>
        <v>44707.160033443994</v>
      </c>
      <c r="C32" s="35"/>
      <c r="D32" s="117"/>
    </row>
  </sheetData>
  <customSheetViews>
    <customSheetView guid="{AE318230-F718-49FC-82EB-7CAC3DCD05F1}" showGridLines="0">
      <pageMargins left="0.7" right="0.7" top="0.75" bottom="0.75" header="0.3" footer="0.3"/>
      <pageSetup orientation="portrait"/>
    </customSheetView>
  </customSheetViews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4"/>
  <dimension ref="A1:R34"/>
  <sheetViews>
    <sheetView rightToLeft="1" zoomScale="70" zoomScaleNormal="70" workbookViewId="0">
      <selection activeCell="T20" sqref="T20"/>
    </sheetView>
  </sheetViews>
  <sheetFormatPr defaultColWidth="0" defaultRowHeight="14.25" zeroHeight="1"/>
  <cols>
    <col min="1" max="17" width="11.625" customWidth="1"/>
    <col min="18" max="18" width="11.625" hidden="1" customWidth="1"/>
  </cols>
  <sheetData>
    <row r="1" spans="1:17" ht="66.75" customHeight="1">
      <c r="A1" s="12" t="s">
        <v>0</v>
      </c>
      <c r="B1" s="12" t="s">
        <v>1</v>
      </c>
      <c r="C1" s="12" t="s">
        <v>176</v>
      </c>
      <c r="D1" s="12" t="s">
        <v>177</v>
      </c>
      <c r="E1" s="12" t="s">
        <v>178</v>
      </c>
      <c r="F1" s="12" t="s">
        <v>5</v>
      </c>
      <c r="G1" s="12" t="s">
        <v>6</v>
      </c>
      <c r="H1" s="12" t="s">
        <v>125</v>
      </c>
      <c r="I1" s="12" t="s">
        <v>180</v>
      </c>
      <c r="J1" s="12" t="s">
        <v>10</v>
      </c>
      <c r="K1" s="12" t="s">
        <v>11</v>
      </c>
      <c r="L1" s="12" t="s">
        <v>135</v>
      </c>
      <c r="M1" s="133" t="s">
        <v>18</v>
      </c>
      <c r="N1" s="135" t="s">
        <v>14</v>
      </c>
      <c r="O1" s="12" t="s">
        <v>20</v>
      </c>
      <c r="P1" s="139" t="s">
        <v>24</v>
      </c>
      <c r="Q1" s="139" t="s">
        <v>25</v>
      </c>
    </row>
    <row r="2" spans="1:17">
      <c r="A2" s="2">
        <v>301</v>
      </c>
      <c r="B2" s="2">
        <v>7209</v>
      </c>
      <c r="C2" s="2" t="s">
        <v>1175</v>
      </c>
      <c r="D2" s="2" t="s">
        <v>1176</v>
      </c>
      <c r="E2" s="3" t="s">
        <v>322</v>
      </c>
      <c r="F2" s="2" t="s">
        <v>962</v>
      </c>
      <c r="G2" s="2" t="s">
        <v>30</v>
      </c>
      <c r="H2" s="2" t="s">
        <v>139</v>
      </c>
      <c r="I2" s="2" t="s">
        <v>1177</v>
      </c>
      <c r="J2" s="2" t="s">
        <v>420</v>
      </c>
      <c r="K2" s="2" t="s">
        <v>105</v>
      </c>
      <c r="L2" s="123">
        <v>8.9999999999999993E-3</v>
      </c>
      <c r="M2" s="134">
        <v>3.6469999999999998</v>
      </c>
      <c r="N2" s="136">
        <v>0</v>
      </c>
      <c r="O2" s="124">
        <v>3.4000000000000002E-2</v>
      </c>
      <c r="P2" s="140">
        <v>1.7642671257745601E-5</v>
      </c>
      <c r="Q2" s="140">
        <v>1.64405192528679E-6</v>
      </c>
    </row>
    <row r="3" spans="1:17">
      <c r="A3" s="2">
        <v>301</v>
      </c>
      <c r="B3" s="2">
        <v>7209</v>
      </c>
      <c r="C3" s="2" t="s">
        <v>1175</v>
      </c>
      <c r="D3" s="2" t="s">
        <v>1176</v>
      </c>
      <c r="E3" s="11" t="s">
        <v>322</v>
      </c>
      <c r="F3" s="2" t="s">
        <v>962</v>
      </c>
      <c r="G3" s="2" t="s">
        <v>30</v>
      </c>
      <c r="H3" s="2" t="s">
        <v>139</v>
      </c>
      <c r="I3" s="2" t="s">
        <v>1177</v>
      </c>
      <c r="J3" s="2" t="s">
        <v>420</v>
      </c>
      <c r="K3" s="2" t="s">
        <v>1178</v>
      </c>
      <c r="L3" s="124">
        <v>0.14799999999999999</v>
      </c>
      <c r="M3" s="134">
        <v>2.6802000000000001</v>
      </c>
      <c r="N3" s="137">
        <v>0</v>
      </c>
      <c r="O3" s="124">
        <v>0.39700000000000002</v>
      </c>
      <c r="P3" s="140">
        <v>2.0794223531193199E-4</v>
      </c>
      <c r="Q3" s="140">
        <v>1.9377328258209901E-5</v>
      </c>
    </row>
    <row r="4" spans="1:17">
      <c r="A4" s="2">
        <v>301</v>
      </c>
      <c r="B4" s="2">
        <v>7209</v>
      </c>
      <c r="C4" s="2" t="s">
        <v>1175</v>
      </c>
      <c r="D4" s="2" t="s">
        <v>1176</v>
      </c>
      <c r="E4" s="11" t="s">
        <v>322</v>
      </c>
      <c r="F4" s="2" t="s">
        <v>962</v>
      </c>
      <c r="G4" s="2" t="s">
        <v>30</v>
      </c>
      <c r="H4" s="2" t="s">
        <v>139</v>
      </c>
      <c r="I4" s="2" t="s">
        <v>1177</v>
      </c>
      <c r="J4" s="2" t="s">
        <v>420</v>
      </c>
      <c r="K4" s="2" t="s">
        <v>1179</v>
      </c>
      <c r="L4" s="124">
        <v>1E-3</v>
      </c>
      <c r="M4" s="134">
        <v>2.3285E-2</v>
      </c>
      <c r="N4" s="137">
        <v>0</v>
      </c>
      <c r="O4" s="124">
        <v>0</v>
      </c>
      <c r="P4" s="140">
        <v>7.5583071939189611E-9</v>
      </c>
      <c r="Q4" s="140">
        <v>7.0432925448384403E-10</v>
      </c>
    </row>
    <row r="5" spans="1:17">
      <c r="A5" s="2">
        <v>301</v>
      </c>
      <c r="B5" s="2">
        <v>7209</v>
      </c>
      <c r="C5" s="2" t="s">
        <v>1175</v>
      </c>
      <c r="D5" s="2" t="s">
        <v>1176</v>
      </c>
      <c r="E5" s="11" t="s">
        <v>322</v>
      </c>
      <c r="F5" s="2" t="s">
        <v>960</v>
      </c>
      <c r="G5" s="2" t="s">
        <v>30</v>
      </c>
      <c r="H5" s="2" t="s">
        <v>139</v>
      </c>
      <c r="I5" s="2" t="s">
        <v>1177</v>
      </c>
      <c r="J5" s="2" t="s">
        <v>420</v>
      </c>
      <c r="K5" s="2" t="s">
        <v>34</v>
      </c>
      <c r="L5" s="124">
        <v>0.27400000000000002</v>
      </c>
      <c r="M5" s="134">
        <v>1</v>
      </c>
      <c r="N5" s="137">
        <v>0</v>
      </c>
      <c r="O5" s="124">
        <v>0.27400000000000002</v>
      </c>
      <c r="P5" s="140">
        <v>1.43300356871554E-4</v>
      </c>
      <c r="Q5" s="140">
        <v>1.3353602987162799E-5</v>
      </c>
    </row>
    <row r="6" spans="1:17">
      <c r="A6" s="2">
        <v>301</v>
      </c>
      <c r="B6" s="2">
        <v>7209</v>
      </c>
      <c r="C6" s="2" t="s">
        <v>1175</v>
      </c>
      <c r="D6" s="2" t="s">
        <v>1176</v>
      </c>
      <c r="E6" s="11" t="s">
        <v>322</v>
      </c>
      <c r="F6" s="2" t="s">
        <v>962</v>
      </c>
      <c r="G6" s="2" t="s">
        <v>30</v>
      </c>
      <c r="H6" s="2" t="s">
        <v>139</v>
      </c>
      <c r="I6" s="2" t="s">
        <v>1177</v>
      </c>
      <c r="J6" s="2" t="s">
        <v>420</v>
      </c>
      <c r="K6" s="2" t="s">
        <v>1180</v>
      </c>
      <c r="L6" s="124">
        <v>0</v>
      </c>
      <c r="M6" s="134">
        <v>4.0278</v>
      </c>
      <c r="N6" s="137">
        <v>0</v>
      </c>
      <c r="O6" s="124">
        <v>0</v>
      </c>
      <c r="P6" s="140">
        <v>2.10874713166214E-9</v>
      </c>
      <c r="Q6" s="140">
        <v>1.9650594465563601E-10</v>
      </c>
    </row>
    <row r="7" spans="1:17">
      <c r="A7" s="2">
        <v>301</v>
      </c>
      <c r="B7" s="2">
        <v>7209</v>
      </c>
      <c r="C7" s="2" t="s">
        <v>1181</v>
      </c>
      <c r="D7" s="2" t="s">
        <v>1182</v>
      </c>
      <c r="E7" s="11" t="s">
        <v>322</v>
      </c>
      <c r="F7" s="2" t="s">
        <v>962</v>
      </c>
      <c r="G7" s="2" t="s">
        <v>30</v>
      </c>
      <c r="H7" s="2" t="s">
        <v>139</v>
      </c>
      <c r="I7" s="2" t="s">
        <v>1177</v>
      </c>
      <c r="J7" s="2" t="s">
        <v>420</v>
      </c>
      <c r="K7" s="2" t="s">
        <v>105</v>
      </c>
      <c r="L7" s="124">
        <v>6.6420000000000003</v>
      </c>
      <c r="M7" s="134">
        <v>3.6469999999999998</v>
      </c>
      <c r="N7" s="137">
        <v>0</v>
      </c>
      <c r="O7" s="124">
        <v>24.222999999999999</v>
      </c>
      <c r="P7" s="140">
        <v>1.2681891969708601E-2</v>
      </c>
      <c r="Q7" s="140">
        <v>1.18177619502631E-3</v>
      </c>
    </row>
    <row r="8" spans="1:17">
      <c r="A8" s="2">
        <v>301</v>
      </c>
      <c r="B8" s="2">
        <v>7209</v>
      </c>
      <c r="C8" s="2" t="s">
        <v>1181</v>
      </c>
      <c r="D8" s="2" t="s">
        <v>1182</v>
      </c>
      <c r="E8" s="11" t="s">
        <v>322</v>
      </c>
      <c r="F8" s="2" t="s">
        <v>962</v>
      </c>
      <c r="G8" s="2" t="s">
        <v>30</v>
      </c>
      <c r="H8" s="2" t="s">
        <v>139</v>
      </c>
      <c r="I8" s="2" t="s">
        <v>1177</v>
      </c>
      <c r="J8" s="2" t="s">
        <v>420</v>
      </c>
      <c r="K8" s="2" t="s">
        <v>1183</v>
      </c>
      <c r="L8" s="124">
        <v>2.8239999999999998</v>
      </c>
      <c r="M8" s="134">
        <v>3.7964000000000002</v>
      </c>
      <c r="N8" s="137">
        <v>0</v>
      </c>
      <c r="O8" s="124">
        <v>10.721</v>
      </c>
      <c r="P8" s="140">
        <v>5.6130764027096597E-3</v>
      </c>
      <c r="Q8" s="140">
        <v>5.2306076170893204E-4</v>
      </c>
    </row>
    <row r="9" spans="1:17">
      <c r="A9" s="2">
        <v>301</v>
      </c>
      <c r="B9" s="2">
        <v>7209</v>
      </c>
      <c r="C9" s="2" t="s">
        <v>1181</v>
      </c>
      <c r="D9" s="2" t="s">
        <v>1182</v>
      </c>
      <c r="E9" s="11" t="s">
        <v>322</v>
      </c>
      <c r="F9" s="2" t="s">
        <v>960</v>
      </c>
      <c r="G9" s="2" t="s">
        <v>30</v>
      </c>
      <c r="H9" s="2" t="s">
        <v>139</v>
      </c>
      <c r="I9" s="2" t="s">
        <v>1177</v>
      </c>
      <c r="J9" s="2" t="s">
        <v>420</v>
      </c>
      <c r="K9" s="2" t="s">
        <v>34</v>
      </c>
      <c r="L9" s="124">
        <v>1874.395</v>
      </c>
      <c r="M9" s="134">
        <v>1</v>
      </c>
      <c r="N9" s="137">
        <v>3.7999999999999999E-2</v>
      </c>
      <c r="O9" s="124">
        <v>1874.395</v>
      </c>
      <c r="P9" s="140">
        <v>0.98133612622612398</v>
      </c>
      <c r="Q9" s="140">
        <v>9.1446897360694904E-2</v>
      </c>
    </row>
    <row r="10" spans="1:17">
      <c r="A10" s="2">
        <v>301</v>
      </c>
      <c r="B10" s="2">
        <v>7209</v>
      </c>
      <c r="C10" s="2" t="s">
        <v>1181</v>
      </c>
      <c r="D10" s="2" t="s">
        <v>1182</v>
      </c>
      <c r="E10" s="11" t="s">
        <v>322</v>
      </c>
      <c r="F10" s="2" t="s">
        <v>960</v>
      </c>
      <c r="G10" s="2" t="s">
        <v>30</v>
      </c>
      <c r="H10" s="2" t="s">
        <v>139</v>
      </c>
      <c r="I10" s="2" t="s">
        <v>1177</v>
      </c>
      <c r="J10" s="2" t="s">
        <v>420</v>
      </c>
      <c r="K10" s="2" t="s">
        <v>34</v>
      </c>
      <c r="L10" s="124">
        <v>0</v>
      </c>
      <c r="M10" s="134">
        <v>1</v>
      </c>
      <c r="N10" s="137">
        <v>3.7999999999999999E-2</v>
      </c>
      <c r="O10" s="124">
        <v>0</v>
      </c>
      <c r="P10" s="140">
        <v>1.04709624691501E-8</v>
      </c>
      <c r="Q10" s="140">
        <v>9.7574827278234505E-10</v>
      </c>
    </row>
    <row r="11" spans="1:17">
      <c r="A11" s="2">
        <v>301</v>
      </c>
      <c r="B11" s="2">
        <v>7210</v>
      </c>
      <c r="C11" s="2" t="s">
        <v>1175</v>
      </c>
      <c r="D11" s="2" t="s">
        <v>1176</v>
      </c>
      <c r="E11" s="11" t="s">
        <v>322</v>
      </c>
      <c r="F11" s="2" t="s">
        <v>962</v>
      </c>
      <c r="G11" s="2" t="s">
        <v>30</v>
      </c>
      <c r="H11" s="2" t="s">
        <v>139</v>
      </c>
      <c r="I11" s="2" t="s">
        <v>1177</v>
      </c>
      <c r="J11" s="2" t="s">
        <v>420</v>
      </c>
      <c r="K11" s="2" t="s">
        <v>105</v>
      </c>
      <c r="L11" s="124">
        <v>4.0000000000000001E-3</v>
      </c>
      <c r="M11" s="134">
        <v>3.6469999999999998</v>
      </c>
      <c r="N11" s="137">
        <v>0</v>
      </c>
      <c r="O11" s="124">
        <v>1.2999999999999999E-2</v>
      </c>
      <c r="P11" s="140">
        <v>9.0854142516826801E-8</v>
      </c>
      <c r="Q11" s="140">
        <v>9.5266646584412207E-9</v>
      </c>
    </row>
    <row r="12" spans="1:17">
      <c r="A12" s="2">
        <v>301</v>
      </c>
      <c r="B12" s="2">
        <v>7210</v>
      </c>
      <c r="C12" s="2" t="s">
        <v>1175</v>
      </c>
      <c r="D12" s="2" t="s">
        <v>1176</v>
      </c>
      <c r="E12" s="11" t="s">
        <v>322</v>
      </c>
      <c r="F12" s="2" t="s">
        <v>967</v>
      </c>
      <c r="G12" s="2" t="s">
        <v>30</v>
      </c>
      <c r="H12" s="2" t="s">
        <v>139</v>
      </c>
      <c r="I12" s="2" t="s">
        <v>1177</v>
      </c>
      <c r="J12" s="2" t="s">
        <v>420</v>
      </c>
      <c r="K12" s="2" t="s">
        <v>1184</v>
      </c>
      <c r="L12" s="124">
        <v>0</v>
      </c>
      <c r="M12" s="134">
        <v>2.2642000000000002</v>
      </c>
      <c r="N12" s="137">
        <v>0</v>
      </c>
      <c r="O12" s="124">
        <v>-1E-3</v>
      </c>
      <c r="P12" s="140">
        <v>-5.4687062884235807E-9</v>
      </c>
      <c r="Q12" s="140">
        <v>-5.7343044006684896E-10</v>
      </c>
    </row>
    <row r="13" spans="1:17">
      <c r="A13" s="2">
        <v>301</v>
      </c>
      <c r="B13" s="2">
        <v>7210</v>
      </c>
      <c r="C13" s="2" t="s">
        <v>1175</v>
      </c>
      <c r="D13" s="2" t="s">
        <v>1176</v>
      </c>
      <c r="E13" s="11" t="s">
        <v>322</v>
      </c>
      <c r="F13" s="2" t="s">
        <v>962</v>
      </c>
      <c r="G13" s="2" t="s">
        <v>30</v>
      </c>
      <c r="H13" s="2" t="s">
        <v>139</v>
      </c>
      <c r="I13" s="2" t="s">
        <v>1177</v>
      </c>
      <c r="J13" s="2" t="s">
        <v>420</v>
      </c>
      <c r="K13" s="2" t="s">
        <v>1178</v>
      </c>
      <c r="L13" s="124">
        <v>29.195</v>
      </c>
      <c r="M13" s="134">
        <v>2.6802000000000001</v>
      </c>
      <c r="N13" s="137">
        <v>0</v>
      </c>
      <c r="O13" s="124">
        <v>78.248000000000005</v>
      </c>
      <c r="P13" s="140">
        <v>5.3998009207056603E-4</v>
      </c>
      <c r="Q13" s="140">
        <v>5.6620525128369903E-5</v>
      </c>
    </row>
    <row r="14" spans="1:17">
      <c r="A14" s="2">
        <v>301</v>
      </c>
      <c r="B14" s="2">
        <v>7210</v>
      </c>
      <c r="C14" s="2" t="s">
        <v>1175</v>
      </c>
      <c r="D14" s="2" t="s">
        <v>1176</v>
      </c>
      <c r="E14" s="11" t="s">
        <v>322</v>
      </c>
      <c r="F14" s="2" t="s">
        <v>962</v>
      </c>
      <c r="G14" s="2" t="s">
        <v>30</v>
      </c>
      <c r="H14" s="2" t="s">
        <v>139</v>
      </c>
      <c r="I14" s="2" t="s">
        <v>1177</v>
      </c>
      <c r="J14" s="2" t="s">
        <v>420</v>
      </c>
      <c r="K14" s="2" t="s">
        <v>1183</v>
      </c>
      <c r="L14" s="124">
        <v>0.01</v>
      </c>
      <c r="M14" s="134">
        <v>3.7964000000000002</v>
      </c>
      <c r="N14" s="137">
        <v>0</v>
      </c>
      <c r="O14" s="124">
        <v>3.7999999999999999E-2</v>
      </c>
      <c r="P14" s="140">
        <v>2.61983375438456E-7</v>
      </c>
      <c r="Q14" s="140">
        <v>2.7470709587363398E-8</v>
      </c>
    </row>
    <row r="15" spans="1:17">
      <c r="A15" s="2">
        <v>301</v>
      </c>
      <c r="B15" s="2">
        <v>7210</v>
      </c>
      <c r="C15" s="2" t="s">
        <v>1175</v>
      </c>
      <c r="D15" s="2" t="s">
        <v>1176</v>
      </c>
      <c r="E15" s="11" t="s">
        <v>322</v>
      </c>
      <c r="F15" s="2" t="s">
        <v>962</v>
      </c>
      <c r="G15" s="2" t="s">
        <v>30</v>
      </c>
      <c r="H15" s="2" t="s">
        <v>139</v>
      </c>
      <c r="I15" s="2" t="s">
        <v>1177</v>
      </c>
      <c r="J15" s="2" t="s">
        <v>420</v>
      </c>
      <c r="K15" s="2" t="s">
        <v>1179</v>
      </c>
      <c r="L15" s="124">
        <v>1E-3</v>
      </c>
      <c r="M15" s="134">
        <v>2.3285E-2</v>
      </c>
      <c r="N15" s="137">
        <v>0</v>
      </c>
      <c r="O15" s="124">
        <v>0</v>
      </c>
      <c r="P15" s="140">
        <v>9.8018453461740289E-11</v>
      </c>
      <c r="Q15" s="140">
        <v>1.02778905903612E-11</v>
      </c>
    </row>
    <row r="16" spans="1:17">
      <c r="A16" s="2">
        <v>301</v>
      </c>
      <c r="B16" s="2">
        <v>7210</v>
      </c>
      <c r="C16" s="2" t="s">
        <v>1175</v>
      </c>
      <c r="D16" s="2" t="s">
        <v>1176</v>
      </c>
      <c r="E16" s="11" t="s">
        <v>322</v>
      </c>
      <c r="F16" s="2" t="s">
        <v>962</v>
      </c>
      <c r="G16" s="2" t="s">
        <v>30</v>
      </c>
      <c r="H16" s="2" t="s">
        <v>139</v>
      </c>
      <c r="I16" s="2" t="s">
        <v>1177</v>
      </c>
      <c r="J16" s="2" t="s">
        <v>420</v>
      </c>
      <c r="K16" s="2" t="s">
        <v>1185</v>
      </c>
      <c r="L16" s="124">
        <v>8.2000000000000003E-2</v>
      </c>
      <c r="M16" s="134">
        <v>4.5743</v>
      </c>
      <c r="N16" s="137">
        <v>0</v>
      </c>
      <c r="O16" s="124">
        <v>0.374</v>
      </c>
      <c r="P16" s="140">
        <v>2.58308658349386E-6</v>
      </c>
      <c r="Q16" s="140">
        <v>2.7085390916662997E-7</v>
      </c>
    </row>
    <row r="17" spans="1:17">
      <c r="A17" s="2">
        <v>301</v>
      </c>
      <c r="B17" s="2">
        <v>7210</v>
      </c>
      <c r="C17" s="2" t="s">
        <v>1175</v>
      </c>
      <c r="D17" s="2" t="s">
        <v>1176</v>
      </c>
      <c r="E17" s="11" t="s">
        <v>322</v>
      </c>
      <c r="F17" s="2" t="s">
        <v>960</v>
      </c>
      <c r="G17" s="2" t="s">
        <v>30</v>
      </c>
      <c r="H17" s="2" t="s">
        <v>139</v>
      </c>
      <c r="I17" s="2" t="s">
        <v>1177</v>
      </c>
      <c r="J17" s="2" t="s">
        <v>420</v>
      </c>
      <c r="K17" s="2" t="s">
        <v>34</v>
      </c>
      <c r="L17" s="124">
        <v>3.1930000000000001</v>
      </c>
      <c r="M17" s="134">
        <v>1</v>
      </c>
      <c r="N17" s="137">
        <v>0</v>
      </c>
      <c r="O17" s="124">
        <v>3.1930000000000001</v>
      </c>
      <c r="P17" s="140">
        <v>2.2033751429543799E-5</v>
      </c>
      <c r="Q17" s="140">
        <v>2.3103862435093401E-6</v>
      </c>
    </row>
    <row r="18" spans="1:17">
      <c r="A18" s="2">
        <v>301</v>
      </c>
      <c r="B18" s="2">
        <v>7210</v>
      </c>
      <c r="C18" s="2" t="s">
        <v>1181</v>
      </c>
      <c r="D18" s="2" t="s">
        <v>1182</v>
      </c>
      <c r="E18" s="11" t="s">
        <v>322</v>
      </c>
      <c r="F18" s="2" t="s">
        <v>962</v>
      </c>
      <c r="G18" s="2" t="s">
        <v>30</v>
      </c>
      <c r="H18" s="2" t="s">
        <v>139</v>
      </c>
      <c r="I18" s="2" t="s">
        <v>1177</v>
      </c>
      <c r="J18" s="2" t="s">
        <v>420</v>
      </c>
      <c r="K18" s="2" t="s">
        <v>1184</v>
      </c>
      <c r="L18" s="124">
        <v>0</v>
      </c>
      <c r="M18" s="134">
        <v>2.2642000000000002</v>
      </c>
      <c r="N18" s="137">
        <v>0</v>
      </c>
      <c r="O18" s="124">
        <v>0</v>
      </c>
      <c r="P18" s="140">
        <v>2.4999800175650702E-9</v>
      </c>
      <c r="Q18" s="140">
        <v>2.6213962974484502E-10</v>
      </c>
    </row>
    <row r="19" spans="1:17">
      <c r="A19" s="2">
        <v>301</v>
      </c>
      <c r="B19" s="2">
        <v>7210</v>
      </c>
      <c r="C19" s="2" t="s">
        <v>1181</v>
      </c>
      <c r="D19" s="2" t="s">
        <v>1182</v>
      </c>
      <c r="E19" s="11" t="s">
        <v>322</v>
      </c>
      <c r="F19" s="2" t="s">
        <v>962</v>
      </c>
      <c r="G19" s="2" t="s">
        <v>30</v>
      </c>
      <c r="H19" s="2" t="s">
        <v>139</v>
      </c>
      <c r="I19" s="2" t="s">
        <v>1177</v>
      </c>
      <c r="J19" s="2" t="s">
        <v>420</v>
      </c>
      <c r="K19" s="2" t="s">
        <v>105</v>
      </c>
      <c r="L19" s="124">
        <v>570.21100000000001</v>
      </c>
      <c r="M19" s="134">
        <v>3.6469999999999998</v>
      </c>
      <c r="N19" s="137">
        <v>0</v>
      </c>
      <c r="O19" s="124">
        <v>2079.5590000000002</v>
      </c>
      <c r="P19" s="140">
        <v>1.43506959499425E-2</v>
      </c>
      <c r="Q19" s="140">
        <v>1.5047664767187899E-3</v>
      </c>
    </row>
    <row r="20" spans="1:17">
      <c r="A20" s="2">
        <v>301</v>
      </c>
      <c r="B20" s="2">
        <v>7210</v>
      </c>
      <c r="C20" s="2" t="s">
        <v>1181</v>
      </c>
      <c r="D20" s="2" t="s">
        <v>1182</v>
      </c>
      <c r="E20" s="11" t="s">
        <v>322</v>
      </c>
      <c r="F20" s="2" t="s">
        <v>967</v>
      </c>
      <c r="G20" s="2" t="s">
        <v>30</v>
      </c>
      <c r="H20" s="2" t="s">
        <v>139</v>
      </c>
      <c r="I20" s="2" t="s">
        <v>1177</v>
      </c>
      <c r="J20" s="2" t="s">
        <v>420</v>
      </c>
      <c r="K20" s="2" t="s">
        <v>1184</v>
      </c>
      <c r="L20" s="124">
        <v>0</v>
      </c>
      <c r="M20" s="134">
        <v>2.2642000000000002</v>
      </c>
      <c r="N20" s="137">
        <v>0</v>
      </c>
      <c r="O20" s="124">
        <v>0</v>
      </c>
      <c r="P20" s="140">
        <v>2.4999800175650702E-9</v>
      </c>
      <c r="Q20" s="140">
        <v>2.6213962974484502E-10</v>
      </c>
    </row>
    <row r="21" spans="1:17">
      <c r="A21" s="2">
        <v>301</v>
      </c>
      <c r="B21" s="2">
        <v>7210</v>
      </c>
      <c r="C21" s="2" t="s">
        <v>1181</v>
      </c>
      <c r="D21" s="2" t="s">
        <v>1182</v>
      </c>
      <c r="E21" s="3" t="s">
        <v>322</v>
      </c>
      <c r="F21" s="2" t="s">
        <v>962</v>
      </c>
      <c r="G21" s="2" t="s">
        <v>30</v>
      </c>
      <c r="H21" s="2" t="s">
        <v>139</v>
      </c>
      <c r="I21" s="2" t="s">
        <v>1177</v>
      </c>
      <c r="J21" s="2" t="s">
        <v>420</v>
      </c>
      <c r="K21" s="2" t="s">
        <v>1186</v>
      </c>
      <c r="L21" s="124">
        <v>0</v>
      </c>
      <c r="M21" s="134">
        <v>0.47010000000000002</v>
      </c>
      <c r="N21" s="138">
        <v>0</v>
      </c>
      <c r="O21" s="124">
        <v>0</v>
      </c>
      <c r="P21" s="140">
        <v>1.0381067098819302E-9</v>
      </c>
      <c r="Q21" s="140">
        <v>1.0885243348030401E-10</v>
      </c>
    </row>
    <row r="22" spans="1:17">
      <c r="A22" s="2">
        <v>301</v>
      </c>
      <c r="B22" s="2">
        <v>7210</v>
      </c>
      <c r="C22" s="2" t="s">
        <v>1181</v>
      </c>
      <c r="D22" s="2" t="s">
        <v>1182</v>
      </c>
      <c r="E22" s="3" t="s">
        <v>322</v>
      </c>
      <c r="F22" s="2" t="s">
        <v>962</v>
      </c>
      <c r="G22" s="2" t="s">
        <v>30</v>
      </c>
      <c r="H22" s="2" t="s">
        <v>139</v>
      </c>
      <c r="I22" s="2" t="s">
        <v>1177</v>
      </c>
      <c r="J22" s="2" t="s">
        <v>420</v>
      </c>
      <c r="K22" s="2" t="s">
        <v>1183</v>
      </c>
      <c r="L22" s="124">
        <v>195.464</v>
      </c>
      <c r="M22" s="134">
        <v>3.7964000000000002</v>
      </c>
      <c r="N22" s="138">
        <v>0</v>
      </c>
      <c r="O22" s="124">
        <v>742.06</v>
      </c>
      <c r="P22" s="140">
        <v>5.1208342075206104E-3</v>
      </c>
      <c r="Q22" s="140">
        <v>5.3695372511482599E-4</v>
      </c>
    </row>
    <row r="23" spans="1:17">
      <c r="A23" s="2">
        <v>301</v>
      </c>
      <c r="B23" s="2">
        <v>7210</v>
      </c>
      <c r="C23" s="2" t="s">
        <v>1181</v>
      </c>
      <c r="D23" s="2" t="s">
        <v>1182</v>
      </c>
      <c r="E23" s="3" t="s">
        <v>322</v>
      </c>
      <c r="F23" s="2" t="s">
        <v>962</v>
      </c>
      <c r="G23" s="2" t="s">
        <v>30</v>
      </c>
      <c r="H23" s="2" t="s">
        <v>139</v>
      </c>
      <c r="I23" s="2" t="s">
        <v>1177</v>
      </c>
      <c r="J23" s="2" t="s">
        <v>420</v>
      </c>
      <c r="K23" s="2" t="s">
        <v>1179</v>
      </c>
      <c r="L23" s="124">
        <v>0.28499999999999998</v>
      </c>
      <c r="M23" s="134">
        <v>2.3285E-2</v>
      </c>
      <c r="N23" s="138">
        <v>0</v>
      </c>
      <c r="O23" s="124">
        <v>7.0000000000000001E-3</v>
      </c>
      <c r="P23" s="140">
        <v>4.57955069452393E-8</v>
      </c>
      <c r="Q23" s="140">
        <v>4.8019652758244805E-9</v>
      </c>
    </row>
    <row r="24" spans="1:17">
      <c r="A24" s="2">
        <v>301</v>
      </c>
      <c r="B24" s="2">
        <v>7210</v>
      </c>
      <c r="C24" s="2" t="s">
        <v>1181</v>
      </c>
      <c r="D24" s="2" t="s">
        <v>1182</v>
      </c>
      <c r="E24" s="3" t="s">
        <v>322</v>
      </c>
      <c r="F24" s="2" t="s">
        <v>962</v>
      </c>
      <c r="G24" s="2" t="s">
        <v>30</v>
      </c>
      <c r="H24" s="2" t="s">
        <v>139</v>
      </c>
      <c r="I24" s="2" t="s">
        <v>1177</v>
      </c>
      <c r="J24" s="2" t="s">
        <v>420</v>
      </c>
      <c r="K24" s="2" t="s">
        <v>1187</v>
      </c>
      <c r="L24" s="124">
        <v>0.29799999999999999</v>
      </c>
      <c r="M24" s="134">
        <v>0.50900000000000001</v>
      </c>
      <c r="N24" s="138">
        <v>0</v>
      </c>
      <c r="O24" s="124">
        <v>0.152</v>
      </c>
      <c r="P24" s="140">
        <v>1.0480675160081401E-6</v>
      </c>
      <c r="Q24" s="140">
        <v>1.09896890640576E-7</v>
      </c>
    </row>
    <row r="25" spans="1:17">
      <c r="A25" s="2">
        <v>301</v>
      </c>
      <c r="B25" s="2">
        <v>7210</v>
      </c>
      <c r="C25" s="2" t="s">
        <v>1181</v>
      </c>
      <c r="D25" s="2" t="s">
        <v>1182</v>
      </c>
      <c r="E25" s="3" t="s">
        <v>322</v>
      </c>
      <c r="F25" s="2" t="s">
        <v>962</v>
      </c>
      <c r="G25" s="2" t="s">
        <v>30</v>
      </c>
      <c r="H25" s="2" t="s">
        <v>139</v>
      </c>
      <c r="I25" s="2" t="s">
        <v>1177</v>
      </c>
      <c r="J25" s="2" t="s">
        <v>420</v>
      </c>
      <c r="K25" s="2" t="s">
        <v>1185</v>
      </c>
      <c r="L25" s="124">
        <v>1E-3</v>
      </c>
      <c r="M25" s="134">
        <v>4.5743</v>
      </c>
      <c r="N25" s="138">
        <v>0</v>
      </c>
      <c r="O25" s="124">
        <v>3.0000000000000001E-3</v>
      </c>
      <c r="P25" s="140">
        <v>2.3674873978007999E-8</v>
      </c>
      <c r="Q25" s="140">
        <v>2.4824689218498403E-9</v>
      </c>
    </row>
    <row r="26" spans="1:17">
      <c r="A26" s="2">
        <v>301</v>
      </c>
      <c r="B26" s="2">
        <v>7210</v>
      </c>
      <c r="C26" s="2" t="s">
        <v>1181</v>
      </c>
      <c r="D26" s="2" t="s">
        <v>1182</v>
      </c>
      <c r="E26" s="3" t="s">
        <v>322</v>
      </c>
      <c r="F26" s="2" t="s">
        <v>960</v>
      </c>
      <c r="G26" s="2" t="s">
        <v>30</v>
      </c>
      <c r="H26" s="2" t="s">
        <v>139</v>
      </c>
      <c r="I26" s="2" t="s">
        <v>1177</v>
      </c>
      <c r="J26" s="2" t="s">
        <v>420</v>
      </c>
      <c r="K26" s="2" t="s">
        <v>34</v>
      </c>
      <c r="L26" s="124">
        <v>142006.307</v>
      </c>
      <c r="M26" s="134">
        <v>1</v>
      </c>
      <c r="N26" s="138">
        <v>3.7999999999999999E-2</v>
      </c>
      <c r="O26" s="124">
        <v>142006.307</v>
      </c>
      <c r="P26" s="140">
        <v>0.97996237907760297</v>
      </c>
      <c r="Q26" s="140">
        <v>0.10275561140904001</v>
      </c>
    </row>
    <row r="27" spans="1:17">
      <c r="A27" s="2">
        <v>301</v>
      </c>
      <c r="B27" s="2">
        <v>7210</v>
      </c>
      <c r="C27" s="2" t="s">
        <v>1181</v>
      </c>
      <c r="D27" s="2" t="s">
        <v>1182</v>
      </c>
      <c r="E27" s="3" t="s">
        <v>322</v>
      </c>
      <c r="F27" s="2" t="s">
        <v>962</v>
      </c>
      <c r="G27" s="2" t="s">
        <v>30</v>
      </c>
      <c r="H27" s="2" t="s">
        <v>139</v>
      </c>
      <c r="I27" s="2" t="s">
        <v>1177</v>
      </c>
      <c r="J27" s="2" t="s">
        <v>420</v>
      </c>
      <c r="K27" s="2" t="s">
        <v>1180</v>
      </c>
      <c r="L27" s="124">
        <v>1E-3</v>
      </c>
      <c r="M27" s="134">
        <v>4.0278</v>
      </c>
      <c r="N27" s="138">
        <v>0</v>
      </c>
      <c r="O27" s="124">
        <v>3.0000000000000001E-3</v>
      </c>
      <c r="P27" s="140">
        <v>2.2792056802882501E-8</v>
      </c>
      <c r="Q27" s="140">
        <v>2.3898996349780201E-9</v>
      </c>
    </row>
    <row r="28" spans="1:17">
      <c r="A28" s="2">
        <v>301</v>
      </c>
      <c r="B28" s="2">
        <v>7211</v>
      </c>
      <c r="C28" s="2" t="s">
        <v>1175</v>
      </c>
      <c r="D28" s="2" t="s">
        <v>1176</v>
      </c>
      <c r="E28" s="3" t="s">
        <v>322</v>
      </c>
      <c r="F28" s="2" t="s">
        <v>962</v>
      </c>
      <c r="G28" s="2" t="s">
        <v>30</v>
      </c>
      <c r="H28" s="2" t="s">
        <v>139</v>
      </c>
      <c r="I28" s="2" t="s">
        <v>1177</v>
      </c>
      <c r="J28" s="2" t="s">
        <v>420</v>
      </c>
      <c r="K28" s="2" t="s">
        <v>105</v>
      </c>
      <c r="L28" s="124">
        <v>1.7000000000000001E-2</v>
      </c>
      <c r="M28" s="134">
        <v>3.6469999999999998</v>
      </c>
      <c r="N28" s="138">
        <v>0</v>
      </c>
      <c r="O28" s="124">
        <v>6.2E-2</v>
      </c>
      <c r="P28" s="140">
        <v>1.02986131293996E-4</v>
      </c>
      <c r="Q28" s="140">
        <v>2.8810451941116401E-6</v>
      </c>
    </row>
    <row r="29" spans="1:17">
      <c r="A29" s="2">
        <v>301</v>
      </c>
      <c r="B29" s="2">
        <v>7211</v>
      </c>
      <c r="C29" s="2" t="s">
        <v>1175</v>
      </c>
      <c r="D29" s="2" t="s">
        <v>1176</v>
      </c>
      <c r="E29" s="3" t="s">
        <v>322</v>
      </c>
      <c r="F29" s="2" t="s">
        <v>960</v>
      </c>
      <c r="G29" s="2" t="s">
        <v>30</v>
      </c>
      <c r="H29" s="2" t="s">
        <v>139</v>
      </c>
      <c r="I29" s="2" t="s">
        <v>1177</v>
      </c>
      <c r="J29" s="2" t="s">
        <v>420</v>
      </c>
      <c r="K29" s="2" t="s">
        <v>34</v>
      </c>
      <c r="L29" s="124">
        <v>0.20100000000000001</v>
      </c>
      <c r="M29" s="134">
        <v>1</v>
      </c>
      <c r="N29" s="138">
        <v>0</v>
      </c>
      <c r="O29" s="124">
        <v>0.20100000000000001</v>
      </c>
      <c r="P29" s="140">
        <v>3.3643591282780499E-4</v>
      </c>
      <c r="Q29" s="140">
        <v>9.4118213549751801E-6</v>
      </c>
    </row>
    <row r="30" spans="1:17">
      <c r="A30" s="2">
        <v>301</v>
      </c>
      <c r="B30" s="2">
        <v>7211</v>
      </c>
      <c r="C30" s="2" t="s">
        <v>1181</v>
      </c>
      <c r="D30" s="2" t="s">
        <v>1182</v>
      </c>
      <c r="E30" s="3" t="s">
        <v>322</v>
      </c>
      <c r="F30" s="2" t="s">
        <v>962</v>
      </c>
      <c r="G30" s="2" t="s">
        <v>30</v>
      </c>
      <c r="H30" s="2" t="s">
        <v>139</v>
      </c>
      <c r="I30" s="2" t="s">
        <v>1177</v>
      </c>
      <c r="J30" s="2" t="s">
        <v>420</v>
      </c>
      <c r="K30" s="2" t="s">
        <v>105</v>
      </c>
      <c r="L30" s="124">
        <v>5.1340000000000003</v>
      </c>
      <c r="M30" s="134">
        <v>3.6469999999999998</v>
      </c>
      <c r="N30" s="138">
        <v>0</v>
      </c>
      <c r="O30" s="124">
        <v>18.724</v>
      </c>
      <c r="P30" s="140">
        <v>3.1341603899585201E-2</v>
      </c>
      <c r="Q30" s="140">
        <v>8.7678385580753097E-4</v>
      </c>
    </row>
    <row r="31" spans="1:17">
      <c r="A31" s="2">
        <v>301</v>
      </c>
      <c r="B31" s="2">
        <v>7211</v>
      </c>
      <c r="C31" s="2" t="s">
        <v>1181</v>
      </c>
      <c r="D31" s="2" t="s">
        <v>1182</v>
      </c>
      <c r="E31" s="3" t="s">
        <v>322</v>
      </c>
      <c r="F31" s="2" t="s">
        <v>962</v>
      </c>
      <c r="G31" s="2" t="s">
        <v>30</v>
      </c>
      <c r="H31" s="2" t="s">
        <v>139</v>
      </c>
      <c r="I31" s="2" t="s">
        <v>1177</v>
      </c>
      <c r="J31" s="2" t="s">
        <v>420</v>
      </c>
      <c r="K31" s="2" t="s">
        <v>1183</v>
      </c>
      <c r="L31" s="124">
        <v>3.1890000000000001</v>
      </c>
      <c r="M31" s="134">
        <v>3.7964000000000002</v>
      </c>
      <c r="N31" s="138">
        <v>0</v>
      </c>
      <c r="O31" s="124">
        <v>12.106</v>
      </c>
      <c r="P31" s="140">
        <v>2.0263901157059599E-2</v>
      </c>
      <c r="Q31" s="140">
        <v>5.66884242654363E-4</v>
      </c>
    </row>
    <row r="32" spans="1:17">
      <c r="A32" s="2">
        <v>301</v>
      </c>
      <c r="B32" s="2">
        <v>7211</v>
      </c>
      <c r="C32" s="2" t="s">
        <v>1181</v>
      </c>
      <c r="D32" s="2" t="s">
        <v>1182</v>
      </c>
      <c r="E32" s="3" t="s">
        <v>322</v>
      </c>
      <c r="F32" s="2" t="s">
        <v>962</v>
      </c>
      <c r="G32" s="2" t="s">
        <v>30</v>
      </c>
      <c r="H32" s="2" t="s">
        <v>139</v>
      </c>
      <c r="I32" s="2" t="s">
        <v>1177</v>
      </c>
      <c r="J32" s="2" t="s">
        <v>420</v>
      </c>
      <c r="K32" s="2" t="s">
        <v>1185</v>
      </c>
      <c r="L32" s="124">
        <v>0.433</v>
      </c>
      <c r="M32" s="134">
        <v>4.5743</v>
      </c>
      <c r="N32" s="138">
        <v>0</v>
      </c>
      <c r="O32" s="124">
        <v>1.9790000000000001</v>
      </c>
      <c r="P32" s="140">
        <v>3.3128310497946502E-3</v>
      </c>
      <c r="Q32" s="140">
        <v>9.26767114658196E-5</v>
      </c>
    </row>
    <row r="33" spans="1:17">
      <c r="A33" s="2">
        <v>301</v>
      </c>
      <c r="B33" s="2">
        <v>7211</v>
      </c>
      <c r="C33" s="2" t="s">
        <v>1181</v>
      </c>
      <c r="D33" s="2" t="s">
        <v>1182</v>
      </c>
      <c r="E33" s="3" t="s">
        <v>322</v>
      </c>
      <c r="F33" s="2" t="s">
        <v>960</v>
      </c>
      <c r="G33" s="2" t="s">
        <v>30</v>
      </c>
      <c r="H33" s="2" t="s">
        <v>139</v>
      </c>
      <c r="I33" s="2" t="s">
        <v>1177</v>
      </c>
      <c r="J33" s="2" t="s">
        <v>420</v>
      </c>
      <c r="K33" s="2" t="s">
        <v>34</v>
      </c>
      <c r="L33" s="124">
        <v>564.33799999999997</v>
      </c>
      <c r="M33" s="134">
        <v>1</v>
      </c>
      <c r="N33" s="138">
        <v>3.7999999999999999E-2</v>
      </c>
      <c r="O33" s="124">
        <v>564.33799999999997</v>
      </c>
      <c r="P33" s="140">
        <v>0.94464227532731504</v>
      </c>
      <c r="Q33" s="140">
        <v>2.6426442602423501E-2</v>
      </c>
    </row>
    <row r="34" spans="1:17">
      <c r="A34" s="2">
        <v>301</v>
      </c>
      <c r="B34" s="2">
        <v>7211</v>
      </c>
      <c r="C34" s="2" t="s">
        <v>1181</v>
      </c>
      <c r="D34" s="2" t="s">
        <v>1182</v>
      </c>
      <c r="E34" s="3" t="s">
        <v>322</v>
      </c>
      <c r="F34" s="2" t="s">
        <v>960</v>
      </c>
      <c r="G34" s="2" t="s">
        <v>30</v>
      </c>
      <c r="H34" s="2" t="s">
        <v>139</v>
      </c>
      <c r="I34" s="2" t="s">
        <v>1177</v>
      </c>
      <c r="J34" s="2" t="s">
        <v>420</v>
      </c>
      <c r="K34" s="2" t="s">
        <v>34</v>
      </c>
      <c r="L34" s="124">
        <v>0</v>
      </c>
      <c r="M34" s="134">
        <v>1</v>
      </c>
      <c r="N34" s="138">
        <v>3.7999999999999999E-2</v>
      </c>
      <c r="O34" s="124">
        <v>0</v>
      </c>
      <c r="P34" s="140">
        <v>-3.3477875797582502E-8</v>
      </c>
      <c r="Q34" s="140">
        <v>-9.3654623165084612E-10</v>
      </c>
    </row>
  </sheetData>
  <sheetProtection formatColumns="0"/>
  <customSheetViews>
    <customSheetView guid="{AE318230-F718-49FC-82EB-7CAC3DCD05F1}" showGridLines="0">
      <selection activeCell="K3" sqref="K3"/>
      <pageMargins left="0.7" right="0.7" top="0.75" bottom="0.75" header="0.3" footer="0.3"/>
      <pageSetup paperSize="9" orientation="portrait" verticalDpi="0"/>
    </customSheetView>
  </customSheetViews>
  <dataValidations count="4">
    <dataValidation type="list" allowBlank="1" showInputMessage="1" showErrorMessage="1" sqref="G2:G20" xr:uid="{00000000-0002-0000-0200-000000000000}">
      <formula1>israel_abroad</formula1>
    </dataValidation>
    <dataValidation type="list" allowBlank="1" showInputMessage="1" showErrorMessage="1" sqref="H2:H20" xr:uid="{00000000-0002-0000-0200-000001000000}">
      <formula1>Holding_interest</formula1>
    </dataValidation>
    <dataValidation type="list" allowBlank="1" showInputMessage="1" showErrorMessage="1" sqref="J2:J21" xr:uid="{00000000-0002-0000-0200-000002000000}">
      <formula1>Rating_Agency</formula1>
    </dataValidation>
    <dataValidation type="list" allowBlank="1" showInputMessage="1" showErrorMessage="1" sqref="E2:E20" xr:uid="{00000000-0002-0000-0200-000003000000}">
      <formula1>Issuer_Number_Banks</formula1>
    </dataValidation>
  </dataValidations>
  <pageMargins left="0.7" right="0.7" top="0.75" bottom="0.75" header="0.3" footer="0.3"/>
  <pageSetup paperSize="9"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200-000004000000}">
          <x14:formula1>
            <xm:f>'אפשרויות בחירה'!$C$853:$C$861</xm:f>
          </x14:formula1>
          <xm:sqref>F2:F20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5"/>
  <dimension ref="A1:AD58"/>
  <sheetViews>
    <sheetView rightToLeft="1" topLeftCell="C1" zoomScale="70" zoomScaleNormal="70" workbookViewId="0">
      <selection activeCell="C2" sqref="C2"/>
    </sheetView>
  </sheetViews>
  <sheetFormatPr defaultColWidth="0" defaultRowHeight="14.25" zeroHeight="1"/>
  <cols>
    <col min="1" max="26" width="11.625" customWidth="1"/>
    <col min="27" max="30" width="11.625" hidden="1" customWidth="1"/>
  </cols>
  <sheetData>
    <row r="1" spans="1:26" ht="66.75" customHeight="1">
      <c r="A1" s="12" t="s">
        <v>0</v>
      </c>
      <c r="B1" s="12" t="s">
        <v>1</v>
      </c>
      <c r="C1" s="12" t="s">
        <v>2</v>
      </c>
      <c r="D1" s="12" t="s">
        <v>3</v>
      </c>
      <c r="E1" s="12" t="s">
        <v>4</v>
      </c>
      <c r="F1" s="12" t="s">
        <v>5</v>
      </c>
      <c r="G1" s="12" t="s">
        <v>6</v>
      </c>
      <c r="H1" s="12" t="s">
        <v>7</v>
      </c>
      <c r="I1" s="12" t="s">
        <v>8</v>
      </c>
      <c r="J1" s="12" t="s">
        <v>9</v>
      </c>
      <c r="K1" s="12" t="s">
        <v>10</v>
      </c>
      <c r="L1" s="12" t="s">
        <v>11</v>
      </c>
      <c r="M1" s="12" t="s">
        <v>12</v>
      </c>
      <c r="N1" s="12" t="s">
        <v>13</v>
      </c>
      <c r="O1" s="135" t="s">
        <v>14</v>
      </c>
      <c r="P1" s="139" t="s">
        <v>15</v>
      </c>
      <c r="Q1" s="12" t="s">
        <v>16</v>
      </c>
      <c r="R1" s="12" t="s">
        <v>17</v>
      </c>
      <c r="S1" s="133" t="s">
        <v>18</v>
      </c>
      <c r="T1" s="144" t="s">
        <v>19</v>
      </c>
      <c r="U1" s="12" t="s">
        <v>20</v>
      </c>
      <c r="V1" s="12" t="s">
        <v>21</v>
      </c>
      <c r="W1" s="12" t="s">
        <v>22</v>
      </c>
      <c r="X1" s="139" t="s">
        <v>23</v>
      </c>
      <c r="Y1" s="139" t="s">
        <v>24</v>
      </c>
      <c r="Z1" s="139" t="s">
        <v>25</v>
      </c>
    </row>
    <row r="2" spans="1:26">
      <c r="A2" s="11">
        <v>301</v>
      </c>
      <c r="B2" s="11">
        <v>7209</v>
      </c>
      <c r="C2" s="11" t="s">
        <v>26</v>
      </c>
      <c r="D2" s="11" t="s">
        <v>27</v>
      </c>
      <c r="E2" s="11" t="s">
        <v>28</v>
      </c>
      <c r="F2" s="11" t="s">
        <v>29</v>
      </c>
      <c r="G2" s="11" t="s">
        <v>30</v>
      </c>
      <c r="H2" s="11" t="s">
        <v>30</v>
      </c>
      <c r="I2" s="11" t="s">
        <v>31</v>
      </c>
      <c r="J2" s="11" t="s">
        <v>32</v>
      </c>
      <c r="K2" s="11" t="s">
        <v>33</v>
      </c>
      <c r="L2" s="3" t="s">
        <v>34</v>
      </c>
      <c r="M2" s="125">
        <v>0.17</v>
      </c>
      <c r="N2" s="3" t="s">
        <v>35</v>
      </c>
      <c r="O2" s="137">
        <v>0</v>
      </c>
      <c r="P2" s="142">
        <v>4.3360000000000003E-2</v>
      </c>
      <c r="Q2" s="3"/>
      <c r="R2" s="125">
        <v>93372</v>
      </c>
      <c r="S2" s="143">
        <v>1</v>
      </c>
      <c r="T2" s="145">
        <v>99.27</v>
      </c>
      <c r="U2" s="125">
        <v>92.69</v>
      </c>
      <c r="V2" s="3"/>
      <c r="W2" s="11" t="s">
        <v>36</v>
      </c>
      <c r="X2" s="146">
        <v>3.0000000000000001E-6</v>
      </c>
      <c r="Y2" s="142">
        <v>1.2552585764723701E-2</v>
      </c>
      <c r="Z2" s="142">
        <v>4.5221241240915797E-3</v>
      </c>
    </row>
    <row r="3" spans="1:26">
      <c r="A3" s="11">
        <v>301</v>
      </c>
      <c r="B3" s="11">
        <v>7209</v>
      </c>
      <c r="C3" s="11" t="s">
        <v>26</v>
      </c>
      <c r="D3" s="11" t="s">
        <v>37</v>
      </c>
      <c r="E3" s="11" t="s">
        <v>38</v>
      </c>
      <c r="F3" s="11" t="s">
        <v>29</v>
      </c>
      <c r="G3" s="11" t="s">
        <v>30</v>
      </c>
      <c r="H3" s="11" t="s">
        <v>30</v>
      </c>
      <c r="I3" s="11" t="s">
        <v>31</v>
      </c>
      <c r="J3" s="11" t="s">
        <v>32</v>
      </c>
      <c r="K3" s="11" t="s">
        <v>33</v>
      </c>
      <c r="L3" s="3" t="s">
        <v>34</v>
      </c>
      <c r="M3" s="125">
        <v>0.247</v>
      </c>
      <c r="N3" s="3" t="s">
        <v>39</v>
      </c>
      <c r="O3" s="137">
        <v>0</v>
      </c>
      <c r="P3" s="142">
        <v>4.24E-2</v>
      </c>
      <c r="Q3" s="3"/>
      <c r="R3" s="125">
        <v>420000</v>
      </c>
      <c r="S3" s="143">
        <v>1</v>
      </c>
      <c r="T3" s="145">
        <v>98.97</v>
      </c>
      <c r="U3" s="125">
        <v>415.67399999999998</v>
      </c>
      <c r="V3" s="3"/>
      <c r="W3" s="11" t="s">
        <v>36</v>
      </c>
      <c r="X3" s="146">
        <v>3.4999999999999997E-5</v>
      </c>
      <c r="Y3" s="142">
        <v>5.6292608655593698E-2</v>
      </c>
      <c r="Z3" s="142">
        <v>2.0279659377026402E-2</v>
      </c>
    </row>
    <row r="4" spans="1:26">
      <c r="A4" s="11">
        <v>301</v>
      </c>
      <c r="B4" s="11">
        <v>7209</v>
      </c>
      <c r="C4" s="11" t="s">
        <v>26</v>
      </c>
      <c r="D4" s="11" t="s">
        <v>40</v>
      </c>
      <c r="E4" s="11" t="s">
        <v>41</v>
      </c>
      <c r="F4" s="11" t="s">
        <v>29</v>
      </c>
      <c r="G4" s="11" t="s">
        <v>30</v>
      </c>
      <c r="H4" s="11" t="s">
        <v>30</v>
      </c>
      <c r="I4" s="11" t="s">
        <v>31</v>
      </c>
      <c r="J4" s="11" t="s">
        <v>32</v>
      </c>
      <c r="K4" s="11" t="s">
        <v>33</v>
      </c>
      <c r="L4" s="3" t="s">
        <v>34</v>
      </c>
      <c r="M4" s="125">
        <v>0.84099999999999997</v>
      </c>
      <c r="N4" s="3" t="s">
        <v>42</v>
      </c>
      <c r="O4" s="137">
        <v>0</v>
      </c>
      <c r="P4" s="142">
        <v>4.2099999999999999E-2</v>
      </c>
      <c r="Q4" s="3"/>
      <c r="R4" s="125">
        <v>300000</v>
      </c>
      <c r="S4" s="143">
        <v>1</v>
      </c>
      <c r="T4" s="145">
        <v>96.58</v>
      </c>
      <c r="U4" s="125">
        <v>289.74</v>
      </c>
      <c r="V4" s="3"/>
      <c r="W4" s="11" t="s">
        <v>36</v>
      </c>
      <c r="X4" s="146">
        <v>2.0999999999999999E-5</v>
      </c>
      <c r="Y4" s="142">
        <v>3.9238009670731697E-2</v>
      </c>
      <c r="Z4" s="142">
        <v>1.41356652277978E-2</v>
      </c>
    </row>
    <row r="5" spans="1:26">
      <c r="A5" s="11">
        <v>301</v>
      </c>
      <c r="B5" s="11">
        <v>7209</v>
      </c>
      <c r="C5" s="11" t="s">
        <v>26</v>
      </c>
      <c r="D5" s="11" t="s">
        <v>43</v>
      </c>
      <c r="E5" s="11" t="s">
        <v>44</v>
      </c>
      <c r="F5" s="11" t="s">
        <v>29</v>
      </c>
      <c r="G5" s="11" t="s">
        <v>30</v>
      </c>
      <c r="H5" s="11" t="s">
        <v>30</v>
      </c>
      <c r="I5" s="11" t="s">
        <v>45</v>
      </c>
      <c r="J5" s="11" t="s">
        <v>32</v>
      </c>
      <c r="K5" s="11" t="s">
        <v>33</v>
      </c>
      <c r="L5" s="3" t="s">
        <v>34</v>
      </c>
      <c r="M5" s="125">
        <v>9.2999999999999999E-2</v>
      </c>
      <c r="N5" s="3" t="s">
        <v>46</v>
      </c>
      <c r="O5" s="137">
        <v>0</v>
      </c>
      <c r="P5" s="142">
        <v>4.2680000000000003E-2</v>
      </c>
      <c r="Q5" s="3"/>
      <c r="R5" s="125">
        <v>114000</v>
      </c>
      <c r="S5" s="143">
        <v>1</v>
      </c>
      <c r="T5" s="145">
        <v>99.6</v>
      </c>
      <c r="U5" s="125">
        <v>113.544</v>
      </c>
      <c r="V5" s="3"/>
      <c r="W5" s="11" t="s">
        <v>36</v>
      </c>
      <c r="X5" s="146">
        <v>3.0000000000000001E-6</v>
      </c>
      <c r="Y5" s="142">
        <v>1.53766845104354E-2</v>
      </c>
      <c r="Z5" s="142">
        <v>5.5395180942399303E-3</v>
      </c>
    </row>
    <row r="6" spans="1:26">
      <c r="A6" s="11">
        <v>301</v>
      </c>
      <c r="B6" s="11">
        <v>7209</v>
      </c>
      <c r="C6" s="11" t="s">
        <v>26</v>
      </c>
      <c r="D6" s="11" t="s">
        <v>47</v>
      </c>
      <c r="E6" s="11" t="s">
        <v>48</v>
      </c>
      <c r="F6" s="11" t="s">
        <v>29</v>
      </c>
      <c r="G6" s="11" t="s">
        <v>30</v>
      </c>
      <c r="H6" s="11" t="s">
        <v>30</v>
      </c>
      <c r="I6" s="11" t="s">
        <v>31</v>
      </c>
      <c r="J6" s="11" t="s">
        <v>32</v>
      </c>
      <c r="K6" s="11" t="s">
        <v>33</v>
      </c>
      <c r="L6" s="3" t="s">
        <v>34</v>
      </c>
      <c r="M6" s="125">
        <v>0.34200000000000003</v>
      </c>
      <c r="N6" s="3" t="s">
        <v>49</v>
      </c>
      <c r="O6" s="137">
        <v>0</v>
      </c>
      <c r="P6" s="142">
        <v>4.2909999999999997E-2</v>
      </c>
      <c r="Q6" s="3"/>
      <c r="R6" s="125">
        <v>400000</v>
      </c>
      <c r="S6" s="143">
        <v>1</v>
      </c>
      <c r="T6" s="145">
        <v>98.56</v>
      </c>
      <c r="U6" s="125">
        <v>394.24</v>
      </c>
      <c r="V6" s="3"/>
      <c r="W6" s="11" t="s">
        <v>36</v>
      </c>
      <c r="X6" s="146">
        <v>2.9E-5</v>
      </c>
      <c r="Y6" s="142">
        <v>5.3389911412263603E-2</v>
      </c>
      <c r="Z6" s="142">
        <v>1.92339499530856E-2</v>
      </c>
    </row>
    <row r="7" spans="1:26">
      <c r="A7" s="11">
        <v>301</v>
      </c>
      <c r="B7" s="11">
        <v>7209</v>
      </c>
      <c r="C7" s="11" t="s">
        <v>26</v>
      </c>
      <c r="D7" s="11" t="s">
        <v>50</v>
      </c>
      <c r="E7" s="11" t="s">
        <v>51</v>
      </c>
      <c r="F7" s="11" t="s">
        <v>29</v>
      </c>
      <c r="G7" s="11" t="s">
        <v>30</v>
      </c>
      <c r="H7" s="11" t="s">
        <v>30</v>
      </c>
      <c r="I7" s="11" t="s">
        <v>31</v>
      </c>
      <c r="J7" s="11" t="s">
        <v>32</v>
      </c>
      <c r="K7" s="11" t="s">
        <v>33</v>
      </c>
      <c r="L7" s="3" t="s">
        <v>34</v>
      </c>
      <c r="M7" s="125">
        <v>0.41899999999999998</v>
      </c>
      <c r="N7" s="3" t="s">
        <v>52</v>
      </c>
      <c r="O7" s="137">
        <v>0</v>
      </c>
      <c r="P7" s="142">
        <v>4.2729999999999997E-2</v>
      </c>
      <c r="Q7" s="3"/>
      <c r="R7" s="125">
        <v>500000</v>
      </c>
      <c r="S7" s="143">
        <v>1</v>
      </c>
      <c r="T7" s="145">
        <v>98.25</v>
      </c>
      <c r="U7" s="125">
        <v>491.25</v>
      </c>
      <c r="V7" s="3"/>
      <c r="W7" s="11" t="s">
        <v>36</v>
      </c>
      <c r="X7" s="146">
        <v>4.1999999999999998E-5</v>
      </c>
      <c r="Y7" s="142">
        <v>6.6527480674904799E-2</v>
      </c>
      <c r="Z7" s="142">
        <v>2.3966816950216401E-2</v>
      </c>
    </row>
    <row r="8" spans="1:26">
      <c r="A8" s="11">
        <v>301</v>
      </c>
      <c r="B8" s="11">
        <v>7209</v>
      </c>
      <c r="C8" s="11" t="s">
        <v>53</v>
      </c>
      <c r="D8" s="11" t="s">
        <v>54</v>
      </c>
      <c r="E8" s="11" t="s">
        <v>55</v>
      </c>
      <c r="F8" s="11" t="s">
        <v>56</v>
      </c>
      <c r="G8" s="11" t="s">
        <v>30</v>
      </c>
      <c r="H8" s="11" t="s">
        <v>30</v>
      </c>
      <c r="I8" s="11" t="s">
        <v>45</v>
      </c>
      <c r="J8" s="11" t="s">
        <v>32</v>
      </c>
      <c r="K8" s="11" t="s">
        <v>33</v>
      </c>
      <c r="L8" s="3" t="s">
        <v>34</v>
      </c>
      <c r="M8" s="125">
        <v>2.3860000000000001</v>
      </c>
      <c r="N8" s="3" t="s">
        <v>57</v>
      </c>
      <c r="O8" s="137">
        <v>7.4999999999999997E-3</v>
      </c>
      <c r="P8" s="142">
        <v>1.7919999999999998E-2</v>
      </c>
      <c r="Q8" s="3"/>
      <c r="R8" s="125">
        <v>55000</v>
      </c>
      <c r="S8" s="143">
        <v>1</v>
      </c>
      <c r="T8" s="145">
        <v>114.17</v>
      </c>
      <c r="U8" s="125">
        <v>62.793999999999997</v>
      </c>
      <c r="V8" s="3"/>
      <c r="W8" s="11" t="s">
        <v>36</v>
      </c>
      <c r="X8" s="146">
        <v>1.9999999999999999E-6</v>
      </c>
      <c r="Y8" s="142">
        <v>8.5038032727931499E-3</v>
      </c>
      <c r="Z8" s="142">
        <v>3.0635324583479099E-3</v>
      </c>
    </row>
    <row r="9" spans="1:26">
      <c r="A9" s="11">
        <v>301</v>
      </c>
      <c r="B9" s="11">
        <v>7209</v>
      </c>
      <c r="C9" s="11" t="s">
        <v>53</v>
      </c>
      <c r="D9" s="11" t="s">
        <v>58</v>
      </c>
      <c r="E9" s="11" t="s">
        <v>59</v>
      </c>
      <c r="F9" s="11" t="s">
        <v>56</v>
      </c>
      <c r="G9" s="11" t="s">
        <v>30</v>
      </c>
      <c r="H9" s="11" t="s">
        <v>30</v>
      </c>
      <c r="I9" s="11" t="s">
        <v>45</v>
      </c>
      <c r="J9" s="11" t="s">
        <v>32</v>
      </c>
      <c r="K9" s="11" t="s">
        <v>33</v>
      </c>
      <c r="L9" s="3" t="s">
        <v>34</v>
      </c>
      <c r="M9" s="125">
        <v>6.89</v>
      </c>
      <c r="N9" s="3" t="s">
        <v>60</v>
      </c>
      <c r="O9" s="137">
        <v>1E-3</v>
      </c>
      <c r="P9" s="142">
        <v>1.8689999999999998E-2</v>
      </c>
      <c r="Q9" s="3"/>
      <c r="R9" s="125">
        <v>350000</v>
      </c>
      <c r="S9" s="143">
        <v>1</v>
      </c>
      <c r="T9" s="145">
        <v>102.23</v>
      </c>
      <c r="U9" s="125">
        <v>357.80500000000001</v>
      </c>
      <c r="V9" s="3"/>
      <c r="W9" s="11" t="s">
        <v>36</v>
      </c>
      <c r="X9" s="146">
        <v>1.1E-5</v>
      </c>
      <c r="Y9" s="142">
        <v>4.8455705288314103E-2</v>
      </c>
      <c r="Z9" s="142">
        <v>1.7456380537144399E-2</v>
      </c>
    </row>
    <row r="10" spans="1:26">
      <c r="A10" s="11">
        <v>301</v>
      </c>
      <c r="B10" s="11">
        <v>7209</v>
      </c>
      <c r="C10" s="11" t="s">
        <v>61</v>
      </c>
      <c r="D10" s="11" t="s">
        <v>62</v>
      </c>
      <c r="E10" s="11" t="s">
        <v>63</v>
      </c>
      <c r="F10" s="11" t="s">
        <v>64</v>
      </c>
      <c r="G10" s="11" t="s">
        <v>30</v>
      </c>
      <c r="H10" s="11" t="s">
        <v>30</v>
      </c>
      <c r="I10" s="11" t="s">
        <v>45</v>
      </c>
      <c r="J10" s="11" t="s">
        <v>32</v>
      </c>
      <c r="K10" s="11" t="s">
        <v>33</v>
      </c>
      <c r="L10" s="3" t="s">
        <v>34</v>
      </c>
      <c r="M10" s="125">
        <v>1.1479999999999999</v>
      </c>
      <c r="N10" s="3" t="s">
        <v>65</v>
      </c>
      <c r="O10" s="137">
        <v>5.0000000000000001E-3</v>
      </c>
      <c r="P10" s="142">
        <v>4.206E-2</v>
      </c>
      <c r="Q10" s="3"/>
      <c r="R10" s="125">
        <v>110000</v>
      </c>
      <c r="S10" s="143">
        <v>1</v>
      </c>
      <c r="T10" s="145">
        <v>96.32</v>
      </c>
      <c r="U10" s="125">
        <v>105.952</v>
      </c>
      <c r="V10" s="3"/>
      <c r="W10" s="11" t="s">
        <v>36</v>
      </c>
      <c r="X10" s="146">
        <v>3.9999999999999998E-6</v>
      </c>
      <c r="Y10" s="142">
        <v>1.43485386920458E-2</v>
      </c>
      <c r="Z10" s="142">
        <v>5.1691240498917502E-3</v>
      </c>
    </row>
    <row r="11" spans="1:26">
      <c r="A11" s="11">
        <v>301</v>
      </c>
      <c r="B11" s="11">
        <v>7209</v>
      </c>
      <c r="C11" s="11" t="s">
        <v>61</v>
      </c>
      <c r="D11" s="11" t="s">
        <v>66</v>
      </c>
      <c r="E11" s="11" t="s">
        <v>67</v>
      </c>
      <c r="F11" s="11" t="s">
        <v>64</v>
      </c>
      <c r="G11" s="11" t="s">
        <v>30</v>
      </c>
      <c r="H11" s="11" t="s">
        <v>30</v>
      </c>
      <c r="I11" s="11" t="s">
        <v>45</v>
      </c>
      <c r="J11" s="11" t="s">
        <v>32</v>
      </c>
      <c r="K11" s="11" t="s">
        <v>33</v>
      </c>
      <c r="L11" s="3" t="s">
        <v>34</v>
      </c>
      <c r="M11" s="125">
        <v>8.3070000000000004</v>
      </c>
      <c r="N11" s="3" t="s">
        <v>68</v>
      </c>
      <c r="O11" s="137">
        <v>0.04</v>
      </c>
      <c r="P11" s="142">
        <v>4.48E-2</v>
      </c>
      <c r="Q11" s="3"/>
      <c r="R11" s="125">
        <v>161000</v>
      </c>
      <c r="S11" s="143">
        <v>1</v>
      </c>
      <c r="T11" s="145">
        <v>99.13</v>
      </c>
      <c r="U11" s="125">
        <v>159.59899999999999</v>
      </c>
      <c r="V11" s="3"/>
      <c r="W11" s="11" t="s">
        <v>36</v>
      </c>
      <c r="X11" s="146">
        <v>6.9999999999999999E-6</v>
      </c>
      <c r="Y11" s="142">
        <v>2.1613718771457201E-2</v>
      </c>
      <c r="Z11" s="142">
        <v>7.7864370656135704E-3</v>
      </c>
    </row>
    <row r="12" spans="1:26">
      <c r="A12" s="11">
        <v>301</v>
      </c>
      <c r="B12" s="11">
        <v>7209</v>
      </c>
      <c r="C12" s="11" t="s">
        <v>61</v>
      </c>
      <c r="D12" s="11" t="s">
        <v>69</v>
      </c>
      <c r="E12" s="11" t="s">
        <v>70</v>
      </c>
      <c r="F12" s="11" t="s">
        <v>64</v>
      </c>
      <c r="G12" s="11" t="s">
        <v>30</v>
      </c>
      <c r="H12" s="11" t="s">
        <v>30</v>
      </c>
      <c r="I12" s="11" t="s">
        <v>45</v>
      </c>
      <c r="J12" s="11" t="s">
        <v>32</v>
      </c>
      <c r="K12" s="11" t="s">
        <v>33</v>
      </c>
      <c r="L12" s="3" t="s">
        <v>34</v>
      </c>
      <c r="M12" s="125">
        <v>0.66</v>
      </c>
      <c r="N12" s="3" t="s">
        <v>71</v>
      </c>
      <c r="O12" s="137">
        <v>1.7500000000000002E-2</v>
      </c>
      <c r="P12" s="142">
        <v>4.147E-2</v>
      </c>
      <c r="Q12" s="3"/>
      <c r="R12" s="125">
        <v>150000</v>
      </c>
      <c r="S12" s="143">
        <v>1</v>
      </c>
      <c r="T12" s="145">
        <v>99.05</v>
      </c>
      <c r="U12" s="125">
        <v>148.57499999999999</v>
      </c>
      <c r="V12" s="3"/>
      <c r="W12" s="11" t="s">
        <v>36</v>
      </c>
      <c r="X12" s="146">
        <v>6.0000000000000002E-6</v>
      </c>
      <c r="Y12" s="142">
        <v>2.0120754078929201E-2</v>
      </c>
      <c r="Z12" s="142">
        <v>7.24858998143184E-3</v>
      </c>
    </row>
    <row r="13" spans="1:26">
      <c r="A13" s="11">
        <v>301</v>
      </c>
      <c r="B13" s="11">
        <v>7209</v>
      </c>
      <c r="C13" s="11" t="s">
        <v>53</v>
      </c>
      <c r="D13" s="11" t="s">
        <v>72</v>
      </c>
      <c r="E13" s="11" t="s">
        <v>73</v>
      </c>
      <c r="F13" s="11" t="s">
        <v>56</v>
      </c>
      <c r="G13" s="11" t="s">
        <v>30</v>
      </c>
      <c r="H13" s="11" t="s">
        <v>30</v>
      </c>
      <c r="I13" s="11" t="s">
        <v>45</v>
      </c>
      <c r="J13" s="11" t="s">
        <v>32</v>
      </c>
      <c r="K13" s="11" t="s">
        <v>33</v>
      </c>
      <c r="L13" s="3" t="s">
        <v>34</v>
      </c>
      <c r="M13" s="125">
        <v>9.4169999999999998</v>
      </c>
      <c r="N13" s="3" t="s">
        <v>74</v>
      </c>
      <c r="O13" s="137">
        <v>0.04</v>
      </c>
      <c r="P13" s="142">
        <v>1.932E-2</v>
      </c>
      <c r="Q13" s="3"/>
      <c r="R13" s="125">
        <v>17675</v>
      </c>
      <c r="S13" s="143">
        <v>1</v>
      </c>
      <c r="T13" s="145">
        <v>169.09</v>
      </c>
      <c r="U13" s="125">
        <v>29.887</v>
      </c>
      <c r="V13" s="3"/>
      <c r="W13" s="11" t="s">
        <v>36</v>
      </c>
      <c r="X13" s="146">
        <v>9.9999999999999995E-7</v>
      </c>
      <c r="Y13" s="142">
        <v>4.0473975150508903E-3</v>
      </c>
      <c r="Z13" s="142">
        <v>1.4580927217431299E-3</v>
      </c>
    </row>
    <row r="14" spans="1:26">
      <c r="A14" s="11">
        <v>301</v>
      </c>
      <c r="B14" s="11">
        <v>7209</v>
      </c>
      <c r="C14" s="11" t="s">
        <v>61</v>
      </c>
      <c r="D14" s="11" t="s">
        <v>75</v>
      </c>
      <c r="E14" s="11" t="s">
        <v>76</v>
      </c>
      <c r="F14" s="11" t="s">
        <v>64</v>
      </c>
      <c r="G14" s="11" t="s">
        <v>30</v>
      </c>
      <c r="H14" s="11" t="s">
        <v>30</v>
      </c>
      <c r="I14" s="11" t="s">
        <v>45</v>
      </c>
      <c r="J14" s="11" t="s">
        <v>32</v>
      </c>
      <c r="K14" s="11" t="s">
        <v>33</v>
      </c>
      <c r="L14" s="3" t="s">
        <v>34</v>
      </c>
      <c r="M14" s="125">
        <v>1.7669999999999999</v>
      </c>
      <c r="N14" s="3" t="s">
        <v>77</v>
      </c>
      <c r="O14" s="137">
        <v>6.25E-2</v>
      </c>
      <c r="P14" s="142">
        <v>4.2500000000000003E-2</v>
      </c>
      <c r="Q14" s="3"/>
      <c r="R14" s="125">
        <v>270353</v>
      </c>
      <c r="S14" s="143">
        <v>1</v>
      </c>
      <c r="T14" s="145">
        <v>104.49</v>
      </c>
      <c r="U14" s="125">
        <v>282.49200000000002</v>
      </c>
      <c r="V14" s="3"/>
      <c r="W14" s="11" t="s">
        <v>36</v>
      </c>
      <c r="X14" s="146">
        <v>1.8E-5</v>
      </c>
      <c r="Y14" s="142">
        <v>3.8256429662564602E-2</v>
      </c>
      <c r="Z14" s="142">
        <v>1.37820467209932E-2</v>
      </c>
    </row>
    <row r="15" spans="1:26">
      <c r="A15" s="11">
        <v>301</v>
      </c>
      <c r="B15" s="11">
        <v>7209</v>
      </c>
      <c r="C15" s="11" t="s">
        <v>61</v>
      </c>
      <c r="D15" s="11" t="s">
        <v>78</v>
      </c>
      <c r="E15" s="11" t="s">
        <v>79</v>
      </c>
      <c r="F15" s="11" t="s">
        <v>64</v>
      </c>
      <c r="G15" s="11" t="s">
        <v>30</v>
      </c>
      <c r="H15" s="11" t="s">
        <v>30</v>
      </c>
      <c r="I15" s="11" t="s">
        <v>45</v>
      </c>
      <c r="J15" s="11" t="s">
        <v>32</v>
      </c>
      <c r="K15" s="11" t="s">
        <v>33</v>
      </c>
      <c r="L15" s="3" t="s">
        <v>34</v>
      </c>
      <c r="M15" s="125">
        <v>11.263999999999999</v>
      </c>
      <c r="N15" s="3" t="s">
        <v>80</v>
      </c>
      <c r="O15" s="137">
        <v>5.5E-2</v>
      </c>
      <c r="P15" s="142">
        <v>4.6489999999999997E-2</v>
      </c>
      <c r="Q15" s="3"/>
      <c r="R15" s="125">
        <v>286778</v>
      </c>
      <c r="S15" s="143">
        <v>1</v>
      </c>
      <c r="T15" s="145">
        <v>114.94</v>
      </c>
      <c r="U15" s="125">
        <v>329.62299999999999</v>
      </c>
      <c r="V15" s="3"/>
      <c r="W15" s="11" t="s">
        <v>36</v>
      </c>
      <c r="X15" s="146">
        <v>1.2E-5</v>
      </c>
      <c r="Y15" s="142">
        <v>4.4639111165850898E-2</v>
      </c>
      <c r="Z15" s="142">
        <v>1.60814357507434E-2</v>
      </c>
    </row>
    <row r="16" spans="1:26">
      <c r="A16" s="11">
        <v>301</v>
      </c>
      <c r="B16" s="11">
        <v>7209</v>
      </c>
      <c r="C16" s="11" t="s">
        <v>53</v>
      </c>
      <c r="D16" s="11" t="s">
        <v>81</v>
      </c>
      <c r="E16" s="11" t="s">
        <v>82</v>
      </c>
      <c r="F16" s="11" t="s">
        <v>56</v>
      </c>
      <c r="G16" s="11" t="s">
        <v>30</v>
      </c>
      <c r="H16" s="11" t="s">
        <v>30</v>
      </c>
      <c r="I16" s="11" t="s">
        <v>45</v>
      </c>
      <c r="J16" s="11" t="s">
        <v>32</v>
      </c>
      <c r="K16" s="11" t="s">
        <v>33</v>
      </c>
      <c r="L16" s="3" t="s">
        <v>34</v>
      </c>
      <c r="M16" s="125">
        <v>4.3600000000000003</v>
      </c>
      <c r="N16" s="3" t="s">
        <v>83</v>
      </c>
      <c r="O16" s="137">
        <v>5.0000000000000001E-3</v>
      </c>
      <c r="P16" s="142">
        <v>1.7690000000000001E-2</v>
      </c>
      <c r="Q16" s="3"/>
      <c r="R16" s="125">
        <v>618000</v>
      </c>
      <c r="S16" s="143">
        <v>1</v>
      </c>
      <c r="T16" s="145">
        <v>109.52</v>
      </c>
      <c r="U16" s="125">
        <v>676.83399999999995</v>
      </c>
      <c r="V16" s="3"/>
      <c r="W16" s="11" t="s">
        <v>36</v>
      </c>
      <c r="X16" s="146">
        <v>2.1999999999999999E-5</v>
      </c>
      <c r="Y16" s="142">
        <v>9.1660120598730299E-2</v>
      </c>
      <c r="Z16" s="142">
        <v>3.30209608080528E-2</v>
      </c>
    </row>
    <row r="17" spans="1:26">
      <c r="A17" s="11">
        <v>301</v>
      </c>
      <c r="B17" s="11">
        <v>7209</v>
      </c>
      <c r="C17" s="11" t="s">
        <v>53</v>
      </c>
      <c r="D17" s="11" t="s">
        <v>84</v>
      </c>
      <c r="E17" s="11" t="s">
        <v>85</v>
      </c>
      <c r="F17" s="11" t="s">
        <v>56</v>
      </c>
      <c r="G17" s="11" t="s">
        <v>30</v>
      </c>
      <c r="H17" s="11" t="s">
        <v>30</v>
      </c>
      <c r="I17" s="11" t="s">
        <v>45</v>
      </c>
      <c r="J17" s="11" t="s">
        <v>32</v>
      </c>
      <c r="K17" s="11" t="s">
        <v>33</v>
      </c>
      <c r="L17" s="3" t="s">
        <v>34</v>
      </c>
      <c r="M17" s="125">
        <v>1.5740000000000001</v>
      </c>
      <c r="N17" s="3" t="s">
        <v>86</v>
      </c>
      <c r="O17" s="137">
        <v>1E-3</v>
      </c>
      <c r="P17" s="142">
        <v>1.7819999999999999E-2</v>
      </c>
      <c r="Q17" s="3"/>
      <c r="R17" s="125">
        <v>801557</v>
      </c>
      <c r="S17" s="143">
        <v>1</v>
      </c>
      <c r="T17" s="145">
        <v>112.4</v>
      </c>
      <c r="U17" s="125">
        <v>900.95</v>
      </c>
      <c r="V17" s="3"/>
      <c r="W17" s="11" t="s">
        <v>36</v>
      </c>
      <c r="X17" s="146">
        <v>4.0000000000000003E-5</v>
      </c>
      <c r="Y17" s="142">
        <v>0.122011070204426</v>
      </c>
      <c r="Z17" s="142">
        <v>4.3955023635706802E-2</v>
      </c>
    </row>
    <row r="18" spans="1:26">
      <c r="A18" s="11">
        <v>301</v>
      </c>
      <c r="B18" s="11">
        <v>7209</v>
      </c>
      <c r="C18" s="11" t="s">
        <v>53</v>
      </c>
      <c r="D18" s="11" t="s">
        <v>87</v>
      </c>
      <c r="E18" s="11" t="s">
        <v>88</v>
      </c>
      <c r="F18" s="11" t="s">
        <v>56</v>
      </c>
      <c r="G18" s="11" t="s">
        <v>30</v>
      </c>
      <c r="H18" s="11" t="s">
        <v>30</v>
      </c>
      <c r="I18" s="11" t="s">
        <v>45</v>
      </c>
      <c r="J18" s="11" t="s">
        <v>32</v>
      </c>
      <c r="K18" s="11" t="s">
        <v>33</v>
      </c>
      <c r="L18" s="3" t="s">
        <v>34</v>
      </c>
      <c r="M18" s="125">
        <v>3.7639999999999998</v>
      </c>
      <c r="N18" s="3" t="s">
        <v>89</v>
      </c>
      <c r="O18" s="137">
        <v>1.0999999999999999E-2</v>
      </c>
      <c r="P18" s="142">
        <v>1.7909999999999999E-2</v>
      </c>
      <c r="Q18" s="3"/>
      <c r="R18" s="125">
        <v>650000</v>
      </c>
      <c r="S18" s="143">
        <v>1</v>
      </c>
      <c r="T18" s="145">
        <v>101.87</v>
      </c>
      <c r="U18" s="125">
        <v>662.15499999999997</v>
      </c>
      <c r="V18" s="3"/>
      <c r="W18" s="11" t="s">
        <v>36</v>
      </c>
      <c r="X18" s="146">
        <v>2.5999999999999998E-5</v>
      </c>
      <c r="Y18" s="142">
        <v>8.9672272704919301E-2</v>
      </c>
      <c r="Z18" s="142">
        <v>3.23048298782097E-2</v>
      </c>
    </row>
    <row r="19" spans="1:26">
      <c r="A19" s="11">
        <v>301</v>
      </c>
      <c r="B19" s="11">
        <v>7209</v>
      </c>
      <c r="C19" s="11" t="s">
        <v>61</v>
      </c>
      <c r="D19" s="11" t="s">
        <v>90</v>
      </c>
      <c r="E19" s="11" t="s">
        <v>91</v>
      </c>
      <c r="F19" s="11" t="s">
        <v>64</v>
      </c>
      <c r="G19" s="11" t="s">
        <v>30</v>
      </c>
      <c r="H19" s="11" t="s">
        <v>30</v>
      </c>
      <c r="I19" s="11" t="s">
        <v>45</v>
      </c>
      <c r="J19" s="11" t="s">
        <v>32</v>
      </c>
      <c r="K19" s="11" t="s">
        <v>33</v>
      </c>
      <c r="L19" s="3" t="s">
        <v>34</v>
      </c>
      <c r="M19" s="125">
        <v>5.0789999999999997</v>
      </c>
      <c r="N19" s="3" t="s">
        <v>92</v>
      </c>
      <c r="O19" s="137">
        <v>0.01</v>
      </c>
      <c r="P19" s="142">
        <v>4.2810000000000001E-2</v>
      </c>
      <c r="Q19" s="3"/>
      <c r="R19" s="125">
        <v>1470000</v>
      </c>
      <c r="S19" s="143">
        <v>1</v>
      </c>
      <c r="T19" s="145">
        <v>85.63</v>
      </c>
      <c r="U19" s="125">
        <v>1258.761</v>
      </c>
      <c r="V19" s="3"/>
      <c r="W19" s="11" t="s">
        <v>36</v>
      </c>
      <c r="X19" s="146">
        <v>3.8999999999999999E-5</v>
      </c>
      <c r="Y19" s="142">
        <v>0.17046757883322899</v>
      </c>
      <c r="Z19" s="142">
        <v>6.1411693579788901E-2</v>
      </c>
    </row>
    <row r="20" spans="1:26">
      <c r="A20" s="3">
        <v>301</v>
      </c>
      <c r="B20" s="3">
        <v>7209</v>
      </c>
      <c r="C20" s="3" t="s">
        <v>61</v>
      </c>
      <c r="D20" s="3" t="s">
        <v>93</v>
      </c>
      <c r="E20" s="3" t="s">
        <v>94</v>
      </c>
      <c r="F20" s="11" t="s">
        <v>64</v>
      </c>
      <c r="G20" s="11" t="s">
        <v>30</v>
      </c>
      <c r="H20" s="11" t="s">
        <v>30</v>
      </c>
      <c r="I20" s="11" t="s">
        <v>45</v>
      </c>
      <c r="J20" s="3" t="s">
        <v>32</v>
      </c>
      <c r="K20" s="11" t="s">
        <v>33</v>
      </c>
      <c r="L20" s="3" t="s">
        <v>34</v>
      </c>
      <c r="M20" s="125">
        <v>6.9249999999999998</v>
      </c>
      <c r="N20" s="3" t="s">
        <v>95</v>
      </c>
      <c r="O20" s="137">
        <v>1.2999999999999999E-2</v>
      </c>
      <c r="P20" s="142">
        <v>4.3479999999999998E-2</v>
      </c>
      <c r="Q20" s="3"/>
      <c r="R20" s="125">
        <v>130000</v>
      </c>
      <c r="S20" s="143">
        <v>1</v>
      </c>
      <c r="T20" s="145">
        <v>82.08</v>
      </c>
      <c r="U20" s="125">
        <v>106.70399999999999</v>
      </c>
      <c r="V20" s="3"/>
      <c r="W20" s="11" t="s">
        <v>36</v>
      </c>
      <c r="X20" s="146">
        <v>3.9999999999999998E-6</v>
      </c>
      <c r="Y20" s="142">
        <v>1.4450378214626001E-2</v>
      </c>
      <c r="Z20" s="142">
        <v>5.2058121849483698E-3</v>
      </c>
    </row>
    <row r="21" spans="1:26">
      <c r="A21" s="3">
        <v>301</v>
      </c>
      <c r="B21" s="3">
        <v>7209</v>
      </c>
      <c r="C21" s="3" t="s">
        <v>96</v>
      </c>
      <c r="D21" s="3" t="s">
        <v>97</v>
      </c>
      <c r="E21" s="3" t="s">
        <v>98</v>
      </c>
      <c r="F21" s="3" t="s">
        <v>99</v>
      </c>
      <c r="G21" s="3" t="s">
        <v>100</v>
      </c>
      <c r="H21" s="3" t="s">
        <v>101</v>
      </c>
      <c r="I21" s="3" t="s">
        <v>102</v>
      </c>
      <c r="J21" s="3" t="s">
        <v>103</v>
      </c>
      <c r="K21" s="3" t="s">
        <v>104</v>
      </c>
      <c r="L21" s="11" t="s">
        <v>105</v>
      </c>
      <c r="M21" s="125">
        <v>7.2709999999999999</v>
      </c>
      <c r="N21" s="3" t="s">
        <v>106</v>
      </c>
      <c r="O21" s="141">
        <v>3.3750000000000002E-2</v>
      </c>
      <c r="P21" s="142">
        <v>4.5440000000000001E-2</v>
      </c>
      <c r="Q21" s="3"/>
      <c r="R21" s="125">
        <v>76000</v>
      </c>
      <c r="S21" s="143">
        <v>3.6469999999999998</v>
      </c>
      <c r="T21" s="145">
        <v>92.397000000000006</v>
      </c>
      <c r="U21" s="125">
        <v>256.09699999999998</v>
      </c>
      <c r="V21" s="3"/>
      <c r="W21" s="3" t="s">
        <v>36</v>
      </c>
      <c r="X21" s="142">
        <v>9.9999999999999995E-7</v>
      </c>
      <c r="Y21" s="142">
        <v>3.4681958674626097E-2</v>
      </c>
      <c r="Z21" s="142">
        <v>1.24943278566579E-2</v>
      </c>
    </row>
    <row r="22" spans="1:26">
      <c r="A22" s="3">
        <v>301</v>
      </c>
      <c r="B22" s="3">
        <v>7209</v>
      </c>
      <c r="C22" s="3" t="s">
        <v>96</v>
      </c>
      <c r="D22" s="3" t="s">
        <v>107</v>
      </c>
      <c r="E22" s="3" t="s">
        <v>108</v>
      </c>
      <c r="F22" s="3" t="s">
        <v>99</v>
      </c>
      <c r="G22" s="3" t="s">
        <v>100</v>
      </c>
      <c r="H22" s="3" t="s">
        <v>101</v>
      </c>
      <c r="I22" s="3" t="s">
        <v>109</v>
      </c>
      <c r="J22" s="3" t="s">
        <v>103</v>
      </c>
      <c r="K22" s="3" t="s">
        <v>104</v>
      </c>
      <c r="L22" s="11" t="s">
        <v>105</v>
      </c>
      <c r="M22" s="125">
        <v>7.9470000000000001</v>
      </c>
      <c r="N22" s="3" t="s">
        <v>110</v>
      </c>
      <c r="O22" s="141">
        <v>3.875E-2</v>
      </c>
      <c r="P22" s="142">
        <v>4.5710000000000001E-2</v>
      </c>
      <c r="Q22" s="3"/>
      <c r="R22" s="125">
        <v>71000</v>
      </c>
      <c r="S22" s="143">
        <v>3.6469999999999998</v>
      </c>
      <c r="T22" s="145">
        <v>96.085999999999999</v>
      </c>
      <c r="U22" s="125">
        <v>248.80099999999999</v>
      </c>
      <c r="V22" s="3"/>
      <c r="W22" s="3" t="s">
        <v>36</v>
      </c>
      <c r="X22" s="142">
        <v>9.9999999999999995E-7</v>
      </c>
      <c r="Y22" s="142">
        <v>3.3693881633784298E-2</v>
      </c>
      <c r="Z22" s="142">
        <v>1.2138368765312E-2</v>
      </c>
    </row>
    <row r="23" spans="1:26">
      <c r="A23" s="3">
        <v>301</v>
      </c>
      <c r="B23" s="3">
        <v>7210</v>
      </c>
      <c r="C23" s="3" t="s">
        <v>26</v>
      </c>
      <c r="D23" s="3" t="s">
        <v>27</v>
      </c>
      <c r="E23" s="3" t="s">
        <v>28</v>
      </c>
      <c r="F23" s="3" t="s">
        <v>29</v>
      </c>
      <c r="G23" s="3" t="s">
        <v>30</v>
      </c>
      <c r="H23" s="3" t="s">
        <v>30</v>
      </c>
      <c r="I23" s="3" t="s">
        <v>31</v>
      </c>
      <c r="J23" s="3" t="s">
        <v>32</v>
      </c>
      <c r="K23" s="3" t="s">
        <v>33</v>
      </c>
      <c r="L23" s="11" t="s">
        <v>34</v>
      </c>
      <c r="M23" s="125">
        <v>0.17</v>
      </c>
      <c r="N23" s="3" t="s">
        <v>35</v>
      </c>
      <c r="O23" s="141">
        <v>0</v>
      </c>
      <c r="P23" s="142">
        <v>4.3360000000000003E-2</v>
      </c>
      <c r="Q23" s="3"/>
      <c r="R23" s="125">
        <v>37170263</v>
      </c>
      <c r="S23" s="143">
        <v>1</v>
      </c>
      <c r="T23" s="145">
        <v>99.27</v>
      </c>
      <c r="U23" s="125">
        <v>36898.92</v>
      </c>
      <c r="V23" s="3"/>
      <c r="W23" s="3" t="s">
        <v>36</v>
      </c>
      <c r="X23" s="142">
        <v>1.062E-3</v>
      </c>
      <c r="Y23" s="142">
        <v>8.3348991807461595E-2</v>
      </c>
      <c r="Z23" s="142">
        <v>2.6700018902322199E-2</v>
      </c>
    </row>
    <row r="24" spans="1:26">
      <c r="A24" s="3">
        <v>301</v>
      </c>
      <c r="B24" s="3">
        <v>7210</v>
      </c>
      <c r="C24" s="3" t="s">
        <v>26</v>
      </c>
      <c r="D24" s="3" t="s">
        <v>37</v>
      </c>
      <c r="E24" s="3" t="s">
        <v>38</v>
      </c>
      <c r="F24" s="3" t="s">
        <v>29</v>
      </c>
      <c r="G24" s="3" t="s">
        <v>30</v>
      </c>
      <c r="H24" s="3" t="s">
        <v>30</v>
      </c>
      <c r="I24" s="3" t="s">
        <v>31</v>
      </c>
      <c r="J24" s="3" t="s">
        <v>32</v>
      </c>
      <c r="K24" s="3" t="s">
        <v>33</v>
      </c>
      <c r="L24" s="11" t="s">
        <v>34</v>
      </c>
      <c r="M24" s="125">
        <v>0.247</v>
      </c>
      <c r="N24" s="3" t="s">
        <v>39</v>
      </c>
      <c r="O24" s="141">
        <v>0</v>
      </c>
      <c r="P24" s="142">
        <v>4.24E-2</v>
      </c>
      <c r="Q24" s="3"/>
      <c r="R24" s="125">
        <v>34200000</v>
      </c>
      <c r="S24" s="143">
        <v>1</v>
      </c>
      <c r="T24" s="145">
        <v>98.97</v>
      </c>
      <c r="U24" s="125">
        <v>33847.74</v>
      </c>
      <c r="V24" s="3"/>
      <c r="W24" s="3" t="s">
        <v>36</v>
      </c>
      <c r="X24" s="142">
        <v>2.8500000000000001E-3</v>
      </c>
      <c r="Y24" s="142">
        <v>7.6456844748759495E-2</v>
      </c>
      <c r="Z24" s="142">
        <v>2.4492188276487799E-2</v>
      </c>
    </row>
    <row r="25" spans="1:26">
      <c r="A25" s="3">
        <v>301</v>
      </c>
      <c r="B25" s="3">
        <v>7210</v>
      </c>
      <c r="C25" s="3" t="s">
        <v>26</v>
      </c>
      <c r="D25" s="3" t="s">
        <v>40</v>
      </c>
      <c r="E25" s="3" t="s">
        <v>41</v>
      </c>
      <c r="F25" s="3" t="s">
        <v>29</v>
      </c>
      <c r="G25" s="3" t="s">
        <v>30</v>
      </c>
      <c r="H25" s="3" t="s">
        <v>30</v>
      </c>
      <c r="I25" s="3" t="s">
        <v>31</v>
      </c>
      <c r="J25" s="3" t="s">
        <v>32</v>
      </c>
      <c r="K25" s="3" t="s">
        <v>33</v>
      </c>
      <c r="L25" s="11" t="s">
        <v>34</v>
      </c>
      <c r="M25" s="125">
        <v>0.84099999999999997</v>
      </c>
      <c r="N25" s="3" t="s">
        <v>42</v>
      </c>
      <c r="O25" s="141">
        <v>0</v>
      </c>
      <c r="P25" s="142">
        <v>4.2099999999999999E-2</v>
      </c>
      <c r="Q25" s="3"/>
      <c r="R25" s="125">
        <v>26000000</v>
      </c>
      <c r="S25" s="143">
        <v>1</v>
      </c>
      <c r="T25" s="145">
        <v>96.58</v>
      </c>
      <c r="U25" s="125">
        <v>25110.799999999999</v>
      </c>
      <c r="V25" s="3"/>
      <c r="W25" s="3" t="s">
        <v>36</v>
      </c>
      <c r="X25" s="142">
        <v>1.8569999999999999E-3</v>
      </c>
      <c r="Y25" s="142">
        <v>5.67214395146367E-2</v>
      </c>
      <c r="Z25" s="142">
        <v>1.81701478850059E-2</v>
      </c>
    </row>
    <row r="26" spans="1:26">
      <c r="A26" s="3">
        <v>301</v>
      </c>
      <c r="B26" s="3">
        <v>7210</v>
      </c>
      <c r="C26" s="3" t="s">
        <v>26</v>
      </c>
      <c r="D26" s="3" t="s">
        <v>43</v>
      </c>
      <c r="E26" s="3" t="s">
        <v>44</v>
      </c>
      <c r="F26" s="3" t="s">
        <v>29</v>
      </c>
      <c r="G26" s="3" t="s">
        <v>30</v>
      </c>
      <c r="H26" s="3" t="s">
        <v>30</v>
      </c>
      <c r="I26" s="3" t="s">
        <v>45</v>
      </c>
      <c r="J26" s="3" t="s">
        <v>32</v>
      </c>
      <c r="K26" s="3" t="s">
        <v>33</v>
      </c>
      <c r="L26" s="11" t="s">
        <v>34</v>
      </c>
      <c r="M26" s="125">
        <v>9.2999999999999999E-2</v>
      </c>
      <c r="N26" s="3" t="s">
        <v>46</v>
      </c>
      <c r="O26" s="141">
        <v>0</v>
      </c>
      <c r="P26" s="142">
        <v>4.2680000000000003E-2</v>
      </c>
      <c r="Q26" s="3"/>
      <c r="R26" s="125">
        <v>28700000</v>
      </c>
      <c r="S26" s="143">
        <v>1</v>
      </c>
      <c r="T26" s="145">
        <v>99.6</v>
      </c>
      <c r="U26" s="125">
        <v>28585.200000000001</v>
      </c>
      <c r="V26" s="3"/>
      <c r="W26" s="3" t="s">
        <v>36</v>
      </c>
      <c r="X26" s="142">
        <v>7.9699999999999997E-4</v>
      </c>
      <c r="Y26" s="142">
        <v>6.4569575354580203E-2</v>
      </c>
      <c r="Z26" s="142">
        <v>2.06842199899036E-2</v>
      </c>
    </row>
    <row r="27" spans="1:26">
      <c r="A27" s="3">
        <v>301</v>
      </c>
      <c r="B27" s="3">
        <v>7210</v>
      </c>
      <c r="C27" s="3" t="s">
        <v>26</v>
      </c>
      <c r="D27" s="3" t="s">
        <v>47</v>
      </c>
      <c r="E27" s="3" t="s">
        <v>48</v>
      </c>
      <c r="F27" s="3" t="s">
        <v>29</v>
      </c>
      <c r="G27" s="3" t="s">
        <v>30</v>
      </c>
      <c r="H27" s="3" t="s">
        <v>30</v>
      </c>
      <c r="I27" s="3" t="s">
        <v>31</v>
      </c>
      <c r="J27" s="3" t="s">
        <v>32</v>
      </c>
      <c r="K27" s="3" t="s">
        <v>33</v>
      </c>
      <c r="L27" s="3" t="s">
        <v>34</v>
      </c>
      <c r="M27" s="125">
        <v>0.34200000000000003</v>
      </c>
      <c r="N27" s="3" t="s">
        <v>49</v>
      </c>
      <c r="O27" s="141">
        <v>0</v>
      </c>
      <c r="P27" s="142">
        <v>4.2909999999999997E-2</v>
      </c>
      <c r="Q27" s="3"/>
      <c r="R27" s="125">
        <v>22000000</v>
      </c>
      <c r="S27" s="143">
        <v>1</v>
      </c>
      <c r="T27" s="145">
        <v>98.56</v>
      </c>
      <c r="U27" s="125">
        <v>21683.200000000001</v>
      </c>
      <c r="V27" s="3"/>
      <c r="W27" s="3" t="s">
        <v>36</v>
      </c>
      <c r="X27" s="142">
        <v>1.5709999999999999E-3</v>
      </c>
      <c r="Y27" s="142">
        <v>4.8979017684971003E-2</v>
      </c>
      <c r="Z27" s="142">
        <v>1.56899402097966E-2</v>
      </c>
    </row>
    <row r="28" spans="1:26">
      <c r="A28" s="3">
        <v>301</v>
      </c>
      <c r="B28" s="3">
        <v>7210</v>
      </c>
      <c r="C28" s="3" t="s">
        <v>26</v>
      </c>
      <c r="D28" s="3" t="s">
        <v>50</v>
      </c>
      <c r="E28" s="3" t="s">
        <v>51</v>
      </c>
      <c r="F28" s="3" t="s">
        <v>29</v>
      </c>
      <c r="G28" s="3" t="s">
        <v>30</v>
      </c>
      <c r="H28" s="3" t="s">
        <v>30</v>
      </c>
      <c r="I28" s="3" t="s">
        <v>31</v>
      </c>
      <c r="J28" s="3" t="s">
        <v>32</v>
      </c>
      <c r="K28" s="3" t="s">
        <v>33</v>
      </c>
      <c r="L28" s="3" t="s">
        <v>34</v>
      </c>
      <c r="M28" s="125">
        <v>0.41899999999999998</v>
      </c>
      <c r="N28" s="3" t="s">
        <v>52</v>
      </c>
      <c r="O28" s="141">
        <v>0</v>
      </c>
      <c r="P28" s="142">
        <v>4.2729999999999997E-2</v>
      </c>
      <c r="Q28" s="3"/>
      <c r="R28" s="125">
        <v>4700000</v>
      </c>
      <c r="S28" s="143">
        <v>1</v>
      </c>
      <c r="T28" s="145">
        <v>98.25</v>
      </c>
      <c r="U28" s="125">
        <v>4617.75</v>
      </c>
      <c r="V28" s="3"/>
      <c r="W28" s="3" t="s">
        <v>36</v>
      </c>
      <c r="X28" s="142">
        <v>3.9199999999999999E-4</v>
      </c>
      <c r="Y28" s="142">
        <v>1.04307878410371E-2</v>
      </c>
      <c r="Z28" s="142">
        <v>3.3413989357561698E-3</v>
      </c>
    </row>
    <row r="29" spans="1:26">
      <c r="A29" s="3">
        <v>301</v>
      </c>
      <c r="B29" s="3">
        <v>7210</v>
      </c>
      <c r="C29" s="3" t="s">
        <v>53</v>
      </c>
      <c r="D29" s="3" t="s">
        <v>54</v>
      </c>
      <c r="E29" s="3" t="s">
        <v>55</v>
      </c>
      <c r="F29" s="3" t="s">
        <v>56</v>
      </c>
      <c r="G29" s="3" t="s">
        <v>30</v>
      </c>
      <c r="H29" s="3" t="s">
        <v>30</v>
      </c>
      <c r="I29" s="3" t="s">
        <v>45</v>
      </c>
      <c r="J29" s="3" t="s">
        <v>32</v>
      </c>
      <c r="K29" s="3" t="s">
        <v>33</v>
      </c>
      <c r="L29" s="3" t="s">
        <v>34</v>
      </c>
      <c r="M29" s="125">
        <v>2.3860000000000001</v>
      </c>
      <c r="N29" s="3" t="s">
        <v>57</v>
      </c>
      <c r="O29" s="141">
        <v>7.4999999999999997E-3</v>
      </c>
      <c r="P29" s="142">
        <v>1.7919999999999998E-2</v>
      </c>
      <c r="Q29" s="3"/>
      <c r="R29" s="125">
        <v>16961571</v>
      </c>
      <c r="S29" s="143">
        <v>1</v>
      </c>
      <c r="T29" s="145">
        <v>114.17</v>
      </c>
      <c r="U29" s="125">
        <v>19365.026000000002</v>
      </c>
      <c r="V29" s="3"/>
      <c r="W29" s="3" t="s">
        <v>36</v>
      </c>
      <c r="X29" s="142">
        <v>7.6099999999999996E-4</v>
      </c>
      <c r="Y29" s="142">
        <v>4.3742617872656799E-2</v>
      </c>
      <c r="Z29" s="142">
        <v>1.4012511713818201E-2</v>
      </c>
    </row>
    <row r="30" spans="1:26">
      <c r="A30" s="3">
        <v>301</v>
      </c>
      <c r="B30" s="3">
        <v>7210</v>
      </c>
      <c r="C30" s="3" t="s">
        <v>53</v>
      </c>
      <c r="D30" s="3" t="s">
        <v>111</v>
      </c>
      <c r="E30" s="3" t="s">
        <v>112</v>
      </c>
      <c r="F30" s="3" t="s">
        <v>56</v>
      </c>
      <c r="G30" s="3" t="s">
        <v>30</v>
      </c>
      <c r="H30" s="3" t="s">
        <v>30</v>
      </c>
      <c r="I30" s="3" t="s">
        <v>45</v>
      </c>
      <c r="J30" s="3" t="s">
        <v>32</v>
      </c>
      <c r="K30" s="3" t="s">
        <v>33</v>
      </c>
      <c r="L30" s="3" t="s">
        <v>34</v>
      </c>
      <c r="M30" s="125">
        <v>0.82699999999999996</v>
      </c>
      <c r="N30" s="3" t="s">
        <v>113</v>
      </c>
      <c r="O30" s="141">
        <v>7.4999999999999997E-3</v>
      </c>
      <c r="P30" s="142">
        <v>1.5730000000000001E-2</v>
      </c>
      <c r="Q30" s="3"/>
      <c r="R30" s="125">
        <v>5216481</v>
      </c>
      <c r="S30" s="143">
        <v>1</v>
      </c>
      <c r="T30" s="145">
        <v>115.16</v>
      </c>
      <c r="U30" s="125">
        <v>6007.3</v>
      </c>
      <c r="V30" s="3"/>
      <c r="W30" s="3" t="s">
        <v>36</v>
      </c>
      <c r="X30" s="142">
        <v>2.4000000000000001E-4</v>
      </c>
      <c r="Y30" s="142">
        <v>1.35695667341263E-2</v>
      </c>
      <c r="Z30" s="142">
        <v>4.3468754743240801E-3</v>
      </c>
    </row>
    <row r="31" spans="1:26">
      <c r="A31" s="3">
        <v>301</v>
      </c>
      <c r="B31" s="3">
        <v>7210</v>
      </c>
      <c r="C31" s="3" t="s">
        <v>53</v>
      </c>
      <c r="D31" s="3" t="s">
        <v>58</v>
      </c>
      <c r="E31" s="3" t="s">
        <v>59</v>
      </c>
      <c r="F31" s="3" t="s">
        <v>56</v>
      </c>
      <c r="G31" s="3" t="s">
        <v>30</v>
      </c>
      <c r="H31" s="3" t="s">
        <v>30</v>
      </c>
      <c r="I31" s="3" t="s">
        <v>45</v>
      </c>
      <c r="J31" s="3" t="s">
        <v>32</v>
      </c>
      <c r="K31" s="3" t="s">
        <v>33</v>
      </c>
      <c r="L31" s="3" t="s">
        <v>34</v>
      </c>
      <c r="M31" s="125">
        <v>6.89</v>
      </c>
      <c r="N31" s="3" t="s">
        <v>60</v>
      </c>
      <c r="O31" s="141">
        <v>1E-3</v>
      </c>
      <c r="P31" s="142">
        <v>1.8689999999999998E-2</v>
      </c>
      <c r="Q31" s="3"/>
      <c r="R31" s="125">
        <v>27800000</v>
      </c>
      <c r="S31" s="143">
        <v>1</v>
      </c>
      <c r="T31" s="145">
        <v>102.23</v>
      </c>
      <c r="U31" s="125">
        <v>28419.94</v>
      </c>
      <c r="V31" s="3"/>
      <c r="W31" s="3" t="s">
        <v>36</v>
      </c>
      <c r="X31" s="142">
        <v>9.0499999999999999E-4</v>
      </c>
      <c r="Y31" s="142">
        <v>6.4196278402902499E-2</v>
      </c>
      <c r="Z31" s="142">
        <v>2.05646380315639E-2</v>
      </c>
    </row>
    <row r="32" spans="1:26">
      <c r="A32" s="3">
        <v>301</v>
      </c>
      <c r="B32" s="3">
        <v>7210</v>
      </c>
      <c r="C32" s="3" t="s">
        <v>61</v>
      </c>
      <c r="D32" s="3" t="s">
        <v>66</v>
      </c>
      <c r="E32" s="3" t="s">
        <v>67</v>
      </c>
      <c r="F32" s="3" t="s">
        <v>64</v>
      </c>
      <c r="G32" s="3" t="s">
        <v>30</v>
      </c>
      <c r="H32" s="3" t="s">
        <v>30</v>
      </c>
      <c r="I32" s="3" t="s">
        <v>45</v>
      </c>
      <c r="J32" s="3" t="s">
        <v>32</v>
      </c>
      <c r="K32" s="3" t="s">
        <v>33</v>
      </c>
      <c r="L32" s="3" t="s">
        <v>34</v>
      </c>
      <c r="M32" s="125">
        <v>8.3070000000000004</v>
      </c>
      <c r="N32" s="3" t="s">
        <v>68</v>
      </c>
      <c r="O32" s="141">
        <v>0.04</v>
      </c>
      <c r="P32" s="142">
        <v>4.48E-2</v>
      </c>
      <c r="Q32" s="3"/>
      <c r="R32" s="125">
        <v>10800000</v>
      </c>
      <c r="S32" s="143">
        <v>1</v>
      </c>
      <c r="T32" s="145">
        <v>99.13</v>
      </c>
      <c r="U32" s="125">
        <v>10706.04</v>
      </c>
      <c r="V32" s="3"/>
      <c r="W32" s="3" t="s">
        <v>36</v>
      </c>
      <c r="X32" s="142">
        <v>4.64E-4</v>
      </c>
      <c r="Y32" s="142">
        <v>2.4183299628099501E-2</v>
      </c>
      <c r="Z32" s="142">
        <v>7.7468790346300704E-3</v>
      </c>
    </row>
    <row r="33" spans="1:26">
      <c r="A33" s="3">
        <v>301</v>
      </c>
      <c r="B33" s="3">
        <v>7210</v>
      </c>
      <c r="C33" s="3" t="s">
        <v>61</v>
      </c>
      <c r="D33" s="3" t="s">
        <v>78</v>
      </c>
      <c r="E33" s="3" t="s">
        <v>79</v>
      </c>
      <c r="F33" s="3" t="s">
        <v>64</v>
      </c>
      <c r="G33" s="3" t="s">
        <v>30</v>
      </c>
      <c r="H33" s="3" t="s">
        <v>30</v>
      </c>
      <c r="I33" s="3" t="s">
        <v>45</v>
      </c>
      <c r="J33" s="3" t="s">
        <v>32</v>
      </c>
      <c r="K33" s="3" t="s">
        <v>33</v>
      </c>
      <c r="L33" s="3" t="s">
        <v>34</v>
      </c>
      <c r="M33" s="125">
        <v>11.263999999999999</v>
      </c>
      <c r="N33" s="3" t="s">
        <v>80</v>
      </c>
      <c r="O33" s="141">
        <v>5.5E-2</v>
      </c>
      <c r="P33" s="142">
        <v>4.6489999999999997E-2</v>
      </c>
      <c r="Q33" s="3"/>
      <c r="R33" s="125">
        <v>19505808</v>
      </c>
      <c r="S33" s="143">
        <v>1</v>
      </c>
      <c r="T33" s="145">
        <v>114.94</v>
      </c>
      <c r="U33" s="125">
        <v>22419.975999999999</v>
      </c>
      <c r="V33" s="3"/>
      <c r="W33" s="3" t="s">
        <v>36</v>
      </c>
      <c r="X33" s="142">
        <v>8.0400000000000003E-4</v>
      </c>
      <c r="Y33" s="142">
        <v>5.0643280837302698E-2</v>
      </c>
      <c r="Z33" s="142">
        <v>1.6223070325255499E-2</v>
      </c>
    </row>
    <row r="34" spans="1:26">
      <c r="A34" s="3">
        <v>301</v>
      </c>
      <c r="B34" s="3">
        <v>7210</v>
      </c>
      <c r="C34" s="3" t="s">
        <v>53</v>
      </c>
      <c r="D34" s="3" t="s">
        <v>81</v>
      </c>
      <c r="E34" s="3" t="s">
        <v>82</v>
      </c>
      <c r="F34" s="3" t="s">
        <v>56</v>
      </c>
      <c r="G34" s="3" t="s">
        <v>30</v>
      </c>
      <c r="H34" s="3" t="s">
        <v>30</v>
      </c>
      <c r="I34" s="3" t="s">
        <v>45</v>
      </c>
      <c r="J34" s="3" t="s">
        <v>32</v>
      </c>
      <c r="K34" s="3" t="s">
        <v>33</v>
      </c>
      <c r="L34" s="3" t="s">
        <v>34</v>
      </c>
      <c r="M34" s="125">
        <v>4.3600000000000003</v>
      </c>
      <c r="N34" s="3" t="s">
        <v>83</v>
      </c>
      <c r="O34" s="141">
        <v>5.0000000000000001E-3</v>
      </c>
      <c r="P34" s="142">
        <v>1.7690000000000001E-2</v>
      </c>
      <c r="Q34" s="3"/>
      <c r="R34" s="125">
        <v>50082000</v>
      </c>
      <c r="S34" s="143">
        <v>1</v>
      </c>
      <c r="T34" s="145">
        <v>109.52</v>
      </c>
      <c r="U34" s="125">
        <v>54849.805999999997</v>
      </c>
      <c r="V34" s="3"/>
      <c r="W34" s="3" t="s">
        <v>36</v>
      </c>
      <c r="X34" s="142">
        <v>1.8220000000000001E-3</v>
      </c>
      <c r="Y34" s="142">
        <v>0.12389728627153</v>
      </c>
      <c r="Z34" s="142">
        <v>3.9689260945566997E-2</v>
      </c>
    </row>
    <row r="35" spans="1:26">
      <c r="A35" s="3">
        <v>301</v>
      </c>
      <c r="B35" s="3">
        <v>7210</v>
      </c>
      <c r="C35" s="3" t="s">
        <v>53</v>
      </c>
      <c r="D35" s="3" t="s">
        <v>84</v>
      </c>
      <c r="E35" s="3" t="s">
        <v>85</v>
      </c>
      <c r="F35" s="3" t="s">
        <v>56</v>
      </c>
      <c r="G35" s="3" t="s">
        <v>30</v>
      </c>
      <c r="H35" s="3" t="s">
        <v>30</v>
      </c>
      <c r="I35" s="3" t="s">
        <v>45</v>
      </c>
      <c r="J35" s="3" t="s">
        <v>32</v>
      </c>
      <c r="K35" s="3" t="s">
        <v>33</v>
      </c>
      <c r="L35" s="3" t="s">
        <v>34</v>
      </c>
      <c r="M35" s="125">
        <v>1.5740000000000001</v>
      </c>
      <c r="N35" s="3" t="s">
        <v>86</v>
      </c>
      <c r="O35" s="141">
        <v>1E-3</v>
      </c>
      <c r="P35" s="142">
        <v>1.7819999999999999E-2</v>
      </c>
      <c r="Q35" s="3"/>
      <c r="R35" s="125">
        <v>8348384</v>
      </c>
      <c r="S35" s="143">
        <v>1</v>
      </c>
      <c r="T35" s="145">
        <v>112.4</v>
      </c>
      <c r="U35" s="125">
        <v>9383.5840000000007</v>
      </c>
      <c r="V35" s="3"/>
      <c r="W35" s="3" t="s">
        <v>36</v>
      </c>
      <c r="X35" s="142">
        <v>4.1300000000000001E-4</v>
      </c>
      <c r="Y35" s="142">
        <v>2.1196073821044301E-2</v>
      </c>
      <c r="Z35" s="142">
        <v>6.7899510168548402E-3</v>
      </c>
    </row>
    <row r="36" spans="1:26">
      <c r="A36" s="3">
        <v>301</v>
      </c>
      <c r="B36" s="3">
        <v>7210</v>
      </c>
      <c r="C36" s="3" t="s">
        <v>53</v>
      </c>
      <c r="D36" s="3" t="s">
        <v>87</v>
      </c>
      <c r="E36" s="3" t="s">
        <v>88</v>
      </c>
      <c r="F36" s="3" t="s">
        <v>56</v>
      </c>
      <c r="G36" s="3" t="s">
        <v>30</v>
      </c>
      <c r="H36" s="3" t="s">
        <v>30</v>
      </c>
      <c r="I36" s="3" t="s">
        <v>45</v>
      </c>
      <c r="J36" s="3" t="s">
        <v>32</v>
      </c>
      <c r="K36" s="3" t="s">
        <v>33</v>
      </c>
      <c r="L36" s="3" t="s">
        <v>34</v>
      </c>
      <c r="M36" s="125">
        <v>3.7639999999999998</v>
      </c>
      <c r="N36" s="3" t="s">
        <v>89</v>
      </c>
      <c r="O36" s="141">
        <v>1.0999999999999999E-2</v>
      </c>
      <c r="P36" s="142">
        <v>1.7909999999999999E-2</v>
      </c>
      <c r="Q36" s="3"/>
      <c r="R36" s="125">
        <v>37459770</v>
      </c>
      <c r="S36" s="143">
        <v>1</v>
      </c>
      <c r="T36" s="145">
        <v>101.87</v>
      </c>
      <c r="U36" s="125">
        <v>38160.267999999996</v>
      </c>
      <c r="V36" s="3"/>
      <c r="W36" s="3" t="s">
        <v>36</v>
      </c>
      <c r="X36" s="142">
        <v>1.518E-3</v>
      </c>
      <c r="Y36" s="142">
        <v>8.6198182302084106E-2</v>
      </c>
      <c r="Z36" s="142">
        <v>2.76127286833651E-2</v>
      </c>
    </row>
    <row r="37" spans="1:26">
      <c r="A37" s="3">
        <v>301</v>
      </c>
      <c r="B37" s="3">
        <v>7210</v>
      </c>
      <c r="C37" s="3" t="s">
        <v>61</v>
      </c>
      <c r="D37" s="3" t="s">
        <v>90</v>
      </c>
      <c r="E37" s="3" t="s">
        <v>91</v>
      </c>
      <c r="F37" s="3" t="s">
        <v>64</v>
      </c>
      <c r="G37" s="3" t="s">
        <v>30</v>
      </c>
      <c r="H37" s="3" t="s">
        <v>30</v>
      </c>
      <c r="I37" s="3" t="s">
        <v>45</v>
      </c>
      <c r="J37" s="3" t="s">
        <v>32</v>
      </c>
      <c r="K37" s="3" t="s">
        <v>33</v>
      </c>
      <c r="L37" s="3" t="s">
        <v>34</v>
      </c>
      <c r="M37" s="125">
        <v>5.0789999999999997</v>
      </c>
      <c r="N37" s="3" t="s">
        <v>92</v>
      </c>
      <c r="O37" s="141">
        <v>0.01</v>
      </c>
      <c r="P37" s="142">
        <v>4.2810000000000001E-2</v>
      </c>
      <c r="Q37" s="3"/>
      <c r="R37" s="125">
        <v>56300000</v>
      </c>
      <c r="S37" s="143">
        <v>1</v>
      </c>
      <c r="T37" s="145">
        <v>85.63</v>
      </c>
      <c r="U37" s="125">
        <v>48209.69</v>
      </c>
      <c r="V37" s="3"/>
      <c r="W37" s="3" t="s">
        <v>36</v>
      </c>
      <c r="X37" s="142">
        <v>1.4909999999999999E-3</v>
      </c>
      <c r="Y37" s="142">
        <v>0.10889828342204901</v>
      </c>
      <c r="Z37" s="142">
        <v>3.4884479856885899E-2</v>
      </c>
    </row>
    <row r="38" spans="1:26">
      <c r="A38" s="3">
        <v>301</v>
      </c>
      <c r="B38" s="3">
        <v>7210</v>
      </c>
      <c r="C38" s="3" t="s">
        <v>61</v>
      </c>
      <c r="D38" s="3" t="s">
        <v>93</v>
      </c>
      <c r="E38" s="3" t="s">
        <v>94</v>
      </c>
      <c r="F38" s="3" t="s">
        <v>64</v>
      </c>
      <c r="G38" s="3" t="s">
        <v>30</v>
      </c>
      <c r="H38" s="3" t="s">
        <v>30</v>
      </c>
      <c r="I38" s="3" t="s">
        <v>45</v>
      </c>
      <c r="J38" s="3" t="s">
        <v>32</v>
      </c>
      <c r="K38" s="3" t="s">
        <v>33</v>
      </c>
      <c r="L38" s="3" t="s">
        <v>34</v>
      </c>
      <c r="M38" s="125">
        <v>6.9249999999999998</v>
      </c>
      <c r="N38" s="3" t="s">
        <v>95</v>
      </c>
      <c r="O38" s="141">
        <v>1.2999999999999999E-2</v>
      </c>
      <c r="P38" s="142">
        <v>4.3479999999999998E-2</v>
      </c>
      <c r="Q38" s="3"/>
      <c r="R38" s="125">
        <v>42800000</v>
      </c>
      <c r="S38" s="143">
        <v>1</v>
      </c>
      <c r="T38" s="145">
        <v>82.08</v>
      </c>
      <c r="U38" s="125">
        <v>35130.239999999998</v>
      </c>
      <c r="V38" s="3"/>
      <c r="W38" s="3" t="s">
        <v>36</v>
      </c>
      <c r="X38" s="142">
        <v>1.317E-3</v>
      </c>
      <c r="Y38" s="142">
        <v>7.9353815222719698E-2</v>
      </c>
      <c r="Z38" s="142">
        <v>2.5420203897755199E-2</v>
      </c>
    </row>
    <row r="39" spans="1:26">
      <c r="A39" s="3">
        <v>301</v>
      </c>
      <c r="B39" s="3">
        <v>7210</v>
      </c>
      <c r="C39" s="3" t="s">
        <v>96</v>
      </c>
      <c r="D39" s="3" t="s">
        <v>107</v>
      </c>
      <c r="E39" s="3" t="s">
        <v>108</v>
      </c>
      <c r="F39" s="3" t="s">
        <v>99</v>
      </c>
      <c r="G39" s="3" t="s">
        <v>100</v>
      </c>
      <c r="H39" s="3" t="s">
        <v>101</v>
      </c>
      <c r="I39" s="3" t="s">
        <v>109</v>
      </c>
      <c r="J39" s="3" t="s">
        <v>103</v>
      </c>
      <c r="K39" s="3" t="s">
        <v>104</v>
      </c>
      <c r="L39" s="3" t="s">
        <v>105</v>
      </c>
      <c r="M39" s="125">
        <v>7.9470000000000001</v>
      </c>
      <c r="N39" s="3" t="s">
        <v>110</v>
      </c>
      <c r="O39" s="141">
        <v>3.875E-2</v>
      </c>
      <c r="P39" s="142">
        <v>4.5710000000000001E-2</v>
      </c>
      <c r="Q39" s="3"/>
      <c r="R39" s="125">
        <v>5510000</v>
      </c>
      <c r="S39" s="143">
        <v>3.6469999999999998</v>
      </c>
      <c r="T39" s="145">
        <v>96.085999999999999</v>
      </c>
      <c r="U39" s="125">
        <v>19308.378000000001</v>
      </c>
      <c r="V39" s="3"/>
      <c r="W39" s="3" t="s">
        <v>36</v>
      </c>
      <c r="X39" s="142">
        <v>4.3000000000000002E-5</v>
      </c>
      <c r="Y39" s="142">
        <v>4.3614658534039202E-2</v>
      </c>
      <c r="Z39" s="142">
        <v>1.3971521214884401E-2</v>
      </c>
    </row>
    <row r="40" spans="1:26">
      <c r="A40" s="3">
        <v>301</v>
      </c>
      <c r="B40" s="3">
        <v>7211</v>
      </c>
      <c r="C40" s="3" t="s">
        <v>26</v>
      </c>
      <c r="D40" s="3" t="s">
        <v>40</v>
      </c>
      <c r="E40" s="3" t="s">
        <v>41</v>
      </c>
      <c r="F40" s="3" t="s">
        <v>29</v>
      </c>
      <c r="G40" s="3" t="s">
        <v>30</v>
      </c>
      <c r="H40" s="3" t="s">
        <v>30</v>
      </c>
      <c r="I40" s="3" t="s">
        <v>31</v>
      </c>
      <c r="J40" s="3" t="s">
        <v>32</v>
      </c>
      <c r="K40" s="3" t="s">
        <v>33</v>
      </c>
      <c r="L40" s="3" t="s">
        <v>34</v>
      </c>
      <c r="M40" s="125">
        <v>0.84099999999999997</v>
      </c>
      <c r="N40" s="3" t="s">
        <v>42</v>
      </c>
      <c r="O40" s="141">
        <v>0</v>
      </c>
      <c r="P40" s="142">
        <v>4.2099999999999999E-2</v>
      </c>
      <c r="Q40" s="3"/>
      <c r="R40" s="125">
        <v>230000</v>
      </c>
      <c r="S40" s="143">
        <v>1</v>
      </c>
      <c r="T40" s="145">
        <v>96.58</v>
      </c>
      <c r="U40" s="125">
        <v>222.13399999999999</v>
      </c>
      <c r="V40" s="3"/>
      <c r="W40" s="3" t="s">
        <v>36</v>
      </c>
      <c r="X40" s="142">
        <v>1.5999999999999999E-5</v>
      </c>
      <c r="Y40" s="142">
        <v>1.7989454590162698E-2</v>
      </c>
      <c r="Z40" s="142">
        <v>1.04019380310764E-2</v>
      </c>
    </row>
    <row r="41" spans="1:26">
      <c r="A41" s="3">
        <v>301</v>
      </c>
      <c r="B41" s="3">
        <v>7211</v>
      </c>
      <c r="C41" s="3" t="s">
        <v>26</v>
      </c>
      <c r="D41" s="3" t="s">
        <v>43</v>
      </c>
      <c r="E41" s="3" t="s">
        <v>44</v>
      </c>
      <c r="F41" s="3" t="s">
        <v>29</v>
      </c>
      <c r="G41" s="3" t="s">
        <v>30</v>
      </c>
      <c r="H41" s="3" t="s">
        <v>30</v>
      </c>
      <c r="I41" s="3" t="s">
        <v>45</v>
      </c>
      <c r="J41" s="3" t="s">
        <v>32</v>
      </c>
      <c r="K41" s="3" t="s">
        <v>33</v>
      </c>
      <c r="L41" s="3" t="s">
        <v>34</v>
      </c>
      <c r="M41" s="125">
        <v>9.2999999999999999E-2</v>
      </c>
      <c r="N41" s="3" t="s">
        <v>46</v>
      </c>
      <c r="O41" s="141">
        <v>0</v>
      </c>
      <c r="P41" s="142">
        <v>4.2680000000000003E-2</v>
      </c>
      <c r="Q41" s="3"/>
      <c r="R41" s="125">
        <v>1245000</v>
      </c>
      <c r="S41" s="143">
        <v>1</v>
      </c>
      <c r="T41" s="145">
        <v>99.6</v>
      </c>
      <c r="U41" s="125">
        <v>1240.02</v>
      </c>
      <c r="V41" s="3"/>
      <c r="W41" s="3" t="s">
        <v>36</v>
      </c>
      <c r="X41" s="142">
        <v>3.4999999999999997E-5</v>
      </c>
      <c r="Y41" s="142">
        <v>0.100422643453472</v>
      </c>
      <c r="Z41" s="142">
        <v>5.8066802908584098E-2</v>
      </c>
    </row>
    <row r="42" spans="1:26">
      <c r="A42" s="3">
        <v>301</v>
      </c>
      <c r="B42" s="3">
        <v>7211</v>
      </c>
      <c r="C42" s="3" t="s">
        <v>26</v>
      </c>
      <c r="D42" s="3" t="s">
        <v>47</v>
      </c>
      <c r="E42" s="3" t="s">
        <v>48</v>
      </c>
      <c r="F42" s="3" t="s">
        <v>29</v>
      </c>
      <c r="G42" s="3" t="s">
        <v>30</v>
      </c>
      <c r="H42" s="3" t="s">
        <v>30</v>
      </c>
      <c r="I42" s="3" t="s">
        <v>31</v>
      </c>
      <c r="J42" s="3" t="s">
        <v>32</v>
      </c>
      <c r="K42" s="3" t="s">
        <v>33</v>
      </c>
      <c r="L42" s="3" t="s">
        <v>34</v>
      </c>
      <c r="M42" s="125">
        <v>0.34200000000000003</v>
      </c>
      <c r="N42" s="3" t="s">
        <v>49</v>
      </c>
      <c r="O42" s="141">
        <v>0</v>
      </c>
      <c r="P42" s="142">
        <v>4.2909999999999997E-2</v>
      </c>
      <c r="Q42" s="3"/>
      <c r="R42" s="125">
        <v>500000</v>
      </c>
      <c r="S42" s="143">
        <v>1</v>
      </c>
      <c r="T42" s="145">
        <v>98.56</v>
      </c>
      <c r="U42" s="125">
        <v>492.8</v>
      </c>
      <c r="V42" s="3"/>
      <c r="W42" s="3" t="s">
        <v>36</v>
      </c>
      <c r="X42" s="142">
        <v>3.6000000000000001E-5</v>
      </c>
      <c r="Y42" s="142">
        <v>3.9909258474759297E-2</v>
      </c>
      <c r="Z42" s="142">
        <v>2.3076499147876801E-2</v>
      </c>
    </row>
    <row r="43" spans="1:26">
      <c r="A43" s="3">
        <v>301</v>
      </c>
      <c r="B43" s="3">
        <v>7211</v>
      </c>
      <c r="C43" s="3" t="s">
        <v>53</v>
      </c>
      <c r="D43" s="3" t="s">
        <v>54</v>
      </c>
      <c r="E43" s="3" t="s">
        <v>55</v>
      </c>
      <c r="F43" s="3" t="s">
        <v>56</v>
      </c>
      <c r="G43" s="3" t="s">
        <v>30</v>
      </c>
      <c r="H43" s="3" t="s">
        <v>30</v>
      </c>
      <c r="I43" s="3" t="s">
        <v>45</v>
      </c>
      <c r="J43" s="3" t="s">
        <v>32</v>
      </c>
      <c r="K43" s="3" t="s">
        <v>33</v>
      </c>
      <c r="L43" s="3" t="s">
        <v>34</v>
      </c>
      <c r="M43" s="125">
        <v>2.3860000000000001</v>
      </c>
      <c r="N43" s="3" t="s">
        <v>57</v>
      </c>
      <c r="O43" s="141">
        <v>7.4999999999999997E-3</v>
      </c>
      <c r="P43" s="142">
        <v>1.7919999999999998E-2</v>
      </c>
      <c r="Q43" s="3"/>
      <c r="R43" s="125">
        <v>515000</v>
      </c>
      <c r="S43" s="143">
        <v>1</v>
      </c>
      <c r="T43" s="145">
        <v>114.17</v>
      </c>
      <c r="U43" s="125">
        <v>587.976</v>
      </c>
      <c r="V43" s="3"/>
      <c r="W43" s="3" t="s">
        <v>36</v>
      </c>
      <c r="X43" s="142">
        <v>2.3E-5</v>
      </c>
      <c r="Y43" s="142">
        <v>4.76170174641352E-2</v>
      </c>
      <c r="Z43" s="142">
        <v>2.7533311941401101E-2</v>
      </c>
    </row>
    <row r="44" spans="1:26">
      <c r="A44" s="3">
        <v>301</v>
      </c>
      <c r="B44" s="3">
        <v>7211</v>
      </c>
      <c r="C44" s="3" t="s">
        <v>53</v>
      </c>
      <c r="D44" s="3" t="s">
        <v>111</v>
      </c>
      <c r="E44" s="3" t="s">
        <v>112</v>
      </c>
      <c r="F44" s="3" t="s">
        <v>56</v>
      </c>
      <c r="G44" s="3" t="s">
        <v>30</v>
      </c>
      <c r="H44" s="3" t="s">
        <v>30</v>
      </c>
      <c r="I44" s="3" t="s">
        <v>45</v>
      </c>
      <c r="J44" s="3" t="s">
        <v>32</v>
      </c>
      <c r="K44" s="3" t="s">
        <v>33</v>
      </c>
      <c r="L44" s="3" t="s">
        <v>34</v>
      </c>
      <c r="M44" s="125">
        <v>0.82699999999999996</v>
      </c>
      <c r="N44" s="3" t="s">
        <v>113</v>
      </c>
      <c r="O44" s="141">
        <v>7.4999999999999997E-3</v>
      </c>
      <c r="P44" s="142">
        <v>1.5730000000000001E-2</v>
      </c>
      <c r="Q44" s="3"/>
      <c r="R44" s="125">
        <v>461321</v>
      </c>
      <c r="S44" s="143">
        <v>1</v>
      </c>
      <c r="T44" s="145">
        <v>115.16</v>
      </c>
      <c r="U44" s="125">
        <v>531.25699999999995</v>
      </c>
      <c r="V44" s="3"/>
      <c r="W44" s="3" t="s">
        <v>36</v>
      </c>
      <c r="X44" s="142">
        <v>2.0999999999999999E-5</v>
      </c>
      <c r="Y44" s="142">
        <v>4.3023708298712902E-2</v>
      </c>
      <c r="Z44" s="142">
        <v>2.4877349413085999E-2</v>
      </c>
    </row>
    <row r="45" spans="1:26">
      <c r="A45" s="3">
        <v>301</v>
      </c>
      <c r="B45" s="3">
        <v>7211</v>
      </c>
      <c r="C45" s="3" t="s">
        <v>53</v>
      </c>
      <c r="D45" s="3" t="s">
        <v>58</v>
      </c>
      <c r="E45" s="3" t="s">
        <v>59</v>
      </c>
      <c r="F45" s="3" t="s">
        <v>56</v>
      </c>
      <c r="G45" s="3" t="s">
        <v>30</v>
      </c>
      <c r="H45" s="3" t="s">
        <v>30</v>
      </c>
      <c r="I45" s="3" t="s">
        <v>45</v>
      </c>
      <c r="J45" s="3" t="s">
        <v>32</v>
      </c>
      <c r="K45" s="3" t="s">
        <v>33</v>
      </c>
      <c r="L45" s="3" t="s">
        <v>34</v>
      </c>
      <c r="M45" s="125">
        <v>6.89</v>
      </c>
      <c r="N45" s="3" t="s">
        <v>60</v>
      </c>
      <c r="O45" s="141">
        <v>1E-3</v>
      </c>
      <c r="P45" s="142">
        <v>1.8689999999999998E-2</v>
      </c>
      <c r="Q45" s="3"/>
      <c r="R45" s="125">
        <v>720000</v>
      </c>
      <c r="S45" s="143">
        <v>1</v>
      </c>
      <c r="T45" s="145">
        <v>102.23</v>
      </c>
      <c r="U45" s="125">
        <v>736.05600000000004</v>
      </c>
      <c r="V45" s="3"/>
      <c r="W45" s="3" t="s">
        <v>36</v>
      </c>
      <c r="X45" s="142">
        <v>2.3E-5</v>
      </c>
      <c r="Y45" s="142">
        <v>5.96092718260905E-2</v>
      </c>
      <c r="Z45" s="142">
        <v>3.4467523654199798E-2</v>
      </c>
    </row>
    <row r="46" spans="1:26">
      <c r="A46" s="3">
        <v>301</v>
      </c>
      <c r="B46" s="3">
        <v>7211</v>
      </c>
      <c r="C46" s="3" t="s">
        <v>61</v>
      </c>
      <c r="D46" s="3" t="s">
        <v>114</v>
      </c>
      <c r="E46" s="3" t="s">
        <v>115</v>
      </c>
      <c r="F46" s="3" t="s">
        <v>64</v>
      </c>
      <c r="G46" s="3" t="s">
        <v>30</v>
      </c>
      <c r="H46" s="3" t="s">
        <v>30</v>
      </c>
      <c r="I46" s="3" t="s">
        <v>45</v>
      </c>
      <c r="J46" s="3" t="s">
        <v>32</v>
      </c>
      <c r="K46" s="3" t="s">
        <v>33</v>
      </c>
      <c r="L46" s="3" t="s">
        <v>34</v>
      </c>
      <c r="M46" s="125">
        <v>3.6040000000000001</v>
      </c>
      <c r="N46" s="3" t="s">
        <v>116</v>
      </c>
      <c r="O46" s="141">
        <v>2.2499999999999999E-2</v>
      </c>
      <c r="P46" s="142">
        <v>4.2549999999999998E-2</v>
      </c>
      <c r="Q46" s="3"/>
      <c r="R46" s="125">
        <v>652000</v>
      </c>
      <c r="S46" s="143">
        <v>1</v>
      </c>
      <c r="T46" s="145">
        <v>93.76</v>
      </c>
      <c r="U46" s="125">
        <v>611.31500000000005</v>
      </c>
      <c r="V46" s="3"/>
      <c r="W46" s="3" t="s">
        <v>36</v>
      </c>
      <c r="X46" s="142">
        <v>1.9000000000000001E-5</v>
      </c>
      <c r="Y46" s="142">
        <v>4.9507175986909797E-2</v>
      </c>
      <c r="Z46" s="142">
        <v>2.8626247345544201E-2</v>
      </c>
    </row>
    <row r="47" spans="1:26">
      <c r="A47" s="3">
        <v>301</v>
      </c>
      <c r="B47" s="3">
        <v>7211</v>
      </c>
      <c r="C47" s="3" t="s">
        <v>61</v>
      </c>
      <c r="D47" s="3" t="s">
        <v>62</v>
      </c>
      <c r="E47" s="3" t="s">
        <v>63</v>
      </c>
      <c r="F47" s="3" t="s">
        <v>64</v>
      </c>
      <c r="G47" s="3" t="s">
        <v>30</v>
      </c>
      <c r="H47" s="3" t="s">
        <v>30</v>
      </c>
      <c r="I47" s="3" t="s">
        <v>45</v>
      </c>
      <c r="J47" s="3" t="s">
        <v>32</v>
      </c>
      <c r="K47" s="3" t="s">
        <v>33</v>
      </c>
      <c r="L47" s="3" t="s">
        <v>34</v>
      </c>
      <c r="M47" s="125">
        <v>1.1479999999999999</v>
      </c>
      <c r="N47" s="3" t="s">
        <v>65</v>
      </c>
      <c r="O47" s="141">
        <v>5.0000000000000001E-3</v>
      </c>
      <c r="P47" s="142">
        <v>4.206E-2</v>
      </c>
      <c r="Q47" s="3"/>
      <c r="R47" s="125">
        <v>750000</v>
      </c>
      <c r="S47" s="143">
        <v>1</v>
      </c>
      <c r="T47" s="145">
        <v>96.32</v>
      </c>
      <c r="U47" s="125">
        <v>722.4</v>
      </c>
      <c r="V47" s="3"/>
      <c r="W47" s="3" t="s">
        <v>36</v>
      </c>
      <c r="X47" s="142">
        <v>2.6999999999999999E-5</v>
      </c>
      <c r="Y47" s="142">
        <v>5.8503344809590303E-2</v>
      </c>
      <c r="Z47" s="142">
        <v>3.3828049887228602E-2</v>
      </c>
    </row>
    <row r="48" spans="1:26">
      <c r="A48" s="3">
        <v>301</v>
      </c>
      <c r="B48" s="3">
        <v>7211</v>
      </c>
      <c r="C48" s="3" t="s">
        <v>61</v>
      </c>
      <c r="D48" s="3" t="s">
        <v>117</v>
      </c>
      <c r="E48" s="3" t="s">
        <v>118</v>
      </c>
      <c r="F48" s="3" t="s">
        <v>64</v>
      </c>
      <c r="G48" s="3" t="s">
        <v>30</v>
      </c>
      <c r="H48" s="3" t="s">
        <v>30</v>
      </c>
      <c r="I48" s="3" t="s">
        <v>45</v>
      </c>
      <c r="J48" s="3" t="s">
        <v>32</v>
      </c>
      <c r="K48" s="3" t="s">
        <v>33</v>
      </c>
      <c r="L48" s="3" t="s">
        <v>34</v>
      </c>
      <c r="M48" s="125">
        <v>2.181</v>
      </c>
      <c r="N48" s="3" t="s">
        <v>119</v>
      </c>
      <c r="O48" s="141">
        <v>0.02</v>
      </c>
      <c r="P48" s="142">
        <v>4.2720000000000001E-2</v>
      </c>
      <c r="Q48" s="3"/>
      <c r="R48" s="125">
        <v>130000</v>
      </c>
      <c r="S48" s="143">
        <v>1</v>
      </c>
      <c r="T48" s="145">
        <v>96.74</v>
      </c>
      <c r="U48" s="125">
        <v>125.762</v>
      </c>
      <c r="V48" s="3"/>
      <c r="W48" s="3" t="s">
        <v>36</v>
      </c>
      <c r="X48" s="142">
        <v>5.0000000000000004E-6</v>
      </c>
      <c r="Y48" s="142">
        <v>1.01847974113285E-2</v>
      </c>
      <c r="Z48" s="142">
        <v>5.8890963592436799E-3</v>
      </c>
    </row>
    <row r="49" spans="1:26">
      <c r="A49" s="3">
        <v>301</v>
      </c>
      <c r="B49" s="3">
        <v>7211</v>
      </c>
      <c r="C49" s="3" t="s">
        <v>61</v>
      </c>
      <c r="D49" s="3" t="s">
        <v>66</v>
      </c>
      <c r="E49" s="3" t="s">
        <v>67</v>
      </c>
      <c r="F49" s="3" t="s">
        <v>64</v>
      </c>
      <c r="G49" s="3" t="s">
        <v>30</v>
      </c>
      <c r="H49" s="3" t="s">
        <v>30</v>
      </c>
      <c r="I49" s="3" t="s">
        <v>45</v>
      </c>
      <c r="J49" s="3" t="s">
        <v>32</v>
      </c>
      <c r="K49" s="3" t="s">
        <v>33</v>
      </c>
      <c r="L49" s="3" t="s">
        <v>34</v>
      </c>
      <c r="M49" s="125">
        <v>8.3070000000000004</v>
      </c>
      <c r="N49" s="3" t="s">
        <v>68</v>
      </c>
      <c r="O49" s="141">
        <v>0.04</v>
      </c>
      <c r="P49" s="142">
        <v>4.48E-2</v>
      </c>
      <c r="Q49" s="3"/>
      <c r="R49" s="125">
        <v>175000</v>
      </c>
      <c r="S49" s="143">
        <v>1</v>
      </c>
      <c r="T49" s="145">
        <v>99.13</v>
      </c>
      <c r="U49" s="125">
        <v>173.477</v>
      </c>
      <c r="V49" s="3"/>
      <c r="W49" s="3" t="s">
        <v>36</v>
      </c>
      <c r="X49" s="142">
        <v>7.9999999999999996E-6</v>
      </c>
      <c r="Y49" s="142">
        <v>1.4049022701004599E-2</v>
      </c>
      <c r="Z49" s="142">
        <v>8.1234849450604798E-3</v>
      </c>
    </row>
    <row r="50" spans="1:26">
      <c r="A50" s="3">
        <v>301</v>
      </c>
      <c r="B50" s="3">
        <v>7211</v>
      </c>
      <c r="C50" s="3" t="s">
        <v>61</v>
      </c>
      <c r="D50" s="3" t="s">
        <v>69</v>
      </c>
      <c r="E50" s="3" t="s">
        <v>70</v>
      </c>
      <c r="F50" s="3" t="s">
        <v>64</v>
      </c>
      <c r="G50" s="3" t="s">
        <v>30</v>
      </c>
      <c r="H50" s="3" t="s">
        <v>30</v>
      </c>
      <c r="I50" s="3" t="s">
        <v>45</v>
      </c>
      <c r="J50" s="3" t="s">
        <v>32</v>
      </c>
      <c r="K50" s="3" t="s">
        <v>33</v>
      </c>
      <c r="L50" s="3" t="s">
        <v>34</v>
      </c>
      <c r="M50" s="125">
        <v>0.66</v>
      </c>
      <c r="N50" s="3" t="s">
        <v>71</v>
      </c>
      <c r="O50" s="141">
        <v>1.7500000000000002E-2</v>
      </c>
      <c r="P50" s="142">
        <v>4.147E-2</v>
      </c>
      <c r="Q50" s="3"/>
      <c r="R50" s="125">
        <v>252890</v>
      </c>
      <c r="S50" s="143">
        <v>1</v>
      </c>
      <c r="T50" s="145">
        <v>99.05</v>
      </c>
      <c r="U50" s="125">
        <v>250.488</v>
      </c>
      <c r="V50" s="3"/>
      <c r="W50" s="3" t="s">
        <v>36</v>
      </c>
      <c r="X50" s="142">
        <v>1.1E-5</v>
      </c>
      <c r="Y50" s="142">
        <v>2.02856578289629E-2</v>
      </c>
      <c r="Z50" s="142">
        <v>1.17296583172611E-2</v>
      </c>
    </row>
    <row r="51" spans="1:26">
      <c r="A51" s="3">
        <v>301</v>
      </c>
      <c r="B51" s="3">
        <v>7211</v>
      </c>
      <c r="C51" s="3" t="s">
        <v>61</v>
      </c>
      <c r="D51" s="3" t="s">
        <v>78</v>
      </c>
      <c r="E51" s="3" t="s">
        <v>79</v>
      </c>
      <c r="F51" s="3" t="s">
        <v>64</v>
      </c>
      <c r="G51" s="3" t="s">
        <v>30</v>
      </c>
      <c r="H51" s="3" t="s">
        <v>30</v>
      </c>
      <c r="I51" s="3" t="s">
        <v>45</v>
      </c>
      <c r="J51" s="3" t="s">
        <v>32</v>
      </c>
      <c r="K51" s="3" t="s">
        <v>33</v>
      </c>
      <c r="L51" s="3" t="s">
        <v>34</v>
      </c>
      <c r="M51" s="125">
        <v>11.263999999999999</v>
      </c>
      <c r="N51" s="3" t="s">
        <v>80</v>
      </c>
      <c r="O51" s="141">
        <v>5.5E-2</v>
      </c>
      <c r="P51" s="142">
        <v>4.6489999999999997E-2</v>
      </c>
      <c r="Q51" s="3"/>
      <c r="R51" s="125">
        <v>622617</v>
      </c>
      <c r="S51" s="143">
        <v>1</v>
      </c>
      <c r="T51" s="145">
        <v>114.94</v>
      </c>
      <c r="U51" s="125">
        <v>715.63599999999997</v>
      </c>
      <c r="V51" s="3"/>
      <c r="W51" s="3" t="s">
        <v>36</v>
      </c>
      <c r="X51" s="142">
        <v>2.5999999999999998E-5</v>
      </c>
      <c r="Y51" s="142">
        <v>5.7955562686030401E-2</v>
      </c>
      <c r="Z51" s="142">
        <v>3.3511309005772497E-2</v>
      </c>
    </row>
    <row r="52" spans="1:26">
      <c r="A52" s="3">
        <v>301</v>
      </c>
      <c r="B52" s="3">
        <v>7211</v>
      </c>
      <c r="C52" s="3" t="s">
        <v>53</v>
      </c>
      <c r="D52" s="3" t="s">
        <v>81</v>
      </c>
      <c r="E52" s="3" t="s">
        <v>82</v>
      </c>
      <c r="F52" s="3" t="s">
        <v>56</v>
      </c>
      <c r="G52" s="3" t="s">
        <v>30</v>
      </c>
      <c r="H52" s="3" t="s">
        <v>30</v>
      </c>
      <c r="I52" s="3" t="s">
        <v>45</v>
      </c>
      <c r="J52" s="3" t="s">
        <v>32</v>
      </c>
      <c r="K52" s="3" t="s">
        <v>33</v>
      </c>
      <c r="L52" s="3" t="s">
        <v>34</v>
      </c>
      <c r="M52" s="125">
        <v>4.3600000000000003</v>
      </c>
      <c r="N52" s="3" t="s">
        <v>83</v>
      </c>
      <c r="O52" s="141">
        <v>5.0000000000000001E-3</v>
      </c>
      <c r="P52" s="142">
        <v>1.7690000000000001E-2</v>
      </c>
      <c r="Q52" s="3"/>
      <c r="R52" s="125">
        <v>570000</v>
      </c>
      <c r="S52" s="143">
        <v>1</v>
      </c>
      <c r="T52" s="145">
        <v>109.52</v>
      </c>
      <c r="U52" s="125">
        <v>624.26400000000001</v>
      </c>
      <c r="V52" s="3"/>
      <c r="W52" s="3" t="s">
        <v>36</v>
      </c>
      <c r="X52" s="142">
        <v>2.0999999999999999E-5</v>
      </c>
      <c r="Y52" s="142">
        <v>5.05558306259885E-2</v>
      </c>
      <c r="Z52" s="142">
        <v>2.9232604837764201E-2</v>
      </c>
    </row>
    <row r="53" spans="1:26">
      <c r="A53" s="3">
        <v>301</v>
      </c>
      <c r="B53" s="3">
        <v>7211</v>
      </c>
      <c r="C53" s="3" t="s">
        <v>53</v>
      </c>
      <c r="D53" s="3" t="s">
        <v>84</v>
      </c>
      <c r="E53" s="3" t="s">
        <v>85</v>
      </c>
      <c r="F53" s="3" t="s">
        <v>56</v>
      </c>
      <c r="G53" s="3" t="s">
        <v>30</v>
      </c>
      <c r="H53" s="3" t="s">
        <v>30</v>
      </c>
      <c r="I53" s="3" t="s">
        <v>45</v>
      </c>
      <c r="J53" s="3" t="s">
        <v>32</v>
      </c>
      <c r="K53" s="3" t="s">
        <v>33</v>
      </c>
      <c r="L53" s="3" t="s">
        <v>34</v>
      </c>
      <c r="M53" s="125">
        <v>1.5740000000000001</v>
      </c>
      <c r="N53" s="3" t="s">
        <v>86</v>
      </c>
      <c r="O53" s="141">
        <v>1E-3</v>
      </c>
      <c r="P53" s="142">
        <v>1.7819999999999999E-2</v>
      </c>
      <c r="Q53" s="3"/>
      <c r="R53" s="125">
        <v>2230103</v>
      </c>
      <c r="S53" s="143">
        <v>1</v>
      </c>
      <c r="T53" s="145">
        <v>112.4</v>
      </c>
      <c r="U53" s="125">
        <v>2506.636</v>
      </c>
      <c r="V53" s="3"/>
      <c r="W53" s="3" t="s">
        <v>36</v>
      </c>
      <c r="X53" s="142">
        <v>1.1E-4</v>
      </c>
      <c r="Y53" s="142">
        <v>0.202999137432682</v>
      </c>
      <c r="Z53" s="142">
        <v>0.11737901431939</v>
      </c>
    </row>
    <row r="54" spans="1:26">
      <c r="A54" s="3">
        <v>301</v>
      </c>
      <c r="B54" s="3">
        <v>7211</v>
      </c>
      <c r="C54" s="3" t="s">
        <v>53</v>
      </c>
      <c r="D54" s="3" t="s">
        <v>87</v>
      </c>
      <c r="E54" s="3" t="s">
        <v>88</v>
      </c>
      <c r="F54" s="3" t="s">
        <v>56</v>
      </c>
      <c r="G54" s="3" t="s">
        <v>30</v>
      </c>
      <c r="H54" s="3" t="s">
        <v>30</v>
      </c>
      <c r="I54" s="3" t="s">
        <v>45</v>
      </c>
      <c r="J54" s="3" t="s">
        <v>32</v>
      </c>
      <c r="K54" s="3" t="s">
        <v>33</v>
      </c>
      <c r="L54" s="3" t="s">
        <v>34</v>
      </c>
      <c r="M54" s="125">
        <v>3.7639999999999998</v>
      </c>
      <c r="N54" s="3" t="s">
        <v>89</v>
      </c>
      <c r="O54" s="141">
        <v>1.0999999999999999E-2</v>
      </c>
      <c r="P54" s="142">
        <v>1.7909999999999999E-2</v>
      </c>
      <c r="Q54" s="3"/>
      <c r="R54" s="125">
        <v>580000</v>
      </c>
      <c r="S54" s="143">
        <v>1</v>
      </c>
      <c r="T54" s="145">
        <v>101.87</v>
      </c>
      <c r="U54" s="125">
        <v>590.846</v>
      </c>
      <c r="V54" s="3"/>
      <c r="W54" s="3" t="s">
        <v>36</v>
      </c>
      <c r="X54" s="142">
        <v>2.4000000000000001E-5</v>
      </c>
      <c r="Y54" s="142">
        <v>4.7849484035668903E-2</v>
      </c>
      <c r="Z54" s="142">
        <v>2.7667729739298801E-2</v>
      </c>
    </row>
    <row r="55" spans="1:26">
      <c r="A55" s="3">
        <v>301</v>
      </c>
      <c r="B55" s="3">
        <v>7211</v>
      </c>
      <c r="C55" s="3" t="s">
        <v>61</v>
      </c>
      <c r="D55" s="3" t="s">
        <v>90</v>
      </c>
      <c r="E55" s="3" t="s">
        <v>91</v>
      </c>
      <c r="F55" s="3" t="s">
        <v>64</v>
      </c>
      <c r="G55" s="3" t="s">
        <v>30</v>
      </c>
      <c r="H55" s="3" t="s">
        <v>30</v>
      </c>
      <c r="I55" s="3" t="s">
        <v>45</v>
      </c>
      <c r="J55" s="3" t="s">
        <v>32</v>
      </c>
      <c r="K55" s="3" t="s">
        <v>33</v>
      </c>
      <c r="L55" s="3" t="s">
        <v>34</v>
      </c>
      <c r="M55" s="125">
        <v>5.0789999999999997</v>
      </c>
      <c r="N55" s="3" t="s">
        <v>92</v>
      </c>
      <c r="O55" s="141">
        <v>0.01</v>
      </c>
      <c r="P55" s="142">
        <v>4.2810000000000001E-2</v>
      </c>
      <c r="Q55" s="3"/>
      <c r="R55" s="125">
        <v>1040000</v>
      </c>
      <c r="S55" s="143">
        <v>1</v>
      </c>
      <c r="T55" s="145">
        <v>85.63</v>
      </c>
      <c r="U55" s="125">
        <v>890.55200000000002</v>
      </c>
      <c r="V55" s="3"/>
      <c r="W55" s="3" t="s">
        <v>36</v>
      </c>
      <c r="X55" s="142">
        <v>2.8E-5</v>
      </c>
      <c r="Y55" s="142">
        <v>7.2121083508956602E-2</v>
      </c>
      <c r="Z55" s="142">
        <v>4.1702155984456202E-2</v>
      </c>
    </row>
    <row r="56" spans="1:26">
      <c r="A56" s="3">
        <v>301</v>
      </c>
      <c r="B56" s="3">
        <v>7211</v>
      </c>
      <c r="C56" s="3" t="s">
        <v>61</v>
      </c>
      <c r="D56" s="3" t="s">
        <v>93</v>
      </c>
      <c r="E56" s="3" t="s">
        <v>94</v>
      </c>
      <c r="F56" s="3" t="s">
        <v>64</v>
      </c>
      <c r="G56" s="3" t="s">
        <v>30</v>
      </c>
      <c r="H56" s="3" t="s">
        <v>30</v>
      </c>
      <c r="I56" s="3" t="s">
        <v>45</v>
      </c>
      <c r="J56" s="3" t="s">
        <v>32</v>
      </c>
      <c r="K56" s="3" t="s">
        <v>33</v>
      </c>
      <c r="L56" s="3" t="s">
        <v>34</v>
      </c>
      <c r="M56" s="125">
        <v>6.9249999999999998</v>
      </c>
      <c r="N56" s="3" t="s">
        <v>95</v>
      </c>
      <c r="O56" s="141">
        <v>1.2999999999999999E-2</v>
      </c>
      <c r="P56" s="142">
        <v>4.3479999999999998E-2</v>
      </c>
      <c r="Q56" s="3"/>
      <c r="R56" s="125">
        <v>790000</v>
      </c>
      <c r="S56" s="143">
        <v>1</v>
      </c>
      <c r="T56" s="145">
        <v>82.08</v>
      </c>
      <c r="U56" s="125">
        <v>648.43200000000002</v>
      </c>
      <c r="V56" s="3"/>
      <c r="W56" s="3" t="s">
        <v>36</v>
      </c>
      <c r="X56" s="142">
        <v>2.4000000000000001E-5</v>
      </c>
      <c r="Y56" s="142">
        <v>5.2513068772940603E-2</v>
      </c>
      <c r="Z56" s="142">
        <v>3.03643273040911E-2</v>
      </c>
    </row>
    <row r="57" spans="1:26">
      <c r="A57" s="3">
        <v>301</v>
      </c>
      <c r="B57" s="3">
        <v>7211</v>
      </c>
      <c r="C57" s="3" t="s">
        <v>96</v>
      </c>
      <c r="D57" s="3" t="s">
        <v>97</v>
      </c>
      <c r="E57" s="3" t="s">
        <v>98</v>
      </c>
      <c r="F57" s="3" t="s">
        <v>99</v>
      </c>
      <c r="G57" s="3" t="s">
        <v>100</v>
      </c>
      <c r="H57" s="3" t="s">
        <v>101</v>
      </c>
      <c r="I57" s="3" t="s">
        <v>102</v>
      </c>
      <c r="J57" s="3" t="s">
        <v>103</v>
      </c>
      <c r="K57" s="3" t="s">
        <v>104</v>
      </c>
      <c r="L57" s="3" t="s">
        <v>105</v>
      </c>
      <c r="M57" s="125">
        <v>7.2709999999999999</v>
      </c>
      <c r="N57" s="3" t="s">
        <v>106</v>
      </c>
      <c r="O57" s="141">
        <v>3.3750000000000002E-2</v>
      </c>
      <c r="P57" s="142">
        <v>4.5440000000000001E-2</v>
      </c>
      <c r="Q57" s="3"/>
      <c r="R57" s="125">
        <v>105000</v>
      </c>
      <c r="S57" s="143">
        <v>3.6469999999999998</v>
      </c>
      <c r="T57" s="145">
        <v>92.397000000000006</v>
      </c>
      <c r="U57" s="125">
        <v>353.81900000000002</v>
      </c>
      <c r="V57" s="3"/>
      <c r="W57" s="3" t="s">
        <v>36</v>
      </c>
      <c r="X57" s="142">
        <v>9.9999999999999995E-7</v>
      </c>
      <c r="Y57" s="142">
        <v>2.86539018304626E-2</v>
      </c>
      <c r="Z57" s="142">
        <v>1.65683795300836E-2</v>
      </c>
    </row>
    <row r="58" spans="1:26">
      <c r="A58" s="3">
        <v>301</v>
      </c>
      <c r="B58" s="3">
        <v>7211</v>
      </c>
      <c r="C58" s="3" t="s">
        <v>96</v>
      </c>
      <c r="D58" s="3" t="s">
        <v>107</v>
      </c>
      <c r="E58" s="3" t="s">
        <v>108</v>
      </c>
      <c r="F58" s="3" t="s">
        <v>99</v>
      </c>
      <c r="G58" s="3" t="s">
        <v>100</v>
      </c>
      <c r="H58" s="3" t="s">
        <v>101</v>
      </c>
      <c r="I58" s="3" t="s">
        <v>109</v>
      </c>
      <c r="J58" s="3" t="s">
        <v>103</v>
      </c>
      <c r="K58" s="3" t="s">
        <v>104</v>
      </c>
      <c r="L58" s="3" t="s">
        <v>105</v>
      </c>
      <c r="M58" s="125">
        <v>7.9470000000000001</v>
      </c>
      <c r="N58" s="3" t="s">
        <v>110</v>
      </c>
      <c r="O58" s="141">
        <v>3.875E-2</v>
      </c>
      <c r="P58" s="142">
        <v>4.5710000000000001E-2</v>
      </c>
      <c r="Q58" s="3"/>
      <c r="R58" s="125">
        <v>92500</v>
      </c>
      <c r="S58" s="143">
        <v>3.6469999999999998</v>
      </c>
      <c r="T58" s="145">
        <v>96.085999999999999</v>
      </c>
      <c r="U58" s="125">
        <v>324.142</v>
      </c>
      <c r="V58" s="3"/>
      <c r="W58" s="3" t="s">
        <v>36</v>
      </c>
      <c r="X58" s="142">
        <v>9.9999999999999995E-7</v>
      </c>
      <c r="Y58" s="142">
        <v>2.6250578262141801E-2</v>
      </c>
      <c r="Z58" s="142">
        <v>1.5178719676806601E-2</v>
      </c>
    </row>
  </sheetData>
  <sheetProtection formatColumns="0"/>
  <customSheetViews>
    <customSheetView guid="{AE318230-F718-49FC-82EB-7CAC3DCD05F1}" showGridLines="0" hiddenRows="1">
      <selection activeCell="E26" sqref="E26"/>
      <pageMargins left="0.7" right="0.7" top="0.75" bottom="0.75" header="0.3" footer="0.3"/>
    </customSheetView>
  </customSheetViews>
  <dataValidations count="5">
    <dataValidation type="list" allowBlank="1" showInputMessage="1" showErrorMessage="1" sqref="G2:G20" xr:uid="{00000000-0002-0000-0300-000000000000}">
      <formula1>israel_abroad</formula1>
    </dataValidation>
    <dataValidation type="list" allowBlank="1" showInputMessage="1" showErrorMessage="1" sqref="I2:I20" xr:uid="{00000000-0002-0000-0300-000001000000}">
      <formula1>Stock_Exchange_Gov_Bonds</formula1>
    </dataValidation>
    <dataValidation type="list" allowBlank="1" showInputMessage="1" showErrorMessage="1" sqref="K2:K20" xr:uid="{00000000-0002-0000-0300-000002000000}">
      <formula1>Rating_Agency</formula1>
    </dataValidation>
    <dataValidation type="list" allowBlank="1" showInputMessage="1" showErrorMessage="1" sqref="W2:W20" xr:uid="{00000000-0002-0000-0300-000003000000}">
      <formula1>In_the_books</formula1>
    </dataValidation>
    <dataValidation type="list" allowBlank="1" showInputMessage="1" showErrorMessage="1" sqref="H2:H20" xr:uid="{00000000-0002-0000-0300-000004000000}">
      <formula1>Country_list</formula1>
    </dataValidation>
  </dataValidations>
  <pageMargins left="0.7" right="0.7" top="0.75" bottom="0.75" header="0.3" footer="0.3"/>
  <pageSetup paperSize="9" orientation="portrait" verticalDpi="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300-000005000000}">
          <x14:formula1>
            <xm:f>'אפשרויות בחירה'!$C$862:$C$869</xm:f>
          </x14:formula1>
          <xm:sqref>F2:F20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6"/>
  <dimension ref="A1:AJ1"/>
  <sheetViews>
    <sheetView rightToLeft="1" topLeftCell="X1" zoomScale="70" zoomScaleNormal="70" workbookViewId="0">
      <selection activeCell="AH14" sqref="AH14"/>
    </sheetView>
  </sheetViews>
  <sheetFormatPr defaultColWidth="0" defaultRowHeight="14.25" zeroHeight="1"/>
  <cols>
    <col min="1" max="36" width="11.625" customWidth="1"/>
  </cols>
  <sheetData>
    <row r="1" spans="1:36" ht="66.75" customHeight="1">
      <c r="A1" s="12" t="s">
        <v>0</v>
      </c>
      <c r="B1" s="12" t="s">
        <v>1</v>
      </c>
      <c r="C1" s="12" t="s">
        <v>2</v>
      </c>
      <c r="D1" s="12" t="s">
        <v>156</v>
      </c>
      <c r="E1" s="12" t="s">
        <v>157</v>
      </c>
      <c r="F1" s="12" t="s">
        <v>3</v>
      </c>
      <c r="G1" s="12" t="s">
        <v>4</v>
      </c>
      <c r="H1" s="12" t="s">
        <v>158</v>
      </c>
      <c r="I1" s="12" t="s">
        <v>5</v>
      </c>
      <c r="J1" s="12" t="s">
        <v>6</v>
      </c>
      <c r="K1" s="12" t="s">
        <v>7</v>
      </c>
      <c r="L1" s="12" t="s">
        <v>8</v>
      </c>
      <c r="M1" s="12" t="s">
        <v>159</v>
      </c>
      <c r="N1" s="12" t="s">
        <v>125</v>
      </c>
      <c r="O1" s="12" t="s">
        <v>9</v>
      </c>
      <c r="P1" s="12" t="s">
        <v>10</v>
      </c>
      <c r="Q1" s="12" t="s">
        <v>183</v>
      </c>
      <c r="R1" s="12" t="s">
        <v>11</v>
      </c>
      <c r="S1" s="12" t="s">
        <v>12</v>
      </c>
      <c r="T1" s="12" t="s">
        <v>918</v>
      </c>
      <c r="U1" s="12" t="s">
        <v>13</v>
      </c>
      <c r="V1" s="120" t="s">
        <v>14</v>
      </c>
      <c r="W1" s="12" t="s">
        <v>15</v>
      </c>
      <c r="X1" s="12" t="s">
        <v>417</v>
      </c>
      <c r="Y1" s="12" t="s">
        <v>839</v>
      </c>
      <c r="Z1" s="12" t="s">
        <v>17</v>
      </c>
      <c r="AA1" s="12" t="s">
        <v>18</v>
      </c>
      <c r="AB1" s="12" t="s">
        <v>19</v>
      </c>
      <c r="AC1" s="12" t="s">
        <v>16</v>
      </c>
      <c r="AD1" s="12" t="s">
        <v>20</v>
      </c>
      <c r="AE1" s="12" t="s">
        <v>21</v>
      </c>
      <c r="AF1" s="12" t="s">
        <v>175</v>
      </c>
      <c r="AG1" s="12" t="s">
        <v>22</v>
      </c>
      <c r="AH1" s="12" t="s">
        <v>23</v>
      </c>
      <c r="AI1" s="12" t="s">
        <v>24</v>
      </c>
      <c r="AJ1" s="12" t="s">
        <v>25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  <pageSetup paperSize="9" orientation="portrait" verticalDpi="0"/>
    </customSheetView>
  </customSheetViews>
  <pageMargins left="0.7" right="0.7" top="0.75" bottom="0.75" header="0.3" footer="0.3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7"/>
  <dimension ref="A1:AJ269"/>
  <sheetViews>
    <sheetView rightToLeft="1" zoomScale="70" zoomScaleNormal="70" workbookViewId="0"/>
  </sheetViews>
  <sheetFormatPr defaultColWidth="0" defaultRowHeight="14.25" zeroHeight="1"/>
  <cols>
    <col min="1" max="36" width="11.625" customWidth="1"/>
  </cols>
  <sheetData>
    <row r="1" spans="1:36" ht="66.75" customHeight="1">
      <c r="A1" s="12" t="s">
        <v>0</v>
      </c>
      <c r="B1" s="12" t="s">
        <v>1</v>
      </c>
      <c r="C1" s="12" t="s">
        <v>2</v>
      </c>
      <c r="D1" s="12" t="s">
        <v>156</v>
      </c>
      <c r="E1" s="12" t="s">
        <v>157</v>
      </c>
      <c r="F1" s="12" t="s">
        <v>3</v>
      </c>
      <c r="G1" s="12" t="s">
        <v>4</v>
      </c>
      <c r="H1" s="12" t="s">
        <v>158</v>
      </c>
      <c r="I1" s="12" t="s">
        <v>5</v>
      </c>
      <c r="J1" s="12" t="s">
        <v>6</v>
      </c>
      <c r="K1" s="12" t="s">
        <v>7</v>
      </c>
      <c r="L1" s="12" t="s">
        <v>333</v>
      </c>
      <c r="M1" s="12" t="s">
        <v>8</v>
      </c>
      <c r="N1" s="12" t="s">
        <v>159</v>
      </c>
      <c r="O1" s="12" t="s">
        <v>125</v>
      </c>
      <c r="P1" s="12" t="s">
        <v>9</v>
      </c>
      <c r="Q1" s="12" t="s">
        <v>10</v>
      </c>
      <c r="R1" s="12" t="s">
        <v>183</v>
      </c>
      <c r="S1" s="12" t="s">
        <v>11</v>
      </c>
      <c r="T1" s="12" t="s">
        <v>12</v>
      </c>
      <c r="U1" s="12" t="s">
        <v>13</v>
      </c>
      <c r="V1" s="135" t="s">
        <v>14</v>
      </c>
      <c r="W1" s="139" t="s">
        <v>15</v>
      </c>
      <c r="X1" s="12" t="s">
        <v>417</v>
      </c>
      <c r="Y1" s="12" t="s">
        <v>839</v>
      </c>
      <c r="Z1" s="12" t="s">
        <v>17</v>
      </c>
      <c r="AA1" s="133" t="s">
        <v>18</v>
      </c>
      <c r="AB1" s="144" t="s">
        <v>19</v>
      </c>
      <c r="AC1" s="12" t="s">
        <v>16</v>
      </c>
      <c r="AD1" s="12" t="s">
        <v>20</v>
      </c>
      <c r="AE1" s="12" t="s">
        <v>21</v>
      </c>
      <c r="AF1" s="12" t="s">
        <v>175</v>
      </c>
      <c r="AG1" s="12" t="s">
        <v>22</v>
      </c>
      <c r="AH1" s="139" t="s">
        <v>23</v>
      </c>
      <c r="AI1" s="139" t="s">
        <v>24</v>
      </c>
      <c r="AJ1" s="139" t="s">
        <v>25</v>
      </c>
    </row>
    <row r="2" spans="1:36">
      <c r="A2" s="2">
        <v>301</v>
      </c>
      <c r="B2" s="13">
        <v>7209</v>
      </c>
      <c r="C2" s="13" t="s">
        <v>1715</v>
      </c>
      <c r="D2" s="13" t="s">
        <v>1716</v>
      </c>
      <c r="E2" s="11" t="s">
        <v>1330</v>
      </c>
      <c r="F2" s="13" t="s">
        <v>1717</v>
      </c>
      <c r="G2" s="13" t="s">
        <v>1718</v>
      </c>
      <c r="H2" s="11" t="s">
        <v>328</v>
      </c>
      <c r="I2" s="18" t="s">
        <v>763</v>
      </c>
      <c r="J2" s="11" t="s">
        <v>30</v>
      </c>
      <c r="K2" s="11" t="s">
        <v>30</v>
      </c>
      <c r="L2" s="13" t="s">
        <v>334</v>
      </c>
      <c r="M2" s="11" t="s">
        <v>45</v>
      </c>
      <c r="N2" s="13" t="s">
        <v>470</v>
      </c>
      <c r="O2" s="13" t="s">
        <v>139</v>
      </c>
      <c r="P2" s="13" t="s">
        <v>1719</v>
      </c>
      <c r="Q2" s="13" t="s">
        <v>420</v>
      </c>
      <c r="R2" s="13" t="s">
        <v>413</v>
      </c>
      <c r="S2" s="11" t="s">
        <v>34</v>
      </c>
      <c r="T2" s="126">
        <v>1.9319999999999999</v>
      </c>
      <c r="U2" s="13" t="s">
        <v>1720</v>
      </c>
      <c r="V2" s="147">
        <v>2.3400000000000001E-2</v>
      </c>
      <c r="W2" s="148">
        <v>2.674E-2</v>
      </c>
      <c r="X2" s="11" t="s">
        <v>419</v>
      </c>
      <c r="Y2" s="11" t="s">
        <v>139</v>
      </c>
      <c r="Z2" s="126">
        <v>50952.26</v>
      </c>
      <c r="AA2" s="149">
        <v>1</v>
      </c>
      <c r="AB2" s="150">
        <v>116.51</v>
      </c>
      <c r="AC2" s="13"/>
      <c r="AD2" s="126">
        <v>59.363999999999997</v>
      </c>
      <c r="AE2" s="13"/>
      <c r="AF2" s="18"/>
      <c r="AG2" s="11" t="s">
        <v>36</v>
      </c>
      <c r="AH2" s="140">
        <v>2.4000000000000001E-5</v>
      </c>
      <c r="AI2" s="140">
        <v>1.8375089234388801E-2</v>
      </c>
      <c r="AJ2" s="140">
        <v>2.8962393498034901E-3</v>
      </c>
    </row>
    <row r="3" spans="1:36">
      <c r="A3" s="13">
        <v>301</v>
      </c>
      <c r="B3" s="13">
        <v>7209</v>
      </c>
      <c r="C3" s="13" t="s">
        <v>1721</v>
      </c>
      <c r="D3" s="13" t="s">
        <v>1722</v>
      </c>
      <c r="E3" s="11" t="s">
        <v>1330</v>
      </c>
      <c r="F3" s="13" t="s">
        <v>1723</v>
      </c>
      <c r="G3" s="13" t="s">
        <v>1724</v>
      </c>
      <c r="H3" s="11" t="s">
        <v>328</v>
      </c>
      <c r="I3" s="13" t="s">
        <v>763</v>
      </c>
      <c r="J3" s="11" t="s">
        <v>30</v>
      </c>
      <c r="K3" s="11" t="s">
        <v>30</v>
      </c>
      <c r="L3" s="13" t="s">
        <v>334</v>
      </c>
      <c r="M3" s="11" t="s">
        <v>45</v>
      </c>
      <c r="N3" s="13" t="s">
        <v>484</v>
      </c>
      <c r="O3" s="13" t="s">
        <v>139</v>
      </c>
      <c r="P3" s="13" t="s">
        <v>1725</v>
      </c>
      <c r="Q3" s="13" t="s">
        <v>420</v>
      </c>
      <c r="R3" s="13" t="s">
        <v>413</v>
      </c>
      <c r="S3" s="11" t="s">
        <v>34</v>
      </c>
      <c r="T3" s="126">
        <v>1.681</v>
      </c>
      <c r="U3" s="13" t="s">
        <v>1726</v>
      </c>
      <c r="V3" s="147">
        <v>3.2000000000000001E-2</v>
      </c>
      <c r="W3" s="148">
        <v>3.1660000000000001E-2</v>
      </c>
      <c r="X3" s="11" t="s">
        <v>419</v>
      </c>
      <c r="Y3" s="11" t="s">
        <v>139</v>
      </c>
      <c r="Z3" s="126">
        <v>11900</v>
      </c>
      <c r="AA3" s="149">
        <v>1</v>
      </c>
      <c r="AB3" s="150">
        <v>107.55</v>
      </c>
      <c r="AC3" s="13"/>
      <c r="AD3" s="126">
        <v>12.798</v>
      </c>
      <c r="AE3" s="13"/>
      <c r="AF3" s="2"/>
      <c r="AG3" s="11" t="s">
        <v>36</v>
      </c>
      <c r="AH3" s="140">
        <v>1.5E-5</v>
      </c>
      <c r="AI3" s="140">
        <v>3.9615047286815901E-3</v>
      </c>
      <c r="AJ3" s="140">
        <v>6.2440327408956001E-4</v>
      </c>
    </row>
    <row r="4" spans="1:36">
      <c r="A4" s="13">
        <v>301</v>
      </c>
      <c r="B4" s="13">
        <v>7209</v>
      </c>
      <c r="C4" s="13" t="s">
        <v>1721</v>
      </c>
      <c r="D4" s="13" t="s">
        <v>1722</v>
      </c>
      <c r="E4" s="11" t="s">
        <v>1330</v>
      </c>
      <c r="F4" s="13" t="s">
        <v>1727</v>
      </c>
      <c r="G4" s="13" t="s">
        <v>1728</v>
      </c>
      <c r="H4" s="11" t="s">
        <v>328</v>
      </c>
      <c r="I4" s="13" t="s">
        <v>976</v>
      </c>
      <c r="J4" s="11" t="s">
        <v>30</v>
      </c>
      <c r="K4" s="11" t="s">
        <v>30</v>
      </c>
      <c r="L4" s="13" t="s">
        <v>334</v>
      </c>
      <c r="M4" s="11" t="s">
        <v>45</v>
      </c>
      <c r="N4" s="13" t="s">
        <v>484</v>
      </c>
      <c r="O4" s="13" t="s">
        <v>139</v>
      </c>
      <c r="P4" s="13" t="s">
        <v>1725</v>
      </c>
      <c r="Q4" s="13" t="s">
        <v>420</v>
      </c>
      <c r="R4" s="13" t="s">
        <v>413</v>
      </c>
      <c r="S4" s="11" t="s">
        <v>34</v>
      </c>
      <c r="T4" s="126">
        <v>1.732</v>
      </c>
      <c r="U4" s="13" t="s">
        <v>1729</v>
      </c>
      <c r="V4" s="147">
        <v>5.7000000000000002E-2</v>
      </c>
      <c r="W4" s="148">
        <v>5.4859999999999999E-2</v>
      </c>
      <c r="X4" s="11" t="s">
        <v>419</v>
      </c>
      <c r="Y4" s="11" t="s">
        <v>139</v>
      </c>
      <c r="Z4" s="126">
        <v>11900</v>
      </c>
      <c r="AA4" s="149">
        <v>1</v>
      </c>
      <c r="AB4" s="150">
        <v>100.74</v>
      </c>
      <c r="AC4" s="13"/>
      <c r="AD4" s="126">
        <v>11.988</v>
      </c>
      <c r="AE4" s="13"/>
      <c r="AF4" s="2"/>
      <c r="AG4" s="11" t="s">
        <v>36</v>
      </c>
      <c r="AH4" s="140">
        <v>1.2999999999999999E-5</v>
      </c>
      <c r="AI4" s="140">
        <v>3.7106646803103998E-3</v>
      </c>
      <c r="AJ4" s="140">
        <v>5.8486644195055598E-4</v>
      </c>
    </row>
    <row r="5" spans="1:36">
      <c r="A5" s="13">
        <v>301</v>
      </c>
      <c r="B5" s="13">
        <v>7209</v>
      </c>
      <c r="C5" s="13" t="s">
        <v>1730</v>
      </c>
      <c r="D5" s="13" t="s">
        <v>1731</v>
      </c>
      <c r="E5" s="11" t="s">
        <v>1330</v>
      </c>
      <c r="F5" s="13" t="s">
        <v>1732</v>
      </c>
      <c r="G5" s="13" t="s">
        <v>1733</v>
      </c>
      <c r="H5" s="11" t="s">
        <v>328</v>
      </c>
      <c r="I5" s="13" t="s">
        <v>763</v>
      </c>
      <c r="J5" s="11" t="s">
        <v>30</v>
      </c>
      <c r="K5" s="11" t="s">
        <v>30</v>
      </c>
      <c r="L5" s="13" t="s">
        <v>334</v>
      </c>
      <c r="M5" s="11" t="s">
        <v>45</v>
      </c>
      <c r="N5" s="13" t="s">
        <v>484</v>
      </c>
      <c r="O5" s="13" t="s">
        <v>139</v>
      </c>
      <c r="P5" s="13" t="s">
        <v>1725</v>
      </c>
      <c r="Q5" s="13" t="s">
        <v>420</v>
      </c>
      <c r="R5" s="13" t="s">
        <v>413</v>
      </c>
      <c r="S5" s="11" t="s">
        <v>34</v>
      </c>
      <c r="T5" s="126">
        <v>2.6259999999999999</v>
      </c>
      <c r="U5" s="13" t="s">
        <v>1734</v>
      </c>
      <c r="V5" s="147">
        <v>3.2300000000000002E-2</v>
      </c>
      <c r="W5" s="148">
        <v>2.9780000000000001E-2</v>
      </c>
      <c r="X5" s="11" t="s">
        <v>419</v>
      </c>
      <c r="Y5" s="11" t="s">
        <v>139</v>
      </c>
      <c r="Z5" s="126">
        <v>14280</v>
      </c>
      <c r="AA5" s="149">
        <v>1</v>
      </c>
      <c r="AB5" s="150">
        <v>108.49</v>
      </c>
      <c r="AC5" s="13"/>
      <c r="AD5" s="126">
        <v>15.492000000000001</v>
      </c>
      <c r="AE5" s="13"/>
      <c r="AF5" s="2"/>
      <c r="AG5" s="11" t="s">
        <v>36</v>
      </c>
      <c r="AH5" s="140">
        <v>2.8E-5</v>
      </c>
      <c r="AI5" s="140">
        <v>4.7953545106238799E-3</v>
      </c>
      <c r="AJ5" s="140">
        <v>7.55832761015078E-4</v>
      </c>
    </row>
    <row r="6" spans="1:36">
      <c r="A6" s="13">
        <v>301</v>
      </c>
      <c r="B6" s="13">
        <v>7209</v>
      </c>
      <c r="C6" s="13" t="s">
        <v>1542</v>
      </c>
      <c r="D6" s="13" t="s">
        <v>1543</v>
      </c>
      <c r="E6" s="11" t="s">
        <v>1330</v>
      </c>
      <c r="F6" s="13" t="s">
        <v>1735</v>
      </c>
      <c r="G6" s="13" t="s">
        <v>1736</v>
      </c>
      <c r="H6" s="11" t="s">
        <v>328</v>
      </c>
      <c r="I6" s="13" t="s">
        <v>763</v>
      </c>
      <c r="J6" s="11" t="s">
        <v>30</v>
      </c>
      <c r="K6" s="11" t="s">
        <v>30</v>
      </c>
      <c r="L6" s="13" t="s">
        <v>334</v>
      </c>
      <c r="M6" s="11" t="s">
        <v>45</v>
      </c>
      <c r="N6" s="13" t="s">
        <v>470</v>
      </c>
      <c r="O6" s="13" t="s">
        <v>139</v>
      </c>
      <c r="P6" s="13" t="s">
        <v>1437</v>
      </c>
      <c r="Q6" s="13" t="s">
        <v>420</v>
      </c>
      <c r="R6" s="13" t="s">
        <v>413</v>
      </c>
      <c r="S6" s="11" t="s">
        <v>34</v>
      </c>
      <c r="T6" s="126">
        <v>6.7370000000000001</v>
      </c>
      <c r="U6" s="13" t="s">
        <v>1737</v>
      </c>
      <c r="V6" s="147">
        <v>2.5600000000000001E-2</v>
      </c>
      <c r="W6" s="148">
        <v>3.4340000000000002E-2</v>
      </c>
      <c r="X6" s="11" t="s">
        <v>419</v>
      </c>
      <c r="Y6" s="11" t="s">
        <v>139</v>
      </c>
      <c r="Z6" s="124">
        <v>20000</v>
      </c>
      <c r="AA6" s="134">
        <v>1</v>
      </c>
      <c r="AB6" s="151">
        <v>103.64</v>
      </c>
      <c r="AC6" s="13"/>
      <c r="AD6" s="124">
        <v>20.728000000000002</v>
      </c>
      <c r="AE6" s="2"/>
      <c r="AF6" s="2"/>
      <c r="AG6" s="2" t="s">
        <v>36</v>
      </c>
      <c r="AH6" s="140">
        <v>1.9000000000000001E-5</v>
      </c>
      <c r="AI6" s="140">
        <v>6.4159386500796597E-3</v>
      </c>
      <c r="AJ6" s="140">
        <v>1.01126550991162E-3</v>
      </c>
    </row>
    <row r="7" spans="1:36">
      <c r="A7" s="13">
        <v>301</v>
      </c>
      <c r="B7" s="13">
        <v>7209</v>
      </c>
      <c r="C7" s="13" t="s">
        <v>1542</v>
      </c>
      <c r="D7" s="13" t="s">
        <v>1543</v>
      </c>
      <c r="E7" s="11" t="s">
        <v>1330</v>
      </c>
      <c r="F7" s="13" t="s">
        <v>1738</v>
      </c>
      <c r="G7" s="13" t="s">
        <v>1739</v>
      </c>
      <c r="H7" s="11" t="s">
        <v>328</v>
      </c>
      <c r="I7" s="13" t="s">
        <v>976</v>
      </c>
      <c r="J7" s="11" t="s">
        <v>30</v>
      </c>
      <c r="K7" s="11" t="s">
        <v>30</v>
      </c>
      <c r="L7" s="13" t="s">
        <v>334</v>
      </c>
      <c r="M7" s="11" t="s">
        <v>45</v>
      </c>
      <c r="N7" s="13" t="s">
        <v>470</v>
      </c>
      <c r="O7" s="13" t="s">
        <v>139</v>
      </c>
      <c r="P7" s="13" t="s">
        <v>1437</v>
      </c>
      <c r="Q7" s="13" t="s">
        <v>420</v>
      </c>
      <c r="R7" s="13" t="s">
        <v>413</v>
      </c>
      <c r="S7" s="11" t="s">
        <v>34</v>
      </c>
      <c r="T7" s="126">
        <v>4.0880000000000001</v>
      </c>
      <c r="U7" s="13" t="s">
        <v>1740</v>
      </c>
      <c r="V7" s="147">
        <v>2.41E-2</v>
      </c>
      <c r="W7" s="148">
        <v>5.2479999999999999E-2</v>
      </c>
      <c r="X7" s="11" t="s">
        <v>419</v>
      </c>
      <c r="Y7" s="11" t="s">
        <v>139</v>
      </c>
      <c r="Z7" s="124">
        <v>70100</v>
      </c>
      <c r="AA7" s="134">
        <v>1</v>
      </c>
      <c r="AB7" s="151">
        <v>91.16</v>
      </c>
      <c r="AC7" s="13"/>
      <c r="AD7" s="124">
        <v>63.902999999999999</v>
      </c>
      <c r="AE7" s="2"/>
      <c r="AF7" s="2"/>
      <c r="AG7" s="2" t="s">
        <v>36</v>
      </c>
      <c r="AH7" s="140">
        <v>3.4E-5</v>
      </c>
      <c r="AI7" s="140">
        <v>1.9779947612226199E-2</v>
      </c>
      <c r="AJ7" s="140">
        <v>3.11766989976669E-3</v>
      </c>
    </row>
    <row r="8" spans="1:36">
      <c r="A8" s="13">
        <v>301</v>
      </c>
      <c r="B8" s="13">
        <v>7209</v>
      </c>
      <c r="C8" s="13" t="s">
        <v>1741</v>
      </c>
      <c r="D8" s="13" t="s">
        <v>1742</v>
      </c>
      <c r="E8" s="11" t="s">
        <v>1330</v>
      </c>
      <c r="F8" s="13" t="s">
        <v>1743</v>
      </c>
      <c r="G8" s="13" t="s">
        <v>1744</v>
      </c>
      <c r="H8" s="11" t="s">
        <v>328</v>
      </c>
      <c r="I8" s="13" t="s">
        <v>976</v>
      </c>
      <c r="J8" s="11" t="s">
        <v>30</v>
      </c>
      <c r="K8" s="11" t="s">
        <v>30</v>
      </c>
      <c r="L8" s="13" t="s">
        <v>334</v>
      </c>
      <c r="M8" s="11" t="s">
        <v>45</v>
      </c>
      <c r="N8" s="13" t="s">
        <v>457</v>
      </c>
      <c r="O8" s="13" t="s">
        <v>139</v>
      </c>
      <c r="P8" s="13" t="s">
        <v>1725</v>
      </c>
      <c r="Q8" s="13" t="s">
        <v>420</v>
      </c>
      <c r="R8" s="13" t="s">
        <v>413</v>
      </c>
      <c r="S8" s="11" t="s">
        <v>34</v>
      </c>
      <c r="T8" s="126">
        <v>2.7090000000000001</v>
      </c>
      <c r="U8" s="13" t="s">
        <v>1745</v>
      </c>
      <c r="V8" s="147">
        <v>0.04</v>
      </c>
      <c r="W8" s="148">
        <v>5.1769999999999997E-2</v>
      </c>
      <c r="X8" s="11" t="s">
        <v>419</v>
      </c>
      <c r="Y8" s="11" t="s">
        <v>139</v>
      </c>
      <c r="Z8" s="126">
        <v>35750</v>
      </c>
      <c r="AA8" s="149">
        <v>1</v>
      </c>
      <c r="AB8" s="150">
        <v>98.91</v>
      </c>
      <c r="AC8" s="13"/>
      <c r="AD8" s="126">
        <v>35.36</v>
      </c>
      <c r="AE8" s="13"/>
      <c r="AF8" s="2"/>
      <c r="AG8" s="11" t="s">
        <v>36</v>
      </c>
      <c r="AH8" s="140">
        <v>5.3000000000000001E-5</v>
      </c>
      <c r="AI8" s="140">
        <v>1.09450827791817E-2</v>
      </c>
      <c r="AJ8" s="140">
        <v>1.72513880218862E-3</v>
      </c>
    </row>
    <row r="9" spans="1:36">
      <c r="A9" s="13">
        <v>301</v>
      </c>
      <c r="B9" s="13">
        <v>7209</v>
      </c>
      <c r="C9" s="13" t="s">
        <v>1546</v>
      </c>
      <c r="D9" s="13" t="s">
        <v>1547</v>
      </c>
      <c r="E9" s="11" t="s">
        <v>1330</v>
      </c>
      <c r="F9" s="13" t="s">
        <v>1746</v>
      </c>
      <c r="G9" s="13" t="s">
        <v>1747</v>
      </c>
      <c r="H9" s="11" t="s">
        <v>328</v>
      </c>
      <c r="I9" s="13" t="s">
        <v>763</v>
      </c>
      <c r="J9" s="11" t="s">
        <v>30</v>
      </c>
      <c r="K9" s="11" t="s">
        <v>30</v>
      </c>
      <c r="L9" s="13" t="s">
        <v>334</v>
      </c>
      <c r="M9" s="11" t="s">
        <v>45</v>
      </c>
      <c r="N9" s="13" t="s">
        <v>470</v>
      </c>
      <c r="O9" s="13" t="s">
        <v>139</v>
      </c>
      <c r="P9" s="13" t="s">
        <v>1719</v>
      </c>
      <c r="Q9" s="13" t="s">
        <v>420</v>
      </c>
      <c r="R9" s="13" t="s">
        <v>413</v>
      </c>
      <c r="S9" s="11" t="s">
        <v>34</v>
      </c>
      <c r="T9" s="126">
        <v>1.929</v>
      </c>
      <c r="U9" s="13" t="s">
        <v>1748</v>
      </c>
      <c r="V9" s="147">
        <v>3.2000000000000001E-2</v>
      </c>
      <c r="W9" s="148">
        <v>2.4420000000000001E-2</v>
      </c>
      <c r="X9" s="11" t="s">
        <v>419</v>
      </c>
      <c r="Y9" s="11" t="s">
        <v>139</v>
      </c>
      <c r="Z9" s="126">
        <v>26250</v>
      </c>
      <c r="AA9" s="149">
        <v>1</v>
      </c>
      <c r="AB9" s="150">
        <v>118.5</v>
      </c>
      <c r="AC9" s="13"/>
      <c r="AD9" s="126">
        <v>31.106000000000002</v>
      </c>
      <c r="AE9" s="13"/>
      <c r="AF9" s="2"/>
      <c r="AG9" s="11" t="s">
        <v>36</v>
      </c>
      <c r="AH9" s="140">
        <v>4.8000000000000001E-5</v>
      </c>
      <c r="AI9" s="140">
        <v>9.6283187781764003E-3</v>
      </c>
      <c r="AJ9" s="140">
        <v>1.5175934855117901E-3</v>
      </c>
    </row>
    <row r="10" spans="1:36">
      <c r="A10" s="13">
        <v>301</v>
      </c>
      <c r="B10" s="13">
        <v>7209</v>
      </c>
      <c r="C10" s="13" t="s">
        <v>1546</v>
      </c>
      <c r="D10" s="13" t="s">
        <v>1547</v>
      </c>
      <c r="E10" s="11" t="s">
        <v>1330</v>
      </c>
      <c r="F10" s="13" t="s">
        <v>1749</v>
      </c>
      <c r="G10" s="13" t="s">
        <v>1750</v>
      </c>
      <c r="H10" s="11" t="s">
        <v>328</v>
      </c>
      <c r="I10" s="13" t="s">
        <v>763</v>
      </c>
      <c r="J10" s="11" t="s">
        <v>30</v>
      </c>
      <c r="K10" s="11" t="s">
        <v>30</v>
      </c>
      <c r="L10" s="13" t="s">
        <v>334</v>
      </c>
      <c r="M10" s="11" t="s">
        <v>45</v>
      </c>
      <c r="N10" s="13" t="s">
        <v>470</v>
      </c>
      <c r="O10" s="13" t="s">
        <v>139</v>
      </c>
      <c r="P10" s="13" t="s">
        <v>1719</v>
      </c>
      <c r="Q10" s="13" t="s">
        <v>420</v>
      </c>
      <c r="R10" s="13" t="s">
        <v>413</v>
      </c>
      <c r="S10" s="11" t="s">
        <v>34</v>
      </c>
      <c r="T10" s="126">
        <v>3.0760000000000001</v>
      </c>
      <c r="U10" s="13" t="s">
        <v>1751</v>
      </c>
      <c r="V10" s="147">
        <v>1.14E-2</v>
      </c>
      <c r="W10" s="148">
        <v>2.725E-2</v>
      </c>
      <c r="X10" s="11" t="s">
        <v>419</v>
      </c>
      <c r="Y10" s="11" t="s">
        <v>139</v>
      </c>
      <c r="Z10" s="126">
        <v>60000</v>
      </c>
      <c r="AA10" s="149">
        <v>1</v>
      </c>
      <c r="AB10" s="150">
        <v>108.5</v>
      </c>
      <c r="AC10" s="13"/>
      <c r="AD10" s="126">
        <v>65.099999999999994</v>
      </c>
      <c r="AE10" s="13"/>
      <c r="AF10" s="2"/>
      <c r="AG10" s="11" t="s">
        <v>36</v>
      </c>
      <c r="AH10" s="140">
        <v>2.5000000000000001E-5</v>
      </c>
      <c r="AI10" s="140">
        <v>2.01504055442004E-2</v>
      </c>
      <c r="AJ10" s="140">
        <v>3.1760606279065298E-3</v>
      </c>
    </row>
    <row r="11" spans="1:36">
      <c r="A11" s="13">
        <v>301</v>
      </c>
      <c r="B11" s="13">
        <v>7209</v>
      </c>
      <c r="C11" s="13" t="s">
        <v>1546</v>
      </c>
      <c r="D11" s="13" t="s">
        <v>1547</v>
      </c>
      <c r="E11" s="11" t="s">
        <v>1330</v>
      </c>
      <c r="F11" s="13" t="s">
        <v>1752</v>
      </c>
      <c r="G11" s="13" t="s">
        <v>1753</v>
      </c>
      <c r="H11" s="11" t="s">
        <v>328</v>
      </c>
      <c r="I11" s="13" t="s">
        <v>763</v>
      </c>
      <c r="J11" s="11" t="s">
        <v>30</v>
      </c>
      <c r="K11" s="11" t="s">
        <v>30</v>
      </c>
      <c r="L11" s="13" t="s">
        <v>334</v>
      </c>
      <c r="M11" s="11" t="s">
        <v>45</v>
      </c>
      <c r="N11" s="13" t="s">
        <v>470</v>
      </c>
      <c r="O11" s="13" t="s">
        <v>139</v>
      </c>
      <c r="P11" s="13" t="s">
        <v>1719</v>
      </c>
      <c r="Q11" s="13" t="s">
        <v>420</v>
      </c>
      <c r="R11" s="13" t="s">
        <v>413</v>
      </c>
      <c r="S11" s="11" t="s">
        <v>34</v>
      </c>
      <c r="T11" s="126">
        <v>5.3639999999999999</v>
      </c>
      <c r="U11" s="13" t="s">
        <v>1445</v>
      </c>
      <c r="V11" s="147">
        <v>9.1999999999999998E-3</v>
      </c>
      <c r="W11" s="148">
        <v>2.8989999999999998E-2</v>
      </c>
      <c r="X11" s="11" t="s">
        <v>419</v>
      </c>
      <c r="Y11" s="11" t="s">
        <v>139</v>
      </c>
      <c r="Z11" s="126">
        <v>52000</v>
      </c>
      <c r="AA11" s="149">
        <v>1</v>
      </c>
      <c r="AB11" s="150">
        <v>103.99</v>
      </c>
      <c r="AC11" s="126">
        <v>0.55200000000000005</v>
      </c>
      <c r="AD11" s="126">
        <v>54.627000000000002</v>
      </c>
      <c r="AE11" s="13"/>
      <c r="AF11" s="2"/>
      <c r="AG11" s="11" t="s">
        <v>36</v>
      </c>
      <c r="AH11" s="140">
        <v>2.0000000000000002E-5</v>
      </c>
      <c r="AI11" s="140">
        <v>1.69087469697069E-2</v>
      </c>
      <c r="AJ11" s="140">
        <v>2.6651178508502399E-3</v>
      </c>
    </row>
    <row r="12" spans="1:36">
      <c r="A12" s="13">
        <v>301</v>
      </c>
      <c r="B12" s="13">
        <v>7209</v>
      </c>
      <c r="C12" s="13" t="s">
        <v>1550</v>
      </c>
      <c r="D12" s="13" t="s">
        <v>1551</v>
      </c>
      <c r="E12" s="11" t="s">
        <v>1330</v>
      </c>
      <c r="F12" s="13" t="s">
        <v>1754</v>
      </c>
      <c r="G12" s="13" t="s">
        <v>1755</v>
      </c>
      <c r="H12" s="11" t="s">
        <v>328</v>
      </c>
      <c r="I12" s="13" t="s">
        <v>976</v>
      </c>
      <c r="J12" s="11" t="s">
        <v>30</v>
      </c>
      <c r="K12" s="11" t="s">
        <v>101</v>
      </c>
      <c r="L12" s="13" t="s">
        <v>334</v>
      </c>
      <c r="M12" s="11" t="s">
        <v>45</v>
      </c>
      <c r="N12" s="13" t="s">
        <v>447</v>
      </c>
      <c r="O12" s="13" t="s">
        <v>139</v>
      </c>
      <c r="P12" s="13" t="s">
        <v>1395</v>
      </c>
      <c r="Q12" s="13" t="s">
        <v>422</v>
      </c>
      <c r="R12" s="13" t="s">
        <v>413</v>
      </c>
      <c r="S12" s="11" t="s">
        <v>34</v>
      </c>
      <c r="T12" s="126">
        <v>1.4850000000000001</v>
      </c>
      <c r="U12" s="13" t="s">
        <v>1756</v>
      </c>
      <c r="V12" s="147">
        <v>3.4500000000000003E-2</v>
      </c>
      <c r="W12" s="148">
        <v>5.194E-2</v>
      </c>
      <c r="X12" s="11" t="s">
        <v>419</v>
      </c>
      <c r="Y12" s="11" t="s">
        <v>139</v>
      </c>
      <c r="Z12" s="126">
        <v>43235.29</v>
      </c>
      <c r="AA12" s="149">
        <v>1</v>
      </c>
      <c r="AB12" s="150">
        <v>98.71</v>
      </c>
      <c r="AC12" s="13"/>
      <c r="AD12" s="126">
        <v>42.677999999999997</v>
      </c>
      <c r="AE12" s="13"/>
      <c r="AF12" s="2"/>
      <c r="AG12" s="11" t="s">
        <v>36</v>
      </c>
      <c r="AH12" s="140">
        <v>6.7000000000000002E-5</v>
      </c>
      <c r="AI12" s="140">
        <v>1.32099851924527E-2</v>
      </c>
      <c r="AJ12" s="140">
        <v>2.0821275171334099E-3</v>
      </c>
    </row>
    <row r="13" spans="1:36">
      <c r="A13" s="13">
        <v>301</v>
      </c>
      <c r="B13" s="13">
        <v>7209</v>
      </c>
      <c r="C13" s="13" t="s">
        <v>1550</v>
      </c>
      <c r="D13" s="13" t="s">
        <v>1551</v>
      </c>
      <c r="E13" s="11" t="s">
        <v>1330</v>
      </c>
      <c r="F13" s="13" t="s">
        <v>1757</v>
      </c>
      <c r="G13" s="13" t="s">
        <v>1758</v>
      </c>
      <c r="H13" s="11" t="s">
        <v>328</v>
      </c>
      <c r="I13" s="13" t="s">
        <v>976</v>
      </c>
      <c r="J13" s="11" t="s">
        <v>30</v>
      </c>
      <c r="K13" s="11" t="s">
        <v>101</v>
      </c>
      <c r="L13" s="13" t="s">
        <v>334</v>
      </c>
      <c r="M13" s="11" t="s">
        <v>45</v>
      </c>
      <c r="N13" s="13" t="s">
        <v>447</v>
      </c>
      <c r="O13" s="13" t="s">
        <v>139</v>
      </c>
      <c r="P13" s="13" t="s">
        <v>1395</v>
      </c>
      <c r="Q13" s="13" t="s">
        <v>422</v>
      </c>
      <c r="R13" s="13" t="s">
        <v>413</v>
      </c>
      <c r="S13" s="11" t="s">
        <v>34</v>
      </c>
      <c r="T13" s="126">
        <v>3.508</v>
      </c>
      <c r="U13" s="13" t="s">
        <v>1759</v>
      </c>
      <c r="V13" s="147">
        <v>1.4999999999999999E-2</v>
      </c>
      <c r="W13" s="148">
        <v>5.561E-2</v>
      </c>
      <c r="X13" s="11" t="s">
        <v>419</v>
      </c>
      <c r="Y13" s="11" t="s">
        <v>139</v>
      </c>
      <c r="Z13" s="126">
        <v>21000</v>
      </c>
      <c r="AA13" s="149">
        <v>1</v>
      </c>
      <c r="AB13" s="150">
        <v>87.5</v>
      </c>
      <c r="AC13" s="13"/>
      <c r="AD13" s="126">
        <v>18.375</v>
      </c>
      <c r="AE13" s="13"/>
      <c r="AF13" s="2"/>
      <c r="AG13" s="11" t="s">
        <v>36</v>
      </c>
      <c r="AH13" s="140">
        <v>1.8E-5</v>
      </c>
      <c r="AI13" s="140">
        <v>5.6876144681210798E-3</v>
      </c>
      <c r="AJ13" s="140">
        <v>8.9646872561878E-4</v>
      </c>
    </row>
    <row r="14" spans="1:36">
      <c r="A14" s="13">
        <v>301</v>
      </c>
      <c r="B14" s="13">
        <v>7209</v>
      </c>
      <c r="C14" s="13" t="s">
        <v>1715</v>
      </c>
      <c r="D14" s="13" t="s">
        <v>1716</v>
      </c>
      <c r="E14" s="11" t="s">
        <v>1330</v>
      </c>
      <c r="F14" s="13" t="s">
        <v>1760</v>
      </c>
      <c r="G14" s="13" t="s">
        <v>1761</v>
      </c>
      <c r="H14" s="11" t="s">
        <v>328</v>
      </c>
      <c r="I14" s="13" t="s">
        <v>763</v>
      </c>
      <c r="J14" s="11" t="s">
        <v>30</v>
      </c>
      <c r="K14" s="11" t="s">
        <v>30</v>
      </c>
      <c r="L14" s="13" t="s">
        <v>334</v>
      </c>
      <c r="M14" s="11" t="s">
        <v>45</v>
      </c>
      <c r="N14" s="13" t="s">
        <v>470</v>
      </c>
      <c r="O14" s="13" t="s">
        <v>139</v>
      </c>
      <c r="P14" s="13" t="s">
        <v>1719</v>
      </c>
      <c r="Q14" s="13" t="s">
        <v>420</v>
      </c>
      <c r="R14" s="13" t="s">
        <v>413</v>
      </c>
      <c r="S14" s="11" t="s">
        <v>34</v>
      </c>
      <c r="T14" s="126">
        <v>5.149</v>
      </c>
      <c r="U14" s="13" t="s">
        <v>1762</v>
      </c>
      <c r="V14" s="147">
        <v>6.4999999999999997E-3</v>
      </c>
      <c r="W14" s="148">
        <v>2.8320000000000001E-2</v>
      </c>
      <c r="X14" s="11" t="s">
        <v>419</v>
      </c>
      <c r="Y14" s="11" t="s">
        <v>139</v>
      </c>
      <c r="Z14" s="126">
        <v>49116.29</v>
      </c>
      <c r="AA14" s="149">
        <v>1</v>
      </c>
      <c r="AB14" s="150">
        <v>102.57</v>
      </c>
      <c r="AC14" s="13"/>
      <c r="AD14" s="126">
        <v>50.378999999999998</v>
      </c>
      <c r="AE14" s="13"/>
      <c r="AF14" s="2"/>
      <c r="AG14" s="11" t="s">
        <v>36</v>
      </c>
      <c r="AH14" s="140">
        <v>2.1999999999999999E-5</v>
      </c>
      <c r="AI14" s="140">
        <v>1.55936834193294E-2</v>
      </c>
      <c r="AJ14" s="140">
        <v>2.4578405552947102E-3</v>
      </c>
    </row>
    <row r="15" spans="1:36">
      <c r="A15" s="13">
        <v>301</v>
      </c>
      <c r="B15" s="13">
        <v>7209</v>
      </c>
      <c r="C15" s="13" t="s">
        <v>1763</v>
      </c>
      <c r="D15" s="13" t="s">
        <v>1764</v>
      </c>
      <c r="E15" s="11" t="s">
        <v>1330</v>
      </c>
      <c r="F15" s="13" t="s">
        <v>1765</v>
      </c>
      <c r="G15" s="13" t="s">
        <v>1766</v>
      </c>
      <c r="H15" s="11" t="s">
        <v>328</v>
      </c>
      <c r="I15" s="13" t="s">
        <v>976</v>
      </c>
      <c r="J15" s="11" t="s">
        <v>30</v>
      </c>
      <c r="K15" s="11" t="s">
        <v>30</v>
      </c>
      <c r="L15" s="13" t="s">
        <v>334</v>
      </c>
      <c r="M15" s="11" t="s">
        <v>45</v>
      </c>
      <c r="N15" s="13" t="s">
        <v>446</v>
      </c>
      <c r="O15" s="13" t="s">
        <v>139</v>
      </c>
      <c r="P15" s="13" t="s">
        <v>1725</v>
      </c>
      <c r="Q15" s="13" t="s">
        <v>420</v>
      </c>
      <c r="R15" s="13" t="s">
        <v>413</v>
      </c>
      <c r="S15" s="11" t="s">
        <v>34</v>
      </c>
      <c r="T15" s="126">
        <v>2.9350000000000001</v>
      </c>
      <c r="U15" s="13" t="s">
        <v>1767</v>
      </c>
      <c r="V15" s="147">
        <v>0.05</v>
      </c>
      <c r="W15" s="148">
        <v>5.4080000000000003E-2</v>
      </c>
      <c r="X15" s="11" t="s">
        <v>419</v>
      </c>
      <c r="Y15" s="11" t="s">
        <v>139</v>
      </c>
      <c r="Z15" s="126">
        <v>32000</v>
      </c>
      <c r="AA15" s="149">
        <v>1</v>
      </c>
      <c r="AB15" s="150">
        <v>100.36</v>
      </c>
      <c r="AC15" s="13"/>
      <c r="AD15" s="126">
        <v>32.115000000000002</v>
      </c>
      <c r="AE15" s="13"/>
      <c r="AF15" s="2"/>
      <c r="AG15" s="11" t="s">
        <v>36</v>
      </c>
      <c r="AH15" s="140">
        <v>3.1000000000000001E-5</v>
      </c>
      <c r="AI15" s="140">
        <v>9.9406191111075896E-3</v>
      </c>
      <c r="AJ15" s="140">
        <v>1.5668175465029801E-3</v>
      </c>
    </row>
    <row r="16" spans="1:36">
      <c r="A16" s="13">
        <v>301</v>
      </c>
      <c r="B16" s="13">
        <v>7209</v>
      </c>
      <c r="C16" s="13" t="s">
        <v>1768</v>
      </c>
      <c r="D16" s="13" t="s">
        <v>1769</v>
      </c>
      <c r="E16" s="11" t="s">
        <v>1330</v>
      </c>
      <c r="F16" s="13" t="s">
        <v>1770</v>
      </c>
      <c r="G16" s="13" t="s">
        <v>1771</v>
      </c>
      <c r="H16" s="11" t="s">
        <v>328</v>
      </c>
      <c r="I16" s="13" t="s">
        <v>763</v>
      </c>
      <c r="J16" s="11" t="s">
        <v>30</v>
      </c>
      <c r="K16" s="11" t="s">
        <v>30</v>
      </c>
      <c r="L16" s="13" t="s">
        <v>334</v>
      </c>
      <c r="M16" s="11" t="s">
        <v>45</v>
      </c>
      <c r="N16" s="13" t="s">
        <v>470</v>
      </c>
      <c r="O16" s="13" t="s">
        <v>139</v>
      </c>
      <c r="P16" s="13" t="s">
        <v>1437</v>
      </c>
      <c r="Q16" s="13" t="s">
        <v>420</v>
      </c>
      <c r="R16" s="13" t="s">
        <v>413</v>
      </c>
      <c r="S16" s="11" t="s">
        <v>34</v>
      </c>
      <c r="T16" s="126">
        <v>0.35299999999999998</v>
      </c>
      <c r="U16" s="13" t="s">
        <v>1772</v>
      </c>
      <c r="V16" s="147">
        <v>2.5000000000000001E-2</v>
      </c>
      <c r="W16" s="148">
        <v>3.1620000000000002E-2</v>
      </c>
      <c r="X16" s="11" t="s">
        <v>419</v>
      </c>
      <c r="Y16" s="11" t="s">
        <v>139</v>
      </c>
      <c r="Z16" s="126">
        <v>35000</v>
      </c>
      <c r="AA16" s="149">
        <v>1</v>
      </c>
      <c r="AB16" s="150">
        <v>115.6</v>
      </c>
      <c r="AC16" s="13"/>
      <c r="AD16" s="126">
        <v>40.46</v>
      </c>
      <c r="AE16" s="13"/>
      <c r="AF16" s="2"/>
      <c r="AG16" s="11" t="s">
        <v>36</v>
      </c>
      <c r="AH16" s="140">
        <v>1.4899999999999999E-4</v>
      </c>
      <c r="AI16" s="140">
        <v>1.2523585381234201E-2</v>
      </c>
      <c r="AJ16" s="140">
        <v>1.97393875583868E-3</v>
      </c>
    </row>
    <row r="17" spans="1:36">
      <c r="A17" s="13">
        <v>301</v>
      </c>
      <c r="B17" s="13">
        <v>7209</v>
      </c>
      <c r="C17" s="13" t="s">
        <v>1768</v>
      </c>
      <c r="D17" s="13" t="s">
        <v>1769</v>
      </c>
      <c r="E17" s="11" t="s">
        <v>1330</v>
      </c>
      <c r="F17" s="13" t="s">
        <v>1773</v>
      </c>
      <c r="G17" s="13" t="s">
        <v>1774</v>
      </c>
      <c r="H17" s="11" t="s">
        <v>328</v>
      </c>
      <c r="I17" s="13" t="s">
        <v>763</v>
      </c>
      <c r="J17" s="11" t="s">
        <v>30</v>
      </c>
      <c r="K17" s="11" t="s">
        <v>30</v>
      </c>
      <c r="L17" s="13" t="s">
        <v>334</v>
      </c>
      <c r="M17" s="11" t="s">
        <v>45</v>
      </c>
      <c r="N17" s="13" t="s">
        <v>470</v>
      </c>
      <c r="O17" s="13" t="s">
        <v>139</v>
      </c>
      <c r="P17" s="13" t="s">
        <v>1437</v>
      </c>
      <c r="Q17" s="13" t="s">
        <v>422</v>
      </c>
      <c r="R17" s="13" t="s">
        <v>413</v>
      </c>
      <c r="S17" s="11" t="s">
        <v>34</v>
      </c>
      <c r="T17" s="126">
        <v>4.2210000000000001</v>
      </c>
      <c r="U17" s="13" t="s">
        <v>1775</v>
      </c>
      <c r="V17" s="147">
        <v>1.17E-2</v>
      </c>
      <c r="W17" s="148">
        <v>2.8000000000000001E-2</v>
      </c>
      <c r="X17" s="11" t="s">
        <v>419</v>
      </c>
      <c r="Y17" s="11" t="s">
        <v>139</v>
      </c>
      <c r="Z17" s="126">
        <v>17640</v>
      </c>
      <c r="AA17" s="149">
        <v>1</v>
      </c>
      <c r="AB17" s="150">
        <v>107.59</v>
      </c>
      <c r="AC17" s="13"/>
      <c r="AD17" s="126">
        <v>18.978999999999999</v>
      </c>
      <c r="AE17" s="13"/>
      <c r="AF17" s="2"/>
      <c r="AG17" s="11" t="s">
        <v>36</v>
      </c>
      <c r="AH17" s="140">
        <v>2.5999999999999998E-5</v>
      </c>
      <c r="AI17" s="140">
        <v>5.8745322300014103E-3</v>
      </c>
      <c r="AJ17" s="140">
        <v>9.2593027381751504E-4</v>
      </c>
    </row>
    <row r="18" spans="1:36">
      <c r="A18" s="13">
        <v>301</v>
      </c>
      <c r="B18" s="13">
        <v>7209</v>
      </c>
      <c r="C18" s="13" t="s">
        <v>1768</v>
      </c>
      <c r="D18" s="13" t="s">
        <v>1769</v>
      </c>
      <c r="E18" s="11" t="s">
        <v>1330</v>
      </c>
      <c r="F18" s="13" t="s">
        <v>1776</v>
      </c>
      <c r="G18" s="13" t="s">
        <v>1777</v>
      </c>
      <c r="H18" s="11" t="s">
        <v>328</v>
      </c>
      <c r="I18" s="13" t="s">
        <v>763</v>
      </c>
      <c r="J18" s="11" t="s">
        <v>30</v>
      </c>
      <c r="K18" s="11" t="s">
        <v>30</v>
      </c>
      <c r="L18" s="13" t="s">
        <v>334</v>
      </c>
      <c r="M18" s="11" t="s">
        <v>45</v>
      </c>
      <c r="N18" s="13" t="s">
        <v>470</v>
      </c>
      <c r="O18" s="13" t="s">
        <v>139</v>
      </c>
      <c r="P18" s="13" t="s">
        <v>1437</v>
      </c>
      <c r="Q18" s="13" t="s">
        <v>420</v>
      </c>
      <c r="R18" s="13" t="s">
        <v>413</v>
      </c>
      <c r="S18" s="11" t="s">
        <v>34</v>
      </c>
      <c r="T18" s="126">
        <v>5.1269999999999998</v>
      </c>
      <c r="U18" s="13" t="s">
        <v>1778</v>
      </c>
      <c r="V18" s="147">
        <v>1.8700000000000001E-2</v>
      </c>
      <c r="W18" s="148">
        <v>3.0720000000000001E-2</v>
      </c>
      <c r="X18" s="11" t="s">
        <v>419</v>
      </c>
      <c r="Y18" s="11" t="s">
        <v>139</v>
      </c>
      <c r="Z18" s="126">
        <v>29895</v>
      </c>
      <c r="AA18" s="149">
        <v>1</v>
      </c>
      <c r="AB18" s="150">
        <v>104.45</v>
      </c>
      <c r="AC18" s="13"/>
      <c r="AD18" s="126">
        <v>31.225000000000001</v>
      </c>
      <c r="AE18" s="13"/>
      <c r="AF18" s="2"/>
      <c r="AG18" s="11" t="s">
        <v>36</v>
      </c>
      <c r="AH18" s="140">
        <v>2.9E-5</v>
      </c>
      <c r="AI18" s="140">
        <v>9.6651768414051098E-3</v>
      </c>
      <c r="AJ18" s="140">
        <v>1.5234029687594E-3</v>
      </c>
    </row>
    <row r="19" spans="1:36">
      <c r="A19" s="13">
        <v>301</v>
      </c>
      <c r="B19" s="13">
        <v>7209</v>
      </c>
      <c r="C19" s="13" t="s">
        <v>1779</v>
      </c>
      <c r="D19" s="13" t="s">
        <v>1780</v>
      </c>
      <c r="E19" s="11" t="s">
        <v>1330</v>
      </c>
      <c r="F19" s="13" t="s">
        <v>1781</v>
      </c>
      <c r="G19" s="13" t="s">
        <v>1782</v>
      </c>
      <c r="H19" s="11" t="s">
        <v>328</v>
      </c>
      <c r="I19" s="13" t="s">
        <v>976</v>
      </c>
      <c r="J19" s="11" t="s">
        <v>30</v>
      </c>
      <c r="K19" s="11" t="s">
        <v>30</v>
      </c>
      <c r="L19" s="13" t="s">
        <v>334</v>
      </c>
      <c r="M19" s="11" t="s">
        <v>45</v>
      </c>
      <c r="N19" s="13" t="s">
        <v>446</v>
      </c>
      <c r="O19" s="13" t="s">
        <v>139</v>
      </c>
      <c r="P19" s="13" t="s">
        <v>1783</v>
      </c>
      <c r="Q19" s="13" t="s">
        <v>422</v>
      </c>
      <c r="R19" s="13" t="s">
        <v>413</v>
      </c>
      <c r="S19" s="11" t="s">
        <v>34</v>
      </c>
      <c r="T19" s="126">
        <v>2.87</v>
      </c>
      <c r="U19" s="13" t="s">
        <v>1784</v>
      </c>
      <c r="V19" s="147">
        <v>7.2499999999999995E-2</v>
      </c>
      <c r="W19" s="148">
        <v>5.8200000000000002E-2</v>
      </c>
      <c r="X19" s="11" t="s">
        <v>419</v>
      </c>
      <c r="Y19" s="11" t="s">
        <v>139</v>
      </c>
      <c r="Z19" s="126">
        <v>78300</v>
      </c>
      <c r="AA19" s="149">
        <v>1</v>
      </c>
      <c r="AB19" s="150">
        <v>106.14</v>
      </c>
      <c r="AC19" s="13"/>
      <c r="AD19" s="126">
        <v>83.108000000000004</v>
      </c>
      <c r="AE19" s="13"/>
      <c r="AF19" s="2"/>
      <c r="AG19" s="11" t="s">
        <v>36</v>
      </c>
      <c r="AH19" s="140">
        <v>1.0900000000000001E-4</v>
      </c>
      <c r="AI19" s="140">
        <v>2.5724304866563699E-2</v>
      </c>
      <c r="AJ19" s="140">
        <v>4.0546058335025701E-3</v>
      </c>
    </row>
    <row r="20" spans="1:36">
      <c r="A20" s="2">
        <v>301</v>
      </c>
      <c r="B20" s="2">
        <v>7209</v>
      </c>
      <c r="C20" s="2" t="s">
        <v>1785</v>
      </c>
      <c r="D20" s="2" t="s">
        <v>1786</v>
      </c>
      <c r="E20" s="11" t="s">
        <v>1330</v>
      </c>
      <c r="F20" s="2" t="s">
        <v>1787</v>
      </c>
      <c r="G20" s="2" t="s">
        <v>1788</v>
      </c>
      <c r="H20" s="11" t="s">
        <v>328</v>
      </c>
      <c r="I20" s="13" t="s">
        <v>763</v>
      </c>
      <c r="J20" s="11" t="s">
        <v>30</v>
      </c>
      <c r="K20" s="11" t="s">
        <v>30</v>
      </c>
      <c r="L20" s="13" t="s">
        <v>334</v>
      </c>
      <c r="M20" s="11" t="s">
        <v>45</v>
      </c>
      <c r="N20" s="13" t="s">
        <v>470</v>
      </c>
      <c r="O20" s="13" t="s">
        <v>139</v>
      </c>
      <c r="P20" s="2" t="s">
        <v>1719</v>
      </c>
      <c r="Q20" s="13" t="s">
        <v>420</v>
      </c>
      <c r="R20" s="13" t="s">
        <v>413</v>
      </c>
      <c r="S20" s="2" t="s">
        <v>34</v>
      </c>
      <c r="T20" s="124">
        <v>3.7469999999999999</v>
      </c>
      <c r="U20" s="2" t="s">
        <v>1789</v>
      </c>
      <c r="V20" s="138">
        <v>5.0000000000000001E-3</v>
      </c>
      <c r="W20" s="140">
        <v>2.8590000000000001E-2</v>
      </c>
      <c r="X20" s="11" t="s">
        <v>419</v>
      </c>
      <c r="Y20" s="11" t="s">
        <v>139</v>
      </c>
      <c r="Z20" s="124">
        <v>6262.21</v>
      </c>
      <c r="AA20" s="134">
        <v>1</v>
      </c>
      <c r="AB20" s="151">
        <v>105.22</v>
      </c>
      <c r="AC20" s="2"/>
      <c r="AD20" s="124">
        <v>6.5890000000000004</v>
      </c>
      <c r="AE20" s="2"/>
      <c r="AF20" s="2"/>
      <c r="AG20" s="2" t="s">
        <v>36</v>
      </c>
      <c r="AH20" s="140">
        <v>3.9999999999999998E-6</v>
      </c>
      <c r="AI20" s="140">
        <v>2.0395235639711399E-3</v>
      </c>
      <c r="AJ20" s="140">
        <v>3.2146501850831001E-4</v>
      </c>
    </row>
    <row r="21" spans="1:36">
      <c r="A21" s="2">
        <v>301</v>
      </c>
      <c r="B21" s="2">
        <v>7209</v>
      </c>
      <c r="C21" s="2" t="s">
        <v>1785</v>
      </c>
      <c r="D21" s="2" t="s">
        <v>1786</v>
      </c>
      <c r="E21" s="3" t="s">
        <v>1330</v>
      </c>
      <c r="F21" s="2" t="s">
        <v>1790</v>
      </c>
      <c r="G21" s="2" t="s">
        <v>1791</v>
      </c>
      <c r="H21" s="3" t="s">
        <v>328</v>
      </c>
      <c r="I21" s="2" t="s">
        <v>763</v>
      </c>
      <c r="J21" s="2" t="s">
        <v>30</v>
      </c>
      <c r="K21" s="2" t="s">
        <v>30</v>
      </c>
      <c r="L21" s="2" t="s">
        <v>334</v>
      </c>
      <c r="M21" s="3" t="s">
        <v>45</v>
      </c>
      <c r="N21" s="2" t="s">
        <v>470</v>
      </c>
      <c r="O21" s="2" t="s">
        <v>139</v>
      </c>
      <c r="P21" s="2" t="s">
        <v>1719</v>
      </c>
      <c r="Q21" s="2" t="s">
        <v>420</v>
      </c>
      <c r="R21" s="2" t="s">
        <v>413</v>
      </c>
      <c r="S21" s="2" t="s">
        <v>34</v>
      </c>
      <c r="T21" s="124">
        <v>0.72899999999999998</v>
      </c>
      <c r="U21" s="2" t="s">
        <v>1792</v>
      </c>
      <c r="V21" s="138">
        <v>4.7500000000000001E-2</v>
      </c>
      <c r="W21" s="140">
        <v>2.5069999999999999E-2</v>
      </c>
      <c r="X21" s="3" t="s">
        <v>419</v>
      </c>
      <c r="Y21" s="3" t="s">
        <v>139</v>
      </c>
      <c r="Z21" s="124">
        <v>27333.34</v>
      </c>
      <c r="AA21" s="134">
        <v>1</v>
      </c>
      <c r="AB21" s="151">
        <v>143.82</v>
      </c>
      <c r="AC21" s="2"/>
      <c r="AD21" s="124">
        <v>39.311</v>
      </c>
      <c r="AE21" s="2"/>
      <c r="AF21" s="2"/>
      <c r="AG21" s="2" t="s">
        <v>36</v>
      </c>
      <c r="AH21" s="140">
        <v>2.9E-5</v>
      </c>
      <c r="AI21" s="140">
        <v>1.21678764280959E-2</v>
      </c>
      <c r="AJ21" s="140">
        <v>1.91787272785833E-3</v>
      </c>
    </row>
    <row r="22" spans="1:36">
      <c r="A22" s="2">
        <v>301</v>
      </c>
      <c r="B22" s="2">
        <v>7209</v>
      </c>
      <c r="C22" s="2" t="s">
        <v>1793</v>
      </c>
      <c r="D22" s="2" t="s">
        <v>1794</v>
      </c>
      <c r="E22" s="3" t="s">
        <v>1330</v>
      </c>
      <c r="F22" s="2" t="s">
        <v>1795</v>
      </c>
      <c r="G22" s="2" t="s">
        <v>1796</v>
      </c>
      <c r="H22" s="3" t="s">
        <v>328</v>
      </c>
      <c r="I22" s="2" t="s">
        <v>763</v>
      </c>
      <c r="J22" s="2" t="s">
        <v>30</v>
      </c>
      <c r="K22" s="2" t="s">
        <v>305</v>
      </c>
      <c r="L22" s="2" t="s">
        <v>334</v>
      </c>
      <c r="M22" s="3" t="s">
        <v>45</v>
      </c>
      <c r="N22" s="2" t="s">
        <v>471</v>
      </c>
      <c r="O22" s="2" t="s">
        <v>139</v>
      </c>
      <c r="P22" s="2" t="s">
        <v>1783</v>
      </c>
      <c r="Q22" s="2" t="s">
        <v>420</v>
      </c>
      <c r="R22" s="2" t="s">
        <v>413</v>
      </c>
      <c r="S22" s="2" t="s">
        <v>34</v>
      </c>
      <c r="T22" s="124">
        <v>2.0169999999999999</v>
      </c>
      <c r="U22" s="2" t="s">
        <v>1797</v>
      </c>
      <c r="V22" s="138">
        <v>3.2800000000000003E-2</v>
      </c>
      <c r="W22" s="140">
        <v>4.0349999999999997E-2</v>
      </c>
      <c r="X22" s="3" t="s">
        <v>419</v>
      </c>
      <c r="Y22" s="3" t="s">
        <v>139</v>
      </c>
      <c r="Z22" s="124">
        <v>50000</v>
      </c>
      <c r="AA22" s="134">
        <v>1</v>
      </c>
      <c r="AB22" s="151">
        <v>115.1</v>
      </c>
      <c r="AC22" s="2"/>
      <c r="AD22" s="124">
        <v>57.55</v>
      </c>
      <c r="AE22" s="2"/>
      <c r="AF22" s="2"/>
      <c r="AG22" s="2" t="s">
        <v>36</v>
      </c>
      <c r="AH22" s="140">
        <v>2.9E-5</v>
      </c>
      <c r="AI22" s="140">
        <v>1.7813453749135701E-2</v>
      </c>
      <c r="AJ22" s="140">
        <v>2.8077156549312001E-3</v>
      </c>
    </row>
    <row r="23" spans="1:36">
      <c r="A23" s="2">
        <v>301</v>
      </c>
      <c r="B23" s="2">
        <v>7209</v>
      </c>
      <c r="C23" s="2" t="s">
        <v>1798</v>
      </c>
      <c r="D23" s="2" t="s">
        <v>1799</v>
      </c>
      <c r="E23" s="3" t="s">
        <v>1330</v>
      </c>
      <c r="F23" s="2" t="s">
        <v>1800</v>
      </c>
      <c r="G23" s="2" t="s">
        <v>1801</v>
      </c>
      <c r="H23" s="3" t="s">
        <v>328</v>
      </c>
      <c r="I23" s="2" t="s">
        <v>763</v>
      </c>
      <c r="J23" s="2" t="s">
        <v>30</v>
      </c>
      <c r="K23" s="2" t="s">
        <v>30</v>
      </c>
      <c r="L23" s="2" t="s">
        <v>334</v>
      </c>
      <c r="M23" s="2" t="s">
        <v>45</v>
      </c>
      <c r="N23" s="2" t="s">
        <v>454</v>
      </c>
      <c r="O23" s="2" t="s">
        <v>139</v>
      </c>
      <c r="P23" s="2" t="s">
        <v>1177</v>
      </c>
      <c r="Q23" s="2" t="s">
        <v>420</v>
      </c>
      <c r="R23" s="2" t="s">
        <v>413</v>
      </c>
      <c r="S23" s="2" t="s">
        <v>34</v>
      </c>
      <c r="T23" s="124">
        <v>3.738</v>
      </c>
      <c r="U23" s="2" t="s">
        <v>1802</v>
      </c>
      <c r="V23" s="138">
        <v>2E-3</v>
      </c>
      <c r="W23" s="140">
        <v>2.384E-2</v>
      </c>
      <c r="X23" s="3" t="s">
        <v>419</v>
      </c>
      <c r="Y23" s="3" t="s">
        <v>139</v>
      </c>
      <c r="Z23" s="124">
        <v>66094.039999999994</v>
      </c>
      <c r="AA23" s="134">
        <v>1</v>
      </c>
      <c r="AB23" s="151">
        <v>103.66</v>
      </c>
      <c r="AC23" s="2"/>
      <c r="AD23" s="124">
        <v>68.513000000000005</v>
      </c>
      <c r="AE23" s="2"/>
      <c r="AF23" s="2"/>
      <c r="AG23" s="2" t="s">
        <v>36</v>
      </c>
      <c r="AH23" s="140">
        <v>1.8E-5</v>
      </c>
      <c r="AI23" s="140">
        <v>2.1206856906952402E-2</v>
      </c>
      <c r="AJ23" s="140">
        <v>3.3425760645896699E-3</v>
      </c>
    </row>
    <row r="24" spans="1:36">
      <c r="A24" s="2">
        <v>301</v>
      </c>
      <c r="B24" s="2">
        <v>7209</v>
      </c>
      <c r="C24" s="2" t="s">
        <v>1798</v>
      </c>
      <c r="D24" s="2" t="s">
        <v>1799</v>
      </c>
      <c r="E24" s="3" t="s">
        <v>1330</v>
      </c>
      <c r="F24" s="2" t="s">
        <v>1803</v>
      </c>
      <c r="G24" s="2" t="s">
        <v>1804</v>
      </c>
      <c r="H24" s="2" t="s">
        <v>328</v>
      </c>
      <c r="I24" s="2" t="s">
        <v>976</v>
      </c>
      <c r="J24" s="2" t="s">
        <v>30</v>
      </c>
      <c r="K24" s="2" t="s">
        <v>30</v>
      </c>
      <c r="L24" s="2" t="s">
        <v>334</v>
      </c>
      <c r="M24" s="2" t="s">
        <v>45</v>
      </c>
      <c r="N24" s="2" t="s">
        <v>454</v>
      </c>
      <c r="O24" s="2" t="s">
        <v>139</v>
      </c>
      <c r="P24" s="2" t="s">
        <v>1177</v>
      </c>
      <c r="Q24" s="2" t="s">
        <v>420</v>
      </c>
      <c r="R24" s="2" t="s">
        <v>413</v>
      </c>
      <c r="S24" s="2" t="s">
        <v>34</v>
      </c>
      <c r="T24" s="124">
        <v>3.2280000000000002</v>
      </c>
      <c r="U24" s="2" t="s">
        <v>1805</v>
      </c>
      <c r="V24" s="138">
        <v>2.6800000000000001E-2</v>
      </c>
      <c r="W24" s="140">
        <v>4.5240000000000002E-2</v>
      </c>
      <c r="X24" s="3" t="s">
        <v>419</v>
      </c>
      <c r="Y24" s="3" t="s">
        <v>139</v>
      </c>
      <c r="Z24" s="124">
        <v>51434.45</v>
      </c>
      <c r="AA24" s="134">
        <v>1</v>
      </c>
      <c r="AB24" s="151">
        <v>94.55</v>
      </c>
      <c r="AC24" s="2"/>
      <c r="AD24" s="124">
        <v>48.631</v>
      </c>
      <c r="AE24" s="2"/>
      <c r="AF24" s="2"/>
      <c r="AG24" s="2" t="s">
        <v>36</v>
      </c>
      <c r="AH24" s="140">
        <v>2.5999999999999998E-5</v>
      </c>
      <c r="AI24" s="140">
        <v>1.5052839669765899E-2</v>
      </c>
      <c r="AJ24" s="140">
        <v>2.3725940060344399E-3</v>
      </c>
    </row>
    <row r="25" spans="1:36">
      <c r="A25" s="2">
        <v>301</v>
      </c>
      <c r="B25" s="2">
        <v>7209</v>
      </c>
      <c r="C25" s="2" t="s">
        <v>1798</v>
      </c>
      <c r="D25" s="2" t="s">
        <v>1799</v>
      </c>
      <c r="E25" s="3" t="s">
        <v>1330</v>
      </c>
      <c r="F25" s="2" t="s">
        <v>1806</v>
      </c>
      <c r="G25" s="2" t="s">
        <v>1807</v>
      </c>
      <c r="H25" s="2" t="s">
        <v>328</v>
      </c>
      <c r="I25" s="2" t="s">
        <v>763</v>
      </c>
      <c r="J25" s="2" t="s">
        <v>30</v>
      </c>
      <c r="K25" s="2" t="s">
        <v>30</v>
      </c>
      <c r="L25" s="2" t="s">
        <v>334</v>
      </c>
      <c r="M25" s="2" t="s">
        <v>31</v>
      </c>
      <c r="N25" s="2" t="s">
        <v>454</v>
      </c>
      <c r="O25" s="2" t="s">
        <v>139</v>
      </c>
      <c r="P25" s="2" t="s">
        <v>1437</v>
      </c>
      <c r="Q25" s="2" t="s">
        <v>420</v>
      </c>
      <c r="R25" s="2" t="s">
        <v>413</v>
      </c>
      <c r="S25" s="2" t="s">
        <v>34</v>
      </c>
      <c r="T25" s="124">
        <v>5.4249999999999998</v>
      </c>
      <c r="U25" s="2" t="s">
        <v>1808</v>
      </c>
      <c r="V25" s="138">
        <v>3.3203000000000003E-2</v>
      </c>
      <c r="W25" s="140">
        <v>3.0530000000000002E-2</v>
      </c>
      <c r="X25" s="3" t="s">
        <v>419</v>
      </c>
      <c r="Y25" s="3" t="s">
        <v>139</v>
      </c>
      <c r="Z25" s="124">
        <v>60000</v>
      </c>
      <c r="AA25" s="134">
        <v>1</v>
      </c>
      <c r="AB25" s="151">
        <v>103.26</v>
      </c>
      <c r="AC25" s="2"/>
      <c r="AD25" s="124">
        <v>61.956000000000003</v>
      </c>
      <c r="AE25" s="2"/>
      <c r="AF25" s="2"/>
      <c r="AG25" s="2" t="s">
        <v>36</v>
      </c>
      <c r="AH25" s="140">
        <v>4.8000000000000001E-5</v>
      </c>
      <c r="AI25" s="140">
        <v>1.9177243101328401E-2</v>
      </c>
      <c r="AJ25" s="140">
        <v>3.02267299942515E-3</v>
      </c>
    </row>
    <row r="26" spans="1:36">
      <c r="A26" s="2">
        <v>301</v>
      </c>
      <c r="B26" s="2">
        <v>7209</v>
      </c>
      <c r="C26" s="2" t="s">
        <v>1809</v>
      </c>
      <c r="D26" s="2" t="s">
        <v>1810</v>
      </c>
      <c r="E26" s="3" t="s">
        <v>1330</v>
      </c>
      <c r="F26" s="2" t="s">
        <v>1811</v>
      </c>
      <c r="G26" s="2" t="s">
        <v>1812</v>
      </c>
      <c r="H26" s="2" t="s">
        <v>328</v>
      </c>
      <c r="I26" s="2" t="s">
        <v>763</v>
      </c>
      <c r="J26" s="2" t="s">
        <v>30</v>
      </c>
      <c r="K26" s="2" t="s">
        <v>30</v>
      </c>
      <c r="L26" s="2" t="s">
        <v>334</v>
      </c>
      <c r="M26" s="2" t="s">
        <v>45</v>
      </c>
      <c r="N26" s="2" t="s">
        <v>470</v>
      </c>
      <c r="O26" s="2" t="s">
        <v>139</v>
      </c>
      <c r="P26" s="2" t="s">
        <v>1395</v>
      </c>
      <c r="Q26" s="2" t="s">
        <v>420</v>
      </c>
      <c r="R26" s="2" t="s">
        <v>413</v>
      </c>
      <c r="S26" s="2" t="s">
        <v>34</v>
      </c>
      <c r="T26" s="124">
        <v>3.3260000000000001</v>
      </c>
      <c r="U26" s="2" t="s">
        <v>1813</v>
      </c>
      <c r="V26" s="138">
        <v>2.7E-2</v>
      </c>
      <c r="W26" s="140">
        <v>3.0419999999999999E-2</v>
      </c>
      <c r="X26" s="3" t="s">
        <v>419</v>
      </c>
      <c r="Y26" s="3" t="s">
        <v>139</v>
      </c>
      <c r="Z26" s="124">
        <v>11700</v>
      </c>
      <c r="AA26" s="134">
        <v>1</v>
      </c>
      <c r="AB26" s="151">
        <v>105.87</v>
      </c>
      <c r="AC26" s="2"/>
      <c r="AD26" s="124">
        <v>12.387</v>
      </c>
      <c r="AE26" s="2"/>
      <c r="AF26" s="2"/>
      <c r="AG26" s="2" t="s">
        <v>36</v>
      </c>
      <c r="AH26" s="140">
        <v>3.0000000000000001E-5</v>
      </c>
      <c r="AI26" s="140">
        <v>3.8340835927933299E-3</v>
      </c>
      <c r="AJ26" s="140">
        <v>6.0431944739088104E-4</v>
      </c>
    </row>
    <row r="27" spans="1:36">
      <c r="A27" s="2">
        <v>301</v>
      </c>
      <c r="B27" s="2">
        <v>7209</v>
      </c>
      <c r="C27" s="2" t="s">
        <v>1809</v>
      </c>
      <c r="D27" s="2" t="s">
        <v>1810</v>
      </c>
      <c r="E27" s="3" t="s">
        <v>1330</v>
      </c>
      <c r="F27" s="2" t="s">
        <v>1814</v>
      </c>
      <c r="G27" s="2" t="s">
        <v>1815</v>
      </c>
      <c r="H27" s="2" t="s">
        <v>328</v>
      </c>
      <c r="I27" s="2" t="s">
        <v>763</v>
      </c>
      <c r="J27" s="2" t="s">
        <v>30</v>
      </c>
      <c r="K27" s="2" t="s">
        <v>30</v>
      </c>
      <c r="L27" s="2" t="s">
        <v>334</v>
      </c>
      <c r="M27" s="2" t="s">
        <v>45</v>
      </c>
      <c r="N27" s="2" t="s">
        <v>470</v>
      </c>
      <c r="O27" s="2" t="s">
        <v>139</v>
      </c>
      <c r="P27" s="2" t="s">
        <v>1395</v>
      </c>
      <c r="Q27" s="2" t="s">
        <v>420</v>
      </c>
      <c r="R27" s="2" t="s">
        <v>413</v>
      </c>
      <c r="S27" s="2" t="s">
        <v>34</v>
      </c>
      <c r="T27" s="124">
        <v>2.7250000000000001</v>
      </c>
      <c r="U27" s="2" t="s">
        <v>1816</v>
      </c>
      <c r="V27" s="138">
        <v>1.7999999999999999E-2</v>
      </c>
      <c r="W27" s="140">
        <v>2.852E-2</v>
      </c>
      <c r="X27" s="3" t="s">
        <v>419</v>
      </c>
      <c r="Y27" s="3" t="s">
        <v>139</v>
      </c>
      <c r="Z27" s="124">
        <v>29355.17</v>
      </c>
      <c r="AA27" s="134">
        <v>1</v>
      </c>
      <c r="AB27" s="151">
        <v>113.09</v>
      </c>
      <c r="AC27" s="2"/>
      <c r="AD27" s="124">
        <v>33.198</v>
      </c>
      <c r="AE27" s="2"/>
      <c r="AF27" s="2"/>
      <c r="AG27" s="2" t="s">
        <v>36</v>
      </c>
      <c r="AH27" s="140">
        <v>4.0000000000000003E-5</v>
      </c>
      <c r="AI27" s="140">
        <v>1.02757044928217E-2</v>
      </c>
      <c r="AJ27" s="140">
        <v>1.6196329345364801E-3</v>
      </c>
    </row>
    <row r="28" spans="1:36">
      <c r="A28" s="2">
        <v>301</v>
      </c>
      <c r="B28" s="2">
        <v>7209</v>
      </c>
      <c r="C28" s="2" t="s">
        <v>1574</v>
      </c>
      <c r="D28" s="2" t="s">
        <v>1575</v>
      </c>
      <c r="E28" s="3" t="s">
        <v>1330</v>
      </c>
      <c r="F28" s="2" t="s">
        <v>1817</v>
      </c>
      <c r="G28" s="2" t="s">
        <v>1818</v>
      </c>
      <c r="H28" s="2" t="s">
        <v>328</v>
      </c>
      <c r="I28" s="2" t="s">
        <v>763</v>
      </c>
      <c r="J28" s="2" t="s">
        <v>30</v>
      </c>
      <c r="K28" s="2" t="s">
        <v>30</v>
      </c>
      <c r="L28" s="2" t="s">
        <v>334</v>
      </c>
      <c r="M28" s="2" t="s">
        <v>45</v>
      </c>
      <c r="N28" s="2" t="s">
        <v>451</v>
      </c>
      <c r="O28" s="2" t="s">
        <v>139</v>
      </c>
      <c r="P28" s="2" t="s">
        <v>1719</v>
      </c>
      <c r="Q28" s="2" t="s">
        <v>420</v>
      </c>
      <c r="R28" s="2" t="s">
        <v>413</v>
      </c>
      <c r="S28" s="2" t="s">
        <v>34</v>
      </c>
      <c r="T28" s="124">
        <v>4.2949999999999999</v>
      </c>
      <c r="U28" s="2" t="s">
        <v>1819</v>
      </c>
      <c r="V28" s="138">
        <v>4.4000000000000003E-3</v>
      </c>
      <c r="W28" s="140">
        <v>2.496E-2</v>
      </c>
      <c r="X28" s="3" t="s">
        <v>419</v>
      </c>
      <c r="Y28" s="3" t="s">
        <v>139</v>
      </c>
      <c r="Z28" s="124">
        <v>3966.42</v>
      </c>
      <c r="AA28" s="134">
        <v>1</v>
      </c>
      <c r="AB28" s="151">
        <v>105.47</v>
      </c>
      <c r="AC28" s="2"/>
      <c r="AD28" s="124">
        <v>4.1829999999999998</v>
      </c>
      <c r="AE28" s="2"/>
      <c r="AF28" s="2"/>
      <c r="AG28" s="2" t="s">
        <v>36</v>
      </c>
      <c r="AH28" s="140">
        <v>5.0000000000000004E-6</v>
      </c>
      <c r="AI28" s="140">
        <v>1.29488275734077E-3</v>
      </c>
      <c r="AJ28" s="140">
        <v>2.0409644532086099E-4</v>
      </c>
    </row>
    <row r="29" spans="1:36">
      <c r="A29" s="2">
        <v>301</v>
      </c>
      <c r="B29" s="2">
        <v>7209</v>
      </c>
      <c r="C29" s="2" t="s">
        <v>1820</v>
      </c>
      <c r="D29" s="2" t="s">
        <v>1821</v>
      </c>
      <c r="E29" s="3" t="s">
        <v>1330</v>
      </c>
      <c r="F29" s="2" t="s">
        <v>1822</v>
      </c>
      <c r="G29" s="2" t="s">
        <v>1823</v>
      </c>
      <c r="H29" s="2" t="s">
        <v>328</v>
      </c>
      <c r="I29" s="2" t="s">
        <v>976</v>
      </c>
      <c r="J29" s="2" t="s">
        <v>30</v>
      </c>
      <c r="K29" s="2" t="s">
        <v>30</v>
      </c>
      <c r="L29" s="2" t="s">
        <v>334</v>
      </c>
      <c r="M29" s="2" t="s">
        <v>31</v>
      </c>
      <c r="N29" s="2" t="s">
        <v>451</v>
      </c>
      <c r="O29" s="2" t="s">
        <v>139</v>
      </c>
      <c r="P29" s="2" t="s">
        <v>1437</v>
      </c>
      <c r="Q29" s="2" t="s">
        <v>420</v>
      </c>
      <c r="R29" s="2" t="s">
        <v>413</v>
      </c>
      <c r="S29" s="2" t="s">
        <v>34</v>
      </c>
      <c r="T29" s="124">
        <v>7.1319999999999997</v>
      </c>
      <c r="U29" s="2" t="s">
        <v>1824</v>
      </c>
      <c r="V29" s="138">
        <v>6.0199999999999997E-2</v>
      </c>
      <c r="W29" s="140">
        <v>5.3359999999999998E-2</v>
      </c>
      <c r="X29" s="3" t="s">
        <v>419</v>
      </c>
      <c r="Y29" s="3" t="s">
        <v>139</v>
      </c>
      <c r="Z29" s="124">
        <v>40000</v>
      </c>
      <c r="AA29" s="134">
        <v>1</v>
      </c>
      <c r="AB29" s="151">
        <v>105.33</v>
      </c>
      <c r="AC29" s="2"/>
      <c r="AD29" s="124">
        <v>42.131999999999998</v>
      </c>
      <c r="AE29" s="2"/>
      <c r="AF29" s="2"/>
      <c r="AG29" s="2" t="s">
        <v>36</v>
      </c>
      <c r="AH29" s="140">
        <v>8.0000000000000007E-5</v>
      </c>
      <c r="AI29" s="140">
        <v>1.3041119606578401E-2</v>
      </c>
      <c r="AJ29" s="140">
        <v>2.0555113114432899E-3</v>
      </c>
    </row>
    <row r="30" spans="1:36">
      <c r="A30" s="2">
        <v>301</v>
      </c>
      <c r="B30" s="2">
        <v>7209</v>
      </c>
      <c r="C30" s="2" t="s">
        <v>1820</v>
      </c>
      <c r="D30" s="2" t="s">
        <v>1821</v>
      </c>
      <c r="E30" s="3" t="s">
        <v>1330</v>
      </c>
      <c r="F30" s="2" t="s">
        <v>1825</v>
      </c>
      <c r="G30" s="2" t="s">
        <v>1826</v>
      </c>
      <c r="H30" s="2" t="s">
        <v>328</v>
      </c>
      <c r="I30" s="2" t="s">
        <v>976</v>
      </c>
      <c r="J30" s="2" t="s">
        <v>30</v>
      </c>
      <c r="K30" s="2" t="s">
        <v>30</v>
      </c>
      <c r="L30" s="2" t="s">
        <v>334</v>
      </c>
      <c r="M30" s="2" t="s">
        <v>45</v>
      </c>
      <c r="N30" s="2" t="s">
        <v>451</v>
      </c>
      <c r="O30" s="2" t="s">
        <v>139</v>
      </c>
      <c r="P30" s="2" t="s">
        <v>1437</v>
      </c>
      <c r="Q30" s="2" t="s">
        <v>420</v>
      </c>
      <c r="R30" s="2" t="s">
        <v>413</v>
      </c>
      <c r="S30" s="2" t="s">
        <v>34</v>
      </c>
      <c r="T30" s="124">
        <v>4.5339999999999998</v>
      </c>
      <c r="U30" s="2" t="s">
        <v>1813</v>
      </c>
      <c r="V30" s="138">
        <v>4.3799999999999999E-2</v>
      </c>
      <c r="W30" s="140">
        <v>4.8849999999999998E-2</v>
      </c>
      <c r="X30" s="3" t="s">
        <v>419</v>
      </c>
      <c r="Y30" s="3" t="s">
        <v>139</v>
      </c>
      <c r="Z30" s="124">
        <v>20000</v>
      </c>
      <c r="AA30" s="134">
        <v>1</v>
      </c>
      <c r="AB30" s="151">
        <v>98.04</v>
      </c>
      <c r="AC30" s="2"/>
      <c r="AD30" s="124">
        <v>19.608000000000001</v>
      </c>
      <c r="AE30" s="2"/>
      <c r="AF30" s="2"/>
      <c r="AG30" s="2" t="s">
        <v>36</v>
      </c>
      <c r="AH30" s="140">
        <v>4.0000000000000003E-5</v>
      </c>
      <c r="AI30" s="140">
        <v>6.0692650063084701E-3</v>
      </c>
      <c r="AJ30" s="140">
        <v>9.5662360663581101E-4</v>
      </c>
    </row>
    <row r="31" spans="1:36">
      <c r="A31" s="2">
        <v>301</v>
      </c>
      <c r="B31" s="2">
        <v>7209</v>
      </c>
      <c r="C31" s="2" t="s">
        <v>1827</v>
      </c>
      <c r="D31" s="2" t="s">
        <v>1828</v>
      </c>
      <c r="E31" s="3" t="s">
        <v>1330</v>
      </c>
      <c r="F31" s="2" t="s">
        <v>1829</v>
      </c>
      <c r="G31" s="2" t="s">
        <v>1830</v>
      </c>
      <c r="H31" s="2" t="s">
        <v>328</v>
      </c>
      <c r="I31" s="2" t="s">
        <v>976</v>
      </c>
      <c r="J31" s="2" t="s">
        <v>30</v>
      </c>
      <c r="K31" s="2" t="s">
        <v>30</v>
      </c>
      <c r="L31" s="2" t="s">
        <v>334</v>
      </c>
      <c r="M31" s="2" t="s">
        <v>45</v>
      </c>
      <c r="N31" s="2" t="s">
        <v>451</v>
      </c>
      <c r="O31" s="2" t="s">
        <v>139</v>
      </c>
      <c r="P31" s="2" t="s">
        <v>1719</v>
      </c>
      <c r="Q31" s="2" t="s">
        <v>422</v>
      </c>
      <c r="R31" s="2" t="s">
        <v>413</v>
      </c>
      <c r="S31" s="2" t="s">
        <v>34</v>
      </c>
      <c r="T31" s="124">
        <v>5.093</v>
      </c>
      <c r="U31" s="2" t="s">
        <v>1831</v>
      </c>
      <c r="V31" s="138">
        <v>1.95E-2</v>
      </c>
      <c r="W31" s="140">
        <v>4.8559999999999999E-2</v>
      </c>
      <c r="X31" s="3" t="s">
        <v>419</v>
      </c>
      <c r="Y31" s="3" t="s">
        <v>139</v>
      </c>
      <c r="Z31" s="124">
        <v>45835.28</v>
      </c>
      <c r="AA31" s="134">
        <v>1</v>
      </c>
      <c r="AB31" s="151">
        <v>86.35</v>
      </c>
      <c r="AC31" s="2"/>
      <c r="AD31" s="124">
        <v>39.579000000000001</v>
      </c>
      <c r="AE31" s="2"/>
      <c r="AF31" s="2"/>
      <c r="AG31" s="2" t="s">
        <v>36</v>
      </c>
      <c r="AH31" s="140">
        <v>4.6E-5</v>
      </c>
      <c r="AI31" s="140">
        <v>1.2250816454382699E-2</v>
      </c>
      <c r="AJ31" s="140">
        <v>1.9309455442534801E-3</v>
      </c>
    </row>
    <row r="32" spans="1:36">
      <c r="A32" s="2">
        <v>301</v>
      </c>
      <c r="B32" s="2">
        <v>7209</v>
      </c>
      <c r="C32" s="2" t="s">
        <v>1832</v>
      </c>
      <c r="D32" s="2" t="s">
        <v>1833</v>
      </c>
      <c r="E32" s="3" t="s">
        <v>1330</v>
      </c>
      <c r="F32" s="2" t="s">
        <v>1834</v>
      </c>
      <c r="G32" s="2" t="s">
        <v>1835</v>
      </c>
      <c r="H32" s="2" t="s">
        <v>328</v>
      </c>
      <c r="I32" s="2" t="s">
        <v>976</v>
      </c>
      <c r="J32" s="2" t="s">
        <v>30</v>
      </c>
      <c r="K32" s="2" t="s">
        <v>30</v>
      </c>
      <c r="L32" s="2" t="s">
        <v>334</v>
      </c>
      <c r="M32" s="2" t="s">
        <v>45</v>
      </c>
      <c r="N32" s="2" t="s">
        <v>457</v>
      </c>
      <c r="O32" s="2" t="s">
        <v>139</v>
      </c>
      <c r="P32" s="2" t="s">
        <v>1725</v>
      </c>
      <c r="Q32" s="2" t="s">
        <v>420</v>
      </c>
      <c r="R32" s="2" t="s">
        <v>413</v>
      </c>
      <c r="S32" s="2" t="s">
        <v>34</v>
      </c>
      <c r="T32" s="124">
        <v>2.1040000000000001</v>
      </c>
      <c r="U32" s="2" t="s">
        <v>1797</v>
      </c>
      <c r="V32" s="138">
        <v>2.1999999999999999E-2</v>
      </c>
      <c r="W32" s="140">
        <v>4.913E-2</v>
      </c>
      <c r="X32" s="3" t="s">
        <v>419</v>
      </c>
      <c r="Y32" s="3" t="s">
        <v>139</v>
      </c>
      <c r="Z32" s="124">
        <v>56250</v>
      </c>
      <c r="AA32" s="134">
        <v>1</v>
      </c>
      <c r="AB32" s="151">
        <v>94.62</v>
      </c>
      <c r="AC32" s="2"/>
      <c r="AD32" s="124">
        <v>53.223999999999997</v>
      </c>
      <c r="AE32" s="2"/>
      <c r="AF32" s="2"/>
      <c r="AG32" s="2" t="s">
        <v>36</v>
      </c>
      <c r="AH32" s="140">
        <v>5.1999999999999997E-5</v>
      </c>
      <c r="AI32" s="140">
        <v>1.6474349417559701E-2</v>
      </c>
      <c r="AJ32" s="140">
        <v>2.59664910667497E-3</v>
      </c>
    </row>
    <row r="33" spans="1:36">
      <c r="A33" s="2">
        <v>301</v>
      </c>
      <c r="B33" s="2">
        <v>7209</v>
      </c>
      <c r="C33" s="2" t="s">
        <v>1836</v>
      </c>
      <c r="D33" s="2" t="s">
        <v>1837</v>
      </c>
      <c r="E33" s="3" t="s">
        <v>1330</v>
      </c>
      <c r="F33" s="2" t="s">
        <v>1838</v>
      </c>
      <c r="G33" s="2" t="s">
        <v>1839</v>
      </c>
      <c r="H33" s="2" t="s">
        <v>328</v>
      </c>
      <c r="I33" s="2" t="s">
        <v>763</v>
      </c>
      <c r="J33" s="2" t="s">
        <v>30</v>
      </c>
      <c r="K33" s="2" t="s">
        <v>30</v>
      </c>
      <c r="L33" s="2" t="s">
        <v>334</v>
      </c>
      <c r="M33" s="2" t="s">
        <v>45</v>
      </c>
      <c r="N33" s="2" t="s">
        <v>446</v>
      </c>
      <c r="O33" s="2" t="s">
        <v>139</v>
      </c>
      <c r="P33" s="2" t="s">
        <v>103</v>
      </c>
      <c r="Q33" s="2" t="s">
        <v>420</v>
      </c>
      <c r="R33" s="2" t="s">
        <v>413</v>
      </c>
      <c r="S33" s="2" t="s">
        <v>34</v>
      </c>
      <c r="T33" s="124">
        <v>0.64500000000000002</v>
      </c>
      <c r="U33" s="2" t="s">
        <v>1840</v>
      </c>
      <c r="V33" s="138">
        <v>4.4999999999999998E-2</v>
      </c>
      <c r="W33" s="140">
        <v>2.8240000000000001E-2</v>
      </c>
      <c r="X33" s="3" t="s">
        <v>419</v>
      </c>
      <c r="Y33" s="3" t="s">
        <v>139</v>
      </c>
      <c r="Z33" s="124">
        <v>31122</v>
      </c>
      <c r="AA33" s="134">
        <v>1</v>
      </c>
      <c r="AB33" s="151">
        <v>119.91</v>
      </c>
      <c r="AC33" s="2"/>
      <c r="AD33" s="124">
        <v>37.317999999999998</v>
      </c>
      <c r="AE33" s="2"/>
      <c r="AF33" s="2"/>
      <c r="AG33" s="2" t="s">
        <v>36</v>
      </c>
      <c r="AH33" s="140">
        <v>1.1E-5</v>
      </c>
      <c r="AI33" s="140">
        <v>1.15511627770617E-2</v>
      </c>
      <c r="AJ33" s="140">
        <v>1.8206677390333801E-3</v>
      </c>
    </row>
    <row r="34" spans="1:36">
      <c r="A34" s="2">
        <v>301</v>
      </c>
      <c r="B34" s="2">
        <v>7209</v>
      </c>
      <c r="C34" s="2" t="s">
        <v>1836</v>
      </c>
      <c r="D34" s="2" t="s">
        <v>1837</v>
      </c>
      <c r="E34" s="3" t="s">
        <v>1330</v>
      </c>
      <c r="F34" s="2" t="s">
        <v>1841</v>
      </c>
      <c r="G34" s="2" t="s">
        <v>1842</v>
      </c>
      <c r="H34" s="2" t="s">
        <v>328</v>
      </c>
      <c r="I34" s="2" t="s">
        <v>763</v>
      </c>
      <c r="J34" s="2" t="s">
        <v>30</v>
      </c>
      <c r="K34" s="2" t="s">
        <v>30</v>
      </c>
      <c r="L34" s="2" t="s">
        <v>334</v>
      </c>
      <c r="M34" s="2" t="s">
        <v>45</v>
      </c>
      <c r="N34" s="2" t="s">
        <v>446</v>
      </c>
      <c r="O34" s="2" t="s">
        <v>139</v>
      </c>
      <c r="P34" s="2" t="s">
        <v>103</v>
      </c>
      <c r="Q34" s="2" t="s">
        <v>420</v>
      </c>
      <c r="R34" s="2" t="s">
        <v>413</v>
      </c>
      <c r="S34" s="2" t="s">
        <v>34</v>
      </c>
      <c r="T34" s="124">
        <v>3.1850000000000001</v>
      </c>
      <c r="U34" s="2" t="s">
        <v>1843</v>
      </c>
      <c r="V34" s="138">
        <v>3.85E-2</v>
      </c>
      <c r="W34" s="140">
        <v>2.4279999999999999E-2</v>
      </c>
      <c r="X34" s="3" t="s">
        <v>419</v>
      </c>
      <c r="Y34" s="3" t="s">
        <v>139</v>
      </c>
      <c r="Z34" s="124">
        <v>50000</v>
      </c>
      <c r="AA34" s="134">
        <v>1</v>
      </c>
      <c r="AB34" s="151">
        <v>122.39</v>
      </c>
      <c r="AC34" s="2"/>
      <c r="AD34" s="124">
        <v>61.195</v>
      </c>
      <c r="AE34" s="2"/>
      <c r="AF34" s="2"/>
      <c r="AG34" s="2" t="s">
        <v>36</v>
      </c>
      <c r="AH34" s="140">
        <v>2.0000000000000002E-5</v>
      </c>
      <c r="AI34" s="140">
        <v>1.89416907415874E-2</v>
      </c>
      <c r="AJ34" s="140">
        <v>2.9855457776457798E-3</v>
      </c>
    </row>
    <row r="35" spans="1:36">
      <c r="A35" s="2">
        <v>301</v>
      </c>
      <c r="B35" s="2">
        <v>7209</v>
      </c>
      <c r="C35" s="2" t="s">
        <v>1836</v>
      </c>
      <c r="D35" s="2" t="s">
        <v>1837</v>
      </c>
      <c r="E35" s="3" t="s">
        <v>1330</v>
      </c>
      <c r="F35" s="2" t="s">
        <v>1844</v>
      </c>
      <c r="G35" s="2" t="s">
        <v>1845</v>
      </c>
      <c r="H35" s="2" t="s">
        <v>328</v>
      </c>
      <c r="I35" s="2" t="s">
        <v>763</v>
      </c>
      <c r="J35" s="2" t="s">
        <v>30</v>
      </c>
      <c r="K35" s="2" t="s">
        <v>30</v>
      </c>
      <c r="L35" s="2" t="s">
        <v>334</v>
      </c>
      <c r="M35" s="2" t="s">
        <v>45</v>
      </c>
      <c r="N35" s="2" t="s">
        <v>446</v>
      </c>
      <c r="O35" s="2" t="s">
        <v>139</v>
      </c>
      <c r="P35" s="2" t="s">
        <v>103</v>
      </c>
      <c r="Q35" s="2" t="s">
        <v>420</v>
      </c>
      <c r="R35" s="2" t="s">
        <v>413</v>
      </c>
      <c r="S35" s="2" t="s">
        <v>34</v>
      </c>
      <c r="T35" s="124">
        <v>5.55</v>
      </c>
      <c r="U35" s="2" t="s">
        <v>1846</v>
      </c>
      <c r="V35" s="138">
        <v>2.3900000000000001E-2</v>
      </c>
      <c r="W35" s="140">
        <v>2.5940000000000001E-2</v>
      </c>
      <c r="X35" s="3" t="s">
        <v>419</v>
      </c>
      <c r="Y35" s="3" t="s">
        <v>139</v>
      </c>
      <c r="Z35" s="124">
        <v>35000</v>
      </c>
      <c r="AA35" s="134">
        <v>1</v>
      </c>
      <c r="AB35" s="151">
        <v>114.47</v>
      </c>
      <c r="AC35" s="2"/>
      <c r="AD35" s="124">
        <v>40.064999999999998</v>
      </c>
      <c r="AE35" s="2"/>
      <c r="AF35" s="2"/>
      <c r="AG35" s="2" t="s">
        <v>36</v>
      </c>
      <c r="AH35" s="140">
        <v>9.0000000000000002E-6</v>
      </c>
      <c r="AI35" s="140">
        <v>1.2401166250777499E-2</v>
      </c>
      <c r="AJ35" s="140">
        <v>1.95464333374441E-3</v>
      </c>
    </row>
    <row r="36" spans="1:36">
      <c r="A36" s="2">
        <v>301</v>
      </c>
      <c r="B36" s="2">
        <v>7209</v>
      </c>
      <c r="C36" s="2" t="s">
        <v>1847</v>
      </c>
      <c r="D36" s="2" t="s">
        <v>1848</v>
      </c>
      <c r="E36" s="3" t="s">
        <v>1330</v>
      </c>
      <c r="F36" s="2" t="s">
        <v>1849</v>
      </c>
      <c r="G36" s="2" t="s">
        <v>1850</v>
      </c>
      <c r="H36" s="2" t="s">
        <v>328</v>
      </c>
      <c r="I36" s="2" t="s">
        <v>976</v>
      </c>
      <c r="J36" s="2" t="s">
        <v>30</v>
      </c>
      <c r="K36" s="2" t="s">
        <v>30</v>
      </c>
      <c r="L36" s="2" t="s">
        <v>334</v>
      </c>
      <c r="M36" s="2" t="s">
        <v>45</v>
      </c>
      <c r="N36" s="2" t="s">
        <v>468</v>
      </c>
      <c r="O36" s="2" t="s">
        <v>139</v>
      </c>
      <c r="P36" s="2" t="s">
        <v>1437</v>
      </c>
      <c r="Q36" s="2" t="s">
        <v>420</v>
      </c>
      <c r="R36" s="2" t="s">
        <v>413</v>
      </c>
      <c r="S36" s="2" t="s">
        <v>34</v>
      </c>
      <c r="T36" s="124">
        <v>1.9970000000000001</v>
      </c>
      <c r="U36" s="2" t="s">
        <v>1851</v>
      </c>
      <c r="V36" s="138">
        <v>2.18E-2</v>
      </c>
      <c r="W36" s="140">
        <v>5.2089999999999997E-2</v>
      </c>
      <c r="X36" s="3" t="s">
        <v>419</v>
      </c>
      <c r="Y36" s="3" t="s">
        <v>139</v>
      </c>
      <c r="Z36" s="124">
        <v>25500</v>
      </c>
      <c r="AA36" s="134">
        <v>1</v>
      </c>
      <c r="AB36" s="151">
        <v>94.59</v>
      </c>
      <c r="AC36" s="2"/>
      <c r="AD36" s="124">
        <v>24.12</v>
      </c>
      <c r="AE36" s="2"/>
      <c r="AF36" s="2"/>
      <c r="AG36" s="2" t="s">
        <v>36</v>
      </c>
      <c r="AH36" s="140">
        <v>7.8999999999999996E-5</v>
      </c>
      <c r="AI36" s="140">
        <v>7.4660038311614198E-3</v>
      </c>
      <c r="AJ36" s="140">
        <v>1.1767743713116501E-3</v>
      </c>
    </row>
    <row r="37" spans="1:36">
      <c r="A37" s="2">
        <v>301</v>
      </c>
      <c r="B37" s="2">
        <v>7209</v>
      </c>
      <c r="C37" s="2" t="s">
        <v>1847</v>
      </c>
      <c r="D37" s="2" t="s">
        <v>1848</v>
      </c>
      <c r="E37" s="3" t="s">
        <v>1330</v>
      </c>
      <c r="F37" s="2" t="s">
        <v>1852</v>
      </c>
      <c r="G37" s="2" t="s">
        <v>1853</v>
      </c>
      <c r="H37" s="2" t="s">
        <v>328</v>
      </c>
      <c r="I37" s="2" t="s">
        <v>763</v>
      </c>
      <c r="J37" s="2" t="s">
        <v>30</v>
      </c>
      <c r="K37" s="2" t="s">
        <v>30</v>
      </c>
      <c r="L37" s="2" t="s">
        <v>334</v>
      </c>
      <c r="M37" s="2" t="s">
        <v>45</v>
      </c>
      <c r="N37" s="2" t="s">
        <v>468</v>
      </c>
      <c r="O37" s="2" t="s">
        <v>139</v>
      </c>
      <c r="P37" s="2" t="s">
        <v>1437</v>
      </c>
      <c r="Q37" s="2" t="s">
        <v>420</v>
      </c>
      <c r="R37" s="2" t="s">
        <v>413</v>
      </c>
      <c r="S37" s="2" t="s">
        <v>34</v>
      </c>
      <c r="T37" s="124">
        <v>2.9510000000000001</v>
      </c>
      <c r="U37" s="2" t="s">
        <v>1854</v>
      </c>
      <c r="V37" s="138">
        <v>2.1999999999999999E-2</v>
      </c>
      <c r="W37" s="140">
        <v>2.7570000000000001E-2</v>
      </c>
      <c r="X37" s="3" t="s">
        <v>419</v>
      </c>
      <c r="Y37" s="3" t="s">
        <v>139</v>
      </c>
      <c r="Z37" s="124">
        <v>31896.560000000001</v>
      </c>
      <c r="AA37" s="134">
        <v>1</v>
      </c>
      <c r="AB37" s="151">
        <v>105.56</v>
      </c>
      <c r="AC37" s="2"/>
      <c r="AD37" s="124">
        <v>33.67</v>
      </c>
      <c r="AE37" s="2"/>
      <c r="AF37" s="2"/>
      <c r="AG37" s="2" t="s">
        <v>36</v>
      </c>
      <c r="AH37" s="140">
        <v>9.7999999999999997E-5</v>
      </c>
      <c r="AI37" s="140">
        <v>1.04218791199258E-2</v>
      </c>
      <c r="AJ37" s="140">
        <v>1.64267264343592E-3</v>
      </c>
    </row>
    <row r="38" spans="1:36">
      <c r="A38" s="2">
        <v>301</v>
      </c>
      <c r="B38" s="2">
        <v>7209</v>
      </c>
      <c r="C38" s="2" t="s">
        <v>1855</v>
      </c>
      <c r="D38" s="2" t="s">
        <v>1856</v>
      </c>
      <c r="E38" s="3" t="s">
        <v>1330</v>
      </c>
      <c r="F38" s="2" t="s">
        <v>1857</v>
      </c>
      <c r="G38" s="2" t="s">
        <v>1858</v>
      </c>
      <c r="H38" s="2" t="s">
        <v>328</v>
      </c>
      <c r="I38" s="2" t="s">
        <v>763</v>
      </c>
      <c r="J38" s="2" t="s">
        <v>30</v>
      </c>
      <c r="K38" s="2" t="s">
        <v>30</v>
      </c>
      <c r="L38" s="2" t="s">
        <v>334</v>
      </c>
      <c r="M38" s="2" t="s">
        <v>45</v>
      </c>
      <c r="N38" s="2" t="s">
        <v>470</v>
      </c>
      <c r="O38" s="2" t="s">
        <v>139</v>
      </c>
      <c r="P38" s="2" t="s">
        <v>1719</v>
      </c>
      <c r="Q38" s="2" t="s">
        <v>420</v>
      </c>
      <c r="R38" s="2" t="s">
        <v>413</v>
      </c>
      <c r="S38" s="2" t="s">
        <v>34</v>
      </c>
      <c r="T38" s="124">
        <v>2.08</v>
      </c>
      <c r="U38" s="2" t="s">
        <v>1859</v>
      </c>
      <c r="V38" s="138">
        <v>1.5800000000000002E-2</v>
      </c>
      <c r="W38" s="140">
        <v>2.5649999999999999E-2</v>
      </c>
      <c r="X38" s="3" t="s">
        <v>419</v>
      </c>
      <c r="Y38" s="3" t="s">
        <v>139</v>
      </c>
      <c r="Z38" s="124">
        <v>13714.28</v>
      </c>
      <c r="AA38" s="134">
        <v>1</v>
      </c>
      <c r="AB38" s="151">
        <v>114.31</v>
      </c>
      <c r="AC38" s="2"/>
      <c r="AD38" s="124">
        <v>15.677</v>
      </c>
      <c r="AE38" s="2"/>
      <c r="AF38" s="2"/>
      <c r="AG38" s="2" t="s">
        <v>36</v>
      </c>
      <c r="AH38" s="140">
        <v>3.1999999999999999E-5</v>
      </c>
      <c r="AI38" s="140">
        <v>4.8524384948213798E-3</v>
      </c>
      <c r="AJ38" s="140">
        <v>7.6483020745832795E-4</v>
      </c>
    </row>
    <row r="39" spans="1:36">
      <c r="A39" s="2">
        <v>301</v>
      </c>
      <c r="B39" s="2">
        <v>7209</v>
      </c>
      <c r="C39" s="2" t="s">
        <v>1855</v>
      </c>
      <c r="D39" s="2" t="s">
        <v>1856</v>
      </c>
      <c r="E39" s="3" t="s">
        <v>1330</v>
      </c>
      <c r="F39" s="2" t="s">
        <v>1860</v>
      </c>
      <c r="G39" s="2" t="s">
        <v>1861</v>
      </c>
      <c r="H39" s="2" t="s">
        <v>328</v>
      </c>
      <c r="I39" s="2" t="s">
        <v>763</v>
      </c>
      <c r="J39" s="2" t="s">
        <v>30</v>
      </c>
      <c r="K39" s="2" t="s">
        <v>30</v>
      </c>
      <c r="L39" s="2" t="s">
        <v>334</v>
      </c>
      <c r="M39" s="2" t="s">
        <v>45</v>
      </c>
      <c r="N39" s="2" t="s">
        <v>470</v>
      </c>
      <c r="O39" s="2" t="s">
        <v>139</v>
      </c>
      <c r="P39" s="2" t="s">
        <v>1719</v>
      </c>
      <c r="Q39" s="2" t="s">
        <v>420</v>
      </c>
      <c r="R39" s="2" t="s">
        <v>413</v>
      </c>
      <c r="S39" s="2" t="s">
        <v>34</v>
      </c>
      <c r="T39" s="124">
        <v>4.7050000000000001</v>
      </c>
      <c r="U39" s="2" t="s">
        <v>1862</v>
      </c>
      <c r="V39" s="138">
        <v>8.3999999999999995E-3</v>
      </c>
      <c r="W39" s="140">
        <v>2.6040000000000001E-2</v>
      </c>
      <c r="X39" s="3" t="s">
        <v>419</v>
      </c>
      <c r="Y39" s="3" t="s">
        <v>139</v>
      </c>
      <c r="Z39" s="124">
        <v>32692.3</v>
      </c>
      <c r="AA39" s="134">
        <v>1</v>
      </c>
      <c r="AB39" s="151">
        <v>105.54</v>
      </c>
      <c r="AC39" s="2"/>
      <c r="AD39" s="124">
        <v>34.503</v>
      </c>
      <c r="AE39" s="2"/>
      <c r="AF39" s="2"/>
      <c r="AG39" s="2" t="s">
        <v>36</v>
      </c>
      <c r="AH39" s="140">
        <v>4.3000000000000002E-5</v>
      </c>
      <c r="AI39" s="140">
        <v>1.0679855285536499E-2</v>
      </c>
      <c r="AJ39" s="140">
        <v>1.6833342539795499E-3</v>
      </c>
    </row>
    <row r="40" spans="1:36">
      <c r="A40" s="2">
        <v>301</v>
      </c>
      <c r="B40" s="2">
        <v>7209</v>
      </c>
      <c r="C40" s="2" t="s">
        <v>1863</v>
      </c>
      <c r="D40" s="2" t="s">
        <v>1864</v>
      </c>
      <c r="E40" s="3" t="s">
        <v>1330</v>
      </c>
      <c r="F40" s="2" t="s">
        <v>1865</v>
      </c>
      <c r="G40" s="2" t="s">
        <v>1866</v>
      </c>
      <c r="H40" s="2" t="s">
        <v>328</v>
      </c>
      <c r="I40" s="2" t="s">
        <v>976</v>
      </c>
      <c r="J40" s="2" t="s">
        <v>30</v>
      </c>
      <c r="K40" s="2" t="s">
        <v>30</v>
      </c>
      <c r="L40" s="2" t="s">
        <v>334</v>
      </c>
      <c r="M40" s="2" t="s">
        <v>45</v>
      </c>
      <c r="N40" s="2" t="s">
        <v>451</v>
      </c>
      <c r="O40" s="2" t="s">
        <v>139</v>
      </c>
      <c r="P40" s="2" t="s">
        <v>1437</v>
      </c>
      <c r="Q40" s="2" t="s">
        <v>420</v>
      </c>
      <c r="R40" s="2" t="s">
        <v>413</v>
      </c>
      <c r="S40" s="2" t="s">
        <v>34</v>
      </c>
      <c r="T40" s="124">
        <v>4.8739999999999997</v>
      </c>
      <c r="U40" s="2" t="s">
        <v>92</v>
      </c>
      <c r="V40" s="138">
        <v>2.64E-2</v>
      </c>
      <c r="W40" s="140">
        <v>4.8840000000000001E-2</v>
      </c>
      <c r="X40" s="3" t="s">
        <v>419</v>
      </c>
      <c r="Y40" s="3" t="s">
        <v>139</v>
      </c>
      <c r="Z40" s="124">
        <v>20122.400000000001</v>
      </c>
      <c r="AA40" s="134">
        <v>1</v>
      </c>
      <c r="AB40" s="151">
        <v>90.64</v>
      </c>
      <c r="AC40" s="2"/>
      <c r="AD40" s="124">
        <v>18.239000000000001</v>
      </c>
      <c r="AE40" s="2"/>
      <c r="AF40" s="2"/>
      <c r="AG40" s="2" t="s">
        <v>36</v>
      </c>
      <c r="AH40" s="140">
        <v>1.2E-5</v>
      </c>
      <c r="AI40" s="140">
        <v>5.6455008510245897E-3</v>
      </c>
      <c r="AJ40" s="140">
        <v>8.8983087404475095E-4</v>
      </c>
    </row>
    <row r="41" spans="1:36">
      <c r="A41" s="2">
        <v>301</v>
      </c>
      <c r="B41" s="2">
        <v>7209</v>
      </c>
      <c r="C41" s="2" t="s">
        <v>1181</v>
      </c>
      <c r="D41" s="2" t="s">
        <v>1590</v>
      </c>
      <c r="E41" s="3" t="s">
        <v>1330</v>
      </c>
      <c r="F41" s="2" t="s">
        <v>1867</v>
      </c>
      <c r="G41" s="2" t="s">
        <v>1868</v>
      </c>
      <c r="H41" s="2" t="s">
        <v>328</v>
      </c>
      <c r="I41" s="2" t="s">
        <v>763</v>
      </c>
      <c r="J41" s="2" t="s">
        <v>30</v>
      </c>
      <c r="K41" s="2" t="s">
        <v>30</v>
      </c>
      <c r="L41" s="2" t="s">
        <v>334</v>
      </c>
      <c r="M41" s="2" t="s">
        <v>45</v>
      </c>
      <c r="N41" s="2" t="s">
        <v>454</v>
      </c>
      <c r="O41" s="2" t="s">
        <v>139</v>
      </c>
      <c r="P41" s="2" t="s">
        <v>1177</v>
      </c>
      <c r="Q41" s="2" t="s">
        <v>420</v>
      </c>
      <c r="R41" s="2" t="s">
        <v>413</v>
      </c>
      <c r="S41" s="2" t="s">
        <v>34</v>
      </c>
      <c r="T41" s="124">
        <v>1.482</v>
      </c>
      <c r="U41" s="2" t="s">
        <v>1869</v>
      </c>
      <c r="V41" s="138">
        <v>8.3000000000000001E-3</v>
      </c>
      <c r="W41" s="140">
        <v>2.2599999999999999E-2</v>
      </c>
      <c r="X41" s="3" t="s">
        <v>419</v>
      </c>
      <c r="Y41" s="3" t="s">
        <v>139</v>
      </c>
      <c r="Z41" s="124">
        <v>16432</v>
      </c>
      <c r="AA41" s="134">
        <v>1</v>
      </c>
      <c r="AB41" s="151">
        <v>113.32</v>
      </c>
      <c r="AC41" s="2"/>
      <c r="AD41" s="124">
        <v>18.620999999999999</v>
      </c>
      <c r="AE41" s="2"/>
      <c r="AF41" s="2"/>
      <c r="AG41" s="2" t="s">
        <v>36</v>
      </c>
      <c r="AH41" s="140">
        <v>1.1E-5</v>
      </c>
      <c r="AI41" s="140">
        <v>5.7636791227970397E-3</v>
      </c>
      <c r="AJ41" s="140">
        <v>9.0845786173624897E-4</v>
      </c>
    </row>
    <row r="42" spans="1:36">
      <c r="A42" s="2">
        <v>301</v>
      </c>
      <c r="B42" s="2">
        <v>7209</v>
      </c>
      <c r="C42" s="2" t="s">
        <v>1181</v>
      </c>
      <c r="D42" s="2" t="s">
        <v>1590</v>
      </c>
      <c r="E42" s="3" t="s">
        <v>1330</v>
      </c>
      <c r="F42" s="2" t="s">
        <v>1870</v>
      </c>
      <c r="G42" s="2" t="s">
        <v>1871</v>
      </c>
      <c r="H42" s="2" t="s">
        <v>328</v>
      </c>
      <c r="I42" s="2" t="s">
        <v>763</v>
      </c>
      <c r="J42" s="2" t="s">
        <v>30</v>
      </c>
      <c r="K42" s="2" t="s">
        <v>30</v>
      </c>
      <c r="L42" s="2" t="s">
        <v>334</v>
      </c>
      <c r="M42" s="2" t="s">
        <v>45</v>
      </c>
      <c r="N42" s="2" t="s">
        <v>454</v>
      </c>
      <c r="O42" s="2" t="s">
        <v>139</v>
      </c>
      <c r="P42" s="2" t="s">
        <v>1177</v>
      </c>
      <c r="Q42" s="2" t="s">
        <v>420</v>
      </c>
      <c r="R42" s="2" t="s">
        <v>413</v>
      </c>
      <c r="S42" s="2" t="s">
        <v>34</v>
      </c>
      <c r="T42" s="124">
        <v>2.3250000000000002</v>
      </c>
      <c r="U42" s="2" t="s">
        <v>1872</v>
      </c>
      <c r="V42" s="138">
        <v>1.8599999999999998E-2</v>
      </c>
      <c r="W42" s="140">
        <v>2.3189999999999999E-2</v>
      </c>
      <c r="X42" s="3" t="s">
        <v>419</v>
      </c>
      <c r="Y42" s="3" t="s">
        <v>139</v>
      </c>
      <c r="Z42" s="124">
        <v>119000</v>
      </c>
      <c r="AA42" s="134">
        <v>1</v>
      </c>
      <c r="AB42" s="151">
        <v>103.01</v>
      </c>
      <c r="AC42" s="2"/>
      <c r="AD42" s="124">
        <v>122.58199999999999</v>
      </c>
      <c r="AE42" s="2"/>
      <c r="AF42" s="2"/>
      <c r="AG42" s="2" t="s">
        <v>36</v>
      </c>
      <c r="AH42" s="140">
        <v>6.3999999999999997E-5</v>
      </c>
      <c r="AI42" s="140">
        <v>3.7942780297674603E-2</v>
      </c>
      <c r="AJ42" s="140">
        <v>5.9804538599689096E-3</v>
      </c>
    </row>
    <row r="43" spans="1:36">
      <c r="A43" s="2">
        <v>301</v>
      </c>
      <c r="B43" s="2">
        <v>7209</v>
      </c>
      <c r="C43" s="2" t="s">
        <v>1181</v>
      </c>
      <c r="D43" s="2" t="s">
        <v>1590</v>
      </c>
      <c r="E43" s="3" t="s">
        <v>1330</v>
      </c>
      <c r="F43" s="2" t="s">
        <v>1873</v>
      </c>
      <c r="G43" s="2" t="s">
        <v>1874</v>
      </c>
      <c r="H43" s="2" t="s">
        <v>328</v>
      </c>
      <c r="I43" s="2" t="s">
        <v>763</v>
      </c>
      <c r="J43" s="2" t="s">
        <v>30</v>
      </c>
      <c r="K43" s="2" t="s">
        <v>30</v>
      </c>
      <c r="L43" s="2" t="s">
        <v>334</v>
      </c>
      <c r="M43" s="2" t="s">
        <v>45</v>
      </c>
      <c r="N43" s="2" t="s">
        <v>454</v>
      </c>
      <c r="O43" s="2" t="s">
        <v>139</v>
      </c>
      <c r="P43" s="2" t="s">
        <v>1177</v>
      </c>
      <c r="Q43" s="2" t="s">
        <v>420</v>
      </c>
      <c r="R43" s="2" t="s">
        <v>413</v>
      </c>
      <c r="S43" s="2" t="s">
        <v>34</v>
      </c>
      <c r="T43" s="124">
        <v>2.8929999999999998</v>
      </c>
      <c r="U43" s="2" t="s">
        <v>1875</v>
      </c>
      <c r="V43" s="138">
        <v>1E-3</v>
      </c>
      <c r="W43" s="140">
        <v>2.1919999999999999E-2</v>
      </c>
      <c r="X43" s="3" t="s">
        <v>419</v>
      </c>
      <c r="Y43" s="3" t="s">
        <v>139</v>
      </c>
      <c r="Z43" s="124">
        <v>54000</v>
      </c>
      <c r="AA43" s="134">
        <v>1</v>
      </c>
      <c r="AB43" s="151">
        <v>105.89</v>
      </c>
      <c r="AC43" s="2"/>
      <c r="AD43" s="124">
        <v>57.180999999999997</v>
      </c>
      <c r="AE43" s="2"/>
      <c r="AF43" s="2"/>
      <c r="AG43" s="2" t="s">
        <v>36</v>
      </c>
      <c r="AH43" s="140">
        <v>1.7E-5</v>
      </c>
      <c r="AI43" s="140">
        <v>1.7699113352699001E-2</v>
      </c>
      <c r="AJ43" s="140">
        <v>2.78969358433291E-3</v>
      </c>
    </row>
    <row r="44" spans="1:36">
      <c r="A44" s="2">
        <v>301</v>
      </c>
      <c r="B44" s="2">
        <v>7209</v>
      </c>
      <c r="C44" s="2" t="s">
        <v>1181</v>
      </c>
      <c r="D44" s="2" t="s">
        <v>1590</v>
      </c>
      <c r="E44" s="3" t="s">
        <v>1330</v>
      </c>
      <c r="F44" s="2" t="s">
        <v>1876</v>
      </c>
      <c r="G44" s="2" t="s">
        <v>1877</v>
      </c>
      <c r="H44" s="2" t="s">
        <v>328</v>
      </c>
      <c r="I44" s="2" t="s">
        <v>763</v>
      </c>
      <c r="J44" s="2" t="s">
        <v>30</v>
      </c>
      <c r="K44" s="2" t="s">
        <v>30</v>
      </c>
      <c r="L44" s="2" t="s">
        <v>334</v>
      </c>
      <c r="M44" s="2" t="s">
        <v>45</v>
      </c>
      <c r="N44" s="2" t="s">
        <v>454</v>
      </c>
      <c r="O44" s="2" t="s">
        <v>139</v>
      </c>
      <c r="P44" s="2" t="s">
        <v>1177</v>
      </c>
      <c r="Q44" s="2" t="s">
        <v>420</v>
      </c>
      <c r="R44" s="2" t="s">
        <v>413</v>
      </c>
      <c r="S44" s="2" t="s">
        <v>34</v>
      </c>
      <c r="T44" s="124">
        <v>4.8490000000000002</v>
      </c>
      <c r="U44" s="2" t="s">
        <v>1878</v>
      </c>
      <c r="V44" s="138">
        <v>2.0199999999999999E-2</v>
      </c>
      <c r="W44" s="140">
        <v>2.4299999999999999E-2</v>
      </c>
      <c r="X44" s="3" t="s">
        <v>419</v>
      </c>
      <c r="Y44" s="3" t="s">
        <v>139</v>
      </c>
      <c r="Z44" s="124">
        <v>29000</v>
      </c>
      <c r="AA44" s="134">
        <v>1</v>
      </c>
      <c r="AB44" s="151">
        <v>101.65</v>
      </c>
      <c r="AC44" s="2"/>
      <c r="AD44" s="124">
        <v>29.478999999999999</v>
      </c>
      <c r="AE44" s="2"/>
      <c r="AF44" s="2"/>
      <c r="AG44" s="2" t="s">
        <v>36</v>
      </c>
      <c r="AH44" s="140">
        <v>7.9999999999999996E-6</v>
      </c>
      <c r="AI44" s="140">
        <v>9.1244812570616205E-3</v>
      </c>
      <c r="AJ44" s="140">
        <v>1.4381797729607201E-3</v>
      </c>
    </row>
    <row r="45" spans="1:36">
      <c r="A45" s="2">
        <v>301</v>
      </c>
      <c r="B45" s="2">
        <v>7209</v>
      </c>
      <c r="C45" s="2" t="s">
        <v>1181</v>
      </c>
      <c r="D45" s="2" t="s">
        <v>1590</v>
      </c>
      <c r="E45" s="3" t="s">
        <v>1330</v>
      </c>
      <c r="F45" s="2" t="s">
        <v>1879</v>
      </c>
      <c r="G45" s="2" t="s">
        <v>1880</v>
      </c>
      <c r="H45" s="2" t="s">
        <v>328</v>
      </c>
      <c r="I45" s="2" t="s">
        <v>763</v>
      </c>
      <c r="J45" s="2" t="s">
        <v>30</v>
      </c>
      <c r="K45" s="2" t="s">
        <v>30</v>
      </c>
      <c r="L45" s="2" t="s">
        <v>334</v>
      </c>
      <c r="M45" s="2" t="s">
        <v>45</v>
      </c>
      <c r="N45" s="2" t="s">
        <v>454</v>
      </c>
      <c r="O45" s="2" t="s">
        <v>139</v>
      </c>
      <c r="P45" s="2" t="s">
        <v>1177</v>
      </c>
      <c r="Q45" s="2" t="s">
        <v>420</v>
      </c>
      <c r="R45" s="2" t="s">
        <v>413</v>
      </c>
      <c r="S45" s="2" t="s">
        <v>34</v>
      </c>
      <c r="T45" s="124">
        <v>4.8879999999999999</v>
      </c>
      <c r="U45" s="2" t="s">
        <v>1881</v>
      </c>
      <c r="V45" s="138">
        <v>1E-3</v>
      </c>
      <c r="W45" s="140">
        <v>2.3630000000000002E-2</v>
      </c>
      <c r="X45" s="3" t="s">
        <v>419</v>
      </c>
      <c r="Y45" s="3" t="s">
        <v>139</v>
      </c>
      <c r="Z45" s="124">
        <v>28000</v>
      </c>
      <c r="AA45" s="134">
        <v>1</v>
      </c>
      <c r="AB45" s="151">
        <v>100.78</v>
      </c>
      <c r="AC45" s="2"/>
      <c r="AD45" s="124">
        <v>28.218</v>
      </c>
      <c r="AE45" s="2"/>
      <c r="AF45" s="2"/>
      <c r="AG45" s="2" t="s">
        <v>36</v>
      </c>
      <c r="AH45" s="140">
        <v>1.1E-5</v>
      </c>
      <c r="AI45" s="140">
        <v>8.7344424548151198E-3</v>
      </c>
      <c r="AJ45" s="140">
        <v>1.37670275303407E-3</v>
      </c>
    </row>
    <row r="46" spans="1:36">
      <c r="A46" s="2">
        <v>301</v>
      </c>
      <c r="B46" s="2">
        <v>7209</v>
      </c>
      <c r="C46" s="2" t="s">
        <v>1181</v>
      </c>
      <c r="D46" s="2" t="s">
        <v>1590</v>
      </c>
      <c r="E46" s="3" t="s">
        <v>1330</v>
      </c>
      <c r="F46" s="2" t="s">
        <v>1882</v>
      </c>
      <c r="G46" s="2" t="s">
        <v>1883</v>
      </c>
      <c r="H46" s="2" t="s">
        <v>328</v>
      </c>
      <c r="I46" s="2" t="s">
        <v>763</v>
      </c>
      <c r="J46" s="2" t="s">
        <v>30</v>
      </c>
      <c r="K46" s="2" t="s">
        <v>30</v>
      </c>
      <c r="L46" s="2" t="s">
        <v>334</v>
      </c>
      <c r="M46" s="2" t="s">
        <v>45</v>
      </c>
      <c r="N46" s="2" t="s">
        <v>454</v>
      </c>
      <c r="O46" s="2" t="s">
        <v>139</v>
      </c>
      <c r="P46" s="2" t="s">
        <v>1437</v>
      </c>
      <c r="Q46" s="2" t="s">
        <v>420</v>
      </c>
      <c r="R46" s="2" t="s">
        <v>413</v>
      </c>
      <c r="S46" s="2" t="s">
        <v>34</v>
      </c>
      <c r="T46" s="124">
        <v>0.156</v>
      </c>
      <c r="U46" s="2" t="s">
        <v>1884</v>
      </c>
      <c r="V46" s="138">
        <v>2.4199999999999999E-2</v>
      </c>
      <c r="W46" s="140">
        <v>3.0329999999999999E-2</v>
      </c>
      <c r="X46" s="3" t="s">
        <v>419</v>
      </c>
      <c r="Y46" s="3" t="s">
        <v>139</v>
      </c>
      <c r="Z46" s="124">
        <v>50000</v>
      </c>
      <c r="AA46" s="134">
        <v>1</v>
      </c>
      <c r="AB46" s="151">
        <v>117.46</v>
      </c>
      <c r="AC46" s="2"/>
      <c r="AD46" s="124">
        <v>58.73</v>
      </c>
      <c r="AE46" s="2"/>
      <c r="AF46" s="2"/>
      <c r="AG46" s="2" t="s">
        <v>36</v>
      </c>
      <c r="AH46" s="140">
        <v>3.4999999999999997E-5</v>
      </c>
      <c r="AI46" s="140">
        <v>1.81786991952517E-2</v>
      </c>
      <c r="AJ46" s="140">
        <v>2.8652848030253598E-3</v>
      </c>
    </row>
    <row r="47" spans="1:36">
      <c r="A47" s="2">
        <v>301</v>
      </c>
      <c r="B47" s="2">
        <v>7209</v>
      </c>
      <c r="C47" s="2" t="s">
        <v>1181</v>
      </c>
      <c r="D47" s="2" t="s">
        <v>1590</v>
      </c>
      <c r="E47" s="3" t="s">
        <v>1330</v>
      </c>
      <c r="F47" s="2" t="s">
        <v>1885</v>
      </c>
      <c r="G47" s="2" t="s">
        <v>1886</v>
      </c>
      <c r="H47" s="2" t="s">
        <v>328</v>
      </c>
      <c r="I47" s="2" t="s">
        <v>763</v>
      </c>
      <c r="J47" s="2" t="s">
        <v>30</v>
      </c>
      <c r="K47" s="2" t="s">
        <v>30</v>
      </c>
      <c r="L47" s="2" t="s">
        <v>334</v>
      </c>
      <c r="M47" s="2" t="s">
        <v>45</v>
      </c>
      <c r="N47" s="2" t="s">
        <v>454</v>
      </c>
      <c r="O47" s="2" t="s">
        <v>139</v>
      </c>
      <c r="P47" s="2" t="s">
        <v>1437</v>
      </c>
      <c r="Q47" s="2" t="s">
        <v>420</v>
      </c>
      <c r="R47" s="2" t="s">
        <v>413</v>
      </c>
      <c r="S47" s="2" t="s">
        <v>34</v>
      </c>
      <c r="T47" s="124">
        <v>3.4049999999999998</v>
      </c>
      <c r="U47" s="2" t="s">
        <v>1887</v>
      </c>
      <c r="V47" s="138">
        <v>2.7799999999999998E-2</v>
      </c>
      <c r="W47" s="140">
        <v>2.6610000000000002E-2</v>
      </c>
      <c r="X47" s="3" t="s">
        <v>419</v>
      </c>
      <c r="Y47" s="3" t="s">
        <v>139</v>
      </c>
      <c r="Z47" s="124">
        <v>35000</v>
      </c>
      <c r="AA47" s="134">
        <v>1</v>
      </c>
      <c r="AB47" s="151">
        <v>116.34</v>
      </c>
      <c r="AC47" s="2"/>
      <c r="AD47" s="124">
        <v>40.719000000000001</v>
      </c>
      <c r="AE47" s="2"/>
      <c r="AF47" s="2"/>
      <c r="AG47" s="2" t="s">
        <v>36</v>
      </c>
      <c r="AH47" s="140">
        <v>1.6699999999999999E-4</v>
      </c>
      <c r="AI47" s="140">
        <v>1.26037536613563E-2</v>
      </c>
      <c r="AJ47" s="140">
        <v>1.98657469597122E-3</v>
      </c>
    </row>
    <row r="48" spans="1:36">
      <c r="A48" s="2">
        <v>301</v>
      </c>
      <c r="B48" s="2">
        <v>7209</v>
      </c>
      <c r="C48" s="2" t="s">
        <v>1888</v>
      </c>
      <c r="D48" s="2" t="s">
        <v>1889</v>
      </c>
      <c r="E48" s="3" t="s">
        <v>1330</v>
      </c>
      <c r="F48" s="2" t="s">
        <v>1890</v>
      </c>
      <c r="G48" s="2" t="s">
        <v>1891</v>
      </c>
      <c r="H48" s="2" t="s">
        <v>328</v>
      </c>
      <c r="I48" s="2" t="s">
        <v>763</v>
      </c>
      <c r="J48" s="2" t="s">
        <v>30</v>
      </c>
      <c r="K48" s="2" t="s">
        <v>30</v>
      </c>
      <c r="L48" s="2" t="s">
        <v>334</v>
      </c>
      <c r="M48" s="2" t="s">
        <v>45</v>
      </c>
      <c r="N48" s="2" t="s">
        <v>470</v>
      </c>
      <c r="O48" s="2" t="s">
        <v>139</v>
      </c>
      <c r="P48" s="2" t="s">
        <v>1719</v>
      </c>
      <c r="Q48" s="2" t="s">
        <v>420</v>
      </c>
      <c r="R48" s="2" t="s">
        <v>413</v>
      </c>
      <c r="S48" s="2" t="s">
        <v>34</v>
      </c>
      <c r="T48" s="124">
        <v>3.2370000000000001</v>
      </c>
      <c r="U48" s="2" t="s">
        <v>1813</v>
      </c>
      <c r="V48" s="138">
        <v>2.81E-2</v>
      </c>
      <c r="W48" s="140">
        <v>2.6769999999999999E-2</v>
      </c>
      <c r="X48" s="3" t="s">
        <v>419</v>
      </c>
      <c r="Y48" s="3" t="s">
        <v>139</v>
      </c>
      <c r="Z48" s="124">
        <v>18750</v>
      </c>
      <c r="AA48" s="134">
        <v>1</v>
      </c>
      <c r="AB48" s="151">
        <v>117.18</v>
      </c>
      <c r="AC48" s="2"/>
      <c r="AD48" s="124">
        <v>21.971</v>
      </c>
      <c r="AE48" s="2"/>
      <c r="AF48" s="2"/>
      <c r="AG48" s="2" t="s">
        <v>36</v>
      </c>
      <c r="AH48" s="140">
        <v>1.4E-5</v>
      </c>
      <c r="AI48" s="140">
        <v>6.80076187116763E-3</v>
      </c>
      <c r="AJ48" s="140">
        <v>1.0719204619184599E-3</v>
      </c>
    </row>
    <row r="49" spans="1:36">
      <c r="A49" s="2">
        <v>301</v>
      </c>
      <c r="B49" s="2">
        <v>7209</v>
      </c>
      <c r="C49" s="2" t="s">
        <v>1888</v>
      </c>
      <c r="D49" s="2" t="s">
        <v>1889</v>
      </c>
      <c r="E49" s="3" t="s">
        <v>1330</v>
      </c>
      <c r="F49" s="2" t="s">
        <v>1892</v>
      </c>
      <c r="G49" s="2" t="s">
        <v>1893</v>
      </c>
      <c r="H49" s="2" t="s">
        <v>328</v>
      </c>
      <c r="I49" s="2" t="s">
        <v>763</v>
      </c>
      <c r="J49" s="2" t="s">
        <v>30</v>
      </c>
      <c r="K49" s="2" t="s">
        <v>30</v>
      </c>
      <c r="L49" s="2" t="s">
        <v>334</v>
      </c>
      <c r="M49" s="2" t="s">
        <v>45</v>
      </c>
      <c r="N49" s="2" t="s">
        <v>470</v>
      </c>
      <c r="O49" s="2" t="s">
        <v>139</v>
      </c>
      <c r="P49" s="2" t="s">
        <v>1719</v>
      </c>
      <c r="Q49" s="2" t="s">
        <v>420</v>
      </c>
      <c r="R49" s="2" t="s">
        <v>413</v>
      </c>
      <c r="S49" s="2" t="s">
        <v>34</v>
      </c>
      <c r="T49" s="124">
        <v>1.929</v>
      </c>
      <c r="U49" s="2" t="s">
        <v>1797</v>
      </c>
      <c r="V49" s="138">
        <v>3.6999999999999998E-2</v>
      </c>
      <c r="W49" s="140">
        <v>2.6380000000000001E-2</v>
      </c>
      <c r="X49" s="3" t="s">
        <v>419</v>
      </c>
      <c r="Y49" s="3" t="s">
        <v>139</v>
      </c>
      <c r="Z49" s="124">
        <v>16000</v>
      </c>
      <c r="AA49" s="134">
        <v>1</v>
      </c>
      <c r="AB49" s="151">
        <v>117.74</v>
      </c>
      <c r="AC49" s="2"/>
      <c r="AD49" s="124">
        <v>18.838000000000001</v>
      </c>
      <c r="AE49" s="2"/>
      <c r="AF49" s="2"/>
      <c r="AG49" s="2" t="s">
        <v>36</v>
      </c>
      <c r="AH49" s="140">
        <v>5.3000000000000001E-5</v>
      </c>
      <c r="AI49" s="140">
        <v>5.8310506882314102E-3</v>
      </c>
      <c r="AJ49" s="140">
        <v>9.1907681309914596E-4</v>
      </c>
    </row>
    <row r="50" spans="1:36">
      <c r="A50" s="2">
        <v>301</v>
      </c>
      <c r="B50" s="2">
        <v>7209</v>
      </c>
      <c r="C50" s="2" t="s">
        <v>1894</v>
      </c>
      <c r="D50" s="2" t="s">
        <v>1895</v>
      </c>
      <c r="E50" s="3" t="s">
        <v>1330</v>
      </c>
      <c r="F50" s="2" t="s">
        <v>1896</v>
      </c>
      <c r="G50" s="2" t="s">
        <v>1897</v>
      </c>
      <c r="H50" s="2" t="s">
        <v>328</v>
      </c>
      <c r="I50" s="2" t="s">
        <v>976</v>
      </c>
      <c r="J50" s="2" t="s">
        <v>30</v>
      </c>
      <c r="K50" s="2" t="s">
        <v>30</v>
      </c>
      <c r="L50" s="2" t="s">
        <v>334</v>
      </c>
      <c r="M50" s="2" t="s">
        <v>31</v>
      </c>
      <c r="N50" s="2" t="s">
        <v>451</v>
      </c>
      <c r="O50" s="2" t="s">
        <v>139</v>
      </c>
      <c r="P50" s="2" t="s">
        <v>1725</v>
      </c>
      <c r="Q50" s="2" t="s">
        <v>422</v>
      </c>
      <c r="R50" s="2" t="s">
        <v>413</v>
      </c>
      <c r="S50" s="2" t="s">
        <v>34</v>
      </c>
      <c r="T50" s="124">
        <v>7.1070000000000002</v>
      </c>
      <c r="U50" s="2" t="s">
        <v>1824</v>
      </c>
      <c r="V50" s="138">
        <v>6.0699999999999997E-2</v>
      </c>
      <c r="W50" s="140">
        <v>5.5359999999999999E-2</v>
      </c>
      <c r="X50" s="3" t="s">
        <v>419</v>
      </c>
      <c r="Y50" s="3" t="s">
        <v>139</v>
      </c>
      <c r="Z50" s="124">
        <v>23475</v>
      </c>
      <c r="AA50" s="134">
        <v>1</v>
      </c>
      <c r="AB50" s="151">
        <v>104.27</v>
      </c>
      <c r="AC50" s="2"/>
      <c r="AD50" s="124">
        <v>24.477</v>
      </c>
      <c r="AE50" s="2"/>
      <c r="AF50" s="2"/>
      <c r="AG50" s="2" t="s">
        <v>36</v>
      </c>
      <c r="AH50" s="140">
        <v>5.1999999999999997E-5</v>
      </c>
      <c r="AI50" s="140">
        <v>7.5764851618358503E-3</v>
      </c>
      <c r="AJ50" s="140">
        <v>1.19418818483039E-3</v>
      </c>
    </row>
    <row r="51" spans="1:36">
      <c r="A51" s="2">
        <v>301</v>
      </c>
      <c r="B51" s="2">
        <v>7209</v>
      </c>
      <c r="C51" s="2" t="s">
        <v>1894</v>
      </c>
      <c r="D51" s="2" t="s">
        <v>1895</v>
      </c>
      <c r="E51" s="3" t="s">
        <v>1330</v>
      </c>
      <c r="F51" s="2" t="s">
        <v>1898</v>
      </c>
      <c r="G51" s="2" t="s">
        <v>1899</v>
      </c>
      <c r="H51" s="2" t="s">
        <v>328</v>
      </c>
      <c r="I51" s="2" t="s">
        <v>976</v>
      </c>
      <c r="J51" s="2" t="s">
        <v>30</v>
      </c>
      <c r="K51" s="2" t="s">
        <v>30</v>
      </c>
      <c r="L51" s="2" t="s">
        <v>334</v>
      </c>
      <c r="M51" s="2" t="s">
        <v>31</v>
      </c>
      <c r="N51" s="2" t="s">
        <v>451</v>
      </c>
      <c r="O51" s="2" t="s">
        <v>139</v>
      </c>
      <c r="P51" s="2" t="s">
        <v>1725</v>
      </c>
      <c r="Q51" s="2" t="s">
        <v>420</v>
      </c>
      <c r="R51" s="2" t="s">
        <v>413</v>
      </c>
      <c r="S51" s="2" t="s">
        <v>34</v>
      </c>
      <c r="T51" s="124">
        <v>6.4870000000000001</v>
      </c>
      <c r="U51" s="2" t="s">
        <v>1900</v>
      </c>
      <c r="V51" s="138">
        <v>6.0699999999999997E-2</v>
      </c>
      <c r="W51" s="140">
        <v>5.4800000000000001E-2</v>
      </c>
      <c r="X51" s="3" t="s">
        <v>419</v>
      </c>
      <c r="Y51" s="3" t="s">
        <v>139</v>
      </c>
      <c r="Z51" s="124">
        <v>23475</v>
      </c>
      <c r="AA51" s="134">
        <v>1</v>
      </c>
      <c r="AB51" s="151">
        <v>104.26</v>
      </c>
      <c r="AC51" s="2"/>
      <c r="AD51" s="124">
        <v>24.475000000000001</v>
      </c>
      <c r="AE51" s="2"/>
      <c r="AF51" s="2"/>
      <c r="AG51" s="2" t="s">
        <v>36</v>
      </c>
      <c r="AH51" s="140">
        <v>5.1999999999999997E-5</v>
      </c>
      <c r="AI51" s="140">
        <v>7.5757585400690998E-3</v>
      </c>
      <c r="AJ51" s="140">
        <v>1.1940736563768701E-3</v>
      </c>
    </row>
    <row r="52" spans="1:36">
      <c r="A52" s="2">
        <v>301</v>
      </c>
      <c r="B52" s="2">
        <v>7209</v>
      </c>
      <c r="C52" s="2" t="s">
        <v>1901</v>
      </c>
      <c r="D52" s="2" t="s">
        <v>1902</v>
      </c>
      <c r="E52" s="3" t="s">
        <v>1330</v>
      </c>
      <c r="F52" s="2" t="s">
        <v>1903</v>
      </c>
      <c r="G52" s="2" t="s">
        <v>1904</v>
      </c>
      <c r="H52" s="2" t="s">
        <v>328</v>
      </c>
      <c r="I52" s="2" t="s">
        <v>763</v>
      </c>
      <c r="J52" s="2" t="s">
        <v>30</v>
      </c>
      <c r="K52" s="2" t="s">
        <v>30</v>
      </c>
      <c r="L52" s="2" t="s">
        <v>334</v>
      </c>
      <c r="M52" s="2" t="s">
        <v>45</v>
      </c>
      <c r="N52" s="2" t="s">
        <v>470</v>
      </c>
      <c r="O52" s="2" t="s">
        <v>139</v>
      </c>
      <c r="P52" s="2" t="s">
        <v>1437</v>
      </c>
      <c r="Q52" s="2" t="s">
        <v>420</v>
      </c>
      <c r="R52" s="2" t="s">
        <v>413</v>
      </c>
      <c r="S52" s="2" t="s">
        <v>34</v>
      </c>
      <c r="T52" s="124">
        <v>1.462</v>
      </c>
      <c r="U52" s="2" t="s">
        <v>119</v>
      </c>
      <c r="V52" s="138">
        <v>1.4E-2</v>
      </c>
      <c r="W52" s="140">
        <v>2.7799999999999998E-2</v>
      </c>
      <c r="X52" s="3" t="s">
        <v>419</v>
      </c>
      <c r="Y52" s="3" t="s">
        <v>139</v>
      </c>
      <c r="Z52" s="124">
        <v>18880</v>
      </c>
      <c r="AA52" s="134">
        <v>1</v>
      </c>
      <c r="AB52" s="151">
        <v>113.94</v>
      </c>
      <c r="AC52" s="2"/>
      <c r="AD52" s="124">
        <v>21.512</v>
      </c>
      <c r="AE52" s="2"/>
      <c r="AF52" s="2"/>
      <c r="AG52" s="2" t="s">
        <v>36</v>
      </c>
      <c r="AH52" s="140">
        <v>2.3E-5</v>
      </c>
      <c r="AI52" s="140">
        <v>6.6585705808744899E-3</v>
      </c>
      <c r="AJ52" s="140">
        <v>1.0495085974157399E-3</v>
      </c>
    </row>
    <row r="53" spans="1:36">
      <c r="A53" s="2">
        <v>301</v>
      </c>
      <c r="B53" s="2">
        <v>7209</v>
      </c>
      <c r="C53" s="2" t="s">
        <v>1901</v>
      </c>
      <c r="D53" s="2" t="s">
        <v>1902</v>
      </c>
      <c r="E53" s="3" t="s">
        <v>1330</v>
      </c>
      <c r="F53" s="2" t="s">
        <v>1905</v>
      </c>
      <c r="G53" s="2" t="s">
        <v>1906</v>
      </c>
      <c r="H53" s="2" t="s">
        <v>328</v>
      </c>
      <c r="I53" s="2" t="s">
        <v>763</v>
      </c>
      <c r="J53" s="2" t="s">
        <v>30</v>
      </c>
      <c r="K53" s="2" t="s">
        <v>30</v>
      </c>
      <c r="L53" s="2" t="s">
        <v>334</v>
      </c>
      <c r="M53" s="2" t="s">
        <v>45</v>
      </c>
      <c r="N53" s="2" t="s">
        <v>470</v>
      </c>
      <c r="O53" s="2" t="s">
        <v>139</v>
      </c>
      <c r="P53" s="2" t="s">
        <v>1725</v>
      </c>
      <c r="Q53" s="2" t="s">
        <v>420</v>
      </c>
      <c r="R53" s="2" t="s">
        <v>413</v>
      </c>
      <c r="S53" s="2" t="s">
        <v>34</v>
      </c>
      <c r="T53" s="124">
        <v>1.6160000000000001</v>
      </c>
      <c r="U53" s="2" t="s">
        <v>1907</v>
      </c>
      <c r="V53" s="138">
        <v>2.0500000000000001E-2</v>
      </c>
      <c r="W53" s="140">
        <v>2.8719999999999999E-2</v>
      </c>
      <c r="X53" s="3" t="s">
        <v>419</v>
      </c>
      <c r="Y53" s="3" t="s">
        <v>139</v>
      </c>
      <c r="Z53" s="124">
        <v>27951.72</v>
      </c>
      <c r="AA53" s="134">
        <v>1</v>
      </c>
      <c r="AB53" s="151">
        <v>116.04</v>
      </c>
      <c r="AC53" s="2"/>
      <c r="AD53" s="124">
        <v>32.435000000000002</v>
      </c>
      <c r="AE53" s="2"/>
      <c r="AF53" s="2"/>
      <c r="AG53" s="2" t="s">
        <v>36</v>
      </c>
      <c r="AH53" s="140">
        <v>3.6999999999999998E-5</v>
      </c>
      <c r="AI53" s="140">
        <v>1.00396612602253E-2</v>
      </c>
      <c r="AJ53" s="140">
        <v>1.5824283425053801E-3</v>
      </c>
    </row>
    <row r="54" spans="1:36">
      <c r="A54" s="2">
        <v>301</v>
      </c>
      <c r="B54" s="2">
        <v>7209</v>
      </c>
      <c r="C54" s="2" t="s">
        <v>1908</v>
      </c>
      <c r="D54" s="2" t="s">
        <v>1909</v>
      </c>
      <c r="E54" s="3" t="s">
        <v>1330</v>
      </c>
      <c r="F54" s="2" t="s">
        <v>1910</v>
      </c>
      <c r="G54" s="2" t="s">
        <v>1911</v>
      </c>
      <c r="H54" s="2" t="s">
        <v>328</v>
      </c>
      <c r="I54" s="2" t="s">
        <v>763</v>
      </c>
      <c r="J54" s="2" t="s">
        <v>30</v>
      </c>
      <c r="K54" s="2" t="s">
        <v>30</v>
      </c>
      <c r="L54" s="2" t="s">
        <v>334</v>
      </c>
      <c r="M54" s="2" t="s">
        <v>45</v>
      </c>
      <c r="N54" s="2" t="s">
        <v>454</v>
      </c>
      <c r="O54" s="2" t="s">
        <v>139</v>
      </c>
      <c r="P54" s="2" t="s">
        <v>1177</v>
      </c>
      <c r="Q54" s="2" t="s">
        <v>420</v>
      </c>
      <c r="R54" s="2" t="s">
        <v>413</v>
      </c>
      <c r="S54" s="2" t="s">
        <v>34</v>
      </c>
      <c r="T54" s="124">
        <v>2.7</v>
      </c>
      <c r="U54" s="2" t="s">
        <v>1912</v>
      </c>
      <c r="V54" s="138">
        <v>1.2200000000000001E-2</v>
      </c>
      <c r="W54" s="140">
        <v>2.3820000000000001E-2</v>
      </c>
      <c r="X54" s="3" t="s">
        <v>419</v>
      </c>
      <c r="Y54" s="3" t="s">
        <v>139</v>
      </c>
      <c r="Z54" s="124">
        <v>81620</v>
      </c>
      <c r="AA54" s="134">
        <v>1</v>
      </c>
      <c r="AB54" s="151">
        <v>113.2</v>
      </c>
      <c r="AC54" s="2"/>
      <c r="AD54" s="124">
        <v>92.394000000000005</v>
      </c>
      <c r="AE54" s="2"/>
      <c r="AF54" s="2"/>
      <c r="AG54" s="2" t="s">
        <v>36</v>
      </c>
      <c r="AH54" s="140">
        <v>2.6999999999999999E-5</v>
      </c>
      <c r="AI54" s="140">
        <v>2.8598668906082401E-2</v>
      </c>
      <c r="AJ54" s="140">
        <v>4.5076564897864203E-3</v>
      </c>
    </row>
    <row r="55" spans="1:36">
      <c r="A55" s="2">
        <v>301</v>
      </c>
      <c r="B55" s="2">
        <v>7209</v>
      </c>
      <c r="C55" s="2" t="s">
        <v>1908</v>
      </c>
      <c r="D55" s="2" t="s">
        <v>1909</v>
      </c>
      <c r="E55" s="3" t="s">
        <v>1330</v>
      </c>
      <c r="F55" s="2" t="s">
        <v>1913</v>
      </c>
      <c r="G55" s="2" t="s">
        <v>1914</v>
      </c>
      <c r="H55" s="2" t="s">
        <v>328</v>
      </c>
      <c r="I55" s="2" t="s">
        <v>763</v>
      </c>
      <c r="J55" s="2" t="s">
        <v>30</v>
      </c>
      <c r="K55" s="2" t="s">
        <v>30</v>
      </c>
      <c r="L55" s="2" t="s">
        <v>334</v>
      </c>
      <c r="M55" s="2" t="s">
        <v>45</v>
      </c>
      <c r="N55" s="2" t="s">
        <v>454</v>
      </c>
      <c r="O55" s="2" t="s">
        <v>139</v>
      </c>
      <c r="P55" s="2" t="s">
        <v>1177</v>
      </c>
      <c r="Q55" s="2" t="s">
        <v>420</v>
      </c>
      <c r="R55" s="2" t="s">
        <v>413</v>
      </c>
      <c r="S55" s="2" t="s">
        <v>34</v>
      </c>
      <c r="T55" s="124">
        <v>3.7989999999999999</v>
      </c>
      <c r="U55" s="2" t="s">
        <v>1915</v>
      </c>
      <c r="V55" s="138">
        <v>1E-3</v>
      </c>
      <c r="W55" s="140">
        <v>2.393E-2</v>
      </c>
      <c r="X55" s="3" t="s">
        <v>419</v>
      </c>
      <c r="Y55" s="3" t="s">
        <v>139</v>
      </c>
      <c r="Z55" s="124">
        <v>77000</v>
      </c>
      <c r="AA55" s="134">
        <v>1</v>
      </c>
      <c r="AB55" s="151">
        <v>103.26</v>
      </c>
      <c r="AC55" s="2"/>
      <c r="AD55" s="124">
        <v>79.510000000000005</v>
      </c>
      <c r="AE55" s="2"/>
      <c r="AF55" s="2"/>
      <c r="AG55" s="2" t="s">
        <v>36</v>
      </c>
      <c r="AH55" s="140">
        <v>2.3E-5</v>
      </c>
      <c r="AI55" s="140">
        <v>2.46107953133715E-2</v>
      </c>
      <c r="AJ55" s="140">
        <v>3.8790970159289402E-3</v>
      </c>
    </row>
    <row r="56" spans="1:36">
      <c r="A56" s="2">
        <v>301</v>
      </c>
      <c r="B56" s="2">
        <v>7209</v>
      </c>
      <c r="C56" s="2" t="s">
        <v>1908</v>
      </c>
      <c r="D56" s="2" t="s">
        <v>1909</v>
      </c>
      <c r="E56" s="3" t="s">
        <v>1330</v>
      </c>
      <c r="F56" s="2" t="s">
        <v>1916</v>
      </c>
      <c r="G56" s="2" t="s">
        <v>1917</v>
      </c>
      <c r="H56" s="2" t="s">
        <v>328</v>
      </c>
      <c r="I56" s="2" t="s">
        <v>763</v>
      </c>
      <c r="J56" s="2" t="s">
        <v>30</v>
      </c>
      <c r="K56" s="2" t="s">
        <v>30</v>
      </c>
      <c r="L56" s="2" t="s">
        <v>334</v>
      </c>
      <c r="M56" s="2" t="s">
        <v>45</v>
      </c>
      <c r="N56" s="2" t="s">
        <v>454</v>
      </c>
      <c r="O56" s="2" t="s">
        <v>139</v>
      </c>
      <c r="P56" s="2" t="s">
        <v>1177</v>
      </c>
      <c r="Q56" s="2" t="s">
        <v>422</v>
      </c>
      <c r="R56" s="2" t="s">
        <v>413</v>
      </c>
      <c r="S56" s="2" t="s">
        <v>34</v>
      </c>
      <c r="T56" s="124">
        <v>1.915</v>
      </c>
      <c r="U56" s="2" t="s">
        <v>1918</v>
      </c>
      <c r="V56" s="138">
        <v>5.0000000000000001E-3</v>
      </c>
      <c r="W56" s="140">
        <v>2.3109999999999999E-2</v>
      </c>
      <c r="X56" s="3" t="s">
        <v>419</v>
      </c>
      <c r="Y56" s="3" t="s">
        <v>139</v>
      </c>
      <c r="Z56" s="124">
        <v>21000</v>
      </c>
      <c r="AA56" s="134">
        <v>1</v>
      </c>
      <c r="AB56" s="151">
        <v>110.29</v>
      </c>
      <c r="AC56" s="2"/>
      <c r="AD56" s="124">
        <v>23.161000000000001</v>
      </c>
      <c r="AE56" s="2"/>
      <c r="AF56" s="2"/>
      <c r="AG56" s="2" t="s">
        <v>36</v>
      </c>
      <c r="AH56" s="140">
        <v>2.8E-5</v>
      </c>
      <c r="AI56" s="140">
        <v>7.1689942821608404E-3</v>
      </c>
      <c r="AJ56" s="140">
        <v>1.1299604085542299E-3</v>
      </c>
    </row>
    <row r="57" spans="1:36">
      <c r="A57" s="2">
        <v>301</v>
      </c>
      <c r="B57" s="2">
        <v>7209</v>
      </c>
      <c r="C57" s="2" t="s">
        <v>1908</v>
      </c>
      <c r="D57" s="2" t="s">
        <v>1909</v>
      </c>
      <c r="E57" s="3" t="s">
        <v>1330</v>
      </c>
      <c r="F57" s="2" t="s">
        <v>1919</v>
      </c>
      <c r="G57" s="2" t="s">
        <v>1920</v>
      </c>
      <c r="H57" s="2" t="s">
        <v>328</v>
      </c>
      <c r="I57" s="2" t="s">
        <v>763</v>
      </c>
      <c r="J57" s="2" t="s">
        <v>30</v>
      </c>
      <c r="K57" s="2" t="s">
        <v>30</v>
      </c>
      <c r="L57" s="2" t="s">
        <v>334</v>
      </c>
      <c r="M57" s="2" t="s">
        <v>45</v>
      </c>
      <c r="N57" s="2" t="s">
        <v>454</v>
      </c>
      <c r="O57" s="2" t="s">
        <v>139</v>
      </c>
      <c r="P57" s="2" t="s">
        <v>1177</v>
      </c>
      <c r="Q57" s="2" t="s">
        <v>422</v>
      </c>
      <c r="R57" s="2" t="s">
        <v>413</v>
      </c>
      <c r="S57" s="2" t="s">
        <v>34</v>
      </c>
      <c r="T57" s="124">
        <v>0.16200000000000001</v>
      </c>
      <c r="U57" s="2" t="s">
        <v>1921</v>
      </c>
      <c r="V57" s="138">
        <v>9.4999999999999998E-3</v>
      </c>
      <c r="W57" s="140">
        <v>3.261E-2</v>
      </c>
      <c r="X57" s="3" t="s">
        <v>419</v>
      </c>
      <c r="Y57" s="3" t="s">
        <v>139</v>
      </c>
      <c r="Z57" s="124">
        <v>3150</v>
      </c>
      <c r="AA57" s="134">
        <v>1</v>
      </c>
      <c r="AB57" s="151">
        <v>116.63</v>
      </c>
      <c r="AC57" s="2"/>
      <c r="AD57" s="124">
        <v>3.6739999999999999</v>
      </c>
      <c r="AE57" s="2"/>
      <c r="AF57" s="2"/>
      <c r="AG57" s="2" t="s">
        <v>36</v>
      </c>
      <c r="AH57" s="140">
        <v>2.0000000000000002E-5</v>
      </c>
      <c r="AI57" s="140">
        <v>1.13716538642908E-3</v>
      </c>
      <c r="AJ57" s="140">
        <v>1.7923739566100299E-4</v>
      </c>
    </row>
    <row r="58" spans="1:36">
      <c r="A58" s="2">
        <v>301</v>
      </c>
      <c r="B58" s="2">
        <v>7209</v>
      </c>
      <c r="C58" s="2" t="s">
        <v>1908</v>
      </c>
      <c r="D58" s="2" t="s">
        <v>1909</v>
      </c>
      <c r="E58" s="3" t="s">
        <v>1330</v>
      </c>
      <c r="F58" s="2" t="s">
        <v>1922</v>
      </c>
      <c r="G58" s="2" t="s">
        <v>1923</v>
      </c>
      <c r="H58" s="2" t="s">
        <v>328</v>
      </c>
      <c r="I58" s="2" t="s">
        <v>763</v>
      </c>
      <c r="J58" s="2" t="s">
        <v>30</v>
      </c>
      <c r="K58" s="2" t="s">
        <v>30</v>
      </c>
      <c r="L58" s="2" t="s">
        <v>334</v>
      </c>
      <c r="M58" s="2" t="s">
        <v>45</v>
      </c>
      <c r="N58" s="2" t="s">
        <v>454</v>
      </c>
      <c r="O58" s="2" t="s">
        <v>139</v>
      </c>
      <c r="P58" s="2" t="s">
        <v>1437</v>
      </c>
      <c r="Q58" s="2" t="s">
        <v>420</v>
      </c>
      <c r="R58" s="2" t="s">
        <v>413</v>
      </c>
      <c r="S58" s="2" t="s">
        <v>34</v>
      </c>
      <c r="T58" s="124">
        <v>3.246</v>
      </c>
      <c r="U58" s="2" t="s">
        <v>1924</v>
      </c>
      <c r="V58" s="138">
        <v>3.3099999999999997E-2</v>
      </c>
      <c r="W58" s="140">
        <v>2.9329999999999998E-2</v>
      </c>
      <c r="X58" s="3" t="s">
        <v>419</v>
      </c>
      <c r="Y58" s="3" t="s">
        <v>139</v>
      </c>
      <c r="Z58" s="124">
        <v>40000</v>
      </c>
      <c r="AA58" s="134">
        <v>1</v>
      </c>
      <c r="AB58" s="151">
        <v>110.27</v>
      </c>
      <c r="AC58" s="2"/>
      <c r="AD58" s="124">
        <v>44.107999999999997</v>
      </c>
      <c r="AE58" s="2"/>
      <c r="AF58" s="2"/>
      <c r="AG58" s="2" t="s">
        <v>36</v>
      </c>
      <c r="AH58" s="140">
        <v>5.7000000000000003E-5</v>
      </c>
      <c r="AI58" s="140">
        <v>1.36527509638032E-2</v>
      </c>
      <c r="AJ58" s="140">
        <v>2.1519152407941801E-3</v>
      </c>
    </row>
    <row r="59" spans="1:36">
      <c r="A59" s="2">
        <v>301</v>
      </c>
      <c r="B59" s="2">
        <v>7209</v>
      </c>
      <c r="C59" s="2" t="s">
        <v>1908</v>
      </c>
      <c r="D59" s="2" t="s">
        <v>1909</v>
      </c>
      <c r="E59" s="3" t="s">
        <v>1330</v>
      </c>
      <c r="F59" s="2" t="s">
        <v>1925</v>
      </c>
      <c r="G59" s="2" t="s">
        <v>1926</v>
      </c>
      <c r="H59" s="2" t="s">
        <v>328</v>
      </c>
      <c r="I59" s="2" t="s">
        <v>763</v>
      </c>
      <c r="J59" s="2" t="s">
        <v>30</v>
      </c>
      <c r="K59" s="2" t="s">
        <v>30</v>
      </c>
      <c r="L59" s="2" t="s">
        <v>334</v>
      </c>
      <c r="M59" s="2" t="s">
        <v>45</v>
      </c>
      <c r="N59" s="2" t="s">
        <v>454</v>
      </c>
      <c r="O59" s="2" t="s">
        <v>139</v>
      </c>
      <c r="P59" s="2" t="s">
        <v>1437</v>
      </c>
      <c r="Q59" s="2" t="s">
        <v>420</v>
      </c>
      <c r="R59" s="2" t="s">
        <v>413</v>
      </c>
      <c r="S59" s="2" t="s">
        <v>34</v>
      </c>
      <c r="T59" s="124">
        <v>4.1680000000000001</v>
      </c>
      <c r="U59" s="2" t="s">
        <v>1927</v>
      </c>
      <c r="V59" s="138">
        <v>3.3599999999999998E-2</v>
      </c>
      <c r="W59" s="140">
        <v>2.9479999999999999E-2</v>
      </c>
      <c r="X59" s="3" t="s">
        <v>419</v>
      </c>
      <c r="Y59" s="3" t="s">
        <v>139</v>
      </c>
      <c r="Z59" s="124">
        <v>40000</v>
      </c>
      <c r="AA59" s="134">
        <v>1</v>
      </c>
      <c r="AB59" s="151">
        <v>106.98</v>
      </c>
      <c r="AC59" s="2"/>
      <c r="AD59" s="124">
        <v>42.792000000000002</v>
      </c>
      <c r="AE59" s="2"/>
      <c r="AF59" s="2"/>
      <c r="AG59" s="2" t="s">
        <v>36</v>
      </c>
      <c r="AH59" s="140">
        <v>3.4E-5</v>
      </c>
      <c r="AI59" s="140">
        <v>1.32454094323721E-2</v>
      </c>
      <c r="AJ59" s="140">
        <v>2.08771100444511E-3</v>
      </c>
    </row>
    <row r="60" spans="1:36">
      <c r="A60" s="2">
        <v>301</v>
      </c>
      <c r="B60" s="2">
        <v>7209</v>
      </c>
      <c r="C60" s="2" t="s">
        <v>1908</v>
      </c>
      <c r="D60" s="2" t="s">
        <v>1909</v>
      </c>
      <c r="E60" s="3" t="s">
        <v>1330</v>
      </c>
      <c r="F60" s="2" t="s">
        <v>1928</v>
      </c>
      <c r="G60" s="2" t="s">
        <v>1929</v>
      </c>
      <c r="H60" s="2" t="s">
        <v>328</v>
      </c>
      <c r="I60" s="2" t="s">
        <v>763</v>
      </c>
      <c r="J60" s="2" t="s">
        <v>30</v>
      </c>
      <c r="K60" s="2" t="s">
        <v>30</v>
      </c>
      <c r="L60" s="2" t="s">
        <v>334</v>
      </c>
      <c r="M60" s="2" t="s">
        <v>45</v>
      </c>
      <c r="N60" s="2" t="s">
        <v>454</v>
      </c>
      <c r="O60" s="2" t="s">
        <v>139</v>
      </c>
      <c r="P60" s="2" t="s">
        <v>1177</v>
      </c>
      <c r="Q60" s="2" t="s">
        <v>420</v>
      </c>
      <c r="R60" s="2" t="s">
        <v>413</v>
      </c>
      <c r="S60" s="2" t="s">
        <v>34</v>
      </c>
      <c r="T60" s="124">
        <v>3.177</v>
      </c>
      <c r="U60" s="2" t="s">
        <v>1930</v>
      </c>
      <c r="V60" s="138">
        <v>1E-3</v>
      </c>
      <c r="W60" s="140">
        <v>2.4199999999999999E-2</v>
      </c>
      <c r="X60" s="3" t="s">
        <v>419</v>
      </c>
      <c r="Y60" s="3" t="s">
        <v>139</v>
      </c>
      <c r="Z60" s="124">
        <v>126251.55</v>
      </c>
      <c r="AA60" s="134">
        <v>1</v>
      </c>
      <c r="AB60" s="151">
        <v>103.37</v>
      </c>
      <c r="AC60" s="2"/>
      <c r="AD60" s="124">
        <v>130.506</v>
      </c>
      <c r="AE60" s="2"/>
      <c r="AF60" s="2"/>
      <c r="AG60" s="2" t="s">
        <v>36</v>
      </c>
      <c r="AH60" s="140">
        <v>4.8999999999999998E-5</v>
      </c>
      <c r="AI60" s="140">
        <v>4.0395597616418102E-2</v>
      </c>
      <c r="AJ60" s="140">
        <v>6.3670612905945799E-3</v>
      </c>
    </row>
    <row r="61" spans="1:36">
      <c r="A61" s="2">
        <v>301</v>
      </c>
      <c r="B61" s="2">
        <v>7209</v>
      </c>
      <c r="C61" s="2" t="s">
        <v>1931</v>
      </c>
      <c r="D61" s="2" t="s">
        <v>1932</v>
      </c>
      <c r="E61" s="3" t="s">
        <v>1330</v>
      </c>
      <c r="F61" s="2" t="s">
        <v>1933</v>
      </c>
      <c r="G61" s="2" t="s">
        <v>1934</v>
      </c>
      <c r="H61" s="2" t="s">
        <v>328</v>
      </c>
      <c r="I61" s="2" t="s">
        <v>763</v>
      </c>
      <c r="J61" s="2" t="s">
        <v>30</v>
      </c>
      <c r="K61" s="2" t="s">
        <v>30</v>
      </c>
      <c r="L61" s="2" t="s">
        <v>334</v>
      </c>
      <c r="M61" s="2" t="s">
        <v>45</v>
      </c>
      <c r="N61" s="2" t="s">
        <v>449</v>
      </c>
      <c r="O61" s="2" t="s">
        <v>139</v>
      </c>
      <c r="P61" s="2" t="s">
        <v>1725</v>
      </c>
      <c r="Q61" s="2" t="s">
        <v>422</v>
      </c>
      <c r="R61" s="2" t="s">
        <v>413</v>
      </c>
      <c r="S61" s="2" t="s">
        <v>34</v>
      </c>
      <c r="T61" s="124">
        <v>0.77500000000000002</v>
      </c>
      <c r="U61" s="2" t="s">
        <v>1935</v>
      </c>
      <c r="V61" s="138">
        <v>1.8499999999999999E-2</v>
      </c>
      <c r="W61" s="140">
        <v>2.8639999999999999E-2</v>
      </c>
      <c r="X61" s="3" t="s">
        <v>419</v>
      </c>
      <c r="Y61" s="3" t="s">
        <v>139</v>
      </c>
      <c r="Z61" s="124">
        <v>10762.63</v>
      </c>
      <c r="AA61" s="134">
        <v>1</v>
      </c>
      <c r="AB61" s="151">
        <v>114.36</v>
      </c>
      <c r="AC61" s="2"/>
      <c r="AD61" s="124">
        <v>12.308</v>
      </c>
      <c r="AE61" s="2"/>
      <c r="AF61" s="2"/>
      <c r="AG61" s="2" t="s">
        <v>36</v>
      </c>
      <c r="AH61" s="140">
        <v>4.1999999999999998E-5</v>
      </c>
      <c r="AI61" s="140">
        <v>3.8097401905757599E-3</v>
      </c>
      <c r="AJ61" s="140">
        <v>6.0048249626039796E-4</v>
      </c>
    </row>
    <row r="62" spans="1:36">
      <c r="A62" s="2">
        <v>301</v>
      </c>
      <c r="B62" s="2">
        <v>7209</v>
      </c>
      <c r="C62" s="2" t="s">
        <v>1931</v>
      </c>
      <c r="D62" s="2" t="s">
        <v>1932</v>
      </c>
      <c r="E62" s="3" t="s">
        <v>1330</v>
      </c>
      <c r="F62" s="2" t="s">
        <v>1936</v>
      </c>
      <c r="G62" s="2" t="s">
        <v>1937</v>
      </c>
      <c r="H62" s="2" t="s">
        <v>328</v>
      </c>
      <c r="I62" s="2" t="s">
        <v>763</v>
      </c>
      <c r="J62" s="2" t="s">
        <v>30</v>
      </c>
      <c r="K62" s="2" t="s">
        <v>30</v>
      </c>
      <c r="L62" s="2" t="s">
        <v>334</v>
      </c>
      <c r="M62" s="2" t="s">
        <v>45</v>
      </c>
      <c r="N62" s="2" t="s">
        <v>449</v>
      </c>
      <c r="O62" s="2" t="s">
        <v>139</v>
      </c>
      <c r="P62" s="2" t="s">
        <v>1725</v>
      </c>
      <c r="Q62" s="2" t="s">
        <v>422</v>
      </c>
      <c r="R62" s="2" t="s">
        <v>413</v>
      </c>
      <c r="S62" s="2" t="s">
        <v>34</v>
      </c>
      <c r="T62" s="124">
        <v>3.0070000000000001</v>
      </c>
      <c r="U62" s="2" t="s">
        <v>1938</v>
      </c>
      <c r="V62" s="138">
        <v>0.01</v>
      </c>
      <c r="W62" s="140">
        <v>3.0810000000000001E-2</v>
      </c>
      <c r="X62" s="3" t="s">
        <v>419</v>
      </c>
      <c r="Y62" s="3" t="s">
        <v>139</v>
      </c>
      <c r="Z62" s="124">
        <v>26156.25</v>
      </c>
      <c r="AA62" s="134">
        <v>1</v>
      </c>
      <c r="AB62" s="151">
        <v>106.09</v>
      </c>
      <c r="AC62" s="2"/>
      <c r="AD62" s="124">
        <v>27.748999999999999</v>
      </c>
      <c r="AE62" s="2"/>
      <c r="AF62" s="2"/>
      <c r="AG62" s="2" t="s">
        <v>36</v>
      </c>
      <c r="AH62" s="140">
        <v>1.2999999999999999E-5</v>
      </c>
      <c r="AI62" s="140">
        <v>8.5892003203830204E-3</v>
      </c>
      <c r="AJ62" s="140">
        <v>1.3538100214872499E-3</v>
      </c>
    </row>
    <row r="63" spans="1:36">
      <c r="A63" s="2">
        <v>301</v>
      </c>
      <c r="B63" s="2">
        <v>7209</v>
      </c>
      <c r="C63" s="2" t="s">
        <v>1931</v>
      </c>
      <c r="D63" s="2" t="s">
        <v>1932</v>
      </c>
      <c r="E63" s="3" t="s">
        <v>1330</v>
      </c>
      <c r="F63" s="2" t="s">
        <v>1939</v>
      </c>
      <c r="G63" s="2" t="s">
        <v>1940</v>
      </c>
      <c r="H63" s="2" t="s">
        <v>328</v>
      </c>
      <c r="I63" s="2" t="s">
        <v>763</v>
      </c>
      <c r="J63" s="2" t="s">
        <v>30</v>
      </c>
      <c r="K63" s="2" t="s">
        <v>30</v>
      </c>
      <c r="L63" s="2" t="s">
        <v>334</v>
      </c>
      <c r="M63" s="2" t="s">
        <v>45</v>
      </c>
      <c r="N63" s="2" t="s">
        <v>449</v>
      </c>
      <c r="O63" s="2" t="s">
        <v>139</v>
      </c>
      <c r="P63" s="2" t="s">
        <v>1725</v>
      </c>
      <c r="Q63" s="2" t="s">
        <v>422</v>
      </c>
      <c r="R63" s="2" t="s">
        <v>413</v>
      </c>
      <c r="S63" s="2" t="s">
        <v>34</v>
      </c>
      <c r="T63" s="124">
        <v>1.4019999999999999</v>
      </c>
      <c r="U63" s="2" t="s">
        <v>119</v>
      </c>
      <c r="V63" s="138">
        <v>3.5400000000000001E-2</v>
      </c>
      <c r="W63" s="140">
        <v>2.9649999999999999E-2</v>
      </c>
      <c r="X63" s="3" t="s">
        <v>419</v>
      </c>
      <c r="Y63" s="3" t="s">
        <v>139</v>
      </c>
      <c r="Z63" s="124">
        <v>34000</v>
      </c>
      <c r="AA63" s="134">
        <v>1</v>
      </c>
      <c r="AB63" s="151">
        <v>108.84</v>
      </c>
      <c r="AC63" s="2"/>
      <c r="AD63" s="124">
        <v>37.006</v>
      </c>
      <c r="AE63" s="2"/>
      <c r="AF63" s="2"/>
      <c r="AG63" s="2" t="s">
        <v>36</v>
      </c>
      <c r="AH63" s="140">
        <v>3.0000000000000001E-5</v>
      </c>
      <c r="AI63" s="140">
        <v>1.1454344814231399E-2</v>
      </c>
      <c r="AJ63" s="140">
        <v>1.80540751416372E-3</v>
      </c>
    </row>
    <row r="64" spans="1:36">
      <c r="A64" s="2">
        <v>301</v>
      </c>
      <c r="B64" s="2">
        <v>7209</v>
      </c>
      <c r="C64" s="2" t="s">
        <v>1931</v>
      </c>
      <c r="D64" s="2" t="s">
        <v>1932</v>
      </c>
      <c r="E64" s="3" t="s">
        <v>1330</v>
      </c>
      <c r="F64" s="2" t="s">
        <v>1941</v>
      </c>
      <c r="G64" s="2" t="s">
        <v>1942</v>
      </c>
      <c r="H64" s="2" t="s">
        <v>328</v>
      </c>
      <c r="I64" s="2" t="s">
        <v>763</v>
      </c>
      <c r="J64" s="2" t="s">
        <v>30</v>
      </c>
      <c r="K64" s="2" t="s">
        <v>30</v>
      </c>
      <c r="L64" s="2" t="s">
        <v>334</v>
      </c>
      <c r="M64" s="2" t="s">
        <v>45</v>
      </c>
      <c r="N64" s="2" t="s">
        <v>449</v>
      </c>
      <c r="O64" s="2" t="s">
        <v>139</v>
      </c>
      <c r="P64" s="2" t="s">
        <v>1725</v>
      </c>
      <c r="Q64" s="2" t="s">
        <v>422</v>
      </c>
      <c r="R64" s="2" t="s">
        <v>413</v>
      </c>
      <c r="S64" s="2" t="s">
        <v>34</v>
      </c>
      <c r="T64" s="124">
        <v>0.40600000000000003</v>
      </c>
      <c r="U64" s="2" t="s">
        <v>1943</v>
      </c>
      <c r="V64" s="138">
        <v>0.01</v>
      </c>
      <c r="W64" s="140">
        <v>4.0169999999999997E-2</v>
      </c>
      <c r="X64" s="3" t="s">
        <v>419</v>
      </c>
      <c r="Y64" s="3" t="s">
        <v>139</v>
      </c>
      <c r="Z64" s="124">
        <v>13320</v>
      </c>
      <c r="AA64" s="134">
        <v>1</v>
      </c>
      <c r="AB64" s="151">
        <v>113.19</v>
      </c>
      <c r="AC64" s="2"/>
      <c r="AD64" s="124">
        <v>15.077</v>
      </c>
      <c r="AE64" s="2"/>
      <c r="AF64" s="2"/>
      <c r="AG64" s="2" t="s">
        <v>36</v>
      </c>
      <c r="AH64" s="140">
        <v>4.3999999999999999E-5</v>
      </c>
      <c r="AI64" s="140">
        <v>4.6667559224669603E-3</v>
      </c>
      <c r="AJ64" s="140">
        <v>7.3556334699491604E-4</v>
      </c>
    </row>
    <row r="65" spans="1:36">
      <c r="A65" s="2">
        <v>301</v>
      </c>
      <c r="B65" s="2">
        <v>7209</v>
      </c>
      <c r="C65" s="2" t="s">
        <v>1600</v>
      </c>
      <c r="D65" s="2" t="s">
        <v>1601</v>
      </c>
      <c r="E65" s="3" t="s">
        <v>1330</v>
      </c>
      <c r="F65" s="2" t="s">
        <v>1944</v>
      </c>
      <c r="G65" s="2" t="s">
        <v>1945</v>
      </c>
      <c r="H65" s="2" t="s">
        <v>328</v>
      </c>
      <c r="I65" s="2" t="s">
        <v>763</v>
      </c>
      <c r="J65" s="2" t="s">
        <v>30</v>
      </c>
      <c r="K65" s="2" t="s">
        <v>30</v>
      </c>
      <c r="L65" s="2" t="s">
        <v>334</v>
      </c>
      <c r="M65" s="2" t="s">
        <v>45</v>
      </c>
      <c r="N65" s="2" t="s">
        <v>470</v>
      </c>
      <c r="O65" s="2" t="s">
        <v>139</v>
      </c>
      <c r="P65" s="2" t="s">
        <v>1719</v>
      </c>
      <c r="Q65" s="2" t="s">
        <v>420</v>
      </c>
      <c r="R65" s="2" t="s">
        <v>413</v>
      </c>
      <c r="S65" s="2" t="s">
        <v>34</v>
      </c>
      <c r="T65" s="124">
        <v>4.17</v>
      </c>
      <c r="U65" s="2" t="s">
        <v>1946</v>
      </c>
      <c r="V65" s="138">
        <v>1.43E-2</v>
      </c>
      <c r="W65" s="140">
        <v>2.708E-2</v>
      </c>
      <c r="X65" s="3" t="s">
        <v>419</v>
      </c>
      <c r="Y65" s="3" t="s">
        <v>139</v>
      </c>
      <c r="Z65" s="124">
        <v>36204.300000000003</v>
      </c>
      <c r="AA65" s="134">
        <v>1</v>
      </c>
      <c r="AB65" s="151">
        <v>109.38</v>
      </c>
      <c r="AC65" s="124">
        <v>0.76</v>
      </c>
      <c r="AD65" s="124">
        <v>40.36</v>
      </c>
      <c r="AE65" s="2"/>
      <c r="AF65" s="2"/>
      <c r="AG65" s="2" t="s">
        <v>36</v>
      </c>
      <c r="AH65" s="140">
        <v>2.3E-5</v>
      </c>
      <c r="AI65" s="140">
        <v>1.2492713888966601E-2</v>
      </c>
      <c r="AJ65" s="140">
        <v>1.9690728621522798E-3</v>
      </c>
    </row>
    <row r="66" spans="1:36">
      <c r="A66" s="2">
        <v>301</v>
      </c>
      <c r="B66" s="2">
        <v>7209</v>
      </c>
      <c r="C66" s="2" t="s">
        <v>1947</v>
      </c>
      <c r="D66" s="2" t="s">
        <v>1948</v>
      </c>
      <c r="E66" s="3" t="s">
        <v>1330</v>
      </c>
      <c r="F66" s="2" t="s">
        <v>1949</v>
      </c>
      <c r="G66" s="2" t="s">
        <v>1950</v>
      </c>
      <c r="H66" s="2" t="s">
        <v>328</v>
      </c>
      <c r="I66" s="2" t="s">
        <v>976</v>
      </c>
      <c r="J66" s="2" t="s">
        <v>30</v>
      </c>
      <c r="K66" s="2" t="s">
        <v>30</v>
      </c>
      <c r="L66" s="2" t="s">
        <v>334</v>
      </c>
      <c r="M66" s="2" t="s">
        <v>45</v>
      </c>
      <c r="N66" s="2" t="s">
        <v>460</v>
      </c>
      <c r="O66" s="2" t="s">
        <v>139</v>
      </c>
      <c r="P66" s="2" t="s">
        <v>1719</v>
      </c>
      <c r="Q66" s="2" t="s">
        <v>420</v>
      </c>
      <c r="R66" s="2" t="s">
        <v>413</v>
      </c>
      <c r="S66" s="2" t="s">
        <v>34</v>
      </c>
      <c r="T66" s="124">
        <v>6.6000000000000003E-2</v>
      </c>
      <c r="U66" s="2" t="s">
        <v>1951</v>
      </c>
      <c r="V66" s="138">
        <v>2.3599999999999999E-2</v>
      </c>
      <c r="W66" s="140">
        <v>4.7329999999999997E-2</v>
      </c>
      <c r="X66" s="3" t="s">
        <v>419</v>
      </c>
      <c r="Y66" s="3" t="s">
        <v>139</v>
      </c>
      <c r="Z66" s="124">
        <v>202.91</v>
      </c>
      <c r="AA66" s="134">
        <v>1</v>
      </c>
      <c r="AB66" s="151">
        <v>100.86</v>
      </c>
      <c r="AC66" s="2"/>
      <c r="AD66" s="124">
        <v>0.20499999999999999</v>
      </c>
      <c r="AE66" s="2"/>
      <c r="AF66" s="2"/>
      <c r="AG66" s="2" t="s">
        <v>36</v>
      </c>
      <c r="AH66" s="140">
        <v>6.0000000000000002E-6</v>
      </c>
      <c r="AI66" s="140">
        <v>6.3346878195988897E-5</v>
      </c>
      <c r="AJ66" s="140">
        <v>9.9845894067862998E-6</v>
      </c>
    </row>
    <row r="67" spans="1:36">
      <c r="A67" s="2">
        <v>301</v>
      </c>
      <c r="B67" s="2">
        <v>7209</v>
      </c>
      <c r="C67" s="2" t="s">
        <v>1623</v>
      </c>
      <c r="D67" s="2" t="s">
        <v>1624</v>
      </c>
      <c r="E67" s="3" t="s">
        <v>1330</v>
      </c>
      <c r="F67" s="2" t="s">
        <v>1952</v>
      </c>
      <c r="G67" s="2" t="s">
        <v>1953</v>
      </c>
      <c r="H67" s="2" t="s">
        <v>328</v>
      </c>
      <c r="I67" s="2" t="s">
        <v>763</v>
      </c>
      <c r="J67" s="2" t="s">
        <v>30</v>
      </c>
      <c r="K67" s="2" t="s">
        <v>30</v>
      </c>
      <c r="L67" s="2" t="s">
        <v>334</v>
      </c>
      <c r="M67" s="2" t="s">
        <v>45</v>
      </c>
      <c r="N67" s="2" t="s">
        <v>470</v>
      </c>
      <c r="O67" s="2" t="s">
        <v>139</v>
      </c>
      <c r="P67" s="2" t="s">
        <v>103</v>
      </c>
      <c r="Q67" s="2" t="s">
        <v>420</v>
      </c>
      <c r="R67" s="2" t="s">
        <v>413</v>
      </c>
      <c r="S67" s="2" t="s">
        <v>34</v>
      </c>
      <c r="T67" s="124">
        <v>2.9119999999999999</v>
      </c>
      <c r="U67" s="2" t="s">
        <v>1954</v>
      </c>
      <c r="V67" s="138">
        <v>1.34E-2</v>
      </c>
      <c r="W67" s="140">
        <v>2.5749999999999999E-2</v>
      </c>
      <c r="X67" s="3" t="s">
        <v>419</v>
      </c>
      <c r="Y67" s="3" t="s">
        <v>139</v>
      </c>
      <c r="Z67" s="124">
        <v>19514.27</v>
      </c>
      <c r="AA67" s="134">
        <v>1</v>
      </c>
      <c r="AB67" s="151">
        <v>112.66</v>
      </c>
      <c r="AC67" s="124">
        <v>2.2370000000000001</v>
      </c>
      <c r="AD67" s="124">
        <v>24.222000000000001</v>
      </c>
      <c r="AE67" s="2"/>
      <c r="AF67" s="2"/>
      <c r="AG67" s="2" t="s">
        <v>36</v>
      </c>
      <c r="AH67" s="140">
        <v>7.9999999999999996E-6</v>
      </c>
      <c r="AI67" s="140">
        <v>7.4974726922611501E-3</v>
      </c>
      <c r="AJ67" s="140">
        <v>1.18173442090096E-3</v>
      </c>
    </row>
    <row r="68" spans="1:36">
      <c r="A68" s="2">
        <v>301</v>
      </c>
      <c r="B68" s="2">
        <v>7209</v>
      </c>
      <c r="C68" s="2" t="s">
        <v>1623</v>
      </c>
      <c r="D68" s="2" t="s">
        <v>1624</v>
      </c>
      <c r="E68" s="3" t="s">
        <v>1330</v>
      </c>
      <c r="F68" s="2" t="s">
        <v>1955</v>
      </c>
      <c r="G68" s="2" t="s">
        <v>1956</v>
      </c>
      <c r="H68" s="2" t="s">
        <v>328</v>
      </c>
      <c r="I68" s="2" t="s">
        <v>763</v>
      </c>
      <c r="J68" s="2" t="s">
        <v>30</v>
      </c>
      <c r="K68" s="2" t="s">
        <v>30</v>
      </c>
      <c r="L68" s="2" t="s">
        <v>334</v>
      </c>
      <c r="M68" s="2" t="s">
        <v>45</v>
      </c>
      <c r="N68" s="2" t="s">
        <v>470</v>
      </c>
      <c r="O68" s="2" t="s">
        <v>139</v>
      </c>
      <c r="P68" s="2" t="s">
        <v>103</v>
      </c>
      <c r="Q68" s="2" t="s">
        <v>422</v>
      </c>
      <c r="R68" s="2" t="s">
        <v>413</v>
      </c>
      <c r="S68" s="2" t="s">
        <v>34</v>
      </c>
      <c r="T68" s="124">
        <v>2.3159999999999998</v>
      </c>
      <c r="U68" s="2" t="s">
        <v>1797</v>
      </c>
      <c r="V68" s="138">
        <v>1.77E-2</v>
      </c>
      <c r="W68" s="140">
        <v>2.605E-2</v>
      </c>
      <c r="X68" s="3" t="s">
        <v>419</v>
      </c>
      <c r="Y68" s="3" t="s">
        <v>139</v>
      </c>
      <c r="Z68" s="124">
        <v>45364.71</v>
      </c>
      <c r="AA68" s="134">
        <v>1</v>
      </c>
      <c r="AB68" s="151">
        <v>113.1</v>
      </c>
      <c r="AC68" s="2"/>
      <c r="AD68" s="124">
        <v>51.307000000000002</v>
      </c>
      <c r="AE68" s="2"/>
      <c r="AF68" s="2"/>
      <c r="AG68" s="2" t="s">
        <v>36</v>
      </c>
      <c r="AH68" s="140">
        <v>1.7E-5</v>
      </c>
      <c r="AI68" s="140">
        <v>1.5881208459374699E-2</v>
      </c>
      <c r="AJ68" s="140">
        <v>2.5031595915405002E-3</v>
      </c>
    </row>
    <row r="69" spans="1:36">
      <c r="A69" s="2">
        <v>301</v>
      </c>
      <c r="B69" s="2">
        <v>7209</v>
      </c>
      <c r="C69" s="2" t="s">
        <v>1623</v>
      </c>
      <c r="D69" s="2" t="s">
        <v>1624</v>
      </c>
      <c r="E69" s="3" t="s">
        <v>1330</v>
      </c>
      <c r="F69" s="2" t="s">
        <v>1957</v>
      </c>
      <c r="G69" s="2" t="s">
        <v>1958</v>
      </c>
      <c r="H69" s="2" t="s">
        <v>328</v>
      </c>
      <c r="I69" s="2" t="s">
        <v>763</v>
      </c>
      <c r="J69" s="2" t="s">
        <v>30</v>
      </c>
      <c r="K69" s="2" t="s">
        <v>30</v>
      </c>
      <c r="L69" s="2" t="s">
        <v>334</v>
      </c>
      <c r="M69" s="2" t="s">
        <v>45</v>
      </c>
      <c r="N69" s="2" t="s">
        <v>470</v>
      </c>
      <c r="O69" s="2" t="s">
        <v>139</v>
      </c>
      <c r="P69" s="2" t="s">
        <v>103</v>
      </c>
      <c r="Q69" s="2" t="s">
        <v>420</v>
      </c>
      <c r="R69" s="2" t="s">
        <v>413</v>
      </c>
      <c r="S69" s="2" t="s">
        <v>34</v>
      </c>
      <c r="T69" s="124">
        <v>6.7249999999999996</v>
      </c>
      <c r="U69" s="2" t="s">
        <v>1959</v>
      </c>
      <c r="V69" s="138">
        <v>8.9999999999999993E-3</v>
      </c>
      <c r="W69" s="140">
        <v>2.9850000000000002E-2</v>
      </c>
      <c r="X69" s="3" t="s">
        <v>419</v>
      </c>
      <c r="Y69" s="3" t="s">
        <v>139</v>
      </c>
      <c r="Z69" s="124">
        <v>19600</v>
      </c>
      <c r="AA69" s="134">
        <v>1</v>
      </c>
      <c r="AB69" s="151">
        <v>98.8</v>
      </c>
      <c r="AC69" s="124">
        <v>0.1</v>
      </c>
      <c r="AD69" s="124">
        <v>19.465</v>
      </c>
      <c r="AE69" s="2"/>
      <c r="AF69" s="2"/>
      <c r="AG69" s="2" t="s">
        <v>36</v>
      </c>
      <c r="AH69" s="140">
        <v>6.9999999999999999E-6</v>
      </c>
      <c r="AI69" s="140">
        <v>6.0249805436170898E-3</v>
      </c>
      <c r="AJ69" s="140">
        <v>9.49643591366462E-4</v>
      </c>
    </row>
    <row r="70" spans="1:36">
      <c r="A70" s="2">
        <v>301</v>
      </c>
      <c r="B70" s="2">
        <v>7209</v>
      </c>
      <c r="C70" s="2" t="s">
        <v>1623</v>
      </c>
      <c r="D70" s="2" t="s">
        <v>1624</v>
      </c>
      <c r="E70" s="3" t="s">
        <v>1330</v>
      </c>
      <c r="F70" s="2" t="s">
        <v>1960</v>
      </c>
      <c r="G70" s="2" t="s">
        <v>1961</v>
      </c>
      <c r="H70" s="2" t="s">
        <v>328</v>
      </c>
      <c r="I70" s="2" t="s">
        <v>763</v>
      </c>
      <c r="J70" s="2" t="s">
        <v>30</v>
      </c>
      <c r="K70" s="2" t="s">
        <v>30</v>
      </c>
      <c r="L70" s="2" t="s">
        <v>334</v>
      </c>
      <c r="M70" s="2" t="s">
        <v>45</v>
      </c>
      <c r="N70" s="2" t="s">
        <v>470</v>
      </c>
      <c r="O70" s="2" t="s">
        <v>139</v>
      </c>
      <c r="P70" s="2" t="s">
        <v>103</v>
      </c>
      <c r="Q70" s="2" t="s">
        <v>420</v>
      </c>
      <c r="R70" s="2" t="s">
        <v>413</v>
      </c>
      <c r="S70" s="2" t="s">
        <v>34</v>
      </c>
      <c r="T70" s="124">
        <v>0.24399999999999999</v>
      </c>
      <c r="U70" s="2" t="s">
        <v>1962</v>
      </c>
      <c r="V70" s="138">
        <v>6.4999999999999997E-3</v>
      </c>
      <c r="W70" s="140">
        <v>2.9729999999999999E-2</v>
      </c>
      <c r="X70" s="3" t="s">
        <v>419</v>
      </c>
      <c r="Y70" s="3" t="s">
        <v>139</v>
      </c>
      <c r="Z70" s="124">
        <v>15759.28</v>
      </c>
      <c r="AA70" s="134">
        <v>1</v>
      </c>
      <c r="AB70" s="151">
        <v>114.76</v>
      </c>
      <c r="AC70" s="2"/>
      <c r="AD70" s="124">
        <v>18.085000000000001</v>
      </c>
      <c r="AE70" s="2"/>
      <c r="AF70" s="2"/>
      <c r="AG70" s="2" t="s">
        <v>36</v>
      </c>
      <c r="AH70" s="140">
        <v>2.9E-5</v>
      </c>
      <c r="AI70" s="140">
        <v>5.5979590081089697E-3</v>
      </c>
      <c r="AJ70" s="140">
        <v>8.8233743798803296E-4</v>
      </c>
    </row>
    <row r="71" spans="1:36">
      <c r="A71" s="2">
        <v>301</v>
      </c>
      <c r="B71" s="2">
        <v>7209</v>
      </c>
      <c r="C71" s="2" t="s">
        <v>1175</v>
      </c>
      <c r="D71" s="2" t="s">
        <v>1627</v>
      </c>
      <c r="E71" s="3" t="s">
        <v>1330</v>
      </c>
      <c r="F71" s="2" t="s">
        <v>1963</v>
      </c>
      <c r="G71" s="2" t="s">
        <v>1964</v>
      </c>
      <c r="H71" s="2" t="s">
        <v>328</v>
      </c>
      <c r="I71" s="2" t="s">
        <v>976</v>
      </c>
      <c r="J71" s="2" t="s">
        <v>30</v>
      </c>
      <c r="K71" s="2" t="s">
        <v>30</v>
      </c>
      <c r="L71" s="2" t="s">
        <v>334</v>
      </c>
      <c r="M71" s="2" t="s">
        <v>45</v>
      </c>
      <c r="N71" s="2" t="s">
        <v>454</v>
      </c>
      <c r="O71" s="2" t="s">
        <v>139</v>
      </c>
      <c r="P71" s="2" t="s">
        <v>1177</v>
      </c>
      <c r="Q71" s="2" t="s">
        <v>420</v>
      </c>
      <c r="R71" s="2" t="s">
        <v>413</v>
      </c>
      <c r="S71" s="2" t="s">
        <v>34</v>
      </c>
      <c r="T71" s="124">
        <v>3.665</v>
      </c>
      <c r="U71" s="2" t="s">
        <v>1965</v>
      </c>
      <c r="V71" s="138">
        <v>2.5000000000000001E-2</v>
      </c>
      <c r="W71" s="140">
        <v>4.5699999999999998E-2</v>
      </c>
      <c r="X71" s="3" t="s">
        <v>419</v>
      </c>
      <c r="Y71" s="3" t="s">
        <v>139</v>
      </c>
      <c r="Z71" s="124">
        <v>61250</v>
      </c>
      <c r="AA71" s="134">
        <v>1</v>
      </c>
      <c r="AB71" s="151">
        <v>92.99</v>
      </c>
      <c r="AC71" s="2"/>
      <c r="AD71" s="124">
        <v>56.956000000000003</v>
      </c>
      <c r="AE71" s="2"/>
      <c r="AF71" s="2"/>
      <c r="AG71" s="2" t="s">
        <v>36</v>
      </c>
      <c r="AH71" s="140">
        <v>3.0000000000000001E-5</v>
      </c>
      <c r="AI71" s="140">
        <v>1.7629708979686E-2</v>
      </c>
      <c r="AJ71" s="140">
        <v>2.77875422650968E-3</v>
      </c>
    </row>
    <row r="72" spans="1:36">
      <c r="A72" s="2">
        <v>301</v>
      </c>
      <c r="B72" s="2">
        <v>7209</v>
      </c>
      <c r="C72" s="2" t="s">
        <v>1175</v>
      </c>
      <c r="D72" s="2" t="s">
        <v>1627</v>
      </c>
      <c r="E72" s="3" t="s">
        <v>1330</v>
      </c>
      <c r="F72" s="2" t="s">
        <v>1966</v>
      </c>
      <c r="G72" s="2" t="s">
        <v>1967</v>
      </c>
      <c r="H72" s="2" t="s">
        <v>328</v>
      </c>
      <c r="I72" s="2" t="s">
        <v>763</v>
      </c>
      <c r="J72" s="2" t="s">
        <v>30</v>
      </c>
      <c r="K72" s="2" t="s">
        <v>30</v>
      </c>
      <c r="L72" s="2" t="s">
        <v>334</v>
      </c>
      <c r="M72" s="2" t="s">
        <v>45</v>
      </c>
      <c r="N72" s="2" t="s">
        <v>454</v>
      </c>
      <c r="O72" s="2" t="s">
        <v>139</v>
      </c>
      <c r="P72" s="2" t="s">
        <v>1177</v>
      </c>
      <c r="Q72" s="2" t="s">
        <v>420</v>
      </c>
      <c r="R72" s="2" t="s">
        <v>413</v>
      </c>
      <c r="S72" s="2" t="s">
        <v>34</v>
      </c>
      <c r="T72" s="124">
        <v>3.839</v>
      </c>
      <c r="U72" s="2" t="s">
        <v>1965</v>
      </c>
      <c r="V72" s="138">
        <v>1E-3</v>
      </c>
      <c r="W72" s="140">
        <v>2.359E-2</v>
      </c>
      <c r="X72" s="3" t="s">
        <v>419</v>
      </c>
      <c r="Y72" s="3" t="s">
        <v>139</v>
      </c>
      <c r="Z72" s="124">
        <v>17911.599999999999</v>
      </c>
      <c r="AA72" s="134">
        <v>1</v>
      </c>
      <c r="AB72" s="151">
        <v>103.09</v>
      </c>
      <c r="AC72" s="2"/>
      <c r="AD72" s="124">
        <v>18.465</v>
      </c>
      <c r="AE72" s="2"/>
      <c r="AF72" s="2"/>
      <c r="AG72" s="2" t="s">
        <v>36</v>
      </c>
      <c r="AH72" s="140">
        <v>1.8E-5</v>
      </c>
      <c r="AI72" s="140">
        <v>5.71549335587428E-3</v>
      </c>
      <c r="AJ72" s="140">
        <v>9.0086293185689004E-4</v>
      </c>
    </row>
    <row r="73" spans="1:36">
      <c r="A73" s="2">
        <v>301</v>
      </c>
      <c r="B73" s="2">
        <v>7209</v>
      </c>
      <c r="C73" s="2" t="s">
        <v>1175</v>
      </c>
      <c r="D73" s="2" t="s">
        <v>1627</v>
      </c>
      <c r="E73" s="3" t="s">
        <v>1330</v>
      </c>
      <c r="F73" s="2" t="s">
        <v>1968</v>
      </c>
      <c r="G73" s="2" t="s">
        <v>1969</v>
      </c>
      <c r="H73" s="2" t="s">
        <v>328</v>
      </c>
      <c r="I73" s="2" t="s">
        <v>763</v>
      </c>
      <c r="J73" s="2" t="s">
        <v>30</v>
      </c>
      <c r="K73" s="2" t="s">
        <v>30</v>
      </c>
      <c r="L73" s="2" t="s">
        <v>334</v>
      </c>
      <c r="M73" s="2" t="s">
        <v>45</v>
      </c>
      <c r="N73" s="2" t="s">
        <v>454</v>
      </c>
      <c r="O73" s="2" t="s">
        <v>139</v>
      </c>
      <c r="P73" s="2" t="s">
        <v>1177</v>
      </c>
      <c r="Q73" s="2" t="s">
        <v>420</v>
      </c>
      <c r="R73" s="2" t="s">
        <v>413</v>
      </c>
      <c r="S73" s="2" t="s">
        <v>34</v>
      </c>
      <c r="T73" s="124">
        <v>4.2240000000000002</v>
      </c>
      <c r="U73" s="2" t="s">
        <v>1970</v>
      </c>
      <c r="V73" s="138">
        <v>1.3899999999999999E-2</v>
      </c>
      <c r="W73" s="140">
        <v>2.298E-2</v>
      </c>
      <c r="X73" s="3" t="s">
        <v>419</v>
      </c>
      <c r="Y73" s="3" t="s">
        <v>139</v>
      </c>
      <c r="Z73" s="124">
        <v>28000</v>
      </c>
      <c r="AA73" s="134">
        <v>1</v>
      </c>
      <c r="AB73" s="151">
        <v>103.13</v>
      </c>
      <c r="AC73" s="2"/>
      <c r="AD73" s="124">
        <v>28.876000000000001</v>
      </c>
      <c r="AE73" s="2"/>
      <c r="AF73" s="2"/>
      <c r="AG73" s="2" t="s">
        <v>36</v>
      </c>
      <c r="AH73" s="140">
        <v>1.7E-5</v>
      </c>
      <c r="AI73" s="140">
        <v>8.9381132205306902E-3</v>
      </c>
      <c r="AJ73" s="140">
        <v>1.4088048712086101E-3</v>
      </c>
    </row>
    <row r="74" spans="1:36">
      <c r="A74" s="2">
        <v>301</v>
      </c>
      <c r="B74" s="2">
        <v>7209</v>
      </c>
      <c r="C74" s="2" t="s">
        <v>1175</v>
      </c>
      <c r="D74" s="2" t="s">
        <v>1627</v>
      </c>
      <c r="E74" s="3" t="s">
        <v>1330</v>
      </c>
      <c r="F74" s="2" t="s">
        <v>1971</v>
      </c>
      <c r="G74" s="2" t="s">
        <v>1972</v>
      </c>
      <c r="H74" s="2" t="s">
        <v>328</v>
      </c>
      <c r="I74" s="2" t="s">
        <v>763</v>
      </c>
      <c r="J74" s="2" t="s">
        <v>30</v>
      </c>
      <c r="K74" s="2" t="s">
        <v>30</v>
      </c>
      <c r="L74" s="2" t="s">
        <v>334</v>
      </c>
      <c r="M74" s="2" t="s">
        <v>45</v>
      </c>
      <c r="N74" s="2" t="s">
        <v>454</v>
      </c>
      <c r="O74" s="2" t="s">
        <v>139</v>
      </c>
      <c r="P74" s="2" t="s">
        <v>1177</v>
      </c>
      <c r="Q74" s="2" t="s">
        <v>420</v>
      </c>
      <c r="R74" s="2" t="s">
        <v>413</v>
      </c>
      <c r="S74" s="2" t="s">
        <v>34</v>
      </c>
      <c r="T74" s="124">
        <v>3.3029999999999999</v>
      </c>
      <c r="U74" s="2" t="s">
        <v>1973</v>
      </c>
      <c r="V74" s="138">
        <v>1.7500000000000002E-2</v>
      </c>
      <c r="W74" s="140">
        <v>2.341E-2</v>
      </c>
      <c r="X74" s="3" t="s">
        <v>419</v>
      </c>
      <c r="Y74" s="3" t="s">
        <v>139</v>
      </c>
      <c r="Z74" s="124">
        <v>23591.040000000001</v>
      </c>
      <c r="AA74" s="134">
        <v>1</v>
      </c>
      <c r="AB74" s="151">
        <v>112.53</v>
      </c>
      <c r="AC74" s="2"/>
      <c r="AD74" s="124">
        <v>26.547000000000001</v>
      </c>
      <c r="AE74" s="2"/>
      <c r="AF74" s="2"/>
      <c r="AG74" s="2" t="s">
        <v>36</v>
      </c>
      <c r="AH74" s="140">
        <v>1.1E-5</v>
      </c>
      <c r="AI74" s="140">
        <v>8.2170931154776899E-3</v>
      </c>
      <c r="AJ74" s="140">
        <v>1.29515933873708E-3</v>
      </c>
    </row>
    <row r="75" spans="1:36">
      <c r="A75" s="2">
        <v>301</v>
      </c>
      <c r="B75" s="2">
        <v>7209</v>
      </c>
      <c r="C75" s="2" t="s">
        <v>1175</v>
      </c>
      <c r="D75" s="2" t="s">
        <v>1627</v>
      </c>
      <c r="E75" s="3" t="s">
        <v>1330</v>
      </c>
      <c r="F75" s="2" t="s">
        <v>1974</v>
      </c>
      <c r="G75" s="2" t="s">
        <v>1975</v>
      </c>
      <c r="H75" s="2" t="s">
        <v>328</v>
      </c>
      <c r="I75" s="2" t="s">
        <v>763</v>
      </c>
      <c r="J75" s="2" t="s">
        <v>30</v>
      </c>
      <c r="K75" s="2" t="s">
        <v>30</v>
      </c>
      <c r="L75" s="2" t="s">
        <v>334</v>
      </c>
      <c r="M75" s="2" t="s">
        <v>109</v>
      </c>
      <c r="N75" s="2" t="s">
        <v>454</v>
      </c>
      <c r="O75" s="2" t="s">
        <v>139</v>
      </c>
      <c r="P75" s="2" t="s">
        <v>1437</v>
      </c>
      <c r="Q75" s="2" t="s">
        <v>420</v>
      </c>
      <c r="R75" s="2" t="s">
        <v>413</v>
      </c>
      <c r="S75" s="2" t="s">
        <v>34</v>
      </c>
      <c r="T75" s="124">
        <v>7.0410000000000004</v>
      </c>
      <c r="U75" s="2" t="s">
        <v>1976</v>
      </c>
      <c r="V75" s="138">
        <v>3.4500000000000003E-2</v>
      </c>
      <c r="W75" s="140">
        <v>3.3020000000000001E-2</v>
      </c>
      <c r="X75" s="3" t="s">
        <v>419</v>
      </c>
      <c r="Y75" s="3" t="s">
        <v>139</v>
      </c>
      <c r="Z75" s="124">
        <v>20000</v>
      </c>
      <c r="AA75" s="134">
        <v>1</v>
      </c>
      <c r="AB75" s="151">
        <v>100.92</v>
      </c>
      <c r="AC75" s="2"/>
      <c r="AD75" s="124">
        <v>20.184000000000001</v>
      </c>
      <c r="AE75" s="2"/>
      <c r="AF75" s="2"/>
      <c r="AG75" s="2" t="s">
        <v>36</v>
      </c>
      <c r="AH75" s="140">
        <v>5.8999999999999998E-5</v>
      </c>
      <c r="AI75" s="140">
        <v>6.2475543088193596E-3</v>
      </c>
      <c r="AJ75" s="140">
        <v>9.8472515689194289E-4</v>
      </c>
    </row>
    <row r="76" spans="1:36">
      <c r="A76" s="2">
        <v>301</v>
      </c>
      <c r="B76" s="2">
        <v>7209</v>
      </c>
      <c r="C76" s="2" t="s">
        <v>1175</v>
      </c>
      <c r="D76" s="2" t="s">
        <v>1627</v>
      </c>
      <c r="E76" s="3" t="s">
        <v>1330</v>
      </c>
      <c r="F76" s="2" t="s">
        <v>1977</v>
      </c>
      <c r="G76" s="2" t="s">
        <v>1978</v>
      </c>
      <c r="H76" s="2" t="s">
        <v>328</v>
      </c>
      <c r="I76" s="2" t="s">
        <v>763</v>
      </c>
      <c r="J76" s="2" t="s">
        <v>30</v>
      </c>
      <c r="K76" s="2" t="s">
        <v>30</v>
      </c>
      <c r="L76" s="2" t="s">
        <v>334</v>
      </c>
      <c r="M76" s="2" t="s">
        <v>45</v>
      </c>
      <c r="N76" s="2" t="s">
        <v>454</v>
      </c>
      <c r="O76" s="2" t="s">
        <v>139</v>
      </c>
      <c r="P76" s="2" t="s">
        <v>1437</v>
      </c>
      <c r="Q76" s="2" t="s">
        <v>420</v>
      </c>
      <c r="R76" s="2" t="s">
        <v>413</v>
      </c>
      <c r="S76" s="2" t="s">
        <v>34</v>
      </c>
      <c r="T76" s="124">
        <v>3.1419999999999999</v>
      </c>
      <c r="U76" s="2" t="s">
        <v>1979</v>
      </c>
      <c r="V76" s="138">
        <v>8.3999999999999995E-3</v>
      </c>
      <c r="W76" s="140">
        <v>2.8889999999999999E-2</v>
      </c>
      <c r="X76" s="3" t="s">
        <v>419</v>
      </c>
      <c r="Y76" s="3" t="s">
        <v>139</v>
      </c>
      <c r="Z76" s="124">
        <v>50000</v>
      </c>
      <c r="AA76" s="134">
        <v>1</v>
      </c>
      <c r="AB76" s="151">
        <v>105.82</v>
      </c>
      <c r="AC76" s="2"/>
      <c r="AD76" s="124">
        <v>52.91</v>
      </c>
      <c r="AE76" s="2"/>
      <c r="AF76" s="2"/>
      <c r="AG76" s="2" t="s">
        <v>36</v>
      </c>
      <c r="AH76" s="140">
        <v>1.26E-4</v>
      </c>
      <c r="AI76" s="140">
        <v>1.6377234367797901E-2</v>
      </c>
      <c r="AJ76" s="140">
        <v>2.5813420556456898E-3</v>
      </c>
    </row>
    <row r="77" spans="1:36">
      <c r="A77" s="2">
        <v>301</v>
      </c>
      <c r="B77" s="2">
        <v>7209</v>
      </c>
      <c r="C77" s="2" t="s">
        <v>1634</v>
      </c>
      <c r="D77" s="2" t="s">
        <v>1635</v>
      </c>
      <c r="E77" s="3" t="s">
        <v>1330</v>
      </c>
      <c r="F77" s="2" t="s">
        <v>1980</v>
      </c>
      <c r="G77" s="2" t="s">
        <v>1981</v>
      </c>
      <c r="H77" s="2" t="s">
        <v>328</v>
      </c>
      <c r="I77" s="2" t="s">
        <v>976</v>
      </c>
      <c r="J77" s="2" t="s">
        <v>30</v>
      </c>
      <c r="K77" s="2" t="s">
        <v>30</v>
      </c>
      <c r="L77" s="2" t="s">
        <v>334</v>
      </c>
      <c r="M77" s="2" t="s">
        <v>45</v>
      </c>
      <c r="N77" s="2" t="s">
        <v>483</v>
      </c>
      <c r="O77" s="2" t="s">
        <v>139</v>
      </c>
      <c r="P77" s="2" t="s">
        <v>1437</v>
      </c>
      <c r="Q77" s="2" t="s">
        <v>420</v>
      </c>
      <c r="R77" s="2" t="s">
        <v>413</v>
      </c>
      <c r="S77" s="2" t="s">
        <v>34</v>
      </c>
      <c r="T77" s="124">
        <v>1.387</v>
      </c>
      <c r="U77" s="2" t="s">
        <v>1982</v>
      </c>
      <c r="V77" s="138">
        <v>2.29E-2</v>
      </c>
      <c r="W77" s="140">
        <v>4.5949999999999998E-2</v>
      </c>
      <c r="X77" s="3" t="s">
        <v>419</v>
      </c>
      <c r="Y77" s="3" t="s">
        <v>139</v>
      </c>
      <c r="Z77" s="124">
        <v>16730.77</v>
      </c>
      <c r="AA77" s="134">
        <v>1</v>
      </c>
      <c r="AB77" s="151">
        <v>97.15</v>
      </c>
      <c r="AC77" s="2"/>
      <c r="AD77" s="124">
        <v>16.254000000000001</v>
      </c>
      <c r="AE77" s="2"/>
      <c r="AF77" s="2"/>
      <c r="AG77" s="2" t="s">
        <v>36</v>
      </c>
      <c r="AH77" s="140">
        <v>5.1E-5</v>
      </c>
      <c r="AI77" s="140">
        <v>5.0310836290413099E-3</v>
      </c>
      <c r="AJ77" s="140">
        <v>7.9298784309094199E-4</v>
      </c>
    </row>
    <row r="78" spans="1:36">
      <c r="A78" s="2">
        <v>301</v>
      </c>
      <c r="B78" s="2">
        <v>7209</v>
      </c>
      <c r="C78" s="2" t="s">
        <v>1983</v>
      </c>
      <c r="D78" s="2" t="s">
        <v>1984</v>
      </c>
      <c r="E78" s="3" t="s">
        <v>1330</v>
      </c>
      <c r="F78" s="2" t="s">
        <v>1985</v>
      </c>
      <c r="G78" s="2" t="s">
        <v>1986</v>
      </c>
      <c r="H78" s="2" t="s">
        <v>328</v>
      </c>
      <c r="I78" s="2" t="s">
        <v>976</v>
      </c>
      <c r="J78" s="2" t="s">
        <v>30</v>
      </c>
      <c r="K78" s="2" t="s">
        <v>30</v>
      </c>
      <c r="L78" s="2" t="s">
        <v>334</v>
      </c>
      <c r="M78" s="2" t="s">
        <v>45</v>
      </c>
      <c r="N78" s="2" t="s">
        <v>451</v>
      </c>
      <c r="O78" s="2" t="s">
        <v>139</v>
      </c>
      <c r="P78" s="2" t="s">
        <v>1719</v>
      </c>
      <c r="Q78" s="2" t="s">
        <v>420</v>
      </c>
      <c r="R78" s="2" t="s">
        <v>413</v>
      </c>
      <c r="S78" s="2" t="s">
        <v>34</v>
      </c>
      <c r="T78" s="124">
        <v>4.0860000000000003</v>
      </c>
      <c r="U78" s="2" t="s">
        <v>1784</v>
      </c>
      <c r="V78" s="138">
        <v>2.6200000000000001E-2</v>
      </c>
      <c r="W78" s="140">
        <v>4.8649999999999999E-2</v>
      </c>
      <c r="X78" s="3" t="s">
        <v>419</v>
      </c>
      <c r="Y78" s="3" t="s">
        <v>139</v>
      </c>
      <c r="Z78" s="124">
        <v>1000</v>
      </c>
      <c r="AA78" s="134">
        <v>1</v>
      </c>
      <c r="AB78" s="151">
        <v>91.99</v>
      </c>
      <c r="AC78" s="2"/>
      <c r="AD78" s="124">
        <v>0.92</v>
      </c>
      <c r="AE78" s="2"/>
      <c r="AF78" s="2"/>
      <c r="AG78" s="2" t="s">
        <v>36</v>
      </c>
      <c r="AH78" s="140">
        <v>9.9999999999999995E-7</v>
      </c>
      <c r="AI78" s="140">
        <v>2.8473668295099698E-4</v>
      </c>
      <c r="AJ78" s="140">
        <v>4.4879541806624002E-5</v>
      </c>
    </row>
    <row r="79" spans="1:36">
      <c r="A79" s="2">
        <v>301</v>
      </c>
      <c r="B79" s="2">
        <v>7209</v>
      </c>
      <c r="C79" s="2" t="s">
        <v>1983</v>
      </c>
      <c r="D79" s="2" t="s">
        <v>1984</v>
      </c>
      <c r="E79" s="3" t="s">
        <v>1330</v>
      </c>
      <c r="F79" s="2" t="s">
        <v>1987</v>
      </c>
      <c r="G79" s="2" t="s">
        <v>1988</v>
      </c>
      <c r="H79" s="2" t="s">
        <v>328</v>
      </c>
      <c r="I79" s="2" t="s">
        <v>763</v>
      </c>
      <c r="J79" s="2" t="s">
        <v>30</v>
      </c>
      <c r="K79" s="2" t="s">
        <v>30</v>
      </c>
      <c r="L79" s="2" t="s">
        <v>334</v>
      </c>
      <c r="M79" s="2" t="s">
        <v>45</v>
      </c>
      <c r="N79" s="2" t="s">
        <v>451</v>
      </c>
      <c r="O79" s="2" t="s">
        <v>139</v>
      </c>
      <c r="P79" s="2" t="s">
        <v>1719</v>
      </c>
      <c r="Q79" s="2" t="s">
        <v>420</v>
      </c>
      <c r="R79" s="2" t="s">
        <v>413</v>
      </c>
      <c r="S79" s="2" t="s">
        <v>34</v>
      </c>
      <c r="T79" s="124">
        <v>4.8659999999999997</v>
      </c>
      <c r="U79" s="2" t="s">
        <v>1989</v>
      </c>
      <c r="V79" s="138">
        <v>2.3099999999999999E-2</v>
      </c>
      <c r="W79" s="140">
        <v>2.5989999999999999E-2</v>
      </c>
      <c r="X79" s="3" t="s">
        <v>419</v>
      </c>
      <c r="Y79" s="3" t="s">
        <v>139</v>
      </c>
      <c r="Z79" s="124">
        <v>20000</v>
      </c>
      <c r="AA79" s="134">
        <v>1</v>
      </c>
      <c r="AB79" s="151">
        <v>102.32</v>
      </c>
      <c r="AC79" s="2"/>
      <c r="AD79" s="124">
        <v>20.463999999999999</v>
      </c>
      <c r="AE79" s="2"/>
      <c r="AF79" s="2"/>
      <c r="AG79" s="2" t="s">
        <v>36</v>
      </c>
      <c r="AH79" s="140">
        <v>6.7000000000000002E-5</v>
      </c>
      <c r="AI79" s="140">
        <v>6.3342227197621601E-3</v>
      </c>
      <c r="AJ79" s="140">
        <v>9.983856327108959E-4</v>
      </c>
    </row>
    <row r="80" spans="1:36">
      <c r="A80" s="2">
        <v>301</v>
      </c>
      <c r="B80" s="2">
        <v>7209</v>
      </c>
      <c r="C80" s="2" t="s">
        <v>1990</v>
      </c>
      <c r="D80" s="2" t="s">
        <v>1991</v>
      </c>
      <c r="E80" s="3" t="s">
        <v>1330</v>
      </c>
      <c r="F80" s="2" t="s">
        <v>1992</v>
      </c>
      <c r="G80" s="2" t="s">
        <v>1993</v>
      </c>
      <c r="H80" s="2" t="s">
        <v>328</v>
      </c>
      <c r="I80" s="2" t="s">
        <v>976</v>
      </c>
      <c r="J80" s="2" t="s">
        <v>30</v>
      </c>
      <c r="K80" s="2" t="s">
        <v>30</v>
      </c>
      <c r="L80" s="2" t="s">
        <v>334</v>
      </c>
      <c r="M80" s="2" t="s">
        <v>45</v>
      </c>
      <c r="N80" s="2" t="s">
        <v>491</v>
      </c>
      <c r="O80" s="2" t="s">
        <v>139</v>
      </c>
      <c r="P80" s="2" t="s">
        <v>1437</v>
      </c>
      <c r="Q80" s="2" t="s">
        <v>420</v>
      </c>
      <c r="R80" s="2" t="s">
        <v>413</v>
      </c>
      <c r="S80" s="2" t="s">
        <v>34</v>
      </c>
      <c r="T80" s="124">
        <v>1.8240000000000001</v>
      </c>
      <c r="U80" s="2" t="s">
        <v>1994</v>
      </c>
      <c r="V80" s="138">
        <v>0.04</v>
      </c>
      <c r="W80" s="140">
        <v>4.829E-2</v>
      </c>
      <c r="X80" s="3" t="s">
        <v>419</v>
      </c>
      <c r="Y80" s="3" t="s">
        <v>139</v>
      </c>
      <c r="Z80" s="124">
        <v>20000</v>
      </c>
      <c r="AA80" s="134">
        <v>1</v>
      </c>
      <c r="AB80" s="151">
        <v>100.59</v>
      </c>
      <c r="AC80" s="2"/>
      <c r="AD80" s="124">
        <v>20.117999999999999</v>
      </c>
      <c r="AE80" s="2"/>
      <c r="AF80" s="2"/>
      <c r="AG80" s="2" t="s">
        <v>36</v>
      </c>
      <c r="AH80" s="140">
        <v>3.4E-5</v>
      </c>
      <c r="AI80" s="140">
        <v>6.2271253262399899E-3</v>
      </c>
      <c r="AJ80" s="140">
        <v>9.8150518759176106E-4</v>
      </c>
    </row>
    <row r="81" spans="1:36">
      <c r="A81" s="2">
        <v>301</v>
      </c>
      <c r="B81" s="2">
        <v>7209</v>
      </c>
      <c r="C81" s="2" t="s">
        <v>1995</v>
      </c>
      <c r="D81" s="2" t="s">
        <v>1996</v>
      </c>
      <c r="E81" s="3" t="s">
        <v>1330</v>
      </c>
      <c r="F81" s="2" t="s">
        <v>1997</v>
      </c>
      <c r="G81" s="2" t="s">
        <v>1998</v>
      </c>
      <c r="H81" s="2" t="s">
        <v>328</v>
      </c>
      <c r="I81" s="2" t="s">
        <v>763</v>
      </c>
      <c r="J81" s="2" t="s">
        <v>30</v>
      </c>
      <c r="K81" s="2" t="s">
        <v>30</v>
      </c>
      <c r="L81" s="2" t="s">
        <v>334</v>
      </c>
      <c r="M81" s="2" t="s">
        <v>45</v>
      </c>
      <c r="N81" s="2" t="s">
        <v>470</v>
      </c>
      <c r="O81" s="2" t="s">
        <v>139</v>
      </c>
      <c r="P81" s="2" t="s">
        <v>1437</v>
      </c>
      <c r="Q81" s="2" t="s">
        <v>420</v>
      </c>
      <c r="R81" s="2" t="s">
        <v>413</v>
      </c>
      <c r="S81" s="2" t="s">
        <v>34</v>
      </c>
      <c r="T81" s="124">
        <v>1.39</v>
      </c>
      <c r="U81" s="2" t="s">
        <v>1999</v>
      </c>
      <c r="V81" s="138">
        <v>2.1499999999999998E-2</v>
      </c>
      <c r="W81" s="140">
        <v>2.581E-2</v>
      </c>
      <c r="X81" s="3" t="s">
        <v>419</v>
      </c>
      <c r="Y81" s="3" t="s">
        <v>139</v>
      </c>
      <c r="Z81" s="124">
        <v>17857.14</v>
      </c>
      <c r="AA81" s="134">
        <v>1</v>
      </c>
      <c r="AB81" s="151">
        <v>116.4</v>
      </c>
      <c r="AC81" s="2"/>
      <c r="AD81" s="124">
        <v>20.786000000000001</v>
      </c>
      <c r="AE81" s="2"/>
      <c r="AF81" s="2"/>
      <c r="AG81" s="2" t="s">
        <v>36</v>
      </c>
      <c r="AH81" s="140">
        <v>1.2999999999999999E-5</v>
      </c>
      <c r="AI81" s="140">
        <v>6.4338019257838804E-3</v>
      </c>
      <c r="AJ81" s="140">
        <v>1.01408107838865E-3</v>
      </c>
    </row>
    <row r="82" spans="1:36">
      <c r="A82" s="2">
        <v>301</v>
      </c>
      <c r="B82" s="2">
        <v>7209</v>
      </c>
      <c r="C82" s="2" t="s">
        <v>1646</v>
      </c>
      <c r="D82" s="2" t="s">
        <v>1647</v>
      </c>
      <c r="E82" s="3" t="s">
        <v>1330</v>
      </c>
      <c r="F82" s="2" t="s">
        <v>2000</v>
      </c>
      <c r="G82" s="2" t="s">
        <v>2001</v>
      </c>
      <c r="H82" s="2" t="s">
        <v>328</v>
      </c>
      <c r="I82" s="2" t="s">
        <v>976</v>
      </c>
      <c r="J82" s="2" t="s">
        <v>30</v>
      </c>
      <c r="K82" s="2" t="s">
        <v>30</v>
      </c>
      <c r="L82" s="2" t="s">
        <v>334</v>
      </c>
      <c r="M82" s="2" t="s">
        <v>45</v>
      </c>
      <c r="N82" s="2" t="s">
        <v>482</v>
      </c>
      <c r="O82" s="2" t="s">
        <v>139</v>
      </c>
      <c r="P82" s="2" t="s">
        <v>1719</v>
      </c>
      <c r="Q82" s="2" t="s">
        <v>420</v>
      </c>
      <c r="R82" s="2" t="s">
        <v>413</v>
      </c>
      <c r="S82" s="2" t="s">
        <v>34</v>
      </c>
      <c r="T82" s="124">
        <v>3.129</v>
      </c>
      <c r="U82" s="2" t="s">
        <v>2002</v>
      </c>
      <c r="V82" s="138">
        <v>3.5200000000000002E-2</v>
      </c>
      <c r="W82" s="140">
        <v>4.7440000000000003E-2</v>
      </c>
      <c r="X82" s="3" t="s">
        <v>419</v>
      </c>
      <c r="Y82" s="3" t="s">
        <v>139</v>
      </c>
      <c r="Z82" s="124">
        <v>39111.11</v>
      </c>
      <c r="AA82" s="134">
        <v>1</v>
      </c>
      <c r="AB82" s="151">
        <v>97.69</v>
      </c>
      <c r="AC82" s="2"/>
      <c r="AD82" s="124">
        <v>38.207999999999998</v>
      </c>
      <c r="AE82" s="2"/>
      <c r="AF82" s="2"/>
      <c r="AG82" s="2" t="s">
        <v>36</v>
      </c>
      <c r="AH82" s="140">
        <v>5.1999999999999997E-5</v>
      </c>
      <c r="AI82" s="140">
        <v>1.1826413342120199E-2</v>
      </c>
      <c r="AJ82" s="140">
        <v>1.8640521007313999E-3</v>
      </c>
    </row>
    <row r="83" spans="1:36">
      <c r="A83" s="2">
        <v>301</v>
      </c>
      <c r="B83" s="2">
        <v>7209</v>
      </c>
      <c r="C83" s="2" t="s">
        <v>2003</v>
      </c>
      <c r="D83" s="2" t="s">
        <v>2004</v>
      </c>
      <c r="E83" s="3" t="s">
        <v>1330</v>
      </c>
      <c r="F83" s="2" t="s">
        <v>2005</v>
      </c>
      <c r="G83" s="2" t="s">
        <v>2006</v>
      </c>
      <c r="H83" s="2" t="s">
        <v>328</v>
      </c>
      <c r="I83" s="2" t="s">
        <v>763</v>
      </c>
      <c r="J83" s="2" t="s">
        <v>30</v>
      </c>
      <c r="K83" s="2" t="s">
        <v>30</v>
      </c>
      <c r="L83" s="2" t="s">
        <v>334</v>
      </c>
      <c r="M83" s="2" t="s">
        <v>45</v>
      </c>
      <c r="N83" s="2" t="s">
        <v>453</v>
      </c>
      <c r="O83" s="2" t="s">
        <v>139</v>
      </c>
      <c r="P83" s="2" t="s">
        <v>1395</v>
      </c>
      <c r="Q83" s="2" t="s">
        <v>420</v>
      </c>
      <c r="R83" s="2" t="s">
        <v>413</v>
      </c>
      <c r="S83" s="2" t="s">
        <v>34</v>
      </c>
      <c r="T83" s="124">
        <v>0.24399999999999999</v>
      </c>
      <c r="U83" s="2" t="s">
        <v>1962</v>
      </c>
      <c r="V83" s="138">
        <v>4.3400000000000001E-2</v>
      </c>
      <c r="W83" s="140">
        <v>3.3689999999999998E-2</v>
      </c>
      <c r="X83" s="3" t="s">
        <v>419</v>
      </c>
      <c r="Y83" s="3" t="s">
        <v>139</v>
      </c>
      <c r="Z83" s="124">
        <v>35000</v>
      </c>
      <c r="AA83" s="134">
        <v>1</v>
      </c>
      <c r="AB83" s="151">
        <v>116.76</v>
      </c>
      <c r="AC83" s="2"/>
      <c r="AD83" s="124">
        <v>40.866</v>
      </c>
      <c r="AE83" s="2"/>
      <c r="AF83" s="2"/>
      <c r="AG83" s="2" t="s">
        <v>36</v>
      </c>
      <c r="AH83" s="140">
        <v>8.0000000000000007E-5</v>
      </c>
      <c r="AI83" s="140">
        <v>1.2649254577101299E-2</v>
      </c>
      <c r="AJ83" s="140">
        <v>1.9937464457761701E-3</v>
      </c>
    </row>
    <row r="84" spans="1:36">
      <c r="A84" s="2">
        <v>301</v>
      </c>
      <c r="B84" s="2">
        <v>7209</v>
      </c>
      <c r="C84" s="2" t="s">
        <v>2007</v>
      </c>
      <c r="D84" s="2" t="s">
        <v>2008</v>
      </c>
      <c r="E84" s="3" t="s">
        <v>1330</v>
      </c>
      <c r="F84" s="2" t="s">
        <v>2009</v>
      </c>
      <c r="G84" s="2" t="s">
        <v>2010</v>
      </c>
      <c r="H84" s="2" t="s">
        <v>328</v>
      </c>
      <c r="I84" s="2" t="s">
        <v>976</v>
      </c>
      <c r="J84" s="2" t="s">
        <v>30</v>
      </c>
      <c r="K84" s="2" t="s">
        <v>30</v>
      </c>
      <c r="L84" s="2" t="s">
        <v>334</v>
      </c>
      <c r="M84" s="2" t="s">
        <v>45</v>
      </c>
      <c r="N84" s="2" t="s">
        <v>446</v>
      </c>
      <c r="O84" s="2" t="s">
        <v>139</v>
      </c>
      <c r="P84" s="2" t="s">
        <v>1783</v>
      </c>
      <c r="Q84" s="2" t="s">
        <v>422</v>
      </c>
      <c r="R84" s="2" t="s">
        <v>413</v>
      </c>
      <c r="S84" s="2" t="s">
        <v>34</v>
      </c>
      <c r="T84" s="124">
        <v>4.202</v>
      </c>
      <c r="U84" s="2" t="s">
        <v>2011</v>
      </c>
      <c r="V84" s="138">
        <v>6.7699999999999996E-2</v>
      </c>
      <c r="W84" s="140">
        <v>5.5649999999999998E-2</v>
      </c>
      <c r="X84" s="3" t="s">
        <v>419</v>
      </c>
      <c r="Y84" s="3" t="s">
        <v>139</v>
      </c>
      <c r="Z84" s="124">
        <v>35000</v>
      </c>
      <c r="AA84" s="134">
        <v>1</v>
      </c>
      <c r="AB84" s="151">
        <v>105.34</v>
      </c>
      <c r="AC84" s="2"/>
      <c r="AD84" s="124">
        <v>36.869</v>
      </c>
      <c r="AE84" s="2"/>
      <c r="AF84" s="2"/>
      <c r="AG84" s="2" t="s">
        <v>36</v>
      </c>
      <c r="AH84" s="140">
        <v>4.6999999999999997E-5</v>
      </c>
      <c r="AI84" s="140">
        <v>1.1412063010892801E-2</v>
      </c>
      <c r="AJ84" s="140">
        <v>1.7987431534606101E-3</v>
      </c>
    </row>
    <row r="85" spans="1:36">
      <c r="A85" s="2">
        <v>301</v>
      </c>
      <c r="B85" s="2">
        <v>7209</v>
      </c>
      <c r="C85" s="2" t="s">
        <v>2012</v>
      </c>
      <c r="D85" s="2" t="s">
        <v>2013</v>
      </c>
      <c r="E85" s="3" t="s">
        <v>1330</v>
      </c>
      <c r="F85" s="2" t="s">
        <v>2014</v>
      </c>
      <c r="G85" s="2" t="s">
        <v>2015</v>
      </c>
      <c r="H85" s="2" t="s">
        <v>328</v>
      </c>
      <c r="I85" s="2" t="s">
        <v>976</v>
      </c>
      <c r="J85" s="2" t="s">
        <v>30</v>
      </c>
      <c r="K85" s="2" t="s">
        <v>30</v>
      </c>
      <c r="L85" s="2" t="s">
        <v>334</v>
      </c>
      <c r="M85" s="2" t="s">
        <v>45</v>
      </c>
      <c r="N85" s="2" t="s">
        <v>484</v>
      </c>
      <c r="O85" s="2" t="s">
        <v>139</v>
      </c>
      <c r="P85" s="2" t="s">
        <v>1719</v>
      </c>
      <c r="Q85" s="2" t="s">
        <v>420</v>
      </c>
      <c r="R85" s="2" t="s">
        <v>413</v>
      </c>
      <c r="S85" s="2" t="s">
        <v>34</v>
      </c>
      <c r="T85" s="124">
        <v>3.226</v>
      </c>
      <c r="U85" s="2" t="s">
        <v>2016</v>
      </c>
      <c r="V85" s="138">
        <v>4.5600000000000002E-2</v>
      </c>
      <c r="W85" s="140">
        <v>5.1310000000000001E-2</v>
      </c>
      <c r="X85" s="3" t="s">
        <v>419</v>
      </c>
      <c r="Y85" s="3" t="s">
        <v>139</v>
      </c>
      <c r="Z85" s="124">
        <v>27096.78</v>
      </c>
      <c r="AA85" s="134">
        <v>1</v>
      </c>
      <c r="AB85" s="151">
        <v>98.63</v>
      </c>
      <c r="AC85" s="2"/>
      <c r="AD85" s="124">
        <v>26.725999999999999</v>
      </c>
      <c r="AE85" s="2"/>
      <c r="AF85" s="2"/>
      <c r="AG85" s="2" t="s">
        <v>36</v>
      </c>
      <c r="AH85" s="140">
        <v>4.1E-5</v>
      </c>
      <c r="AI85" s="140">
        <v>8.2723618093790002E-3</v>
      </c>
      <c r="AJ85" s="140">
        <v>1.30387066329433E-3</v>
      </c>
    </row>
    <row r="86" spans="1:36">
      <c r="A86" s="2">
        <v>301</v>
      </c>
      <c r="B86" s="2">
        <v>7209</v>
      </c>
      <c r="C86" s="2" t="s">
        <v>2012</v>
      </c>
      <c r="D86" s="2" t="s">
        <v>2013</v>
      </c>
      <c r="E86" s="3" t="s">
        <v>1330</v>
      </c>
      <c r="F86" s="2" t="s">
        <v>2017</v>
      </c>
      <c r="G86" s="2" t="s">
        <v>2018</v>
      </c>
      <c r="H86" s="2" t="s">
        <v>328</v>
      </c>
      <c r="I86" s="2" t="s">
        <v>763</v>
      </c>
      <c r="J86" s="2" t="s">
        <v>30</v>
      </c>
      <c r="K86" s="2" t="s">
        <v>30</v>
      </c>
      <c r="L86" s="2" t="s">
        <v>334</v>
      </c>
      <c r="M86" s="2" t="s">
        <v>45</v>
      </c>
      <c r="N86" s="2" t="s">
        <v>484</v>
      </c>
      <c r="O86" s="2" t="s">
        <v>139</v>
      </c>
      <c r="P86" s="2" t="s">
        <v>1719</v>
      </c>
      <c r="Q86" s="2" t="s">
        <v>420</v>
      </c>
      <c r="R86" s="2" t="s">
        <v>413</v>
      </c>
      <c r="S86" s="2" t="s">
        <v>34</v>
      </c>
      <c r="T86" s="124">
        <v>3.395</v>
      </c>
      <c r="U86" s="2" t="s">
        <v>2016</v>
      </c>
      <c r="V86" s="138">
        <v>2.1999999999999999E-2</v>
      </c>
      <c r="W86" s="140">
        <v>2.8129999999999999E-2</v>
      </c>
      <c r="X86" s="3" t="s">
        <v>419</v>
      </c>
      <c r="Y86" s="3" t="s">
        <v>139</v>
      </c>
      <c r="Z86" s="124">
        <v>28000</v>
      </c>
      <c r="AA86" s="134">
        <v>1</v>
      </c>
      <c r="AB86" s="151">
        <v>104.57</v>
      </c>
      <c r="AC86" s="2"/>
      <c r="AD86" s="124">
        <v>29.28</v>
      </c>
      <c r="AE86" s="2"/>
      <c r="AF86" s="2"/>
      <c r="AG86" s="2" t="s">
        <v>36</v>
      </c>
      <c r="AH86" s="140">
        <v>4.5000000000000003E-5</v>
      </c>
      <c r="AI86" s="140">
        <v>9.0629157322883198E-3</v>
      </c>
      <c r="AJ86" s="140">
        <v>1.4284759563879001E-3</v>
      </c>
    </row>
    <row r="87" spans="1:36">
      <c r="A87" s="2">
        <v>301</v>
      </c>
      <c r="B87" s="2">
        <v>7209</v>
      </c>
      <c r="C87" s="2" t="s">
        <v>2019</v>
      </c>
      <c r="D87" s="2" t="s">
        <v>2020</v>
      </c>
      <c r="E87" s="3" t="s">
        <v>1330</v>
      </c>
      <c r="F87" s="2" t="s">
        <v>2021</v>
      </c>
      <c r="G87" s="2" t="s">
        <v>2022</v>
      </c>
      <c r="H87" s="2" t="s">
        <v>328</v>
      </c>
      <c r="I87" s="2" t="s">
        <v>764</v>
      </c>
      <c r="J87" s="2" t="s">
        <v>30</v>
      </c>
      <c r="K87" s="2" t="s">
        <v>30</v>
      </c>
      <c r="L87" s="2" t="s">
        <v>334</v>
      </c>
      <c r="M87" s="2" t="s">
        <v>45</v>
      </c>
      <c r="N87" s="2" t="s">
        <v>460</v>
      </c>
      <c r="O87" s="2" t="s">
        <v>139</v>
      </c>
      <c r="P87" s="2" t="s">
        <v>1725</v>
      </c>
      <c r="Q87" s="2" t="s">
        <v>422</v>
      </c>
      <c r="R87" s="2" t="s">
        <v>413</v>
      </c>
      <c r="S87" s="2" t="s">
        <v>34</v>
      </c>
      <c r="T87" s="124">
        <v>2.875</v>
      </c>
      <c r="U87" s="2" t="s">
        <v>2023</v>
      </c>
      <c r="V87" s="138">
        <v>4.6899999999999997E-2</v>
      </c>
      <c r="W87" s="140">
        <v>7.4120000000000005E-2</v>
      </c>
      <c r="X87" s="3" t="s">
        <v>419</v>
      </c>
      <c r="Y87" s="3" t="s">
        <v>139</v>
      </c>
      <c r="Z87" s="124">
        <v>67216.11</v>
      </c>
      <c r="AA87" s="134">
        <v>1</v>
      </c>
      <c r="AB87" s="151">
        <v>99.5</v>
      </c>
      <c r="AC87" s="2"/>
      <c r="AD87" s="124">
        <v>66.88</v>
      </c>
      <c r="AE87" s="2"/>
      <c r="AF87" s="2"/>
      <c r="AG87" s="2" t="s">
        <v>36</v>
      </c>
      <c r="AH87" s="140">
        <v>5.8E-5</v>
      </c>
      <c r="AI87" s="140">
        <v>2.0701378129425001E-2</v>
      </c>
      <c r="AJ87" s="140">
        <v>3.2629036609734901E-3</v>
      </c>
    </row>
    <row r="88" spans="1:36">
      <c r="A88" s="2">
        <v>301</v>
      </c>
      <c r="B88" s="2">
        <v>7209</v>
      </c>
      <c r="C88" s="2" t="s">
        <v>1175</v>
      </c>
      <c r="D88" s="2" t="s">
        <v>1627</v>
      </c>
      <c r="E88" s="3" t="s">
        <v>1330</v>
      </c>
      <c r="F88" s="2" t="s">
        <v>2024</v>
      </c>
      <c r="G88" s="2" t="s">
        <v>2025</v>
      </c>
      <c r="H88" s="2" t="s">
        <v>328</v>
      </c>
      <c r="I88" s="2" t="s">
        <v>764</v>
      </c>
      <c r="J88" s="2" t="s">
        <v>30</v>
      </c>
      <c r="K88" s="2" t="s">
        <v>30</v>
      </c>
      <c r="L88" s="2" t="s">
        <v>334</v>
      </c>
      <c r="M88" s="2" t="s">
        <v>31</v>
      </c>
      <c r="N88" s="2" t="s">
        <v>543</v>
      </c>
      <c r="O88" s="2" t="s">
        <v>139</v>
      </c>
      <c r="P88" s="2" t="s">
        <v>2026</v>
      </c>
      <c r="Q88" s="2" t="s">
        <v>439</v>
      </c>
      <c r="R88" s="2" t="s">
        <v>413</v>
      </c>
      <c r="S88" s="2" t="s">
        <v>105</v>
      </c>
      <c r="T88" s="124">
        <v>5.9640000000000004</v>
      </c>
      <c r="U88" s="2" t="s">
        <v>2027</v>
      </c>
      <c r="V88" s="138">
        <v>3.2550000000000003E-2</v>
      </c>
      <c r="W88" s="140">
        <v>6.5949999999999995E-2</v>
      </c>
      <c r="X88" s="3" t="s">
        <v>419</v>
      </c>
      <c r="Y88" s="3" t="s">
        <v>139</v>
      </c>
      <c r="Z88" s="124">
        <v>12000</v>
      </c>
      <c r="AA88" s="134">
        <v>3.6469999999999998</v>
      </c>
      <c r="AB88" s="151">
        <v>95.063000000000002</v>
      </c>
      <c r="AC88" s="2"/>
      <c r="AD88" s="124">
        <v>41.603000000000002</v>
      </c>
      <c r="AE88" s="2"/>
      <c r="AF88" s="2"/>
      <c r="AG88" s="2" t="s">
        <v>36</v>
      </c>
      <c r="AH88" s="140">
        <v>1.2E-5</v>
      </c>
      <c r="AI88" s="140">
        <v>1.2877442352076E-2</v>
      </c>
      <c r="AJ88" s="140">
        <v>2.0297128786242401E-3</v>
      </c>
    </row>
    <row r="89" spans="1:36">
      <c r="A89" s="2">
        <v>301</v>
      </c>
      <c r="B89" s="2">
        <v>7209</v>
      </c>
      <c r="C89" s="2" t="s">
        <v>1181</v>
      </c>
      <c r="D89" s="2" t="s">
        <v>1590</v>
      </c>
      <c r="E89" s="3" t="s">
        <v>1330</v>
      </c>
      <c r="F89" s="2" t="s">
        <v>2028</v>
      </c>
      <c r="G89" s="2" t="s">
        <v>2029</v>
      </c>
      <c r="H89" s="2" t="s">
        <v>328</v>
      </c>
      <c r="I89" s="2" t="s">
        <v>764</v>
      </c>
      <c r="J89" s="2" t="s">
        <v>30</v>
      </c>
      <c r="K89" s="2" t="s">
        <v>30</v>
      </c>
      <c r="L89" s="2" t="s">
        <v>334</v>
      </c>
      <c r="M89" s="2" t="s">
        <v>31</v>
      </c>
      <c r="N89" s="2" t="s">
        <v>543</v>
      </c>
      <c r="O89" s="2" t="s">
        <v>139</v>
      </c>
      <c r="P89" s="2" t="s">
        <v>2026</v>
      </c>
      <c r="Q89" s="2" t="s">
        <v>439</v>
      </c>
      <c r="R89" s="2" t="s">
        <v>413</v>
      </c>
      <c r="S89" s="2" t="s">
        <v>105</v>
      </c>
      <c r="T89" s="124">
        <v>5.2160000000000002</v>
      </c>
      <c r="U89" s="2" t="s">
        <v>2030</v>
      </c>
      <c r="V89" s="138">
        <v>3.2750000000000001E-2</v>
      </c>
      <c r="W89" s="140">
        <v>6.3509999999999997E-2</v>
      </c>
      <c r="X89" s="3" t="s">
        <v>419</v>
      </c>
      <c r="Y89" s="3" t="s">
        <v>139</v>
      </c>
      <c r="Z89" s="124">
        <v>14000</v>
      </c>
      <c r="AA89" s="134">
        <v>3.6469999999999998</v>
      </c>
      <c r="AB89" s="151">
        <v>97.311000000000007</v>
      </c>
      <c r="AC89" s="2"/>
      <c r="AD89" s="124">
        <v>49.685000000000002</v>
      </c>
      <c r="AE89" s="2"/>
      <c r="AF89" s="2"/>
      <c r="AG89" s="2" t="s">
        <v>36</v>
      </c>
      <c r="AH89" s="140">
        <v>1.9000000000000001E-5</v>
      </c>
      <c r="AI89" s="140">
        <v>1.5379059046841699E-2</v>
      </c>
      <c r="AJ89" s="140">
        <v>2.4240119547858001E-3</v>
      </c>
    </row>
    <row r="90" spans="1:36">
      <c r="A90" s="2">
        <v>301</v>
      </c>
      <c r="B90" s="2">
        <v>7209</v>
      </c>
      <c r="C90" s="2" t="s">
        <v>1592</v>
      </c>
      <c r="D90" s="2" t="s">
        <v>1593</v>
      </c>
      <c r="E90" s="3" t="s">
        <v>1330</v>
      </c>
      <c r="F90" s="2" t="s">
        <v>2031</v>
      </c>
      <c r="G90" s="2" t="s">
        <v>2032</v>
      </c>
      <c r="H90" s="2" t="s">
        <v>328</v>
      </c>
      <c r="I90" s="2" t="s">
        <v>764</v>
      </c>
      <c r="J90" s="2" t="s">
        <v>100</v>
      </c>
      <c r="K90" s="2" t="s">
        <v>30</v>
      </c>
      <c r="L90" s="2" t="s">
        <v>334</v>
      </c>
      <c r="M90" s="2" t="s">
        <v>109</v>
      </c>
      <c r="N90" s="2" t="s">
        <v>543</v>
      </c>
      <c r="O90" s="2" t="s">
        <v>139</v>
      </c>
      <c r="P90" s="2" t="s">
        <v>2026</v>
      </c>
      <c r="Q90" s="2" t="s">
        <v>439</v>
      </c>
      <c r="R90" s="2" t="s">
        <v>413</v>
      </c>
      <c r="S90" s="2" t="s">
        <v>105</v>
      </c>
      <c r="T90" s="124">
        <v>5.3739999999999997</v>
      </c>
      <c r="U90" s="2" t="s">
        <v>2033</v>
      </c>
      <c r="V90" s="138">
        <v>3.0769999999999999E-2</v>
      </c>
      <c r="W90" s="140">
        <v>6.7519999999999997E-2</v>
      </c>
      <c r="X90" s="3" t="s">
        <v>419</v>
      </c>
      <c r="Y90" s="3" t="s">
        <v>139</v>
      </c>
      <c r="Z90" s="124">
        <v>5000</v>
      </c>
      <c r="AA90" s="134">
        <v>3.6469999999999998</v>
      </c>
      <c r="AB90" s="151">
        <v>95.997</v>
      </c>
      <c r="AC90" s="2"/>
      <c r="AD90" s="124">
        <v>17.504999999999999</v>
      </c>
      <c r="AE90" s="2"/>
      <c r="AF90" s="2"/>
      <c r="AG90" s="2" t="s">
        <v>36</v>
      </c>
      <c r="AH90" s="140">
        <v>7.9999999999999996E-6</v>
      </c>
      <c r="AI90" s="140">
        <v>5.4183352083116004E-3</v>
      </c>
      <c r="AJ90" s="140">
        <v>8.5402554733550896E-4</v>
      </c>
    </row>
    <row r="91" spans="1:36">
      <c r="A91" s="2">
        <v>301</v>
      </c>
      <c r="B91" s="2">
        <v>7210</v>
      </c>
      <c r="C91" s="2" t="s">
        <v>2034</v>
      </c>
      <c r="D91" s="2" t="s">
        <v>2035</v>
      </c>
      <c r="E91" s="3" t="s">
        <v>1330</v>
      </c>
      <c r="F91" s="2" t="s">
        <v>2036</v>
      </c>
      <c r="G91" s="2" t="s">
        <v>2037</v>
      </c>
      <c r="H91" s="2" t="s">
        <v>328</v>
      </c>
      <c r="I91" s="2" t="s">
        <v>763</v>
      </c>
      <c r="J91" s="2" t="s">
        <v>30</v>
      </c>
      <c r="K91" s="2" t="s">
        <v>305</v>
      </c>
      <c r="L91" s="2" t="s">
        <v>334</v>
      </c>
      <c r="M91" s="2" t="s">
        <v>45</v>
      </c>
      <c r="N91" s="2" t="s">
        <v>471</v>
      </c>
      <c r="O91" s="2" t="s">
        <v>139</v>
      </c>
      <c r="P91" s="2" t="s">
        <v>1395</v>
      </c>
      <c r="Q91" s="2" t="s">
        <v>422</v>
      </c>
      <c r="R91" s="2" t="s">
        <v>413</v>
      </c>
      <c r="S91" s="2" t="s">
        <v>34</v>
      </c>
      <c r="T91" s="124">
        <v>0.49299999999999999</v>
      </c>
      <c r="U91" s="2" t="s">
        <v>2038</v>
      </c>
      <c r="V91" s="138">
        <v>4.65E-2</v>
      </c>
      <c r="W91" s="140">
        <v>2.879E-2</v>
      </c>
      <c r="X91" s="3" t="s">
        <v>419</v>
      </c>
      <c r="Y91" s="3" t="s">
        <v>139</v>
      </c>
      <c r="Z91" s="124">
        <v>106725.2</v>
      </c>
      <c r="AA91" s="134">
        <v>1</v>
      </c>
      <c r="AB91" s="151">
        <v>116.83</v>
      </c>
      <c r="AC91" s="124">
        <v>2.8730000000000002</v>
      </c>
      <c r="AD91" s="124">
        <v>127.56</v>
      </c>
      <c r="AE91" s="2"/>
      <c r="AF91" s="2"/>
      <c r="AG91" s="2" t="s">
        <v>36</v>
      </c>
      <c r="AH91" s="140">
        <v>7.45E-4</v>
      </c>
      <c r="AI91" s="140">
        <v>5.6141627902223502E-4</v>
      </c>
      <c r="AJ91" s="140">
        <v>9.2302504023550406E-5</v>
      </c>
    </row>
    <row r="92" spans="1:36">
      <c r="A92" s="2">
        <v>301</v>
      </c>
      <c r="B92" s="2">
        <v>7210</v>
      </c>
      <c r="C92" s="2" t="s">
        <v>1715</v>
      </c>
      <c r="D92" s="2" t="s">
        <v>1716</v>
      </c>
      <c r="E92" s="3" t="s">
        <v>1330</v>
      </c>
      <c r="F92" s="2" t="s">
        <v>1717</v>
      </c>
      <c r="G92" s="2" t="s">
        <v>1718</v>
      </c>
      <c r="H92" s="2" t="s">
        <v>328</v>
      </c>
      <c r="I92" s="2" t="s">
        <v>763</v>
      </c>
      <c r="J92" s="2" t="s">
        <v>30</v>
      </c>
      <c r="K92" s="2" t="s">
        <v>30</v>
      </c>
      <c r="L92" s="2" t="s">
        <v>334</v>
      </c>
      <c r="M92" s="2" t="s">
        <v>45</v>
      </c>
      <c r="N92" s="2" t="s">
        <v>470</v>
      </c>
      <c r="O92" s="2" t="s">
        <v>139</v>
      </c>
      <c r="P92" s="2" t="s">
        <v>1719</v>
      </c>
      <c r="Q92" s="2" t="s">
        <v>420</v>
      </c>
      <c r="R92" s="2" t="s">
        <v>413</v>
      </c>
      <c r="S92" s="2" t="s">
        <v>34</v>
      </c>
      <c r="T92" s="124">
        <v>1.9319999999999999</v>
      </c>
      <c r="U92" s="2" t="s">
        <v>1720</v>
      </c>
      <c r="V92" s="138">
        <v>2.3400000000000001E-2</v>
      </c>
      <c r="W92" s="140">
        <v>2.674E-2</v>
      </c>
      <c r="X92" s="3" t="s">
        <v>419</v>
      </c>
      <c r="Y92" s="3" t="s">
        <v>139</v>
      </c>
      <c r="Z92" s="124">
        <v>3827259.22</v>
      </c>
      <c r="AA92" s="134">
        <v>1</v>
      </c>
      <c r="AB92" s="151">
        <v>116.51</v>
      </c>
      <c r="AC92" s="2"/>
      <c r="AD92" s="124">
        <v>4459.1400000000003</v>
      </c>
      <c r="AE92" s="2"/>
      <c r="AF92" s="2"/>
      <c r="AG92" s="2" t="s">
        <v>36</v>
      </c>
      <c r="AH92" s="140">
        <v>1.8140000000000001E-3</v>
      </c>
      <c r="AI92" s="140">
        <v>1.96254901302566E-2</v>
      </c>
      <c r="AJ92" s="140">
        <v>3.2266287056496499E-3</v>
      </c>
    </row>
    <row r="93" spans="1:36">
      <c r="A93" s="2">
        <v>301</v>
      </c>
      <c r="B93" s="2">
        <v>7210</v>
      </c>
      <c r="C93" s="2" t="s">
        <v>1721</v>
      </c>
      <c r="D93" s="2" t="s">
        <v>1722</v>
      </c>
      <c r="E93" s="3" t="s">
        <v>1330</v>
      </c>
      <c r="F93" s="2" t="s">
        <v>1723</v>
      </c>
      <c r="G93" s="2" t="s">
        <v>1724</v>
      </c>
      <c r="H93" s="2" t="s">
        <v>328</v>
      </c>
      <c r="I93" s="2" t="s">
        <v>763</v>
      </c>
      <c r="J93" s="2" t="s">
        <v>30</v>
      </c>
      <c r="K93" s="2" t="s">
        <v>30</v>
      </c>
      <c r="L93" s="2" t="s">
        <v>334</v>
      </c>
      <c r="M93" s="2" t="s">
        <v>45</v>
      </c>
      <c r="N93" s="2" t="s">
        <v>484</v>
      </c>
      <c r="O93" s="2" t="s">
        <v>139</v>
      </c>
      <c r="P93" s="2" t="s">
        <v>1725</v>
      </c>
      <c r="Q93" s="2" t="s">
        <v>420</v>
      </c>
      <c r="R93" s="2" t="s">
        <v>413</v>
      </c>
      <c r="S93" s="2" t="s">
        <v>34</v>
      </c>
      <c r="T93" s="124">
        <v>1.681</v>
      </c>
      <c r="U93" s="2" t="s">
        <v>1726</v>
      </c>
      <c r="V93" s="138">
        <v>3.2000000000000001E-2</v>
      </c>
      <c r="W93" s="140">
        <v>3.1660000000000001E-2</v>
      </c>
      <c r="X93" s="3" t="s">
        <v>419</v>
      </c>
      <c r="Y93" s="3" t="s">
        <v>139</v>
      </c>
      <c r="Z93" s="124">
        <v>944299.93</v>
      </c>
      <c r="AA93" s="134">
        <v>1</v>
      </c>
      <c r="AB93" s="151">
        <v>107.55</v>
      </c>
      <c r="AC93" s="2"/>
      <c r="AD93" s="124">
        <v>1015.595</v>
      </c>
      <c r="AE93" s="2"/>
      <c r="AF93" s="2"/>
      <c r="AG93" s="2" t="s">
        <v>36</v>
      </c>
      <c r="AH93" s="140">
        <v>1.23E-3</v>
      </c>
      <c r="AI93" s="140">
        <v>4.46981762545635E-3</v>
      </c>
      <c r="AJ93" s="140">
        <v>7.3488314246385005E-4</v>
      </c>
    </row>
    <row r="94" spans="1:36">
      <c r="A94" s="2">
        <v>301</v>
      </c>
      <c r="B94" s="2">
        <v>7210</v>
      </c>
      <c r="C94" s="2" t="s">
        <v>1721</v>
      </c>
      <c r="D94" s="2" t="s">
        <v>1722</v>
      </c>
      <c r="E94" s="3" t="s">
        <v>1330</v>
      </c>
      <c r="F94" s="2" t="s">
        <v>1727</v>
      </c>
      <c r="G94" s="2" t="s">
        <v>1728</v>
      </c>
      <c r="H94" s="2" t="s">
        <v>328</v>
      </c>
      <c r="I94" s="2" t="s">
        <v>976</v>
      </c>
      <c r="J94" s="2" t="s">
        <v>30</v>
      </c>
      <c r="K94" s="2" t="s">
        <v>30</v>
      </c>
      <c r="L94" s="2" t="s">
        <v>334</v>
      </c>
      <c r="M94" s="2" t="s">
        <v>45</v>
      </c>
      <c r="N94" s="2" t="s">
        <v>484</v>
      </c>
      <c r="O94" s="2" t="s">
        <v>139</v>
      </c>
      <c r="P94" s="2" t="s">
        <v>1725</v>
      </c>
      <c r="Q94" s="2" t="s">
        <v>420</v>
      </c>
      <c r="R94" s="2" t="s">
        <v>413</v>
      </c>
      <c r="S94" s="2" t="s">
        <v>34</v>
      </c>
      <c r="T94" s="124">
        <v>1.732</v>
      </c>
      <c r="U94" s="2" t="s">
        <v>1729</v>
      </c>
      <c r="V94" s="138">
        <v>5.7000000000000002E-2</v>
      </c>
      <c r="W94" s="140">
        <v>5.4859999999999999E-2</v>
      </c>
      <c r="X94" s="3" t="s">
        <v>419</v>
      </c>
      <c r="Y94" s="3" t="s">
        <v>139</v>
      </c>
      <c r="Z94" s="124">
        <v>947099.93</v>
      </c>
      <c r="AA94" s="134">
        <v>1</v>
      </c>
      <c r="AB94" s="151">
        <v>100.74</v>
      </c>
      <c r="AC94" s="2"/>
      <c r="AD94" s="124">
        <v>954.10799999999995</v>
      </c>
      <c r="AE94" s="2"/>
      <c r="AF94" s="2"/>
      <c r="AG94" s="2" t="s">
        <v>36</v>
      </c>
      <c r="AH94" s="140">
        <v>1.0300000000000001E-3</v>
      </c>
      <c r="AI94" s="140">
        <v>4.1992060214427604E-3</v>
      </c>
      <c r="AJ94" s="140">
        <v>6.9039186281697905E-4</v>
      </c>
    </row>
    <row r="95" spans="1:36">
      <c r="A95" s="2">
        <v>301</v>
      </c>
      <c r="B95" s="2">
        <v>7210</v>
      </c>
      <c r="C95" s="2" t="s">
        <v>1730</v>
      </c>
      <c r="D95" s="2" t="s">
        <v>1731</v>
      </c>
      <c r="E95" s="3" t="s">
        <v>1330</v>
      </c>
      <c r="F95" s="2" t="s">
        <v>1732</v>
      </c>
      <c r="G95" s="2" t="s">
        <v>1733</v>
      </c>
      <c r="H95" s="2" t="s">
        <v>328</v>
      </c>
      <c r="I95" s="2" t="s">
        <v>763</v>
      </c>
      <c r="J95" s="2" t="s">
        <v>30</v>
      </c>
      <c r="K95" s="2" t="s">
        <v>30</v>
      </c>
      <c r="L95" s="2" t="s">
        <v>334</v>
      </c>
      <c r="M95" s="2" t="s">
        <v>45</v>
      </c>
      <c r="N95" s="2" t="s">
        <v>484</v>
      </c>
      <c r="O95" s="2" t="s">
        <v>139</v>
      </c>
      <c r="P95" s="2" t="s">
        <v>1725</v>
      </c>
      <c r="Q95" s="2" t="s">
        <v>420</v>
      </c>
      <c r="R95" s="2" t="s">
        <v>413</v>
      </c>
      <c r="S95" s="2" t="s">
        <v>34</v>
      </c>
      <c r="T95" s="124">
        <v>2.6259999999999999</v>
      </c>
      <c r="U95" s="2" t="s">
        <v>1734</v>
      </c>
      <c r="V95" s="138">
        <v>3.2300000000000002E-2</v>
      </c>
      <c r="W95" s="140">
        <v>2.9780000000000001E-2</v>
      </c>
      <c r="X95" s="3" t="s">
        <v>419</v>
      </c>
      <c r="Y95" s="3" t="s">
        <v>139</v>
      </c>
      <c r="Z95" s="124">
        <v>1174320</v>
      </c>
      <c r="AA95" s="134">
        <v>1</v>
      </c>
      <c r="AB95" s="151">
        <v>108.49</v>
      </c>
      <c r="AC95" s="2"/>
      <c r="AD95" s="124">
        <v>1274.02</v>
      </c>
      <c r="AE95" s="2"/>
      <c r="AF95" s="2"/>
      <c r="AG95" s="2" t="s">
        <v>36</v>
      </c>
      <c r="AH95" s="140">
        <v>2.2759999999999998E-3</v>
      </c>
      <c r="AI95" s="140">
        <v>5.6071942052115199E-3</v>
      </c>
      <c r="AJ95" s="140">
        <v>9.2187933450869398E-4</v>
      </c>
    </row>
    <row r="96" spans="1:36">
      <c r="A96" s="2">
        <v>301</v>
      </c>
      <c r="B96" s="2">
        <v>7210</v>
      </c>
      <c r="C96" s="2" t="s">
        <v>1542</v>
      </c>
      <c r="D96" s="2" t="s">
        <v>1543</v>
      </c>
      <c r="E96" s="3" t="s">
        <v>1330</v>
      </c>
      <c r="F96" s="2" t="s">
        <v>1735</v>
      </c>
      <c r="G96" s="2" t="s">
        <v>1736</v>
      </c>
      <c r="H96" s="2" t="s">
        <v>328</v>
      </c>
      <c r="I96" s="2" t="s">
        <v>763</v>
      </c>
      <c r="J96" s="2" t="s">
        <v>30</v>
      </c>
      <c r="K96" s="2" t="s">
        <v>30</v>
      </c>
      <c r="L96" s="2" t="s">
        <v>334</v>
      </c>
      <c r="M96" s="2" t="s">
        <v>45</v>
      </c>
      <c r="N96" s="2" t="s">
        <v>470</v>
      </c>
      <c r="O96" s="2" t="s">
        <v>139</v>
      </c>
      <c r="P96" s="2" t="s">
        <v>1437</v>
      </c>
      <c r="Q96" s="2" t="s">
        <v>420</v>
      </c>
      <c r="R96" s="2" t="s">
        <v>413</v>
      </c>
      <c r="S96" s="2" t="s">
        <v>34</v>
      </c>
      <c r="T96" s="124">
        <v>6.7370000000000001</v>
      </c>
      <c r="U96" s="2" t="s">
        <v>1737</v>
      </c>
      <c r="V96" s="138">
        <v>2.5600000000000001E-2</v>
      </c>
      <c r="W96" s="140">
        <v>3.4340000000000002E-2</v>
      </c>
      <c r="X96" s="3" t="s">
        <v>419</v>
      </c>
      <c r="Y96" s="3" t="s">
        <v>139</v>
      </c>
      <c r="Z96" s="124">
        <v>1500000</v>
      </c>
      <c r="AA96" s="134">
        <v>1</v>
      </c>
      <c r="AB96" s="151">
        <v>103.64</v>
      </c>
      <c r="AC96" s="2"/>
      <c r="AD96" s="124">
        <v>1554.6</v>
      </c>
      <c r="AE96" s="2"/>
      <c r="AF96" s="2"/>
      <c r="AG96" s="2" t="s">
        <v>36</v>
      </c>
      <c r="AH96" s="140">
        <v>1.428E-3</v>
      </c>
      <c r="AI96" s="140">
        <v>6.8420791657777796E-3</v>
      </c>
      <c r="AJ96" s="140">
        <v>1.1249068887502699E-3</v>
      </c>
    </row>
    <row r="97" spans="1:36">
      <c r="A97" s="2">
        <v>301</v>
      </c>
      <c r="B97" s="2">
        <v>7210</v>
      </c>
      <c r="C97" s="2" t="s">
        <v>1542</v>
      </c>
      <c r="D97" s="2" t="s">
        <v>1543</v>
      </c>
      <c r="E97" s="3" t="s">
        <v>1330</v>
      </c>
      <c r="F97" s="2" t="s">
        <v>1738</v>
      </c>
      <c r="G97" s="2" t="s">
        <v>1739</v>
      </c>
      <c r="H97" s="2" t="s">
        <v>328</v>
      </c>
      <c r="I97" s="2" t="s">
        <v>976</v>
      </c>
      <c r="J97" s="2" t="s">
        <v>30</v>
      </c>
      <c r="K97" s="2" t="s">
        <v>30</v>
      </c>
      <c r="L97" s="2" t="s">
        <v>334</v>
      </c>
      <c r="M97" s="2" t="s">
        <v>45</v>
      </c>
      <c r="N97" s="2" t="s">
        <v>470</v>
      </c>
      <c r="O97" s="2" t="s">
        <v>139</v>
      </c>
      <c r="P97" s="2" t="s">
        <v>1437</v>
      </c>
      <c r="Q97" s="2" t="s">
        <v>420</v>
      </c>
      <c r="R97" s="2" t="s">
        <v>413</v>
      </c>
      <c r="S97" s="2" t="s">
        <v>34</v>
      </c>
      <c r="T97" s="124">
        <v>4.0880000000000001</v>
      </c>
      <c r="U97" s="2" t="s">
        <v>1740</v>
      </c>
      <c r="V97" s="138">
        <v>2.41E-2</v>
      </c>
      <c r="W97" s="140">
        <v>5.2479999999999999E-2</v>
      </c>
      <c r="X97" s="3" t="s">
        <v>419</v>
      </c>
      <c r="Y97" s="3" t="s">
        <v>139</v>
      </c>
      <c r="Z97" s="124">
        <v>4957000</v>
      </c>
      <c r="AA97" s="134">
        <v>1</v>
      </c>
      <c r="AB97" s="151">
        <v>91.16</v>
      </c>
      <c r="AC97" s="2"/>
      <c r="AD97" s="124">
        <v>4518.8010000000004</v>
      </c>
      <c r="AE97" s="2"/>
      <c r="AF97" s="2"/>
      <c r="AG97" s="2" t="s">
        <v>36</v>
      </c>
      <c r="AH97" s="140">
        <v>2.4120000000000001E-3</v>
      </c>
      <c r="AI97" s="140">
        <v>1.9888071236852999E-2</v>
      </c>
      <c r="AJ97" s="140">
        <v>3.2697996904496101E-3</v>
      </c>
    </row>
    <row r="98" spans="1:36">
      <c r="A98" s="2">
        <v>301</v>
      </c>
      <c r="B98" s="2">
        <v>7210</v>
      </c>
      <c r="C98" s="2" t="s">
        <v>1741</v>
      </c>
      <c r="D98" s="2" t="s">
        <v>1742</v>
      </c>
      <c r="E98" s="3" t="s">
        <v>1330</v>
      </c>
      <c r="F98" s="2" t="s">
        <v>1743</v>
      </c>
      <c r="G98" s="2" t="s">
        <v>1744</v>
      </c>
      <c r="H98" s="2" t="s">
        <v>328</v>
      </c>
      <c r="I98" s="2" t="s">
        <v>976</v>
      </c>
      <c r="J98" s="2" t="s">
        <v>30</v>
      </c>
      <c r="K98" s="2" t="s">
        <v>30</v>
      </c>
      <c r="L98" s="2" t="s">
        <v>334</v>
      </c>
      <c r="M98" s="2" t="s">
        <v>45</v>
      </c>
      <c r="N98" s="2" t="s">
        <v>457</v>
      </c>
      <c r="O98" s="2" t="s">
        <v>139</v>
      </c>
      <c r="P98" s="2" t="s">
        <v>1725</v>
      </c>
      <c r="Q98" s="2" t="s">
        <v>420</v>
      </c>
      <c r="R98" s="2" t="s">
        <v>413</v>
      </c>
      <c r="S98" s="2" t="s">
        <v>34</v>
      </c>
      <c r="T98" s="124">
        <v>2.7090000000000001</v>
      </c>
      <c r="U98" s="2" t="s">
        <v>1745</v>
      </c>
      <c r="V98" s="138">
        <v>0.04</v>
      </c>
      <c r="W98" s="140">
        <v>5.1769999999999997E-2</v>
      </c>
      <c r="X98" s="3" t="s">
        <v>419</v>
      </c>
      <c r="Y98" s="3" t="s">
        <v>139</v>
      </c>
      <c r="Z98" s="124">
        <v>3100000.15</v>
      </c>
      <c r="AA98" s="134">
        <v>1</v>
      </c>
      <c r="AB98" s="151">
        <v>98.91</v>
      </c>
      <c r="AC98" s="2"/>
      <c r="AD98" s="124">
        <v>3066.21</v>
      </c>
      <c r="AE98" s="2"/>
      <c r="AF98" s="2"/>
      <c r="AG98" s="2" t="s">
        <v>36</v>
      </c>
      <c r="AH98" s="140">
        <v>4.5760000000000002E-3</v>
      </c>
      <c r="AI98" s="140">
        <v>1.34949521253213E-2</v>
      </c>
      <c r="AJ98" s="140">
        <v>2.2187063670730499E-3</v>
      </c>
    </row>
    <row r="99" spans="1:36">
      <c r="A99" s="2">
        <v>301</v>
      </c>
      <c r="B99" s="2">
        <v>7210</v>
      </c>
      <c r="C99" s="2" t="s">
        <v>1546</v>
      </c>
      <c r="D99" s="2" t="s">
        <v>1547</v>
      </c>
      <c r="E99" s="3" t="s">
        <v>1330</v>
      </c>
      <c r="F99" s="2" t="s">
        <v>1746</v>
      </c>
      <c r="G99" s="2" t="s">
        <v>1747</v>
      </c>
      <c r="H99" s="2" t="s">
        <v>328</v>
      </c>
      <c r="I99" s="2" t="s">
        <v>763</v>
      </c>
      <c r="J99" s="2" t="s">
        <v>30</v>
      </c>
      <c r="K99" s="2" t="s">
        <v>30</v>
      </c>
      <c r="L99" s="2" t="s">
        <v>334</v>
      </c>
      <c r="M99" s="2" t="s">
        <v>45</v>
      </c>
      <c r="N99" s="2" t="s">
        <v>470</v>
      </c>
      <c r="O99" s="2" t="s">
        <v>139</v>
      </c>
      <c r="P99" s="2" t="s">
        <v>1719</v>
      </c>
      <c r="Q99" s="2" t="s">
        <v>420</v>
      </c>
      <c r="R99" s="2" t="s">
        <v>413</v>
      </c>
      <c r="S99" s="2" t="s">
        <v>34</v>
      </c>
      <c r="T99" s="124">
        <v>1.929</v>
      </c>
      <c r="U99" s="2" t="s">
        <v>1748</v>
      </c>
      <c r="V99" s="138">
        <v>3.2000000000000001E-2</v>
      </c>
      <c r="W99" s="140">
        <v>2.4420000000000001E-2</v>
      </c>
      <c r="X99" s="3" t="s">
        <v>419</v>
      </c>
      <c r="Y99" s="3" t="s">
        <v>139</v>
      </c>
      <c r="Z99" s="124">
        <v>1800000</v>
      </c>
      <c r="AA99" s="134">
        <v>1</v>
      </c>
      <c r="AB99" s="151">
        <v>118.5</v>
      </c>
      <c r="AC99" s="2"/>
      <c r="AD99" s="124">
        <v>2133</v>
      </c>
      <c r="AE99" s="2"/>
      <c r="AF99" s="2"/>
      <c r="AG99" s="2" t="s">
        <v>36</v>
      </c>
      <c r="AH99" s="140">
        <v>3.2599999999999999E-3</v>
      </c>
      <c r="AI99" s="140">
        <v>9.3877234405017398E-3</v>
      </c>
      <c r="AJ99" s="140">
        <v>1.5434365069499001E-3</v>
      </c>
    </row>
    <row r="100" spans="1:36">
      <c r="A100" s="2">
        <v>301</v>
      </c>
      <c r="B100" s="2">
        <v>7210</v>
      </c>
      <c r="C100" s="2" t="s">
        <v>1546</v>
      </c>
      <c r="D100" s="2" t="s">
        <v>1547</v>
      </c>
      <c r="E100" s="3" t="s">
        <v>1330</v>
      </c>
      <c r="F100" s="2" t="s">
        <v>1749</v>
      </c>
      <c r="G100" s="2" t="s">
        <v>1750</v>
      </c>
      <c r="H100" s="2" t="s">
        <v>328</v>
      </c>
      <c r="I100" s="2" t="s">
        <v>763</v>
      </c>
      <c r="J100" s="2" t="s">
        <v>30</v>
      </c>
      <c r="K100" s="2" t="s">
        <v>30</v>
      </c>
      <c r="L100" s="2" t="s">
        <v>334</v>
      </c>
      <c r="M100" s="2" t="s">
        <v>45</v>
      </c>
      <c r="N100" s="2" t="s">
        <v>470</v>
      </c>
      <c r="O100" s="2" t="s">
        <v>139</v>
      </c>
      <c r="P100" s="2" t="s">
        <v>1719</v>
      </c>
      <c r="Q100" s="2" t="s">
        <v>420</v>
      </c>
      <c r="R100" s="2" t="s">
        <v>413</v>
      </c>
      <c r="S100" s="2" t="s">
        <v>34</v>
      </c>
      <c r="T100" s="124">
        <v>3.0760000000000001</v>
      </c>
      <c r="U100" s="2" t="s">
        <v>1751</v>
      </c>
      <c r="V100" s="138">
        <v>1.14E-2</v>
      </c>
      <c r="W100" s="140">
        <v>2.725E-2</v>
      </c>
      <c r="X100" s="3" t="s">
        <v>419</v>
      </c>
      <c r="Y100" s="3" t="s">
        <v>139</v>
      </c>
      <c r="Z100" s="124">
        <v>3900000</v>
      </c>
      <c r="AA100" s="134">
        <v>1</v>
      </c>
      <c r="AB100" s="151">
        <v>108.5</v>
      </c>
      <c r="AC100" s="2"/>
      <c r="AD100" s="124">
        <v>4231.5</v>
      </c>
      <c r="AE100" s="2"/>
      <c r="AF100" s="2"/>
      <c r="AG100" s="2" t="s">
        <v>36</v>
      </c>
      <c r="AH100" s="140">
        <v>1.65E-3</v>
      </c>
      <c r="AI100" s="140">
        <v>1.8623606065861699E-2</v>
      </c>
      <c r="AJ100" s="140">
        <v>3.06190885098852E-3</v>
      </c>
    </row>
    <row r="101" spans="1:36">
      <c r="A101" s="2">
        <v>301</v>
      </c>
      <c r="B101" s="2">
        <v>7210</v>
      </c>
      <c r="C101" s="2" t="s">
        <v>1546</v>
      </c>
      <c r="D101" s="2" t="s">
        <v>1547</v>
      </c>
      <c r="E101" s="3" t="s">
        <v>1330</v>
      </c>
      <c r="F101" s="2" t="s">
        <v>1752</v>
      </c>
      <c r="G101" s="2" t="s">
        <v>1753</v>
      </c>
      <c r="H101" s="2" t="s">
        <v>328</v>
      </c>
      <c r="I101" s="2" t="s">
        <v>763</v>
      </c>
      <c r="J101" s="2" t="s">
        <v>30</v>
      </c>
      <c r="K101" s="2" t="s">
        <v>30</v>
      </c>
      <c r="L101" s="2" t="s">
        <v>334</v>
      </c>
      <c r="M101" s="2" t="s">
        <v>45</v>
      </c>
      <c r="N101" s="2" t="s">
        <v>470</v>
      </c>
      <c r="O101" s="2" t="s">
        <v>139</v>
      </c>
      <c r="P101" s="2" t="s">
        <v>1719</v>
      </c>
      <c r="Q101" s="2" t="s">
        <v>420</v>
      </c>
      <c r="R101" s="2" t="s">
        <v>413</v>
      </c>
      <c r="S101" s="2" t="s">
        <v>34</v>
      </c>
      <c r="T101" s="124">
        <v>5.3639999999999999</v>
      </c>
      <c r="U101" s="2" t="s">
        <v>1445</v>
      </c>
      <c r="V101" s="138">
        <v>9.1999999999999998E-3</v>
      </c>
      <c r="W101" s="140">
        <v>2.8989999999999998E-2</v>
      </c>
      <c r="X101" s="3" t="s">
        <v>419</v>
      </c>
      <c r="Y101" s="3" t="s">
        <v>139</v>
      </c>
      <c r="Z101" s="124">
        <v>3866250</v>
      </c>
      <c r="AA101" s="134">
        <v>1</v>
      </c>
      <c r="AB101" s="151">
        <v>103.99</v>
      </c>
      <c r="AC101" s="124">
        <v>41.067999999999998</v>
      </c>
      <c r="AD101" s="124">
        <v>4061.5819999999999</v>
      </c>
      <c r="AE101" s="2"/>
      <c r="AF101" s="2"/>
      <c r="AG101" s="2" t="s">
        <v>36</v>
      </c>
      <c r="AH101" s="140">
        <v>1.495E-3</v>
      </c>
      <c r="AI101" s="140">
        <v>1.7875764986551301E-2</v>
      </c>
      <c r="AJ101" s="140">
        <v>2.93895622775456E-3</v>
      </c>
    </row>
    <row r="102" spans="1:36">
      <c r="A102" s="2">
        <v>301</v>
      </c>
      <c r="B102" s="2">
        <v>7210</v>
      </c>
      <c r="C102" s="2" t="s">
        <v>1550</v>
      </c>
      <c r="D102" s="2" t="s">
        <v>1551</v>
      </c>
      <c r="E102" s="3" t="s">
        <v>1330</v>
      </c>
      <c r="F102" s="2" t="s">
        <v>1754</v>
      </c>
      <c r="G102" s="2" t="s">
        <v>1755</v>
      </c>
      <c r="H102" s="2" t="s">
        <v>328</v>
      </c>
      <c r="I102" s="2" t="s">
        <v>976</v>
      </c>
      <c r="J102" s="2" t="s">
        <v>30</v>
      </c>
      <c r="K102" s="2" t="s">
        <v>101</v>
      </c>
      <c r="L102" s="2" t="s">
        <v>334</v>
      </c>
      <c r="M102" s="2" t="s">
        <v>45</v>
      </c>
      <c r="N102" s="2" t="s">
        <v>447</v>
      </c>
      <c r="O102" s="2" t="s">
        <v>139</v>
      </c>
      <c r="P102" s="2" t="s">
        <v>1395</v>
      </c>
      <c r="Q102" s="2" t="s">
        <v>422</v>
      </c>
      <c r="R102" s="2" t="s">
        <v>413</v>
      </c>
      <c r="S102" s="2" t="s">
        <v>34</v>
      </c>
      <c r="T102" s="124">
        <v>1.4850000000000001</v>
      </c>
      <c r="U102" s="2" t="s">
        <v>1756</v>
      </c>
      <c r="V102" s="138">
        <v>3.4500000000000003E-2</v>
      </c>
      <c r="W102" s="140">
        <v>5.194E-2</v>
      </c>
      <c r="X102" s="3" t="s">
        <v>419</v>
      </c>
      <c r="Y102" s="3" t="s">
        <v>139</v>
      </c>
      <c r="Z102" s="124">
        <v>3121764.56</v>
      </c>
      <c r="AA102" s="134">
        <v>1</v>
      </c>
      <c r="AB102" s="151">
        <v>98.71</v>
      </c>
      <c r="AC102" s="2"/>
      <c r="AD102" s="124">
        <v>3081.4940000000001</v>
      </c>
      <c r="AE102" s="2"/>
      <c r="AF102" s="2"/>
      <c r="AG102" s="2" t="s">
        <v>36</v>
      </c>
      <c r="AH102" s="140">
        <v>4.8570000000000002E-3</v>
      </c>
      <c r="AI102" s="140">
        <v>1.3562218261373601E-2</v>
      </c>
      <c r="AJ102" s="140">
        <v>2.2297655989222298E-3</v>
      </c>
    </row>
    <row r="103" spans="1:36">
      <c r="A103" s="2">
        <v>301</v>
      </c>
      <c r="B103" s="2">
        <v>7210</v>
      </c>
      <c r="C103" s="2" t="s">
        <v>1550</v>
      </c>
      <c r="D103" s="2" t="s">
        <v>1551</v>
      </c>
      <c r="E103" s="3" t="s">
        <v>1330</v>
      </c>
      <c r="F103" s="2" t="s">
        <v>1757</v>
      </c>
      <c r="G103" s="2" t="s">
        <v>1758</v>
      </c>
      <c r="H103" s="2" t="s">
        <v>328</v>
      </c>
      <c r="I103" s="2" t="s">
        <v>976</v>
      </c>
      <c r="J103" s="2" t="s">
        <v>30</v>
      </c>
      <c r="K103" s="2" t="s">
        <v>101</v>
      </c>
      <c r="L103" s="2" t="s">
        <v>334</v>
      </c>
      <c r="M103" s="2" t="s">
        <v>45</v>
      </c>
      <c r="N103" s="2" t="s">
        <v>447</v>
      </c>
      <c r="O103" s="2" t="s">
        <v>139</v>
      </c>
      <c r="P103" s="2" t="s">
        <v>1395</v>
      </c>
      <c r="Q103" s="2" t="s">
        <v>422</v>
      </c>
      <c r="R103" s="2" t="s">
        <v>413</v>
      </c>
      <c r="S103" s="2" t="s">
        <v>34</v>
      </c>
      <c r="T103" s="124">
        <v>3.508</v>
      </c>
      <c r="U103" s="2" t="s">
        <v>1759</v>
      </c>
      <c r="V103" s="138">
        <v>1.4999999999999999E-2</v>
      </c>
      <c r="W103" s="140">
        <v>5.561E-2</v>
      </c>
      <c r="X103" s="3" t="s">
        <v>419</v>
      </c>
      <c r="Y103" s="3" t="s">
        <v>139</v>
      </c>
      <c r="Z103" s="124">
        <v>1648000</v>
      </c>
      <c r="AA103" s="134">
        <v>1</v>
      </c>
      <c r="AB103" s="151">
        <v>87.5</v>
      </c>
      <c r="AC103" s="2"/>
      <c r="AD103" s="124">
        <v>1442</v>
      </c>
      <c r="AE103" s="2"/>
      <c r="AF103" s="2"/>
      <c r="AG103" s="2" t="s">
        <v>36</v>
      </c>
      <c r="AH103" s="140">
        <v>1.4E-3</v>
      </c>
      <c r="AI103" s="140">
        <v>6.3465059546195498E-3</v>
      </c>
      <c r="AJ103" s="140">
        <v>1.0434296497992301E-3</v>
      </c>
    </row>
    <row r="104" spans="1:36">
      <c r="A104" s="2">
        <v>301</v>
      </c>
      <c r="B104" s="2">
        <v>7210</v>
      </c>
      <c r="C104" s="2" t="s">
        <v>1715</v>
      </c>
      <c r="D104" s="2" t="s">
        <v>1716</v>
      </c>
      <c r="E104" s="3" t="s">
        <v>1330</v>
      </c>
      <c r="F104" s="2" t="s">
        <v>1760</v>
      </c>
      <c r="G104" s="2" t="s">
        <v>1761</v>
      </c>
      <c r="H104" s="2" t="s">
        <v>328</v>
      </c>
      <c r="I104" s="2" t="s">
        <v>763</v>
      </c>
      <c r="J104" s="2" t="s">
        <v>30</v>
      </c>
      <c r="K104" s="2" t="s">
        <v>30</v>
      </c>
      <c r="L104" s="2" t="s">
        <v>334</v>
      </c>
      <c r="M104" s="2" t="s">
        <v>45</v>
      </c>
      <c r="N104" s="2" t="s">
        <v>470</v>
      </c>
      <c r="O104" s="2" t="s">
        <v>139</v>
      </c>
      <c r="P104" s="2" t="s">
        <v>1719</v>
      </c>
      <c r="Q104" s="2" t="s">
        <v>420</v>
      </c>
      <c r="R104" s="2" t="s">
        <v>413</v>
      </c>
      <c r="S104" s="2" t="s">
        <v>34</v>
      </c>
      <c r="T104" s="124">
        <v>5.149</v>
      </c>
      <c r="U104" s="2" t="s">
        <v>1762</v>
      </c>
      <c r="V104" s="138">
        <v>6.4999999999999997E-3</v>
      </c>
      <c r="W104" s="140">
        <v>2.8320000000000001E-2</v>
      </c>
      <c r="X104" s="3" t="s">
        <v>419</v>
      </c>
      <c r="Y104" s="3" t="s">
        <v>139</v>
      </c>
      <c r="Z104" s="124">
        <v>3809659.53</v>
      </c>
      <c r="AA104" s="134">
        <v>1</v>
      </c>
      <c r="AB104" s="151">
        <v>102.57</v>
      </c>
      <c r="AC104" s="2"/>
      <c r="AD104" s="124">
        <v>3907.5680000000002</v>
      </c>
      <c r="AE104" s="2"/>
      <c r="AF104" s="2"/>
      <c r="AG104" s="2" t="s">
        <v>36</v>
      </c>
      <c r="AH104" s="140">
        <v>1.6869999999999999E-3</v>
      </c>
      <c r="AI104" s="140">
        <v>1.7197921070283E-2</v>
      </c>
      <c r="AJ104" s="140">
        <v>2.8275118447779E-3</v>
      </c>
    </row>
    <row r="105" spans="1:36">
      <c r="A105" s="2">
        <v>301</v>
      </c>
      <c r="B105" s="2">
        <v>7210</v>
      </c>
      <c r="C105" s="2" t="s">
        <v>1763</v>
      </c>
      <c r="D105" s="2" t="s">
        <v>1764</v>
      </c>
      <c r="E105" s="3" t="s">
        <v>1330</v>
      </c>
      <c r="F105" s="2" t="s">
        <v>1765</v>
      </c>
      <c r="G105" s="2" t="s">
        <v>1766</v>
      </c>
      <c r="H105" s="2" t="s">
        <v>328</v>
      </c>
      <c r="I105" s="2" t="s">
        <v>976</v>
      </c>
      <c r="J105" s="2" t="s">
        <v>30</v>
      </c>
      <c r="K105" s="2" t="s">
        <v>30</v>
      </c>
      <c r="L105" s="2" t="s">
        <v>334</v>
      </c>
      <c r="M105" s="2" t="s">
        <v>45</v>
      </c>
      <c r="N105" s="2" t="s">
        <v>446</v>
      </c>
      <c r="O105" s="2" t="s">
        <v>139</v>
      </c>
      <c r="P105" s="2" t="s">
        <v>1725</v>
      </c>
      <c r="Q105" s="2" t="s">
        <v>420</v>
      </c>
      <c r="R105" s="2" t="s">
        <v>413</v>
      </c>
      <c r="S105" s="2" t="s">
        <v>34</v>
      </c>
      <c r="T105" s="124">
        <v>2.9350000000000001</v>
      </c>
      <c r="U105" s="2" t="s">
        <v>1767</v>
      </c>
      <c r="V105" s="138">
        <v>0.05</v>
      </c>
      <c r="W105" s="140">
        <v>5.4080000000000003E-2</v>
      </c>
      <c r="X105" s="3" t="s">
        <v>419</v>
      </c>
      <c r="Y105" s="3" t="s">
        <v>139</v>
      </c>
      <c r="Z105" s="124">
        <v>2240884</v>
      </c>
      <c r="AA105" s="134">
        <v>1</v>
      </c>
      <c r="AB105" s="151">
        <v>100.36</v>
      </c>
      <c r="AC105" s="2"/>
      <c r="AD105" s="124">
        <v>2248.951</v>
      </c>
      <c r="AE105" s="2"/>
      <c r="AF105" s="2"/>
      <c r="AG105" s="2" t="s">
        <v>36</v>
      </c>
      <c r="AH105" s="140">
        <v>2.1649999999999998E-3</v>
      </c>
      <c r="AI105" s="140">
        <v>9.8980458188282095E-3</v>
      </c>
      <c r="AJ105" s="140">
        <v>1.6273386578829401E-3</v>
      </c>
    </row>
    <row r="106" spans="1:36">
      <c r="A106" s="2">
        <v>301</v>
      </c>
      <c r="B106" s="2">
        <v>7210</v>
      </c>
      <c r="C106" s="2" t="s">
        <v>1768</v>
      </c>
      <c r="D106" s="2" t="s">
        <v>1769</v>
      </c>
      <c r="E106" s="3" t="s">
        <v>1330</v>
      </c>
      <c r="F106" s="2" t="s">
        <v>1770</v>
      </c>
      <c r="G106" s="2" t="s">
        <v>1771</v>
      </c>
      <c r="H106" s="2" t="s">
        <v>328</v>
      </c>
      <c r="I106" s="2" t="s">
        <v>763</v>
      </c>
      <c r="J106" s="2" t="s">
        <v>30</v>
      </c>
      <c r="K106" s="2" t="s">
        <v>30</v>
      </c>
      <c r="L106" s="2" t="s">
        <v>334</v>
      </c>
      <c r="M106" s="2" t="s">
        <v>45</v>
      </c>
      <c r="N106" s="2" t="s">
        <v>470</v>
      </c>
      <c r="O106" s="2" t="s">
        <v>139</v>
      </c>
      <c r="P106" s="2" t="s">
        <v>1437</v>
      </c>
      <c r="Q106" s="2" t="s">
        <v>420</v>
      </c>
      <c r="R106" s="2" t="s">
        <v>413</v>
      </c>
      <c r="S106" s="2" t="s">
        <v>34</v>
      </c>
      <c r="T106" s="124">
        <v>0.35299999999999998</v>
      </c>
      <c r="U106" s="2" t="s">
        <v>1772</v>
      </c>
      <c r="V106" s="138">
        <v>2.5000000000000001E-2</v>
      </c>
      <c r="W106" s="140">
        <v>3.1620000000000002E-2</v>
      </c>
      <c r="X106" s="3" t="s">
        <v>419</v>
      </c>
      <c r="Y106" s="3" t="s">
        <v>139</v>
      </c>
      <c r="Z106" s="124">
        <v>2400000</v>
      </c>
      <c r="AA106" s="134">
        <v>1</v>
      </c>
      <c r="AB106" s="151">
        <v>115.6</v>
      </c>
      <c r="AC106" s="2"/>
      <c r="AD106" s="124">
        <v>2774.4</v>
      </c>
      <c r="AE106" s="2"/>
      <c r="AF106" s="2"/>
      <c r="AG106" s="2" t="s">
        <v>36</v>
      </c>
      <c r="AH106" s="140">
        <v>1.0191E-2</v>
      </c>
      <c r="AI106" s="140">
        <v>1.22106422472236E-2</v>
      </c>
      <c r="AJ106" s="140">
        <v>2.0075528574223199E-3</v>
      </c>
    </row>
    <row r="107" spans="1:36">
      <c r="A107" s="2">
        <v>301</v>
      </c>
      <c r="B107" s="2">
        <v>7210</v>
      </c>
      <c r="C107" s="2" t="s">
        <v>1768</v>
      </c>
      <c r="D107" s="2" t="s">
        <v>1769</v>
      </c>
      <c r="E107" s="3" t="s">
        <v>1330</v>
      </c>
      <c r="F107" s="2" t="s">
        <v>1773</v>
      </c>
      <c r="G107" s="2" t="s">
        <v>1774</v>
      </c>
      <c r="H107" s="2" t="s">
        <v>328</v>
      </c>
      <c r="I107" s="2" t="s">
        <v>763</v>
      </c>
      <c r="J107" s="2" t="s">
        <v>30</v>
      </c>
      <c r="K107" s="2" t="s">
        <v>30</v>
      </c>
      <c r="L107" s="2" t="s">
        <v>334</v>
      </c>
      <c r="M107" s="2" t="s">
        <v>45</v>
      </c>
      <c r="N107" s="2" t="s">
        <v>470</v>
      </c>
      <c r="O107" s="2" t="s">
        <v>139</v>
      </c>
      <c r="P107" s="2" t="s">
        <v>1437</v>
      </c>
      <c r="Q107" s="2" t="s">
        <v>422</v>
      </c>
      <c r="R107" s="2" t="s">
        <v>413</v>
      </c>
      <c r="S107" s="2" t="s">
        <v>34</v>
      </c>
      <c r="T107" s="124">
        <v>4.2210000000000001</v>
      </c>
      <c r="U107" s="2" t="s">
        <v>1775</v>
      </c>
      <c r="V107" s="138">
        <v>1.17E-2</v>
      </c>
      <c r="W107" s="140">
        <v>2.8000000000000001E-2</v>
      </c>
      <c r="X107" s="3" t="s">
        <v>419</v>
      </c>
      <c r="Y107" s="3" t="s">
        <v>139</v>
      </c>
      <c r="Z107" s="124">
        <v>2212560.02</v>
      </c>
      <c r="AA107" s="134">
        <v>1</v>
      </c>
      <c r="AB107" s="151">
        <v>107.59</v>
      </c>
      <c r="AC107" s="2"/>
      <c r="AD107" s="124">
        <v>2380.4929999999999</v>
      </c>
      <c r="AE107" s="2"/>
      <c r="AF107" s="2"/>
      <c r="AG107" s="2" t="s">
        <v>36</v>
      </c>
      <c r="AH107" s="140">
        <v>3.2130000000000001E-3</v>
      </c>
      <c r="AI107" s="140">
        <v>1.04769868691623E-2</v>
      </c>
      <c r="AJ107" s="140">
        <v>1.7225224112306899E-3</v>
      </c>
    </row>
    <row r="108" spans="1:36">
      <c r="A108" s="2">
        <v>301</v>
      </c>
      <c r="B108" s="2">
        <v>7210</v>
      </c>
      <c r="C108" s="2" t="s">
        <v>1768</v>
      </c>
      <c r="D108" s="2" t="s">
        <v>1769</v>
      </c>
      <c r="E108" s="3" t="s">
        <v>1330</v>
      </c>
      <c r="F108" s="2" t="s">
        <v>1776</v>
      </c>
      <c r="G108" s="2" t="s">
        <v>1777</v>
      </c>
      <c r="H108" s="2" t="s">
        <v>328</v>
      </c>
      <c r="I108" s="2" t="s">
        <v>763</v>
      </c>
      <c r="J108" s="2" t="s">
        <v>30</v>
      </c>
      <c r="K108" s="2" t="s">
        <v>30</v>
      </c>
      <c r="L108" s="2" t="s">
        <v>334</v>
      </c>
      <c r="M108" s="2" t="s">
        <v>45</v>
      </c>
      <c r="N108" s="2" t="s">
        <v>470</v>
      </c>
      <c r="O108" s="2" t="s">
        <v>139</v>
      </c>
      <c r="P108" s="2" t="s">
        <v>1437</v>
      </c>
      <c r="Q108" s="2" t="s">
        <v>420</v>
      </c>
      <c r="R108" s="2" t="s">
        <v>413</v>
      </c>
      <c r="S108" s="2" t="s">
        <v>34</v>
      </c>
      <c r="T108" s="124">
        <v>5.1269999999999998</v>
      </c>
      <c r="U108" s="2" t="s">
        <v>1778</v>
      </c>
      <c r="V108" s="138">
        <v>1.8700000000000001E-2</v>
      </c>
      <c r="W108" s="140">
        <v>3.0720000000000001E-2</v>
      </c>
      <c r="X108" s="3" t="s">
        <v>419</v>
      </c>
      <c r="Y108" s="3" t="s">
        <v>139</v>
      </c>
      <c r="Z108" s="124">
        <v>1992975</v>
      </c>
      <c r="AA108" s="134">
        <v>1</v>
      </c>
      <c r="AB108" s="151">
        <v>104.45</v>
      </c>
      <c r="AC108" s="2"/>
      <c r="AD108" s="124">
        <v>2081.6619999999998</v>
      </c>
      <c r="AE108" s="2"/>
      <c r="AF108" s="2"/>
      <c r="AG108" s="2" t="s">
        <v>36</v>
      </c>
      <c r="AH108" s="140">
        <v>1.9469999999999999E-3</v>
      </c>
      <c r="AI108" s="140">
        <v>9.1617772106631808E-3</v>
      </c>
      <c r="AJ108" s="140">
        <v>1.5062886657346401E-3</v>
      </c>
    </row>
    <row r="109" spans="1:36">
      <c r="A109" s="2">
        <v>301</v>
      </c>
      <c r="B109" s="2">
        <v>7210</v>
      </c>
      <c r="C109" s="2" t="s">
        <v>1779</v>
      </c>
      <c r="D109" s="2" t="s">
        <v>1780</v>
      </c>
      <c r="E109" s="3" t="s">
        <v>1330</v>
      </c>
      <c r="F109" s="2" t="s">
        <v>1781</v>
      </c>
      <c r="G109" s="2" t="s">
        <v>1782</v>
      </c>
      <c r="H109" s="2" t="s">
        <v>328</v>
      </c>
      <c r="I109" s="2" t="s">
        <v>976</v>
      </c>
      <c r="J109" s="2" t="s">
        <v>30</v>
      </c>
      <c r="K109" s="2" t="s">
        <v>30</v>
      </c>
      <c r="L109" s="2" t="s">
        <v>334</v>
      </c>
      <c r="M109" s="2" t="s">
        <v>45</v>
      </c>
      <c r="N109" s="2" t="s">
        <v>446</v>
      </c>
      <c r="O109" s="2" t="s">
        <v>139</v>
      </c>
      <c r="P109" s="2" t="s">
        <v>1783</v>
      </c>
      <c r="Q109" s="2" t="s">
        <v>422</v>
      </c>
      <c r="R109" s="2" t="s">
        <v>413</v>
      </c>
      <c r="S109" s="2" t="s">
        <v>34</v>
      </c>
      <c r="T109" s="124">
        <v>2.87</v>
      </c>
      <c r="U109" s="2" t="s">
        <v>1784</v>
      </c>
      <c r="V109" s="138">
        <v>7.2499999999999995E-2</v>
      </c>
      <c r="W109" s="140">
        <v>5.8200000000000002E-2</v>
      </c>
      <c r="X109" s="3" t="s">
        <v>419</v>
      </c>
      <c r="Y109" s="3" t="s">
        <v>139</v>
      </c>
      <c r="Z109" s="124">
        <v>5605263</v>
      </c>
      <c r="AA109" s="134">
        <v>1</v>
      </c>
      <c r="AB109" s="151">
        <v>106.14</v>
      </c>
      <c r="AC109" s="2"/>
      <c r="AD109" s="124">
        <v>5949.4260000000004</v>
      </c>
      <c r="AE109" s="2"/>
      <c r="AF109" s="2"/>
      <c r="AG109" s="2" t="s">
        <v>36</v>
      </c>
      <c r="AH109" s="140">
        <v>7.7850000000000003E-3</v>
      </c>
      <c r="AI109" s="140">
        <v>2.6184513506324902E-2</v>
      </c>
      <c r="AJ109" s="140">
        <v>4.30499836499495E-3</v>
      </c>
    </row>
    <row r="110" spans="1:36">
      <c r="A110" s="2">
        <v>301</v>
      </c>
      <c r="B110" s="2">
        <v>7210</v>
      </c>
      <c r="C110" s="2" t="s">
        <v>1785</v>
      </c>
      <c r="D110" s="2" t="s">
        <v>1786</v>
      </c>
      <c r="E110" s="3" t="s">
        <v>1330</v>
      </c>
      <c r="F110" s="2" t="s">
        <v>1787</v>
      </c>
      <c r="G110" s="2" t="s">
        <v>1788</v>
      </c>
      <c r="H110" s="2" t="s">
        <v>328</v>
      </c>
      <c r="I110" s="2" t="s">
        <v>763</v>
      </c>
      <c r="J110" s="2" t="s">
        <v>30</v>
      </c>
      <c r="K110" s="2" t="s">
        <v>30</v>
      </c>
      <c r="L110" s="2" t="s">
        <v>334</v>
      </c>
      <c r="M110" s="2" t="s">
        <v>45</v>
      </c>
      <c r="N110" s="2" t="s">
        <v>470</v>
      </c>
      <c r="O110" s="2" t="s">
        <v>139</v>
      </c>
      <c r="P110" s="2" t="s">
        <v>1719</v>
      </c>
      <c r="Q110" s="2" t="s">
        <v>420</v>
      </c>
      <c r="R110" s="2" t="s">
        <v>413</v>
      </c>
      <c r="S110" s="2" t="s">
        <v>34</v>
      </c>
      <c r="T110" s="124">
        <v>3.7469999999999999</v>
      </c>
      <c r="U110" s="2" t="s">
        <v>1789</v>
      </c>
      <c r="V110" s="138">
        <v>5.0000000000000001E-3</v>
      </c>
      <c r="W110" s="140">
        <v>2.8590000000000001E-2</v>
      </c>
      <c r="X110" s="3" t="s">
        <v>419</v>
      </c>
      <c r="Y110" s="3" t="s">
        <v>139</v>
      </c>
      <c r="Z110" s="124">
        <v>553640.95999999996</v>
      </c>
      <c r="AA110" s="134">
        <v>1</v>
      </c>
      <c r="AB110" s="151">
        <v>105.22</v>
      </c>
      <c r="AC110" s="2"/>
      <c r="AD110" s="124">
        <v>582.54100000000005</v>
      </c>
      <c r="AE110" s="2"/>
      <c r="AF110" s="2"/>
      <c r="AG110" s="2" t="s">
        <v>36</v>
      </c>
      <c r="AH110" s="140">
        <v>3.4400000000000001E-4</v>
      </c>
      <c r="AI110" s="140">
        <v>2.56386965343824E-3</v>
      </c>
      <c r="AJ110" s="140">
        <v>4.2152605445373902E-4</v>
      </c>
    </row>
    <row r="111" spans="1:36">
      <c r="A111" s="2">
        <v>301</v>
      </c>
      <c r="B111" s="2">
        <v>7210</v>
      </c>
      <c r="C111" s="2" t="s">
        <v>1785</v>
      </c>
      <c r="D111" s="2" t="s">
        <v>1786</v>
      </c>
      <c r="E111" s="3" t="s">
        <v>1330</v>
      </c>
      <c r="F111" s="2" t="s">
        <v>1790</v>
      </c>
      <c r="G111" s="2" t="s">
        <v>1791</v>
      </c>
      <c r="H111" s="2" t="s">
        <v>328</v>
      </c>
      <c r="I111" s="2" t="s">
        <v>763</v>
      </c>
      <c r="J111" s="2" t="s">
        <v>30</v>
      </c>
      <c r="K111" s="2" t="s">
        <v>30</v>
      </c>
      <c r="L111" s="2" t="s">
        <v>334</v>
      </c>
      <c r="M111" s="2" t="s">
        <v>45</v>
      </c>
      <c r="N111" s="2" t="s">
        <v>470</v>
      </c>
      <c r="O111" s="2" t="s">
        <v>139</v>
      </c>
      <c r="P111" s="2" t="s">
        <v>1719</v>
      </c>
      <c r="Q111" s="2" t="s">
        <v>420</v>
      </c>
      <c r="R111" s="2" t="s">
        <v>413</v>
      </c>
      <c r="S111" s="2" t="s">
        <v>34</v>
      </c>
      <c r="T111" s="124">
        <v>0.72899999999999998</v>
      </c>
      <c r="U111" s="2" t="s">
        <v>1792</v>
      </c>
      <c r="V111" s="138">
        <v>4.7500000000000001E-2</v>
      </c>
      <c r="W111" s="140">
        <v>2.5069999999999999E-2</v>
      </c>
      <c r="X111" s="3" t="s">
        <v>419</v>
      </c>
      <c r="Y111" s="3" t="s">
        <v>139</v>
      </c>
      <c r="Z111" s="124">
        <v>1973334.02</v>
      </c>
      <c r="AA111" s="134">
        <v>1</v>
      </c>
      <c r="AB111" s="151">
        <v>143.82</v>
      </c>
      <c r="AC111" s="2"/>
      <c r="AD111" s="124">
        <v>2838.049</v>
      </c>
      <c r="AE111" s="2"/>
      <c r="AF111" s="2"/>
      <c r="AG111" s="2" t="s">
        <v>36</v>
      </c>
      <c r="AH111" s="140">
        <v>2.065E-3</v>
      </c>
      <c r="AI111" s="140">
        <v>1.24907730922863E-2</v>
      </c>
      <c r="AJ111" s="140">
        <v>2.0536091963987298E-3</v>
      </c>
    </row>
    <row r="112" spans="1:36">
      <c r="A112" s="2">
        <v>301</v>
      </c>
      <c r="B112" s="2">
        <v>7210</v>
      </c>
      <c r="C112" s="2" t="s">
        <v>1793</v>
      </c>
      <c r="D112" s="2" t="s">
        <v>1794</v>
      </c>
      <c r="E112" s="3" t="s">
        <v>1330</v>
      </c>
      <c r="F112" s="2" t="s">
        <v>1795</v>
      </c>
      <c r="G112" s="2" t="s">
        <v>1796</v>
      </c>
      <c r="H112" s="2" t="s">
        <v>328</v>
      </c>
      <c r="I112" s="2" t="s">
        <v>763</v>
      </c>
      <c r="J112" s="2" t="s">
        <v>30</v>
      </c>
      <c r="K112" s="2" t="s">
        <v>305</v>
      </c>
      <c r="L112" s="2" t="s">
        <v>334</v>
      </c>
      <c r="M112" s="2" t="s">
        <v>45</v>
      </c>
      <c r="N112" s="2" t="s">
        <v>471</v>
      </c>
      <c r="O112" s="2" t="s">
        <v>139</v>
      </c>
      <c r="P112" s="2" t="s">
        <v>1783</v>
      </c>
      <c r="Q112" s="2" t="s">
        <v>420</v>
      </c>
      <c r="R112" s="2" t="s">
        <v>413</v>
      </c>
      <c r="S112" s="2" t="s">
        <v>34</v>
      </c>
      <c r="T112" s="124">
        <v>2.0169999999999999</v>
      </c>
      <c r="U112" s="2" t="s">
        <v>1797</v>
      </c>
      <c r="V112" s="138">
        <v>3.2800000000000003E-2</v>
      </c>
      <c r="W112" s="140">
        <v>4.0349999999999997E-2</v>
      </c>
      <c r="X112" s="3" t="s">
        <v>419</v>
      </c>
      <c r="Y112" s="3" t="s">
        <v>139</v>
      </c>
      <c r="Z112" s="124">
        <v>3600000</v>
      </c>
      <c r="AA112" s="134">
        <v>1</v>
      </c>
      <c r="AB112" s="151">
        <v>115.1</v>
      </c>
      <c r="AC112" s="2"/>
      <c r="AD112" s="124">
        <v>4143.6000000000004</v>
      </c>
      <c r="AE112" s="2"/>
      <c r="AF112" s="2"/>
      <c r="AG112" s="2" t="s">
        <v>36</v>
      </c>
      <c r="AH112" s="140">
        <v>2.098E-3</v>
      </c>
      <c r="AI112" s="140">
        <v>1.82367420759789E-2</v>
      </c>
      <c r="AJ112" s="140">
        <v>2.9983045054841101E-3</v>
      </c>
    </row>
    <row r="113" spans="1:36">
      <c r="A113" s="2">
        <v>301</v>
      </c>
      <c r="B113" s="2">
        <v>7210</v>
      </c>
      <c r="C113" s="2" t="s">
        <v>1798</v>
      </c>
      <c r="D113" s="2" t="s">
        <v>1799</v>
      </c>
      <c r="E113" s="3" t="s">
        <v>1330</v>
      </c>
      <c r="F113" s="2" t="s">
        <v>1800</v>
      </c>
      <c r="G113" s="2" t="s">
        <v>1801</v>
      </c>
      <c r="H113" s="2" t="s">
        <v>328</v>
      </c>
      <c r="I113" s="2" t="s">
        <v>763</v>
      </c>
      <c r="J113" s="2" t="s">
        <v>30</v>
      </c>
      <c r="K113" s="2" t="s">
        <v>30</v>
      </c>
      <c r="L113" s="2" t="s">
        <v>334</v>
      </c>
      <c r="M113" s="2" t="s">
        <v>45</v>
      </c>
      <c r="N113" s="2" t="s">
        <v>454</v>
      </c>
      <c r="O113" s="2" t="s">
        <v>139</v>
      </c>
      <c r="P113" s="2" t="s">
        <v>1177</v>
      </c>
      <c r="Q113" s="2" t="s">
        <v>420</v>
      </c>
      <c r="R113" s="2" t="s">
        <v>413</v>
      </c>
      <c r="S113" s="2" t="s">
        <v>34</v>
      </c>
      <c r="T113" s="124">
        <v>3.738</v>
      </c>
      <c r="U113" s="2" t="s">
        <v>1802</v>
      </c>
      <c r="V113" s="138">
        <v>2E-3</v>
      </c>
      <c r="W113" s="140">
        <v>2.384E-2</v>
      </c>
      <c r="X113" s="3" t="s">
        <v>419</v>
      </c>
      <c r="Y113" s="3" t="s">
        <v>139</v>
      </c>
      <c r="Z113" s="124">
        <v>4834627.12</v>
      </c>
      <c r="AA113" s="134">
        <v>1</v>
      </c>
      <c r="AB113" s="151">
        <v>103.66</v>
      </c>
      <c r="AC113" s="2"/>
      <c r="AD113" s="124">
        <v>5011.5739999999996</v>
      </c>
      <c r="AE113" s="2"/>
      <c r="AF113" s="2"/>
      <c r="AG113" s="2" t="s">
        <v>36</v>
      </c>
      <c r="AH113" s="140">
        <v>1.33E-3</v>
      </c>
      <c r="AI113" s="140">
        <v>2.20568566104885E-2</v>
      </c>
      <c r="AJ113" s="140">
        <v>3.6263699007485699E-3</v>
      </c>
    </row>
    <row r="114" spans="1:36">
      <c r="A114" s="2">
        <v>301</v>
      </c>
      <c r="B114" s="2">
        <v>7210</v>
      </c>
      <c r="C114" s="2" t="s">
        <v>1798</v>
      </c>
      <c r="D114" s="2" t="s">
        <v>1799</v>
      </c>
      <c r="E114" s="3" t="s">
        <v>1330</v>
      </c>
      <c r="F114" s="2" t="s">
        <v>1803</v>
      </c>
      <c r="G114" s="2" t="s">
        <v>1804</v>
      </c>
      <c r="H114" s="2" t="s">
        <v>328</v>
      </c>
      <c r="I114" s="2" t="s">
        <v>976</v>
      </c>
      <c r="J114" s="2" t="s">
        <v>30</v>
      </c>
      <c r="K114" s="2" t="s">
        <v>30</v>
      </c>
      <c r="L114" s="2" t="s">
        <v>334</v>
      </c>
      <c r="M114" s="2" t="s">
        <v>45</v>
      </c>
      <c r="N114" s="2" t="s">
        <v>454</v>
      </c>
      <c r="O114" s="2" t="s">
        <v>139</v>
      </c>
      <c r="P114" s="2" t="s">
        <v>1177</v>
      </c>
      <c r="Q114" s="2" t="s">
        <v>420</v>
      </c>
      <c r="R114" s="2" t="s">
        <v>413</v>
      </c>
      <c r="S114" s="2" t="s">
        <v>34</v>
      </c>
      <c r="T114" s="124">
        <v>3.2280000000000002</v>
      </c>
      <c r="U114" s="2" t="s">
        <v>1805</v>
      </c>
      <c r="V114" s="138">
        <v>2.6800000000000001E-2</v>
      </c>
      <c r="W114" s="140">
        <v>4.5240000000000002E-2</v>
      </c>
      <c r="X114" s="3" t="s">
        <v>419</v>
      </c>
      <c r="Y114" s="3" t="s">
        <v>139</v>
      </c>
      <c r="Z114" s="124">
        <v>1200383.95</v>
      </c>
      <c r="AA114" s="134">
        <v>1</v>
      </c>
      <c r="AB114" s="151">
        <v>94.55</v>
      </c>
      <c r="AC114" s="2"/>
      <c r="AD114" s="124">
        <v>1134.963</v>
      </c>
      <c r="AE114" s="2"/>
      <c r="AF114" s="2"/>
      <c r="AG114" s="2" t="s">
        <v>36</v>
      </c>
      <c r="AH114" s="140">
        <v>6.1300000000000005E-4</v>
      </c>
      <c r="AI114" s="140">
        <v>4.9951800240570204E-3</v>
      </c>
      <c r="AJ114" s="140">
        <v>8.21258024565799E-4</v>
      </c>
    </row>
    <row r="115" spans="1:36">
      <c r="A115" s="2">
        <v>301</v>
      </c>
      <c r="B115" s="2">
        <v>7210</v>
      </c>
      <c r="C115" s="2" t="s">
        <v>1798</v>
      </c>
      <c r="D115" s="2" t="s">
        <v>1799</v>
      </c>
      <c r="E115" s="3" t="s">
        <v>1330</v>
      </c>
      <c r="F115" s="2" t="s">
        <v>1806</v>
      </c>
      <c r="G115" s="2" t="s">
        <v>1807</v>
      </c>
      <c r="H115" s="2" t="s">
        <v>328</v>
      </c>
      <c r="I115" s="2" t="s">
        <v>763</v>
      </c>
      <c r="J115" s="2" t="s">
        <v>30</v>
      </c>
      <c r="K115" s="2" t="s">
        <v>30</v>
      </c>
      <c r="L115" s="2" t="s">
        <v>334</v>
      </c>
      <c r="M115" s="2" t="s">
        <v>31</v>
      </c>
      <c r="N115" s="2" t="s">
        <v>454</v>
      </c>
      <c r="O115" s="2" t="s">
        <v>139</v>
      </c>
      <c r="P115" s="2" t="s">
        <v>1437</v>
      </c>
      <c r="Q115" s="2" t="s">
        <v>420</v>
      </c>
      <c r="R115" s="2" t="s">
        <v>413</v>
      </c>
      <c r="S115" s="2" t="s">
        <v>34</v>
      </c>
      <c r="T115" s="124">
        <v>5.4249999999999998</v>
      </c>
      <c r="U115" s="2" t="s">
        <v>1808</v>
      </c>
      <c r="V115" s="138">
        <v>3.3203000000000003E-2</v>
      </c>
      <c r="W115" s="140">
        <v>3.0530000000000002E-2</v>
      </c>
      <c r="X115" s="3" t="s">
        <v>419</v>
      </c>
      <c r="Y115" s="3" t="s">
        <v>139</v>
      </c>
      <c r="Z115" s="124">
        <v>4000000</v>
      </c>
      <c r="AA115" s="134">
        <v>1</v>
      </c>
      <c r="AB115" s="151">
        <v>103.26</v>
      </c>
      <c r="AC115" s="2"/>
      <c r="AD115" s="124">
        <v>4130.3999999999996</v>
      </c>
      <c r="AE115" s="2"/>
      <c r="AF115" s="2"/>
      <c r="AG115" s="2" t="s">
        <v>36</v>
      </c>
      <c r="AH115" s="140">
        <v>3.1909999999999998E-3</v>
      </c>
      <c r="AI115" s="140">
        <v>1.81786464597508E-2</v>
      </c>
      <c r="AJ115" s="140">
        <v>2.98875299967458E-3</v>
      </c>
    </row>
    <row r="116" spans="1:36">
      <c r="A116" s="2">
        <v>301</v>
      </c>
      <c r="B116" s="2">
        <v>7210</v>
      </c>
      <c r="C116" s="2" t="s">
        <v>1809</v>
      </c>
      <c r="D116" s="2" t="s">
        <v>1810</v>
      </c>
      <c r="E116" s="3" t="s">
        <v>1330</v>
      </c>
      <c r="F116" s="2" t="s">
        <v>1811</v>
      </c>
      <c r="G116" s="2" t="s">
        <v>1812</v>
      </c>
      <c r="H116" s="2" t="s">
        <v>328</v>
      </c>
      <c r="I116" s="2" t="s">
        <v>763</v>
      </c>
      <c r="J116" s="2" t="s">
        <v>30</v>
      </c>
      <c r="K116" s="2" t="s">
        <v>30</v>
      </c>
      <c r="L116" s="2" t="s">
        <v>334</v>
      </c>
      <c r="M116" s="2" t="s">
        <v>45</v>
      </c>
      <c r="N116" s="2" t="s">
        <v>470</v>
      </c>
      <c r="O116" s="2" t="s">
        <v>139</v>
      </c>
      <c r="P116" s="2" t="s">
        <v>1395</v>
      </c>
      <c r="Q116" s="2" t="s">
        <v>420</v>
      </c>
      <c r="R116" s="2" t="s">
        <v>413</v>
      </c>
      <c r="S116" s="2" t="s">
        <v>34</v>
      </c>
      <c r="T116" s="124">
        <v>3.3260000000000001</v>
      </c>
      <c r="U116" s="2" t="s">
        <v>1813</v>
      </c>
      <c r="V116" s="138">
        <v>2.7E-2</v>
      </c>
      <c r="W116" s="140">
        <v>3.0419999999999999E-2</v>
      </c>
      <c r="X116" s="3" t="s">
        <v>419</v>
      </c>
      <c r="Y116" s="3" t="s">
        <v>139</v>
      </c>
      <c r="Z116" s="124">
        <v>850500</v>
      </c>
      <c r="AA116" s="134">
        <v>1</v>
      </c>
      <c r="AB116" s="151">
        <v>105.87</v>
      </c>
      <c r="AC116" s="2"/>
      <c r="AD116" s="124">
        <v>900.42399999999998</v>
      </c>
      <c r="AE116" s="2"/>
      <c r="AF116" s="2"/>
      <c r="AG116" s="2" t="s">
        <v>36</v>
      </c>
      <c r="AH116" s="140">
        <v>2.1589999999999999E-3</v>
      </c>
      <c r="AI116" s="140">
        <v>3.96293238485398E-3</v>
      </c>
      <c r="AJ116" s="140">
        <v>6.5154609167212196E-4</v>
      </c>
    </row>
    <row r="117" spans="1:36">
      <c r="A117" s="2">
        <v>301</v>
      </c>
      <c r="B117" s="2">
        <v>7210</v>
      </c>
      <c r="C117" s="2" t="s">
        <v>1809</v>
      </c>
      <c r="D117" s="2" t="s">
        <v>1810</v>
      </c>
      <c r="E117" s="3" t="s">
        <v>1330</v>
      </c>
      <c r="F117" s="2" t="s">
        <v>1814</v>
      </c>
      <c r="G117" s="2" t="s">
        <v>1815</v>
      </c>
      <c r="H117" s="2" t="s">
        <v>328</v>
      </c>
      <c r="I117" s="2" t="s">
        <v>763</v>
      </c>
      <c r="J117" s="2" t="s">
        <v>30</v>
      </c>
      <c r="K117" s="2" t="s">
        <v>30</v>
      </c>
      <c r="L117" s="2" t="s">
        <v>334</v>
      </c>
      <c r="M117" s="2" t="s">
        <v>45</v>
      </c>
      <c r="N117" s="2" t="s">
        <v>470</v>
      </c>
      <c r="O117" s="2" t="s">
        <v>139</v>
      </c>
      <c r="P117" s="2" t="s">
        <v>1395</v>
      </c>
      <c r="Q117" s="2" t="s">
        <v>420</v>
      </c>
      <c r="R117" s="2" t="s">
        <v>413</v>
      </c>
      <c r="S117" s="2" t="s">
        <v>34</v>
      </c>
      <c r="T117" s="124">
        <v>2.7250000000000001</v>
      </c>
      <c r="U117" s="2" t="s">
        <v>1816</v>
      </c>
      <c r="V117" s="138">
        <v>1.7999999999999999E-2</v>
      </c>
      <c r="W117" s="140">
        <v>2.852E-2</v>
      </c>
      <c r="X117" s="3" t="s">
        <v>419</v>
      </c>
      <c r="Y117" s="3" t="s">
        <v>139</v>
      </c>
      <c r="Z117" s="124">
        <v>2233979.39</v>
      </c>
      <c r="AA117" s="134">
        <v>1</v>
      </c>
      <c r="AB117" s="151">
        <v>113.09</v>
      </c>
      <c r="AC117" s="2"/>
      <c r="AD117" s="124">
        <v>2526.4070000000002</v>
      </c>
      <c r="AE117" s="2"/>
      <c r="AF117" s="2"/>
      <c r="AG117" s="2" t="s">
        <v>36</v>
      </c>
      <c r="AH117" s="140">
        <v>3.0209999999999998E-3</v>
      </c>
      <c r="AI117" s="140">
        <v>1.1119180945513601E-2</v>
      </c>
      <c r="AJ117" s="140">
        <v>1.8281056006236799E-3</v>
      </c>
    </row>
    <row r="118" spans="1:36">
      <c r="A118" s="2">
        <v>301</v>
      </c>
      <c r="B118" s="2">
        <v>7210</v>
      </c>
      <c r="C118" s="2" t="s">
        <v>1574</v>
      </c>
      <c r="D118" s="2" t="s">
        <v>1575</v>
      </c>
      <c r="E118" s="3" t="s">
        <v>1330</v>
      </c>
      <c r="F118" s="2" t="s">
        <v>1817</v>
      </c>
      <c r="G118" s="2" t="s">
        <v>1818</v>
      </c>
      <c r="H118" s="2" t="s">
        <v>328</v>
      </c>
      <c r="I118" s="2" t="s">
        <v>763</v>
      </c>
      <c r="J118" s="2" t="s">
        <v>30</v>
      </c>
      <c r="K118" s="2" t="s">
        <v>30</v>
      </c>
      <c r="L118" s="2" t="s">
        <v>334</v>
      </c>
      <c r="M118" s="2" t="s">
        <v>45</v>
      </c>
      <c r="N118" s="2" t="s">
        <v>451</v>
      </c>
      <c r="O118" s="2" t="s">
        <v>139</v>
      </c>
      <c r="P118" s="2" t="s">
        <v>1719</v>
      </c>
      <c r="Q118" s="2" t="s">
        <v>420</v>
      </c>
      <c r="R118" s="2" t="s">
        <v>413</v>
      </c>
      <c r="S118" s="2" t="s">
        <v>34</v>
      </c>
      <c r="T118" s="124">
        <v>4.2949999999999999</v>
      </c>
      <c r="U118" s="2" t="s">
        <v>1819</v>
      </c>
      <c r="V118" s="138">
        <v>4.4000000000000003E-3</v>
      </c>
      <c r="W118" s="140">
        <v>2.496E-2</v>
      </c>
      <c r="X118" s="3" t="s">
        <v>419</v>
      </c>
      <c r="Y118" s="3" t="s">
        <v>139</v>
      </c>
      <c r="Z118" s="124">
        <v>412490.8</v>
      </c>
      <c r="AA118" s="134">
        <v>1</v>
      </c>
      <c r="AB118" s="151">
        <v>105.47</v>
      </c>
      <c r="AC118" s="2"/>
      <c r="AD118" s="124">
        <v>435.05399999999997</v>
      </c>
      <c r="AE118" s="2"/>
      <c r="AF118" s="2"/>
      <c r="AG118" s="2" t="s">
        <v>36</v>
      </c>
      <c r="AH118" s="140">
        <v>4.84E-4</v>
      </c>
      <c r="AI118" s="140">
        <v>1.91475249538396E-3</v>
      </c>
      <c r="AJ118" s="140">
        <v>3.1480464053711902E-4</v>
      </c>
    </row>
    <row r="119" spans="1:36">
      <c r="A119" s="2">
        <v>301</v>
      </c>
      <c r="B119" s="2">
        <v>7210</v>
      </c>
      <c r="C119" s="2" t="s">
        <v>1820</v>
      </c>
      <c r="D119" s="2" t="s">
        <v>1821</v>
      </c>
      <c r="E119" s="3" t="s">
        <v>1330</v>
      </c>
      <c r="F119" s="2" t="s">
        <v>1822</v>
      </c>
      <c r="G119" s="2" t="s">
        <v>1823</v>
      </c>
      <c r="H119" s="2" t="s">
        <v>328</v>
      </c>
      <c r="I119" s="2" t="s">
        <v>976</v>
      </c>
      <c r="J119" s="2" t="s">
        <v>30</v>
      </c>
      <c r="K119" s="2" t="s">
        <v>30</v>
      </c>
      <c r="L119" s="2" t="s">
        <v>334</v>
      </c>
      <c r="M119" s="2" t="s">
        <v>31</v>
      </c>
      <c r="N119" s="2" t="s">
        <v>451</v>
      </c>
      <c r="O119" s="2" t="s">
        <v>139</v>
      </c>
      <c r="P119" s="2" t="s">
        <v>1437</v>
      </c>
      <c r="Q119" s="2" t="s">
        <v>420</v>
      </c>
      <c r="R119" s="2" t="s">
        <v>413</v>
      </c>
      <c r="S119" s="2" t="s">
        <v>34</v>
      </c>
      <c r="T119" s="124">
        <v>7.1319999999999997</v>
      </c>
      <c r="U119" s="2" t="s">
        <v>1824</v>
      </c>
      <c r="V119" s="138">
        <v>6.0199999999999997E-2</v>
      </c>
      <c r="W119" s="140">
        <v>5.3359999999999998E-2</v>
      </c>
      <c r="X119" s="3" t="s">
        <v>419</v>
      </c>
      <c r="Y119" s="3" t="s">
        <v>139</v>
      </c>
      <c r="Z119" s="124">
        <v>2800000</v>
      </c>
      <c r="AA119" s="134">
        <v>1</v>
      </c>
      <c r="AB119" s="151">
        <v>105.33</v>
      </c>
      <c r="AC119" s="2"/>
      <c r="AD119" s="124">
        <v>2949.24</v>
      </c>
      <c r="AE119" s="2"/>
      <c r="AF119" s="2"/>
      <c r="AG119" s="2" t="s">
        <v>36</v>
      </c>
      <c r="AH119" s="140">
        <v>5.5999999999999999E-3</v>
      </c>
      <c r="AI119" s="140">
        <v>1.2980145091263599E-2</v>
      </c>
      <c r="AJ119" s="140">
        <v>2.1340668934631598E-3</v>
      </c>
    </row>
    <row r="120" spans="1:36">
      <c r="A120" s="2">
        <v>301</v>
      </c>
      <c r="B120" s="2">
        <v>7210</v>
      </c>
      <c r="C120" s="2" t="s">
        <v>1820</v>
      </c>
      <c r="D120" s="2" t="s">
        <v>1821</v>
      </c>
      <c r="E120" s="3" t="s">
        <v>1330</v>
      </c>
      <c r="F120" s="2" t="s">
        <v>1825</v>
      </c>
      <c r="G120" s="2" t="s">
        <v>1826</v>
      </c>
      <c r="H120" s="2" t="s">
        <v>328</v>
      </c>
      <c r="I120" s="2" t="s">
        <v>976</v>
      </c>
      <c r="J120" s="2" t="s">
        <v>30</v>
      </c>
      <c r="K120" s="2" t="s">
        <v>30</v>
      </c>
      <c r="L120" s="2" t="s">
        <v>334</v>
      </c>
      <c r="M120" s="2" t="s">
        <v>45</v>
      </c>
      <c r="N120" s="2" t="s">
        <v>451</v>
      </c>
      <c r="O120" s="2" t="s">
        <v>139</v>
      </c>
      <c r="P120" s="2" t="s">
        <v>1437</v>
      </c>
      <c r="Q120" s="2" t="s">
        <v>420</v>
      </c>
      <c r="R120" s="2" t="s">
        <v>413</v>
      </c>
      <c r="S120" s="2" t="s">
        <v>34</v>
      </c>
      <c r="T120" s="124">
        <v>4.5339999999999998</v>
      </c>
      <c r="U120" s="2" t="s">
        <v>1813</v>
      </c>
      <c r="V120" s="138">
        <v>4.3799999999999999E-2</v>
      </c>
      <c r="W120" s="140">
        <v>4.8849999999999998E-2</v>
      </c>
      <c r="X120" s="3" t="s">
        <v>419</v>
      </c>
      <c r="Y120" s="3" t="s">
        <v>139</v>
      </c>
      <c r="Z120" s="124">
        <v>1500000</v>
      </c>
      <c r="AA120" s="134">
        <v>1</v>
      </c>
      <c r="AB120" s="151">
        <v>98.04</v>
      </c>
      <c r="AC120" s="2"/>
      <c r="AD120" s="124">
        <v>1470.6</v>
      </c>
      <c r="AE120" s="2"/>
      <c r="AF120" s="2"/>
      <c r="AG120" s="2" t="s">
        <v>36</v>
      </c>
      <c r="AH120" s="140">
        <v>3.0000000000000001E-3</v>
      </c>
      <c r="AI120" s="140">
        <v>6.47237978978052E-3</v>
      </c>
      <c r="AJ120" s="140">
        <v>1.0641245790532199E-3</v>
      </c>
    </row>
    <row r="121" spans="1:36">
      <c r="A121" s="2">
        <v>301</v>
      </c>
      <c r="B121" s="2">
        <v>7210</v>
      </c>
      <c r="C121" s="2" t="s">
        <v>1827</v>
      </c>
      <c r="D121" s="2" t="s">
        <v>1828</v>
      </c>
      <c r="E121" s="3" t="s">
        <v>1330</v>
      </c>
      <c r="F121" s="2" t="s">
        <v>1829</v>
      </c>
      <c r="G121" s="2" t="s">
        <v>1830</v>
      </c>
      <c r="H121" s="2" t="s">
        <v>328</v>
      </c>
      <c r="I121" s="2" t="s">
        <v>976</v>
      </c>
      <c r="J121" s="2" t="s">
        <v>30</v>
      </c>
      <c r="K121" s="2" t="s">
        <v>30</v>
      </c>
      <c r="L121" s="2" t="s">
        <v>334</v>
      </c>
      <c r="M121" s="2" t="s">
        <v>45</v>
      </c>
      <c r="N121" s="2" t="s">
        <v>451</v>
      </c>
      <c r="O121" s="2" t="s">
        <v>139</v>
      </c>
      <c r="P121" s="2" t="s">
        <v>1719</v>
      </c>
      <c r="Q121" s="2" t="s">
        <v>422</v>
      </c>
      <c r="R121" s="2" t="s">
        <v>413</v>
      </c>
      <c r="S121" s="2" t="s">
        <v>34</v>
      </c>
      <c r="T121" s="124">
        <v>5.093</v>
      </c>
      <c r="U121" s="2" t="s">
        <v>1831</v>
      </c>
      <c r="V121" s="138">
        <v>1.95E-2</v>
      </c>
      <c r="W121" s="140">
        <v>4.8559999999999999E-2</v>
      </c>
      <c r="X121" s="3" t="s">
        <v>419</v>
      </c>
      <c r="Y121" s="3" t="s">
        <v>139</v>
      </c>
      <c r="Z121" s="124">
        <v>3758493.71</v>
      </c>
      <c r="AA121" s="134">
        <v>1</v>
      </c>
      <c r="AB121" s="151">
        <v>86.35</v>
      </c>
      <c r="AC121" s="2"/>
      <c r="AD121" s="124">
        <v>3245.4589999999998</v>
      </c>
      <c r="AE121" s="2"/>
      <c r="AF121" s="2"/>
      <c r="AG121" s="2" t="s">
        <v>36</v>
      </c>
      <c r="AH121" s="140">
        <v>3.7460000000000002E-3</v>
      </c>
      <c r="AI121" s="140">
        <v>1.42838605345875E-2</v>
      </c>
      <c r="AJ121" s="140">
        <v>2.34841087394507E-3</v>
      </c>
    </row>
    <row r="122" spans="1:36">
      <c r="A122" s="2">
        <v>301</v>
      </c>
      <c r="B122" s="2">
        <v>7210</v>
      </c>
      <c r="C122" s="2" t="s">
        <v>1832</v>
      </c>
      <c r="D122" s="2" t="s">
        <v>1833</v>
      </c>
      <c r="E122" s="3" t="s">
        <v>1330</v>
      </c>
      <c r="F122" s="2" t="s">
        <v>1834</v>
      </c>
      <c r="G122" s="2" t="s">
        <v>1835</v>
      </c>
      <c r="H122" s="2" t="s">
        <v>328</v>
      </c>
      <c r="I122" s="2" t="s">
        <v>976</v>
      </c>
      <c r="J122" s="2" t="s">
        <v>30</v>
      </c>
      <c r="K122" s="2" t="s">
        <v>30</v>
      </c>
      <c r="L122" s="2" t="s">
        <v>334</v>
      </c>
      <c r="M122" s="2" t="s">
        <v>45</v>
      </c>
      <c r="N122" s="2" t="s">
        <v>457</v>
      </c>
      <c r="O122" s="2" t="s">
        <v>139</v>
      </c>
      <c r="P122" s="2" t="s">
        <v>1725</v>
      </c>
      <c r="Q122" s="2" t="s">
        <v>420</v>
      </c>
      <c r="R122" s="2" t="s">
        <v>413</v>
      </c>
      <c r="S122" s="2" t="s">
        <v>34</v>
      </c>
      <c r="T122" s="124">
        <v>2.1040000000000001</v>
      </c>
      <c r="U122" s="2" t="s">
        <v>1797</v>
      </c>
      <c r="V122" s="138">
        <v>2.1999999999999999E-2</v>
      </c>
      <c r="W122" s="140">
        <v>4.913E-2</v>
      </c>
      <c r="X122" s="3" t="s">
        <v>419</v>
      </c>
      <c r="Y122" s="3" t="s">
        <v>139</v>
      </c>
      <c r="Z122" s="124">
        <v>4500000</v>
      </c>
      <c r="AA122" s="134">
        <v>1</v>
      </c>
      <c r="AB122" s="151">
        <v>94.62</v>
      </c>
      <c r="AC122" s="2"/>
      <c r="AD122" s="124">
        <v>4257.8999999999996</v>
      </c>
      <c r="AE122" s="2"/>
      <c r="AF122" s="2"/>
      <c r="AG122" s="2" t="s">
        <v>36</v>
      </c>
      <c r="AH122" s="140">
        <v>4.1520000000000003E-3</v>
      </c>
      <c r="AI122" s="140">
        <v>1.8739797298318001E-2</v>
      </c>
      <c r="AJ122" s="140">
        <v>3.0810118626075902E-3</v>
      </c>
    </row>
    <row r="123" spans="1:36">
      <c r="A123" s="2">
        <v>301</v>
      </c>
      <c r="B123" s="2">
        <v>7210</v>
      </c>
      <c r="C123" s="2" t="s">
        <v>1836</v>
      </c>
      <c r="D123" s="2" t="s">
        <v>1837</v>
      </c>
      <c r="E123" s="3" t="s">
        <v>1330</v>
      </c>
      <c r="F123" s="2" t="s">
        <v>1838</v>
      </c>
      <c r="G123" s="2" t="s">
        <v>1839</v>
      </c>
      <c r="H123" s="2" t="s">
        <v>328</v>
      </c>
      <c r="I123" s="2" t="s">
        <v>763</v>
      </c>
      <c r="J123" s="2" t="s">
        <v>30</v>
      </c>
      <c r="K123" s="2" t="s">
        <v>30</v>
      </c>
      <c r="L123" s="2" t="s">
        <v>334</v>
      </c>
      <c r="M123" s="2" t="s">
        <v>45</v>
      </c>
      <c r="N123" s="2" t="s">
        <v>446</v>
      </c>
      <c r="O123" s="2" t="s">
        <v>139</v>
      </c>
      <c r="P123" s="2" t="s">
        <v>103</v>
      </c>
      <c r="Q123" s="2" t="s">
        <v>420</v>
      </c>
      <c r="R123" s="2" t="s">
        <v>413</v>
      </c>
      <c r="S123" s="2" t="s">
        <v>34</v>
      </c>
      <c r="T123" s="124">
        <v>0.64500000000000002</v>
      </c>
      <c r="U123" s="2" t="s">
        <v>1840</v>
      </c>
      <c r="V123" s="138">
        <v>4.4999999999999998E-2</v>
      </c>
      <c r="W123" s="140">
        <v>2.8240000000000001E-2</v>
      </c>
      <c r="X123" s="3" t="s">
        <v>419</v>
      </c>
      <c r="Y123" s="3" t="s">
        <v>139</v>
      </c>
      <c r="Z123" s="124">
        <v>1759000</v>
      </c>
      <c r="AA123" s="134">
        <v>1</v>
      </c>
      <c r="AB123" s="151">
        <v>119.91</v>
      </c>
      <c r="AC123" s="2"/>
      <c r="AD123" s="124">
        <v>2109.2170000000001</v>
      </c>
      <c r="AE123" s="2"/>
      <c r="AF123" s="2"/>
      <c r="AG123" s="2" t="s">
        <v>36</v>
      </c>
      <c r="AH123" s="140">
        <v>5.9500000000000004E-4</v>
      </c>
      <c r="AI123" s="140">
        <v>9.2830496639626798E-3</v>
      </c>
      <c r="AJ123" s="140">
        <v>1.52622708135757E-3</v>
      </c>
    </row>
    <row r="124" spans="1:36">
      <c r="A124" s="2">
        <v>301</v>
      </c>
      <c r="B124" s="2">
        <v>7210</v>
      </c>
      <c r="C124" s="2" t="s">
        <v>1836</v>
      </c>
      <c r="D124" s="2" t="s">
        <v>1837</v>
      </c>
      <c r="E124" s="3" t="s">
        <v>1330</v>
      </c>
      <c r="F124" s="2" t="s">
        <v>1841</v>
      </c>
      <c r="G124" s="2" t="s">
        <v>1842</v>
      </c>
      <c r="H124" s="2" t="s">
        <v>328</v>
      </c>
      <c r="I124" s="2" t="s">
        <v>763</v>
      </c>
      <c r="J124" s="2" t="s">
        <v>30</v>
      </c>
      <c r="K124" s="2" t="s">
        <v>30</v>
      </c>
      <c r="L124" s="2" t="s">
        <v>334</v>
      </c>
      <c r="M124" s="2" t="s">
        <v>45</v>
      </c>
      <c r="N124" s="2" t="s">
        <v>446</v>
      </c>
      <c r="O124" s="2" t="s">
        <v>139</v>
      </c>
      <c r="P124" s="2" t="s">
        <v>103</v>
      </c>
      <c r="Q124" s="2" t="s">
        <v>420</v>
      </c>
      <c r="R124" s="2" t="s">
        <v>413</v>
      </c>
      <c r="S124" s="2" t="s">
        <v>34</v>
      </c>
      <c r="T124" s="124">
        <v>3.1850000000000001</v>
      </c>
      <c r="U124" s="2" t="s">
        <v>1843</v>
      </c>
      <c r="V124" s="138">
        <v>3.85E-2</v>
      </c>
      <c r="W124" s="140">
        <v>2.4279999999999999E-2</v>
      </c>
      <c r="X124" s="3" t="s">
        <v>419</v>
      </c>
      <c r="Y124" s="3" t="s">
        <v>139</v>
      </c>
      <c r="Z124" s="124">
        <v>3400000</v>
      </c>
      <c r="AA124" s="134">
        <v>1</v>
      </c>
      <c r="AB124" s="151">
        <v>122.39</v>
      </c>
      <c r="AC124" s="2"/>
      <c r="AD124" s="124">
        <v>4161.26</v>
      </c>
      <c r="AE124" s="2"/>
      <c r="AF124" s="2"/>
      <c r="AG124" s="2" t="s">
        <v>36</v>
      </c>
      <c r="AH124" s="140">
        <v>1.3309999999999999E-3</v>
      </c>
      <c r="AI124" s="140">
        <v>1.8314466968599299E-2</v>
      </c>
      <c r="AJ124" s="140">
        <v>3.0110832624989899E-3</v>
      </c>
    </row>
    <row r="125" spans="1:36">
      <c r="A125" s="2">
        <v>301</v>
      </c>
      <c r="B125" s="2">
        <v>7210</v>
      </c>
      <c r="C125" s="2" t="s">
        <v>1836</v>
      </c>
      <c r="D125" s="2" t="s">
        <v>1837</v>
      </c>
      <c r="E125" s="3" t="s">
        <v>1330</v>
      </c>
      <c r="F125" s="2" t="s">
        <v>1844</v>
      </c>
      <c r="G125" s="2" t="s">
        <v>1845</v>
      </c>
      <c r="H125" s="2" t="s">
        <v>328</v>
      </c>
      <c r="I125" s="2" t="s">
        <v>763</v>
      </c>
      <c r="J125" s="2" t="s">
        <v>30</v>
      </c>
      <c r="K125" s="2" t="s">
        <v>30</v>
      </c>
      <c r="L125" s="2" t="s">
        <v>334</v>
      </c>
      <c r="M125" s="2" t="s">
        <v>45</v>
      </c>
      <c r="N125" s="2" t="s">
        <v>446</v>
      </c>
      <c r="O125" s="2" t="s">
        <v>139</v>
      </c>
      <c r="P125" s="2" t="s">
        <v>103</v>
      </c>
      <c r="Q125" s="2" t="s">
        <v>420</v>
      </c>
      <c r="R125" s="2" t="s">
        <v>413</v>
      </c>
      <c r="S125" s="2" t="s">
        <v>34</v>
      </c>
      <c r="T125" s="124">
        <v>5.55</v>
      </c>
      <c r="U125" s="2" t="s">
        <v>1846</v>
      </c>
      <c r="V125" s="138">
        <v>2.3900000000000001E-2</v>
      </c>
      <c r="W125" s="140">
        <v>2.5940000000000001E-2</v>
      </c>
      <c r="X125" s="3" t="s">
        <v>419</v>
      </c>
      <c r="Y125" s="3" t="s">
        <v>139</v>
      </c>
      <c r="Z125" s="124">
        <v>2500000</v>
      </c>
      <c r="AA125" s="134">
        <v>1</v>
      </c>
      <c r="AB125" s="151">
        <v>114.47</v>
      </c>
      <c r="AC125" s="2"/>
      <c r="AD125" s="124">
        <v>2861.75</v>
      </c>
      <c r="AE125" s="2"/>
      <c r="AF125" s="2"/>
      <c r="AG125" s="2" t="s">
        <v>36</v>
      </c>
      <c r="AH125" s="140">
        <v>6.4300000000000002E-4</v>
      </c>
      <c r="AI125" s="140">
        <v>1.2595085586430301E-2</v>
      </c>
      <c r="AJ125" s="140">
        <v>2.0707592235179998E-3</v>
      </c>
    </row>
    <row r="126" spans="1:36">
      <c r="A126" s="2">
        <v>301</v>
      </c>
      <c r="B126" s="2">
        <v>7210</v>
      </c>
      <c r="C126" s="2" t="s">
        <v>1847</v>
      </c>
      <c r="D126" s="2" t="s">
        <v>1848</v>
      </c>
      <c r="E126" s="3" t="s">
        <v>1330</v>
      </c>
      <c r="F126" s="2" t="s">
        <v>1849</v>
      </c>
      <c r="G126" s="2" t="s">
        <v>1850</v>
      </c>
      <c r="H126" s="2" t="s">
        <v>328</v>
      </c>
      <c r="I126" s="2" t="s">
        <v>976</v>
      </c>
      <c r="J126" s="2" t="s">
        <v>30</v>
      </c>
      <c r="K126" s="2" t="s">
        <v>30</v>
      </c>
      <c r="L126" s="2" t="s">
        <v>334</v>
      </c>
      <c r="M126" s="2" t="s">
        <v>45</v>
      </c>
      <c r="N126" s="2" t="s">
        <v>468</v>
      </c>
      <c r="O126" s="2" t="s">
        <v>139</v>
      </c>
      <c r="P126" s="2" t="s">
        <v>1437</v>
      </c>
      <c r="Q126" s="2" t="s">
        <v>420</v>
      </c>
      <c r="R126" s="2" t="s">
        <v>413</v>
      </c>
      <c r="S126" s="2" t="s">
        <v>34</v>
      </c>
      <c r="T126" s="124">
        <v>1.9970000000000001</v>
      </c>
      <c r="U126" s="2" t="s">
        <v>1851</v>
      </c>
      <c r="V126" s="138">
        <v>2.18E-2</v>
      </c>
      <c r="W126" s="140">
        <v>5.2089999999999997E-2</v>
      </c>
      <c r="X126" s="3" t="s">
        <v>419</v>
      </c>
      <c r="Y126" s="3" t="s">
        <v>139</v>
      </c>
      <c r="Z126" s="124">
        <v>1869999.87</v>
      </c>
      <c r="AA126" s="134">
        <v>1</v>
      </c>
      <c r="AB126" s="151">
        <v>94.59</v>
      </c>
      <c r="AC126" s="2"/>
      <c r="AD126" s="124">
        <v>1768.8330000000001</v>
      </c>
      <c r="AE126" s="2"/>
      <c r="AF126" s="2"/>
      <c r="AG126" s="2" t="s">
        <v>36</v>
      </c>
      <c r="AH126" s="140">
        <v>5.7790000000000003E-3</v>
      </c>
      <c r="AI126" s="140">
        <v>7.7849572724110697E-3</v>
      </c>
      <c r="AJ126" s="140">
        <v>1.2799255682634601E-3</v>
      </c>
    </row>
    <row r="127" spans="1:36">
      <c r="A127" s="2">
        <v>301</v>
      </c>
      <c r="B127" s="2">
        <v>7210</v>
      </c>
      <c r="C127" s="2" t="s">
        <v>1847</v>
      </c>
      <c r="D127" s="2" t="s">
        <v>1848</v>
      </c>
      <c r="E127" s="3" t="s">
        <v>1330</v>
      </c>
      <c r="F127" s="2" t="s">
        <v>1852</v>
      </c>
      <c r="G127" s="2" t="s">
        <v>1853</v>
      </c>
      <c r="H127" s="2" t="s">
        <v>328</v>
      </c>
      <c r="I127" s="2" t="s">
        <v>763</v>
      </c>
      <c r="J127" s="2" t="s">
        <v>30</v>
      </c>
      <c r="K127" s="2" t="s">
        <v>30</v>
      </c>
      <c r="L127" s="2" t="s">
        <v>334</v>
      </c>
      <c r="M127" s="2" t="s">
        <v>45</v>
      </c>
      <c r="N127" s="2" t="s">
        <v>468</v>
      </c>
      <c r="O127" s="2" t="s">
        <v>139</v>
      </c>
      <c r="P127" s="2" t="s">
        <v>1437</v>
      </c>
      <c r="Q127" s="2" t="s">
        <v>420</v>
      </c>
      <c r="R127" s="2" t="s">
        <v>413</v>
      </c>
      <c r="S127" s="2" t="s">
        <v>34</v>
      </c>
      <c r="T127" s="124">
        <v>2.9510000000000001</v>
      </c>
      <c r="U127" s="2" t="s">
        <v>1854</v>
      </c>
      <c r="V127" s="138">
        <v>2.1999999999999999E-2</v>
      </c>
      <c r="W127" s="140">
        <v>2.7570000000000001E-2</v>
      </c>
      <c r="X127" s="3" t="s">
        <v>419</v>
      </c>
      <c r="Y127" s="3" t="s">
        <v>139</v>
      </c>
      <c r="Z127" s="124">
        <v>856879.91</v>
      </c>
      <c r="AA127" s="134">
        <v>1</v>
      </c>
      <c r="AB127" s="151">
        <v>105.56</v>
      </c>
      <c r="AC127" s="2"/>
      <c r="AD127" s="124">
        <v>904.52200000000005</v>
      </c>
      <c r="AE127" s="2"/>
      <c r="AF127" s="2"/>
      <c r="AG127" s="2" t="s">
        <v>36</v>
      </c>
      <c r="AH127" s="140">
        <v>2.6380000000000002E-3</v>
      </c>
      <c r="AI127" s="140">
        <v>3.9809687982635799E-3</v>
      </c>
      <c r="AJ127" s="140">
        <v>6.5451146012244403E-4</v>
      </c>
    </row>
    <row r="128" spans="1:36">
      <c r="A128" s="2">
        <v>301</v>
      </c>
      <c r="B128" s="2">
        <v>7210</v>
      </c>
      <c r="C128" s="2" t="s">
        <v>1855</v>
      </c>
      <c r="D128" s="2" t="s">
        <v>1856</v>
      </c>
      <c r="E128" s="3" t="s">
        <v>1330</v>
      </c>
      <c r="F128" s="2" t="s">
        <v>1857</v>
      </c>
      <c r="G128" s="2" t="s">
        <v>1858</v>
      </c>
      <c r="H128" s="2" t="s">
        <v>328</v>
      </c>
      <c r="I128" s="2" t="s">
        <v>763</v>
      </c>
      <c r="J128" s="2" t="s">
        <v>30</v>
      </c>
      <c r="K128" s="2" t="s">
        <v>30</v>
      </c>
      <c r="L128" s="2" t="s">
        <v>334</v>
      </c>
      <c r="M128" s="2" t="s">
        <v>45</v>
      </c>
      <c r="N128" s="2" t="s">
        <v>470</v>
      </c>
      <c r="O128" s="2" t="s">
        <v>139</v>
      </c>
      <c r="P128" s="2" t="s">
        <v>1719</v>
      </c>
      <c r="Q128" s="2" t="s">
        <v>420</v>
      </c>
      <c r="R128" s="2" t="s">
        <v>413</v>
      </c>
      <c r="S128" s="2" t="s">
        <v>34</v>
      </c>
      <c r="T128" s="124">
        <v>2.08</v>
      </c>
      <c r="U128" s="2" t="s">
        <v>1859</v>
      </c>
      <c r="V128" s="138">
        <v>1.5800000000000002E-2</v>
      </c>
      <c r="W128" s="140">
        <v>2.5649999999999999E-2</v>
      </c>
      <c r="X128" s="3" t="s">
        <v>419</v>
      </c>
      <c r="Y128" s="3" t="s">
        <v>139</v>
      </c>
      <c r="Z128" s="124">
        <v>1212547.6499999999</v>
      </c>
      <c r="AA128" s="134">
        <v>1</v>
      </c>
      <c r="AB128" s="151">
        <v>114.31</v>
      </c>
      <c r="AC128" s="2"/>
      <c r="AD128" s="124">
        <v>1386.0630000000001</v>
      </c>
      <c r="AE128" s="2"/>
      <c r="AF128" s="2"/>
      <c r="AG128" s="2" t="s">
        <v>36</v>
      </c>
      <c r="AH128" s="140">
        <v>2.8240000000000001E-3</v>
      </c>
      <c r="AI128" s="140">
        <v>6.10031794109146E-3</v>
      </c>
      <c r="AJ128" s="140">
        <v>1.00295385499541E-3</v>
      </c>
    </row>
    <row r="129" spans="1:36">
      <c r="A129" s="2">
        <v>301</v>
      </c>
      <c r="B129" s="2">
        <v>7210</v>
      </c>
      <c r="C129" s="2" t="s">
        <v>1855</v>
      </c>
      <c r="D129" s="2" t="s">
        <v>1856</v>
      </c>
      <c r="E129" s="3" t="s">
        <v>1330</v>
      </c>
      <c r="F129" s="2" t="s">
        <v>1860</v>
      </c>
      <c r="G129" s="2" t="s">
        <v>1861</v>
      </c>
      <c r="H129" s="2" t="s">
        <v>328</v>
      </c>
      <c r="I129" s="2" t="s">
        <v>763</v>
      </c>
      <c r="J129" s="2" t="s">
        <v>30</v>
      </c>
      <c r="K129" s="2" t="s">
        <v>30</v>
      </c>
      <c r="L129" s="2" t="s">
        <v>334</v>
      </c>
      <c r="M129" s="2" t="s">
        <v>45</v>
      </c>
      <c r="N129" s="2" t="s">
        <v>470</v>
      </c>
      <c r="O129" s="2" t="s">
        <v>139</v>
      </c>
      <c r="P129" s="2" t="s">
        <v>1719</v>
      </c>
      <c r="Q129" s="2" t="s">
        <v>420</v>
      </c>
      <c r="R129" s="2" t="s">
        <v>413</v>
      </c>
      <c r="S129" s="2" t="s">
        <v>34</v>
      </c>
      <c r="T129" s="124">
        <v>4.7050000000000001</v>
      </c>
      <c r="U129" s="2" t="s">
        <v>1862</v>
      </c>
      <c r="V129" s="138">
        <v>8.3999999999999995E-3</v>
      </c>
      <c r="W129" s="140">
        <v>2.6040000000000001E-2</v>
      </c>
      <c r="X129" s="3" t="s">
        <v>419</v>
      </c>
      <c r="Y129" s="3" t="s">
        <v>139</v>
      </c>
      <c r="Z129" s="124">
        <v>2592967.15</v>
      </c>
      <c r="AA129" s="134">
        <v>1</v>
      </c>
      <c r="AB129" s="151">
        <v>105.54</v>
      </c>
      <c r="AC129" s="2"/>
      <c r="AD129" s="124">
        <v>2736.6179999999999</v>
      </c>
      <c r="AE129" s="2"/>
      <c r="AF129" s="2"/>
      <c r="AG129" s="2" t="s">
        <v>36</v>
      </c>
      <c r="AH129" s="140">
        <v>3.382E-3</v>
      </c>
      <c r="AI129" s="140">
        <v>1.20443546812478E-2</v>
      </c>
      <c r="AJ129" s="140">
        <v>1.9802135028274001E-3</v>
      </c>
    </row>
    <row r="130" spans="1:36">
      <c r="A130" s="2">
        <v>301</v>
      </c>
      <c r="B130" s="2">
        <v>7210</v>
      </c>
      <c r="C130" s="2" t="s">
        <v>1863</v>
      </c>
      <c r="D130" s="2" t="s">
        <v>1864</v>
      </c>
      <c r="E130" s="3" t="s">
        <v>1330</v>
      </c>
      <c r="F130" s="2" t="s">
        <v>1865</v>
      </c>
      <c r="G130" s="2" t="s">
        <v>1866</v>
      </c>
      <c r="H130" s="2" t="s">
        <v>328</v>
      </c>
      <c r="I130" s="2" t="s">
        <v>976</v>
      </c>
      <c r="J130" s="2" t="s">
        <v>30</v>
      </c>
      <c r="K130" s="2" t="s">
        <v>30</v>
      </c>
      <c r="L130" s="2" t="s">
        <v>334</v>
      </c>
      <c r="M130" s="2" t="s">
        <v>45</v>
      </c>
      <c r="N130" s="2" t="s">
        <v>451</v>
      </c>
      <c r="O130" s="2" t="s">
        <v>139</v>
      </c>
      <c r="P130" s="2" t="s">
        <v>1437</v>
      </c>
      <c r="Q130" s="2" t="s">
        <v>420</v>
      </c>
      <c r="R130" s="2" t="s">
        <v>413</v>
      </c>
      <c r="S130" s="2" t="s">
        <v>34</v>
      </c>
      <c r="T130" s="124">
        <v>4.8739999999999997</v>
      </c>
      <c r="U130" s="2" t="s">
        <v>92</v>
      </c>
      <c r="V130" s="138">
        <v>2.64E-2</v>
      </c>
      <c r="W130" s="140">
        <v>4.8840000000000001E-2</v>
      </c>
      <c r="X130" s="3" t="s">
        <v>419</v>
      </c>
      <c r="Y130" s="3" t="s">
        <v>139</v>
      </c>
      <c r="Z130" s="124">
        <v>2500000.0099999998</v>
      </c>
      <c r="AA130" s="134">
        <v>1</v>
      </c>
      <c r="AB130" s="151">
        <v>90.64</v>
      </c>
      <c r="AC130" s="2"/>
      <c r="AD130" s="124">
        <v>2266</v>
      </c>
      <c r="AE130" s="2"/>
      <c r="AF130" s="2"/>
      <c r="AG130" s="2" t="s">
        <v>36</v>
      </c>
      <c r="AH130" s="140">
        <v>1.5280000000000001E-3</v>
      </c>
      <c r="AI130" s="140">
        <v>9.9730808257230408E-3</v>
      </c>
      <c r="AJ130" s="140">
        <v>1.6396751705289199E-3</v>
      </c>
    </row>
    <row r="131" spans="1:36">
      <c r="A131" s="2">
        <v>301</v>
      </c>
      <c r="B131" s="2">
        <v>7210</v>
      </c>
      <c r="C131" s="2" t="s">
        <v>1586</v>
      </c>
      <c r="D131" s="2" t="s">
        <v>1587</v>
      </c>
      <c r="E131" s="3" t="s">
        <v>1330</v>
      </c>
      <c r="F131" s="2" t="s">
        <v>2039</v>
      </c>
      <c r="G131" s="2" t="s">
        <v>2040</v>
      </c>
      <c r="H131" s="2" t="s">
        <v>328</v>
      </c>
      <c r="I131" s="2" t="s">
        <v>976</v>
      </c>
      <c r="J131" s="2" t="s">
        <v>30</v>
      </c>
      <c r="K131" s="2" t="s">
        <v>30</v>
      </c>
      <c r="L131" s="2" t="s">
        <v>334</v>
      </c>
      <c r="M131" s="2" t="s">
        <v>45</v>
      </c>
      <c r="N131" s="2" t="s">
        <v>451</v>
      </c>
      <c r="O131" s="2" t="s">
        <v>139</v>
      </c>
      <c r="P131" s="2" t="s">
        <v>1437</v>
      </c>
      <c r="Q131" s="2" t="s">
        <v>420</v>
      </c>
      <c r="R131" s="2" t="s">
        <v>413</v>
      </c>
      <c r="S131" s="2" t="s">
        <v>34</v>
      </c>
      <c r="T131" s="124">
        <v>2.895</v>
      </c>
      <c r="U131" s="2" t="s">
        <v>2041</v>
      </c>
      <c r="V131" s="138">
        <v>4.7E-2</v>
      </c>
      <c r="W131" s="140">
        <v>4.7309999999999998E-2</v>
      </c>
      <c r="X131" s="3" t="s">
        <v>419</v>
      </c>
      <c r="Y131" s="3" t="s">
        <v>139</v>
      </c>
      <c r="Z131" s="124">
        <v>3550812</v>
      </c>
      <c r="AA131" s="134">
        <v>1</v>
      </c>
      <c r="AB131" s="151">
        <v>103.85</v>
      </c>
      <c r="AC131" s="2"/>
      <c r="AD131" s="124">
        <v>3687.518</v>
      </c>
      <c r="AE131" s="2"/>
      <c r="AF131" s="2"/>
      <c r="AG131" s="2" t="s">
        <v>36</v>
      </c>
      <c r="AH131" s="140">
        <v>3.9490000000000003E-3</v>
      </c>
      <c r="AI131" s="140">
        <v>1.6229442862379598E-2</v>
      </c>
      <c r="AJ131" s="140">
        <v>2.66828425017124E-3</v>
      </c>
    </row>
    <row r="132" spans="1:36">
      <c r="A132" s="2">
        <v>301</v>
      </c>
      <c r="B132" s="2">
        <v>7210</v>
      </c>
      <c r="C132" s="2" t="s">
        <v>1586</v>
      </c>
      <c r="D132" s="2" t="s">
        <v>1587</v>
      </c>
      <c r="E132" s="3" t="s">
        <v>1330</v>
      </c>
      <c r="F132" s="2" t="s">
        <v>2042</v>
      </c>
      <c r="G132" s="2" t="s">
        <v>2043</v>
      </c>
      <c r="H132" s="2" t="s">
        <v>328</v>
      </c>
      <c r="I132" s="2" t="s">
        <v>976</v>
      </c>
      <c r="J132" s="2" t="s">
        <v>30</v>
      </c>
      <c r="K132" s="2" t="s">
        <v>30</v>
      </c>
      <c r="L132" s="2" t="s">
        <v>334</v>
      </c>
      <c r="M132" s="2" t="s">
        <v>45</v>
      </c>
      <c r="N132" s="2" t="s">
        <v>451</v>
      </c>
      <c r="O132" s="2" t="s">
        <v>139</v>
      </c>
      <c r="P132" s="2" t="s">
        <v>1437</v>
      </c>
      <c r="Q132" s="2" t="s">
        <v>420</v>
      </c>
      <c r="R132" s="2" t="s">
        <v>413</v>
      </c>
      <c r="S132" s="2" t="s">
        <v>34</v>
      </c>
      <c r="T132" s="124">
        <v>5.0599999999999996</v>
      </c>
      <c r="U132" s="2" t="s">
        <v>2044</v>
      </c>
      <c r="V132" s="138">
        <v>5.2499999999999998E-2</v>
      </c>
      <c r="W132" s="140">
        <v>4.9360000000000001E-2</v>
      </c>
      <c r="X132" s="3" t="s">
        <v>419</v>
      </c>
      <c r="Y132" s="3" t="s">
        <v>139</v>
      </c>
      <c r="Z132" s="124">
        <v>3400000</v>
      </c>
      <c r="AA132" s="134">
        <v>1</v>
      </c>
      <c r="AB132" s="151">
        <v>102.73</v>
      </c>
      <c r="AC132" s="2"/>
      <c r="AD132" s="124">
        <v>3492.82</v>
      </c>
      <c r="AE132" s="2"/>
      <c r="AF132" s="2"/>
      <c r="AG132" s="2" t="s">
        <v>36</v>
      </c>
      <c r="AH132" s="140">
        <v>6.7999999999999996E-3</v>
      </c>
      <c r="AI132" s="140">
        <v>1.5372540172270599E-2</v>
      </c>
      <c r="AJ132" s="140">
        <v>2.5274007970955302E-3</v>
      </c>
    </row>
    <row r="133" spans="1:36">
      <c r="A133" s="2">
        <v>301</v>
      </c>
      <c r="B133" s="2">
        <v>7210</v>
      </c>
      <c r="C133" s="2" t="s">
        <v>1863</v>
      </c>
      <c r="D133" s="2" t="s">
        <v>1864</v>
      </c>
      <c r="E133" s="3" t="s">
        <v>1330</v>
      </c>
      <c r="F133" s="2" t="s">
        <v>2045</v>
      </c>
      <c r="G133" s="2" t="s">
        <v>2046</v>
      </c>
      <c r="H133" s="2" t="s">
        <v>328</v>
      </c>
      <c r="I133" s="2" t="s">
        <v>976</v>
      </c>
      <c r="J133" s="2" t="s">
        <v>30</v>
      </c>
      <c r="K133" s="2" t="s">
        <v>30</v>
      </c>
      <c r="L133" s="2" t="s">
        <v>334</v>
      </c>
      <c r="M133" s="2" t="s">
        <v>45</v>
      </c>
      <c r="N133" s="2" t="s">
        <v>451</v>
      </c>
      <c r="O133" s="2" t="s">
        <v>139</v>
      </c>
      <c r="P133" s="2" t="s">
        <v>1437</v>
      </c>
      <c r="Q133" s="2" t="s">
        <v>420</v>
      </c>
      <c r="R133" s="2" t="s">
        <v>413</v>
      </c>
      <c r="S133" s="2" t="s">
        <v>34</v>
      </c>
      <c r="T133" s="124">
        <v>6.5549999999999997</v>
      </c>
      <c r="U133" s="2" t="s">
        <v>2047</v>
      </c>
      <c r="V133" s="138">
        <v>2.5000000000000001E-2</v>
      </c>
      <c r="W133" s="140">
        <v>5.2679999999999998E-2</v>
      </c>
      <c r="X133" s="3" t="s">
        <v>419</v>
      </c>
      <c r="Y133" s="3" t="s">
        <v>139</v>
      </c>
      <c r="Z133" s="124">
        <v>822777</v>
      </c>
      <c r="AA133" s="134">
        <v>1</v>
      </c>
      <c r="AB133" s="151">
        <v>84.49</v>
      </c>
      <c r="AC133" s="2"/>
      <c r="AD133" s="124">
        <v>695.16399999999999</v>
      </c>
      <c r="AE133" s="2"/>
      <c r="AF133" s="2"/>
      <c r="AG133" s="2" t="s">
        <v>36</v>
      </c>
      <c r="AH133" s="140">
        <v>6.1700000000000004E-4</v>
      </c>
      <c r="AI133" s="140">
        <v>3.0595452765522198E-3</v>
      </c>
      <c r="AJ133" s="140">
        <v>5.0302013096419605E-4</v>
      </c>
    </row>
    <row r="134" spans="1:36">
      <c r="A134" s="2">
        <v>301</v>
      </c>
      <c r="B134" s="2">
        <v>7210</v>
      </c>
      <c r="C134" s="2" t="s">
        <v>1181</v>
      </c>
      <c r="D134" s="2" t="s">
        <v>1590</v>
      </c>
      <c r="E134" s="3" t="s">
        <v>1330</v>
      </c>
      <c r="F134" s="2" t="s">
        <v>1867</v>
      </c>
      <c r="G134" s="2" t="s">
        <v>1868</v>
      </c>
      <c r="H134" s="2" t="s">
        <v>328</v>
      </c>
      <c r="I134" s="2" t="s">
        <v>763</v>
      </c>
      <c r="J134" s="2" t="s">
        <v>30</v>
      </c>
      <c r="K134" s="2" t="s">
        <v>30</v>
      </c>
      <c r="L134" s="2" t="s">
        <v>334</v>
      </c>
      <c r="M134" s="2" t="s">
        <v>45</v>
      </c>
      <c r="N134" s="2" t="s">
        <v>454</v>
      </c>
      <c r="O134" s="2" t="s">
        <v>139</v>
      </c>
      <c r="P134" s="2" t="s">
        <v>1177</v>
      </c>
      <c r="Q134" s="2" t="s">
        <v>420</v>
      </c>
      <c r="R134" s="2" t="s">
        <v>413</v>
      </c>
      <c r="S134" s="2" t="s">
        <v>34</v>
      </c>
      <c r="T134" s="124">
        <v>1.482</v>
      </c>
      <c r="U134" s="2" t="s">
        <v>1869</v>
      </c>
      <c r="V134" s="138">
        <v>8.3000000000000001E-3</v>
      </c>
      <c r="W134" s="140">
        <v>2.2599999999999999E-2</v>
      </c>
      <c r="X134" s="3" t="s">
        <v>419</v>
      </c>
      <c r="Y134" s="3" t="s">
        <v>139</v>
      </c>
      <c r="Z134" s="124">
        <v>140677</v>
      </c>
      <c r="AA134" s="134">
        <v>1</v>
      </c>
      <c r="AB134" s="151">
        <v>113.32</v>
      </c>
      <c r="AC134" s="2"/>
      <c r="AD134" s="124">
        <v>159.41499999999999</v>
      </c>
      <c r="AE134" s="2"/>
      <c r="AF134" s="2"/>
      <c r="AG134" s="2" t="s">
        <v>36</v>
      </c>
      <c r="AH134" s="140">
        <v>9.2E-5</v>
      </c>
      <c r="AI134" s="140">
        <v>7.0161537189967203E-4</v>
      </c>
      <c r="AJ134" s="140">
        <v>1.15352650266113E-4</v>
      </c>
    </row>
    <row r="135" spans="1:36">
      <c r="A135" s="2">
        <v>301</v>
      </c>
      <c r="B135" s="2">
        <v>7210</v>
      </c>
      <c r="C135" s="2" t="s">
        <v>1181</v>
      </c>
      <c r="D135" s="2" t="s">
        <v>1590</v>
      </c>
      <c r="E135" s="3" t="s">
        <v>1330</v>
      </c>
      <c r="F135" s="2" t="s">
        <v>1870</v>
      </c>
      <c r="G135" s="2" t="s">
        <v>1871</v>
      </c>
      <c r="H135" s="2" t="s">
        <v>328</v>
      </c>
      <c r="I135" s="2" t="s">
        <v>763</v>
      </c>
      <c r="J135" s="2" t="s">
        <v>30</v>
      </c>
      <c r="K135" s="2" t="s">
        <v>30</v>
      </c>
      <c r="L135" s="2" t="s">
        <v>334</v>
      </c>
      <c r="M135" s="2" t="s">
        <v>45</v>
      </c>
      <c r="N135" s="2" t="s">
        <v>454</v>
      </c>
      <c r="O135" s="2" t="s">
        <v>139</v>
      </c>
      <c r="P135" s="2" t="s">
        <v>1177</v>
      </c>
      <c r="Q135" s="2" t="s">
        <v>420</v>
      </c>
      <c r="R135" s="2" t="s">
        <v>413</v>
      </c>
      <c r="S135" s="2" t="s">
        <v>34</v>
      </c>
      <c r="T135" s="124">
        <v>2.3250000000000002</v>
      </c>
      <c r="U135" s="2" t="s">
        <v>1872</v>
      </c>
      <c r="V135" s="138">
        <v>1.8599999999999998E-2</v>
      </c>
      <c r="W135" s="140">
        <v>2.3189999999999999E-2</v>
      </c>
      <c r="X135" s="3" t="s">
        <v>419</v>
      </c>
      <c r="Y135" s="3" t="s">
        <v>139</v>
      </c>
      <c r="Z135" s="124">
        <v>7573000</v>
      </c>
      <c r="AA135" s="134">
        <v>1</v>
      </c>
      <c r="AB135" s="151">
        <v>103.01</v>
      </c>
      <c r="AC135" s="2"/>
      <c r="AD135" s="124">
        <v>7800.9470000000001</v>
      </c>
      <c r="AE135" s="2"/>
      <c r="AF135" s="2"/>
      <c r="AG135" s="2" t="s">
        <v>36</v>
      </c>
      <c r="AH135" s="140">
        <v>4.0990000000000002E-3</v>
      </c>
      <c r="AI135" s="140">
        <v>3.4333397011874697E-2</v>
      </c>
      <c r="AJ135" s="140">
        <v>5.6447570799869999E-3</v>
      </c>
    </row>
    <row r="136" spans="1:36">
      <c r="A136" s="2">
        <v>301</v>
      </c>
      <c r="B136" s="2">
        <v>7210</v>
      </c>
      <c r="C136" s="2" t="s">
        <v>1181</v>
      </c>
      <c r="D136" s="2" t="s">
        <v>1590</v>
      </c>
      <c r="E136" s="3" t="s">
        <v>1330</v>
      </c>
      <c r="F136" s="2" t="s">
        <v>1873</v>
      </c>
      <c r="G136" s="2" t="s">
        <v>1874</v>
      </c>
      <c r="H136" s="2" t="s">
        <v>328</v>
      </c>
      <c r="I136" s="2" t="s">
        <v>763</v>
      </c>
      <c r="J136" s="2" t="s">
        <v>30</v>
      </c>
      <c r="K136" s="2" t="s">
        <v>30</v>
      </c>
      <c r="L136" s="2" t="s">
        <v>334</v>
      </c>
      <c r="M136" s="2" t="s">
        <v>45</v>
      </c>
      <c r="N136" s="2" t="s">
        <v>454</v>
      </c>
      <c r="O136" s="2" t="s">
        <v>139</v>
      </c>
      <c r="P136" s="2" t="s">
        <v>1177</v>
      </c>
      <c r="Q136" s="2" t="s">
        <v>420</v>
      </c>
      <c r="R136" s="2" t="s">
        <v>413</v>
      </c>
      <c r="S136" s="2" t="s">
        <v>34</v>
      </c>
      <c r="T136" s="124">
        <v>2.8929999999999998</v>
      </c>
      <c r="U136" s="2" t="s">
        <v>1875</v>
      </c>
      <c r="V136" s="138">
        <v>1E-3</v>
      </c>
      <c r="W136" s="140">
        <v>2.1919999999999999E-2</v>
      </c>
      <c r="X136" s="3" t="s">
        <v>419</v>
      </c>
      <c r="Y136" s="3" t="s">
        <v>139</v>
      </c>
      <c r="Z136" s="124">
        <v>1972000</v>
      </c>
      <c r="AA136" s="134">
        <v>1</v>
      </c>
      <c r="AB136" s="151">
        <v>105.89</v>
      </c>
      <c r="AC136" s="2"/>
      <c r="AD136" s="124">
        <v>2088.1509999999998</v>
      </c>
      <c r="AE136" s="2"/>
      <c r="AF136" s="2"/>
      <c r="AG136" s="2" t="s">
        <v>36</v>
      </c>
      <c r="AH136" s="140">
        <v>6.29E-4</v>
      </c>
      <c r="AI136" s="140">
        <v>9.1903339017639207E-3</v>
      </c>
      <c r="AJ136" s="140">
        <v>1.51098367404437E-3</v>
      </c>
    </row>
    <row r="137" spans="1:36">
      <c r="A137" s="2">
        <v>301</v>
      </c>
      <c r="B137" s="2">
        <v>7210</v>
      </c>
      <c r="C137" s="2" t="s">
        <v>1181</v>
      </c>
      <c r="D137" s="2" t="s">
        <v>1590</v>
      </c>
      <c r="E137" s="3" t="s">
        <v>1330</v>
      </c>
      <c r="F137" s="2" t="s">
        <v>1876</v>
      </c>
      <c r="G137" s="2" t="s">
        <v>1877</v>
      </c>
      <c r="H137" s="2" t="s">
        <v>328</v>
      </c>
      <c r="I137" s="2" t="s">
        <v>763</v>
      </c>
      <c r="J137" s="2" t="s">
        <v>30</v>
      </c>
      <c r="K137" s="2" t="s">
        <v>30</v>
      </c>
      <c r="L137" s="2" t="s">
        <v>334</v>
      </c>
      <c r="M137" s="2" t="s">
        <v>45</v>
      </c>
      <c r="N137" s="2" t="s">
        <v>454</v>
      </c>
      <c r="O137" s="2" t="s">
        <v>139</v>
      </c>
      <c r="P137" s="2" t="s">
        <v>1177</v>
      </c>
      <c r="Q137" s="2" t="s">
        <v>420</v>
      </c>
      <c r="R137" s="2" t="s">
        <v>413</v>
      </c>
      <c r="S137" s="2" t="s">
        <v>34</v>
      </c>
      <c r="T137" s="124">
        <v>4.8490000000000002</v>
      </c>
      <c r="U137" s="2" t="s">
        <v>1878</v>
      </c>
      <c r="V137" s="138">
        <v>2.0199999999999999E-2</v>
      </c>
      <c r="W137" s="140">
        <v>2.4299999999999999E-2</v>
      </c>
      <c r="X137" s="3" t="s">
        <v>419</v>
      </c>
      <c r="Y137" s="3" t="s">
        <v>139</v>
      </c>
      <c r="Z137" s="124">
        <v>2073000</v>
      </c>
      <c r="AA137" s="134">
        <v>1</v>
      </c>
      <c r="AB137" s="151">
        <v>101.65</v>
      </c>
      <c r="AC137" s="2"/>
      <c r="AD137" s="124">
        <v>2107.2040000000002</v>
      </c>
      <c r="AE137" s="2"/>
      <c r="AF137" s="2"/>
      <c r="AG137" s="2" t="s">
        <v>36</v>
      </c>
      <c r="AH137" s="140">
        <v>5.8100000000000003E-4</v>
      </c>
      <c r="AI137" s="140">
        <v>9.2741927231977193E-3</v>
      </c>
      <c r="AJ137" s="140">
        <v>1.52477091088097E-3</v>
      </c>
    </row>
    <row r="138" spans="1:36">
      <c r="A138" s="2">
        <v>301</v>
      </c>
      <c r="B138" s="2">
        <v>7210</v>
      </c>
      <c r="C138" s="2" t="s">
        <v>1181</v>
      </c>
      <c r="D138" s="2" t="s">
        <v>1590</v>
      </c>
      <c r="E138" s="3" t="s">
        <v>1330</v>
      </c>
      <c r="F138" s="2" t="s">
        <v>1879</v>
      </c>
      <c r="G138" s="2" t="s">
        <v>1880</v>
      </c>
      <c r="H138" s="2" t="s">
        <v>328</v>
      </c>
      <c r="I138" s="2" t="s">
        <v>763</v>
      </c>
      <c r="J138" s="2" t="s">
        <v>30</v>
      </c>
      <c r="K138" s="2" t="s">
        <v>30</v>
      </c>
      <c r="L138" s="2" t="s">
        <v>334</v>
      </c>
      <c r="M138" s="2" t="s">
        <v>45</v>
      </c>
      <c r="N138" s="2" t="s">
        <v>454</v>
      </c>
      <c r="O138" s="2" t="s">
        <v>139</v>
      </c>
      <c r="P138" s="2" t="s">
        <v>1177</v>
      </c>
      <c r="Q138" s="2" t="s">
        <v>420</v>
      </c>
      <c r="R138" s="2" t="s">
        <v>413</v>
      </c>
      <c r="S138" s="2" t="s">
        <v>34</v>
      </c>
      <c r="T138" s="124">
        <v>4.8879999999999999</v>
      </c>
      <c r="U138" s="2" t="s">
        <v>1881</v>
      </c>
      <c r="V138" s="138">
        <v>1E-3</v>
      </c>
      <c r="W138" s="140">
        <v>2.3630000000000002E-2</v>
      </c>
      <c r="X138" s="3" t="s">
        <v>419</v>
      </c>
      <c r="Y138" s="3" t="s">
        <v>139</v>
      </c>
      <c r="Z138" s="124">
        <v>2577000</v>
      </c>
      <c r="AA138" s="134">
        <v>1</v>
      </c>
      <c r="AB138" s="151">
        <v>100.78</v>
      </c>
      <c r="AC138" s="2"/>
      <c r="AD138" s="124">
        <v>2597.1010000000001</v>
      </c>
      <c r="AE138" s="2"/>
      <c r="AF138" s="2"/>
      <c r="AG138" s="2" t="s">
        <v>36</v>
      </c>
      <c r="AH138" s="140">
        <v>1.036E-3</v>
      </c>
      <c r="AI138" s="140">
        <v>1.1430315133596399E-2</v>
      </c>
      <c r="AJ138" s="140">
        <v>1.87925920218542E-3</v>
      </c>
    </row>
    <row r="139" spans="1:36">
      <c r="A139" s="2">
        <v>301</v>
      </c>
      <c r="B139" s="2">
        <v>7210</v>
      </c>
      <c r="C139" s="2" t="s">
        <v>1181</v>
      </c>
      <c r="D139" s="2" t="s">
        <v>1590</v>
      </c>
      <c r="E139" s="3" t="s">
        <v>1330</v>
      </c>
      <c r="F139" s="2" t="s">
        <v>1885</v>
      </c>
      <c r="G139" s="2" t="s">
        <v>1886</v>
      </c>
      <c r="H139" s="2" t="s">
        <v>328</v>
      </c>
      <c r="I139" s="2" t="s">
        <v>763</v>
      </c>
      <c r="J139" s="2" t="s">
        <v>30</v>
      </c>
      <c r="K139" s="2" t="s">
        <v>30</v>
      </c>
      <c r="L139" s="2" t="s">
        <v>334</v>
      </c>
      <c r="M139" s="2" t="s">
        <v>45</v>
      </c>
      <c r="N139" s="2" t="s">
        <v>454</v>
      </c>
      <c r="O139" s="2" t="s">
        <v>139</v>
      </c>
      <c r="P139" s="2" t="s">
        <v>1437</v>
      </c>
      <c r="Q139" s="2" t="s">
        <v>420</v>
      </c>
      <c r="R139" s="2" t="s">
        <v>413</v>
      </c>
      <c r="S139" s="2" t="s">
        <v>34</v>
      </c>
      <c r="T139" s="124">
        <v>3.4049999999999998</v>
      </c>
      <c r="U139" s="2" t="s">
        <v>1887</v>
      </c>
      <c r="V139" s="138">
        <v>2.7799999999999998E-2</v>
      </c>
      <c r="W139" s="140">
        <v>2.6610000000000002E-2</v>
      </c>
      <c r="X139" s="3" t="s">
        <v>419</v>
      </c>
      <c r="Y139" s="3" t="s">
        <v>139</v>
      </c>
      <c r="Z139" s="124">
        <v>2500000</v>
      </c>
      <c r="AA139" s="134">
        <v>1</v>
      </c>
      <c r="AB139" s="151">
        <v>116.34</v>
      </c>
      <c r="AC139" s="2"/>
      <c r="AD139" s="124">
        <v>2908.5</v>
      </c>
      <c r="AE139" s="2"/>
      <c r="AF139" s="2"/>
      <c r="AG139" s="2" t="s">
        <v>36</v>
      </c>
      <c r="AH139" s="140">
        <v>1.1956E-2</v>
      </c>
      <c r="AI139" s="140">
        <v>1.2800840893904999E-2</v>
      </c>
      <c r="AJ139" s="140">
        <v>2.1045874732601002E-3</v>
      </c>
    </row>
    <row r="140" spans="1:36">
      <c r="A140" s="2">
        <v>301</v>
      </c>
      <c r="B140" s="2">
        <v>7210</v>
      </c>
      <c r="C140" s="2" t="s">
        <v>1888</v>
      </c>
      <c r="D140" s="2" t="s">
        <v>1889</v>
      </c>
      <c r="E140" s="3" t="s">
        <v>1330</v>
      </c>
      <c r="F140" s="2" t="s">
        <v>1890</v>
      </c>
      <c r="G140" s="2" t="s">
        <v>1891</v>
      </c>
      <c r="H140" s="2" t="s">
        <v>328</v>
      </c>
      <c r="I140" s="2" t="s">
        <v>763</v>
      </c>
      <c r="J140" s="2" t="s">
        <v>30</v>
      </c>
      <c r="K140" s="2" t="s">
        <v>30</v>
      </c>
      <c r="L140" s="2" t="s">
        <v>334</v>
      </c>
      <c r="M140" s="2" t="s">
        <v>45</v>
      </c>
      <c r="N140" s="2" t="s">
        <v>470</v>
      </c>
      <c r="O140" s="2" t="s">
        <v>139</v>
      </c>
      <c r="P140" s="2" t="s">
        <v>1719</v>
      </c>
      <c r="Q140" s="2" t="s">
        <v>420</v>
      </c>
      <c r="R140" s="2" t="s">
        <v>413</v>
      </c>
      <c r="S140" s="2" t="s">
        <v>34</v>
      </c>
      <c r="T140" s="124">
        <v>3.2370000000000001</v>
      </c>
      <c r="U140" s="2" t="s">
        <v>1813</v>
      </c>
      <c r="V140" s="138">
        <v>2.81E-2</v>
      </c>
      <c r="W140" s="140">
        <v>2.6769999999999999E-2</v>
      </c>
      <c r="X140" s="3" t="s">
        <v>419</v>
      </c>
      <c r="Y140" s="3" t="s">
        <v>139</v>
      </c>
      <c r="Z140" s="124">
        <v>1482187.5</v>
      </c>
      <c r="AA140" s="134">
        <v>1</v>
      </c>
      <c r="AB140" s="151">
        <v>117.18</v>
      </c>
      <c r="AC140" s="2"/>
      <c r="AD140" s="124">
        <v>1736.827</v>
      </c>
      <c r="AE140" s="2"/>
      <c r="AF140" s="2"/>
      <c r="AG140" s="2" t="s">
        <v>36</v>
      </c>
      <c r="AH140" s="140">
        <v>1.0759999999999999E-3</v>
      </c>
      <c r="AI140" s="140">
        <v>7.6440949243599997E-3</v>
      </c>
      <c r="AJ140" s="140">
        <v>1.2567663761744901E-3</v>
      </c>
    </row>
    <row r="141" spans="1:36">
      <c r="A141" s="2">
        <v>301</v>
      </c>
      <c r="B141" s="2">
        <v>7210</v>
      </c>
      <c r="C141" s="2" t="s">
        <v>1888</v>
      </c>
      <c r="D141" s="2" t="s">
        <v>1889</v>
      </c>
      <c r="E141" s="3" t="s">
        <v>1330</v>
      </c>
      <c r="F141" s="2" t="s">
        <v>1892</v>
      </c>
      <c r="G141" s="2" t="s">
        <v>1893</v>
      </c>
      <c r="H141" s="2" t="s">
        <v>328</v>
      </c>
      <c r="I141" s="2" t="s">
        <v>763</v>
      </c>
      <c r="J141" s="2" t="s">
        <v>30</v>
      </c>
      <c r="K141" s="2" t="s">
        <v>30</v>
      </c>
      <c r="L141" s="2" t="s">
        <v>334</v>
      </c>
      <c r="M141" s="2" t="s">
        <v>45</v>
      </c>
      <c r="N141" s="2" t="s">
        <v>470</v>
      </c>
      <c r="O141" s="2" t="s">
        <v>139</v>
      </c>
      <c r="P141" s="2" t="s">
        <v>1719</v>
      </c>
      <c r="Q141" s="2" t="s">
        <v>420</v>
      </c>
      <c r="R141" s="2" t="s">
        <v>413</v>
      </c>
      <c r="S141" s="2" t="s">
        <v>34</v>
      </c>
      <c r="T141" s="124">
        <v>1.929</v>
      </c>
      <c r="U141" s="2" t="s">
        <v>1797</v>
      </c>
      <c r="V141" s="138">
        <v>3.6999999999999998E-2</v>
      </c>
      <c r="W141" s="140">
        <v>2.6380000000000001E-2</v>
      </c>
      <c r="X141" s="3" t="s">
        <v>419</v>
      </c>
      <c r="Y141" s="3" t="s">
        <v>139</v>
      </c>
      <c r="Z141" s="124">
        <v>2825886.58</v>
      </c>
      <c r="AA141" s="134">
        <v>1</v>
      </c>
      <c r="AB141" s="151">
        <v>117.74</v>
      </c>
      <c r="AC141" s="2"/>
      <c r="AD141" s="124">
        <v>3327.1990000000001</v>
      </c>
      <c r="AE141" s="2"/>
      <c r="AF141" s="2"/>
      <c r="AG141" s="2" t="s">
        <v>36</v>
      </c>
      <c r="AH141" s="140">
        <v>9.3959999999999998E-3</v>
      </c>
      <c r="AI141" s="140">
        <v>1.4643611215464701E-2</v>
      </c>
      <c r="AJ141" s="140">
        <v>2.4075575177277802E-3</v>
      </c>
    </row>
    <row r="142" spans="1:36">
      <c r="A142" s="2">
        <v>301</v>
      </c>
      <c r="B142" s="2">
        <v>7210</v>
      </c>
      <c r="C142" s="2" t="s">
        <v>1894</v>
      </c>
      <c r="D142" s="2" t="s">
        <v>1895</v>
      </c>
      <c r="E142" s="3" t="s">
        <v>1330</v>
      </c>
      <c r="F142" s="2" t="s">
        <v>1896</v>
      </c>
      <c r="G142" s="2" t="s">
        <v>1897</v>
      </c>
      <c r="H142" s="2" t="s">
        <v>328</v>
      </c>
      <c r="I142" s="2" t="s">
        <v>976</v>
      </c>
      <c r="J142" s="2" t="s">
        <v>30</v>
      </c>
      <c r="K142" s="2" t="s">
        <v>30</v>
      </c>
      <c r="L142" s="2" t="s">
        <v>334</v>
      </c>
      <c r="M142" s="2" t="s">
        <v>31</v>
      </c>
      <c r="N142" s="2" t="s">
        <v>451</v>
      </c>
      <c r="O142" s="2" t="s">
        <v>139</v>
      </c>
      <c r="P142" s="2" t="s">
        <v>1725</v>
      </c>
      <c r="Q142" s="2" t="s">
        <v>422</v>
      </c>
      <c r="R142" s="2" t="s">
        <v>413</v>
      </c>
      <c r="S142" s="2" t="s">
        <v>34</v>
      </c>
      <c r="T142" s="124">
        <v>7.1070000000000002</v>
      </c>
      <c r="U142" s="2" t="s">
        <v>1824</v>
      </c>
      <c r="V142" s="138">
        <v>6.0699999999999997E-2</v>
      </c>
      <c r="W142" s="140">
        <v>5.5359999999999999E-2</v>
      </c>
      <c r="X142" s="3" t="s">
        <v>419</v>
      </c>
      <c r="Y142" s="3" t="s">
        <v>139</v>
      </c>
      <c r="Z142" s="124">
        <v>1831050</v>
      </c>
      <c r="AA142" s="134">
        <v>1</v>
      </c>
      <c r="AB142" s="151">
        <v>104.27</v>
      </c>
      <c r="AC142" s="2"/>
      <c r="AD142" s="124">
        <v>1909.2360000000001</v>
      </c>
      <c r="AE142" s="2"/>
      <c r="AF142" s="2"/>
      <c r="AG142" s="2" t="s">
        <v>36</v>
      </c>
      <c r="AH142" s="140">
        <v>4.0460000000000001E-3</v>
      </c>
      <c r="AI142" s="140">
        <v>8.4028963908464194E-3</v>
      </c>
      <c r="AJ142" s="140">
        <v>1.3815209977102599E-3</v>
      </c>
    </row>
    <row r="143" spans="1:36">
      <c r="A143" s="2">
        <v>301</v>
      </c>
      <c r="B143" s="2">
        <v>7210</v>
      </c>
      <c r="C143" s="2" t="s">
        <v>1894</v>
      </c>
      <c r="D143" s="2" t="s">
        <v>1895</v>
      </c>
      <c r="E143" s="3" t="s">
        <v>1330</v>
      </c>
      <c r="F143" s="2" t="s">
        <v>1898</v>
      </c>
      <c r="G143" s="2" t="s">
        <v>1899</v>
      </c>
      <c r="H143" s="2" t="s">
        <v>328</v>
      </c>
      <c r="I143" s="2" t="s">
        <v>976</v>
      </c>
      <c r="J143" s="2" t="s">
        <v>30</v>
      </c>
      <c r="K143" s="2" t="s">
        <v>30</v>
      </c>
      <c r="L143" s="2" t="s">
        <v>334</v>
      </c>
      <c r="M143" s="2" t="s">
        <v>31</v>
      </c>
      <c r="N143" s="2" t="s">
        <v>451</v>
      </c>
      <c r="O143" s="2" t="s">
        <v>139</v>
      </c>
      <c r="P143" s="2" t="s">
        <v>1725</v>
      </c>
      <c r="Q143" s="2" t="s">
        <v>420</v>
      </c>
      <c r="R143" s="2" t="s">
        <v>413</v>
      </c>
      <c r="S143" s="2" t="s">
        <v>34</v>
      </c>
      <c r="T143" s="124">
        <v>6.4870000000000001</v>
      </c>
      <c r="U143" s="2" t="s">
        <v>1900</v>
      </c>
      <c r="V143" s="138">
        <v>6.0699999999999997E-2</v>
      </c>
      <c r="W143" s="140">
        <v>5.4800000000000001E-2</v>
      </c>
      <c r="X143" s="3" t="s">
        <v>419</v>
      </c>
      <c r="Y143" s="3" t="s">
        <v>139</v>
      </c>
      <c r="Z143" s="124">
        <v>1831050</v>
      </c>
      <c r="AA143" s="134">
        <v>1</v>
      </c>
      <c r="AB143" s="151">
        <v>104.26</v>
      </c>
      <c r="AC143" s="2"/>
      <c r="AD143" s="124">
        <v>1909.0530000000001</v>
      </c>
      <c r="AE143" s="2"/>
      <c r="AF143" s="2"/>
      <c r="AG143" s="2" t="s">
        <v>36</v>
      </c>
      <c r="AH143" s="140">
        <v>4.0460000000000001E-3</v>
      </c>
      <c r="AI143" s="140">
        <v>8.4020905122244895E-3</v>
      </c>
      <c r="AJ143" s="140">
        <v>1.3813885031290999E-3</v>
      </c>
    </row>
    <row r="144" spans="1:36">
      <c r="A144" s="2">
        <v>301</v>
      </c>
      <c r="B144" s="2">
        <v>7210</v>
      </c>
      <c r="C144" s="2" t="s">
        <v>1901</v>
      </c>
      <c r="D144" s="2" t="s">
        <v>1902</v>
      </c>
      <c r="E144" s="3" t="s">
        <v>1330</v>
      </c>
      <c r="F144" s="2" t="s">
        <v>1905</v>
      </c>
      <c r="G144" s="2" t="s">
        <v>1906</v>
      </c>
      <c r="H144" s="2" t="s">
        <v>328</v>
      </c>
      <c r="I144" s="2" t="s">
        <v>763</v>
      </c>
      <c r="J144" s="2" t="s">
        <v>30</v>
      </c>
      <c r="K144" s="2" t="s">
        <v>30</v>
      </c>
      <c r="L144" s="2" t="s">
        <v>334</v>
      </c>
      <c r="M144" s="2" t="s">
        <v>45</v>
      </c>
      <c r="N144" s="2" t="s">
        <v>470</v>
      </c>
      <c r="O144" s="2" t="s">
        <v>139</v>
      </c>
      <c r="P144" s="2" t="s">
        <v>1725</v>
      </c>
      <c r="Q144" s="2" t="s">
        <v>420</v>
      </c>
      <c r="R144" s="2" t="s">
        <v>413</v>
      </c>
      <c r="S144" s="2" t="s">
        <v>34</v>
      </c>
      <c r="T144" s="124">
        <v>1.6160000000000001</v>
      </c>
      <c r="U144" s="2" t="s">
        <v>1907</v>
      </c>
      <c r="V144" s="138">
        <v>2.0500000000000001E-2</v>
      </c>
      <c r="W144" s="140">
        <v>2.8719999999999999E-2</v>
      </c>
      <c r="X144" s="3" t="s">
        <v>419</v>
      </c>
      <c r="Y144" s="3" t="s">
        <v>139</v>
      </c>
      <c r="Z144" s="124">
        <v>2148798.59</v>
      </c>
      <c r="AA144" s="134">
        <v>1</v>
      </c>
      <c r="AB144" s="151">
        <v>116.04</v>
      </c>
      <c r="AC144" s="2"/>
      <c r="AD144" s="124">
        <v>2493.4659999999999</v>
      </c>
      <c r="AE144" s="2"/>
      <c r="AF144" s="2"/>
      <c r="AG144" s="2" t="s">
        <v>36</v>
      </c>
      <c r="AH144" s="140">
        <v>2.8449999999999999E-3</v>
      </c>
      <c r="AI144" s="140">
        <v>1.0974199777674E-2</v>
      </c>
      <c r="AJ144" s="140">
        <v>1.8042692329801201E-3</v>
      </c>
    </row>
    <row r="145" spans="1:36">
      <c r="A145" s="2">
        <v>301</v>
      </c>
      <c r="B145" s="2">
        <v>7210</v>
      </c>
      <c r="C145" s="2" t="s">
        <v>1908</v>
      </c>
      <c r="D145" s="2" t="s">
        <v>1909</v>
      </c>
      <c r="E145" s="3" t="s">
        <v>1330</v>
      </c>
      <c r="F145" s="2" t="s">
        <v>1910</v>
      </c>
      <c r="G145" s="2" t="s">
        <v>1911</v>
      </c>
      <c r="H145" s="2" t="s">
        <v>328</v>
      </c>
      <c r="I145" s="2" t="s">
        <v>763</v>
      </c>
      <c r="J145" s="2" t="s">
        <v>30</v>
      </c>
      <c r="K145" s="2" t="s">
        <v>30</v>
      </c>
      <c r="L145" s="2" t="s">
        <v>334</v>
      </c>
      <c r="M145" s="2" t="s">
        <v>45</v>
      </c>
      <c r="N145" s="2" t="s">
        <v>454</v>
      </c>
      <c r="O145" s="2" t="s">
        <v>139</v>
      </c>
      <c r="P145" s="2" t="s">
        <v>1177</v>
      </c>
      <c r="Q145" s="2" t="s">
        <v>420</v>
      </c>
      <c r="R145" s="2" t="s">
        <v>413</v>
      </c>
      <c r="S145" s="2" t="s">
        <v>34</v>
      </c>
      <c r="T145" s="124">
        <v>2.7</v>
      </c>
      <c r="U145" s="2" t="s">
        <v>1912</v>
      </c>
      <c r="V145" s="138">
        <v>1.2200000000000001E-2</v>
      </c>
      <c r="W145" s="140">
        <v>2.3820000000000001E-2</v>
      </c>
      <c r="X145" s="3" t="s">
        <v>419</v>
      </c>
      <c r="Y145" s="3" t="s">
        <v>139</v>
      </c>
      <c r="Z145" s="124">
        <v>3600000</v>
      </c>
      <c r="AA145" s="134">
        <v>1</v>
      </c>
      <c r="AB145" s="151">
        <v>113.2</v>
      </c>
      <c r="AC145" s="2"/>
      <c r="AD145" s="124">
        <v>4075.2</v>
      </c>
      <c r="AE145" s="2"/>
      <c r="AF145" s="2"/>
      <c r="AG145" s="2" t="s">
        <v>36</v>
      </c>
      <c r="AH145" s="140">
        <v>1.194E-3</v>
      </c>
      <c r="AI145" s="140">
        <v>1.7935701155523998E-2</v>
      </c>
      <c r="AJ145" s="140">
        <v>2.9488103390165202E-3</v>
      </c>
    </row>
    <row r="146" spans="1:36">
      <c r="A146" s="2">
        <v>301</v>
      </c>
      <c r="B146" s="2">
        <v>7210</v>
      </c>
      <c r="C146" s="2" t="s">
        <v>1908</v>
      </c>
      <c r="D146" s="2" t="s">
        <v>1909</v>
      </c>
      <c r="E146" s="3" t="s">
        <v>1330</v>
      </c>
      <c r="F146" s="2" t="s">
        <v>1913</v>
      </c>
      <c r="G146" s="2" t="s">
        <v>1914</v>
      </c>
      <c r="H146" s="2" t="s">
        <v>328</v>
      </c>
      <c r="I146" s="2" t="s">
        <v>763</v>
      </c>
      <c r="J146" s="2" t="s">
        <v>30</v>
      </c>
      <c r="K146" s="2" t="s">
        <v>30</v>
      </c>
      <c r="L146" s="2" t="s">
        <v>334</v>
      </c>
      <c r="M146" s="2" t="s">
        <v>45</v>
      </c>
      <c r="N146" s="2" t="s">
        <v>454</v>
      </c>
      <c r="O146" s="2" t="s">
        <v>139</v>
      </c>
      <c r="P146" s="2" t="s">
        <v>1177</v>
      </c>
      <c r="Q146" s="2" t="s">
        <v>420</v>
      </c>
      <c r="R146" s="2" t="s">
        <v>413</v>
      </c>
      <c r="S146" s="2" t="s">
        <v>34</v>
      </c>
      <c r="T146" s="124">
        <v>3.7989999999999999</v>
      </c>
      <c r="U146" s="2" t="s">
        <v>1915</v>
      </c>
      <c r="V146" s="138">
        <v>1E-3</v>
      </c>
      <c r="W146" s="140">
        <v>2.393E-2</v>
      </c>
      <c r="X146" s="3" t="s">
        <v>419</v>
      </c>
      <c r="Y146" s="3" t="s">
        <v>139</v>
      </c>
      <c r="Z146" s="124">
        <v>1700000</v>
      </c>
      <c r="AA146" s="134">
        <v>1</v>
      </c>
      <c r="AB146" s="151">
        <v>103.26</v>
      </c>
      <c r="AC146" s="2"/>
      <c r="AD146" s="124">
        <v>1755.42</v>
      </c>
      <c r="AE146" s="2"/>
      <c r="AF146" s="2"/>
      <c r="AG146" s="2" t="s">
        <v>36</v>
      </c>
      <c r="AH146" s="140">
        <v>5.0299999999999997E-4</v>
      </c>
      <c r="AI146" s="140">
        <v>7.7259247453940697E-3</v>
      </c>
      <c r="AJ146" s="140">
        <v>1.2702200248617E-3</v>
      </c>
    </row>
    <row r="147" spans="1:36">
      <c r="A147" s="2">
        <v>301</v>
      </c>
      <c r="B147" s="2">
        <v>7210</v>
      </c>
      <c r="C147" s="2" t="s">
        <v>1908</v>
      </c>
      <c r="D147" s="2" t="s">
        <v>1909</v>
      </c>
      <c r="E147" s="3" t="s">
        <v>1330</v>
      </c>
      <c r="F147" s="2" t="s">
        <v>1919</v>
      </c>
      <c r="G147" s="2" t="s">
        <v>1920</v>
      </c>
      <c r="H147" s="2" t="s">
        <v>328</v>
      </c>
      <c r="I147" s="2" t="s">
        <v>763</v>
      </c>
      <c r="J147" s="2" t="s">
        <v>30</v>
      </c>
      <c r="K147" s="2" t="s">
        <v>30</v>
      </c>
      <c r="L147" s="2" t="s">
        <v>334</v>
      </c>
      <c r="M147" s="2" t="s">
        <v>45</v>
      </c>
      <c r="N147" s="2" t="s">
        <v>454</v>
      </c>
      <c r="O147" s="2" t="s">
        <v>139</v>
      </c>
      <c r="P147" s="2" t="s">
        <v>1177</v>
      </c>
      <c r="Q147" s="2" t="s">
        <v>422</v>
      </c>
      <c r="R147" s="2" t="s">
        <v>413</v>
      </c>
      <c r="S147" s="2" t="s">
        <v>34</v>
      </c>
      <c r="T147" s="124">
        <v>0.16200000000000001</v>
      </c>
      <c r="U147" s="2" t="s">
        <v>1921</v>
      </c>
      <c r="V147" s="138">
        <v>9.4999999999999998E-3</v>
      </c>
      <c r="W147" s="140">
        <v>3.261E-2</v>
      </c>
      <c r="X147" s="3" t="s">
        <v>419</v>
      </c>
      <c r="Y147" s="3" t="s">
        <v>139</v>
      </c>
      <c r="Z147" s="124">
        <v>380950.02</v>
      </c>
      <c r="AA147" s="134">
        <v>1</v>
      </c>
      <c r="AB147" s="151">
        <v>116.63</v>
      </c>
      <c r="AC147" s="2"/>
      <c r="AD147" s="124">
        <v>444.30200000000002</v>
      </c>
      <c r="AE147" s="2"/>
      <c r="AF147" s="2"/>
      <c r="AG147" s="2" t="s">
        <v>36</v>
      </c>
      <c r="AH147" s="140">
        <v>2.3700000000000001E-3</v>
      </c>
      <c r="AI147" s="140">
        <v>1.9554544670529702E-3</v>
      </c>
      <c r="AJ147" s="140">
        <v>3.2149645558439199E-4</v>
      </c>
    </row>
    <row r="148" spans="1:36">
      <c r="A148" s="2">
        <v>301</v>
      </c>
      <c r="B148" s="2">
        <v>7210</v>
      </c>
      <c r="C148" s="2" t="s">
        <v>1908</v>
      </c>
      <c r="D148" s="2" t="s">
        <v>1909</v>
      </c>
      <c r="E148" s="3" t="s">
        <v>1330</v>
      </c>
      <c r="F148" s="2" t="s">
        <v>1922</v>
      </c>
      <c r="G148" s="2" t="s">
        <v>1923</v>
      </c>
      <c r="H148" s="2" t="s">
        <v>328</v>
      </c>
      <c r="I148" s="2" t="s">
        <v>763</v>
      </c>
      <c r="J148" s="2" t="s">
        <v>30</v>
      </c>
      <c r="K148" s="2" t="s">
        <v>30</v>
      </c>
      <c r="L148" s="2" t="s">
        <v>334</v>
      </c>
      <c r="M148" s="2" t="s">
        <v>45</v>
      </c>
      <c r="N148" s="2" t="s">
        <v>454</v>
      </c>
      <c r="O148" s="2" t="s">
        <v>139</v>
      </c>
      <c r="P148" s="2" t="s">
        <v>1437</v>
      </c>
      <c r="Q148" s="2" t="s">
        <v>420</v>
      </c>
      <c r="R148" s="2" t="s">
        <v>413</v>
      </c>
      <c r="S148" s="2" t="s">
        <v>34</v>
      </c>
      <c r="T148" s="124">
        <v>3.246</v>
      </c>
      <c r="U148" s="2" t="s">
        <v>1924</v>
      </c>
      <c r="V148" s="138">
        <v>3.3099999999999997E-2</v>
      </c>
      <c r="W148" s="140">
        <v>2.9329999999999998E-2</v>
      </c>
      <c r="X148" s="3" t="s">
        <v>419</v>
      </c>
      <c r="Y148" s="3" t="s">
        <v>139</v>
      </c>
      <c r="Z148" s="124">
        <v>2600000</v>
      </c>
      <c r="AA148" s="134">
        <v>1</v>
      </c>
      <c r="AB148" s="151">
        <v>110.27</v>
      </c>
      <c r="AC148" s="2"/>
      <c r="AD148" s="124">
        <v>2867.02</v>
      </c>
      <c r="AE148" s="2"/>
      <c r="AF148" s="2"/>
      <c r="AG148" s="2" t="s">
        <v>36</v>
      </c>
      <c r="AH148" s="140">
        <v>3.7069999999999998E-3</v>
      </c>
      <c r="AI148" s="140">
        <v>1.2618279821091099E-2</v>
      </c>
      <c r="AJ148" s="140">
        <v>2.0745725898525598E-3</v>
      </c>
    </row>
    <row r="149" spans="1:36">
      <c r="A149" s="2">
        <v>301</v>
      </c>
      <c r="B149" s="2">
        <v>7210</v>
      </c>
      <c r="C149" s="2" t="s">
        <v>1908</v>
      </c>
      <c r="D149" s="2" t="s">
        <v>1909</v>
      </c>
      <c r="E149" s="3" t="s">
        <v>1330</v>
      </c>
      <c r="F149" s="2" t="s">
        <v>1925</v>
      </c>
      <c r="G149" s="2" t="s">
        <v>1926</v>
      </c>
      <c r="H149" s="2" t="s">
        <v>328</v>
      </c>
      <c r="I149" s="2" t="s">
        <v>763</v>
      </c>
      <c r="J149" s="2" t="s">
        <v>30</v>
      </c>
      <c r="K149" s="2" t="s">
        <v>30</v>
      </c>
      <c r="L149" s="2" t="s">
        <v>334</v>
      </c>
      <c r="M149" s="2" t="s">
        <v>45</v>
      </c>
      <c r="N149" s="2" t="s">
        <v>454</v>
      </c>
      <c r="O149" s="2" t="s">
        <v>139</v>
      </c>
      <c r="P149" s="2" t="s">
        <v>1437</v>
      </c>
      <c r="Q149" s="2" t="s">
        <v>420</v>
      </c>
      <c r="R149" s="2" t="s">
        <v>413</v>
      </c>
      <c r="S149" s="2" t="s">
        <v>34</v>
      </c>
      <c r="T149" s="124">
        <v>4.1680000000000001</v>
      </c>
      <c r="U149" s="2" t="s">
        <v>1927</v>
      </c>
      <c r="V149" s="138">
        <v>3.3599999999999998E-2</v>
      </c>
      <c r="W149" s="140">
        <v>2.9479999999999999E-2</v>
      </c>
      <c r="X149" s="3" t="s">
        <v>419</v>
      </c>
      <c r="Y149" s="3" t="s">
        <v>139</v>
      </c>
      <c r="Z149" s="124">
        <v>2700000</v>
      </c>
      <c r="AA149" s="134">
        <v>1</v>
      </c>
      <c r="AB149" s="151">
        <v>106.98</v>
      </c>
      <c r="AC149" s="2"/>
      <c r="AD149" s="124">
        <v>2888.46</v>
      </c>
      <c r="AE149" s="2"/>
      <c r="AF149" s="2"/>
      <c r="AG149" s="2" t="s">
        <v>36</v>
      </c>
      <c r="AH149" s="140">
        <v>2.313E-3</v>
      </c>
      <c r="AI149" s="140">
        <v>1.27126411856313E-2</v>
      </c>
      <c r="AJ149" s="140">
        <v>2.0900865508037998E-3</v>
      </c>
    </row>
    <row r="150" spans="1:36">
      <c r="A150" s="2">
        <v>301</v>
      </c>
      <c r="B150" s="2">
        <v>7210</v>
      </c>
      <c r="C150" s="2" t="s">
        <v>1908</v>
      </c>
      <c r="D150" s="2" t="s">
        <v>1909</v>
      </c>
      <c r="E150" s="3" t="s">
        <v>1330</v>
      </c>
      <c r="F150" s="2" t="s">
        <v>2048</v>
      </c>
      <c r="G150" s="2" t="s">
        <v>2049</v>
      </c>
      <c r="H150" s="2" t="s">
        <v>328</v>
      </c>
      <c r="I150" s="2" t="s">
        <v>763</v>
      </c>
      <c r="J150" s="2" t="s">
        <v>30</v>
      </c>
      <c r="K150" s="2" t="s">
        <v>30</v>
      </c>
      <c r="L150" s="2" t="s">
        <v>334</v>
      </c>
      <c r="M150" s="2" t="s">
        <v>45</v>
      </c>
      <c r="N150" s="2" t="s">
        <v>454</v>
      </c>
      <c r="O150" s="2" t="s">
        <v>139</v>
      </c>
      <c r="P150" s="2" t="s">
        <v>1177</v>
      </c>
      <c r="Q150" s="2" t="s">
        <v>420</v>
      </c>
      <c r="R150" s="2" t="s">
        <v>413</v>
      </c>
      <c r="S150" s="2" t="s">
        <v>34</v>
      </c>
      <c r="T150" s="124">
        <v>1.4670000000000001</v>
      </c>
      <c r="U150" s="2" t="s">
        <v>2050</v>
      </c>
      <c r="V150" s="138">
        <v>3.8E-3</v>
      </c>
      <c r="W150" s="140">
        <v>2.2120000000000001E-2</v>
      </c>
      <c r="X150" s="3" t="s">
        <v>419</v>
      </c>
      <c r="Y150" s="3" t="s">
        <v>139</v>
      </c>
      <c r="Z150" s="124">
        <v>1248033</v>
      </c>
      <c r="AA150" s="134">
        <v>1</v>
      </c>
      <c r="AB150" s="151">
        <v>110.77</v>
      </c>
      <c r="AC150" s="2"/>
      <c r="AD150" s="124">
        <v>1382.4459999999999</v>
      </c>
      <c r="AE150" s="2"/>
      <c r="AF150" s="2"/>
      <c r="AG150" s="2" t="s">
        <v>36</v>
      </c>
      <c r="AH150" s="140">
        <v>4.1599999999999997E-4</v>
      </c>
      <c r="AI150" s="140">
        <v>6.0843985776258998E-3</v>
      </c>
      <c r="AJ150" s="140">
        <v>1.0003365509284701E-3</v>
      </c>
    </row>
    <row r="151" spans="1:36">
      <c r="A151" s="2">
        <v>301</v>
      </c>
      <c r="B151" s="2">
        <v>7210</v>
      </c>
      <c r="C151" s="2" t="s">
        <v>1931</v>
      </c>
      <c r="D151" s="2" t="s">
        <v>1932</v>
      </c>
      <c r="E151" s="3" t="s">
        <v>1330</v>
      </c>
      <c r="F151" s="2" t="s">
        <v>1933</v>
      </c>
      <c r="G151" s="2" t="s">
        <v>1934</v>
      </c>
      <c r="H151" s="2" t="s">
        <v>328</v>
      </c>
      <c r="I151" s="2" t="s">
        <v>763</v>
      </c>
      <c r="J151" s="2" t="s">
        <v>30</v>
      </c>
      <c r="K151" s="2" t="s">
        <v>30</v>
      </c>
      <c r="L151" s="2" t="s">
        <v>334</v>
      </c>
      <c r="M151" s="2" t="s">
        <v>45</v>
      </c>
      <c r="N151" s="2" t="s">
        <v>449</v>
      </c>
      <c r="O151" s="2" t="s">
        <v>139</v>
      </c>
      <c r="P151" s="2" t="s">
        <v>1725</v>
      </c>
      <c r="Q151" s="2" t="s">
        <v>422</v>
      </c>
      <c r="R151" s="2" t="s">
        <v>413</v>
      </c>
      <c r="S151" s="2" t="s">
        <v>34</v>
      </c>
      <c r="T151" s="124">
        <v>0.77500000000000002</v>
      </c>
      <c r="U151" s="2" t="s">
        <v>1935</v>
      </c>
      <c r="V151" s="138">
        <v>1.8499999999999999E-2</v>
      </c>
      <c r="W151" s="140">
        <v>2.8639999999999999E-2</v>
      </c>
      <c r="X151" s="3" t="s">
        <v>419</v>
      </c>
      <c r="Y151" s="3" t="s">
        <v>139</v>
      </c>
      <c r="Z151" s="124">
        <v>861538.5</v>
      </c>
      <c r="AA151" s="134">
        <v>1</v>
      </c>
      <c r="AB151" s="151">
        <v>114.36</v>
      </c>
      <c r="AC151" s="2"/>
      <c r="AD151" s="124">
        <v>985.255</v>
      </c>
      <c r="AE151" s="2"/>
      <c r="AF151" s="2"/>
      <c r="AG151" s="2" t="s">
        <v>36</v>
      </c>
      <c r="AH151" s="140">
        <v>3.3370000000000001E-3</v>
      </c>
      <c r="AI151" s="140">
        <v>4.33628948989677E-3</v>
      </c>
      <c r="AJ151" s="140">
        <v>7.1292976895068595E-4</v>
      </c>
    </row>
    <row r="152" spans="1:36">
      <c r="A152" s="2">
        <v>301</v>
      </c>
      <c r="B152" s="2">
        <v>7210</v>
      </c>
      <c r="C152" s="2" t="s">
        <v>1931</v>
      </c>
      <c r="D152" s="2" t="s">
        <v>1932</v>
      </c>
      <c r="E152" s="3" t="s">
        <v>1330</v>
      </c>
      <c r="F152" s="2" t="s">
        <v>1936</v>
      </c>
      <c r="G152" s="2" t="s">
        <v>1937</v>
      </c>
      <c r="H152" s="2" t="s">
        <v>328</v>
      </c>
      <c r="I152" s="2" t="s">
        <v>763</v>
      </c>
      <c r="J152" s="2" t="s">
        <v>30</v>
      </c>
      <c r="K152" s="2" t="s">
        <v>30</v>
      </c>
      <c r="L152" s="2" t="s">
        <v>334</v>
      </c>
      <c r="M152" s="2" t="s">
        <v>45</v>
      </c>
      <c r="N152" s="2" t="s">
        <v>449</v>
      </c>
      <c r="O152" s="2" t="s">
        <v>139</v>
      </c>
      <c r="P152" s="2" t="s">
        <v>1725</v>
      </c>
      <c r="Q152" s="2" t="s">
        <v>422</v>
      </c>
      <c r="R152" s="2" t="s">
        <v>413</v>
      </c>
      <c r="S152" s="2" t="s">
        <v>34</v>
      </c>
      <c r="T152" s="124">
        <v>3.0070000000000001</v>
      </c>
      <c r="U152" s="2" t="s">
        <v>1938</v>
      </c>
      <c r="V152" s="138">
        <v>0.01</v>
      </c>
      <c r="W152" s="140">
        <v>3.0810000000000001E-2</v>
      </c>
      <c r="X152" s="3" t="s">
        <v>419</v>
      </c>
      <c r="Y152" s="3" t="s">
        <v>139</v>
      </c>
      <c r="Z152" s="124">
        <v>2251375.62</v>
      </c>
      <c r="AA152" s="134">
        <v>1</v>
      </c>
      <c r="AB152" s="151">
        <v>106.09</v>
      </c>
      <c r="AC152" s="2"/>
      <c r="AD152" s="124">
        <v>2388.4839999999999</v>
      </c>
      <c r="AE152" s="2"/>
      <c r="AF152" s="2"/>
      <c r="AG152" s="2" t="s">
        <v>36</v>
      </c>
      <c r="AH152" s="140">
        <v>1.157E-3</v>
      </c>
      <c r="AI152" s="140">
        <v>1.05121570298341E-2</v>
      </c>
      <c r="AJ152" s="140">
        <v>1.7283047407038699E-3</v>
      </c>
    </row>
    <row r="153" spans="1:36">
      <c r="A153" s="2">
        <v>301</v>
      </c>
      <c r="B153" s="2">
        <v>7210</v>
      </c>
      <c r="C153" s="2" t="s">
        <v>1931</v>
      </c>
      <c r="D153" s="2" t="s">
        <v>1932</v>
      </c>
      <c r="E153" s="3" t="s">
        <v>1330</v>
      </c>
      <c r="F153" s="2" t="s">
        <v>1939</v>
      </c>
      <c r="G153" s="2" t="s">
        <v>1940</v>
      </c>
      <c r="H153" s="2" t="s">
        <v>328</v>
      </c>
      <c r="I153" s="2" t="s">
        <v>763</v>
      </c>
      <c r="J153" s="2" t="s">
        <v>30</v>
      </c>
      <c r="K153" s="2" t="s">
        <v>30</v>
      </c>
      <c r="L153" s="2" t="s">
        <v>334</v>
      </c>
      <c r="M153" s="2" t="s">
        <v>45</v>
      </c>
      <c r="N153" s="2" t="s">
        <v>449</v>
      </c>
      <c r="O153" s="2" t="s">
        <v>139</v>
      </c>
      <c r="P153" s="2" t="s">
        <v>1725</v>
      </c>
      <c r="Q153" s="2" t="s">
        <v>422</v>
      </c>
      <c r="R153" s="2" t="s">
        <v>413</v>
      </c>
      <c r="S153" s="2" t="s">
        <v>34</v>
      </c>
      <c r="T153" s="124">
        <v>1.4019999999999999</v>
      </c>
      <c r="U153" s="2" t="s">
        <v>119</v>
      </c>
      <c r="V153" s="138">
        <v>3.5400000000000001E-2</v>
      </c>
      <c r="W153" s="140">
        <v>2.9649999999999999E-2</v>
      </c>
      <c r="X153" s="3" t="s">
        <v>419</v>
      </c>
      <c r="Y153" s="3" t="s">
        <v>139</v>
      </c>
      <c r="Z153" s="124">
        <v>2063163</v>
      </c>
      <c r="AA153" s="134">
        <v>1</v>
      </c>
      <c r="AB153" s="151">
        <v>108.84</v>
      </c>
      <c r="AC153" s="2"/>
      <c r="AD153" s="124">
        <v>2245.547</v>
      </c>
      <c r="AE153" s="2"/>
      <c r="AF153" s="2"/>
      <c r="AG153" s="2" t="s">
        <v>36</v>
      </c>
      <c r="AH153" s="140">
        <v>1.8469999999999999E-3</v>
      </c>
      <c r="AI153" s="140">
        <v>9.8830616689761092E-3</v>
      </c>
      <c r="AJ153" s="140">
        <v>1.6248751123754601E-3</v>
      </c>
    </row>
    <row r="154" spans="1:36">
      <c r="A154" s="2">
        <v>301</v>
      </c>
      <c r="B154" s="2">
        <v>7210</v>
      </c>
      <c r="C154" s="2" t="s">
        <v>1931</v>
      </c>
      <c r="D154" s="2" t="s">
        <v>1932</v>
      </c>
      <c r="E154" s="3" t="s">
        <v>1330</v>
      </c>
      <c r="F154" s="2" t="s">
        <v>1941</v>
      </c>
      <c r="G154" s="2" t="s">
        <v>1942</v>
      </c>
      <c r="H154" s="2" t="s">
        <v>328</v>
      </c>
      <c r="I154" s="2" t="s">
        <v>763</v>
      </c>
      <c r="J154" s="2" t="s">
        <v>30</v>
      </c>
      <c r="K154" s="2" t="s">
        <v>30</v>
      </c>
      <c r="L154" s="2" t="s">
        <v>334</v>
      </c>
      <c r="M154" s="2" t="s">
        <v>45</v>
      </c>
      <c r="N154" s="2" t="s">
        <v>449</v>
      </c>
      <c r="O154" s="2" t="s">
        <v>139</v>
      </c>
      <c r="P154" s="2" t="s">
        <v>1725</v>
      </c>
      <c r="Q154" s="2" t="s">
        <v>422</v>
      </c>
      <c r="R154" s="2" t="s">
        <v>413</v>
      </c>
      <c r="S154" s="2" t="s">
        <v>34</v>
      </c>
      <c r="T154" s="124">
        <v>0.40600000000000003</v>
      </c>
      <c r="U154" s="2" t="s">
        <v>1943</v>
      </c>
      <c r="V154" s="138">
        <v>0.01</v>
      </c>
      <c r="W154" s="140">
        <v>4.0169999999999997E-2</v>
      </c>
      <c r="X154" s="3" t="s">
        <v>419</v>
      </c>
      <c r="Y154" s="3" t="s">
        <v>139</v>
      </c>
      <c r="Z154" s="124">
        <v>1890720.04</v>
      </c>
      <c r="AA154" s="134">
        <v>1</v>
      </c>
      <c r="AB154" s="151">
        <v>113.19</v>
      </c>
      <c r="AC154" s="2"/>
      <c r="AD154" s="124">
        <v>2140.1060000000002</v>
      </c>
      <c r="AE154" s="2"/>
      <c r="AF154" s="2"/>
      <c r="AG154" s="2" t="s">
        <v>36</v>
      </c>
      <c r="AH154" s="140">
        <v>6.2110000000000004E-3</v>
      </c>
      <c r="AI154" s="140">
        <v>9.4189983056679905E-3</v>
      </c>
      <c r="AJ154" s="140">
        <v>1.5485784105172E-3</v>
      </c>
    </row>
    <row r="155" spans="1:36">
      <c r="A155" s="2">
        <v>301</v>
      </c>
      <c r="B155" s="2">
        <v>7210</v>
      </c>
      <c r="C155" s="2" t="s">
        <v>1600</v>
      </c>
      <c r="D155" s="2" t="s">
        <v>1601</v>
      </c>
      <c r="E155" s="3" t="s">
        <v>1330</v>
      </c>
      <c r="F155" s="2" t="s">
        <v>1944</v>
      </c>
      <c r="G155" s="2" t="s">
        <v>1945</v>
      </c>
      <c r="H155" s="2" t="s">
        <v>328</v>
      </c>
      <c r="I155" s="2" t="s">
        <v>763</v>
      </c>
      <c r="J155" s="2" t="s">
        <v>30</v>
      </c>
      <c r="K155" s="2" t="s">
        <v>30</v>
      </c>
      <c r="L155" s="2" t="s">
        <v>334</v>
      </c>
      <c r="M155" s="2" t="s">
        <v>45</v>
      </c>
      <c r="N155" s="2" t="s">
        <v>470</v>
      </c>
      <c r="O155" s="2" t="s">
        <v>139</v>
      </c>
      <c r="P155" s="2" t="s">
        <v>1719</v>
      </c>
      <c r="Q155" s="2" t="s">
        <v>420</v>
      </c>
      <c r="R155" s="2" t="s">
        <v>413</v>
      </c>
      <c r="S155" s="2" t="s">
        <v>34</v>
      </c>
      <c r="T155" s="124">
        <v>4.17</v>
      </c>
      <c r="U155" s="2" t="s">
        <v>1946</v>
      </c>
      <c r="V155" s="138">
        <v>1.43E-2</v>
      </c>
      <c r="W155" s="140">
        <v>2.708E-2</v>
      </c>
      <c r="X155" s="3" t="s">
        <v>419</v>
      </c>
      <c r="Y155" s="3" t="s">
        <v>139</v>
      </c>
      <c r="Z155" s="124">
        <v>2593010.63</v>
      </c>
      <c r="AA155" s="134">
        <v>1</v>
      </c>
      <c r="AB155" s="151">
        <v>109.38</v>
      </c>
      <c r="AC155" s="124">
        <v>54.432000000000002</v>
      </c>
      <c r="AD155" s="124">
        <v>2890.6669999999999</v>
      </c>
      <c r="AE155" s="2"/>
      <c r="AF155" s="2"/>
      <c r="AG155" s="2" t="s">
        <v>36</v>
      </c>
      <c r="AH155" s="140">
        <v>1.6310000000000001E-3</v>
      </c>
      <c r="AI155" s="140">
        <v>1.2722354891910301E-2</v>
      </c>
      <c r="AJ155" s="140">
        <v>2.0916835821803499E-3</v>
      </c>
    </row>
    <row r="156" spans="1:36">
      <c r="A156" s="2">
        <v>301</v>
      </c>
      <c r="B156" s="2">
        <v>7210</v>
      </c>
      <c r="C156" s="2" t="s">
        <v>1947</v>
      </c>
      <c r="D156" s="2" t="s">
        <v>1948</v>
      </c>
      <c r="E156" s="3" t="s">
        <v>1330</v>
      </c>
      <c r="F156" s="2" t="s">
        <v>1949</v>
      </c>
      <c r="G156" s="2" t="s">
        <v>1950</v>
      </c>
      <c r="H156" s="2" t="s">
        <v>328</v>
      </c>
      <c r="I156" s="2" t="s">
        <v>976</v>
      </c>
      <c r="J156" s="2" t="s">
        <v>30</v>
      </c>
      <c r="K156" s="2" t="s">
        <v>30</v>
      </c>
      <c r="L156" s="2" t="s">
        <v>334</v>
      </c>
      <c r="M156" s="2" t="s">
        <v>45</v>
      </c>
      <c r="N156" s="2" t="s">
        <v>460</v>
      </c>
      <c r="O156" s="2" t="s">
        <v>139</v>
      </c>
      <c r="P156" s="2" t="s">
        <v>1719</v>
      </c>
      <c r="Q156" s="2" t="s">
        <v>420</v>
      </c>
      <c r="R156" s="2" t="s">
        <v>413</v>
      </c>
      <c r="S156" s="2" t="s">
        <v>34</v>
      </c>
      <c r="T156" s="124">
        <v>6.6000000000000003E-2</v>
      </c>
      <c r="U156" s="2" t="s">
        <v>1951</v>
      </c>
      <c r="V156" s="138">
        <v>2.3599999999999999E-2</v>
      </c>
      <c r="W156" s="140">
        <v>4.7329999999999997E-2</v>
      </c>
      <c r="X156" s="3" t="s">
        <v>419</v>
      </c>
      <c r="Y156" s="3" t="s">
        <v>139</v>
      </c>
      <c r="Z156" s="124">
        <v>66370.64</v>
      </c>
      <c r="AA156" s="134">
        <v>1</v>
      </c>
      <c r="AB156" s="151">
        <v>100.86</v>
      </c>
      <c r="AC156" s="2"/>
      <c r="AD156" s="124">
        <v>66.941000000000003</v>
      </c>
      <c r="AE156" s="2"/>
      <c r="AF156" s="2"/>
      <c r="AG156" s="2" t="s">
        <v>36</v>
      </c>
      <c r="AH156" s="140">
        <v>2.1069999999999999E-3</v>
      </c>
      <c r="AI156" s="140">
        <v>2.9462147591183702E-4</v>
      </c>
      <c r="AJ156" s="140">
        <v>4.8438744977502999E-5</v>
      </c>
    </row>
    <row r="157" spans="1:36">
      <c r="A157" s="2">
        <v>301</v>
      </c>
      <c r="B157" s="2">
        <v>7210</v>
      </c>
      <c r="C157" s="2" t="s">
        <v>1623</v>
      </c>
      <c r="D157" s="2" t="s">
        <v>1624</v>
      </c>
      <c r="E157" s="3" t="s">
        <v>1330</v>
      </c>
      <c r="F157" s="2" t="s">
        <v>1952</v>
      </c>
      <c r="G157" s="2" t="s">
        <v>1953</v>
      </c>
      <c r="H157" s="2" t="s">
        <v>328</v>
      </c>
      <c r="I157" s="2" t="s">
        <v>763</v>
      </c>
      <c r="J157" s="2" t="s">
        <v>30</v>
      </c>
      <c r="K157" s="2" t="s">
        <v>30</v>
      </c>
      <c r="L157" s="2" t="s">
        <v>334</v>
      </c>
      <c r="M157" s="2" t="s">
        <v>45</v>
      </c>
      <c r="N157" s="2" t="s">
        <v>470</v>
      </c>
      <c r="O157" s="2" t="s">
        <v>139</v>
      </c>
      <c r="P157" s="2" t="s">
        <v>103</v>
      </c>
      <c r="Q157" s="2" t="s">
        <v>420</v>
      </c>
      <c r="R157" s="2" t="s">
        <v>413</v>
      </c>
      <c r="S157" s="2" t="s">
        <v>34</v>
      </c>
      <c r="T157" s="124">
        <v>2.9119999999999999</v>
      </c>
      <c r="U157" s="2" t="s">
        <v>1954</v>
      </c>
      <c r="V157" s="138">
        <v>1.34E-2</v>
      </c>
      <c r="W157" s="140">
        <v>2.5749999999999999E-2</v>
      </c>
      <c r="X157" s="3" t="s">
        <v>419</v>
      </c>
      <c r="Y157" s="3" t="s">
        <v>139</v>
      </c>
      <c r="Z157" s="124">
        <v>2069342.17</v>
      </c>
      <c r="AA157" s="134">
        <v>1</v>
      </c>
      <c r="AB157" s="151">
        <v>112.66</v>
      </c>
      <c r="AC157" s="124">
        <v>237.25299999999999</v>
      </c>
      <c r="AD157" s="124">
        <v>2568.5740000000001</v>
      </c>
      <c r="AE157" s="2"/>
      <c r="AF157" s="2"/>
      <c r="AG157" s="2" t="s">
        <v>36</v>
      </c>
      <c r="AH157" s="140">
        <v>8.52E-4</v>
      </c>
      <c r="AI157" s="140">
        <v>1.13047625791732E-2</v>
      </c>
      <c r="AJ157" s="140">
        <v>1.85861709472819E-3</v>
      </c>
    </row>
    <row r="158" spans="1:36">
      <c r="A158" s="2">
        <v>301</v>
      </c>
      <c r="B158" s="2">
        <v>7210</v>
      </c>
      <c r="C158" s="2" t="s">
        <v>1623</v>
      </c>
      <c r="D158" s="2" t="s">
        <v>1624</v>
      </c>
      <c r="E158" s="3" t="s">
        <v>1330</v>
      </c>
      <c r="F158" s="2" t="s">
        <v>1955</v>
      </c>
      <c r="G158" s="2" t="s">
        <v>1956</v>
      </c>
      <c r="H158" s="2" t="s">
        <v>328</v>
      </c>
      <c r="I158" s="2" t="s">
        <v>763</v>
      </c>
      <c r="J158" s="2" t="s">
        <v>30</v>
      </c>
      <c r="K158" s="2" t="s">
        <v>30</v>
      </c>
      <c r="L158" s="2" t="s">
        <v>334</v>
      </c>
      <c r="M158" s="2" t="s">
        <v>45</v>
      </c>
      <c r="N158" s="2" t="s">
        <v>470</v>
      </c>
      <c r="O158" s="2" t="s">
        <v>139</v>
      </c>
      <c r="P158" s="2" t="s">
        <v>103</v>
      </c>
      <c r="Q158" s="2" t="s">
        <v>422</v>
      </c>
      <c r="R158" s="2" t="s">
        <v>413</v>
      </c>
      <c r="S158" s="2" t="s">
        <v>34</v>
      </c>
      <c r="T158" s="124">
        <v>2.3159999999999998</v>
      </c>
      <c r="U158" s="2" t="s">
        <v>1797</v>
      </c>
      <c r="V158" s="138">
        <v>1.77E-2</v>
      </c>
      <c r="W158" s="140">
        <v>2.605E-2</v>
      </c>
      <c r="X158" s="3" t="s">
        <v>419</v>
      </c>
      <c r="Y158" s="3" t="s">
        <v>139</v>
      </c>
      <c r="Z158" s="124">
        <v>5163226.8600000003</v>
      </c>
      <c r="AA158" s="134">
        <v>1</v>
      </c>
      <c r="AB158" s="151">
        <v>113.1</v>
      </c>
      <c r="AC158" s="2"/>
      <c r="AD158" s="124">
        <v>5839.61</v>
      </c>
      <c r="AE158" s="2"/>
      <c r="AF158" s="2"/>
      <c r="AG158" s="2" t="s">
        <v>36</v>
      </c>
      <c r="AH158" s="140">
        <v>1.99E-3</v>
      </c>
      <c r="AI158" s="140">
        <v>2.57011906821214E-2</v>
      </c>
      <c r="AJ158" s="140">
        <v>4.22553521333248E-3</v>
      </c>
    </row>
    <row r="159" spans="1:36">
      <c r="A159" s="2">
        <v>301</v>
      </c>
      <c r="B159" s="2">
        <v>7210</v>
      </c>
      <c r="C159" s="2" t="s">
        <v>1623</v>
      </c>
      <c r="D159" s="2" t="s">
        <v>1624</v>
      </c>
      <c r="E159" s="3" t="s">
        <v>1330</v>
      </c>
      <c r="F159" s="2" t="s">
        <v>1957</v>
      </c>
      <c r="G159" s="2" t="s">
        <v>1958</v>
      </c>
      <c r="H159" s="2" t="s">
        <v>328</v>
      </c>
      <c r="I159" s="2" t="s">
        <v>763</v>
      </c>
      <c r="J159" s="2" t="s">
        <v>30</v>
      </c>
      <c r="K159" s="2" t="s">
        <v>30</v>
      </c>
      <c r="L159" s="2" t="s">
        <v>334</v>
      </c>
      <c r="M159" s="2" t="s">
        <v>45</v>
      </c>
      <c r="N159" s="2" t="s">
        <v>470</v>
      </c>
      <c r="O159" s="2" t="s">
        <v>139</v>
      </c>
      <c r="P159" s="2" t="s">
        <v>103</v>
      </c>
      <c r="Q159" s="2" t="s">
        <v>420</v>
      </c>
      <c r="R159" s="2" t="s">
        <v>413</v>
      </c>
      <c r="S159" s="2" t="s">
        <v>34</v>
      </c>
      <c r="T159" s="124">
        <v>6.7249999999999996</v>
      </c>
      <c r="U159" s="2" t="s">
        <v>1959</v>
      </c>
      <c r="V159" s="138">
        <v>8.9999999999999993E-3</v>
      </c>
      <c r="W159" s="140">
        <v>2.9850000000000002E-2</v>
      </c>
      <c r="X159" s="3" t="s">
        <v>419</v>
      </c>
      <c r="Y159" s="3" t="s">
        <v>139</v>
      </c>
      <c r="Z159" s="124">
        <v>1421000</v>
      </c>
      <c r="AA159" s="134">
        <v>1</v>
      </c>
      <c r="AB159" s="151">
        <v>98.8</v>
      </c>
      <c r="AC159" s="124">
        <v>7.2590000000000003</v>
      </c>
      <c r="AD159" s="124">
        <v>1411.2070000000001</v>
      </c>
      <c r="AE159" s="2"/>
      <c r="AF159" s="2"/>
      <c r="AG159" s="2" t="s">
        <v>36</v>
      </c>
      <c r="AH159" s="140">
        <v>5.1599999999999997E-4</v>
      </c>
      <c r="AI159" s="140">
        <v>6.21098160137831E-3</v>
      </c>
      <c r="AJ159" s="140">
        <v>1.0211480779464799E-3</v>
      </c>
    </row>
    <row r="160" spans="1:36">
      <c r="A160" s="2">
        <v>301</v>
      </c>
      <c r="B160" s="2">
        <v>7210</v>
      </c>
      <c r="C160" s="2" t="s">
        <v>1623</v>
      </c>
      <c r="D160" s="2" t="s">
        <v>1624</v>
      </c>
      <c r="E160" s="3" t="s">
        <v>1330</v>
      </c>
      <c r="F160" s="2" t="s">
        <v>1960</v>
      </c>
      <c r="G160" s="2" t="s">
        <v>1961</v>
      </c>
      <c r="H160" s="2" t="s">
        <v>328</v>
      </c>
      <c r="I160" s="2" t="s">
        <v>763</v>
      </c>
      <c r="J160" s="2" t="s">
        <v>30</v>
      </c>
      <c r="K160" s="2" t="s">
        <v>30</v>
      </c>
      <c r="L160" s="2" t="s">
        <v>334</v>
      </c>
      <c r="M160" s="2" t="s">
        <v>45</v>
      </c>
      <c r="N160" s="2" t="s">
        <v>470</v>
      </c>
      <c r="O160" s="2" t="s">
        <v>139</v>
      </c>
      <c r="P160" s="2" t="s">
        <v>103</v>
      </c>
      <c r="Q160" s="2" t="s">
        <v>420</v>
      </c>
      <c r="R160" s="2" t="s">
        <v>413</v>
      </c>
      <c r="S160" s="2" t="s">
        <v>34</v>
      </c>
      <c r="T160" s="124">
        <v>0.24399999999999999</v>
      </c>
      <c r="U160" s="2" t="s">
        <v>1962</v>
      </c>
      <c r="V160" s="138">
        <v>6.4999999999999997E-3</v>
      </c>
      <c r="W160" s="140">
        <v>2.9729999999999999E-2</v>
      </c>
      <c r="X160" s="3" t="s">
        <v>419</v>
      </c>
      <c r="Y160" s="3" t="s">
        <v>139</v>
      </c>
      <c r="Z160" s="124">
        <v>1251500</v>
      </c>
      <c r="AA160" s="134">
        <v>1</v>
      </c>
      <c r="AB160" s="151">
        <v>114.76</v>
      </c>
      <c r="AC160" s="2"/>
      <c r="AD160" s="124">
        <v>1436.221</v>
      </c>
      <c r="AE160" s="2"/>
      <c r="AF160" s="2"/>
      <c r="AG160" s="2" t="s">
        <v>36</v>
      </c>
      <c r="AH160" s="140">
        <v>2.2929999999999999E-3</v>
      </c>
      <c r="AI160" s="140">
        <v>6.3210732782607703E-3</v>
      </c>
      <c r="AJ160" s="140">
        <v>1.03924826105143E-3</v>
      </c>
    </row>
    <row r="161" spans="1:36">
      <c r="A161" s="2">
        <v>301</v>
      </c>
      <c r="B161" s="2">
        <v>7210</v>
      </c>
      <c r="C161" s="2" t="s">
        <v>1175</v>
      </c>
      <c r="D161" s="2" t="s">
        <v>1627</v>
      </c>
      <c r="E161" s="3" t="s">
        <v>1330</v>
      </c>
      <c r="F161" s="2" t="s">
        <v>1968</v>
      </c>
      <c r="G161" s="2" t="s">
        <v>1969</v>
      </c>
      <c r="H161" s="2" t="s">
        <v>328</v>
      </c>
      <c r="I161" s="2" t="s">
        <v>763</v>
      </c>
      <c r="J161" s="2" t="s">
        <v>30</v>
      </c>
      <c r="K161" s="2" t="s">
        <v>30</v>
      </c>
      <c r="L161" s="2" t="s">
        <v>334</v>
      </c>
      <c r="M161" s="2" t="s">
        <v>45</v>
      </c>
      <c r="N161" s="2" t="s">
        <v>454</v>
      </c>
      <c r="O161" s="2" t="s">
        <v>139</v>
      </c>
      <c r="P161" s="2" t="s">
        <v>1177</v>
      </c>
      <c r="Q161" s="2" t="s">
        <v>420</v>
      </c>
      <c r="R161" s="2" t="s">
        <v>413</v>
      </c>
      <c r="S161" s="2" t="s">
        <v>34</v>
      </c>
      <c r="T161" s="124">
        <v>4.2240000000000002</v>
      </c>
      <c r="U161" s="2" t="s">
        <v>1970</v>
      </c>
      <c r="V161" s="138">
        <v>1.3899999999999999E-2</v>
      </c>
      <c r="W161" s="140">
        <v>2.298E-2</v>
      </c>
      <c r="X161" s="3" t="s">
        <v>419</v>
      </c>
      <c r="Y161" s="3" t="s">
        <v>139</v>
      </c>
      <c r="Z161" s="124">
        <v>2316800.0299999998</v>
      </c>
      <c r="AA161" s="134">
        <v>1</v>
      </c>
      <c r="AB161" s="151">
        <v>103.13</v>
      </c>
      <c r="AC161" s="2"/>
      <c r="AD161" s="124">
        <v>2389.3159999999998</v>
      </c>
      <c r="AE161" s="2"/>
      <c r="AF161" s="2"/>
      <c r="AG161" s="2" t="s">
        <v>36</v>
      </c>
      <c r="AH161" s="140">
        <v>1.4480000000000001E-3</v>
      </c>
      <c r="AI161" s="140">
        <v>1.05158165065058E-2</v>
      </c>
      <c r="AJ161" s="140">
        <v>1.7289063956127801E-3</v>
      </c>
    </row>
    <row r="162" spans="1:36">
      <c r="A162" s="2">
        <v>301</v>
      </c>
      <c r="B162" s="2">
        <v>7210</v>
      </c>
      <c r="C162" s="2" t="s">
        <v>1175</v>
      </c>
      <c r="D162" s="2" t="s">
        <v>1627</v>
      </c>
      <c r="E162" s="3" t="s">
        <v>1330</v>
      </c>
      <c r="F162" s="2" t="s">
        <v>2051</v>
      </c>
      <c r="G162" s="2" t="s">
        <v>2052</v>
      </c>
      <c r="H162" s="2" t="s">
        <v>328</v>
      </c>
      <c r="I162" s="2" t="s">
        <v>763</v>
      </c>
      <c r="J162" s="2" t="s">
        <v>30</v>
      </c>
      <c r="K162" s="2" t="s">
        <v>30</v>
      </c>
      <c r="L162" s="2" t="s">
        <v>334</v>
      </c>
      <c r="M162" s="2" t="s">
        <v>45</v>
      </c>
      <c r="N162" s="2" t="s">
        <v>454</v>
      </c>
      <c r="O162" s="2" t="s">
        <v>139</v>
      </c>
      <c r="P162" s="2" t="s">
        <v>1177</v>
      </c>
      <c r="Q162" s="2" t="s">
        <v>420</v>
      </c>
      <c r="R162" s="2" t="s">
        <v>413</v>
      </c>
      <c r="S162" s="2" t="s">
        <v>34</v>
      </c>
      <c r="T162" s="124">
        <v>1.7869999999999999</v>
      </c>
      <c r="U162" s="2" t="s">
        <v>2053</v>
      </c>
      <c r="V162" s="138">
        <v>6.0000000000000001E-3</v>
      </c>
      <c r="W162" s="140">
        <v>2.2329999999999999E-2</v>
      </c>
      <c r="X162" s="3" t="s">
        <v>419</v>
      </c>
      <c r="Y162" s="3" t="s">
        <v>139</v>
      </c>
      <c r="Z162" s="124">
        <v>1152879.95</v>
      </c>
      <c r="AA162" s="134">
        <v>1</v>
      </c>
      <c r="AB162" s="151">
        <v>113.4</v>
      </c>
      <c r="AC162" s="2"/>
      <c r="AD162" s="124">
        <v>1307.366</v>
      </c>
      <c r="AE162" s="2"/>
      <c r="AF162" s="2"/>
      <c r="AG162" s="2" t="s">
        <v>36</v>
      </c>
      <c r="AH162" s="140">
        <v>1.2960000000000001E-3</v>
      </c>
      <c r="AI162" s="140">
        <v>5.7539564745490799E-3</v>
      </c>
      <c r="AJ162" s="140">
        <v>9.4600853321954797E-4</v>
      </c>
    </row>
    <row r="163" spans="1:36">
      <c r="A163" s="2">
        <v>301</v>
      </c>
      <c r="B163" s="2">
        <v>7210</v>
      </c>
      <c r="C163" s="2" t="s">
        <v>1175</v>
      </c>
      <c r="D163" s="2" t="s">
        <v>1627</v>
      </c>
      <c r="E163" s="3" t="s">
        <v>1330</v>
      </c>
      <c r="F163" s="2" t="s">
        <v>1971</v>
      </c>
      <c r="G163" s="2" t="s">
        <v>1972</v>
      </c>
      <c r="H163" s="2" t="s">
        <v>328</v>
      </c>
      <c r="I163" s="2" t="s">
        <v>763</v>
      </c>
      <c r="J163" s="2" t="s">
        <v>30</v>
      </c>
      <c r="K163" s="2" t="s">
        <v>30</v>
      </c>
      <c r="L163" s="2" t="s">
        <v>334</v>
      </c>
      <c r="M163" s="2" t="s">
        <v>45</v>
      </c>
      <c r="N163" s="2" t="s">
        <v>454</v>
      </c>
      <c r="O163" s="2" t="s">
        <v>139</v>
      </c>
      <c r="P163" s="2" t="s">
        <v>1177</v>
      </c>
      <c r="Q163" s="2" t="s">
        <v>420</v>
      </c>
      <c r="R163" s="2" t="s">
        <v>413</v>
      </c>
      <c r="S163" s="2" t="s">
        <v>34</v>
      </c>
      <c r="T163" s="124">
        <v>3.3029999999999999</v>
      </c>
      <c r="U163" s="2" t="s">
        <v>1973</v>
      </c>
      <c r="V163" s="138">
        <v>1.7500000000000002E-2</v>
      </c>
      <c r="W163" s="140">
        <v>2.341E-2</v>
      </c>
      <c r="X163" s="3" t="s">
        <v>419</v>
      </c>
      <c r="Y163" s="3" t="s">
        <v>139</v>
      </c>
      <c r="Z163" s="124">
        <v>4201420.33</v>
      </c>
      <c r="AA163" s="134">
        <v>1</v>
      </c>
      <c r="AB163" s="151">
        <v>112.53</v>
      </c>
      <c r="AC163" s="2"/>
      <c r="AD163" s="124">
        <v>4727.8580000000002</v>
      </c>
      <c r="AE163" s="2"/>
      <c r="AF163" s="2"/>
      <c r="AG163" s="2" t="s">
        <v>36</v>
      </c>
      <c r="AH163" s="140">
        <v>1.885E-3</v>
      </c>
      <c r="AI163" s="140">
        <v>2.0808169789683001E-2</v>
      </c>
      <c r="AJ163" s="140">
        <v>3.4210731813476098E-3</v>
      </c>
    </row>
    <row r="164" spans="1:36">
      <c r="A164" s="2">
        <v>301</v>
      </c>
      <c r="B164" s="2">
        <v>7210</v>
      </c>
      <c r="C164" s="2" t="s">
        <v>1175</v>
      </c>
      <c r="D164" s="2" t="s">
        <v>1627</v>
      </c>
      <c r="E164" s="3" t="s">
        <v>1330</v>
      </c>
      <c r="F164" s="2" t="s">
        <v>1974</v>
      </c>
      <c r="G164" s="2" t="s">
        <v>1975</v>
      </c>
      <c r="H164" s="2" t="s">
        <v>328</v>
      </c>
      <c r="I164" s="2" t="s">
        <v>763</v>
      </c>
      <c r="J164" s="2" t="s">
        <v>30</v>
      </c>
      <c r="K164" s="2" t="s">
        <v>30</v>
      </c>
      <c r="L164" s="2" t="s">
        <v>334</v>
      </c>
      <c r="M164" s="2" t="s">
        <v>109</v>
      </c>
      <c r="N164" s="2" t="s">
        <v>454</v>
      </c>
      <c r="O164" s="2" t="s">
        <v>139</v>
      </c>
      <c r="P164" s="2" t="s">
        <v>1437</v>
      </c>
      <c r="Q164" s="2" t="s">
        <v>420</v>
      </c>
      <c r="R164" s="2" t="s">
        <v>413</v>
      </c>
      <c r="S164" s="2" t="s">
        <v>34</v>
      </c>
      <c r="T164" s="124">
        <v>7.0410000000000004</v>
      </c>
      <c r="U164" s="2" t="s">
        <v>1976</v>
      </c>
      <c r="V164" s="138">
        <v>3.4500000000000003E-2</v>
      </c>
      <c r="W164" s="140">
        <v>3.3020000000000001E-2</v>
      </c>
      <c r="X164" s="3" t="s">
        <v>419</v>
      </c>
      <c r="Y164" s="3" t="s">
        <v>139</v>
      </c>
      <c r="Z164" s="124">
        <v>1400000</v>
      </c>
      <c r="AA164" s="134">
        <v>1</v>
      </c>
      <c r="AB164" s="151">
        <v>100.92</v>
      </c>
      <c r="AC164" s="2"/>
      <c r="AD164" s="124">
        <v>1412.88</v>
      </c>
      <c r="AE164" s="2"/>
      <c r="AF164" s="2"/>
      <c r="AG164" s="2" t="s">
        <v>36</v>
      </c>
      <c r="AH164" s="140">
        <v>4.1050000000000001E-3</v>
      </c>
      <c r="AI164" s="140">
        <v>6.21834350427384E-3</v>
      </c>
      <c r="AJ164" s="140">
        <v>1.02235844910426E-3</v>
      </c>
    </row>
    <row r="165" spans="1:36">
      <c r="A165" s="2">
        <v>301</v>
      </c>
      <c r="B165" s="2">
        <v>7210</v>
      </c>
      <c r="C165" s="2" t="s">
        <v>1175</v>
      </c>
      <c r="D165" s="2" t="s">
        <v>1627</v>
      </c>
      <c r="E165" s="3" t="s">
        <v>1330</v>
      </c>
      <c r="F165" s="2" t="s">
        <v>1977</v>
      </c>
      <c r="G165" s="2" t="s">
        <v>1978</v>
      </c>
      <c r="H165" s="2" t="s">
        <v>328</v>
      </c>
      <c r="I165" s="2" t="s">
        <v>763</v>
      </c>
      <c r="J165" s="2" t="s">
        <v>30</v>
      </c>
      <c r="K165" s="2" t="s">
        <v>30</v>
      </c>
      <c r="L165" s="2" t="s">
        <v>334</v>
      </c>
      <c r="M165" s="2" t="s">
        <v>45</v>
      </c>
      <c r="N165" s="2" t="s">
        <v>454</v>
      </c>
      <c r="O165" s="2" t="s">
        <v>139</v>
      </c>
      <c r="P165" s="2" t="s">
        <v>1437</v>
      </c>
      <c r="Q165" s="2" t="s">
        <v>420</v>
      </c>
      <c r="R165" s="2" t="s">
        <v>413</v>
      </c>
      <c r="S165" s="2" t="s">
        <v>34</v>
      </c>
      <c r="T165" s="124">
        <v>3.1419999999999999</v>
      </c>
      <c r="U165" s="2" t="s">
        <v>1979</v>
      </c>
      <c r="V165" s="138">
        <v>8.3999999999999995E-3</v>
      </c>
      <c r="W165" s="140">
        <v>2.8889999999999999E-2</v>
      </c>
      <c r="X165" s="3" t="s">
        <v>419</v>
      </c>
      <c r="Y165" s="3" t="s">
        <v>139</v>
      </c>
      <c r="Z165" s="124">
        <v>3250000</v>
      </c>
      <c r="AA165" s="134">
        <v>1</v>
      </c>
      <c r="AB165" s="151">
        <v>105.82</v>
      </c>
      <c r="AC165" s="2"/>
      <c r="AD165" s="124">
        <v>3439.15</v>
      </c>
      <c r="AE165" s="2"/>
      <c r="AF165" s="2"/>
      <c r="AG165" s="2" t="s">
        <v>36</v>
      </c>
      <c r="AH165" s="140">
        <v>8.1729999999999997E-3</v>
      </c>
      <c r="AI165" s="140">
        <v>1.51363286781067E-2</v>
      </c>
      <c r="AJ165" s="140">
        <v>2.48856524279267E-3</v>
      </c>
    </row>
    <row r="166" spans="1:36">
      <c r="A166" s="2">
        <v>301</v>
      </c>
      <c r="B166" s="2">
        <v>7210</v>
      </c>
      <c r="C166" s="2" t="s">
        <v>1175</v>
      </c>
      <c r="D166" s="2" t="s">
        <v>1627</v>
      </c>
      <c r="E166" s="3" t="s">
        <v>1330</v>
      </c>
      <c r="F166" s="2" t="s">
        <v>2054</v>
      </c>
      <c r="G166" s="2" t="s">
        <v>2055</v>
      </c>
      <c r="H166" s="2" t="s">
        <v>328</v>
      </c>
      <c r="I166" s="2" t="s">
        <v>763</v>
      </c>
      <c r="J166" s="2" t="s">
        <v>30</v>
      </c>
      <c r="K166" s="2" t="s">
        <v>30</v>
      </c>
      <c r="L166" s="2" t="s">
        <v>334</v>
      </c>
      <c r="M166" s="2" t="s">
        <v>45</v>
      </c>
      <c r="N166" s="2" t="s">
        <v>454</v>
      </c>
      <c r="O166" s="2" t="s">
        <v>139</v>
      </c>
      <c r="P166" s="2" t="s">
        <v>1437</v>
      </c>
      <c r="Q166" s="2" t="s">
        <v>420</v>
      </c>
      <c r="R166" s="2" t="s">
        <v>413</v>
      </c>
      <c r="S166" s="2" t="s">
        <v>34</v>
      </c>
      <c r="T166" s="124">
        <v>0.249</v>
      </c>
      <c r="U166" s="2" t="s">
        <v>2056</v>
      </c>
      <c r="V166" s="138">
        <v>2.0199999999999999E-2</v>
      </c>
      <c r="W166" s="140">
        <v>3.6790000000000003E-2</v>
      </c>
      <c r="X166" s="3" t="s">
        <v>419</v>
      </c>
      <c r="Y166" s="3" t="s">
        <v>139</v>
      </c>
      <c r="Z166" s="124">
        <v>4500000</v>
      </c>
      <c r="AA166" s="134">
        <v>1</v>
      </c>
      <c r="AB166" s="151">
        <v>116.49</v>
      </c>
      <c r="AC166" s="2"/>
      <c r="AD166" s="124">
        <v>5242.05</v>
      </c>
      <c r="AE166" s="2"/>
      <c r="AF166" s="2"/>
      <c r="AG166" s="2" t="s">
        <v>36</v>
      </c>
      <c r="AH166" s="140">
        <v>4.2770000000000004E-3</v>
      </c>
      <c r="AI166" s="140">
        <v>2.3071221594600198E-2</v>
      </c>
      <c r="AJ166" s="140">
        <v>3.7931417446116899E-3</v>
      </c>
    </row>
    <row r="167" spans="1:36">
      <c r="A167" s="2">
        <v>301</v>
      </c>
      <c r="B167" s="2">
        <v>7210</v>
      </c>
      <c r="C167" s="2" t="s">
        <v>1634</v>
      </c>
      <c r="D167" s="2" t="s">
        <v>1635</v>
      </c>
      <c r="E167" s="3" t="s">
        <v>1330</v>
      </c>
      <c r="F167" s="2" t="s">
        <v>1980</v>
      </c>
      <c r="G167" s="2" t="s">
        <v>1981</v>
      </c>
      <c r="H167" s="2" t="s">
        <v>328</v>
      </c>
      <c r="I167" s="2" t="s">
        <v>976</v>
      </c>
      <c r="J167" s="2" t="s">
        <v>30</v>
      </c>
      <c r="K167" s="2" t="s">
        <v>30</v>
      </c>
      <c r="L167" s="2" t="s">
        <v>334</v>
      </c>
      <c r="M167" s="2" t="s">
        <v>45</v>
      </c>
      <c r="N167" s="2" t="s">
        <v>483</v>
      </c>
      <c r="O167" s="2" t="s">
        <v>139</v>
      </c>
      <c r="P167" s="2" t="s">
        <v>1437</v>
      </c>
      <c r="Q167" s="2" t="s">
        <v>420</v>
      </c>
      <c r="R167" s="2" t="s">
        <v>413</v>
      </c>
      <c r="S167" s="2" t="s">
        <v>34</v>
      </c>
      <c r="T167" s="124">
        <v>1.387</v>
      </c>
      <c r="U167" s="2" t="s">
        <v>1982</v>
      </c>
      <c r="V167" s="138">
        <v>2.29E-2</v>
      </c>
      <c r="W167" s="140">
        <v>4.5949999999999998E-2</v>
      </c>
      <c r="X167" s="3" t="s">
        <v>419</v>
      </c>
      <c r="Y167" s="3" t="s">
        <v>139</v>
      </c>
      <c r="Z167" s="124">
        <v>1450961.56</v>
      </c>
      <c r="AA167" s="134">
        <v>1</v>
      </c>
      <c r="AB167" s="151">
        <v>97.15</v>
      </c>
      <c r="AC167" s="2"/>
      <c r="AD167" s="124">
        <v>1409.6089999999999</v>
      </c>
      <c r="AE167" s="2"/>
      <c r="AF167" s="2"/>
      <c r="AG167" s="2" t="s">
        <v>36</v>
      </c>
      <c r="AH167" s="140">
        <v>4.3800000000000002E-3</v>
      </c>
      <c r="AI167" s="140">
        <v>6.2039479190851904E-3</v>
      </c>
      <c r="AJ167" s="140">
        <v>1.0199916695692701E-3</v>
      </c>
    </row>
    <row r="168" spans="1:36">
      <c r="A168" s="2">
        <v>301</v>
      </c>
      <c r="B168" s="2">
        <v>7210</v>
      </c>
      <c r="C168" s="2" t="s">
        <v>1983</v>
      </c>
      <c r="D168" s="2" t="s">
        <v>1984</v>
      </c>
      <c r="E168" s="3" t="s">
        <v>1330</v>
      </c>
      <c r="F168" s="2" t="s">
        <v>1985</v>
      </c>
      <c r="G168" s="2" t="s">
        <v>1986</v>
      </c>
      <c r="H168" s="2" t="s">
        <v>328</v>
      </c>
      <c r="I168" s="2" t="s">
        <v>976</v>
      </c>
      <c r="J168" s="2" t="s">
        <v>30</v>
      </c>
      <c r="K168" s="2" t="s">
        <v>30</v>
      </c>
      <c r="L168" s="2" t="s">
        <v>334</v>
      </c>
      <c r="M168" s="2" t="s">
        <v>45</v>
      </c>
      <c r="N168" s="2" t="s">
        <v>451</v>
      </c>
      <c r="O168" s="2" t="s">
        <v>139</v>
      </c>
      <c r="P168" s="2" t="s">
        <v>1719</v>
      </c>
      <c r="Q168" s="2" t="s">
        <v>420</v>
      </c>
      <c r="R168" s="2" t="s">
        <v>413</v>
      </c>
      <c r="S168" s="2" t="s">
        <v>34</v>
      </c>
      <c r="T168" s="124">
        <v>4.0860000000000003</v>
      </c>
      <c r="U168" s="2" t="s">
        <v>1784</v>
      </c>
      <c r="V168" s="138">
        <v>2.6200000000000001E-2</v>
      </c>
      <c r="W168" s="140">
        <v>4.8649999999999999E-2</v>
      </c>
      <c r="X168" s="3" t="s">
        <v>419</v>
      </c>
      <c r="Y168" s="3" t="s">
        <v>139</v>
      </c>
      <c r="Z168" s="124">
        <v>2698501</v>
      </c>
      <c r="AA168" s="134">
        <v>1</v>
      </c>
      <c r="AB168" s="151">
        <v>91.99</v>
      </c>
      <c r="AC168" s="2"/>
      <c r="AD168" s="124">
        <v>2482.3510000000001</v>
      </c>
      <c r="AE168" s="2"/>
      <c r="AF168" s="2"/>
      <c r="AG168" s="2" t="s">
        <v>36</v>
      </c>
      <c r="AH168" s="140">
        <v>2.0860000000000002E-3</v>
      </c>
      <c r="AI168" s="140">
        <v>1.09252814470018E-2</v>
      </c>
      <c r="AJ168" s="140">
        <v>1.7962265655648399E-3</v>
      </c>
    </row>
    <row r="169" spans="1:36">
      <c r="A169" s="2">
        <v>301</v>
      </c>
      <c r="B169" s="2">
        <v>7210</v>
      </c>
      <c r="C169" s="2" t="s">
        <v>1983</v>
      </c>
      <c r="D169" s="2" t="s">
        <v>1984</v>
      </c>
      <c r="E169" s="3" t="s">
        <v>1330</v>
      </c>
      <c r="F169" s="2" t="s">
        <v>1987</v>
      </c>
      <c r="G169" s="2" t="s">
        <v>1988</v>
      </c>
      <c r="H169" s="2" t="s">
        <v>328</v>
      </c>
      <c r="I169" s="2" t="s">
        <v>763</v>
      </c>
      <c r="J169" s="2" t="s">
        <v>30</v>
      </c>
      <c r="K169" s="2" t="s">
        <v>30</v>
      </c>
      <c r="L169" s="2" t="s">
        <v>334</v>
      </c>
      <c r="M169" s="2" t="s">
        <v>45</v>
      </c>
      <c r="N169" s="2" t="s">
        <v>451</v>
      </c>
      <c r="O169" s="2" t="s">
        <v>139</v>
      </c>
      <c r="P169" s="2" t="s">
        <v>1719</v>
      </c>
      <c r="Q169" s="2" t="s">
        <v>420</v>
      </c>
      <c r="R169" s="2" t="s">
        <v>413</v>
      </c>
      <c r="S169" s="2" t="s">
        <v>34</v>
      </c>
      <c r="T169" s="124">
        <v>4.8659999999999997</v>
      </c>
      <c r="U169" s="2" t="s">
        <v>1989</v>
      </c>
      <c r="V169" s="138">
        <v>2.3099999999999999E-2</v>
      </c>
      <c r="W169" s="140">
        <v>2.5989999999999999E-2</v>
      </c>
      <c r="X169" s="3" t="s">
        <v>419</v>
      </c>
      <c r="Y169" s="3" t="s">
        <v>139</v>
      </c>
      <c r="Z169" s="124">
        <v>1400000</v>
      </c>
      <c r="AA169" s="134">
        <v>1</v>
      </c>
      <c r="AB169" s="151">
        <v>102.32</v>
      </c>
      <c r="AC169" s="2"/>
      <c r="AD169" s="124">
        <v>1432.48</v>
      </c>
      <c r="AE169" s="2"/>
      <c r="AF169" s="2"/>
      <c r="AG169" s="2" t="s">
        <v>36</v>
      </c>
      <c r="AH169" s="140">
        <v>4.6670000000000001E-3</v>
      </c>
      <c r="AI169" s="140">
        <v>6.3046066920065301E-3</v>
      </c>
      <c r="AJ169" s="140">
        <v>1.03654098803357E-3</v>
      </c>
    </row>
    <row r="170" spans="1:36">
      <c r="A170" s="2">
        <v>301</v>
      </c>
      <c r="B170" s="2">
        <v>7210</v>
      </c>
      <c r="C170" s="2" t="s">
        <v>1990</v>
      </c>
      <c r="D170" s="2" t="s">
        <v>1991</v>
      </c>
      <c r="E170" s="3" t="s">
        <v>1330</v>
      </c>
      <c r="F170" s="2" t="s">
        <v>1992</v>
      </c>
      <c r="G170" s="2" t="s">
        <v>1993</v>
      </c>
      <c r="H170" s="2" t="s">
        <v>328</v>
      </c>
      <c r="I170" s="2" t="s">
        <v>976</v>
      </c>
      <c r="J170" s="2" t="s">
        <v>30</v>
      </c>
      <c r="K170" s="2" t="s">
        <v>30</v>
      </c>
      <c r="L170" s="2" t="s">
        <v>334</v>
      </c>
      <c r="M170" s="2" t="s">
        <v>45</v>
      </c>
      <c r="N170" s="2" t="s">
        <v>491</v>
      </c>
      <c r="O170" s="2" t="s">
        <v>139</v>
      </c>
      <c r="P170" s="2" t="s">
        <v>1437</v>
      </c>
      <c r="Q170" s="2" t="s">
        <v>420</v>
      </c>
      <c r="R170" s="2" t="s">
        <v>413</v>
      </c>
      <c r="S170" s="2" t="s">
        <v>34</v>
      </c>
      <c r="T170" s="124">
        <v>1.8240000000000001</v>
      </c>
      <c r="U170" s="2" t="s">
        <v>1994</v>
      </c>
      <c r="V170" s="138">
        <v>0.04</v>
      </c>
      <c r="W170" s="140">
        <v>4.829E-2</v>
      </c>
      <c r="X170" s="3" t="s">
        <v>419</v>
      </c>
      <c r="Y170" s="3" t="s">
        <v>139</v>
      </c>
      <c r="Z170" s="124">
        <v>1400000</v>
      </c>
      <c r="AA170" s="134">
        <v>1</v>
      </c>
      <c r="AB170" s="151">
        <v>100.59</v>
      </c>
      <c r="AC170" s="2"/>
      <c r="AD170" s="124">
        <v>1408.26</v>
      </c>
      <c r="AE170" s="2"/>
      <c r="AF170" s="2"/>
      <c r="AG170" s="2" t="s">
        <v>36</v>
      </c>
      <c r="AH170" s="140">
        <v>2.3509999999999998E-3</v>
      </c>
      <c r="AI170" s="140">
        <v>6.1980100385939903E-3</v>
      </c>
      <c r="AJ170" s="140">
        <v>1.0190154220709199E-3</v>
      </c>
    </row>
    <row r="171" spans="1:36">
      <c r="A171" s="2">
        <v>301</v>
      </c>
      <c r="B171" s="2">
        <v>7210</v>
      </c>
      <c r="C171" s="2" t="s">
        <v>1995</v>
      </c>
      <c r="D171" s="2" t="s">
        <v>1996</v>
      </c>
      <c r="E171" s="3" t="s">
        <v>1330</v>
      </c>
      <c r="F171" s="2" t="s">
        <v>1997</v>
      </c>
      <c r="G171" s="2" t="s">
        <v>1998</v>
      </c>
      <c r="H171" s="2" t="s">
        <v>328</v>
      </c>
      <c r="I171" s="2" t="s">
        <v>763</v>
      </c>
      <c r="J171" s="2" t="s">
        <v>30</v>
      </c>
      <c r="K171" s="2" t="s">
        <v>30</v>
      </c>
      <c r="L171" s="2" t="s">
        <v>334</v>
      </c>
      <c r="M171" s="2" t="s">
        <v>45</v>
      </c>
      <c r="N171" s="2" t="s">
        <v>470</v>
      </c>
      <c r="O171" s="2" t="s">
        <v>139</v>
      </c>
      <c r="P171" s="2" t="s">
        <v>1437</v>
      </c>
      <c r="Q171" s="2" t="s">
        <v>420</v>
      </c>
      <c r="R171" s="2" t="s">
        <v>413</v>
      </c>
      <c r="S171" s="2" t="s">
        <v>34</v>
      </c>
      <c r="T171" s="124">
        <v>1.39</v>
      </c>
      <c r="U171" s="2" t="s">
        <v>1999</v>
      </c>
      <c r="V171" s="138">
        <v>2.1499999999999998E-2</v>
      </c>
      <c r="W171" s="140">
        <v>2.581E-2</v>
      </c>
      <c r="X171" s="3" t="s">
        <v>419</v>
      </c>
      <c r="Y171" s="3" t="s">
        <v>139</v>
      </c>
      <c r="Z171" s="124">
        <v>1285714.26</v>
      </c>
      <c r="AA171" s="134">
        <v>1</v>
      </c>
      <c r="AB171" s="151">
        <v>116.4</v>
      </c>
      <c r="AC171" s="2"/>
      <c r="AD171" s="124">
        <v>1496.5709999999999</v>
      </c>
      <c r="AE171" s="2"/>
      <c r="AF171" s="2"/>
      <c r="AG171" s="2" t="s">
        <v>36</v>
      </c>
      <c r="AH171" s="140">
        <v>9.1799999999999998E-4</v>
      </c>
      <c r="AI171" s="140">
        <v>6.5866846691969997E-3</v>
      </c>
      <c r="AJ171" s="140">
        <v>1.08291745518896E-3</v>
      </c>
    </row>
    <row r="172" spans="1:36">
      <c r="A172" s="2">
        <v>301</v>
      </c>
      <c r="B172" s="2">
        <v>7210</v>
      </c>
      <c r="C172" s="2" t="s">
        <v>1646</v>
      </c>
      <c r="D172" s="2" t="s">
        <v>1647</v>
      </c>
      <c r="E172" s="3" t="s">
        <v>1330</v>
      </c>
      <c r="F172" s="2" t="s">
        <v>2000</v>
      </c>
      <c r="G172" s="2" t="s">
        <v>2001</v>
      </c>
      <c r="H172" s="2" t="s">
        <v>328</v>
      </c>
      <c r="I172" s="2" t="s">
        <v>976</v>
      </c>
      <c r="J172" s="2" t="s">
        <v>30</v>
      </c>
      <c r="K172" s="2" t="s">
        <v>30</v>
      </c>
      <c r="L172" s="2" t="s">
        <v>334</v>
      </c>
      <c r="M172" s="2" t="s">
        <v>45</v>
      </c>
      <c r="N172" s="2" t="s">
        <v>482</v>
      </c>
      <c r="O172" s="2" t="s">
        <v>139</v>
      </c>
      <c r="P172" s="2" t="s">
        <v>1719</v>
      </c>
      <c r="Q172" s="2" t="s">
        <v>420</v>
      </c>
      <c r="R172" s="2" t="s">
        <v>413</v>
      </c>
      <c r="S172" s="2" t="s">
        <v>34</v>
      </c>
      <c r="T172" s="124">
        <v>3.129</v>
      </c>
      <c r="U172" s="2" t="s">
        <v>2002</v>
      </c>
      <c r="V172" s="138">
        <v>3.5200000000000002E-2</v>
      </c>
      <c r="W172" s="140">
        <v>4.7440000000000003E-2</v>
      </c>
      <c r="X172" s="3" t="s">
        <v>419</v>
      </c>
      <c r="Y172" s="3" t="s">
        <v>139</v>
      </c>
      <c r="Z172" s="124">
        <v>2737777.84</v>
      </c>
      <c r="AA172" s="134">
        <v>1</v>
      </c>
      <c r="AB172" s="151">
        <v>97.69</v>
      </c>
      <c r="AC172" s="2"/>
      <c r="AD172" s="124">
        <v>2674.5349999999999</v>
      </c>
      <c r="AE172" s="2"/>
      <c r="AF172" s="2"/>
      <c r="AG172" s="2" t="s">
        <v>36</v>
      </c>
      <c r="AH172" s="140">
        <v>3.6389999999999999E-3</v>
      </c>
      <c r="AI172" s="140">
        <v>1.17711188587222E-2</v>
      </c>
      <c r="AJ172" s="140">
        <v>1.93529077516447E-3</v>
      </c>
    </row>
    <row r="173" spans="1:36">
      <c r="A173" s="2">
        <v>301</v>
      </c>
      <c r="B173" s="2">
        <v>7210</v>
      </c>
      <c r="C173" s="2" t="s">
        <v>2003</v>
      </c>
      <c r="D173" s="2" t="s">
        <v>2004</v>
      </c>
      <c r="E173" s="3" t="s">
        <v>1330</v>
      </c>
      <c r="F173" s="2" t="s">
        <v>2005</v>
      </c>
      <c r="G173" s="2" t="s">
        <v>2006</v>
      </c>
      <c r="H173" s="2" t="s">
        <v>328</v>
      </c>
      <c r="I173" s="2" t="s">
        <v>763</v>
      </c>
      <c r="J173" s="2" t="s">
        <v>30</v>
      </c>
      <c r="K173" s="2" t="s">
        <v>30</v>
      </c>
      <c r="L173" s="2" t="s">
        <v>334</v>
      </c>
      <c r="M173" s="2" t="s">
        <v>45</v>
      </c>
      <c r="N173" s="2" t="s">
        <v>453</v>
      </c>
      <c r="O173" s="2" t="s">
        <v>139</v>
      </c>
      <c r="P173" s="2" t="s">
        <v>1395</v>
      </c>
      <c r="Q173" s="2" t="s">
        <v>420</v>
      </c>
      <c r="R173" s="2" t="s">
        <v>413</v>
      </c>
      <c r="S173" s="2" t="s">
        <v>34</v>
      </c>
      <c r="T173" s="124">
        <v>0.24399999999999999</v>
      </c>
      <c r="U173" s="2" t="s">
        <v>1962</v>
      </c>
      <c r="V173" s="138">
        <v>4.3400000000000001E-2</v>
      </c>
      <c r="W173" s="140">
        <v>3.3689999999999998E-2</v>
      </c>
      <c r="X173" s="3" t="s">
        <v>419</v>
      </c>
      <c r="Y173" s="3" t="s">
        <v>139</v>
      </c>
      <c r="Z173" s="124">
        <v>2400000</v>
      </c>
      <c r="AA173" s="134">
        <v>1</v>
      </c>
      <c r="AB173" s="151">
        <v>116.76</v>
      </c>
      <c r="AC173" s="2"/>
      <c r="AD173" s="124">
        <v>2802.24</v>
      </c>
      <c r="AE173" s="2"/>
      <c r="AF173" s="2"/>
      <c r="AG173" s="2" t="s">
        <v>36</v>
      </c>
      <c r="AH173" s="140">
        <v>5.5170000000000002E-3</v>
      </c>
      <c r="AI173" s="140">
        <v>1.2333171183268401E-2</v>
      </c>
      <c r="AJ173" s="140">
        <v>2.02769785149334E-3</v>
      </c>
    </row>
    <row r="174" spans="1:36">
      <c r="A174" s="2">
        <v>301</v>
      </c>
      <c r="B174" s="2">
        <v>7210</v>
      </c>
      <c r="C174" s="2" t="s">
        <v>2007</v>
      </c>
      <c r="D174" s="2" t="s">
        <v>2008</v>
      </c>
      <c r="E174" s="3" t="s">
        <v>1330</v>
      </c>
      <c r="F174" s="2" t="s">
        <v>2009</v>
      </c>
      <c r="G174" s="2" t="s">
        <v>2010</v>
      </c>
      <c r="H174" s="2" t="s">
        <v>328</v>
      </c>
      <c r="I174" s="2" t="s">
        <v>976</v>
      </c>
      <c r="J174" s="2" t="s">
        <v>30</v>
      </c>
      <c r="K174" s="2" t="s">
        <v>30</v>
      </c>
      <c r="L174" s="2" t="s">
        <v>334</v>
      </c>
      <c r="M174" s="2" t="s">
        <v>45</v>
      </c>
      <c r="N174" s="2" t="s">
        <v>446</v>
      </c>
      <c r="O174" s="2" t="s">
        <v>139</v>
      </c>
      <c r="P174" s="2" t="s">
        <v>1783</v>
      </c>
      <c r="Q174" s="2" t="s">
        <v>422</v>
      </c>
      <c r="R174" s="2" t="s">
        <v>413</v>
      </c>
      <c r="S174" s="2" t="s">
        <v>34</v>
      </c>
      <c r="T174" s="124">
        <v>4.202</v>
      </c>
      <c r="U174" s="2" t="s">
        <v>2011</v>
      </c>
      <c r="V174" s="138">
        <v>6.7699999999999996E-2</v>
      </c>
      <c r="W174" s="140">
        <v>5.5649999999999998E-2</v>
      </c>
      <c r="X174" s="3" t="s">
        <v>419</v>
      </c>
      <c r="Y174" s="3" t="s">
        <v>139</v>
      </c>
      <c r="Z174" s="124">
        <v>2500000</v>
      </c>
      <c r="AA174" s="134">
        <v>1</v>
      </c>
      <c r="AB174" s="151">
        <v>105.34</v>
      </c>
      <c r="AC174" s="2"/>
      <c r="AD174" s="124">
        <v>2633.5</v>
      </c>
      <c r="AE174" s="2"/>
      <c r="AF174" s="2"/>
      <c r="AG174" s="2" t="s">
        <v>36</v>
      </c>
      <c r="AH174" s="140">
        <v>3.333E-3</v>
      </c>
      <c r="AI174" s="140">
        <v>1.1590515555818699E-2</v>
      </c>
      <c r="AJ174" s="140">
        <v>1.9055977688947801E-3</v>
      </c>
    </row>
    <row r="175" spans="1:36">
      <c r="A175" s="2">
        <v>301</v>
      </c>
      <c r="B175" s="2">
        <v>7210</v>
      </c>
      <c r="C175" s="2" t="s">
        <v>2012</v>
      </c>
      <c r="D175" s="2" t="s">
        <v>2013</v>
      </c>
      <c r="E175" s="3" t="s">
        <v>1330</v>
      </c>
      <c r="F175" s="2" t="s">
        <v>2014</v>
      </c>
      <c r="G175" s="2" t="s">
        <v>2015</v>
      </c>
      <c r="H175" s="2" t="s">
        <v>328</v>
      </c>
      <c r="I175" s="2" t="s">
        <v>976</v>
      </c>
      <c r="J175" s="2" t="s">
        <v>30</v>
      </c>
      <c r="K175" s="2" t="s">
        <v>30</v>
      </c>
      <c r="L175" s="2" t="s">
        <v>334</v>
      </c>
      <c r="M175" s="2" t="s">
        <v>45</v>
      </c>
      <c r="N175" s="2" t="s">
        <v>484</v>
      </c>
      <c r="O175" s="2" t="s">
        <v>139</v>
      </c>
      <c r="P175" s="2" t="s">
        <v>1719</v>
      </c>
      <c r="Q175" s="2" t="s">
        <v>420</v>
      </c>
      <c r="R175" s="2" t="s">
        <v>413</v>
      </c>
      <c r="S175" s="2" t="s">
        <v>34</v>
      </c>
      <c r="T175" s="124">
        <v>3.226</v>
      </c>
      <c r="U175" s="2" t="s">
        <v>2016</v>
      </c>
      <c r="V175" s="138">
        <v>4.5600000000000002E-2</v>
      </c>
      <c r="W175" s="140">
        <v>5.1310000000000001E-2</v>
      </c>
      <c r="X175" s="3" t="s">
        <v>419</v>
      </c>
      <c r="Y175" s="3" t="s">
        <v>139</v>
      </c>
      <c r="Z175" s="124">
        <v>1896774.89</v>
      </c>
      <c r="AA175" s="134">
        <v>1</v>
      </c>
      <c r="AB175" s="151">
        <v>98.63</v>
      </c>
      <c r="AC175" s="2"/>
      <c r="AD175" s="124">
        <v>1870.789</v>
      </c>
      <c r="AE175" s="2"/>
      <c r="AF175" s="2"/>
      <c r="AG175" s="2" t="s">
        <v>36</v>
      </c>
      <c r="AH175" s="140">
        <v>2.8470000000000001E-3</v>
      </c>
      <c r="AI175" s="140">
        <v>8.2336851581294203E-3</v>
      </c>
      <c r="AJ175" s="140">
        <v>1.3537009627873401E-3</v>
      </c>
    </row>
    <row r="176" spans="1:36">
      <c r="A176" s="2">
        <v>301</v>
      </c>
      <c r="B176" s="2">
        <v>7210</v>
      </c>
      <c r="C176" s="2" t="s">
        <v>2012</v>
      </c>
      <c r="D176" s="2" t="s">
        <v>2013</v>
      </c>
      <c r="E176" s="3" t="s">
        <v>1330</v>
      </c>
      <c r="F176" s="2" t="s">
        <v>2017</v>
      </c>
      <c r="G176" s="2" t="s">
        <v>2018</v>
      </c>
      <c r="H176" s="2" t="s">
        <v>328</v>
      </c>
      <c r="I176" s="2" t="s">
        <v>763</v>
      </c>
      <c r="J176" s="2" t="s">
        <v>30</v>
      </c>
      <c r="K176" s="2" t="s">
        <v>30</v>
      </c>
      <c r="L176" s="2" t="s">
        <v>334</v>
      </c>
      <c r="M176" s="2" t="s">
        <v>45</v>
      </c>
      <c r="N176" s="2" t="s">
        <v>484</v>
      </c>
      <c r="O176" s="2" t="s">
        <v>139</v>
      </c>
      <c r="P176" s="2" t="s">
        <v>1719</v>
      </c>
      <c r="Q176" s="2" t="s">
        <v>420</v>
      </c>
      <c r="R176" s="2" t="s">
        <v>413</v>
      </c>
      <c r="S176" s="2" t="s">
        <v>34</v>
      </c>
      <c r="T176" s="124">
        <v>3.395</v>
      </c>
      <c r="U176" s="2" t="s">
        <v>2016</v>
      </c>
      <c r="V176" s="138">
        <v>2.1999999999999999E-2</v>
      </c>
      <c r="W176" s="140">
        <v>2.8129999999999999E-2</v>
      </c>
      <c r="X176" s="3" t="s">
        <v>419</v>
      </c>
      <c r="Y176" s="3" t="s">
        <v>139</v>
      </c>
      <c r="Z176" s="124">
        <v>1960000.59</v>
      </c>
      <c r="AA176" s="134">
        <v>1</v>
      </c>
      <c r="AB176" s="151">
        <v>104.57</v>
      </c>
      <c r="AC176" s="2"/>
      <c r="AD176" s="124">
        <v>2049.5729999999999</v>
      </c>
      <c r="AE176" s="2"/>
      <c r="AF176" s="2"/>
      <c r="AG176" s="2" t="s">
        <v>36</v>
      </c>
      <c r="AH176" s="140">
        <v>3.1610000000000002E-3</v>
      </c>
      <c r="AI176" s="140">
        <v>9.0205442565747997E-3</v>
      </c>
      <c r="AJ176" s="140">
        <v>1.4830685422716999E-3</v>
      </c>
    </row>
    <row r="177" spans="1:36">
      <c r="A177" s="2">
        <v>301</v>
      </c>
      <c r="B177" s="2">
        <v>7210</v>
      </c>
      <c r="C177" s="2" t="s">
        <v>2019</v>
      </c>
      <c r="D177" s="2" t="s">
        <v>2020</v>
      </c>
      <c r="E177" s="3" t="s">
        <v>1330</v>
      </c>
      <c r="F177" s="2" t="s">
        <v>2021</v>
      </c>
      <c r="G177" s="2" t="s">
        <v>2022</v>
      </c>
      <c r="H177" s="2" t="s">
        <v>328</v>
      </c>
      <c r="I177" s="2" t="s">
        <v>764</v>
      </c>
      <c r="J177" s="2" t="s">
        <v>30</v>
      </c>
      <c r="K177" s="2" t="s">
        <v>30</v>
      </c>
      <c r="L177" s="2" t="s">
        <v>334</v>
      </c>
      <c r="M177" s="2" t="s">
        <v>45</v>
      </c>
      <c r="N177" s="2" t="s">
        <v>460</v>
      </c>
      <c r="O177" s="2" t="s">
        <v>139</v>
      </c>
      <c r="P177" s="2" t="s">
        <v>1725</v>
      </c>
      <c r="Q177" s="2" t="s">
        <v>422</v>
      </c>
      <c r="R177" s="2" t="s">
        <v>413</v>
      </c>
      <c r="S177" s="2" t="s">
        <v>34</v>
      </c>
      <c r="T177" s="124">
        <v>2.875</v>
      </c>
      <c r="U177" s="2" t="s">
        <v>2023</v>
      </c>
      <c r="V177" s="138">
        <v>4.6899999999999997E-2</v>
      </c>
      <c r="W177" s="140">
        <v>7.4120000000000005E-2</v>
      </c>
      <c r="X177" s="3" t="s">
        <v>419</v>
      </c>
      <c r="Y177" s="3" t="s">
        <v>139</v>
      </c>
      <c r="Z177" s="124">
        <v>5761381.2000000002</v>
      </c>
      <c r="AA177" s="134">
        <v>1</v>
      </c>
      <c r="AB177" s="151">
        <v>99.5</v>
      </c>
      <c r="AC177" s="2"/>
      <c r="AD177" s="124">
        <v>5732.5739999999996</v>
      </c>
      <c r="AE177" s="2"/>
      <c r="AF177" s="2"/>
      <c r="AG177" s="2" t="s">
        <v>36</v>
      </c>
      <c r="AH177" s="140">
        <v>5.0140000000000002E-3</v>
      </c>
      <c r="AI177" s="140">
        <v>2.5230108801782201E-2</v>
      </c>
      <c r="AJ177" s="140">
        <v>4.1480845964192003E-3</v>
      </c>
    </row>
    <row r="178" spans="1:36">
      <c r="A178" s="2">
        <v>301</v>
      </c>
      <c r="B178" s="2">
        <v>7210</v>
      </c>
      <c r="C178" s="2" t="s">
        <v>1175</v>
      </c>
      <c r="D178" s="2" t="s">
        <v>1627</v>
      </c>
      <c r="E178" s="3" t="s">
        <v>1330</v>
      </c>
      <c r="F178" s="2" t="s">
        <v>2024</v>
      </c>
      <c r="G178" s="2" t="s">
        <v>2025</v>
      </c>
      <c r="H178" s="2" t="s">
        <v>328</v>
      </c>
      <c r="I178" s="2" t="s">
        <v>764</v>
      </c>
      <c r="J178" s="2" t="s">
        <v>30</v>
      </c>
      <c r="K178" s="2" t="s">
        <v>30</v>
      </c>
      <c r="L178" s="2" t="s">
        <v>334</v>
      </c>
      <c r="M178" s="2" t="s">
        <v>31</v>
      </c>
      <c r="N178" s="2" t="s">
        <v>543</v>
      </c>
      <c r="O178" s="2" t="s">
        <v>139</v>
      </c>
      <c r="P178" s="2" t="s">
        <v>2026</v>
      </c>
      <c r="Q178" s="2" t="s">
        <v>439</v>
      </c>
      <c r="R178" s="2" t="s">
        <v>413</v>
      </c>
      <c r="S178" s="2" t="s">
        <v>105</v>
      </c>
      <c r="T178" s="124">
        <v>5.9640000000000004</v>
      </c>
      <c r="U178" s="2" t="s">
        <v>2027</v>
      </c>
      <c r="V178" s="138">
        <v>3.2550000000000003E-2</v>
      </c>
      <c r="W178" s="140">
        <v>6.5949999999999995E-2</v>
      </c>
      <c r="X178" s="3" t="s">
        <v>419</v>
      </c>
      <c r="Y178" s="3" t="s">
        <v>139</v>
      </c>
      <c r="Z178" s="124">
        <v>820000</v>
      </c>
      <c r="AA178" s="134">
        <v>3.6469999999999998</v>
      </c>
      <c r="AB178" s="151">
        <v>95.063000000000002</v>
      </c>
      <c r="AC178" s="2"/>
      <c r="AD178" s="124">
        <v>2842.886</v>
      </c>
      <c r="AE178" s="2"/>
      <c r="AF178" s="2"/>
      <c r="AG178" s="2" t="s">
        <v>36</v>
      </c>
      <c r="AH178" s="140">
        <v>8.1999999999999998E-4</v>
      </c>
      <c r="AI178" s="140">
        <v>1.25120609021844E-2</v>
      </c>
      <c r="AJ178" s="140">
        <v>2.0571091272560799E-3</v>
      </c>
    </row>
    <row r="179" spans="1:36">
      <c r="A179" s="2">
        <v>301</v>
      </c>
      <c r="B179" s="2">
        <v>7210</v>
      </c>
      <c r="C179" s="2" t="s">
        <v>1181</v>
      </c>
      <c r="D179" s="2" t="s">
        <v>1590</v>
      </c>
      <c r="E179" s="3" t="s">
        <v>1330</v>
      </c>
      <c r="F179" s="2" t="s">
        <v>2028</v>
      </c>
      <c r="G179" s="2" t="s">
        <v>2029</v>
      </c>
      <c r="H179" s="2" t="s">
        <v>328</v>
      </c>
      <c r="I179" s="2" t="s">
        <v>764</v>
      </c>
      <c r="J179" s="2" t="s">
        <v>30</v>
      </c>
      <c r="K179" s="2" t="s">
        <v>30</v>
      </c>
      <c r="L179" s="2" t="s">
        <v>334</v>
      </c>
      <c r="M179" s="2" t="s">
        <v>31</v>
      </c>
      <c r="N179" s="2" t="s">
        <v>543</v>
      </c>
      <c r="O179" s="2" t="s">
        <v>139</v>
      </c>
      <c r="P179" s="2" t="s">
        <v>2026</v>
      </c>
      <c r="Q179" s="2" t="s">
        <v>439</v>
      </c>
      <c r="R179" s="2" t="s">
        <v>413</v>
      </c>
      <c r="S179" s="2" t="s">
        <v>105</v>
      </c>
      <c r="T179" s="124">
        <v>5.2160000000000002</v>
      </c>
      <c r="U179" s="2" t="s">
        <v>2030</v>
      </c>
      <c r="V179" s="138">
        <v>3.2750000000000001E-2</v>
      </c>
      <c r="W179" s="140">
        <v>6.3509999999999997E-2</v>
      </c>
      <c r="X179" s="3" t="s">
        <v>419</v>
      </c>
      <c r="Y179" s="3" t="s">
        <v>139</v>
      </c>
      <c r="Z179" s="124">
        <v>933000</v>
      </c>
      <c r="AA179" s="134">
        <v>3.6469999999999998</v>
      </c>
      <c r="AB179" s="151">
        <v>97.311000000000007</v>
      </c>
      <c r="AC179" s="2"/>
      <c r="AD179" s="124">
        <v>3311.163</v>
      </c>
      <c r="AE179" s="2"/>
      <c r="AF179" s="2"/>
      <c r="AG179" s="2" t="s">
        <v>36</v>
      </c>
      <c r="AH179" s="140">
        <v>1.2440000000000001E-3</v>
      </c>
      <c r="AI179" s="140">
        <v>1.4573034780643999E-2</v>
      </c>
      <c r="AJ179" s="140">
        <v>2.39595403934209E-3</v>
      </c>
    </row>
    <row r="180" spans="1:36">
      <c r="A180" s="2">
        <v>301</v>
      </c>
      <c r="B180" s="2">
        <v>7210</v>
      </c>
      <c r="C180" s="2" t="s">
        <v>1592</v>
      </c>
      <c r="D180" s="2" t="s">
        <v>1593</v>
      </c>
      <c r="E180" s="3" t="s">
        <v>1330</v>
      </c>
      <c r="F180" s="2" t="s">
        <v>2031</v>
      </c>
      <c r="G180" s="2" t="s">
        <v>2032</v>
      </c>
      <c r="H180" s="2" t="s">
        <v>328</v>
      </c>
      <c r="I180" s="2" t="s">
        <v>764</v>
      </c>
      <c r="J180" s="2" t="s">
        <v>100</v>
      </c>
      <c r="K180" s="2" t="s">
        <v>30</v>
      </c>
      <c r="L180" s="2" t="s">
        <v>334</v>
      </c>
      <c r="M180" s="2" t="s">
        <v>109</v>
      </c>
      <c r="N180" s="2" t="s">
        <v>543</v>
      </c>
      <c r="O180" s="2" t="s">
        <v>139</v>
      </c>
      <c r="P180" s="2" t="s">
        <v>2026</v>
      </c>
      <c r="Q180" s="2" t="s">
        <v>439</v>
      </c>
      <c r="R180" s="2" t="s">
        <v>413</v>
      </c>
      <c r="S180" s="2" t="s">
        <v>105</v>
      </c>
      <c r="T180" s="124">
        <v>5.3739999999999997</v>
      </c>
      <c r="U180" s="2" t="s">
        <v>2033</v>
      </c>
      <c r="V180" s="138">
        <v>3.0769999999999999E-2</v>
      </c>
      <c r="W180" s="140">
        <v>6.7519999999999997E-2</v>
      </c>
      <c r="X180" s="3" t="s">
        <v>419</v>
      </c>
      <c r="Y180" s="3" t="s">
        <v>139</v>
      </c>
      <c r="Z180" s="124">
        <v>333000</v>
      </c>
      <c r="AA180" s="134">
        <v>3.6469999999999998</v>
      </c>
      <c r="AB180" s="151">
        <v>95.997</v>
      </c>
      <c r="AC180" s="2"/>
      <c r="AD180" s="124">
        <v>1165.836</v>
      </c>
      <c r="AE180" s="2"/>
      <c r="AF180" s="2"/>
      <c r="AG180" s="2" t="s">
        <v>36</v>
      </c>
      <c r="AH180" s="140">
        <v>5.5500000000000005E-4</v>
      </c>
      <c r="AI180" s="140">
        <v>5.1310556516478197E-3</v>
      </c>
      <c r="AJ180" s="140">
        <v>8.4359734946789198E-4</v>
      </c>
    </row>
    <row r="181" spans="1:36">
      <c r="A181" s="2">
        <v>301</v>
      </c>
      <c r="B181" s="2">
        <v>7211</v>
      </c>
      <c r="C181" s="2" t="s">
        <v>1715</v>
      </c>
      <c r="D181" s="2" t="s">
        <v>1716</v>
      </c>
      <c r="E181" s="3" t="s">
        <v>1330</v>
      </c>
      <c r="F181" s="2" t="s">
        <v>1717</v>
      </c>
      <c r="G181" s="2" t="s">
        <v>1718</v>
      </c>
      <c r="H181" s="2" t="s">
        <v>328</v>
      </c>
      <c r="I181" s="2" t="s">
        <v>763</v>
      </c>
      <c r="J181" s="2" t="s">
        <v>30</v>
      </c>
      <c r="K181" s="2" t="s">
        <v>30</v>
      </c>
      <c r="L181" s="2" t="s">
        <v>334</v>
      </c>
      <c r="M181" s="2" t="s">
        <v>45</v>
      </c>
      <c r="N181" s="2" t="s">
        <v>470</v>
      </c>
      <c r="O181" s="2" t="s">
        <v>139</v>
      </c>
      <c r="P181" s="2" t="s">
        <v>1719</v>
      </c>
      <c r="Q181" s="2" t="s">
        <v>420</v>
      </c>
      <c r="R181" s="2" t="s">
        <v>413</v>
      </c>
      <c r="S181" s="2" t="s">
        <v>34</v>
      </c>
      <c r="T181" s="124">
        <v>1.9319999999999999</v>
      </c>
      <c r="U181" s="2" t="s">
        <v>1720</v>
      </c>
      <c r="V181" s="138">
        <v>2.3400000000000001E-2</v>
      </c>
      <c r="W181" s="140">
        <v>2.674E-2</v>
      </c>
      <c r="X181" s="3" t="s">
        <v>419</v>
      </c>
      <c r="Y181" s="3" t="s">
        <v>139</v>
      </c>
      <c r="Z181" s="124">
        <v>65851.850000000006</v>
      </c>
      <c r="AA181" s="134">
        <v>1</v>
      </c>
      <c r="AB181" s="151">
        <v>116.51</v>
      </c>
      <c r="AC181" s="2"/>
      <c r="AD181" s="124">
        <v>76.724000000000004</v>
      </c>
      <c r="AE181" s="2"/>
      <c r="AF181" s="2"/>
      <c r="AG181" s="2" t="s">
        <v>36</v>
      </c>
      <c r="AH181" s="140">
        <v>3.1000000000000001E-5</v>
      </c>
      <c r="AI181" s="140">
        <v>1.5244981877117401E-2</v>
      </c>
      <c r="AJ181" s="140">
        <v>3.5927782059557399E-3</v>
      </c>
    </row>
    <row r="182" spans="1:36">
      <c r="A182" s="2">
        <v>301</v>
      </c>
      <c r="B182" s="2">
        <v>7211</v>
      </c>
      <c r="C182" s="2" t="s">
        <v>1721</v>
      </c>
      <c r="D182" s="2" t="s">
        <v>1722</v>
      </c>
      <c r="E182" s="3" t="s">
        <v>1330</v>
      </c>
      <c r="F182" s="2" t="s">
        <v>1723</v>
      </c>
      <c r="G182" s="2" t="s">
        <v>1724</v>
      </c>
      <c r="H182" s="2" t="s">
        <v>328</v>
      </c>
      <c r="I182" s="2" t="s">
        <v>763</v>
      </c>
      <c r="J182" s="2" t="s">
        <v>30</v>
      </c>
      <c r="K182" s="2" t="s">
        <v>30</v>
      </c>
      <c r="L182" s="2" t="s">
        <v>334</v>
      </c>
      <c r="M182" s="2" t="s">
        <v>45</v>
      </c>
      <c r="N182" s="2" t="s">
        <v>484</v>
      </c>
      <c r="O182" s="2" t="s">
        <v>139</v>
      </c>
      <c r="P182" s="2" t="s">
        <v>1725</v>
      </c>
      <c r="Q182" s="2" t="s">
        <v>420</v>
      </c>
      <c r="R182" s="2" t="s">
        <v>413</v>
      </c>
      <c r="S182" s="2" t="s">
        <v>34</v>
      </c>
      <c r="T182" s="124">
        <v>1.681</v>
      </c>
      <c r="U182" s="2" t="s">
        <v>1726</v>
      </c>
      <c r="V182" s="138">
        <v>3.2000000000000001E-2</v>
      </c>
      <c r="W182" s="140">
        <v>3.1660000000000001E-2</v>
      </c>
      <c r="X182" s="3" t="s">
        <v>419</v>
      </c>
      <c r="Y182" s="3" t="s">
        <v>139</v>
      </c>
      <c r="Z182" s="124">
        <v>16800</v>
      </c>
      <c r="AA182" s="134">
        <v>1</v>
      </c>
      <c r="AB182" s="151">
        <v>107.55</v>
      </c>
      <c r="AC182" s="2"/>
      <c r="AD182" s="124">
        <v>18.068000000000001</v>
      </c>
      <c r="AE182" s="2"/>
      <c r="AF182" s="2"/>
      <c r="AG182" s="2" t="s">
        <v>36</v>
      </c>
      <c r="AH182" s="140">
        <v>2.1999999999999999E-5</v>
      </c>
      <c r="AI182" s="140">
        <v>3.5901734123418602E-3</v>
      </c>
      <c r="AJ182" s="140">
        <v>8.4609459659800703E-4</v>
      </c>
    </row>
    <row r="183" spans="1:36">
      <c r="A183" s="2">
        <v>301</v>
      </c>
      <c r="B183" s="2">
        <v>7211</v>
      </c>
      <c r="C183" s="2" t="s">
        <v>1721</v>
      </c>
      <c r="D183" s="2" t="s">
        <v>1722</v>
      </c>
      <c r="E183" s="3" t="s">
        <v>1330</v>
      </c>
      <c r="F183" s="2" t="s">
        <v>1727</v>
      </c>
      <c r="G183" s="2" t="s">
        <v>1728</v>
      </c>
      <c r="H183" s="2" t="s">
        <v>328</v>
      </c>
      <c r="I183" s="2" t="s">
        <v>976</v>
      </c>
      <c r="J183" s="2" t="s">
        <v>30</v>
      </c>
      <c r="K183" s="2" t="s">
        <v>30</v>
      </c>
      <c r="L183" s="2" t="s">
        <v>334</v>
      </c>
      <c r="M183" s="2" t="s">
        <v>45</v>
      </c>
      <c r="N183" s="2" t="s">
        <v>484</v>
      </c>
      <c r="O183" s="2" t="s">
        <v>139</v>
      </c>
      <c r="P183" s="2" t="s">
        <v>1725</v>
      </c>
      <c r="Q183" s="2" t="s">
        <v>420</v>
      </c>
      <c r="R183" s="2" t="s">
        <v>413</v>
      </c>
      <c r="S183" s="2" t="s">
        <v>34</v>
      </c>
      <c r="T183" s="124">
        <v>1.732</v>
      </c>
      <c r="U183" s="2" t="s">
        <v>1729</v>
      </c>
      <c r="V183" s="138">
        <v>5.7000000000000002E-2</v>
      </c>
      <c r="W183" s="140">
        <v>5.4859999999999999E-2</v>
      </c>
      <c r="X183" s="3" t="s">
        <v>419</v>
      </c>
      <c r="Y183" s="3" t="s">
        <v>139</v>
      </c>
      <c r="Z183" s="124">
        <v>17500</v>
      </c>
      <c r="AA183" s="134">
        <v>1</v>
      </c>
      <c r="AB183" s="151">
        <v>100.74</v>
      </c>
      <c r="AC183" s="2"/>
      <c r="AD183" s="124">
        <v>17.63</v>
      </c>
      <c r="AE183" s="2"/>
      <c r="AF183" s="2"/>
      <c r="AG183" s="2" t="s">
        <v>36</v>
      </c>
      <c r="AH183" s="140">
        <v>1.9000000000000001E-5</v>
      </c>
      <c r="AI183" s="140">
        <v>3.50296441150743E-3</v>
      </c>
      <c r="AJ183" s="140">
        <v>8.2554208954442999E-4</v>
      </c>
    </row>
    <row r="184" spans="1:36">
      <c r="A184" s="2">
        <v>301</v>
      </c>
      <c r="B184" s="2">
        <v>7211</v>
      </c>
      <c r="C184" s="2" t="s">
        <v>1730</v>
      </c>
      <c r="D184" s="2" t="s">
        <v>1731</v>
      </c>
      <c r="E184" s="3" t="s">
        <v>1330</v>
      </c>
      <c r="F184" s="2" t="s">
        <v>1732</v>
      </c>
      <c r="G184" s="2" t="s">
        <v>1733</v>
      </c>
      <c r="H184" s="2" t="s">
        <v>328</v>
      </c>
      <c r="I184" s="2" t="s">
        <v>763</v>
      </c>
      <c r="J184" s="2" t="s">
        <v>30</v>
      </c>
      <c r="K184" s="2" t="s">
        <v>30</v>
      </c>
      <c r="L184" s="2" t="s">
        <v>334</v>
      </c>
      <c r="M184" s="2" t="s">
        <v>45</v>
      </c>
      <c r="N184" s="2" t="s">
        <v>484</v>
      </c>
      <c r="O184" s="2" t="s">
        <v>139</v>
      </c>
      <c r="P184" s="2" t="s">
        <v>1725</v>
      </c>
      <c r="Q184" s="2" t="s">
        <v>420</v>
      </c>
      <c r="R184" s="2" t="s">
        <v>413</v>
      </c>
      <c r="S184" s="2" t="s">
        <v>34</v>
      </c>
      <c r="T184" s="124">
        <v>2.6259999999999999</v>
      </c>
      <c r="U184" s="2" t="s">
        <v>1734</v>
      </c>
      <c r="V184" s="138">
        <v>3.2300000000000002E-2</v>
      </c>
      <c r="W184" s="140">
        <v>2.9780000000000001E-2</v>
      </c>
      <c r="X184" s="3" t="s">
        <v>419</v>
      </c>
      <c r="Y184" s="3" t="s">
        <v>139</v>
      </c>
      <c r="Z184" s="124">
        <v>21840</v>
      </c>
      <c r="AA184" s="134">
        <v>1</v>
      </c>
      <c r="AB184" s="151">
        <v>108.49</v>
      </c>
      <c r="AC184" s="2"/>
      <c r="AD184" s="124">
        <v>23.693999999999999</v>
      </c>
      <c r="AE184" s="2"/>
      <c r="AF184" s="2"/>
      <c r="AG184" s="2" t="s">
        <v>36</v>
      </c>
      <c r="AH184" s="140">
        <v>4.1999999999999998E-5</v>
      </c>
      <c r="AI184" s="140">
        <v>4.7080175505017103E-3</v>
      </c>
      <c r="AJ184" s="140">
        <v>1.1095364353360599E-3</v>
      </c>
    </row>
    <row r="185" spans="1:36">
      <c r="A185" s="2">
        <v>301</v>
      </c>
      <c r="B185" s="2">
        <v>7211</v>
      </c>
      <c r="C185" s="2" t="s">
        <v>1542</v>
      </c>
      <c r="D185" s="2" t="s">
        <v>1543</v>
      </c>
      <c r="E185" s="3" t="s">
        <v>1330</v>
      </c>
      <c r="F185" s="2" t="s">
        <v>1735</v>
      </c>
      <c r="G185" s="2" t="s">
        <v>1736</v>
      </c>
      <c r="H185" s="2" t="s">
        <v>328</v>
      </c>
      <c r="I185" s="2" t="s">
        <v>763</v>
      </c>
      <c r="J185" s="2" t="s">
        <v>30</v>
      </c>
      <c r="K185" s="2" t="s">
        <v>30</v>
      </c>
      <c r="L185" s="2" t="s">
        <v>334</v>
      </c>
      <c r="M185" s="2" t="s">
        <v>45</v>
      </c>
      <c r="N185" s="2" t="s">
        <v>470</v>
      </c>
      <c r="O185" s="2" t="s">
        <v>139</v>
      </c>
      <c r="P185" s="2" t="s">
        <v>1437</v>
      </c>
      <c r="Q185" s="2" t="s">
        <v>420</v>
      </c>
      <c r="R185" s="2" t="s">
        <v>413</v>
      </c>
      <c r="S185" s="2" t="s">
        <v>34</v>
      </c>
      <c r="T185" s="124">
        <v>6.7370000000000001</v>
      </c>
      <c r="U185" s="2" t="s">
        <v>1737</v>
      </c>
      <c r="V185" s="138">
        <v>2.5600000000000001E-2</v>
      </c>
      <c r="W185" s="140">
        <v>3.4340000000000002E-2</v>
      </c>
      <c r="X185" s="3" t="s">
        <v>419</v>
      </c>
      <c r="Y185" s="3" t="s">
        <v>139</v>
      </c>
      <c r="Z185" s="124">
        <v>40000</v>
      </c>
      <c r="AA185" s="134">
        <v>1</v>
      </c>
      <c r="AB185" s="151">
        <v>103.64</v>
      </c>
      <c r="AC185" s="2"/>
      <c r="AD185" s="124">
        <v>41.456000000000003</v>
      </c>
      <c r="AE185" s="2"/>
      <c r="AF185" s="2"/>
      <c r="AG185" s="2" t="s">
        <v>36</v>
      </c>
      <c r="AH185" s="140">
        <v>3.8000000000000002E-5</v>
      </c>
      <c r="AI185" s="140">
        <v>8.2372666634590898E-3</v>
      </c>
      <c r="AJ185" s="140">
        <v>1.9412730289658699E-3</v>
      </c>
    </row>
    <row r="186" spans="1:36">
      <c r="A186" s="2">
        <v>301</v>
      </c>
      <c r="B186" s="2">
        <v>7211</v>
      </c>
      <c r="C186" s="2" t="s">
        <v>1542</v>
      </c>
      <c r="D186" s="2" t="s">
        <v>1543</v>
      </c>
      <c r="E186" s="3" t="s">
        <v>1330</v>
      </c>
      <c r="F186" s="2" t="s">
        <v>1738</v>
      </c>
      <c r="G186" s="2" t="s">
        <v>1739</v>
      </c>
      <c r="H186" s="2" t="s">
        <v>328</v>
      </c>
      <c r="I186" s="2" t="s">
        <v>976</v>
      </c>
      <c r="J186" s="2" t="s">
        <v>30</v>
      </c>
      <c r="K186" s="2" t="s">
        <v>30</v>
      </c>
      <c r="L186" s="2" t="s">
        <v>334</v>
      </c>
      <c r="M186" s="2" t="s">
        <v>45</v>
      </c>
      <c r="N186" s="2" t="s">
        <v>470</v>
      </c>
      <c r="O186" s="2" t="s">
        <v>139</v>
      </c>
      <c r="P186" s="2" t="s">
        <v>1437</v>
      </c>
      <c r="Q186" s="2" t="s">
        <v>420</v>
      </c>
      <c r="R186" s="2" t="s">
        <v>413</v>
      </c>
      <c r="S186" s="2" t="s">
        <v>34</v>
      </c>
      <c r="T186" s="124">
        <v>4.0880000000000001</v>
      </c>
      <c r="U186" s="2" t="s">
        <v>1740</v>
      </c>
      <c r="V186" s="138">
        <v>2.41E-2</v>
      </c>
      <c r="W186" s="140">
        <v>5.2479999999999999E-2</v>
      </c>
      <c r="X186" s="3" t="s">
        <v>419</v>
      </c>
      <c r="Y186" s="3" t="s">
        <v>139</v>
      </c>
      <c r="Z186" s="124">
        <v>85950</v>
      </c>
      <c r="AA186" s="134">
        <v>1</v>
      </c>
      <c r="AB186" s="151">
        <v>91.16</v>
      </c>
      <c r="AC186" s="2"/>
      <c r="AD186" s="124">
        <v>78.352000000000004</v>
      </c>
      <c r="AE186" s="2"/>
      <c r="AF186" s="2"/>
      <c r="AG186" s="2" t="s">
        <v>36</v>
      </c>
      <c r="AH186" s="140">
        <v>4.1999999999999998E-5</v>
      </c>
      <c r="AI186" s="140">
        <v>1.5568469759761699E-2</v>
      </c>
      <c r="AJ186" s="140">
        <v>3.66901445366159E-3</v>
      </c>
    </row>
    <row r="187" spans="1:36">
      <c r="A187" s="2">
        <v>301</v>
      </c>
      <c r="B187" s="2">
        <v>7211</v>
      </c>
      <c r="C187" s="2" t="s">
        <v>1741</v>
      </c>
      <c r="D187" s="2" t="s">
        <v>1742</v>
      </c>
      <c r="E187" s="3" t="s">
        <v>1330</v>
      </c>
      <c r="F187" s="2" t="s">
        <v>1743</v>
      </c>
      <c r="G187" s="2" t="s">
        <v>1744</v>
      </c>
      <c r="H187" s="2" t="s">
        <v>328</v>
      </c>
      <c r="I187" s="2" t="s">
        <v>976</v>
      </c>
      <c r="J187" s="2" t="s">
        <v>30</v>
      </c>
      <c r="K187" s="2" t="s">
        <v>30</v>
      </c>
      <c r="L187" s="2" t="s">
        <v>334</v>
      </c>
      <c r="M187" s="2" t="s">
        <v>45</v>
      </c>
      <c r="N187" s="2" t="s">
        <v>457</v>
      </c>
      <c r="O187" s="2" t="s">
        <v>139</v>
      </c>
      <c r="P187" s="2" t="s">
        <v>1725</v>
      </c>
      <c r="Q187" s="2" t="s">
        <v>420</v>
      </c>
      <c r="R187" s="2" t="s">
        <v>413</v>
      </c>
      <c r="S187" s="2" t="s">
        <v>34</v>
      </c>
      <c r="T187" s="124">
        <v>2.7090000000000001</v>
      </c>
      <c r="U187" s="2" t="s">
        <v>1745</v>
      </c>
      <c r="V187" s="138">
        <v>0.04</v>
      </c>
      <c r="W187" s="140">
        <v>5.1769999999999997E-2</v>
      </c>
      <c r="X187" s="3" t="s">
        <v>419</v>
      </c>
      <c r="Y187" s="3" t="s">
        <v>139</v>
      </c>
      <c r="Z187" s="124">
        <v>50000</v>
      </c>
      <c r="AA187" s="134">
        <v>1</v>
      </c>
      <c r="AB187" s="151">
        <v>98.91</v>
      </c>
      <c r="AC187" s="2"/>
      <c r="AD187" s="124">
        <v>49.454999999999998</v>
      </c>
      <c r="AE187" s="2"/>
      <c r="AF187" s="2"/>
      <c r="AG187" s="2" t="s">
        <v>36</v>
      </c>
      <c r="AH187" s="140">
        <v>7.3999999999999996E-5</v>
      </c>
      <c r="AI187" s="140">
        <v>9.8266601418701607E-3</v>
      </c>
      <c r="AJ187" s="140">
        <v>2.3158446943146302E-3</v>
      </c>
    </row>
    <row r="188" spans="1:36">
      <c r="A188" s="2">
        <v>301</v>
      </c>
      <c r="B188" s="2">
        <v>7211</v>
      </c>
      <c r="C188" s="2" t="s">
        <v>1546</v>
      </c>
      <c r="D188" s="2" t="s">
        <v>1547</v>
      </c>
      <c r="E188" s="3" t="s">
        <v>1330</v>
      </c>
      <c r="F188" s="2" t="s">
        <v>1746</v>
      </c>
      <c r="G188" s="2" t="s">
        <v>1747</v>
      </c>
      <c r="H188" s="2" t="s">
        <v>328</v>
      </c>
      <c r="I188" s="2" t="s">
        <v>763</v>
      </c>
      <c r="J188" s="2" t="s">
        <v>30</v>
      </c>
      <c r="K188" s="2" t="s">
        <v>30</v>
      </c>
      <c r="L188" s="2" t="s">
        <v>334</v>
      </c>
      <c r="M188" s="2" t="s">
        <v>45</v>
      </c>
      <c r="N188" s="2" t="s">
        <v>470</v>
      </c>
      <c r="O188" s="2" t="s">
        <v>139</v>
      </c>
      <c r="P188" s="2" t="s">
        <v>1719</v>
      </c>
      <c r="Q188" s="2" t="s">
        <v>420</v>
      </c>
      <c r="R188" s="2" t="s">
        <v>413</v>
      </c>
      <c r="S188" s="2" t="s">
        <v>34</v>
      </c>
      <c r="T188" s="124">
        <v>1.929</v>
      </c>
      <c r="U188" s="2" t="s">
        <v>1748</v>
      </c>
      <c r="V188" s="138">
        <v>3.2000000000000001E-2</v>
      </c>
      <c r="W188" s="140">
        <v>2.4420000000000001E-2</v>
      </c>
      <c r="X188" s="3" t="s">
        <v>419</v>
      </c>
      <c r="Y188" s="3" t="s">
        <v>139</v>
      </c>
      <c r="Z188" s="124">
        <v>30000</v>
      </c>
      <c r="AA188" s="134">
        <v>1</v>
      </c>
      <c r="AB188" s="151">
        <v>118.5</v>
      </c>
      <c r="AC188" s="2"/>
      <c r="AD188" s="124">
        <v>35.549999999999997</v>
      </c>
      <c r="AE188" s="2"/>
      <c r="AF188" s="2"/>
      <c r="AG188" s="2" t="s">
        <v>36</v>
      </c>
      <c r="AH188" s="140">
        <v>5.3999999999999998E-5</v>
      </c>
      <c r="AI188" s="140">
        <v>7.0637502384690003E-3</v>
      </c>
      <c r="AJ188" s="140">
        <v>1.66471092675938E-3</v>
      </c>
    </row>
    <row r="189" spans="1:36">
      <c r="A189" s="2">
        <v>301</v>
      </c>
      <c r="B189" s="2">
        <v>7211</v>
      </c>
      <c r="C189" s="2" t="s">
        <v>1546</v>
      </c>
      <c r="D189" s="2" t="s">
        <v>1547</v>
      </c>
      <c r="E189" s="3" t="s">
        <v>1330</v>
      </c>
      <c r="F189" s="2" t="s">
        <v>1749</v>
      </c>
      <c r="G189" s="2" t="s">
        <v>1750</v>
      </c>
      <c r="H189" s="2" t="s">
        <v>328</v>
      </c>
      <c r="I189" s="2" t="s">
        <v>763</v>
      </c>
      <c r="J189" s="2" t="s">
        <v>30</v>
      </c>
      <c r="K189" s="2" t="s">
        <v>30</v>
      </c>
      <c r="L189" s="2" t="s">
        <v>334</v>
      </c>
      <c r="M189" s="2" t="s">
        <v>45</v>
      </c>
      <c r="N189" s="2" t="s">
        <v>470</v>
      </c>
      <c r="O189" s="2" t="s">
        <v>139</v>
      </c>
      <c r="P189" s="2" t="s">
        <v>1719</v>
      </c>
      <c r="Q189" s="2" t="s">
        <v>420</v>
      </c>
      <c r="R189" s="2" t="s">
        <v>413</v>
      </c>
      <c r="S189" s="2" t="s">
        <v>34</v>
      </c>
      <c r="T189" s="124">
        <v>3.0760000000000001</v>
      </c>
      <c r="U189" s="2" t="s">
        <v>1751</v>
      </c>
      <c r="V189" s="138">
        <v>1.14E-2</v>
      </c>
      <c r="W189" s="140">
        <v>2.725E-2</v>
      </c>
      <c r="X189" s="3" t="s">
        <v>419</v>
      </c>
      <c r="Y189" s="3" t="s">
        <v>139</v>
      </c>
      <c r="Z189" s="124">
        <v>80000</v>
      </c>
      <c r="AA189" s="134">
        <v>1</v>
      </c>
      <c r="AB189" s="151">
        <v>108.5</v>
      </c>
      <c r="AC189" s="2"/>
      <c r="AD189" s="124">
        <v>86.8</v>
      </c>
      <c r="AE189" s="2"/>
      <c r="AF189" s="2"/>
      <c r="AG189" s="2" t="s">
        <v>36</v>
      </c>
      <c r="AH189" s="140">
        <v>3.4E-5</v>
      </c>
      <c r="AI189" s="140">
        <v>1.7247075125150699E-2</v>
      </c>
      <c r="AJ189" s="140">
        <v>4.0646106453646703E-3</v>
      </c>
    </row>
    <row r="190" spans="1:36">
      <c r="A190" s="2">
        <v>301</v>
      </c>
      <c r="B190" s="2">
        <v>7211</v>
      </c>
      <c r="C190" s="2" t="s">
        <v>1546</v>
      </c>
      <c r="D190" s="2" t="s">
        <v>1547</v>
      </c>
      <c r="E190" s="3" t="s">
        <v>1330</v>
      </c>
      <c r="F190" s="2" t="s">
        <v>1752</v>
      </c>
      <c r="G190" s="2" t="s">
        <v>1753</v>
      </c>
      <c r="H190" s="2" t="s">
        <v>328</v>
      </c>
      <c r="I190" s="2" t="s">
        <v>763</v>
      </c>
      <c r="J190" s="2" t="s">
        <v>30</v>
      </c>
      <c r="K190" s="2" t="s">
        <v>30</v>
      </c>
      <c r="L190" s="2" t="s">
        <v>334</v>
      </c>
      <c r="M190" s="2" t="s">
        <v>45</v>
      </c>
      <c r="N190" s="2" t="s">
        <v>470</v>
      </c>
      <c r="O190" s="2" t="s">
        <v>139</v>
      </c>
      <c r="P190" s="2" t="s">
        <v>1719</v>
      </c>
      <c r="Q190" s="2" t="s">
        <v>420</v>
      </c>
      <c r="R190" s="2" t="s">
        <v>413</v>
      </c>
      <c r="S190" s="2" t="s">
        <v>34</v>
      </c>
      <c r="T190" s="124">
        <v>5.3639999999999999</v>
      </c>
      <c r="U190" s="2" t="s">
        <v>1445</v>
      </c>
      <c r="V190" s="138">
        <v>9.1999999999999998E-3</v>
      </c>
      <c r="W190" s="140">
        <v>2.8989999999999998E-2</v>
      </c>
      <c r="X190" s="3" t="s">
        <v>419</v>
      </c>
      <c r="Y190" s="3" t="s">
        <v>139</v>
      </c>
      <c r="Z190" s="124">
        <v>74750</v>
      </c>
      <c r="AA190" s="134">
        <v>1</v>
      </c>
      <c r="AB190" s="151">
        <v>103.99</v>
      </c>
      <c r="AC190" s="124">
        <v>0.79400000000000004</v>
      </c>
      <c r="AD190" s="124">
        <v>78.527000000000001</v>
      </c>
      <c r="AE190" s="2"/>
      <c r="AF190" s="2"/>
      <c r="AG190" s="2" t="s">
        <v>36</v>
      </c>
      <c r="AH190" s="140">
        <v>2.9E-5</v>
      </c>
      <c r="AI190" s="140">
        <v>1.5603147706607499E-2</v>
      </c>
      <c r="AJ190" s="140">
        <v>3.6771869902155301E-3</v>
      </c>
    </row>
    <row r="191" spans="1:36">
      <c r="A191" s="2">
        <v>301</v>
      </c>
      <c r="B191" s="2">
        <v>7211</v>
      </c>
      <c r="C191" s="2" t="s">
        <v>1550</v>
      </c>
      <c r="D191" s="2" t="s">
        <v>1551</v>
      </c>
      <c r="E191" s="3" t="s">
        <v>1330</v>
      </c>
      <c r="F191" s="2" t="s">
        <v>1754</v>
      </c>
      <c r="G191" s="2" t="s">
        <v>1755</v>
      </c>
      <c r="H191" s="2" t="s">
        <v>328</v>
      </c>
      <c r="I191" s="2" t="s">
        <v>976</v>
      </c>
      <c r="J191" s="2" t="s">
        <v>30</v>
      </c>
      <c r="K191" s="2" t="s">
        <v>101</v>
      </c>
      <c r="L191" s="2" t="s">
        <v>334</v>
      </c>
      <c r="M191" s="2" t="s">
        <v>45</v>
      </c>
      <c r="N191" s="2" t="s">
        <v>447</v>
      </c>
      <c r="O191" s="2" t="s">
        <v>139</v>
      </c>
      <c r="P191" s="2" t="s">
        <v>1395</v>
      </c>
      <c r="Q191" s="2" t="s">
        <v>422</v>
      </c>
      <c r="R191" s="2" t="s">
        <v>413</v>
      </c>
      <c r="S191" s="2" t="s">
        <v>34</v>
      </c>
      <c r="T191" s="124">
        <v>1.4850000000000001</v>
      </c>
      <c r="U191" s="2" t="s">
        <v>1756</v>
      </c>
      <c r="V191" s="138">
        <v>3.4500000000000003E-2</v>
      </c>
      <c r="W191" s="140">
        <v>5.194E-2</v>
      </c>
      <c r="X191" s="3" t="s">
        <v>419</v>
      </c>
      <c r="Y191" s="3" t="s">
        <v>139</v>
      </c>
      <c r="Z191" s="124">
        <v>57352.94</v>
      </c>
      <c r="AA191" s="134">
        <v>1</v>
      </c>
      <c r="AB191" s="151">
        <v>98.71</v>
      </c>
      <c r="AC191" s="2"/>
      <c r="AD191" s="124">
        <v>56.613</v>
      </c>
      <c r="AE191" s="2"/>
      <c r="AF191" s="2"/>
      <c r="AG191" s="2" t="s">
        <v>36</v>
      </c>
      <c r="AH191" s="140">
        <v>8.8999999999999995E-5</v>
      </c>
      <c r="AI191" s="140">
        <v>1.1248965044147199E-2</v>
      </c>
      <c r="AJ191" s="140">
        <v>2.6510386680638001E-3</v>
      </c>
    </row>
    <row r="192" spans="1:36">
      <c r="A192" s="2">
        <v>301</v>
      </c>
      <c r="B192" s="2">
        <v>7211</v>
      </c>
      <c r="C192" s="2" t="s">
        <v>1550</v>
      </c>
      <c r="D192" s="2" t="s">
        <v>1551</v>
      </c>
      <c r="E192" s="3" t="s">
        <v>1330</v>
      </c>
      <c r="F192" s="2" t="s">
        <v>1757</v>
      </c>
      <c r="G192" s="2" t="s">
        <v>1758</v>
      </c>
      <c r="H192" s="2" t="s">
        <v>328</v>
      </c>
      <c r="I192" s="2" t="s">
        <v>976</v>
      </c>
      <c r="J192" s="2" t="s">
        <v>30</v>
      </c>
      <c r="K192" s="2" t="s">
        <v>101</v>
      </c>
      <c r="L192" s="2" t="s">
        <v>334</v>
      </c>
      <c r="M192" s="2" t="s">
        <v>45</v>
      </c>
      <c r="N192" s="2" t="s">
        <v>447</v>
      </c>
      <c r="O192" s="2" t="s">
        <v>139</v>
      </c>
      <c r="P192" s="2" t="s">
        <v>1395</v>
      </c>
      <c r="Q192" s="2" t="s">
        <v>422</v>
      </c>
      <c r="R192" s="2" t="s">
        <v>413</v>
      </c>
      <c r="S192" s="2" t="s">
        <v>34</v>
      </c>
      <c r="T192" s="124">
        <v>3.508</v>
      </c>
      <c r="U192" s="2" t="s">
        <v>1759</v>
      </c>
      <c r="V192" s="138">
        <v>1.4999999999999999E-2</v>
      </c>
      <c r="W192" s="140">
        <v>5.561E-2</v>
      </c>
      <c r="X192" s="3" t="s">
        <v>419</v>
      </c>
      <c r="Y192" s="3" t="s">
        <v>139</v>
      </c>
      <c r="Z192" s="124">
        <v>29000</v>
      </c>
      <c r="AA192" s="134">
        <v>1</v>
      </c>
      <c r="AB192" s="151">
        <v>87.5</v>
      </c>
      <c r="AC192" s="2"/>
      <c r="AD192" s="124">
        <v>25.375</v>
      </c>
      <c r="AE192" s="2"/>
      <c r="AF192" s="2"/>
      <c r="AG192" s="2" t="s">
        <v>36</v>
      </c>
      <c r="AH192" s="140">
        <v>2.5000000000000001E-5</v>
      </c>
      <c r="AI192" s="140">
        <v>5.04198768779608E-3</v>
      </c>
      <c r="AJ192" s="140">
        <v>1.1882430314070101E-3</v>
      </c>
    </row>
    <row r="193" spans="1:36">
      <c r="A193" s="2">
        <v>301</v>
      </c>
      <c r="B193" s="2">
        <v>7211</v>
      </c>
      <c r="C193" s="2" t="s">
        <v>1715</v>
      </c>
      <c r="D193" s="2" t="s">
        <v>1716</v>
      </c>
      <c r="E193" s="3" t="s">
        <v>1330</v>
      </c>
      <c r="F193" s="2" t="s">
        <v>1760</v>
      </c>
      <c r="G193" s="2" t="s">
        <v>1761</v>
      </c>
      <c r="H193" s="2" t="s">
        <v>328</v>
      </c>
      <c r="I193" s="2" t="s">
        <v>763</v>
      </c>
      <c r="J193" s="2" t="s">
        <v>30</v>
      </c>
      <c r="K193" s="2" t="s">
        <v>30</v>
      </c>
      <c r="L193" s="2" t="s">
        <v>334</v>
      </c>
      <c r="M193" s="2" t="s">
        <v>45</v>
      </c>
      <c r="N193" s="2" t="s">
        <v>470</v>
      </c>
      <c r="O193" s="2" t="s">
        <v>139</v>
      </c>
      <c r="P193" s="2" t="s">
        <v>1719</v>
      </c>
      <c r="Q193" s="2" t="s">
        <v>420</v>
      </c>
      <c r="R193" s="2" t="s">
        <v>413</v>
      </c>
      <c r="S193" s="2" t="s">
        <v>34</v>
      </c>
      <c r="T193" s="124">
        <v>5.149</v>
      </c>
      <c r="U193" s="2" t="s">
        <v>1762</v>
      </c>
      <c r="V193" s="138">
        <v>6.4999999999999997E-3</v>
      </c>
      <c r="W193" s="140">
        <v>2.8320000000000001E-2</v>
      </c>
      <c r="X193" s="3" t="s">
        <v>419</v>
      </c>
      <c r="Y193" s="3" t="s">
        <v>139</v>
      </c>
      <c r="Z193" s="124">
        <v>70580.03</v>
      </c>
      <c r="AA193" s="134">
        <v>1</v>
      </c>
      <c r="AB193" s="151">
        <v>102.57</v>
      </c>
      <c r="AC193" s="2"/>
      <c r="AD193" s="124">
        <v>72.394000000000005</v>
      </c>
      <c r="AE193" s="2"/>
      <c r="AF193" s="2"/>
      <c r="AG193" s="2" t="s">
        <v>36</v>
      </c>
      <c r="AH193" s="140">
        <v>3.1000000000000001E-5</v>
      </c>
      <c r="AI193" s="140">
        <v>1.4384604448097299E-2</v>
      </c>
      <c r="AJ193" s="140">
        <v>3.3900134338624801E-3</v>
      </c>
    </row>
    <row r="194" spans="1:36">
      <c r="A194" s="2">
        <v>301</v>
      </c>
      <c r="B194" s="2">
        <v>7211</v>
      </c>
      <c r="C194" s="2" t="s">
        <v>1763</v>
      </c>
      <c r="D194" s="2" t="s">
        <v>1764</v>
      </c>
      <c r="E194" s="3" t="s">
        <v>1330</v>
      </c>
      <c r="F194" s="2" t="s">
        <v>1765</v>
      </c>
      <c r="G194" s="2" t="s">
        <v>1766</v>
      </c>
      <c r="H194" s="2" t="s">
        <v>328</v>
      </c>
      <c r="I194" s="2" t="s">
        <v>976</v>
      </c>
      <c r="J194" s="2" t="s">
        <v>30</v>
      </c>
      <c r="K194" s="2" t="s">
        <v>30</v>
      </c>
      <c r="L194" s="2" t="s">
        <v>334</v>
      </c>
      <c r="M194" s="2" t="s">
        <v>45</v>
      </c>
      <c r="N194" s="2" t="s">
        <v>446</v>
      </c>
      <c r="O194" s="2" t="s">
        <v>139</v>
      </c>
      <c r="P194" s="2" t="s">
        <v>1725</v>
      </c>
      <c r="Q194" s="2" t="s">
        <v>420</v>
      </c>
      <c r="R194" s="2" t="s">
        <v>413</v>
      </c>
      <c r="S194" s="2" t="s">
        <v>34</v>
      </c>
      <c r="T194" s="124">
        <v>2.9350000000000001</v>
      </c>
      <c r="U194" s="2" t="s">
        <v>1767</v>
      </c>
      <c r="V194" s="138">
        <v>0.05</v>
      </c>
      <c r="W194" s="140">
        <v>5.4080000000000003E-2</v>
      </c>
      <c r="X194" s="3" t="s">
        <v>419</v>
      </c>
      <c r="Y194" s="3" t="s">
        <v>139</v>
      </c>
      <c r="Z194" s="124">
        <v>59000</v>
      </c>
      <c r="AA194" s="134">
        <v>1</v>
      </c>
      <c r="AB194" s="151">
        <v>100.36</v>
      </c>
      <c r="AC194" s="2"/>
      <c r="AD194" s="124">
        <v>59.212000000000003</v>
      </c>
      <c r="AE194" s="2"/>
      <c r="AF194" s="2"/>
      <c r="AG194" s="2" t="s">
        <v>36</v>
      </c>
      <c r="AH194" s="140">
        <v>5.7000000000000003E-5</v>
      </c>
      <c r="AI194" s="140">
        <v>1.17654459808811E-2</v>
      </c>
      <c r="AJ194" s="140">
        <v>2.7727575043501301E-3</v>
      </c>
    </row>
    <row r="195" spans="1:36">
      <c r="A195" s="2">
        <v>301</v>
      </c>
      <c r="B195" s="2">
        <v>7211</v>
      </c>
      <c r="C195" s="2" t="s">
        <v>1768</v>
      </c>
      <c r="D195" s="2" t="s">
        <v>1769</v>
      </c>
      <c r="E195" s="3" t="s">
        <v>1330</v>
      </c>
      <c r="F195" s="2" t="s">
        <v>1770</v>
      </c>
      <c r="G195" s="2" t="s">
        <v>1771</v>
      </c>
      <c r="H195" s="2" t="s">
        <v>328</v>
      </c>
      <c r="I195" s="2" t="s">
        <v>763</v>
      </c>
      <c r="J195" s="2" t="s">
        <v>30</v>
      </c>
      <c r="K195" s="2" t="s">
        <v>30</v>
      </c>
      <c r="L195" s="2" t="s">
        <v>334</v>
      </c>
      <c r="M195" s="2" t="s">
        <v>45</v>
      </c>
      <c r="N195" s="2" t="s">
        <v>470</v>
      </c>
      <c r="O195" s="2" t="s">
        <v>139</v>
      </c>
      <c r="P195" s="2" t="s">
        <v>1437</v>
      </c>
      <c r="Q195" s="2" t="s">
        <v>420</v>
      </c>
      <c r="R195" s="2" t="s">
        <v>413</v>
      </c>
      <c r="S195" s="2" t="s">
        <v>34</v>
      </c>
      <c r="T195" s="124">
        <v>0.35299999999999998</v>
      </c>
      <c r="U195" s="2" t="s">
        <v>1772</v>
      </c>
      <c r="V195" s="138">
        <v>2.5000000000000001E-2</v>
      </c>
      <c r="W195" s="140">
        <v>3.1620000000000002E-2</v>
      </c>
      <c r="X195" s="3" t="s">
        <v>419</v>
      </c>
      <c r="Y195" s="3" t="s">
        <v>139</v>
      </c>
      <c r="Z195" s="124">
        <v>40000</v>
      </c>
      <c r="AA195" s="134">
        <v>1</v>
      </c>
      <c r="AB195" s="151">
        <v>115.6</v>
      </c>
      <c r="AC195" s="2"/>
      <c r="AD195" s="124">
        <v>46.24</v>
      </c>
      <c r="AE195" s="2"/>
      <c r="AF195" s="2"/>
      <c r="AG195" s="2" t="s">
        <v>36</v>
      </c>
      <c r="AH195" s="140">
        <v>1.7000000000000001E-4</v>
      </c>
      <c r="AI195" s="140">
        <v>9.1878427855641796E-3</v>
      </c>
      <c r="AJ195" s="140">
        <v>2.1652948875767598E-3</v>
      </c>
    </row>
    <row r="196" spans="1:36">
      <c r="A196" s="2">
        <v>301</v>
      </c>
      <c r="B196" s="2">
        <v>7211</v>
      </c>
      <c r="C196" s="2" t="s">
        <v>1768</v>
      </c>
      <c r="D196" s="2" t="s">
        <v>1769</v>
      </c>
      <c r="E196" s="3" t="s">
        <v>1330</v>
      </c>
      <c r="F196" s="2" t="s">
        <v>1773</v>
      </c>
      <c r="G196" s="2" t="s">
        <v>1774</v>
      </c>
      <c r="H196" s="2" t="s">
        <v>328</v>
      </c>
      <c r="I196" s="2" t="s">
        <v>763</v>
      </c>
      <c r="J196" s="2" t="s">
        <v>30</v>
      </c>
      <c r="K196" s="2" t="s">
        <v>30</v>
      </c>
      <c r="L196" s="2" t="s">
        <v>334</v>
      </c>
      <c r="M196" s="2" t="s">
        <v>45</v>
      </c>
      <c r="N196" s="2" t="s">
        <v>470</v>
      </c>
      <c r="O196" s="2" t="s">
        <v>139</v>
      </c>
      <c r="P196" s="2" t="s">
        <v>1437</v>
      </c>
      <c r="Q196" s="2" t="s">
        <v>422</v>
      </c>
      <c r="R196" s="2" t="s">
        <v>413</v>
      </c>
      <c r="S196" s="2" t="s">
        <v>34</v>
      </c>
      <c r="T196" s="124">
        <v>4.2210000000000001</v>
      </c>
      <c r="U196" s="2" t="s">
        <v>1775</v>
      </c>
      <c r="V196" s="138">
        <v>1.17E-2</v>
      </c>
      <c r="W196" s="140">
        <v>2.8000000000000001E-2</v>
      </c>
      <c r="X196" s="3" t="s">
        <v>419</v>
      </c>
      <c r="Y196" s="3" t="s">
        <v>139</v>
      </c>
      <c r="Z196" s="124">
        <v>47880</v>
      </c>
      <c r="AA196" s="134">
        <v>1</v>
      </c>
      <c r="AB196" s="151">
        <v>107.59</v>
      </c>
      <c r="AC196" s="2"/>
      <c r="AD196" s="124">
        <v>51.514000000000003</v>
      </c>
      <c r="AE196" s="2"/>
      <c r="AF196" s="2"/>
      <c r="AG196" s="2" t="s">
        <v>36</v>
      </c>
      <c r="AH196" s="140">
        <v>6.9999999999999994E-5</v>
      </c>
      <c r="AI196" s="140">
        <v>1.0235799708847099E-2</v>
      </c>
      <c r="AJ196" s="140">
        <v>2.41226643697575E-3</v>
      </c>
    </row>
    <row r="197" spans="1:36">
      <c r="A197" s="2">
        <v>301</v>
      </c>
      <c r="B197" s="2">
        <v>7211</v>
      </c>
      <c r="C197" s="2" t="s">
        <v>1768</v>
      </c>
      <c r="D197" s="2" t="s">
        <v>1769</v>
      </c>
      <c r="E197" s="3" t="s">
        <v>1330</v>
      </c>
      <c r="F197" s="2" t="s">
        <v>1776</v>
      </c>
      <c r="G197" s="2" t="s">
        <v>1777</v>
      </c>
      <c r="H197" s="2" t="s">
        <v>328</v>
      </c>
      <c r="I197" s="2" t="s">
        <v>763</v>
      </c>
      <c r="J197" s="2" t="s">
        <v>30</v>
      </c>
      <c r="K197" s="2" t="s">
        <v>30</v>
      </c>
      <c r="L197" s="2" t="s">
        <v>334</v>
      </c>
      <c r="M197" s="2" t="s">
        <v>45</v>
      </c>
      <c r="N197" s="2" t="s">
        <v>470</v>
      </c>
      <c r="O197" s="2" t="s">
        <v>139</v>
      </c>
      <c r="P197" s="2" t="s">
        <v>1437</v>
      </c>
      <c r="Q197" s="2" t="s">
        <v>420</v>
      </c>
      <c r="R197" s="2" t="s">
        <v>413</v>
      </c>
      <c r="S197" s="2" t="s">
        <v>34</v>
      </c>
      <c r="T197" s="124">
        <v>5.1269999999999998</v>
      </c>
      <c r="U197" s="2" t="s">
        <v>1778</v>
      </c>
      <c r="V197" s="138">
        <v>1.8700000000000001E-2</v>
      </c>
      <c r="W197" s="140">
        <v>3.0720000000000001E-2</v>
      </c>
      <c r="X197" s="3" t="s">
        <v>419</v>
      </c>
      <c r="Y197" s="3" t="s">
        <v>139</v>
      </c>
      <c r="Z197" s="124">
        <v>29895</v>
      </c>
      <c r="AA197" s="134">
        <v>1</v>
      </c>
      <c r="AB197" s="151">
        <v>104.45</v>
      </c>
      <c r="AC197" s="2"/>
      <c r="AD197" s="124">
        <v>31.225000000000001</v>
      </c>
      <c r="AE197" s="2"/>
      <c r="AF197" s="2"/>
      <c r="AG197" s="2" t="s">
        <v>36</v>
      </c>
      <c r="AH197" s="140">
        <v>2.9E-5</v>
      </c>
      <c r="AI197" s="140">
        <v>6.2044420414739104E-3</v>
      </c>
      <c r="AJ197" s="140">
        <v>1.46219814010943E-3</v>
      </c>
    </row>
    <row r="198" spans="1:36">
      <c r="A198" s="2">
        <v>301</v>
      </c>
      <c r="B198" s="2">
        <v>7211</v>
      </c>
      <c r="C198" s="2" t="s">
        <v>1779</v>
      </c>
      <c r="D198" s="2" t="s">
        <v>1780</v>
      </c>
      <c r="E198" s="3" t="s">
        <v>1330</v>
      </c>
      <c r="F198" s="2" t="s">
        <v>1781</v>
      </c>
      <c r="G198" s="2" t="s">
        <v>1782</v>
      </c>
      <c r="H198" s="2" t="s">
        <v>328</v>
      </c>
      <c r="I198" s="2" t="s">
        <v>976</v>
      </c>
      <c r="J198" s="2" t="s">
        <v>30</v>
      </c>
      <c r="K198" s="2" t="s">
        <v>30</v>
      </c>
      <c r="L198" s="2" t="s">
        <v>334</v>
      </c>
      <c r="M198" s="2" t="s">
        <v>45</v>
      </c>
      <c r="N198" s="2" t="s">
        <v>446</v>
      </c>
      <c r="O198" s="2" t="s">
        <v>139</v>
      </c>
      <c r="P198" s="2" t="s">
        <v>1783</v>
      </c>
      <c r="Q198" s="2" t="s">
        <v>422</v>
      </c>
      <c r="R198" s="2" t="s">
        <v>413</v>
      </c>
      <c r="S198" s="2" t="s">
        <v>34</v>
      </c>
      <c r="T198" s="124">
        <v>2.87</v>
      </c>
      <c r="U198" s="2" t="s">
        <v>1784</v>
      </c>
      <c r="V198" s="138">
        <v>7.2499999999999995E-2</v>
      </c>
      <c r="W198" s="140">
        <v>5.8200000000000002E-2</v>
      </c>
      <c r="X198" s="3" t="s">
        <v>419</v>
      </c>
      <c r="Y198" s="3" t="s">
        <v>139</v>
      </c>
      <c r="Z198" s="124">
        <v>118800</v>
      </c>
      <c r="AA198" s="134">
        <v>1</v>
      </c>
      <c r="AB198" s="151">
        <v>106.14</v>
      </c>
      <c r="AC198" s="2"/>
      <c r="AD198" s="124">
        <v>126.09399999999999</v>
      </c>
      <c r="AE198" s="2"/>
      <c r="AF198" s="2"/>
      <c r="AG198" s="2" t="s">
        <v>36</v>
      </c>
      <c r="AH198" s="140">
        <v>1.65E-4</v>
      </c>
      <c r="AI198" s="140">
        <v>2.50548180863456E-2</v>
      </c>
      <c r="AJ198" s="140">
        <v>5.9046580114287999E-3</v>
      </c>
    </row>
    <row r="199" spans="1:36">
      <c r="A199" s="2">
        <v>301</v>
      </c>
      <c r="B199" s="2">
        <v>7211</v>
      </c>
      <c r="C199" s="2" t="s">
        <v>1785</v>
      </c>
      <c r="D199" s="2" t="s">
        <v>1786</v>
      </c>
      <c r="E199" s="3" t="s">
        <v>1330</v>
      </c>
      <c r="F199" s="2" t="s">
        <v>1787</v>
      </c>
      <c r="G199" s="2" t="s">
        <v>1788</v>
      </c>
      <c r="H199" s="2" t="s">
        <v>328</v>
      </c>
      <c r="I199" s="2" t="s">
        <v>763</v>
      </c>
      <c r="J199" s="2" t="s">
        <v>30</v>
      </c>
      <c r="K199" s="2" t="s">
        <v>30</v>
      </c>
      <c r="L199" s="2" t="s">
        <v>334</v>
      </c>
      <c r="M199" s="2" t="s">
        <v>45</v>
      </c>
      <c r="N199" s="2" t="s">
        <v>470</v>
      </c>
      <c r="O199" s="2" t="s">
        <v>139</v>
      </c>
      <c r="P199" s="2" t="s">
        <v>1719</v>
      </c>
      <c r="Q199" s="2" t="s">
        <v>420</v>
      </c>
      <c r="R199" s="2" t="s">
        <v>413</v>
      </c>
      <c r="S199" s="2" t="s">
        <v>34</v>
      </c>
      <c r="T199" s="124">
        <v>3.7469999999999999</v>
      </c>
      <c r="U199" s="2" t="s">
        <v>1789</v>
      </c>
      <c r="V199" s="138">
        <v>5.0000000000000001E-3</v>
      </c>
      <c r="W199" s="140">
        <v>2.8590000000000001E-2</v>
      </c>
      <c r="X199" s="3" t="s">
        <v>419</v>
      </c>
      <c r="Y199" s="3" t="s">
        <v>139</v>
      </c>
      <c r="Z199" s="124">
        <v>11112.83</v>
      </c>
      <c r="AA199" s="134">
        <v>1</v>
      </c>
      <c r="AB199" s="151">
        <v>105.22</v>
      </c>
      <c r="AC199" s="2"/>
      <c r="AD199" s="124">
        <v>11.693</v>
      </c>
      <c r="AE199" s="2"/>
      <c r="AF199" s="2"/>
      <c r="AG199" s="2" t="s">
        <v>36</v>
      </c>
      <c r="AH199" s="140">
        <v>6.9999999999999999E-6</v>
      </c>
      <c r="AI199" s="140">
        <v>2.3233717159755599E-3</v>
      </c>
      <c r="AJ199" s="140">
        <v>5.47547995319057E-4</v>
      </c>
    </row>
    <row r="200" spans="1:36">
      <c r="A200" s="2">
        <v>301</v>
      </c>
      <c r="B200" s="2">
        <v>7211</v>
      </c>
      <c r="C200" s="2" t="s">
        <v>1785</v>
      </c>
      <c r="D200" s="2" t="s">
        <v>1786</v>
      </c>
      <c r="E200" s="3" t="s">
        <v>1330</v>
      </c>
      <c r="F200" s="2" t="s">
        <v>1790</v>
      </c>
      <c r="G200" s="2" t="s">
        <v>1791</v>
      </c>
      <c r="H200" s="2" t="s">
        <v>328</v>
      </c>
      <c r="I200" s="2" t="s">
        <v>763</v>
      </c>
      <c r="J200" s="2" t="s">
        <v>30</v>
      </c>
      <c r="K200" s="2" t="s">
        <v>30</v>
      </c>
      <c r="L200" s="2" t="s">
        <v>334</v>
      </c>
      <c r="M200" s="2" t="s">
        <v>45</v>
      </c>
      <c r="N200" s="2" t="s">
        <v>470</v>
      </c>
      <c r="O200" s="2" t="s">
        <v>139</v>
      </c>
      <c r="P200" s="2" t="s">
        <v>1719</v>
      </c>
      <c r="Q200" s="2" t="s">
        <v>420</v>
      </c>
      <c r="R200" s="2" t="s">
        <v>413</v>
      </c>
      <c r="S200" s="2" t="s">
        <v>34</v>
      </c>
      <c r="T200" s="124">
        <v>0.72899999999999998</v>
      </c>
      <c r="U200" s="2" t="s">
        <v>1792</v>
      </c>
      <c r="V200" s="138">
        <v>4.7500000000000001E-2</v>
      </c>
      <c r="W200" s="140">
        <v>2.5069999999999999E-2</v>
      </c>
      <c r="X200" s="3" t="s">
        <v>419</v>
      </c>
      <c r="Y200" s="3" t="s">
        <v>139</v>
      </c>
      <c r="Z200" s="124">
        <v>63591.7</v>
      </c>
      <c r="AA200" s="134">
        <v>1</v>
      </c>
      <c r="AB200" s="151">
        <v>143.82</v>
      </c>
      <c r="AC200" s="2"/>
      <c r="AD200" s="124">
        <v>91.457999999999998</v>
      </c>
      <c r="AE200" s="2"/>
      <c r="AF200" s="2"/>
      <c r="AG200" s="2" t="s">
        <v>36</v>
      </c>
      <c r="AH200" s="140">
        <v>6.7000000000000002E-5</v>
      </c>
      <c r="AI200" s="140">
        <v>1.8172532301047099E-2</v>
      </c>
      <c r="AJ200" s="140">
        <v>4.2827127329175801E-3</v>
      </c>
    </row>
    <row r="201" spans="1:36">
      <c r="A201" s="2">
        <v>301</v>
      </c>
      <c r="B201" s="2">
        <v>7211</v>
      </c>
      <c r="C201" s="2" t="s">
        <v>1793</v>
      </c>
      <c r="D201" s="2" t="s">
        <v>1794</v>
      </c>
      <c r="E201" s="3" t="s">
        <v>1330</v>
      </c>
      <c r="F201" s="2" t="s">
        <v>1795</v>
      </c>
      <c r="G201" s="2" t="s">
        <v>1796</v>
      </c>
      <c r="H201" s="2" t="s">
        <v>328</v>
      </c>
      <c r="I201" s="2" t="s">
        <v>763</v>
      </c>
      <c r="J201" s="2" t="s">
        <v>30</v>
      </c>
      <c r="K201" s="2" t="s">
        <v>305</v>
      </c>
      <c r="L201" s="2" t="s">
        <v>334</v>
      </c>
      <c r="M201" s="2" t="s">
        <v>45</v>
      </c>
      <c r="N201" s="2" t="s">
        <v>471</v>
      </c>
      <c r="O201" s="2" t="s">
        <v>139</v>
      </c>
      <c r="P201" s="2" t="s">
        <v>1783</v>
      </c>
      <c r="Q201" s="2" t="s">
        <v>420</v>
      </c>
      <c r="R201" s="2" t="s">
        <v>413</v>
      </c>
      <c r="S201" s="2" t="s">
        <v>34</v>
      </c>
      <c r="T201" s="124">
        <v>2.0169999999999999</v>
      </c>
      <c r="U201" s="2" t="s">
        <v>1797</v>
      </c>
      <c r="V201" s="138">
        <v>3.2800000000000003E-2</v>
      </c>
      <c r="W201" s="140">
        <v>4.0349999999999997E-2</v>
      </c>
      <c r="X201" s="3" t="s">
        <v>419</v>
      </c>
      <c r="Y201" s="3" t="s">
        <v>139</v>
      </c>
      <c r="Z201" s="124">
        <v>60000</v>
      </c>
      <c r="AA201" s="134">
        <v>1</v>
      </c>
      <c r="AB201" s="151">
        <v>115.1</v>
      </c>
      <c r="AC201" s="2"/>
      <c r="AD201" s="124">
        <v>69.06</v>
      </c>
      <c r="AE201" s="2"/>
      <c r="AF201" s="2"/>
      <c r="AG201" s="2" t="s">
        <v>36</v>
      </c>
      <c r="AH201" s="140">
        <v>3.4999999999999997E-5</v>
      </c>
      <c r="AI201" s="140">
        <v>1.37221544716925E-2</v>
      </c>
      <c r="AJ201" s="140">
        <v>3.2338941378903699E-3</v>
      </c>
    </row>
    <row r="202" spans="1:36">
      <c r="A202" s="2">
        <v>301</v>
      </c>
      <c r="B202" s="2">
        <v>7211</v>
      </c>
      <c r="C202" s="2" t="s">
        <v>1798</v>
      </c>
      <c r="D202" s="2" t="s">
        <v>1799</v>
      </c>
      <c r="E202" s="3" t="s">
        <v>1330</v>
      </c>
      <c r="F202" s="2" t="s">
        <v>1800</v>
      </c>
      <c r="G202" s="2" t="s">
        <v>1801</v>
      </c>
      <c r="H202" s="2" t="s">
        <v>328</v>
      </c>
      <c r="I202" s="2" t="s">
        <v>763</v>
      </c>
      <c r="J202" s="2" t="s">
        <v>30</v>
      </c>
      <c r="K202" s="2" t="s">
        <v>30</v>
      </c>
      <c r="L202" s="2" t="s">
        <v>334</v>
      </c>
      <c r="M202" s="2" t="s">
        <v>45</v>
      </c>
      <c r="N202" s="2" t="s">
        <v>454</v>
      </c>
      <c r="O202" s="2" t="s">
        <v>139</v>
      </c>
      <c r="P202" s="2" t="s">
        <v>1177</v>
      </c>
      <c r="Q202" s="2" t="s">
        <v>420</v>
      </c>
      <c r="R202" s="2" t="s">
        <v>413</v>
      </c>
      <c r="S202" s="2" t="s">
        <v>34</v>
      </c>
      <c r="T202" s="124">
        <v>3.738</v>
      </c>
      <c r="U202" s="2" t="s">
        <v>1802</v>
      </c>
      <c r="V202" s="138">
        <v>2E-3</v>
      </c>
      <c r="W202" s="140">
        <v>2.384E-2</v>
      </c>
      <c r="X202" s="3" t="s">
        <v>419</v>
      </c>
      <c r="Y202" s="3" t="s">
        <v>139</v>
      </c>
      <c r="Z202" s="124">
        <v>107216.16</v>
      </c>
      <c r="AA202" s="134">
        <v>1</v>
      </c>
      <c r="AB202" s="151">
        <v>103.66</v>
      </c>
      <c r="AC202" s="2"/>
      <c r="AD202" s="124">
        <v>111.14</v>
      </c>
      <c r="AE202" s="2"/>
      <c r="AF202" s="2"/>
      <c r="AG202" s="2" t="s">
        <v>36</v>
      </c>
      <c r="AH202" s="140">
        <v>2.9E-5</v>
      </c>
      <c r="AI202" s="140">
        <v>2.20834632630332E-2</v>
      </c>
      <c r="AJ202" s="140">
        <v>5.2044001208384396E-3</v>
      </c>
    </row>
    <row r="203" spans="1:36">
      <c r="A203" s="2">
        <v>301</v>
      </c>
      <c r="B203" s="2">
        <v>7211</v>
      </c>
      <c r="C203" s="2" t="s">
        <v>1798</v>
      </c>
      <c r="D203" s="2" t="s">
        <v>1799</v>
      </c>
      <c r="E203" s="3" t="s">
        <v>1330</v>
      </c>
      <c r="F203" s="2" t="s">
        <v>1803</v>
      </c>
      <c r="G203" s="2" t="s">
        <v>1804</v>
      </c>
      <c r="H203" s="2" t="s">
        <v>328</v>
      </c>
      <c r="I203" s="2" t="s">
        <v>976</v>
      </c>
      <c r="J203" s="2" t="s">
        <v>30</v>
      </c>
      <c r="K203" s="2" t="s">
        <v>30</v>
      </c>
      <c r="L203" s="2" t="s">
        <v>334</v>
      </c>
      <c r="M203" s="2" t="s">
        <v>45</v>
      </c>
      <c r="N203" s="2" t="s">
        <v>454</v>
      </c>
      <c r="O203" s="2" t="s">
        <v>139</v>
      </c>
      <c r="P203" s="2" t="s">
        <v>1177</v>
      </c>
      <c r="Q203" s="2" t="s">
        <v>420</v>
      </c>
      <c r="R203" s="2" t="s">
        <v>413</v>
      </c>
      <c r="S203" s="2" t="s">
        <v>34</v>
      </c>
      <c r="T203" s="124">
        <v>3.2280000000000002</v>
      </c>
      <c r="U203" s="2" t="s">
        <v>1805</v>
      </c>
      <c r="V203" s="138">
        <v>2.6800000000000001E-2</v>
      </c>
      <c r="W203" s="140">
        <v>4.5240000000000002E-2</v>
      </c>
      <c r="X203" s="3" t="s">
        <v>419</v>
      </c>
      <c r="Y203" s="3" t="s">
        <v>139</v>
      </c>
      <c r="Z203" s="124">
        <v>49818.85</v>
      </c>
      <c r="AA203" s="134">
        <v>1</v>
      </c>
      <c r="AB203" s="151">
        <v>94.55</v>
      </c>
      <c r="AC203" s="2"/>
      <c r="AD203" s="124">
        <v>47.103999999999999</v>
      </c>
      <c r="AE203" s="2"/>
      <c r="AF203" s="2"/>
      <c r="AG203" s="2" t="s">
        <v>36</v>
      </c>
      <c r="AH203" s="140">
        <v>2.5000000000000001E-5</v>
      </c>
      <c r="AI203" s="140">
        <v>9.3594636365206402E-3</v>
      </c>
      <c r="AJ203" s="140">
        <v>2.2057406983998899E-3</v>
      </c>
    </row>
    <row r="204" spans="1:36">
      <c r="A204" s="2">
        <v>301</v>
      </c>
      <c r="B204" s="2">
        <v>7211</v>
      </c>
      <c r="C204" s="2" t="s">
        <v>1798</v>
      </c>
      <c r="D204" s="2" t="s">
        <v>1799</v>
      </c>
      <c r="E204" s="3" t="s">
        <v>1330</v>
      </c>
      <c r="F204" s="2" t="s">
        <v>1806</v>
      </c>
      <c r="G204" s="2" t="s">
        <v>1807</v>
      </c>
      <c r="H204" s="2" t="s">
        <v>328</v>
      </c>
      <c r="I204" s="2" t="s">
        <v>763</v>
      </c>
      <c r="J204" s="2" t="s">
        <v>30</v>
      </c>
      <c r="K204" s="2" t="s">
        <v>30</v>
      </c>
      <c r="L204" s="2" t="s">
        <v>334</v>
      </c>
      <c r="M204" s="2" t="s">
        <v>31</v>
      </c>
      <c r="N204" s="2" t="s">
        <v>454</v>
      </c>
      <c r="O204" s="2" t="s">
        <v>139</v>
      </c>
      <c r="P204" s="2" t="s">
        <v>1437</v>
      </c>
      <c r="Q204" s="2" t="s">
        <v>420</v>
      </c>
      <c r="R204" s="2" t="s">
        <v>413</v>
      </c>
      <c r="S204" s="2" t="s">
        <v>34</v>
      </c>
      <c r="T204" s="124">
        <v>5.4249999999999998</v>
      </c>
      <c r="U204" s="2" t="s">
        <v>1808</v>
      </c>
      <c r="V204" s="138">
        <v>3.3203000000000003E-2</v>
      </c>
      <c r="W204" s="140">
        <v>3.0530000000000002E-2</v>
      </c>
      <c r="X204" s="3" t="s">
        <v>419</v>
      </c>
      <c r="Y204" s="3" t="s">
        <v>139</v>
      </c>
      <c r="Z204" s="124">
        <v>65000</v>
      </c>
      <c r="AA204" s="134">
        <v>1</v>
      </c>
      <c r="AB204" s="151">
        <v>103.26</v>
      </c>
      <c r="AC204" s="2"/>
      <c r="AD204" s="124">
        <v>67.119</v>
      </c>
      <c r="AE204" s="2"/>
      <c r="AF204" s="2"/>
      <c r="AG204" s="2" t="s">
        <v>36</v>
      </c>
      <c r="AH204" s="140">
        <v>5.1999999999999997E-5</v>
      </c>
      <c r="AI204" s="140">
        <v>1.33364796696428E-2</v>
      </c>
      <c r="AJ204" s="140">
        <v>3.1430023261086598E-3</v>
      </c>
    </row>
    <row r="205" spans="1:36">
      <c r="A205" s="2">
        <v>301</v>
      </c>
      <c r="B205" s="2">
        <v>7211</v>
      </c>
      <c r="C205" s="2" t="s">
        <v>1809</v>
      </c>
      <c r="D205" s="2" t="s">
        <v>1810</v>
      </c>
      <c r="E205" s="3" t="s">
        <v>1330</v>
      </c>
      <c r="F205" s="2" t="s">
        <v>1811</v>
      </c>
      <c r="G205" s="2" t="s">
        <v>1812</v>
      </c>
      <c r="H205" s="2" t="s">
        <v>328</v>
      </c>
      <c r="I205" s="2" t="s">
        <v>763</v>
      </c>
      <c r="J205" s="2" t="s">
        <v>30</v>
      </c>
      <c r="K205" s="2" t="s">
        <v>30</v>
      </c>
      <c r="L205" s="2" t="s">
        <v>334</v>
      </c>
      <c r="M205" s="2" t="s">
        <v>45</v>
      </c>
      <c r="N205" s="2" t="s">
        <v>470</v>
      </c>
      <c r="O205" s="2" t="s">
        <v>139</v>
      </c>
      <c r="P205" s="2" t="s">
        <v>1395</v>
      </c>
      <c r="Q205" s="2" t="s">
        <v>420</v>
      </c>
      <c r="R205" s="2" t="s">
        <v>413</v>
      </c>
      <c r="S205" s="2" t="s">
        <v>34</v>
      </c>
      <c r="T205" s="124">
        <v>3.3260000000000001</v>
      </c>
      <c r="U205" s="2" t="s">
        <v>1813</v>
      </c>
      <c r="V205" s="138">
        <v>2.7E-2</v>
      </c>
      <c r="W205" s="140">
        <v>3.0419999999999999E-2</v>
      </c>
      <c r="X205" s="3" t="s">
        <v>419</v>
      </c>
      <c r="Y205" s="3" t="s">
        <v>139</v>
      </c>
      <c r="Z205" s="124">
        <v>15300</v>
      </c>
      <c r="AA205" s="134">
        <v>1</v>
      </c>
      <c r="AB205" s="151">
        <v>105.87</v>
      </c>
      <c r="AC205" s="2"/>
      <c r="AD205" s="124">
        <v>16.198</v>
      </c>
      <c r="AE205" s="2"/>
      <c r="AF205" s="2"/>
      <c r="AG205" s="2" t="s">
        <v>36</v>
      </c>
      <c r="AH205" s="140">
        <v>3.8999999999999999E-5</v>
      </c>
      <c r="AI205" s="140">
        <v>3.2185486181504101E-3</v>
      </c>
      <c r="AJ205" s="140">
        <v>7.5851394401829403E-4</v>
      </c>
    </row>
    <row r="206" spans="1:36">
      <c r="A206" s="2">
        <v>301</v>
      </c>
      <c r="B206" s="2">
        <v>7211</v>
      </c>
      <c r="C206" s="2" t="s">
        <v>1809</v>
      </c>
      <c r="D206" s="2" t="s">
        <v>1810</v>
      </c>
      <c r="E206" s="3" t="s">
        <v>1330</v>
      </c>
      <c r="F206" s="2" t="s">
        <v>1814</v>
      </c>
      <c r="G206" s="2" t="s">
        <v>1815</v>
      </c>
      <c r="H206" s="2" t="s">
        <v>328</v>
      </c>
      <c r="I206" s="2" t="s">
        <v>763</v>
      </c>
      <c r="J206" s="2" t="s">
        <v>30</v>
      </c>
      <c r="K206" s="2" t="s">
        <v>30</v>
      </c>
      <c r="L206" s="2" t="s">
        <v>334</v>
      </c>
      <c r="M206" s="2" t="s">
        <v>45</v>
      </c>
      <c r="N206" s="2" t="s">
        <v>470</v>
      </c>
      <c r="O206" s="2" t="s">
        <v>139</v>
      </c>
      <c r="P206" s="2" t="s">
        <v>1395</v>
      </c>
      <c r="Q206" s="2" t="s">
        <v>420</v>
      </c>
      <c r="R206" s="2" t="s">
        <v>413</v>
      </c>
      <c r="S206" s="2" t="s">
        <v>34</v>
      </c>
      <c r="T206" s="124">
        <v>2.7250000000000001</v>
      </c>
      <c r="U206" s="2" t="s">
        <v>1816</v>
      </c>
      <c r="V206" s="138">
        <v>1.7999999999999999E-2</v>
      </c>
      <c r="W206" s="140">
        <v>2.852E-2</v>
      </c>
      <c r="X206" s="3" t="s">
        <v>419</v>
      </c>
      <c r="Y206" s="3" t="s">
        <v>139</v>
      </c>
      <c r="Z206" s="124">
        <v>34413</v>
      </c>
      <c r="AA206" s="134">
        <v>1</v>
      </c>
      <c r="AB206" s="151">
        <v>113.09</v>
      </c>
      <c r="AC206" s="2"/>
      <c r="AD206" s="124">
        <v>38.917999999999999</v>
      </c>
      <c r="AE206" s="2"/>
      <c r="AF206" s="2"/>
      <c r="AG206" s="2" t="s">
        <v>36</v>
      </c>
      <c r="AH206" s="140">
        <v>4.6999999999999997E-5</v>
      </c>
      <c r="AI206" s="140">
        <v>7.73290132528919E-3</v>
      </c>
      <c r="AJ206" s="140">
        <v>1.82240947048987E-3</v>
      </c>
    </row>
    <row r="207" spans="1:36">
      <c r="A207" s="2">
        <v>301</v>
      </c>
      <c r="B207" s="2">
        <v>7211</v>
      </c>
      <c r="C207" s="2" t="s">
        <v>1574</v>
      </c>
      <c r="D207" s="2" t="s">
        <v>1575</v>
      </c>
      <c r="E207" s="3" t="s">
        <v>1330</v>
      </c>
      <c r="F207" s="2" t="s">
        <v>1817</v>
      </c>
      <c r="G207" s="2" t="s">
        <v>1818</v>
      </c>
      <c r="H207" s="2" t="s">
        <v>328</v>
      </c>
      <c r="I207" s="2" t="s">
        <v>763</v>
      </c>
      <c r="J207" s="2" t="s">
        <v>30</v>
      </c>
      <c r="K207" s="2" t="s">
        <v>30</v>
      </c>
      <c r="L207" s="2" t="s">
        <v>334</v>
      </c>
      <c r="M207" s="2" t="s">
        <v>45</v>
      </c>
      <c r="N207" s="2" t="s">
        <v>451</v>
      </c>
      <c r="O207" s="2" t="s">
        <v>139</v>
      </c>
      <c r="P207" s="2" t="s">
        <v>1719</v>
      </c>
      <c r="Q207" s="2" t="s">
        <v>420</v>
      </c>
      <c r="R207" s="2" t="s">
        <v>413</v>
      </c>
      <c r="S207" s="2" t="s">
        <v>34</v>
      </c>
      <c r="T207" s="124">
        <v>4.2949999999999999</v>
      </c>
      <c r="U207" s="2" t="s">
        <v>1819</v>
      </c>
      <c r="V207" s="138">
        <v>4.4000000000000003E-3</v>
      </c>
      <c r="W207" s="140">
        <v>2.496E-2</v>
      </c>
      <c r="X207" s="3" t="s">
        <v>419</v>
      </c>
      <c r="Y207" s="3" t="s">
        <v>139</v>
      </c>
      <c r="Z207" s="124">
        <v>9518.66</v>
      </c>
      <c r="AA207" s="134">
        <v>1</v>
      </c>
      <c r="AB207" s="151">
        <v>105.47</v>
      </c>
      <c r="AC207" s="2"/>
      <c r="AD207" s="124">
        <v>10.039</v>
      </c>
      <c r="AE207" s="2"/>
      <c r="AF207" s="2"/>
      <c r="AG207" s="2" t="s">
        <v>36</v>
      </c>
      <c r="AH207" s="140">
        <v>1.1E-5</v>
      </c>
      <c r="AI207" s="140">
        <v>1.9948051938205799E-3</v>
      </c>
      <c r="AJ207" s="140">
        <v>4.7011486686273702E-4</v>
      </c>
    </row>
    <row r="208" spans="1:36">
      <c r="A208" s="2">
        <v>301</v>
      </c>
      <c r="B208" s="2">
        <v>7211</v>
      </c>
      <c r="C208" s="2" t="s">
        <v>1820</v>
      </c>
      <c r="D208" s="2" t="s">
        <v>1821</v>
      </c>
      <c r="E208" s="3" t="s">
        <v>1330</v>
      </c>
      <c r="F208" s="2" t="s">
        <v>1822</v>
      </c>
      <c r="G208" s="2" t="s">
        <v>1823</v>
      </c>
      <c r="H208" s="2" t="s">
        <v>328</v>
      </c>
      <c r="I208" s="2" t="s">
        <v>976</v>
      </c>
      <c r="J208" s="2" t="s">
        <v>30</v>
      </c>
      <c r="K208" s="2" t="s">
        <v>30</v>
      </c>
      <c r="L208" s="2" t="s">
        <v>334</v>
      </c>
      <c r="M208" s="2" t="s">
        <v>31</v>
      </c>
      <c r="N208" s="2" t="s">
        <v>451</v>
      </c>
      <c r="O208" s="2" t="s">
        <v>139</v>
      </c>
      <c r="P208" s="2" t="s">
        <v>1437</v>
      </c>
      <c r="Q208" s="2" t="s">
        <v>420</v>
      </c>
      <c r="R208" s="2" t="s">
        <v>413</v>
      </c>
      <c r="S208" s="2" t="s">
        <v>34</v>
      </c>
      <c r="T208" s="124">
        <v>7.1319999999999997</v>
      </c>
      <c r="U208" s="2" t="s">
        <v>1824</v>
      </c>
      <c r="V208" s="138">
        <v>6.0199999999999997E-2</v>
      </c>
      <c r="W208" s="140">
        <v>5.3359999999999998E-2</v>
      </c>
      <c r="X208" s="3" t="s">
        <v>419</v>
      </c>
      <c r="Y208" s="3" t="s">
        <v>139</v>
      </c>
      <c r="Z208" s="124">
        <v>50000</v>
      </c>
      <c r="AA208" s="134">
        <v>1</v>
      </c>
      <c r="AB208" s="151">
        <v>105.33</v>
      </c>
      <c r="AC208" s="2"/>
      <c r="AD208" s="124">
        <v>52.664999999999999</v>
      </c>
      <c r="AE208" s="2"/>
      <c r="AF208" s="2"/>
      <c r="AG208" s="2" t="s">
        <v>36</v>
      </c>
      <c r="AH208" s="140">
        <v>1E-4</v>
      </c>
      <c r="AI208" s="140">
        <v>1.0464484003065299E-2</v>
      </c>
      <c r="AJ208" s="140">
        <v>2.4661603644945901E-3</v>
      </c>
    </row>
    <row r="209" spans="1:36">
      <c r="A209" s="2">
        <v>301</v>
      </c>
      <c r="B209" s="2">
        <v>7211</v>
      </c>
      <c r="C209" s="2" t="s">
        <v>1820</v>
      </c>
      <c r="D209" s="2" t="s">
        <v>1821</v>
      </c>
      <c r="E209" s="3" t="s">
        <v>1330</v>
      </c>
      <c r="F209" s="2" t="s">
        <v>1825</v>
      </c>
      <c r="G209" s="2" t="s">
        <v>1826</v>
      </c>
      <c r="H209" s="2" t="s">
        <v>328</v>
      </c>
      <c r="I209" s="2" t="s">
        <v>976</v>
      </c>
      <c r="J209" s="2" t="s">
        <v>30</v>
      </c>
      <c r="K209" s="2" t="s">
        <v>30</v>
      </c>
      <c r="L209" s="2" t="s">
        <v>334</v>
      </c>
      <c r="M209" s="2" t="s">
        <v>45</v>
      </c>
      <c r="N209" s="2" t="s">
        <v>451</v>
      </c>
      <c r="O209" s="2" t="s">
        <v>139</v>
      </c>
      <c r="P209" s="2" t="s">
        <v>1437</v>
      </c>
      <c r="Q209" s="2" t="s">
        <v>420</v>
      </c>
      <c r="R209" s="2" t="s">
        <v>413</v>
      </c>
      <c r="S209" s="2" t="s">
        <v>34</v>
      </c>
      <c r="T209" s="124">
        <v>4.5339999999999998</v>
      </c>
      <c r="U209" s="2" t="s">
        <v>1813</v>
      </c>
      <c r="V209" s="138">
        <v>4.3799999999999999E-2</v>
      </c>
      <c r="W209" s="140">
        <v>4.8849999999999998E-2</v>
      </c>
      <c r="X209" s="3" t="s">
        <v>419</v>
      </c>
      <c r="Y209" s="3" t="s">
        <v>139</v>
      </c>
      <c r="Z209" s="124">
        <v>25000</v>
      </c>
      <c r="AA209" s="134">
        <v>1</v>
      </c>
      <c r="AB209" s="151">
        <v>98.04</v>
      </c>
      <c r="AC209" s="2"/>
      <c r="AD209" s="124">
        <v>24.51</v>
      </c>
      <c r="AE209" s="2"/>
      <c r="AF209" s="2"/>
      <c r="AG209" s="2" t="s">
        <v>36</v>
      </c>
      <c r="AH209" s="140">
        <v>5.0000000000000002E-5</v>
      </c>
      <c r="AI209" s="140">
        <v>4.8701130336111101E-3</v>
      </c>
      <c r="AJ209" s="140">
        <v>1.14773740688811E-3</v>
      </c>
    </row>
    <row r="210" spans="1:36">
      <c r="A210" s="2">
        <v>301</v>
      </c>
      <c r="B210" s="2">
        <v>7211</v>
      </c>
      <c r="C210" s="2" t="s">
        <v>1827</v>
      </c>
      <c r="D210" s="2" t="s">
        <v>1828</v>
      </c>
      <c r="E210" s="3" t="s">
        <v>1330</v>
      </c>
      <c r="F210" s="2" t="s">
        <v>1829</v>
      </c>
      <c r="G210" s="2" t="s">
        <v>1830</v>
      </c>
      <c r="H210" s="2" t="s">
        <v>328</v>
      </c>
      <c r="I210" s="2" t="s">
        <v>976</v>
      </c>
      <c r="J210" s="2" t="s">
        <v>30</v>
      </c>
      <c r="K210" s="2" t="s">
        <v>30</v>
      </c>
      <c r="L210" s="2" t="s">
        <v>334</v>
      </c>
      <c r="M210" s="2" t="s">
        <v>45</v>
      </c>
      <c r="N210" s="2" t="s">
        <v>451</v>
      </c>
      <c r="O210" s="2" t="s">
        <v>139</v>
      </c>
      <c r="P210" s="2" t="s">
        <v>1719</v>
      </c>
      <c r="Q210" s="2" t="s">
        <v>422</v>
      </c>
      <c r="R210" s="2" t="s">
        <v>413</v>
      </c>
      <c r="S210" s="2" t="s">
        <v>34</v>
      </c>
      <c r="T210" s="124">
        <v>5.093</v>
      </c>
      <c r="U210" s="2" t="s">
        <v>1831</v>
      </c>
      <c r="V210" s="138">
        <v>1.95E-2</v>
      </c>
      <c r="W210" s="140">
        <v>4.8559999999999999E-2</v>
      </c>
      <c r="X210" s="3" t="s">
        <v>419</v>
      </c>
      <c r="Y210" s="3" t="s">
        <v>139</v>
      </c>
      <c r="Z210" s="124">
        <v>55002.34</v>
      </c>
      <c r="AA210" s="134">
        <v>1</v>
      </c>
      <c r="AB210" s="151">
        <v>86.35</v>
      </c>
      <c r="AC210" s="2"/>
      <c r="AD210" s="124">
        <v>47.494999999999997</v>
      </c>
      <c r="AE210" s="2"/>
      <c r="AF210" s="2"/>
      <c r="AG210" s="2" t="s">
        <v>36</v>
      </c>
      <c r="AH210" s="140">
        <v>5.5000000000000002E-5</v>
      </c>
      <c r="AI210" s="140">
        <v>9.4371148001007894E-3</v>
      </c>
      <c r="AJ210" s="140">
        <v>2.2240407141313999E-3</v>
      </c>
    </row>
    <row r="211" spans="1:36">
      <c r="A211" s="2">
        <v>301</v>
      </c>
      <c r="B211" s="2">
        <v>7211</v>
      </c>
      <c r="C211" s="2" t="s">
        <v>1832</v>
      </c>
      <c r="D211" s="2" t="s">
        <v>1833</v>
      </c>
      <c r="E211" s="3" t="s">
        <v>1330</v>
      </c>
      <c r="F211" s="2" t="s">
        <v>1834</v>
      </c>
      <c r="G211" s="2" t="s">
        <v>1835</v>
      </c>
      <c r="H211" s="2" t="s">
        <v>328</v>
      </c>
      <c r="I211" s="2" t="s">
        <v>976</v>
      </c>
      <c r="J211" s="2" t="s">
        <v>30</v>
      </c>
      <c r="K211" s="2" t="s">
        <v>30</v>
      </c>
      <c r="L211" s="2" t="s">
        <v>334</v>
      </c>
      <c r="M211" s="2" t="s">
        <v>45</v>
      </c>
      <c r="N211" s="2" t="s">
        <v>457</v>
      </c>
      <c r="O211" s="2" t="s">
        <v>139</v>
      </c>
      <c r="P211" s="2" t="s">
        <v>1725</v>
      </c>
      <c r="Q211" s="2" t="s">
        <v>420</v>
      </c>
      <c r="R211" s="2" t="s">
        <v>413</v>
      </c>
      <c r="S211" s="2" t="s">
        <v>34</v>
      </c>
      <c r="T211" s="124">
        <v>2.1040000000000001</v>
      </c>
      <c r="U211" s="2" t="s">
        <v>1797</v>
      </c>
      <c r="V211" s="138">
        <v>2.1999999999999999E-2</v>
      </c>
      <c r="W211" s="140">
        <v>4.913E-2</v>
      </c>
      <c r="X211" s="3" t="s">
        <v>419</v>
      </c>
      <c r="Y211" s="3" t="s">
        <v>139</v>
      </c>
      <c r="Z211" s="124">
        <v>70312.5</v>
      </c>
      <c r="AA211" s="134">
        <v>1</v>
      </c>
      <c r="AB211" s="151">
        <v>94.62</v>
      </c>
      <c r="AC211" s="2"/>
      <c r="AD211" s="124">
        <v>66.53</v>
      </c>
      <c r="AE211" s="2"/>
      <c r="AF211" s="2"/>
      <c r="AG211" s="2" t="s">
        <v>36</v>
      </c>
      <c r="AH211" s="140">
        <v>6.4999999999999994E-5</v>
      </c>
      <c r="AI211" s="140">
        <v>1.32193838521348E-2</v>
      </c>
      <c r="AJ211" s="140">
        <v>3.11540640605167E-3</v>
      </c>
    </row>
    <row r="212" spans="1:36">
      <c r="A212" s="2">
        <v>301</v>
      </c>
      <c r="B212" s="2">
        <v>7211</v>
      </c>
      <c r="C212" s="2" t="s">
        <v>1832</v>
      </c>
      <c r="D212" s="2" t="s">
        <v>1833</v>
      </c>
      <c r="E212" s="3" t="s">
        <v>1330</v>
      </c>
      <c r="F212" s="2" t="s">
        <v>2057</v>
      </c>
      <c r="G212" s="2" t="s">
        <v>2058</v>
      </c>
      <c r="H212" s="2" t="s">
        <v>328</v>
      </c>
      <c r="I212" s="2" t="s">
        <v>976</v>
      </c>
      <c r="J212" s="2" t="s">
        <v>30</v>
      </c>
      <c r="K212" s="2" t="s">
        <v>30</v>
      </c>
      <c r="L212" s="2" t="s">
        <v>334</v>
      </c>
      <c r="M212" s="2" t="s">
        <v>45</v>
      </c>
      <c r="N212" s="2" t="s">
        <v>457</v>
      </c>
      <c r="O212" s="2" t="s">
        <v>139</v>
      </c>
      <c r="P212" s="2" t="s">
        <v>1725</v>
      </c>
      <c r="Q212" s="2" t="s">
        <v>420</v>
      </c>
      <c r="R212" s="2" t="s">
        <v>413</v>
      </c>
      <c r="S212" s="2" t="s">
        <v>34</v>
      </c>
      <c r="T212" s="124">
        <v>3.3879999999999999</v>
      </c>
      <c r="U212" s="2" t="s">
        <v>2059</v>
      </c>
      <c r="V212" s="138">
        <v>2.7400000000000001E-2</v>
      </c>
      <c r="W212" s="140">
        <v>4.9410000000000003E-2</v>
      </c>
      <c r="X212" s="3" t="s">
        <v>419</v>
      </c>
      <c r="Y212" s="3" t="s">
        <v>139</v>
      </c>
      <c r="Z212" s="124">
        <v>80000</v>
      </c>
      <c r="AA212" s="134">
        <v>1</v>
      </c>
      <c r="AB212" s="151">
        <v>94.13</v>
      </c>
      <c r="AC212" s="2"/>
      <c r="AD212" s="124">
        <v>75.304000000000002</v>
      </c>
      <c r="AE212" s="2"/>
      <c r="AF212" s="2"/>
      <c r="AG212" s="2" t="s">
        <v>36</v>
      </c>
      <c r="AH212" s="140">
        <v>1.07E-4</v>
      </c>
      <c r="AI212" s="140">
        <v>1.49628311661792E-2</v>
      </c>
      <c r="AJ212" s="140">
        <v>3.5262838714117698E-3</v>
      </c>
    </row>
    <row r="213" spans="1:36">
      <c r="A213" s="2">
        <v>301</v>
      </c>
      <c r="B213" s="2">
        <v>7211</v>
      </c>
      <c r="C213" s="2" t="s">
        <v>1836</v>
      </c>
      <c r="D213" s="2" t="s">
        <v>1837</v>
      </c>
      <c r="E213" s="3" t="s">
        <v>1330</v>
      </c>
      <c r="F213" s="2" t="s">
        <v>1838</v>
      </c>
      <c r="G213" s="2" t="s">
        <v>1839</v>
      </c>
      <c r="H213" s="2" t="s">
        <v>328</v>
      </c>
      <c r="I213" s="2" t="s">
        <v>763</v>
      </c>
      <c r="J213" s="2" t="s">
        <v>30</v>
      </c>
      <c r="K213" s="2" t="s">
        <v>30</v>
      </c>
      <c r="L213" s="2" t="s">
        <v>334</v>
      </c>
      <c r="M213" s="2" t="s">
        <v>45</v>
      </c>
      <c r="N213" s="2" t="s">
        <v>446</v>
      </c>
      <c r="O213" s="2" t="s">
        <v>139</v>
      </c>
      <c r="P213" s="2" t="s">
        <v>103</v>
      </c>
      <c r="Q213" s="2" t="s">
        <v>420</v>
      </c>
      <c r="R213" s="2" t="s">
        <v>413</v>
      </c>
      <c r="S213" s="2" t="s">
        <v>34</v>
      </c>
      <c r="T213" s="124">
        <v>0.64500000000000002</v>
      </c>
      <c r="U213" s="2" t="s">
        <v>1840</v>
      </c>
      <c r="V213" s="138">
        <v>4.4999999999999998E-2</v>
      </c>
      <c r="W213" s="140">
        <v>2.8240000000000001E-2</v>
      </c>
      <c r="X213" s="3" t="s">
        <v>419</v>
      </c>
      <c r="Y213" s="3" t="s">
        <v>139</v>
      </c>
      <c r="Z213" s="124">
        <v>80273</v>
      </c>
      <c r="AA213" s="134">
        <v>1</v>
      </c>
      <c r="AB213" s="151">
        <v>119.91</v>
      </c>
      <c r="AC213" s="2"/>
      <c r="AD213" s="124">
        <v>96.254999999999995</v>
      </c>
      <c r="AE213" s="2"/>
      <c r="AF213" s="2"/>
      <c r="AG213" s="2" t="s">
        <v>36</v>
      </c>
      <c r="AH213" s="140">
        <v>2.6999999999999999E-5</v>
      </c>
      <c r="AI213" s="140">
        <v>1.91258447789182E-2</v>
      </c>
      <c r="AJ213" s="140">
        <v>4.5073794672940998E-3</v>
      </c>
    </row>
    <row r="214" spans="1:36">
      <c r="A214" s="2">
        <v>301</v>
      </c>
      <c r="B214" s="2">
        <v>7211</v>
      </c>
      <c r="C214" s="2" t="s">
        <v>1836</v>
      </c>
      <c r="D214" s="2" t="s">
        <v>1837</v>
      </c>
      <c r="E214" s="3" t="s">
        <v>1330</v>
      </c>
      <c r="F214" s="2" t="s">
        <v>1841</v>
      </c>
      <c r="G214" s="2" t="s">
        <v>1842</v>
      </c>
      <c r="H214" s="2" t="s">
        <v>328</v>
      </c>
      <c r="I214" s="2" t="s">
        <v>763</v>
      </c>
      <c r="J214" s="2" t="s">
        <v>30</v>
      </c>
      <c r="K214" s="2" t="s">
        <v>30</v>
      </c>
      <c r="L214" s="2" t="s">
        <v>334</v>
      </c>
      <c r="M214" s="2" t="s">
        <v>45</v>
      </c>
      <c r="N214" s="2" t="s">
        <v>446</v>
      </c>
      <c r="O214" s="2" t="s">
        <v>139</v>
      </c>
      <c r="P214" s="2" t="s">
        <v>103</v>
      </c>
      <c r="Q214" s="2" t="s">
        <v>420</v>
      </c>
      <c r="R214" s="2" t="s">
        <v>413</v>
      </c>
      <c r="S214" s="2" t="s">
        <v>34</v>
      </c>
      <c r="T214" s="124">
        <v>3.1850000000000001</v>
      </c>
      <c r="U214" s="2" t="s">
        <v>1843</v>
      </c>
      <c r="V214" s="138">
        <v>3.85E-2</v>
      </c>
      <c r="W214" s="140">
        <v>2.4279999999999999E-2</v>
      </c>
      <c r="X214" s="3" t="s">
        <v>419</v>
      </c>
      <c r="Y214" s="3" t="s">
        <v>139</v>
      </c>
      <c r="Z214" s="124">
        <v>60000</v>
      </c>
      <c r="AA214" s="134">
        <v>1</v>
      </c>
      <c r="AB214" s="151">
        <v>122.39</v>
      </c>
      <c r="AC214" s="2"/>
      <c r="AD214" s="124">
        <v>73.433999999999997</v>
      </c>
      <c r="AE214" s="2"/>
      <c r="AF214" s="2"/>
      <c r="AG214" s="2" t="s">
        <v>36</v>
      </c>
      <c r="AH214" s="140">
        <v>2.3E-5</v>
      </c>
      <c r="AI214" s="140">
        <v>1.45912639947041E-2</v>
      </c>
      <c r="AJ214" s="140">
        <v>3.4387167987524102E-3</v>
      </c>
    </row>
    <row r="215" spans="1:36">
      <c r="A215" s="2">
        <v>301</v>
      </c>
      <c r="B215" s="2">
        <v>7211</v>
      </c>
      <c r="C215" s="2" t="s">
        <v>1836</v>
      </c>
      <c r="D215" s="2" t="s">
        <v>1837</v>
      </c>
      <c r="E215" s="3" t="s">
        <v>1330</v>
      </c>
      <c r="F215" s="2" t="s">
        <v>1844</v>
      </c>
      <c r="G215" s="2" t="s">
        <v>1845</v>
      </c>
      <c r="H215" s="2" t="s">
        <v>328</v>
      </c>
      <c r="I215" s="2" t="s">
        <v>763</v>
      </c>
      <c r="J215" s="2" t="s">
        <v>30</v>
      </c>
      <c r="K215" s="2" t="s">
        <v>30</v>
      </c>
      <c r="L215" s="2" t="s">
        <v>334</v>
      </c>
      <c r="M215" s="2" t="s">
        <v>45</v>
      </c>
      <c r="N215" s="2" t="s">
        <v>446</v>
      </c>
      <c r="O215" s="2" t="s">
        <v>139</v>
      </c>
      <c r="P215" s="2" t="s">
        <v>103</v>
      </c>
      <c r="Q215" s="2" t="s">
        <v>420</v>
      </c>
      <c r="R215" s="2" t="s">
        <v>413</v>
      </c>
      <c r="S215" s="2" t="s">
        <v>34</v>
      </c>
      <c r="T215" s="124">
        <v>5.55</v>
      </c>
      <c r="U215" s="2" t="s">
        <v>1846</v>
      </c>
      <c r="V215" s="138">
        <v>2.3900000000000001E-2</v>
      </c>
      <c r="W215" s="140">
        <v>2.5940000000000001E-2</v>
      </c>
      <c r="X215" s="3" t="s">
        <v>419</v>
      </c>
      <c r="Y215" s="3" t="s">
        <v>139</v>
      </c>
      <c r="Z215" s="124">
        <v>65000</v>
      </c>
      <c r="AA215" s="134">
        <v>1</v>
      </c>
      <c r="AB215" s="151">
        <v>114.47</v>
      </c>
      <c r="AC215" s="2"/>
      <c r="AD215" s="124">
        <v>74.406000000000006</v>
      </c>
      <c r="AE215" s="2"/>
      <c r="AF215" s="2"/>
      <c r="AG215" s="2" t="s">
        <v>36</v>
      </c>
      <c r="AH215" s="140">
        <v>1.7E-5</v>
      </c>
      <c r="AI215" s="140">
        <v>1.47843000947512E-2</v>
      </c>
      <c r="AJ215" s="140">
        <v>3.4842095319548498E-3</v>
      </c>
    </row>
    <row r="216" spans="1:36">
      <c r="A216" s="2">
        <v>301</v>
      </c>
      <c r="B216" s="2">
        <v>7211</v>
      </c>
      <c r="C216" s="2" t="s">
        <v>1847</v>
      </c>
      <c r="D216" s="2" t="s">
        <v>1848</v>
      </c>
      <c r="E216" s="3" t="s">
        <v>1330</v>
      </c>
      <c r="F216" s="2" t="s">
        <v>1849</v>
      </c>
      <c r="G216" s="2" t="s">
        <v>1850</v>
      </c>
      <c r="H216" s="2" t="s">
        <v>328</v>
      </c>
      <c r="I216" s="2" t="s">
        <v>976</v>
      </c>
      <c r="J216" s="2" t="s">
        <v>30</v>
      </c>
      <c r="K216" s="2" t="s">
        <v>30</v>
      </c>
      <c r="L216" s="2" t="s">
        <v>334</v>
      </c>
      <c r="M216" s="2" t="s">
        <v>45</v>
      </c>
      <c r="N216" s="2" t="s">
        <v>468</v>
      </c>
      <c r="O216" s="2" t="s">
        <v>139</v>
      </c>
      <c r="P216" s="2" t="s">
        <v>1437</v>
      </c>
      <c r="Q216" s="2" t="s">
        <v>420</v>
      </c>
      <c r="R216" s="2" t="s">
        <v>413</v>
      </c>
      <c r="S216" s="2" t="s">
        <v>34</v>
      </c>
      <c r="T216" s="124">
        <v>1.9970000000000001</v>
      </c>
      <c r="U216" s="2" t="s">
        <v>1851</v>
      </c>
      <c r="V216" s="138">
        <v>2.18E-2</v>
      </c>
      <c r="W216" s="140">
        <v>5.2089999999999997E-2</v>
      </c>
      <c r="X216" s="3" t="s">
        <v>419</v>
      </c>
      <c r="Y216" s="3" t="s">
        <v>139</v>
      </c>
      <c r="Z216" s="124">
        <v>34000</v>
      </c>
      <c r="AA216" s="134">
        <v>1</v>
      </c>
      <c r="AB216" s="151">
        <v>94.59</v>
      </c>
      <c r="AC216" s="2"/>
      <c r="AD216" s="124">
        <v>32.161000000000001</v>
      </c>
      <c r="AE216" s="2"/>
      <c r="AF216" s="2"/>
      <c r="AG216" s="2" t="s">
        <v>36</v>
      </c>
      <c r="AH216" s="140">
        <v>1.05E-4</v>
      </c>
      <c r="AI216" s="140">
        <v>6.3902797726949701E-3</v>
      </c>
      <c r="AJ216" s="140">
        <v>1.50599443688151E-3</v>
      </c>
    </row>
    <row r="217" spans="1:36">
      <c r="A217" s="2">
        <v>301</v>
      </c>
      <c r="B217" s="2">
        <v>7211</v>
      </c>
      <c r="C217" s="2" t="s">
        <v>1847</v>
      </c>
      <c r="D217" s="2" t="s">
        <v>1848</v>
      </c>
      <c r="E217" s="3" t="s">
        <v>1330</v>
      </c>
      <c r="F217" s="2" t="s">
        <v>1852</v>
      </c>
      <c r="G217" s="2" t="s">
        <v>1853</v>
      </c>
      <c r="H217" s="2" t="s">
        <v>328</v>
      </c>
      <c r="I217" s="2" t="s">
        <v>763</v>
      </c>
      <c r="J217" s="2" t="s">
        <v>30</v>
      </c>
      <c r="K217" s="2" t="s">
        <v>30</v>
      </c>
      <c r="L217" s="2" t="s">
        <v>334</v>
      </c>
      <c r="M217" s="2" t="s">
        <v>45</v>
      </c>
      <c r="N217" s="2" t="s">
        <v>468</v>
      </c>
      <c r="O217" s="2" t="s">
        <v>139</v>
      </c>
      <c r="P217" s="2" t="s">
        <v>1437</v>
      </c>
      <c r="Q217" s="2" t="s">
        <v>420</v>
      </c>
      <c r="R217" s="2" t="s">
        <v>413</v>
      </c>
      <c r="S217" s="2" t="s">
        <v>34</v>
      </c>
      <c r="T217" s="124">
        <v>2.9510000000000001</v>
      </c>
      <c r="U217" s="2" t="s">
        <v>1854</v>
      </c>
      <c r="V217" s="138">
        <v>2.1999999999999999E-2</v>
      </c>
      <c r="W217" s="140">
        <v>2.7570000000000001E-2</v>
      </c>
      <c r="X217" s="3" t="s">
        <v>419</v>
      </c>
      <c r="Y217" s="3" t="s">
        <v>139</v>
      </c>
      <c r="Z217" s="124">
        <v>42241.38</v>
      </c>
      <c r="AA217" s="134">
        <v>1</v>
      </c>
      <c r="AB217" s="151">
        <v>105.56</v>
      </c>
      <c r="AC217" s="2"/>
      <c r="AD217" s="124">
        <v>44.59</v>
      </c>
      <c r="AE217" s="2"/>
      <c r="AF217" s="2"/>
      <c r="AG217" s="2" t="s">
        <v>36</v>
      </c>
      <c r="AH217" s="140">
        <v>1.2999999999999999E-4</v>
      </c>
      <c r="AI217" s="140">
        <v>8.8599895436214608E-3</v>
      </c>
      <c r="AJ217" s="140">
        <v>2.0880298575558401E-3</v>
      </c>
    </row>
    <row r="218" spans="1:36">
      <c r="A218" s="2">
        <v>301</v>
      </c>
      <c r="B218" s="2">
        <v>7211</v>
      </c>
      <c r="C218" s="2" t="s">
        <v>1855</v>
      </c>
      <c r="D218" s="2" t="s">
        <v>1856</v>
      </c>
      <c r="E218" s="3" t="s">
        <v>1330</v>
      </c>
      <c r="F218" s="2" t="s">
        <v>1857</v>
      </c>
      <c r="G218" s="2" t="s">
        <v>1858</v>
      </c>
      <c r="H218" s="2" t="s">
        <v>328</v>
      </c>
      <c r="I218" s="2" t="s">
        <v>763</v>
      </c>
      <c r="J218" s="2" t="s">
        <v>30</v>
      </c>
      <c r="K218" s="2" t="s">
        <v>30</v>
      </c>
      <c r="L218" s="2" t="s">
        <v>334</v>
      </c>
      <c r="M218" s="2" t="s">
        <v>45</v>
      </c>
      <c r="N218" s="2" t="s">
        <v>470</v>
      </c>
      <c r="O218" s="2" t="s">
        <v>139</v>
      </c>
      <c r="P218" s="2" t="s">
        <v>1719</v>
      </c>
      <c r="Q218" s="2" t="s">
        <v>420</v>
      </c>
      <c r="R218" s="2" t="s">
        <v>413</v>
      </c>
      <c r="S218" s="2" t="s">
        <v>34</v>
      </c>
      <c r="T218" s="124">
        <v>2.08</v>
      </c>
      <c r="U218" s="2" t="s">
        <v>1859</v>
      </c>
      <c r="V218" s="138">
        <v>1.5800000000000002E-2</v>
      </c>
      <c r="W218" s="140">
        <v>2.5649999999999999E-2</v>
      </c>
      <c r="X218" s="3" t="s">
        <v>419</v>
      </c>
      <c r="Y218" s="3" t="s">
        <v>139</v>
      </c>
      <c r="Z218" s="124">
        <v>24338.57</v>
      </c>
      <c r="AA218" s="134">
        <v>1</v>
      </c>
      <c r="AB218" s="151">
        <v>114.31</v>
      </c>
      <c r="AC218" s="2"/>
      <c r="AD218" s="124">
        <v>27.821000000000002</v>
      </c>
      <c r="AE218" s="2"/>
      <c r="AF218" s="2"/>
      <c r="AG218" s="2" t="s">
        <v>36</v>
      </c>
      <c r="AH218" s="140">
        <v>5.7000000000000003E-5</v>
      </c>
      <c r="AI218" s="140">
        <v>5.5280888238591298E-3</v>
      </c>
      <c r="AJ218" s="140">
        <v>1.3028022733670901E-3</v>
      </c>
    </row>
    <row r="219" spans="1:36">
      <c r="A219" s="2">
        <v>301</v>
      </c>
      <c r="B219" s="2">
        <v>7211</v>
      </c>
      <c r="C219" s="2" t="s">
        <v>1855</v>
      </c>
      <c r="D219" s="2" t="s">
        <v>1856</v>
      </c>
      <c r="E219" s="3" t="s">
        <v>1330</v>
      </c>
      <c r="F219" s="2" t="s">
        <v>1860</v>
      </c>
      <c r="G219" s="2" t="s">
        <v>1861</v>
      </c>
      <c r="H219" s="2" t="s">
        <v>328</v>
      </c>
      <c r="I219" s="2" t="s">
        <v>763</v>
      </c>
      <c r="J219" s="2" t="s">
        <v>30</v>
      </c>
      <c r="K219" s="2" t="s">
        <v>30</v>
      </c>
      <c r="L219" s="2" t="s">
        <v>334</v>
      </c>
      <c r="M219" s="2" t="s">
        <v>45</v>
      </c>
      <c r="N219" s="2" t="s">
        <v>470</v>
      </c>
      <c r="O219" s="2" t="s">
        <v>139</v>
      </c>
      <c r="P219" s="2" t="s">
        <v>1719</v>
      </c>
      <c r="Q219" s="2" t="s">
        <v>420</v>
      </c>
      <c r="R219" s="2" t="s">
        <v>413</v>
      </c>
      <c r="S219" s="2" t="s">
        <v>34</v>
      </c>
      <c r="T219" s="124">
        <v>4.7050000000000001</v>
      </c>
      <c r="U219" s="2" t="s">
        <v>1862</v>
      </c>
      <c r="V219" s="138">
        <v>8.3999999999999995E-3</v>
      </c>
      <c r="W219" s="140">
        <v>2.6040000000000001E-2</v>
      </c>
      <c r="X219" s="3" t="s">
        <v>419</v>
      </c>
      <c r="Y219" s="3" t="s">
        <v>139</v>
      </c>
      <c r="Z219" s="124">
        <v>46703.3</v>
      </c>
      <c r="AA219" s="134">
        <v>1</v>
      </c>
      <c r="AB219" s="151">
        <v>105.54</v>
      </c>
      <c r="AC219" s="2"/>
      <c r="AD219" s="124">
        <v>49.290999999999997</v>
      </c>
      <c r="AE219" s="2"/>
      <c r="AF219" s="2"/>
      <c r="AG219" s="2" t="s">
        <v>36</v>
      </c>
      <c r="AH219" s="140">
        <v>6.0999999999999999E-5</v>
      </c>
      <c r="AI219" s="140">
        <v>9.7940065048964797E-3</v>
      </c>
      <c r="AJ219" s="140">
        <v>2.3081492259821698E-3</v>
      </c>
    </row>
    <row r="220" spans="1:36">
      <c r="A220" s="2">
        <v>301</v>
      </c>
      <c r="B220" s="2">
        <v>7211</v>
      </c>
      <c r="C220" s="2" t="s">
        <v>1586</v>
      </c>
      <c r="D220" s="2" t="s">
        <v>1587</v>
      </c>
      <c r="E220" s="3" t="s">
        <v>1330</v>
      </c>
      <c r="F220" s="2" t="s">
        <v>2042</v>
      </c>
      <c r="G220" s="2" t="s">
        <v>2043</v>
      </c>
      <c r="H220" s="2" t="s">
        <v>328</v>
      </c>
      <c r="I220" s="2" t="s">
        <v>976</v>
      </c>
      <c r="J220" s="2" t="s">
        <v>30</v>
      </c>
      <c r="K220" s="2" t="s">
        <v>30</v>
      </c>
      <c r="L220" s="2" t="s">
        <v>334</v>
      </c>
      <c r="M220" s="2" t="s">
        <v>45</v>
      </c>
      <c r="N220" s="2" t="s">
        <v>451</v>
      </c>
      <c r="O220" s="2" t="s">
        <v>139</v>
      </c>
      <c r="P220" s="2" t="s">
        <v>1437</v>
      </c>
      <c r="Q220" s="2" t="s">
        <v>420</v>
      </c>
      <c r="R220" s="2" t="s">
        <v>413</v>
      </c>
      <c r="S220" s="2" t="s">
        <v>34</v>
      </c>
      <c r="T220" s="124">
        <v>5.0599999999999996</v>
      </c>
      <c r="U220" s="2" t="s">
        <v>2044</v>
      </c>
      <c r="V220" s="138">
        <v>5.2499999999999998E-2</v>
      </c>
      <c r="W220" s="140">
        <v>4.9360000000000001E-2</v>
      </c>
      <c r="X220" s="3" t="s">
        <v>419</v>
      </c>
      <c r="Y220" s="3" t="s">
        <v>139</v>
      </c>
      <c r="Z220" s="124">
        <v>70000</v>
      </c>
      <c r="AA220" s="134">
        <v>1</v>
      </c>
      <c r="AB220" s="151">
        <v>102.73</v>
      </c>
      <c r="AC220" s="2"/>
      <c r="AD220" s="124">
        <v>71.911000000000001</v>
      </c>
      <c r="AE220" s="2"/>
      <c r="AF220" s="2"/>
      <c r="AG220" s="2" t="s">
        <v>36</v>
      </c>
      <c r="AH220" s="140">
        <v>1.3999999999999999E-4</v>
      </c>
      <c r="AI220" s="140">
        <v>1.42886453839253E-2</v>
      </c>
      <c r="AJ220" s="140">
        <v>3.3673988032122001E-3</v>
      </c>
    </row>
    <row r="221" spans="1:36">
      <c r="A221" s="2">
        <v>301</v>
      </c>
      <c r="B221" s="2">
        <v>7211</v>
      </c>
      <c r="C221" s="2" t="s">
        <v>1181</v>
      </c>
      <c r="D221" s="2" t="s">
        <v>1590</v>
      </c>
      <c r="E221" s="3" t="s">
        <v>1330</v>
      </c>
      <c r="F221" s="2" t="s">
        <v>1867</v>
      </c>
      <c r="G221" s="2" t="s">
        <v>1868</v>
      </c>
      <c r="H221" s="2" t="s">
        <v>328</v>
      </c>
      <c r="I221" s="2" t="s">
        <v>763</v>
      </c>
      <c r="J221" s="2" t="s">
        <v>30</v>
      </c>
      <c r="K221" s="2" t="s">
        <v>30</v>
      </c>
      <c r="L221" s="2" t="s">
        <v>334</v>
      </c>
      <c r="M221" s="2" t="s">
        <v>45</v>
      </c>
      <c r="N221" s="2" t="s">
        <v>454</v>
      </c>
      <c r="O221" s="2" t="s">
        <v>139</v>
      </c>
      <c r="P221" s="2" t="s">
        <v>1177</v>
      </c>
      <c r="Q221" s="2" t="s">
        <v>420</v>
      </c>
      <c r="R221" s="2" t="s">
        <v>413</v>
      </c>
      <c r="S221" s="2" t="s">
        <v>34</v>
      </c>
      <c r="T221" s="124">
        <v>1.482</v>
      </c>
      <c r="U221" s="2" t="s">
        <v>1869</v>
      </c>
      <c r="V221" s="138">
        <v>8.3000000000000001E-3</v>
      </c>
      <c r="W221" s="140">
        <v>2.2599999999999999E-2</v>
      </c>
      <c r="X221" s="3" t="s">
        <v>419</v>
      </c>
      <c r="Y221" s="3" t="s">
        <v>139</v>
      </c>
      <c r="Z221" s="124">
        <v>45008</v>
      </c>
      <c r="AA221" s="134">
        <v>1</v>
      </c>
      <c r="AB221" s="151">
        <v>113.32</v>
      </c>
      <c r="AC221" s="2"/>
      <c r="AD221" s="124">
        <v>51.003</v>
      </c>
      <c r="AE221" s="2"/>
      <c r="AF221" s="2"/>
      <c r="AG221" s="2" t="s">
        <v>36</v>
      </c>
      <c r="AH221" s="140">
        <v>3.0000000000000001E-5</v>
      </c>
      <c r="AI221" s="140">
        <v>1.01342592628593E-2</v>
      </c>
      <c r="AJ221" s="140">
        <v>2.3883364445160399E-3</v>
      </c>
    </row>
    <row r="222" spans="1:36">
      <c r="A222" s="2">
        <v>301</v>
      </c>
      <c r="B222" s="2">
        <v>7211</v>
      </c>
      <c r="C222" s="2" t="s">
        <v>1181</v>
      </c>
      <c r="D222" s="2" t="s">
        <v>1590</v>
      </c>
      <c r="E222" s="3" t="s">
        <v>1330</v>
      </c>
      <c r="F222" s="2" t="s">
        <v>1870</v>
      </c>
      <c r="G222" s="2" t="s">
        <v>1871</v>
      </c>
      <c r="H222" s="2" t="s">
        <v>328</v>
      </c>
      <c r="I222" s="2" t="s">
        <v>763</v>
      </c>
      <c r="J222" s="2" t="s">
        <v>30</v>
      </c>
      <c r="K222" s="2" t="s">
        <v>30</v>
      </c>
      <c r="L222" s="2" t="s">
        <v>334</v>
      </c>
      <c r="M222" s="2" t="s">
        <v>45</v>
      </c>
      <c r="N222" s="2" t="s">
        <v>454</v>
      </c>
      <c r="O222" s="2" t="s">
        <v>139</v>
      </c>
      <c r="P222" s="2" t="s">
        <v>1177</v>
      </c>
      <c r="Q222" s="2" t="s">
        <v>420</v>
      </c>
      <c r="R222" s="2" t="s">
        <v>413</v>
      </c>
      <c r="S222" s="2" t="s">
        <v>34</v>
      </c>
      <c r="T222" s="124">
        <v>2.3250000000000002</v>
      </c>
      <c r="U222" s="2" t="s">
        <v>1872</v>
      </c>
      <c r="V222" s="138">
        <v>1.8599999999999998E-2</v>
      </c>
      <c r="W222" s="140">
        <v>2.3189999999999999E-2</v>
      </c>
      <c r="X222" s="3" t="s">
        <v>419</v>
      </c>
      <c r="Y222" s="3" t="s">
        <v>139</v>
      </c>
      <c r="Z222" s="124">
        <v>148000</v>
      </c>
      <c r="AA222" s="134">
        <v>1</v>
      </c>
      <c r="AB222" s="151">
        <v>103.01</v>
      </c>
      <c r="AC222" s="2"/>
      <c r="AD222" s="124">
        <v>152.45500000000001</v>
      </c>
      <c r="AE222" s="2"/>
      <c r="AF222" s="2"/>
      <c r="AG222" s="2" t="s">
        <v>36</v>
      </c>
      <c r="AH222" s="140">
        <v>8.0000000000000007E-5</v>
      </c>
      <c r="AI222" s="140">
        <v>3.02926196865188E-2</v>
      </c>
      <c r="AJ222" s="140">
        <v>7.1390484218541699E-3</v>
      </c>
    </row>
    <row r="223" spans="1:36">
      <c r="A223" s="2">
        <v>301</v>
      </c>
      <c r="B223" s="2">
        <v>7211</v>
      </c>
      <c r="C223" s="2" t="s">
        <v>1181</v>
      </c>
      <c r="D223" s="2" t="s">
        <v>1590</v>
      </c>
      <c r="E223" s="3" t="s">
        <v>1330</v>
      </c>
      <c r="F223" s="2" t="s">
        <v>1873</v>
      </c>
      <c r="G223" s="2" t="s">
        <v>1874</v>
      </c>
      <c r="H223" s="2" t="s">
        <v>328</v>
      </c>
      <c r="I223" s="2" t="s">
        <v>763</v>
      </c>
      <c r="J223" s="2" t="s">
        <v>30</v>
      </c>
      <c r="K223" s="2" t="s">
        <v>30</v>
      </c>
      <c r="L223" s="2" t="s">
        <v>334</v>
      </c>
      <c r="M223" s="2" t="s">
        <v>45</v>
      </c>
      <c r="N223" s="2" t="s">
        <v>454</v>
      </c>
      <c r="O223" s="2" t="s">
        <v>139</v>
      </c>
      <c r="P223" s="2" t="s">
        <v>1177</v>
      </c>
      <c r="Q223" s="2" t="s">
        <v>420</v>
      </c>
      <c r="R223" s="2" t="s">
        <v>413</v>
      </c>
      <c r="S223" s="2" t="s">
        <v>34</v>
      </c>
      <c r="T223" s="124">
        <v>2.8929999999999998</v>
      </c>
      <c r="U223" s="2" t="s">
        <v>1875</v>
      </c>
      <c r="V223" s="138">
        <v>1E-3</v>
      </c>
      <c r="W223" s="140">
        <v>2.1919999999999999E-2</v>
      </c>
      <c r="X223" s="3" t="s">
        <v>419</v>
      </c>
      <c r="Y223" s="3" t="s">
        <v>139</v>
      </c>
      <c r="Z223" s="124">
        <v>52000</v>
      </c>
      <c r="AA223" s="134">
        <v>1</v>
      </c>
      <c r="AB223" s="151">
        <v>105.89</v>
      </c>
      <c r="AC223" s="2"/>
      <c r="AD223" s="124">
        <v>55.063000000000002</v>
      </c>
      <c r="AE223" s="2"/>
      <c r="AF223" s="2"/>
      <c r="AG223" s="2" t="s">
        <v>36</v>
      </c>
      <c r="AH223" s="140">
        <v>1.7E-5</v>
      </c>
      <c r="AI223" s="140">
        <v>1.09409245184464E-2</v>
      </c>
      <c r="AJ223" s="140">
        <v>2.5784428922072098E-3</v>
      </c>
    </row>
    <row r="224" spans="1:36">
      <c r="A224" s="2">
        <v>301</v>
      </c>
      <c r="B224" s="2">
        <v>7211</v>
      </c>
      <c r="C224" s="2" t="s">
        <v>1181</v>
      </c>
      <c r="D224" s="2" t="s">
        <v>1590</v>
      </c>
      <c r="E224" s="3" t="s">
        <v>1330</v>
      </c>
      <c r="F224" s="2" t="s">
        <v>1876</v>
      </c>
      <c r="G224" s="2" t="s">
        <v>1877</v>
      </c>
      <c r="H224" s="2" t="s">
        <v>328</v>
      </c>
      <c r="I224" s="2" t="s">
        <v>763</v>
      </c>
      <c r="J224" s="2" t="s">
        <v>30</v>
      </c>
      <c r="K224" s="2" t="s">
        <v>30</v>
      </c>
      <c r="L224" s="2" t="s">
        <v>334</v>
      </c>
      <c r="M224" s="2" t="s">
        <v>45</v>
      </c>
      <c r="N224" s="2" t="s">
        <v>454</v>
      </c>
      <c r="O224" s="2" t="s">
        <v>139</v>
      </c>
      <c r="P224" s="2" t="s">
        <v>1177</v>
      </c>
      <c r="Q224" s="2" t="s">
        <v>420</v>
      </c>
      <c r="R224" s="2" t="s">
        <v>413</v>
      </c>
      <c r="S224" s="2" t="s">
        <v>34</v>
      </c>
      <c r="T224" s="124">
        <v>4.8490000000000002</v>
      </c>
      <c r="U224" s="2" t="s">
        <v>1878</v>
      </c>
      <c r="V224" s="138">
        <v>2.0199999999999999E-2</v>
      </c>
      <c r="W224" s="140">
        <v>2.4299999999999999E-2</v>
      </c>
      <c r="X224" s="3" t="s">
        <v>419</v>
      </c>
      <c r="Y224" s="3" t="s">
        <v>139</v>
      </c>
      <c r="Z224" s="124">
        <v>93000</v>
      </c>
      <c r="AA224" s="134">
        <v>1</v>
      </c>
      <c r="AB224" s="151">
        <v>101.65</v>
      </c>
      <c r="AC224" s="2"/>
      <c r="AD224" s="124">
        <v>94.534000000000006</v>
      </c>
      <c r="AE224" s="2"/>
      <c r="AF224" s="2"/>
      <c r="AG224" s="2" t="s">
        <v>36</v>
      </c>
      <c r="AH224" s="140">
        <v>2.5999999999999998E-5</v>
      </c>
      <c r="AI224" s="140">
        <v>1.87839127121954E-2</v>
      </c>
      <c r="AJ224" s="140">
        <v>4.4267964867998402E-3</v>
      </c>
    </row>
    <row r="225" spans="1:36">
      <c r="A225" s="2">
        <v>301</v>
      </c>
      <c r="B225" s="2">
        <v>7211</v>
      </c>
      <c r="C225" s="2" t="s">
        <v>1181</v>
      </c>
      <c r="D225" s="2" t="s">
        <v>1590</v>
      </c>
      <c r="E225" s="3" t="s">
        <v>1330</v>
      </c>
      <c r="F225" s="2" t="s">
        <v>1879</v>
      </c>
      <c r="G225" s="2" t="s">
        <v>1880</v>
      </c>
      <c r="H225" s="2" t="s">
        <v>328</v>
      </c>
      <c r="I225" s="2" t="s">
        <v>763</v>
      </c>
      <c r="J225" s="2" t="s">
        <v>30</v>
      </c>
      <c r="K225" s="2" t="s">
        <v>30</v>
      </c>
      <c r="L225" s="2" t="s">
        <v>334</v>
      </c>
      <c r="M225" s="2" t="s">
        <v>45</v>
      </c>
      <c r="N225" s="2" t="s">
        <v>454</v>
      </c>
      <c r="O225" s="2" t="s">
        <v>139</v>
      </c>
      <c r="P225" s="2" t="s">
        <v>1177</v>
      </c>
      <c r="Q225" s="2" t="s">
        <v>420</v>
      </c>
      <c r="R225" s="2" t="s">
        <v>413</v>
      </c>
      <c r="S225" s="2" t="s">
        <v>34</v>
      </c>
      <c r="T225" s="124">
        <v>4.8879999999999999</v>
      </c>
      <c r="U225" s="2" t="s">
        <v>1881</v>
      </c>
      <c r="V225" s="138">
        <v>1E-3</v>
      </c>
      <c r="W225" s="140">
        <v>2.3630000000000002E-2</v>
      </c>
      <c r="X225" s="3" t="s">
        <v>419</v>
      </c>
      <c r="Y225" s="3" t="s">
        <v>139</v>
      </c>
      <c r="Z225" s="124">
        <v>54000</v>
      </c>
      <c r="AA225" s="134">
        <v>1</v>
      </c>
      <c r="AB225" s="151">
        <v>100.78</v>
      </c>
      <c r="AC225" s="2"/>
      <c r="AD225" s="124">
        <v>54.420999999999999</v>
      </c>
      <c r="AE225" s="2"/>
      <c r="AF225" s="2"/>
      <c r="AG225" s="2" t="s">
        <v>36</v>
      </c>
      <c r="AH225" s="140">
        <v>2.1999999999999999E-5</v>
      </c>
      <c r="AI225" s="140">
        <v>1.0813439225816301E-2</v>
      </c>
      <c r="AJ225" s="140">
        <v>2.5483984890958501E-3</v>
      </c>
    </row>
    <row r="226" spans="1:36">
      <c r="A226" s="2">
        <v>301</v>
      </c>
      <c r="B226" s="2">
        <v>7211</v>
      </c>
      <c r="C226" s="2" t="s">
        <v>1181</v>
      </c>
      <c r="D226" s="2" t="s">
        <v>1590</v>
      </c>
      <c r="E226" s="3" t="s">
        <v>1330</v>
      </c>
      <c r="F226" s="2" t="s">
        <v>1882</v>
      </c>
      <c r="G226" s="2" t="s">
        <v>1883</v>
      </c>
      <c r="H226" s="2" t="s">
        <v>328</v>
      </c>
      <c r="I226" s="2" t="s">
        <v>763</v>
      </c>
      <c r="J226" s="2" t="s">
        <v>30</v>
      </c>
      <c r="K226" s="2" t="s">
        <v>30</v>
      </c>
      <c r="L226" s="2" t="s">
        <v>334</v>
      </c>
      <c r="M226" s="2" t="s">
        <v>45</v>
      </c>
      <c r="N226" s="2" t="s">
        <v>454</v>
      </c>
      <c r="O226" s="2" t="s">
        <v>139</v>
      </c>
      <c r="P226" s="2" t="s">
        <v>1437</v>
      </c>
      <c r="Q226" s="2" t="s">
        <v>420</v>
      </c>
      <c r="R226" s="2" t="s">
        <v>413</v>
      </c>
      <c r="S226" s="2" t="s">
        <v>34</v>
      </c>
      <c r="T226" s="124">
        <v>0.156</v>
      </c>
      <c r="U226" s="2" t="s">
        <v>1884</v>
      </c>
      <c r="V226" s="138">
        <v>2.4199999999999999E-2</v>
      </c>
      <c r="W226" s="140">
        <v>3.0329999999999999E-2</v>
      </c>
      <c r="X226" s="3" t="s">
        <v>419</v>
      </c>
      <c r="Y226" s="3" t="s">
        <v>139</v>
      </c>
      <c r="Z226" s="124">
        <v>100000</v>
      </c>
      <c r="AA226" s="134">
        <v>1</v>
      </c>
      <c r="AB226" s="151">
        <v>117.46</v>
      </c>
      <c r="AC226" s="2"/>
      <c r="AD226" s="124">
        <v>117.46</v>
      </c>
      <c r="AE226" s="2"/>
      <c r="AF226" s="2"/>
      <c r="AG226" s="2" t="s">
        <v>36</v>
      </c>
      <c r="AH226" s="140">
        <v>6.8999999999999997E-5</v>
      </c>
      <c r="AI226" s="140">
        <v>2.3339187145163701E-2</v>
      </c>
      <c r="AJ226" s="140">
        <v>5.5003360184854204E-3</v>
      </c>
    </row>
    <row r="227" spans="1:36">
      <c r="A227" s="2">
        <v>301</v>
      </c>
      <c r="B227" s="2">
        <v>7211</v>
      </c>
      <c r="C227" s="2" t="s">
        <v>1181</v>
      </c>
      <c r="D227" s="2" t="s">
        <v>1590</v>
      </c>
      <c r="E227" s="3" t="s">
        <v>1330</v>
      </c>
      <c r="F227" s="2" t="s">
        <v>1885</v>
      </c>
      <c r="G227" s="2" t="s">
        <v>1886</v>
      </c>
      <c r="H227" s="2" t="s">
        <v>328</v>
      </c>
      <c r="I227" s="2" t="s">
        <v>763</v>
      </c>
      <c r="J227" s="2" t="s">
        <v>30</v>
      </c>
      <c r="K227" s="2" t="s">
        <v>30</v>
      </c>
      <c r="L227" s="2" t="s">
        <v>334</v>
      </c>
      <c r="M227" s="2" t="s">
        <v>45</v>
      </c>
      <c r="N227" s="2" t="s">
        <v>454</v>
      </c>
      <c r="O227" s="2" t="s">
        <v>139</v>
      </c>
      <c r="P227" s="2" t="s">
        <v>1437</v>
      </c>
      <c r="Q227" s="2" t="s">
        <v>420</v>
      </c>
      <c r="R227" s="2" t="s">
        <v>413</v>
      </c>
      <c r="S227" s="2" t="s">
        <v>34</v>
      </c>
      <c r="T227" s="124">
        <v>3.4049999999999998</v>
      </c>
      <c r="U227" s="2" t="s">
        <v>1887</v>
      </c>
      <c r="V227" s="138">
        <v>2.7799999999999998E-2</v>
      </c>
      <c r="W227" s="140">
        <v>2.6610000000000002E-2</v>
      </c>
      <c r="X227" s="3" t="s">
        <v>419</v>
      </c>
      <c r="Y227" s="3" t="s">
        <v>139</v>
      </c>
      <c r="Z227" s="124">
        <v>45000</v>
      </c>
      <c r="AA227" s="134">
        <v>1</v>
      </c>
      <c r="AB227" s="151">
        <v>116.34</v>
      </c>
      <c r="AC227" s="2"/>
      <c r="AD227" s="124">
        <v>52.353000000000002</v>
      </c>
      <c r="AE227" s="2"/>
      <c r="AF227" s="2"/>
      <c r="AG227" s="2" t="s">
        <v>36</v>
      </c>
      <c r="AH227" s="140">
        <v>2.1499999999999999E-4</v>
      </c>
      <c r="AI227" s="140">
        <v>1.04024899081454E-2</v>
      </c>
      <c r="AJ227" s="140">
        <v>2.4515502432808402E-3</v>
      </c>
    </row>
    <row r="228" spans="1:36">
      <c r="A228" s="2">
        <v>301</v>
      </c>
      <c r="B228" s="2">
        <v>7211</v>
      </c>
      <c r="C228" s="2" t="s">
        <v>1888</v>
      </c>
      <c r="D228" s="2" t="s">
        <v>1889</v>
      </c>
      <c r="E228" s="3" t="s">
        <v>1330</v>
      </c>
      <c r="F228" s="2" t="s">
        <v>1890</v>
      </c>
      <c r="G228" s="2" t="s">
        <v>1891</v>
      </c>
      <c r="H228" s="2" t="s">
        <v>328</v>
      </c>
      <c r="I228" s="2" t="s">
        <v>763</v>
      </c>
      <c r="J228" s="2" t="s">
        <v>30</v>
      </c>
      <c r="K228" s="2" t="s">
        <v>30</v>
      </c>
      <c r="L228" s="2" t="s">
        <v>334</v>
      </c>
      <c r="M228" s="2" t="s">
        <v>45</v>
      </c>
      <c r="N228" s="2" t="s">
        <v>470</v>
      </c>
      <c r="O228" s="2" t="s">
        <v>139</v>
      </c>
      <c r="P228" s="2" t="s">
        <v>1719</v>
      </c>
      <c r="Q228" s="2" t="s">
        <v>420</v>
      </c>
      <c r="R228" s="2" t="s">
        <v>413</v>
      </c>
      <c r="S228" s="2" t="s">
        <v>34</v>
      </c>
      <c r="T228" s="124">
        <v>3.2370000000000001</v>
      </c>
      <c r="U228" s="2" t="s">
        <v>1813</v>
      </c>
      <c r="V228" s="138">
        <v>2.81E-2</v>
      </c>
      <c r="W228" s="140">
        <v>2.6769999999999999E-2</v>
      </c>
      <c r="X228" s="3" t="s">
        <v>419</v>
      </c>
      <c r="Y228" s="3" t="s">
        <v>139</v>
      </c>
      <c r="Z228" s="124">
        <v>26250</v>
      </c>
      <c r="AA228" s="134">
        <v>1</v>
      </c>
      <c r="AB228" s="151">
        <v>117.18</v>
      </c>
      <c r="AC228" s="2"/>
      <c r="AD228" s="124">
        <v>30.76</v>
      </c>
      <c r="AE228" s="2"/>
      <c r="AF228" s="2"/>
      <c r="AG228" s="2" t="s">
        <v>36</v>
      </c>
      <c r="AH228" s="140">
        <v>1.9000000000000001E-5</v>
      </c>
      <c r="AI228" s="140">
        <v>6.1119322474753003E-3</v>
      </c>
      <c r="AJ228" s="140">
        <v>1.44039639745111E-3</v>
      </c>
    </row>
    <row r="229" spans="1:36">
      <c r="A229" s="2">
        <v>301</v>
      </c>
      <c r="B229" s="2">
        <v>7211</v>
      </c>
      <c r="C229" s="2" t="s">
        <v>1888</v>
      </c>
      <c r="D229" s="2" t="s">
        <v>1889</v>
      </c>
      <c r="E229" s="3" t="s">
        <v>1330</v>
      </c>
      <c r="F229" s="2" t="s">
        <v>1892</v>
      </c>
      <c r="G229" s="2" t="s">
        <v>1893</v>
      </c>
      <c r="H229" s="2" t="s">
        <v>328</v>
      </c>
      <c r="I229" s="2" t="s">
        <v>763</v>
      </c>
      <c r="J229" s="2" t="s">
        <v>30</v>
      </c>
      <c r="K229" s="2" t="s">
        <v>30</v>
      </c>
      <c r="L229" s="2" t="s">
        <v>334</v>
      </c>
      <c r="M229" s="2" t="s">
        <v>45</v>
      </c>
      <c r="N229" s="2" t="s">
        <v>470</v>
      </c>
      <c r="O229" s="2" t="s">
        <v>139</v>
      </c>
      <c r="P229" s="2" t="s">
        <v>1719</v>
      </c>
      <c r="Q229" s="2" t="s">
        <v>420</v>
      </c>
      <c r="R229" s="2" t="s">
        <v>413</v>
      </c>
      <c r="S229" s="2" t="s">
        <v>34</v>
      </c>
      <c r="T229" s="124">
        <v>1.929</v>
      </c>
      <c r="U229" s="2" t="s">
        <v>1797</v>
      </c>
      <c r="V229" s="138">
        <v>3.6999999999999998E-2</v>
      </c>
      <c r="W229" s="140">
        <v>2.6380000000000001E-2</v>
      </c>
      <c r="X229" s="3" t="s">
        <v>419</v>
      </c>
      <c r="Y229" s="3" t="s">
        <v>139</v>
      </c>
      <c r="Z229" s="124">
        <v>16617.599999999999</v>
      </c>
      <c r="AA229" s="134">
        <v>1</v>
      </c>
      <c r="AB229" s="151">
        <v>117.74</v>
      </c>
      <c r="AC229" s="2"/>
      <c r="AD229" s="124">
        <v>19.565999999999999</v>
      </c>
      <c r="AE229" s="2"/>
      <c r="AF229" s="2"/>
      <c r="AG229" s="2" t="s">
        <v>36</v>
      </c>
      <c r="AH229" s="140">
        <v>5.5000000000000002E-5</v>
      </c>
      <c r="AI229" s="140">
        <v>3.88765808547342E-3</v>
      </c>
      <c r="AJ229" s="140">
        <v>9.1620267930010398E-4</v>
      </c>
    </row>
    <row r="230" spans="1:36">
      <c r="A230" s="2">
        <v>301</v>
      </c>
      <c r="B230" s="2">
        <v>7211</v>
      </c>
      <c r="C230" s="2" t="s">
        <v>1894</v>
      </c>
      <c r="D230" s="2" t="s">
        <v>1895</v>
      </c>
      <c r="E230" s="3" t="s">
        <v>1330</v>
      </c>
      <c r="F230" s="2" t="s">
        <v>1896</v>
      </c>
      <c r="G230" s="2" t="s">
        <v>1897</v>
      </c>
      <c r="H230" s="2" t="s">
        <v>328</v>
      </c>
      <c r="I230" s="2" t="s">
        <v>976</v>
      </c>
      <c r="J230" s="2" t="s">
        <v>30</v>
      </c>
      <c r="K230" s="2" t="s">
        <v>30</v>
      </c>
      <c r="L230" s="2" t="s">
        <v>334</v>
      </c>
      <c r="M230" s="2" t="s">
        <v>31</v>
      </c>
      <c r="N230" s="2" t="s">
        <v>451</v>
      </c>
      <c r="O230" s="2" t="s">
        <v>139</v>
      </c>
      <c r="P230" s="2" t="s">
        <v>1725</v>
      </c>
      <c r="Q230" s="2" t="s">
        <v>422</v>
      </c>
      <c r="R230" s="2" t="s">
        <v>413</v>
      </c>
      <c r="S230" s="2" t="s">
        <v>34</v>
      </c>
      <c r="T230" s="124">
        <v>7.1070000000000002</v>
      </c>
      <c r="U230" s="2" t="s">
        <v>1824</v>
      </c>
      <c r="V230" s="138">
        <v>6.0699999999999997E-2</v>
      </c>
      <c r="W230" s="140">
        <v>5.5359999999999999E-2</v>
      </c>
      <c r="X230" s="3" t="s">
        <v>419</v>
      </c>
      <c r="Y230" s="3" t="s">
        <v>139</v>
      </c>
      <c r="Z230" s="124">
        <v>30517</v>
      </c>
      <c r="AA230" s="134">
        <v>1</v>
      </c>
      <c r="AB230" s="151">
        <v>104.27</v>
      </c>
      <c r="AC230" s="2"/>
      <c r="AD230" s="124">
        <v>31.82</v>
      </c>
      <c r="AE230" s="2"/>
      <c r="AF230" s="2"/>
      <c r="AG230" s="2" t="s">
        <v>36</v>
      </c>
      <c r="AH230" s="140">
        <v>6.7000000000000002E-5</v>
      </c>
      <c r="AI230" s="140">
        <v>6.3226179669965297E-3</v>
      </c>
      <c r="AJ230" s="140">
        <v>1.4900486087494401E-3</v>
      </c>
    </row>
    <row r="231" spans="1:36">
      <c r="A231" s="2">
        <v>301</v>
      </c>
      <c r="B231" s="2">
        <v>7211</v>
      </c>
      <c r="C231" s="2" t="s">
        <v>1894</v>
      </c>
      <c r="D231" s="2" t="s">
        <v>1895</v>
      </c>
      <c r="E231" s="3" t="s">
        <v>1330</v>
      </c>
      <c r="F231" s="2" t="s">
        <v>1898</v>
      </c>
      <c r="G231" s="2" t="s">
        <v>1899</v>
      </c>
      <c r="H231" s="2" t="s">
        <v>328</v>
      </c>
      <c r="I231" s="2" t="s">
        <v>976</v>
      </c>
      <c r="J231" s="2" t="s">
        <v>30</v>
      </c>
      <c r="K231" s="2" t="s">
        <v>30</v>
      </c>
      <c r="L231" s="2" t="s">
        <v>334</v>
      </c>
      <c r="M231" s="2" t="s">
        <v>31</v>
      </c>
      <c r="N231" s="2" t="s">
        <v>451</v>
      </c>
      <c r="O231" s="2" t="s">
        <v>139</v>
      </c>
      <c r="P231" s="2" t="s">
        <v>1725</v>
      </c>
      <c r="Q231" s="2" t="s">
        <v>420</v>
      </c>
      <c r="R231" s="2" t="s">
        <v>413</v>
      </c>
      <c r="S231" s="2" t="s">
        <v>34</v>
      </c>
      <c r="T231" s="124">
        <v>6.4870000000000001</v>
      </c>
      <c r="U231" s="2" t="s">
        <v>1900</v>
      </c>
      <c r="V231" s="138">
        <v>6.0699999999999997E-2</v>
      </c>
      <c r="W231" s="140">
        <v>5.4800000000000001E-2</v>
      </c>
      <c r="X231" s="3" t="s">
        <v>419</v>
      </c>
      <c r="Y231" s="3" t="s">
        <v>139</v>
      </c>
      <c r="Z231" s="124">
        <v>30517</v>
      </c>
      <c r="AA231" s="134">
        <v>1</v>
      </c>
      <c r="AB231" s="151">
        <v>104.26</v>
      </c>
      <c r="AC231" s="2"/>
      <c r="AD231" s="124">
        <v>31.817</v>
      </c>
      <c r="AE231" s="2"/>
      <c r="AF231" s="2"/>
      <c r="AG231" s="2" t="s">
        <v>36</v>
      </c>
      <c r="AH231" s="140">
        <v>6.7000000000000002E-5</v>
      </c>
      <c r="AI231" s="140">
        <v>6.3220115971905399E-3</v>
      </c>
      <c r="AJ231" s="140">
        <v>1.48990570584269E-3</v>
      </c>
    </row>
    <row r="232" spans="1:36">
      <c r="A232" s="2">
        <v>301</v>
      </c>
      <c r="B232" s="2">
        <v>7211</v>
      </c>
      <c r="C232" s="2" t="s">
        <v>1901</v>
      </c>
      <c r="D232" s="2" t="s">
        <v>1902</v>
      </c>
      <c r="E232" s="3" t="s">
        <v>1330</v>
      </c>
      <c r="F232" s="2" t="s">
        <v>1905</v>
      </c>
      <c r="G232" s="2" t="s">
        <v>1906</v>
      </c>
      <c r="H232" s="2" t="s">
        <v>328</v>
      </c>
      <c r="I232" s="2" t="s">
        <v>763</v>
      </c>
      <c r="J232" s="2" t="s">
        <v>30</v>
      </c>
      <c r="K232" s="2" t="s">
        <v>30</v>
      </c>
      <c r="L232" s="2" t="s">
        <v>334</v>
      </c>
      <c r="M232" s="2" t="s">
        <v>45</v>
      </c>
      <c r="N232" s="2" t="s">
        <v>470</v>
      </c>
      <c r="O232" s="2" t="s">
        <v>139</v>
      </c>
      <c r="P232" s="2" t="s">
        <v>1725</v>
      </c>
      <c r="Q232" s="2" t="s">
        <v>420</v>
      </c>
      <c r="R232" s="2" t="s">
        <v>413</v>
      </c>
      <c r="S232" s="2" t="s">
        <v>34</v>
      </c>
      <c r="T232" s="124">
        <v>1.6160000000000001</v>
      </c>
      <c r="U232" s="2" t="s">
        <v>1907</v>
      </c>
      <c r="V232" s="138">
        <v>2.0500000000000001E-2</v>
      </c>
      <c r="W232" s="140">
        <v>2.8719999999999999E-2</v>
      </c>
      <c r="X232" s="3" t="s">
        <v>419</v>
      </c>
      <c r="Y232" s="3" t="s">
        <v>139</v>
      </c>
      <c r="Z232" s="124">
        <v>38203.15</v>
      </c>
      <c r="AA232" s="134">
        <v>1</v>
      </c>
      <c r="AB232" s="151">
        <v>116.04</v>
      </c>
      <c r="AC232" s="2"/>
      <c r="AD232" s="124">
        <v>44.331000000000003</v>
      </c>
      <c r="AE232" s="2"/>
      <c r="AF232" s="2"/>
      <c r="AG232" s="2" t="s">
        <v>36</v>
      </c>
      <c r="AH232" s="140">
        <v>5.1E-5</v>
      </c>
      <c r="AI232" s="140">
        <v>8.8085134884494706E-3</v>
      </c>
      <c r="AJ232" s="140">
        <v>2.0758985181655301E-3</v>
      </c>
    </row>
    <row r="233" spans="1:36">
      <c r="A233" s="2">
        <v>301</v>
      </c>
      <c r="B233" s="2">
        <v>7211</v>
      </c>
      <c r="C233" s="2" t="s">
        <v>1908</v>
      </c>
      <c r="D233" s="2" t="s">
        <v>1909</v>
      </c>
      <c r="E233" s="3" t="s">
        <v>1330</v>
      </c>
      <c r="F233" s="2" t="s">
        <v>1910</v>
      </c>
      <c r="G233" s="2" t="s">
        <v>1911</v>
      </c>
      <c r="H233" s="2" t="s">
        <v>328</v>
      </c>
      <c r="I233" s="2" t="s">
        <v>763</v>
      </c>
      <c r="J233" s="2" t="s">
        <v>30</v>
      </c>
      <c r="K233" s="2" t="s">
        <v>30</v>
      </c>
      <c r="L233" s="2" t="s">
        <v>334</v>
      </c>
      <c r="M233" s="2" t="s">
        <v>45</v>
      </c>
      <c r="N233" s="2" t="s">
        <v>454</v>
      </c>
      <c r="O233" s="2" t="s">
        <v>139</v>
      </c>
      <c r="P233" s="2" t="s">
        <v>1177</v>
      </c>
      <c r="Q233" s="2" t="s">
        <v>420</v>
      </c>
      <c r="R233" s="2" t="s">
        <v>413</v>
      </c>
      <c r="S233" s="2" t="s">
        <v>34</v>
      </c>
      <c r="T233" s="124">
        <v>2.7</v>
      </c>
      <c r="U233" s="2" t="s">
        <v>1912</v>
      </c>
      <c r="V233" s="138">
        <v>1.2200000000000001E-2</v>
      </c>
      <c r="W233" s="140">
        <v>2.3820000000000001E-2</v>
      </c>
      <c r="X233" s="3" t="s">
        <v>419</v>
      </c>
      <c r="Y233" s="3" t="s">
        <v>139</v>
      </c>
      <c r="Z233" s="124">
        <v>165269</v>
      </c>
      <c r="AA233" s="134">
        <v>1</v>
      </c>
      <c r="AB233" s="151">
        <v>113.2</v>
      </c>
      <c r="AC233" s="2"/>
      <c r="AD233" s="124">
        <v>187.08500000000001</v>
      </c>
      <c r="AE233" s="2"/>
      <c r="AF233" s="2"/>
      <c r="AG233" s="2" t="s">
        <v>36</v>
      </c>
      <c r="AH233" s="140">
        <v>5.5000000000000002E-5</v>
      </c>
      <c r="AI233" s="140">
        <v>3.71735088044685E-2</v>
      </c>
      <c r="AJ233" s="140">
        <v>8.7606645483826306E-3</v>
      </c>
    </row>
    <row r="234" spans="1:36">
      <c r="A234" s="2">
        <v>301</v>
      </c>
      <c r="B234" s="2">
        <v>7211</v>
      </c>
      <c r="C234" s="2" t="s">
        <v>1908</v>
      </c>
      <c r="D234" s="2" t="s">
        <v>1909</v>
      </c>
      <c r="E234" s="3" t="s">
        <v>1330</v>
      </c>
      <c r="F234" s="2" t="s">
        <v>1913</v>
      </c>
      <c r="G234" s="2" t="s">
        <v>1914</v>
      </c>
      <c r="H234" s="2" t="s">
        <v>328</v>
      </c>
      <c r="I234" s="2" t="s">
        <v>763</v>
      </c>
      <c r="J234" s="2" t="s">
        <v>30</v>
      </c>
      <c r="K234" s="2" t="s">
        <v>30</v>
      </c>
      <c r="L234" s="2" t="s">
        <v>334</v>
      </c>
      <c r="M234" s="2" t="s">
        <v>45</v>
      </c>
      <c r="N234" s="2" t="s">
        <v>454</v>
      </c>
      <c r="O234" s="2" t="s">
        <v>139</v>
      </c>
      <c r="P234" s="2" t="s">
        <v>1177</v>
      </c>
      <c r="Q234" s="2" t="s">
        <v>420</v>
      </c>
      <c r="R234" s="2" t="s">
        <v>413</v>
      </c>
      <c r="S234" s="2" t="s">
        <v>34</v>
      </c>
      <c r="T234" s="124">
        <v>3.7989999999999999</v>
      </c>
      <c r="U234" s="2" t="s">
        <v>1915</v>
      </c>
      <c r="V234" s="138">
        <v>1E-3</v>
      </c>
      <c r="W234" s="140">
        <v>2.393E-2</v>
      </c>
      <c r="X234" s="3" t="s">
        <v>419</v>
      </c>
      <c r="Y234" s="3" t="s">
        <v>139</v>
      </c>
      <c r="Z234" s="124">
        <v>72000</v>
      </c>
      <c r="AA234" s="134">
        <v>1</v>
      </c>
      <c r="AB234" s="151">
        <v>103.26</v>
      </c>
      <c r="AC234" s="2"/>
      <c r="AD234" s="124">
        <v>74.346999999999994</v>
      </c>
      <c r="AE234" s="2"/>
      <c r="AF234" s="2"/>
      <c r="AG234" s="2" t="s">
        <v>36</v>
      </c>
      <c r="AH234" s="140">
        <v>2.0999999999999999E-5</v>
      </c>
      <c r="AI234" s="140">
        <v>1.47727159417582E-2</v>
      </c>
      <c r="AJ234" s="140">
        <v>3.4814794996895901E-3</v>
      </c>
    </row>
    <row r="235" spans="1:36">
      <c r="A235" s="2">
        <v>301</v>
      </c>
      <c r="B235" s="2">
        <v>7211</v>
      </c>
      <c r="C235" s="2" t="s">
        <v>1908</v>
      </c>
      <c r="D235" s="2" t="s">
        <v>1909</v>
      </c>
      <c r="E235" s="3" t="s">
        <v>1330</v>
      </c>
      <c r="F235" s="2" t="s">
        <v>1916</v>
      </c>
      <c r="G235" s="2" t="s">
        <v>1917</v>
      </c>
      <c r="H235" s="2" t="s">
        <v>328</v>
      </c>
      <c r="I235" s="2" t="s">
        <v>763</v>
      </c>
      <c r="J235" s="2" t="s">
        <v>30</v>
      </c>
      <c r="K235" s="2" t="s">
        <v>30</v>
      </c>
      <c r="L235" s="2" t="s">
        <v>334</v>
      </c>
      <c r="M235" s="2" t="s">
        <v>45</v>
      </c>
      <c r="N235" s="2" t="s">
        <v>454</v>
      </c>
      <c r="O235" s="2" t="s">
        <v>139</v>
      </c>
      <c r="P235" s="2" t="s">
        <v>1177</v>
      </c>
      <c r="Q235" s="2" t="s">
        <v>422</v>
      </c>
      <c r="R235" s="2" t="s">
        <v>413</v>
      </c>
      <c r="S235" s="2" t="s">
        <v>34</v>
      </c>
      <c r="T235" s="124">
        <v>1.915</v>
      </c>
      <c r="U235" s="2" t="s">
        <v>1918</v>
      </c>
      <c r="V235" s="138">
        <v>5.0000000000000001E-3</v>
      </c>
      <c r="W235" s="140">
        <v>2.3109999999999999E-2</v>
      </c>
      <c r="X235" s="3" t="s">
        <v>419</v>
      </c>
      <c r="Y235" s="3" t="s">
        <v>139</v>
      </c>
      <c r="Z235" s="124">
        <v>52000</v>
      </c>
      <c r="AA235" s="134">
        <v>1</v>
      </c>
      <c r="AB235" s="151">
        <v>110.29</v>
      </c>
      <c r="AC235" s="2"/>
      <c r="AD235" s="124">
        <v>57.350999999999999</v>
      </c>
      <c r="AE235" s="2"/>
      <c r="AF235" s="2"/>
      <c r="AG235" s="2" t="s">
        <v>36</v>
      </c>
      <c r="AH235" s="140">
        <v>6.7999999999999999E-5</v>
      </c>
      <c r="AI235" s="140">
        <v>1.13955478811923E-2</v>
      </c>
      <c r="AJ235" s="140">
        <v>2.6855837811080698E-3</v>
      </c>
    </row>
    <row r="236" spans="1:36">
      <c r="A236" s="2">
        <v>301</v>
      </c>
      <c r="B236" s="2">
        <v>7211</v>
      </c>
      <c r="C236" s="2" t="s">
        <v>1908</v>
      </c>
      <c r="D236" s="2" t="s">
        <v>1909</v>
      </c>
      <c r="E236" s="3" t="s">
        <v>1330</v>
      </c>
      <c r="F236" s="2" t="s">
        <v>1919</v>
      </c>
      <c r="G236" s="2" t="s">
        <v>1920</v>
      </c>
      <c r="H236" s="2" t="s">
        <v>328</v>
      </c>
      <c r="I236" s="2" t="s">
        <v>763</v>
      </c>
      <c r="J236" s="2" t="s">
        <v>30</v>
      </c>
      <c r="K236" s="2" t="s">
        <v>30</v>
      </c>
      <c r="L236" s="2" t="s">
        <v>334</v>
      </c>
      <c r="M236" s="2" t="s">
        <v>45</v>
      </c>
      <c r="N236" s="2" t="s">
        <v>454</v>
      </c>
      <c r="O236" s="2" t="s">
        <v>139</v>
      </c>
      <c r="P236" s="2" t="s">
        <v>1177</v>
      </c>
      <c r="Q236" s="2" t="s">
        <v>422</v>
      </c>
      <c r="R236" s="2" t="s">
        <v>413</v>
      </c>
      <c r="S236" s="2" t="s">
        <v>34</v>
      </c>
      <c r="T236" s="124">
        <v>0.16200000000000001</v>
      </c>
      <c r="U236" s="2" t="s">
        <v>1921</v>
      </c>
      <c r="V236" s="138">
        <v>9.4999999999999998E-3</v>
      </c>
      <c r="W236" s="140">
        <v>3.261E-2</v>
      </c>
      <c r="X236" s="3" t="s">
        <v>419</v>
      </c>
      <c r="Y236" s="3" t="s">
        <v>139</v>
      </c>
      <c r="Z236" s="124">
        <v>25090.14</v>
      </c>
      <c r="AA236" s="134">
        <v>1</v>
      </c>
      <c r="AB236" s="151">
        <v>116.63</v>
      </c>
      <c r="AC236" s="2"/>
      <c r="AD236" s="124">
        <v>29.263000000000002</v>
      </c>
      <c r="AE236" s="2"/>
      <c r="AF236" s="2"/>
      <c r="AG236" s="2" t="s">
        <v>36</v>
      </c>
      <c r="AH236" s="140">
        <v>1.56E-4</v>
      </c>
      <c r="AI236" s="140">
        <v>5.8144560234235599E-3</v>
      </c>
      <c r="AJ236" s="140">
        <v>1.3702903059399499E-3</v>
      </c>
    </row>
    <row r="237" spans="1:36">
      <c r="A237" s="2">
        <v>301</v>
      </c>
      <c r="B237" s="2">
        <v>7211</v>
      </c>
      <c r="C237" s="2" t="s">
        <v>1908</v>
      </c>
      <c r="D237" s="2" t="s">
        <v>1909</v>
      </c>
      <c r="E237" s="3" t="s">
        <v>1330</v>
      </c>
      <c r="F237" s="2" t="s">
        <v>1922</v>
      </c>
      <c r="G237" s="2" t="s">
        <v>1923</v>
      </c>
      <c r="H237" s="2" t="s">
        <v>328</v>
      </c>
      <c r="I237" s="2" t="s">
        <v>763</v>
      </c>
      <c r="J237" s="2" t="s">
        <v>30</v>
      </c>
      <c r="K237" s="2" t="s">
        <v>30</v>
      </c>
      <c r="L237" s="2" t="s">
        <v>334</v>
      </c>
      <c r="M237" s="2" t="s">
        <v>45</v>
      </c>
      <c r="N237" s="2" t="s">
        <v>454</v>
      </c>
      <c r="O237" s="2" t="s">
        <v>139</v>
      </c>
      <c r="P237" s="2" t="s">
        <v>1437</v>
      </c>
      <c r="Q237" s="2" t="s">
        <v>420</v>
      </c>
      <c r="R237" s="2" t="s">
        <v>413</v>
      </c>
      <c r="S237" s="2" t="s">
        <v>34</v>
      </c>
      <c r="T237" s="124">
        <v>3.246</v>
      </c>
      <c r="U237" s="2" t="s">
        <v>1924</v>
      </c>
      <c r="V237" s="138">
        <v>3.3099999999999997E-2</v>
      </c>
      <c r="W237" s="140">
        <v>2.9329999999999998E-2</v>
      </c>
      <c r="X237" s="3" t="s">
        <v>419</v>
      </c>
      <c r="Y237" s="3" t="s">
        <v>139</v>
      </c>
      <c r="Z237" s="124">
        <v>45000</v>
      </c>
      <c r="AA237" s="134">
        <v>1</v>
      </c>
      <c r="AB237" s="151">
        <v>110.27</v>
      </c>
      <c r="AC237" s="2"/>
      <c r="AD237" s="124">
        <v>49.621000000000002</v>
      </c>
      <c r="AE237" s="2"/>
      <c r="AF237" s="2"/>
      <c r="AG237" s="2" t="s">
        <v>36</v>
      </c>
      <c r="AH237" s="140">
        <v>6.3999999999999997E-5</v>
      </c>
      <c r="AI237" s="140">
        <v>9.8597435290629903E-3</v>
      </c>
      <c r="AJ237" s="140">
        <v>2.32364144169312E-3</v>
      </c>
    </row>
    <row r="238" spans="1:36">
      <c r="A238" s="2">
        <v>301</v>
      </c>
      <c r="B238" s="2">
        <v>7211</v>
      </c>
      <c r="C238" s="2" t="s">
        <v>1908</v>
      </c>
      <c r="D238" s="2" t="s">
        <v>1909</v>
      </c>
      <c r="E238" s="3" t="s">
        <v>1330</v>
      </c>
      <c r="F238" s="2" t="s">
        <v>1925</v>
      </c>
      <c r="G238" s="2" t="s">
        <v>1926</v>
      </c>
      <c r="H238" s="2" t="s">
        <v>328</v>
      </c>
      <c r="I238" s="2" t="s">
        <v>763</v>
      </c>
      <c r="J238" s="2" t="s">
        <v>30</v>
      </c>
      <c r="K238" s="2" t="s">
        <v>30</v>
      </c>
      <c r="L238" s="2" t="s">
        <v>334</v>
      </c>
      <c r="M238" s="2" t="s">
        <v>45</v>
      </c>
      <c r="N238" s="2" t="s">
        <v>454</v>
      </c>
      <c r="O238" s="2" t="s">
        <v>139</v>
      </c>
      <c r="P238" s="2" t="s">
        <v>1437</v>
      </c>
      <c r="Q238" s="2" t="s">
        <v>420</v>
      </c>
      <c r="R238" s="2" t="s">
        <v>413</v>
      </c>
      <c r="S238" s="2" t="s">
        <v>34</v>
      </c>
      <c r="T238" s="124">
        <v>4.1680000000000001</v>
      </c>
      <c r="U238" s="2" t="s">
        <v>1927</v>
      </c>
      <c r="V238" s="138">
        <v>3.3599999999999998E-2</v>
      </c>
      <c r="W238" s="140">
        <v>2.9479999999999999E-2</v>
      </c>
      <c r="X238" s="3" t="s">
        <v>419</v>
      </c>
      <c r="Y238" s="3" t="s">
        <v>139</v>
      </c>
      <c r="Z238" s="124">
        <v>50000</v>
      </c>
      <c r="AA238" s="134">
        <v>1</v>
      </c>
      <c r="AB238" s="151">
        <v>106.98</v>
      </c>
      <c r="AC238" s="2"/>
      <c r="AD238" s="124">
        <v>53.49</v>
      </c>
      <c r="AE238" s="2"/>
      <c r="AF238" s="2"/>
      <c r="AG238" s="2" t="s">
        <v>36</v>
      </c>
      <c r="AH238" s="140">
        <v>4.3000000000000002E-5</v>
      </c>
      <c r="AI238" s="140">
        <v>1.06284106963631E-2</v>
      </c>
      <c r="AJ238" s="140">
        <v>2.50479289655019E-3</v>
      </c>
    </row>
    <row r="239" spans="1:36">
      <c r="A239" s="2">
        <v>301</v>
      </c>
      <c r="B239" s="2">
        <v>7211</v>
      </c>
      <c r="C239" s="2" t="s">
        <v>1908</v>
      </c>
      <c r="D239" s="2" t="s">
        <v>1909</v>
      </c>
      <c r="E239" s="3" t="s">
        <v>1330</v>
      </c>
      <c r="F239" s="2" t="s">
        <v>2048</v>
      </c>
      <c r="G239" s="2" t="s">
        <v>2049</v>
      </c>
      <c r="H239" s="2" t="s">
        <v>328</v>
      </c>
      <c r="I239" s="2" t="s">
        <v>763</v>
      </c>
      <c r="J239" s="2" t="s">
        <v>30</v>
      </c>
      <c r="K239" s="2" t="s">
        <v>30</v>
      </c>
      <c r="L239" s="2" t="s">
        <v>334</v>
      </c>
      <c r="M239" s="2" t="s">
        <v>45</v>
      </c>
      <c r="N239" s="2" t="s">
        <v>454</v>
      </c>
      <c r="O239" s="2" t="s">
        <v>139</v>
      </c>
      <c r="P239" s="2" t="s">
        <v>1177</v>
      </c>
      <c r="Q239" s="2" t="s">
        <v>420</v>
      </c>
      <c r="R239" s="2" t="s">
        <v>413</v>
      </c>
      <c r="S239" s="2" t="s">
        <v>34</v>
      </c>
      <c r="T239" s="124">
        <v>1.4670000000000001</v>
      </c>
      <c r="U239" s="2" t="s">
        <v>2050</v>
      </c>
      <c r="V239" s="138">
        <v>3.8E-3</v>
      </c>
      <c r="W239" s="140">
        <v>2.2120000000000001E-2</v>
      </c>
      <c r="X239" s="3" t="s">
        <v>419</v>
      </c>
      <c r="Y239" s="3" t="s">
        <v>139</v>
      </c>
      <c r="Z239" s="124">
        <v>149921</v>
      </c>
      <c r="AA239" s="134">
        <v>1</v>
      </c>
      <c r="AB239" s="151">
        <v>110.77</v>
      </c>
      <c r="AC239" s="2"/>
      <c r="AD239" s="124">
        <v>166.06700000000001</v>
      </c>
      <c r="AE239" s="2"/>
      <c r="AF239" s="2"/>
      <c r="AG239" s="2" t="s">
        <v>36</v>
      </c>
      <c r="AH239" s="140">
        <v>5.0000000000000002E-5</v>
      </c>
      <c r="AI239" s="140">
        <v>3.2997448216535101E-2</v>
      </c>
      <c r="AJ239" s="140">
        <v>7.7764941775671599E-3</v>
      </c>
    </row>
    <row r="240" spans="1:36">
      <c r="A240" s="2">
        <v>301</v>
      </c>
      <c r="B240" s="2">
        <v>7211</v>
      </c>
      <c r="C240" s="2" t="s">
        <v>1931</v>
      </c>
      <c r="D240" s="2" t="s">
        <v>1932</v>
      </c>
      <c r="E240" s="3" t="s">
        <v>1330</v>
      </c>
      <c r="F240" s="2" t="s">
        <v>1933</v>
      </c>
      <c r="G240" s="2" t="s">
        <v>1934</v>
      </c>
      <c r="H240" s="2" t="s">
        <v>328</v>
      </c>
      <c r="I240" s="2" t="s">
        <v>763</v>
      </c>
      <c r="J240" s="2" t="s">
        <v>30</v>
      </c>
      <c r="K240" s="2" t="s">
        <v>30</v>
      </c>
      <c r="L240" s="2" t="s">
        <v>334</v>
      </c>
      <c r="M240" s="2" t="s">
        <v>45</v>
      </c>
      <c r="N240" s="2" t="s">
        <v>449</v>
      </c>
      <c r="O240" s="2" t="s">
        <v>139</v>
      </c>
      <c r="P240" s="2" t="s">
        <v>1725</v>
      </c>
      <c r="Q240" s="2" t="s">
        <v>422</v>
      </c>
      <c r="R240" s="2" t="s">
        <v>413</v>
      </c>
      <c r="S240" s="2" t="s">
        <v>34</v>
      </c>
      <c r="T240" s="124">
        <v>0.77500000000000002</v>
      </c>
      <c r="U240" s="2" t="s">
        <v>1935</v>
      </c>
      <c r="V240" s="138">
        <v>1.8499999999999999E-2</v>
      </c>
      <c r="W240" s="140">
        <v>2.8639999999999999E-2</v>
      </c>
      <c r="X240" s="3" t="s">
        <v>419</v>
      </c>
      <c r="Y240" s="3" t="s">
        <v>139</v>
      </c>
      <c r="Z240" s="124">
        <v>23601.51</v>
      </c>
      <c r="AA240" s="134">
        <v>1</v>
      </c>
      <c r="AB240" s="151">
        <v>114.36</v>
      </c>
      <c r="AC240" s="2"/>
      <c r="AD240" s="124">
        <v>26.991</v>
      </c>
      <c r="AE240" s="2"/>
      <c r="AF240" s="2"/>
      <c r="AG240" s="2" t="s">
        <v>36</v>
      </c>
      <c r="AH240" s="140">
        <v>9.1000000000000003E-5</v>
      </c>
      <c r="AI240" s="140">
        <v>5.3630230822570204E-3</v>
      </c>
      <c r="AJ240" s="140">
        <v>1.26390130229619E-3</v>
      </c>
    </row>
    <row r="241" spans="1:36">
      <c r="A241" s="2">
        <v>301</v>
      </c>
      <c r="B241" s="2">
        <v>7211</v>
      </c>
      <c r="C241" s="2" t="s">
        <v>1931</v>
      </c>
      <c r="D241" s="2" t="s">
        <v>1932</v>
      </c>
      <c r="E241" s="3" t="s">
        <v>1330</v>
      </c>
      <c r="F241" s="2" t="s">
        <v>1936</v>
      </c>
      <c r="G241" s="2" t="s">
        <v>1937</v>
      </c>
      <c r="H241" s="2" t="s">
        <v>328</v>
      </c>
      <c r="I241" s="2" t="s">
        <v>763</v>
      </c>
      <c r="J241" s="2" t="s">
        <v>30</v>
      </c>
      <c r="K241" s="2" t="s">
        <v>30</v>
      </c>
      <c r="L241" s="2" t="s">
        <v>334</v>
      </c>
      <c r="M241" s="2" t="s">
        <v>45</v>
      </c>
      <c r="N241" s="2" t="s">
        <v>449</v>
      </c>
      <c r="O241" s="2" t="s">
        <v>139</v>
      </c>
      <c r="P241" s="2" t="s">
        <v>1725</v>
      </c>
      <c r="Q241" s="2" t="s">
        <v>422</v>
      </c>
      <c r="R241" s="2" t="s">
        <v>413</v>
      </c>
      <c r="S241" s="2" t="s">
        <v>34</v>
      </c>
      <c r="T241" s="124">
        <v>3.0070000000000001</v>
      </c>
      <c r="U241" s="2" t="s">
        <v>1938</v>
      </c>
      <c r="V241" s="138">
        <v>0.01</v>
      </c>
      <c r="W241" s="140">
        <v>3.0810000000000001E-2</v>
      </c>
      <c r="X241" s="3" t="s">
        <v>419</v>
      </c>
      <c r="Y241" s="3" t="s">
        <v>139</v>
      </c>
      <c r="Z241" s="124">
        <v>44562.81</v>
      </c>
      <c r="AA241" s="134">
        <v>1</v>
      </c>
      <c r="AB241" s="151">
        <v>106.09</v>
      </c>
      <c r="AC241" s="2"/>
      <c r="AD241" s="124">
        <v>47.277000000000001</v>
      </c>
      <c r="AE241" s="2"/>
      <c r="AF241" s="2"/>
      <c r="AG241" s="2" t="s">
        <v>36</v>
      </c>
      <c r="AH241" s="140">
        <v>2.3E-5</v>
      </c>
      <c r="AI241" s="140">
        <v>9.3938311070041504E-3</v>
      </c>
      <c r="AJ241" s="140">
        <v>2.2138400651254301E-3</v>
      </c>
    </row>
    <row r="242" spans="1:36">
      <c r="A242" s="2">
        <v>301</v>
      </c>
      <c r="B242" s="2">
        <v>7211</v>
      </c>
      <c r="C242" s="2" t="s">
        <v>1931</v>
      </c>
      <c r="D242" s="2" t="s">
        <v>1932</v>
      </c>
      <c r="E242" s="3" t="s">
        <v>1330</v>
      </c>
      <c r="F242" s="2" t="s">
        <v>1939</v>
      </c>
      <c r="G242" s="2" t="s">
        <v>1940</v>
      </c>
      <c r="H242" s="2" t="s">
        <v>328</v>
      </c>
      <c r="I242" s="2" t="s">
        <v>763</v>
      </c>
      <c r="J242" s="2" t="s">
        <v>30</v>
      </c>
      <c r="K242" s="2" t="s">
        <v>30</v>
      </c>
      <c r="L242" s="2" t="s">
        <v>334</v>
      </c>
      <c r="M242" s="2" t="s">
        <v>45</v>
      </c>
      <c r="N242" s="2" t="s">
        <v>449</v>
      </c>
      <c r="O242" s="2" t="s">
        <v>139</v>
      </c>
      <c r="P242" s="2" t="s">
        <v>1725</v>
      </c>
      <c r="Q242" s="2" t="s">
        <v>422</v>
      </c>
      <c r="R242" s="2" t="s">
        <v>413</v>
      </c>
      <c r="S242" s="2" t="s">
        <v>34</v>
      </c>
      <c r="T242" s="124">
        <v>1.4019999999999999</v>
      </c>
      <c r="U242" s="2" t="s">
        <v>119</v>
      </c>
      <c r="V242" s="138">
        <v>3.5400000000000001E-2</v>
      </c>
      <c r="W242" s="140">
        <v>2.9649999999999999E-2</v>
      </c>
      <c r="X242" s="3" t="s">
        <v>419</v>
      </c>
      <c r="Y242" s="3" t="s">
        <v>139</v>
      </c>
      <c r="Z242" s="124">
        <v>53000</v>
      </c>
      <c r="AA242" s="134">
        <v>1</v>
      </c>
      <c r="AB242" s="151">
        <v>108.84</v>
      </c>
      <c r="AC242" s="2"/>
      <c r="AD242" s="124">
        <v>57.685000000000002</v>
      </c>
      <c r="AE242" s="2"/>
      <c r="AF242" s="2"/>
      <c r="AG242" s="2" t="s">
        <v>36</v>
      </c>
      <c r="AH242" s="140">
        <v>4.6999999999999997E-5</v>
      </c>
      <c r="AI242" s="140">
        <v>1.14619928342091E-2</v>
      </c>
      <c r="AJ242" s="140">
        <v>2.7012428341012698E-3</v>
      </c>
    </row>
    <row r="243" spans="1:36">
      <c r="A243" s="2">
        <v>301</v>
      </c>
      <c r="B243" s="2">
        <v>7211</v>
      </c>
      <c r="C243" s="2" t="s">
        <v>1931</v>
      </c>
      <c r="D243" s="2" t="s">
        <v>1932</v>
      </c>
      <c r="E243" s="3" t="s">
        <v>1330</v>
      </c>
      <c r="F243" s="2" t="s">
        <v>1941</v>
      </c>
      <c r="G243" s="2" t="s">
        <v>1942</v>
      </c>
      <c r="H243" s="2" t="s">
        <v>328</v>
      </c>
      <c r="I243" s="2" t="s">
        <v>763</v>
      </c>
      <c r="J243" s="2" t="s">
        <v>30</v>
      </c>
      <c r="K243" s="2" t="s">
        <v>30</v>
      </c>
      <c r="L243" s="2" t="s">
        <v>334</v>
      </c>
      <c r="M243" s="2" t="s">
        <v>45</v>
      </c>
      <c r="N243" s="2" t="s">
        <v>449</v>
      </c>
      <c r="O243" s="2" t="s">
        <v>139</v>
      </c>
      <c r="P243" s="2" t="s">
        <v>1725</v>
      </c>
      <c r="Q243" s="2" t="s">
        <v>422</v>
      </c>
      <c r="R243" s="2" t="s">
        <v>413</v>
      </c>
      <c r="S243" s="2" t="s">
        <v>34</v>
      </c>
      <c r="T243" s="124">
        <v>0.40600000000000003</v>
      </c>
      <c r="U243" s="2" t="s">
        <v>1943</v>
      </c>
      <c r="V243" s="138">
        <v>0.01</v>
      </c>
      <c r="W243" s="140">
        <v>4.0169999999999997E-2</v>
      </c>
      <c r="X243" s="3" t="s">
        <v>419</v>
      </c>
      <c r="Y243" s="3" t="s">
        <v>139</v>
      </c>
      <c r="Z243" s="124">
        <v>24120</v>
      </c>
      <c r="AA243" s="134">
        <v>1</v>
      </c>
      <c r="AB243" s="151">
        <v>113.19</v>
      </c>
      <c r="AC243" s="2"/>
      <c r="AD243" s="124">
        <v>27.300999999999998</v>
      </c>
      <c r="AE243" s="2"/>
      <c r="AF243" s="2"/>
      <c r="AG243" s="2" t="s">
        <v>36</v>
      </c>
      <c r="AH243" s="140">
        <v>7.8999999999999996E-5</v>
      </c>
      <c r="AI243" s="140">
        <v>5.42476704769463E-3</v>
      </c>
      <c r="AJ243" s="140">
        <v>1.27845247560434E-3</v>
      </c>
    </row>
    <row r="244" spans="1:36">
      <c r="A244" s="2">
        <v>301</v>
      </c>
      <c r="B244" s="2">
        <v>7211</v>
      </c>
      <c r="C244" s="2" t="s">
        <v>1600</v>
      </c>
      <c r="D244" s="2" t="s">
        <v>1601</v>
      </c>
      <c r="E244" s="3" t="s">
        <v>1330</v>
      </c>
      <c r="F244" s="2" t="s">
        <v>1944</v>
      </c>
      <c r="G244" s="2" t="s">
        <v>1945</v>
      </c>
      <c r="H244" s="2" t="s">
        <v>328</v>
      </c>
      <c r="I244" s="2" t="s">
        <v>763</v>
      </c>
      <c r="J244" s="2" t="s">
        <v>30</v>
      </c>
      <c r="K244" s="2" t="s">
        <v>30</v>
      </c>
      <c r="L244" s="2" t="s">
        <v>334</v>
      </c>
      <c r="M244" s="2" t="s">
        <v>45</v>
      </c>
      <c r="N244" s="2" t="s">
        <v>470</v>
      </c>
      <c r="O244" s="2" t="s">
        <v>139</v>
      </c>
      <c r="P244" s="2" t="s">
        <v>1719</v>
      </c>
      <c r="Q244" s="2" t="s">
        <v>420</v>
      </c>
      <c r="R244" s="2" t="s">
        <v>413</v>
      </c>
      <c r="S244" s="2" t="s">
        <v>34</v>
      </c>
      <c r="T244" s="124">
        <v>4.17</v>
      </c>
      <c r="U244" s="2" t="s">
        <v>1946</v>
      </c>
      <c r="V244" s="138">
        <v>1.43E-2</v>
      </c>
      <c r="W244" s="140">
        <v>2.708E-2</v>
      </c>
      <c r="X244" s="3" t="s">
        <v>419</v>
      </c>
      <c r="Y244" s="3" t="s">
        <v>139</v>
      </c>
      <c r="Z244" s="124">
        <v>45989.24</v>
      </c>
      <c r="AA244" s="134">
        <v>1</v>
      </c>
      <c r="AB244" s="151">
        <v>109.38</v>
      </c>
      <c r="AC244" s="124">
        <v>0.96499999999999997</v>
      </c>
      <c r="AD244" s="124">
        <v>51.268000000000001</v>
      </c>
      <c r="AE244" s="2"/>
      <c r="AF244" s="2"/>
      <c r="AG244" s="2" t="s">
        <v>36</v>
      </c>
      <c r="AH244" s="140">
        <v>2.9E-5</v>
      </c>
      <c r="AI244" s="140">
        <v>1.0186987051134201E-2</v>
      </c>
      <c r="AJ244" s="140">
        <v>2.4007627792987998E-3</v>
      </c>
    </row>
    <row r="245" spans="1:36">
      <c r="A245" s="2">
        <v>301</v>
      </c>
      <c r="B245" s="2">
        <v>7211</v>
      </c>
      <c r="C245" s="2" t="s">
        <v>1947</v>
      </c>
      <c r="D245" s="2" t="s">
        <v>1948</v>
      </c>
      <c r="E245" s="3" t="s">
        <v>1330</v>
      </c>
      <c r="F245" s="2" t="s">
        <v>1949</v>
      </c>
      <c r="G245" s="2" t="s">
        <v>1950</v>
      </c>
      <c r="H245" s="2" t="s">
        <v>328</v>
      </c>
      <c r="I245" s="2" t="s">
        <v>976</v>
      </c>
      <c r="J245" s="2" t="s">
        <v>30</v>
      </c>
      <c r="K245" s="2" t="s">
        <v>30</v>
      </c>
      <c r="L245" s="2" t="s">
        <v>334</v>
      </c>
      <c r="M245" s="2" t="s">
        <v>45</v>
      </c>
      <c r="N245" s="2" t="s">
        <v>460</v>
      </c>
      <c r="O245" s="2" t="s">
        <v>139</v>
      </c>
      <c r="P245" s="2" t="s">
        <v>1719</v>
      </c>
      <c r="Q245" s="2" t="s">
        <v>420</v>
      </c>
      <c r="R245" s="2" t="s">
        <v>413</v>
      </c>
      <c r="S245" s="2" t="s">
        <v>34</v>
      </c>
      <c r="T245" s="124">
        <v>6.6000000000000003E-2</v>
      </c>
      <c r="U245" s="2" t="s">
        <v>1951</v>
      </c>
      <c r="V245" s="138">
        <v>2.3599999999999999E-2</v>
      </c>
      <c r="W245" s="140">
        <v>4.7329999999999997E-2</v>
      </c>
      <c r="X245" s="3" t="s">
        <v>419</v>
      </c>
      <c r="Y245" s="3" t="s">
        <v>139</v>
      </c>
      <c r="Z245" s="124">
        <v>1297.0899999999999</v>
      </c>
      <c r="AA245" s="134">
        <v>1</v>
      </c>
      <c r="AB245" s="151">
        <v>100.86</v>
      </c>
      <c r="AC245" s="2"/>
      <c r="AD245" s="124">
        <v>1.3080000000000001</v>
      </c>
      <c r="AE245" s="2"/>
      <c r="AF245" s="2"/>
      <c r="AG245" s="2" t="s">
        <v>36</v>
      </c>
      <c r="AH245" s="140">
        <v>4.1E-5</v>
      </c>
      <c r="AI245" s="140">
        <v>2.5994699710459501E-4</v>
      </c>
      <c r="AJ245" s="140">
        <v>6.1261595023792996E-5</v>
      </c>
    </row>
    <row r="246" spans="1:36">
      <c r="A246" s="2">
        <v>301</v>
      </c>
      <c r="B246" s="2">
        <v>7211</v>
      </c>
      <c r="C246" s="2" t="s">
        <v>2060</v>
      </c>
      <c r="D246" s="2" t="s">
        <v>2061</v>
      </c>
      <c r="E246" s="3" t="s">
        <v>1330</v>
      </c>
      <c r="F246" s="2" t="s">
        <v>2062</v>
      </c>
      <c r="G246" s="2" t="s">
        <v>2063</v>
      </c>
      <c r="H246" s="2" t="s">
        <v>328</v>
      </c>
      <c r="I246" s="2" t="s">
        <v>763</v>
      </c>
      <c r="J246" s="2" t="s">
        <v>30</v>
      </c>
      <c r="K246" s="2" t="s">
        <v>30</v>
      </c>
      <c r="L246" s="2" t="s">
        <v>334</v>
      </c>
      <c r="M246" s="2" t="s">
        <v>45</v>
      </c>
      <c r="N246" s="2" t="s">
        <v>470</v>
      </c>
      <c r="O246" s="2" t="s">
        <v>139</v>
      </c>
      <c r="P246" s="2" t="s">
        <v>1437</v>
      </c>
      <c r="Q246" s="2" t="s">
        <v>422</v>
      </c>
      <c r="R246" s="2" t="s">
        <v>413</v>
      </c>
      <c r="S246" s="2" t="s">
        <v>34</v>
      </c>
      <c r="T246" s="124">
        <v>0.03</v>
      </c>
      <c r="U246" s="2" t="s">
        <v>2064</v>
      </c>
      <c r="V246" s="138">
        <v>2.75E-2</v>
      </c>
      <c r="W246" s="140">
        <v>5.9569999999999998E-2</v>
      </c>
      <c r="X246" s="3" t="s">
        <v>419</v>
      </c>
      <c r="Y246" s="3" t="s">
        <v>139</v>
      </c>
      <c r="Z246" s="124">
        <v>12309.86</v>
      </c>
      <c r="AA246" s="134">
        <v>1</v>
      </c>
      <c r="AB246" s="151">
        <v>117.93</v>
      </c>
      <c r="AC246" s="2"/>
      <c r="AD246" s="124">
        <v>14.516999999999999</v>
      </c>
      <c r="AE246" s="2"/>
      <c r="AF246" s="2"/>
      <c r="AG246" s="2" t="s">
        <v>36</v>
      </c>
      <c r="AH246" s="140">
        <v>8.8999999999999995E-5</v>
      </c>
      <c r="AI246" s="140">
        <v>2.8845172612899099E-3</v>
      </c>
      <c r="AJ246" s="140">
        <v>6.7979292035898903E-4</v>
      </c>
    </row>
    <row r="247" spans="1:36">
      <c r="A247" s="2">
        <v>301</v>
      </c>
      <c r="B247" s="2">
        <v>7211</v>
      </c>
      <c r="C247" s="2" t="s">
        <v>1623</v>
      </c>
      <c r="D247" s="2" t="s">
        <v>1624</v>
      </c>
      <c r="E247" s="3" t="s">
        <v>1330</v>
      </c>
      <c r="F247" s="2" t="s">
        <v>1952</v>
      </c>
      <c r="G247" s="2" t="s">
        <v>1953</v>
      </c>
      <c r="H247" s="2" t="s">
        <v>328</v>
      </c>
      <c r="I247" s="2" t="s">
        <v>763</v>
      </c>
      <c r="J247" s="2" t="s">
        <v>30</v>
      </c>
      <c r="K247" s="2" t="s">
        <v>30</v>
      </c>
      <c r="L247" s="2" t="s">
        <v>334</v>
      </c>
      <c r="M247" s="2" t="s">
        <v>45</v>
      </c>
      <c r="N247" s="2" t="s">
        <v>470</v>
      </c>
      <c r="O247" s="2" t="s">
        <v>139</v>
      </c>
      <c r="P247" s="2" t="s">
        <v>103</v>
      </c>
      <c r="Q247" s="2" t="s">
        <v>420</v>
      </c>
      <c r="R247" s="2" t="s">
        <v>413</v>
      </c>
      <c r="S247" s="2" t="s">
        <v>34</v>
      </c>
      <c r="T247" s="124">
        <v>2.9119999999999999</v>
      </c>
      <c r="U247" s="2" t="s">
        <v>1954</v>
      </c>
      <c r="V247" s="138">
        <v>1.34E-2</v>
      </c>
      <c r="W247" s="140">
        <v>2.5749999999999999E-2</v>
      </c>
      <c r="X247" s="3" t="s">
        <v>419</v>
      </c>
      <c r="Y247" s="3" t="s">
        <v>139</v>
      </c>
      <c r="Z247" s="124">
        <v>56923.17</v>
      </c>
      <c r="AA247" s="134">
        <v>1</v>
      </c>
      <c r="AB247" s="151">
        <v>112.66</v>
      </c>
      <c r="AC247" s="124">
        <v>6.5259999999999998</v>
      </c>
      <c r="AD247" s="124">
        <v>70.656000000000006</v>
      </c>
      <c r="AE247" s="2"/>
      <c r="AF247" s="2"/>
      <c r="AG247" s="2" t="s">
        <v>36</v>
      </c>
      <c r="AH247" s="140">
        <v>2.3E-5</v>
      </c>
      <c r="AI247" s="140">
        <v>1.4039270823207699E-2</v>
      </c>
      <c r="AJ247" s="140">
        <v>3.30862880964397E-3</v>
      </c>
    </row>
    <row r="248" spans="1:36">
      <c r="A248" s="2">
        <v>301</v>
      </c>
      <c r="B248" s="2">
        <v>7211</v>
      </c>
      <c r="C248" s="2" t="s">
        <v>1623</v>
      </c>
      <c r="D248" s="2" t="s">
        <v>1624</v>
      </c>
      <c r="E248" s="3" t="s">
        <v>1330</v>
      </c>
      <c r="F248" s="2" t="s">
        <v>1955</v>
      </c>
      <c r="G248" s="2" t="s">
        <v>1956</v>
      </c>
      <c r="H248" s="2" t="s">
        <v>328</v>
      </c>
      <c r="I248" s="2" t="s">
        <v>763</v>
      </c>
      <c r="J248" s="2" t="s">
        <v>30</v>
      </c>
      <c r="K248" s="2" t="s">
        <v>30</v>
      </c>
      <c r="L248" s="2" t="s">
        <v>334</v>
      </c>
      <c r="M248" s="2" t="s">
        <v>45</v>
      </c>
      <c r="N248" s="2" t="s">
        <v>470</v>
      </c>
      <c r="O248" s="2" t="s">
        <v>139</v>
      </c>
      <c r="P248" s="2" t="s">
        <v>103</v>
      </c>
      <c r="Q248" s="2" t="s">
        <v>422</v>
      </c>
      <c r="R248" s="2" t="s">
        <v>413</v>
      </c>
      <c r="S248" s="2" t="s">
        <v>34</v>
      </c>
      <c r="T248" s="124">
        <v>2.3159999999999998</v>
      </c>
      <c r="U248" s="2" t="s">
        <v>1797</v>
      </c>
      <c r="V248" s="138">
        <v>1.77E-2</v>
      </c>
      <c r="W248" s="140">
        <v>2.605E-2</v>
      </c>
      <c r="X248" s="3" t="s">
        <v>419</v>
      </c>
      <c r="Y248" s="3" t="s">
        <v>139</v>
      </c>
      <c r="Z248" s="124">
        <v>63482.35</v>
      </c>
      <c r="AA248" s="134">
        <v>1</v>
      </c>
      <c r="AB248" s="151">
        <v>113.1</v>
      </c>
      <c r="AC248" s="2"/>
      <c r="AD248" s="124">
        <v>71.799000000000007</v>
      </c>
      <c r="AE248" s="2"/>
      <c r="AF248" s="2"/>
      <c r="AG248" s="2" t="s">
        <v>36</v>
      </c>
      <c r="AH248" s="140">
        <v>2.4000000000000001E-5</v>
      </c>
      <c r="AI248" s="140">
        <v>1.4266299264688099E-2</v>
      </c>
      <c r="AJ248" s="140">
        <v>3.36213250307291E-3</v>
      </c>
    </row>
    <row r="249" spans="1:36">
      <c r="A249" s="2">
        <v>301</v>
      </c>
      <c r="B249" s="2">
        <v>7211</v>
      </c>
      <c r="C249" s="2" t="s">
        <v>1623</v>
      </c>
      <c r="D249" s="2" t="s">
        <v>1624</v>
      </c>
      <c r="E249" s="3" t="s">
        <v>1330</v>
      </c>
      <c r="F249" s="2" t="s">
        <v>1957</v>
      </c>
      <c r="G249" s="2" t="s">
        <v>1958</v>
      </c>
      <c r="H249" s="2" t="s">
        <v>328</v>
      </c>
      <c r="I249" s="2" t="s">
        <v>763</v>
      </c>
      <c r="J249" s="2" t="s">
        <v>30</v>
      </c>
      <c r="K249" s="2" t="s">
        <v>30</v>
      </c>
      <c r="L249" s="2" t="s">
        <v>334</v>
      </c>
      <c r="M249" s="2" t="s">
        <v>45</v>
      </c>
      <c r="N249" s="2" t="s">
        <v>470</v>
      </c>
      <c r="O249" s="2" t="s">
        <v>139</v>
      </c>
      <c r="P249" s="2" t="s">
        <v>103</v>
      </c>
      <c r="Q249" s="2" t="s">
        <v>420</v>
      </c>
      <c r="R249" s="2" t="s">
        <v>413</v>
      </c>
      <c r="S249" s="2" t="s">
        <v>34</v>
      </c>
      <c r="T249" s="124">
        <v>6.7249999999999996</v>
      </c>
      <c r="U249" s="2" t="s">
        <v>1959</v>
      </c>
      <c r="V249" s="138">
        <v>8.9999999999999993E-3</v>
      </c>
      <c r="W249" s="140">
        <v>2.9850000000000002E-2</v>
      </c>
      <c r="X249" s="3" t="s">
        <v>419</v>
      </c>
      <c r="Y249" s="3" t="s">
        <v>139</v>
      </c>
      <c r="Z249" s="124">
        <v>25480</v>
      </c>
      <c r="AA249" s="134">
        <v>1</v>
      </c>
      <c r="AB249" s="151">
        <v>98.8</v>
      </c>
      <c r="AC249" s="124">
        <v>0.13</v>
      </c>
      <c r="AD249" s="124">
        <v>25.303999999999998</v>
      </c>
      <c r="AE249" s="2"/>
      <c r="AF249" s="2"/>
      <c r="AG249" s="2" t="s">
        <v>36</v>
      </c>
      <c r="AH249" s="140">
        <v>9.0000000000000002E-6</v>
      </c>
      <c r="AI249" s="140">
        <v>5.0279615238204602E-3</v>
      </c>
      <c r="AJ249" s="140">
        <v>1.1849374914824E-3</v>
      </c>
    </row>
    <row r="250" spans="1:36">
      <c r="A250" s="2">
        <v>301</v>
      </c>
      <c r="B250" s="2">
        <v>7211</v>
      </c>
      <c r="C250" s="2" t="s">
        <v>1623</v>
      </c>
      <c r="D250" s="2" t="s">
        <v>1624</v>
      </c>
      <c r="E250" s="3" t="s">
        <v>1330</v>
      </c>
      <c r="F250" s="2" t="s">
        <v>1960</v>
      </c>
      <c r="G250" s="2" t="s">
        <v>1961</v>
      </c>
      <c r="H250" s="2" t="s">
        <v>328</v>
      </c>
      <c r="I250" s="2" t="s">
        <v>763</v>
      </c>
      <c r="J250" s="2" t="s">
        <v>30</v>
      </c>
      <c r="K250" s="2" t="s">
        <v>30</v>
      </c>
      <c r="L250" s="2" t="s">
        <v>334</v>
      </c>
      <c r="M250" s="2" t="s">
        <v>45</v>
      </c>
      <c r="N250" s="2" t="s">
        <v>470</v>
      </c>
      <c r="O250" s="2" t="s">
        <v>139</v>
      </c>
      <c r="P250" s="2" t="s">
        <v>103</v>
      </c>
      <c r="Q250" s="2" t="s">
        <v>420</v>
      </c>
      <c r="R250" s="2" t="s">
        <v>413</v>
      </c>
      <c r="S250" s="2" t="s">
        <v>34</v>
      </c>
      <c r="T250" s="124">
        <v>0.24399999999999999</v>
      </c>
      <c r="U250" s="2" t="s">
        <v>1962</v>
      </c>
      <c r="V250" s="138">
        <v>6.4999999999999997E-3</v>
      </c>
      <c r="W250" s="140">
        <v>2.9729999999999999E-2</v>
      </c>
      <c r="X250" s="3" t="s">
        <v>419</v>
      </c>
      <c r="Y250" s="3" t="s">
        <v>139</v>
      </c>
      <c r="Z250" s="124">
        <v>22500</v>
      </c>
      <c r="AA250" s="134">
        <v>1</v>
      </c>
      <c r="AB250" s="151">
        <v>114.76</v>
      </c>
      <c r="AC250" s="2"/>
      <c r="AD250" s="124">
        <v>25.821000000000002</v>
      </c>
      <c r="AE250" s="2"/>
      <c r="AF250" s="2"/>
      <c r="AG250" s="2" t="s">
        <v>36</v>
      </c>
      <c r="AH250" s="140">
        <v>4.1E-5</v>
      </c>
      <c r="AI250" s="140">
        <v>5.1306074516879897E-3</v>
      </c>
      <c r="AJ250" s="140">
        <v>1.2091280123728201E-3</v>
      </c>
    </row>
    <row r="251" spans="1:36">
      <c r="A251" s="2">
        <v>301</v>
      </c>
      <c r="B251" s="2">
        <v>7211</v>
      </c>
      <c r="C251" s="2" t="s">
        <v>1175</v>
      </c>
      <c r="D251" s="2" t="s">
        <v>1627</v>
      </c>
      <c r="E251" s="3" t="s">
        <v>1330</v>
      </c>
      <c r="F251" s="2" t="s">
        <v>1963</v>
      </c>
      <c r="G251" s="2" t="s">
        <v>1964</v>
      </c>
      <c r="H251" s="2" t="s">
        <v>328</v>
      </c>
      <c r="I251" s="2" t="s">
        <v>976</v>
      </c>
      <c r="J251" s="2" t="s">
        <v>30</v>
      </c>
      <c r="K251" s="2" t="s">
        <v>30</v>
      </c>
      <c r="L251" s="2" t="s">
        <v>334</v>
      </c>
      <c r="M251" s="2" t="s">
        <v>45</v>
      </c>
      <c r="N251" s="2" t="s">
        <v>454</v>
      </c>
      <c r="O251" s="2" t="s">
        <v>139</v>
      </c>
      <c r="P251" s="2" t="s">
        <v>1177</v>
      </c>
      <c r="Q251" s="2" t="s">
        <v>420</v>
      </c>
      <c r="R251" s="2" t="s">
        <v>413</v>
      </c>
      <c r="S251" s="2" t="s">
        <v>34</v>
      </c>
      <c r="T251" s="124">
        <v>3.665</v>
      </c>
      <c r="U251" s="2" t="s">
        <v>1965</v>
      </c>
      <c r="V251" s="138">
        <v>2.5000000000000001E-2</v>
      </c>
      <c r="W251" s="140">
        <v>4.5699999999999998E-2</v>
      </c>
      <c r="X251" s="3" t="s">
        <v>419</v>
      </c>
      <c r="Y251" s="3" t="s">
        <v>139</v>
      </c>
      <c r="Z251" s="124">
        <v>166250</v>
      </c>
      <c r="AA251" s="134">
        <v>1</v>
      </c>
      <c r="AB251" s="151">
        <v>92.99</v>
      </c>
      <c r="AC251" s="2"/>
      <c r="AD251" s="124">
        <v>154.596</v>
      </c>
      <c r="AE251" s="2"/>
      <c r="AF251" s="2"/>
      <c r="AG251" s="2" t="s">
        <v>36</v>
      </c>
      <c r="AH251" s="140">
        <v>8.2000000000000001E-5</v>
      </c>
      <c r="AI251" s="140">
        <v>3.0718049195430999E-2</v>
      </c>
      <c r="AJ251" s="140">
        <v>7.23930920800076E-3</v>
      </c>
    </row>
    <row r="252" spans="1:36">
      <c r="A252" s="2">
        <v>301</v>
      </c>
      <c r="B252" s="2">
        <v>7211</v>
      </c>
      <c r="C252" s="2" t="s">
        <v>1175</v>
      </c>
      <c r="D252" s="2" t="s">
        <v>1627</v>
      </c>
      <c r="E252" s="3" t="s">
        <v>1330</v>
      </c>
      <c r="F252" s="2" t="s">
        <v>1968</v>
      </c>
      <c r="G252" s="2" t="s">
        <v>1969</v>
      </c>
      <c r="H252" s="2" t="s">
        <v>328</v>
      </c>
      <c r="I252" s="2" t="s">
        <v>763</v>
      </c>
      <c r="J252" s="2" t="s">
        <v>30</v>
      </c>
      <c r="K252" s="2" t="s">
        <v>30</v>
      </c>
      <c r="L252" s="2" t="s">
        <v>334</v>
      </c>
      <c r="M252" s="2" t="s">
        <v>45</v>
      </c>
      <c r="N252" s="2" t="s">
        <v>454</v>
      </c>
      <c r="O252" s="2" t="s">
        <v>139</v>
      </c>
      <c r="P252" s="2" t="s">
        <v>1177</v>
      </c>
      <c r="Q252" s="2" t="s">
        <v>420</v>
      </c>
      <c r="R252" s="2" t="s">
        <v>413</v>
      </c>
      <c r="S252" s="2" t="s">
        <v>34</v>
      </c>
      <c r="T252" s="124">
        <v>4.2240000000000002</v>
      </c>
      <c r="U252" s="2" t="s">
        <v>1970</v>
      </c>
      <c r="V252" s="138">
        <v>1.3899999999999999E-2</v>
      </c>
      <c r="W252" s="140">
        <v>2.298E-2</v>
      </c>
      <c r="X252" s="3" t="s">
        <v>419</v>
      </c>
      <c r="Y252" s="3" t="s">
        <v>139</v>
      </c>
      <c r="Z252" s="124">
        <v>45600</v>
      </c>
      <c r="AA252" s="134">
        <v>1</v>
      </c>
      <c r="AB252" s="151">
        <v>103.13</v>
      </c>
      <c r="AC252" s="2"/>
      <c r="AD252" s="124">
        <v>47.027000000000001</v>
      </c>
      <c r="AE252" s="2"/>
      <c r="AF252" s="2"/>
      <c r="AG252" s="2" t="s">
        <v>36</v>
      </c>
      <c r="AH252" s="140">
        <v>2.9E-5</v>
      </c>
      <c r="AI252" s="140">
        <v>9.3442745517453799E-3</v>
      </c>
      <c r="AJ252" s="140">
        <v>2.20216109343946E-3</v>
      </c>
    </row>
    <row r="253" spans="1:36">
      <c r="A253" s="2">
        <v>301</v>
      </c>
      <c r="B253" s="2">
        <v>7211</v>
      </c>
      <c r="C253" s="2" t="s">
        <v>1175</v>
      </c>
      <c r="D253" s="2" t="s">
        <v>1627</v>
      </c>
      <c r="E253" s="3" t="s">
        <v>1330</v>
      </c>
      <c r="F253" s="2" t="s">
        <v>1971</v>
      </c>
      <c r="G253" s="2" t="s">
        <v>1972</v>
      </c>
      <c r="H253" s="2" t="s">
        <v>328</v>
      </c>
      <c r="I253" s="2" t="s">
        <v>763</v>
      </c>
      <c r="J253" s="2" t="s">
        <v>30</v>
      </c>
      <c r="K253" s="2" t="s">
        <v>30</v>
      </c>
      <c r="L253" s="2" t="s">
        <v>334</v>
      </c>
      <c r="M253" s="2" t="s">
        <v>45</v>
      </c>
      <c r="N253" s="2" t="s">
        <v>454</v>
      </c>
      <c r="O253" s="2" t="s">
        <v>139</v>
      </c>
      <c r="P253" s="2" t="s">
        <v>1177</v>
      </c>
      <c r="Q253" s="2" t="s">
        <v>420</v>
      </c>
      <c r="R253" s="2" t="s">
        <v>413</v>
      </c>
      <c r="S253" s="2" t="s">
        <v>34</v>
      </c>
      <c r="T253" s="124">
        <v>3.3029999999999999</v>
      </c>
      <c r="U253" s="2" t="s">
        <v>1973</v>
      </c>
      <c r="V253" s="138">
        <v>1.7500000000000002E-2</v>
      </c>
      <c r="W253" s="140">
        <v>2.341E-2</v>
      </c>
      <c r="X253" s="3" t="s">
        <v>419</v>
      </c>
      <c r="Y253" s="3" t="s">
        <v>139</v>
      </c>
      <c r="Z253" s="124">
        <v>198842.44</v>
      </c>
      <c r="AA253" s="134">
        <v>1</v>
      </c>
      <c r="AB253" s="151">
        <v>112.53</v>
      </c>
      <c r="AC253" s="2"/>
      <c r="AD253" s="124">
        <v>223.75700000000001</v>
      </c>
      <c r="AE253" s="2"/>
      <c r="AF253" s="2"/>
      <c r="AG253" s="2" t="s">
        <v>36</v>
      </c>
      <c r="AH253" s="140">
        <v>8.8999999999999995E-5</v>
      </c>
      <c r="AI253" s="140">
        <v>4.4460376134700899E-2</v>
      </c>
      <c r="AJ253" s="140">
        <v>1.04779573824952E-2</v>
      </c>
    </row>
    <row r="254" spans="1:36">
      <c r="A254" s="2">
        <v>301</v>
      </c>
      <c r="B254" s="2">
        <v>7211</v>
      </c>
      <c r="C254" s="2" t="s">
        <v>1175</v>
      </c>
      <c r="D254" s="2" t="s">
        <v>1627</v>
      </c>
      <c r="E254" s="3" t="s">
        <v>1330</v>
      </c>
      <c r="F254" s="2" t="s">
        <v>1974</v>
      </c>
      <c r="G254" s="2" t="s">
        <v>1975</v>
      </c>
      <c r="H254" s="2" t="s">
        <v>328</v>
      </c>
      <c r="I254" s="2" t="s">
        <v>763</v>
      </c>
      <c r="J254" s="2" t="s">
        <v>30</v>
      </c>
      <c r="K254" s="2" t="s">
        <v>30</v>
      </c>
      <c r="L254" s="2" t="s">
        <v>334</v>
      </c>
      <c r="M254" s="2" t="s">
        <v>109</v>
      </c>
      <c r="N254" s="2" t="s">
        <v>454</v>
      </c>
      <c r="O254" s="2" t="s">
        <v>139</v>
      </c>
      <c r="P254" s="2" t="s">
        <v>1437</v>
      </c>
      <c r="Q254" s="2" t="s">
        <v>420</v>
      </c>
      <c r="R254" s="2" t="s">
        <v>413</v>
      </c>
      <c r="S254" s="2" t="s">
        <v>34</v>
      </c>
      <c r="T254" s="124">
        <v>7.0410000000000004</v>
      </c>
      <c r="U254" s="2" t="s">
        <v>1976</v>
      </c>
      <c r="V254" s="138">
        <v>3.4500000000000003E-2</v>
      </c>
      <c r="W254" s="140">
        <v>3.3020000000000001E-2</v>
      </c>
      <c r="X254" s="3" t="s">
        <v>419</v>
      </c>
      <c r="Y254" s="3" t="s">
        <v>139</v>
      </c>
      <c r="Z254" s="124">
        <v>20000</v>
      </c>
      <c r="AA254" s="134">
        <v>1</v>
      </c>
      <c r="AB254" s="151">
        <v>100.92</v>
      </c>
      <c r="AC254" s="2"/>
      <c r="AD254" s="124">
        <v>20.184000000000001</v>
      </c>
      <c r="AE254" s="2"/>
      <c r="AF254" s="2"/>
      <c r="AG254" s="2" t="s">
        <v>36</v>
      </c>
      <c r="AH254" s="140">
        <v>5.8999999999999998E-5</v>
      </c>
      <c r="AI254" s="140">
        <v>4.0105410636640899E-3</v>
      </c>
      <c r="AJ254" s="140">
        <v>9.4516245698203396E-4</v>
      </c>
    </row>
    <row r="255" spans="1:36">
      <c r="A255" s="2">
        <v>301</v>
      </c>
      <c r="B255" s="2">
        <v>7211</v>
      </c>
      <c r="C255" s="2" t="s">
        <v>1175</v>
      </c>
      <c r="D255" s="2" t="s">
        <v>1627</v>
      </c>
      <c r="E255" s="3" t="s">
        <v>1330</v>
      </c>
      <c r="F255" s="2" t="s">
        <v>1977</v>
      </c>
      <c r="G255" s="2" t="s">
        <v>1978</v>
      </c>
      <c r="H255" s="2" t="s">
        <v>328</v>
      </c>
      <c r="I255" s="2" t="s">
        <v>763</v>
      </c>
      <c r="J255" s="2" t="s">
        <v>30</v>
      </c>
      <c r="K255" s="2" t="s">
        <v>30</v>
      </c>
      <c r="L255" s="2" t="s">
        <v>334</v>
      </c>
      <c r="M255" s="2" t="s">
        <v>45</v>
      </c>
      <c r="N255" s="2" t="s">
        <v>454</v>
      </c>
      <c r="O255" s="2" t="s">
        <v>139</v>
      </c>
      <c r="P255" s="2" t="s">
        <v>1437</v>
      </c>
      <c r="Q255" s="2" t="s">
        <v>420</v>
      </c>
      <c r="R255" s="2" t="s">
        <v>413</v>
      </c>
      <c r="S255" s="2" t="s">
        <v>34</v>
      </c>
      <c r="T255" s="124">
        <v>3.1419999999999999</v>
      </c>
      <c r="U255" s="2" t="s">
        <v>1979</v>
      </c>
      <c r="V255" s="138">
        <v>8.3999999999999995E-3</v>
      </c>
      <c r="W255" s="140">
        <v>2.8889999999999999E-2</v>
      </c>
      <c r="X255" s="3" t="s">
        <v>419</v>
      </c>
      <c r="Y255" s="3" t="s">
        <v>139</v>
      </c>
      <c r="Z255" s="124">
        <v>50000</v>
      </c>
      <c r="AA255" s="134">
        <v>1</v>
      </c>
      <c r="AB255" s="151">
        <v>105.82</v>
      </c>
      <c r="AC255" s="2"/>
      <c r="AD255" s="124">
        <v>52.91</v>
      </c>
      <c r="AE255" s="2"/>
      <c r="AF255" s="2"/>
      <c r="AG255" s="2" t="s">
        <v>36</v>
      </c>
      <c r="AH255" s="140">
        <v>1.26E-4</v>
      </c>
      <c r="AI255" s="140">
        <v>1.0513165263499101E-2</v>
      </c>
      <c r="AJ255" s="140">
        <v>2.47763305583231E-3</v>
      </c>
    </row>
    <row r="256" spans="1:36">
      <c r="A256" s="2">
        <v>301</v>
      </c>
      <c r="B256" s="2">
        <v>7211</v>
      </c>
      <c r="C256" s="2" t="s">
        <v>1634</v>
      </c>
      <c r="D256" s="2" t="s">
        <v>1635</v>
      </c>
      <c r="E256" s="3" t="s">
        <v>1330</v>
      </c>
      <c r="F256" s="2" t="s">
        <v>1980</v>
      </c>
      <c r="G256" s="2" t="s">
        <v>1981</v>
      </c>
      <c r="H256" s="2" t="s">
        <v>328</v>
      </c>
      <c r="I256" s="2" t="s">
        <v>976</v>
      </c>
      <c r="J256" s="2" t="s">
        <v>30</v>
      </c>
      <c r="K256" s="2" t="s">
        <v>30</v>
      </c>
      <c r="L256" s="2" t="s">
        <v>334</v>
      </c>
      <c r="M256" s="2" t="s">
        <v>45</v>
      </c>
      <c r="N256" s="2" t="s">
        <v>483</v>
      </c>
      <c r="O256" s="2" t="s">
        <v>139</v>
      </c>
      <c r="P256" s="2" t="s">
        <v>1437</v>
      </c>
      <c r="Q256" s="2" t="s">
        <v>420</v>
      </c>
      <c r="R256" s="2" t="s">
        <v>413</v>
      </c>
      <c r="S256" s="2" t="s">
        <v>34</v>
      </c>
      <c r="T256" s="124">
        <v>1.387</v>
      </c>
      <c r="U256" s="2" t="s">
        <v>1982</v>
      </c>
      <c r="V256" s="138">
        <v>2.29E-2</v>
      </c>
      <c r="W256" s="140">
        <v>4.5949999999999998E-2</v>
      </c>
      <c r="X256" s="3" t="s">
        <v>419</v>
      </c>
      <c r="Y256" s="3" t="s">
        <v>139</v>
      </c>
      <c r="Z256" s="124">
        <v>28846.16</v>
      </c>
      <c r="AA256" s="134">
        <v>1</v>
      </c>
      <c r="AB256" s="151">
        <v>97.15</v>
      </c>
      <c r="AC256" s="2"/>
      <c r="AD256" s="124">
        <v>28.024000000000001</v>
      </c>
      <c r="AE256" s="2"/>
      <c r="AF256" s="2"/>
      <c r="AG256" s="2" t="s">
        <v>36</v>
      </c>
      <c r="AH256" s="140">
        <v>8.7000000000000001E-5</v>
      </c>
      <c r="AI256" s="140">
        <v>5.5683502277332096E-3</v>
      </c>
      <c r="AJ256" s="140">
        <v>1.31229066079489E-3</v>
      </c>
    </row>
    <row r="257" spans="1:36">
      <c r="A257" s="2">
        <v>301</v>
      </c>
      <c r="B257" s="2">
        <v>7211</v>
      </c>
      <c r="C257" s="2" t="s">
        <v>1983</v>
      </c>
      <c r="D257" s="2" t="s">
        <v>1984</v>
      </c>
      <c r="E257" s="3" t="s">
        <v>1330</v>
      </c>
      <c r="F257" s="2" t="s">
        <v>1985</v>
      </c>
      <c r="G257" s="2" t="s">
        <v>1986</v>
      </c>
      <c r="H257" s="2" t="s">
        <v>328</v>
      </c>
      <c r="I257" s="2" t="s">
        <v>976</v>
      </c>
      <c r="J257" s="2" t="s">
        <v>30</v>
      </c>
      <c r="K257" s="2" t="s">
        <v>30</v>
      </c>
      <c r="L257" s="2" t="s">
        <v>334</v>
      </c>
      <c r="M257" s="2" t="s">
        <v>45</v>
      </c>
      <c r="N257" s="2" t="s">
        <v>451</v>
      </c>
      <c r="O257" s="2" t="s">
        <v>139</v>
      </c>
      <c r="P257" s="2" t="s">
        <v>1719</v>
      </c>
      <c r="Q257" s="2" t="s">
        <v>420</v>
      </c>
      <c r="R257" s="2" t="s">
        <v>413</v>
      </c>
      <c r="S257" s="2" t="s">
        <v>34</v>
      </c>
      <c r="T257" s="124">
        <v>4.0860000000000003</v>
      </c>
      <c r="U257" s="2" t="s">
        <v>1784</v>
      </c>
      <c r="V257" s="138">
        <v>2.6200000000000001E-2</v>
      </c>
      <c r="W257" s="140">
        <v>4.8649999999999999E-2</v>
      </c>
      <c r="X257" s="3" t="s">
        <v>419</v>
      </c>
      <c r="Y257" s="3" t="s">
        <v>139</v>
      </c>
      <c r="Z257" s="124">
        <v>56083</v>
      </c>
      <c r="AA257" s="134">
        <v>1</v>
      </c>
      <c r="AB257" s="151">
        <v>91.99</v>
      </c>
      <c r="AC257" s="2"/>
      <c r="AD257" s="124">
        <v>51.591000000000001</v>
      </c>
      <c r="AE257" s="2"/>
      <c r="AF257" s="2"/>
      <c r="AG257" s="2" t="s">
        <v>36</v>
      </c>
      <c r="AH257" s="140">
        <v>4.3000000000000002E-5</v>
      </c>
      <c r="AI257" s="140">
        <v>1.02510319162776E-2</v>
      </c>
      <c r="AJ257" s="140">
        <v>2.41585620463347E-3</v>
      </c>
    </row>
    <row r="258" spans="1:36">
      <c r="A258" s="2">
        <v>301</v>
      </c>
      <c r="B258" s="2">
        <v>7211</v>
      </c>
      <c r="C258" s="2" t="s">
        <v>1983</v>
      </c>
      <c r="D258" s="2" t="s">
        <v>1984</v>
      </c>
      <c r="E258" s="3" t="s">
        <v>1330</v>
      </c>
      <c r="F258" s="2" t="s">
        <v>1987</v>
      </c>
      <c r="G258" s="2" t="s">
        <v>1988</v>
      </c>
      <c r="H258" s="2" t="s">
        <v>328</v>
      </c>
      <c r="I258" s="2" t="s">
        <v>763</v>
      </c>
      <c r="J258" s="2" t="s">
        <v>30</v>
      </c>
      <c r="K258" s="2" t="s">
        <v>30</v>
      </c>
      <c r="L258" s="2" t="s">
        <v>334</v>
      </c>
      <c r="M258" s="2" t="s">
        <v>45</v>
      </c>
      <c r="N258" s="2" t="s">
        <v>451</v>
      </c>
      <c r="O258" s="2" t="s">
        <v>139</v>
      </c>
      <c r="P258" s="2" t="s">
        <v>1719</v>
      </c>
      <c r="Q258" s="2" t="s">
        <v>420</v>
      </c>
      <c r="R258" s="2" t="s">
        <v>413</v>
      </c>
      <c r="S258" s="2" t="s">
        <v>34</v>
      </c>
      <c r="T258" s="124">
        <v>4.8659999999999997</v>
      </c>
      <c r="U258" s="2" t="s">
        <v>1989</v>
      </c>
      <c r="V258" s="138">
        <v>2.3099999999999999E-2</v>
      </c>
      <c r="W258" s="140">
        <v>2.5989999999999999E-2</v>
      </c>
      <c r="X258" s="3" t="s">
        <v>419</v>
      </c>
      <c r="Y258" s="3" t="s">
        <v>139</v>
      </c>
      <c r="Z258" s="124">
        <v>25000</v>
      </c>
      <c r="AA258" s="134">
        <v>1</v>
      </c>
      <c r="AB258" s="151">
        <v>102.32</v>
      </c>
      <c r="AC258" s="2"/>
      <c r="AD258" s="124">
        <v>25.58</v>
      </c>
      <c r="AE258" s="2"/>
      <c r="AF258" s="2"/>
      <c r="AG258" s="2" t="s">
        <v>36</v>
      </c>
      <c r="AH258" s="140">
        <v>8.2999999999999998E-5</v>
      </c>
      <c r="AI258" s="140">
        <v>5.0827209873428097E-3</v>
      </c>
      <c r="AJ258" s="140">
        <v>1.1978426302814301E-3</v>
      </c>
    </row>
    <row r="259" spans="1:36">
      <c r="A259" s="2">
        <v>301</v>
      </c>
      <c r="B259" s="2">
        <v>7211</v>
      </c>
      <c r="C259" s="2" t="s">
        <v>1990</v>
      </c>
      <c r="D259" s="2" t="s">
        <v>1991</v>
      </c>
      <c r="E259" s="3" t="s">
        <v>1330</v>
      </c>
      <c r="F259" s="2" t="s">
        <v>1992</v>
      </c>
      <c r="G259" s="2" t="s">
        <v>1993</v>
      </c>
      <c r="H259" s="2" t="s">
        <v>328</v>
      </c>
      <c r="I259" s="2" t="s">
        <v>976</v>
      </c>
      <c r="J259" s="2" t="s">
        <v>30</v>
      </c>
      <c r="K259" s="2" t="s">
        <v>30</v>
      </c>
      <c r="L259" s="2" t="s">
        <v>334</v>
      </c>
      <c r="M259" s="2" t="s">
        <v>45</v>
      </c>
      <c r="N259" s="2" t="s">
        <v>491</v>
      </c>
      <c r="O259" s="2" t="s">
        <v>139</v>
      </c>
      <c r="P259" s="2" t="s">
        <v>1437</v>
      </c>
      <c r="Q259" s="2" t="s">
        <v>420</v>
      </c>
      <c r="R259" s="2" t="s">
        <v>413</v>
      </c>
      <c r="S259" s="2" t="s">
        <v>34</v>
      </c>
      <c r="T259" s="124">
        <v>1.8240000000000001</v>
      </c>
      <c r="U259" s="2" t="s">
        <v>1994</v>
      </c>
      <c r="V259" s="138">
        <v>0.04</v>
      </c>
      <c r="W259" s="140">
        <v>4.829E-2</v>
      </c>
      <c r="X259" s="3" t="s">
        <v>419</v>
      </c>
      <c r="Y259" s="3" t="s">
        <v>139</v>
      </c>
      <c r="Z259" s="124">
        <v>25000</v>
      </c>
      <c r="AA259" s="134">
        <v>1</v>
      </c>
      <c r="AB259" s="151">
        <v>100.59</v>
      </c>
      <c r="AC259" s="2"/>
      <c r="AD259" s="124">
        <v>25.148</v>
      </c>
      <c r="AE259" s="2"/>
      <c r="AF259" s="2"/>
      <c r="AG259" s="2" t="s">
        <v>36</v>
      </c>
      <c r="AH259" s="140">
        <v>4.1999999999999998E-5</v>
      </c>
      <c r="AI259" s="140">
        <v>4.9967836602503304E-3</v>
      </c>
      <c r="AJ259" s="140">
        <v>1.17758981802198E-3</v>
      </c>
    </row>
    <row r="260" spans="1:36">
      <c r="A260" s="2">
        <v>301</v>
      </c>
      <c r="B260" s="2">
        <v>7211</v>
      </c>
      <c r="C260" s="2" t="s">
        <v>1995</v>
      </c>
      <c r="D260" s="2" t="s">
        <v>1996</v>
      </c>
      <c r="E260" s="3" t="s">
        <v>1330</v>
      </c>
      <c r="F260" s="2" t="s">
        <v>1997</v>
      </c>
      <c r="G260" s="2" t="s">
        <v>1998</v>
      </c>
      <c r="H260" s="2" t="s">
        <v>328</v>
      </c>
      <c r="I260" s="2" t="s">
        <v>763</v>
      </c>
      <c r="J260" s="2" t="s">
        <v>30</v>
      </c>
      <c r="K260" s="2" t="s">
        <v>30</v>
      </c>
      <c r="L260" s="2" t="s">
        <v>334</v>
      </c>
      <c r="M260" s="2" t="s">
        <v>45</v>
      </c>
      <c r="N260" s="2" t="s">
        <v>470</v>
      </c>
      <c r="O260" s="2" t="s">
        <v>139</v>
      </c>
      <c r="P260" s="2" t="s">
        <v>1437</v>
      </c>
      <c r="Q260" s="2" t="s">
        <v>420</v>
      </c>
      <c r="R260" s="2" t="s">
        <v>413</v>
      </c>
      <c r="S260" s="2" t="s">
        <v>34</v>
      </c>
      <c r="T260" s="124">
        <v>1.39</v>
      </c>
      <c r="U260" s="2" t="s">
        <v>1999</v>
      </c>
      <c r="V260" s="138">
        <v>2.1499999999999998E-2</v>
      </c>
      <c r="W260" s="140">
        <v>2.581E-2</v>
      </c>
      <c r="X260" s="3" t="s">
        <v>419</v>
      </c>
      <c r="Y260" s="3" t="s">
        <v>139</v>
      </c>
      <c r="Z260" s="124">
        <v>21428.57</v>
      </c>
      <c r="AA260" s="134">
        <v>1</v>
      </c>
      <c r="AB260" s="151">
        <v>116.4</v>
      </c>
      <c r="AC260" s="2"/>
      <c r="AD260" s="124">
        <v>24.943000000000001</v>
      </c>
      <c r="AE260" s="2"/>
      <c r="AF260" s="2"/>
      <c r="AG260" s="2" t="s">
        <v>36</v>
      </c>
      <c r="AH260" s="140">
        <v>1.5E-5</v>
      </c>
      <c r="AI260" s="140">
        <v>4.9561209942320002E-3</v>
      </c>
      <c r="AJ260" s="140">
        <v>1.1680068653202799E-3</v>
      </c>
    </row>
    <row r="261" spans="1:36">
      <c r="A261" s="2">
        <v>301</v>
      </c>
      <c r="B261" s="2">
        <v>7211</v>
      </c>
      <c r="C261" s="2" t="s">
        <v>1646</v>
      </c>
      <c r="D261" s="2" t="s">
        <v>1647</v>
      </c>
      <c r="E261" s="3" t="s">
        <v>1330</v>
      </c>
      <c r="F261" s="2" t="s">
        <v>2000</v>
      </c>
      <c r="G261" s="2" t="s">
        <v>2001</v>
      </c>
      <c r="H261" s="2" t="s">
        <v>328</v>
      </c>
      <c r="I261" s="2" t="s">
        <v>976</v>
      </c>
      <c r="J261" s="2" t="s">
        <v>30</v>
      </c>
      <c r="K261" s="2" t="s">
        <v>30</v>
      </c>
      <c r="L261" s="2" t="s">
        <v>334</v>
      </c>
      <c r="M261" s="2" t="s">
        <v>45</v>
      </c>
      <c r="N261" s="2" t="s">
        <v>482</v>
      </c>
      <c r="O261" s="2" t="s">
        <v>139</v>
      </c>
      <c r="P261" s="2" t="s">
        <v>1719</v>
      </c>
      <c r="Q261" s="2" t="s">
        <v>420</v>
      </c>
      <c r="R261" s="2" t="s">
        <v>413</v>
      </c>
      <c r="S261" s="2" t="s">
        <v>34</v>
      </c>
      <c r="T261" s="124">
        <v>3.129</v>
      </c>
      <c r="U261" s="2" t="s">
        <v>2002</v>
      </c>
      <c r="V261" s="138">
        <v>3.5200000000000002E-2</v>
      </c>
      <c r="W261" s="140">
        <v>4.7440000000000003E-2</v>
      </c>
      <c r="X261" s="3" t="s">
        <v>419</v>
      </c>
      <c r="Y261" s="3" t="s">
        <v>139</v>
      </c>
      <c r="Z261" s="124">
        <v>48888.89</v>
      </c>
      <c r="AA261" s="134">
        <v>1</v>
      </c>
      <c r="AB261" s="151">
        <v>97.69</v>
      </c>
      <c r="AC261" s="2"/>
      <c r="AD261" s="124">
        <v>47.76</v>
      </c>
      <c r="AE261" s="2"/>
      <c r="AF261" s="2"/>
      <c r="AG261" s="2" t="s">
        <v>36</v>
      </c>
      <c r="AH261" s="140">
        <v>6.4999999999999994E-5</v>
      </c>
      <c r="AI261" s="140">
        <v>9.4897772042767201E-3</v>
      </c>
      <c r="AJ261" s="140">
        <v>2.23645163987218E-3</v>
      </c>
    </row>
    <row r="262" spans="1:36">
      <c r="A262" s="2">
        <v>301</v>
      </c>
      <c r="B262" s="2">
        <v>7211</v>
      </c>
      <c r="C262" s="2" t="s">
        <v>2003</v>
      </c>
      <c r="D262" s="2" t="s">
        <v>2004</v>
      </c>
      <c r="E262" s="3" t="s">
        <v>1330</v>
      </c>
      <c r="F262" s="2" t="s">
        <v>2005</v>
      </c>
      <c r="G262" s="2" t="s">
        <v>2006</v>
      </c>
      <c r="H262" s="2" t="s">
        <v>328</v>
      </c>
      <c r="I262" s="2" t="s">
        <v>763</v>
      </c>
      <c r="J262" s="2" t="s">
        <v>30</v>
      </c>
      <c r="K262" s="2" t="s">
        <v>30</v>
      </c>
      <c r="L262" s="2" t="s">
        <v>334</v>
      </c>
      <c r="M262" s="2" t="s">
        <v>45</v>
      </c>
      <c r="N262" s="2" t="s">
        <v>453</v>
      </c>
      <c r="O262" s="2" t="s">
        <v>139</v>
      </c>
      <c r="P262" s="2" t="s">
        <v>1395</v>
      </c>
      <c r="Q262" s="2" t="s">
        <v>420</v>
      </c>
      <c r="R262" s="2" t="s">
        <v>413</v>
      </c>
      <c r="S262" s="2" t="s">
        <v>34</v>
      </c>
      <c r="T262" s="124">
        <v>0.24399999999999999</v>
      </c>
      <c r="U262" s="2" t="s">
        <v>1962</v>
      </c>
      <c r="V262" s="138">
        <v>4.3400000000000001E-2</v>
      </c>
      <c r="W262" s="140">
        <v>3.3689999999999998E-2</v>
      </c>
      <c r="X262" s="3" t="s">
        <v>419</v>
      </c>
      <c r="Y262" s="3" t="s">
        <v>139</v>
      </c>
      <c r="Z262" s="124">
        <v>40000</v>
      </c>
      <c r="AA262" s="134">
        <v>1</v>
      </c>
      <c r="AB262" s="151">
        <v>116.76</v>
      </c>
      <c r="AC262" s="2"/>
      <c r="AD262" s="124">
        <v>46.704000000000001</v>
      </c>
      <c r="AE262" s="2"/>
      <c r="AF262" s="2"/>
      <c r="AG262" s="2" t="s">
        <v>36</v>
      </c>
      <c r="AH262" s="140">
        <v>9.2E-5</v>
      </c>
      <c r="AI262" s="140">
        <v>9.2800391318552996E-3</v>
      </c>
      <c r="AJ262" s="140">
        <v>2.18702276015106E-3</v>
      </c>
    </row>
    <row r="263" spans="1:36">
      <c r="A263" s="2">
        <v>301</v>
      </c>
      <c r="B263" s="2">
        <v>7211</v>
      </c>
      <c r="C263" s="2" t="s">
        <v>2007</v>
      </c>
      <c r="D263" s="2" t="s">
        <v>2008</v>
      </c>
      <c r="E263" s="3" t="s">
        <v>1330</v>
      </c>
      <c r="F263" s="2" t="s">
        <v>2009</v>
      </c>
      <c r="G263" s="2" t="s">
        <v>2010</v>
      </c>
      <c r="H263" s="2" t="s">
        <v>328</v>
      </c>
      <c r="I263" s="2" t="s">
        <v>976</v>
      </c>
      <c r="J263" s="2" t="s">
        <v>30</v>
      </c>
      <c r="K263" s="2" t="s">
        <v>30</v>
      </c>
      <c r="L263" s="2" t="s">
        <v>334</v>
      </c>
      <c r="M263" s="2" t="s">
        <v>45</v>
      </c>
      <c r="N263" s="2" t="s">
        <v>446</v>
      </c>
      <c r="O263" s="2" t="s">
        <v>139</v>
      </c>
      <c r="P263" s="2" t="s">
        <v>1783</v>
      </c>
      <c r="Q263" s="2" t="s">
        <v>422</v>
      </c>
      <c r="R263" s="2" t="s">
        <v>413</v>
      </c>
      <c r="S263" s="2" t="s">
        <v>34</v>
      </c>
      <c r="T263" s="124">
        <v>4.202</v>
      </c>
      <c r="U263" s="2" t="s">
        <v>2011</v>
      </c>
      <c r="V263" s="138">
        <v>6.7699999999999996E-2</v>
      </c>
      <c r="W263" s="140">
        <v>5.5649999999999998E-2</v>
      </c>
      <c r="X263" s="3" t="s">
        <v>419</v>
      </c>
      <c r="Y263" s="3" t="s">
        <v>139</v>
      </c>
      <c r="Z263" s="124">
        <v>45000</v>
      </c>
      <c r="AA263" s="134">
        <v>1</v>
      </c>
      <c r="AB263" s="151">
        <v>105.34</v>
      </c>
      <c r="AC263" s="2"/>
      <c r="AD263" s="124">
        <v>47.402999999999999</v>
      </c>
      <c r="AE263" s="2"/>
      <c r="AF263" s="2"/>
      <c r="AG263" s="2" t="s">
        <v>36</v>
      </c>
      <c r="AH263" s="140">
        <v>6.0000000000000002E-5</v>
      </c>
      <c r="AI263" s="140">
        <v>9.4189297483585292E-3</v>
      </c>
      <c r="AJ263" s="140">
        <v>2.2197550509472498E-3</v>
      </c>
    </row>
    <row r="264" spans="1:36">
      <c r="A264" s="2">
        <v>301</v>
      </c>
      <c r="B264" s="2">
        <v>7211</v>
      </c>
      <c r="C264" s="2" t="s">
        <v>2012</v>
      </c>
      <c r="D264" s="2" t="s">
        <v>2013</v>
      </c>
      <c r="E264" s="3" t="s">
        <v>1330</v>
      </c>
      <c r="F264" s="2" t="s">
        <v>2014</v>
      </c>
      <c r="G264" s="2" t="s">
        <v>2015</v>
      </c>
      <c r="H264" s="2" t="s">
        <v>328</v>
      </c>
      <c r="I264" s="2" t="s">
        <v>976</v>
      </c>
      <c r="J264" s="2" t="s">
        <v>30</v>
      </c>
      <c r="K264" s="2" t="s">
        <v>30</v>
      </c>
      <c r="L264" s="2" t="s">
        <v>334</v>
      </c>
      <c r="M264" s="2" t="s">
        <v>45</v>
      </c>
      <c r="N264" s="2" t="s">
        <v>484</v>
      </c>
      <c r="O264" s="2" t="s">
        <v>139</v>
      </c>
      <c r="P264" s="2" t="s">
        <v>1719</v>
      </c>
      <c r="Q264" s="2" t="s">
        <v>420</v>
      </c>
      <c r="R264" s="2" t="s">
        <v>413</v>
      </c>
      <c r="S264" s="2" t="s">
        <v>34</v>
      </c>
      <c r="T264" s="124">
        <v>3.226</v>
      </c>
      <c r="U264" s="2" t="s">
        <v>2016</v>
      </c>
      <c r="V264" s="138">
        <v>4.5600000000000002E-2</v>
      </c>
      <c r="W264" s="140">
        <v>5.1310000000000001E-2</v>
      </c>
      <c r="X264" s="3" t="s">
        <v>419</v>
      </c>
      <c r="Y264" s="3" t="s">
        <v>139</v>
      </c>
      <c r="Z264" s="124">
        <v>36129.040000000001</v>
      </c>
      <c r="AA264" s="134">
        <v>1</v>
      </c>
      <c r="AB264" s="151">
        <v>98.63</v>
      </c>
      <c r="AC264" s="2"/>
      <c r="AD264" s="124">
        <v>35.634</v>
      </c>
      <c r="AE264" s="2"/>
      <c r="AF264" s="2"/>
      <c r="AG264" s="2" t="s">
        <v>36</v>
      </c>
      <c r="AH264" s="140">
        <v>5.3999999999999998E-5</v>
      </c>
      <c r="AI264" s="140">
        <v>7.0804552928639001E-3</v>
      </c>
      <c r="AJ264" s="140">
        <v>1.6686477996165001E-3</v>
      </c>
    </row>
    <row r="265" spans="1:36">
      <c r="A265" s="2">
        <v>301</v>
      </c>
      <c r="B265" s="2">
        <v>7211</v>
      </c>
      <c r="C265" s="2" t="s">
        <v>2012</v>
      </c>
      <c r="D265" s="2" t="s">
        <v>2013</v>
      </c>
      <c r="E265" s="3" t="s">
        <v>1330</v>
      </c>
      <c r="F265" s="2" t="s">
        <v>2017</v>
      </c>
      <c r="G265" s="2" t="s">
        <v>2018</v>
      </c>
      <c r="H265" s="2" t="s">
        <v>328</v>
      </c>
      <c r="I265" s="2" t="s">
        <v>763</v>
      </c>
      <c r="J265" s="2" t="s">
        <v>30</v>
      </c>
      <c r="K265" s="2" t="s">
        <v>30</v>
      </c>
      <c r="L265" s="2" t="s">
        <v>334</v>
      </c>
      <c r="M265" s="2" t="s">
        <v>45</v>
      </c>
      <c r="N265" s="2" t="s">
        <v>484</v>
      </c>
      <c r="O265" s="2" t="s">
        <v>139</v>
      </c>
      <c r="P265" s="2" t="s">
        <v>1719</v>
      </c>
      <c r="Q265" s="2" t="s">
        <v>420</v>
      </c>
      <c r="R265" s="2" t="s">
        <v>413</v>
      </c>
      <c r="S265" s="2" t="s">
        <v>34</v>
      </c>
      <c r="T265" s="124">
        <v>3.395</v>
      </c>
      <c r="U265" s="2" t="s">
        <v>2016</v>
      </c>
      <c r="V265" s="138">
        <v>2.1999999999999999E-2</v>
      </c>
      <c r="W265" s="140">
        <v>2.8129999999999999E-2</v>
      </c>
      <c r="X265" s="3" t="s">
        <v>419</v>
      </c>
      <c r="Y265" s="3" t="s">
        <v>139</v>
      </c>
      <c r="Z265" s="124">
        <v>32666.68</v>
      </c>
      <c r="AA265" s="134">
        <v>1</v>
      </c>
      <c r="AB265" s="151">
        <v>104.57</v>
      </c>
      <c r="AC265" s="2"/>
      <c r="AD265" s="124">
        <v>34.159999999999997</v>
      </c>
      <c r="AE265" s="2"/>
      <c r="AF265" s="2"/>
      <c r="AG265" s="2" t="s">
        <v>36</v>
      </c>
      <c r="AH265" s="140">
        <v>5.3000000000000001E-5</v>
      </c>
      <c r="AI265" s="140">
        <v>6.7874686418238498E-3</v>
      </c>
      <c r="AJ265" s="140">
        <v>1.5995997638118401E-3</v>
      </c>
    </row>
    <row r="266" spans="1:36">
      <c r="A266" s="2">
        <v>301</v>
      </c>
      <c r="B266" s="2">
        <v>7211</v>
      </c>
      <c r="C266" s="2" t="s">
        <v>2019</v>
      </c>
      <c r="D266" s="2" t="s">
        <v>2020</v>
      </c>
      <c r="E266" s="3" t="s">
        <v>1330</v>
      </c>
      <c r="F266" s="2" t="s">
        <v>2021</v>
      </c>
      <c r="G266" s="2" t="s">
        <v>2022</v>
      </c>
      <c r="H266" s="2" t="s">
        <v>328</v>
      </c>
      <c r="I266" s="2" t="s">
        <v>764</v>
      </c>
      <c r="J266" s="2" t="s">
        <v>30</v>
      </c>
      <c r="K266" s="2" t="s">
        <v>30</v>
      </c>
      <c r="L266" s="2" t="s">
        <v>334</v>
      </c>
      <c r="M266" s="2" t="s">
        <v>45</v>
      </c>
      <c r="N266" s="2" t="s">
        <v>460</v>
      </c>
      <c r="O266" s="2" t="s">
        <v>139</v>
      </c>
      <c r="P266" s="2" t="s">
        <v>1725</v>
      </c>
      <c r="Q266" s="2" t="s">
        <v>422</v>
      </c>
      <c r="R266" s="2" t="s">
        <v>413</v>
      </c>
      <c r="S266" s="2" t="s">
        <v>34</v>
      </c>
      <c r="T266" s="124">
        <v>2.875</v>
      </c>
      <c r="U266" s="2" t="s">
        <v>2023</v>
      </c>
      <c r="V266" s="138">
        <v>4.6899999999999997E-2</v>
      </c>
      <c r="W266" s="140">
        <v>7.4120000000000005E-2</v>
      </c>
      <c r="X266" s="3" t="s">
        <v>419</v>
      </c>
      <c r="Y266" s="3" t="s">
        <v>139</v>
      </c>
      <c r="Z266" s="124">
        <v>91221.87</v>
      </c>
      <c r="AA266" s="134">
        <v>1</v>
      </c>
      <c r="AB266" s="151">
        <v>99.5</v>
      </c>
      <c r="AC266" s="2"/>
      <c r="AD266" s="124">
        <v>90.766000000000005</v>
      </c>
      <c r="AE266" s="2"/>
      <c r="AF266" s="2"/>
      <c r="AG266" s="2" t="s">
        <v>36</v>
      </c>
      <c r="AH266" s="140">
        <v>7.8999999999999996E-5</v>
      </c>
      <c r="AI266" s="140">
        <v>1.8035067888502301E-2</v>
      </c>
      <c r="AJ266" s="140">
        <v>4.2503165549840098E-3</v>
      </c>
    </row>
    <row r="267" spans="1:36">
      <c r="A267" s="2">
        <v>301</v>
      </c>
      <c r="B267" s="2">
        <v>7211</v>
      </c>
      <c r="C267" s="2" t="s">
        <v>1175</v>
      </c>
      <c r="D267" s="2" t="s">
        <v>1627</v>
      </c>
      <c r="E267" s="3" t="s">
        <v>1330</v>
      </c>
      <c r="F267" s="2" t="s">
        <v>2024</v>
      </c>
      <c r="G267" s="2" t="s">
        <v>2025</v>
      </c>
      <c r="H267" s="2" t="s">
        <v>328</v>
      </c>
      <c r="I267" s="2" t="s">
        <v>764</v>
      </c>
      <c r="J267" s="2" t="s">
        <v>30</v>
      </c>
      <c r="K267" s="2" t="s">
        <v>30</v>
      </c>
      <c r="L267" s="2" t="s">
        <v>334</v>
      </c>
      <c r="M267" s="2" t="s">
        <v>31</v>
      </c>
      <c r="N267" s="2" t="s">
        <v>543</v>
      </c>
      <c r="O267" s="2" t="s">
        <v>139</v>
      </c>
      <c r="P267" s="2" t="s">
        <v>2026</v>
      </c>
      <c r="Q267" s="2" t="s">
        <v>439</v>
      </c>
      <c r="R267" s="2" t="s">
        <v>413</v>
      </c>
      <c r="S267" s="2" t="s">
        <v>105</v>
      </c>
      <c r="T267" s="124">
        <v>5.9640000000000004</v>
      </c>
      <c r="U267" s="2" t="s">
        <v>2027</v>
      </c>
      <c r="V267" s="138">
        <v>3.2550000000000003E-2</v>
      </c>
      <c r="W267" s="140">
        <v>6.5949999999999995E-2</v>
      </c>
      <c r="X267" s="3" t="s">
        <v>419</v>
      </c>
      <c r="Y267" s="3" t="s">
        <v>139</v>
      </c>
      <c r="Z267" s="124">
        <v>15000</v>
      </c>
      <c r="AA267" s="134">
        <v>3.6469999999999998</v>
      </c>
      <c r="AB267" s="151">
        <v>95.063000000000002</v>
      </c>
      <c r="AC267" s="2"/>
      <c r="AD267" s="124">
        <v>52.003999999999998</v>
      </c>
      <c r="AE267" s="2"/>
      <c r="AF267" s="2"/>
      <c r="AG267" s="2" t="s">
        <v>36</v>
      </c>
      <c r="AH267" s="140">
        <v>1.5E-5</v>
      </c>
      <c r="AI267" s="140">
        <v>1.03331457751707E-2</v>
      </c>
      <c r="AJ267" s="140">
        <v>2.4352079418159599E-3</v>
      </c>
    </row>
    <row r="268" spans="1:36">
      <c r="A268" s="2">
        <v>301</v>
      </c>
      <c r="B268" s="2">
        <v>7211</v>
      </c>
      <c r="C268" s="2" t="s">
        <v>1181</v>
      </c>
      <c r="D268" s="2" t="s">
        <v>1590</v>
      </c>
      <c r="E268" s="3" t="s">
        <v>1330</v>
      </c>
      <c r="F268" s="2" t="s">
        <v>2028</v>
      </c>
      <c r="G268" s="2" t="s">
        <v>2029</v>
      </c>
      <c r="H268" s="2" t="s">
        <v>328</v>
      </c>
      <c r="I268" s="2" t="s">
        <v>764</v>
      </c>
      <c r="J268" s="2" t="s">
        <v>30</v>
      </c>
      <c r="K268" s="2" t="s">
        <v>30</v>
      </c>
      <c r="L268" s="2" t="s">
        <v>334</v>
      </c>
      <c r="M268" s="2" t="s">
        <v>31</v>
      </c>
      <c r="N268" s="2" t="s">
        <v>543</v>
      </c>
      <c r="O268" s="2" t="s">
        <v>139</v>
      </c>
      <c r="P268" s="2" t="s">
        <v>2026</v>
      </c>
      <c r="Q268" s="2" t="s">
        <v>439</v>
      </c>
      <c r="R268" s="2" t="s">
        <v>413</v>
      </c>
      <c r="S268" s="2" t="s">
        <v>105</v>
      </c>
      <c r="T268" s="124">
        <v>5.2160000000000002</v>
      </c>
      <c r="U268" s="2" t="s">
        <v>2030</v>
      </c>
      <c r="V268" s="138">
        <v>3.2750000000000001E-2</v>
      </c>
      <c r="W268" s="140">
        <v>6.3509999999999997E-2</v>
      </c>
      <c r="X268" s="3" t="s">
        <v>419</v>
      </c>
      <c r="Y268" s="3" t="s">
        <v>139</v>
      </c>
      <c r="Z268" s="124">
        <v>16000</v>
      </c>
      <c r="AA268" s="134">
        <v>3.6469999999999998</v>
      </c>
      <c r="AB268" s="151">
        <v>97.311000000000007</v>
      </c>
      <c r="AC268" s="2"/>
      <c r="AD268" s="124">
        <v>56.783000000000001</v>
      </c>
      <c r="AE268" s="2"/>
      <c r="AF268" s="2"/>
      <c r="AG268" s="2" t="s">
        <v>36</v>
      </c>
      <c r="AH268" s="140">
        <v>2.0999999999999999E-5</v>
      </c>
      <c r="AI268" s="140">
        <v>1.12827415161811E-2</v>
      </c>
      <c r="AJ268" s="140">
        <v>2.6589987544434002E-3</v>
      </c>
    </row>
    <row r="269" spans="1:36">
      <c r="A269" s="2">
        <v>301</v>
      </c>
      <c r="B269" s="2">
        <v>7211</v>
      </c>
      <c r="C269" s="2" t="s">
        <v>1592</v>
      </c>
      <c r="D269" s="2" t="s">
        <v>1593</v>
      </c>
      <c r="E269" s="3" t="s">
        <v>1330</v>
      </c>
      <c r="F269" s="2" t="s">
        <v>2031</v>
      </c>
      <c r="G269" s="2" t="s">
        <v>2032</v>
      </c>
      <c r="H269" s="2" t="s">
        <v>328</v>
      </c>
      <c r="I269" s="2" t="s">
        <v>764</v>
      </c>
      <c r="J269" s="2" t="s">
        <v>100</v>
      </c>
      <c r="K269" s="2" t="s">
        <v>30</v>
      </c>
      <c r="L269" s="2" t="s">
        <v>334</v>
      </c>
      <c r="M269" s="2" t="s">
        <v>109</v>
      </c>
      <c r="N269" s="2" t="s">
        <v>543</v>
      </c>
      <c r="O269" s="2" t="s">
        <v>139</v>
      </c>
      <c r="P269" s="2" t="s">
        <v>2026</v>
      </c>
      <c r="Q269" s="2" t="s">
        <v>439</v>
      </c>
      <c r="R269" s="2" t="s">
        <v>413</v>
      </c>
      <c r="S269" s="2" t="s">
        <v>105</v>
      </c>
      <c r="T269" s="124">
        <v>5.3739999999999997</v>
      </c>
      <c r="U269" s="2" t="s">
        <v>2033</v>
      </c>
      <c r="V269" s="138">
        <v>3.0769999999999999E-2</v>
      </c>
      <c r="W269" s="140">
        <v>6.7519999999999997E-2</v>
      </c>
      <c r="X269" s="3" t="s">
        <v>419</v>
      </c>
      <c r="Y269" s="3" t="s">
        <v>139</v>
      </c>
      <c r="Z269" s="124">
        <v>6000</v>
      </c>
      <c r="AA269" s="134">
        <v>3.6469999999999998</v>
      </c>
      <c r="AB269" s="151">
        <v>95.997</v>
      </c>
      <c r="AC269" s="2"/>
      <c r="AD269" s="124">
        <v>21.006</v>
      </c>
      <c r="AE269" s="2"/>
      <c r="AF269" s="2"/>
      <c r="AG269" s="2" t="s">
        <v>36</v>
      </c>
      <c r="AH269" s="140">
        <v>1.0000000000000001E-5</v>
      </c>
      <c r="AI269" s="140">
        <v>4.1738808068856204E-3</v>
      </c>
      <c r="AJ269" s="140">
        <v>9.8365666277007609E-4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4">
    <dataValidation type="list" allowBlank="1" showInputMessage="1" showErrorMessage="1" sqref="J2:J20" xr:uid="{00000000-0002-0000-0500-000000000000}">
      <formula1>israel_abroad</formula1>
    </dataValidation>
    <dataValidation type="list" allowBlank="1" showInputMessage="1" showErrorMessage="1" sqref="O2:O20" xr:uid="{00000000-0002-0000-0500-000001000000}">
      <formula1>Holding_interest</formula1>
    </dataValidation>
    <dataValidation type="list" allowBlank="1" showInputMessage="1" showErrorMessage="1" sqref="Q2:Q20" xr:uid="{00000000-0002-0000-0500-000002000000}">
      <formula1>Rating_Agency</formula1>
    </dataValidation>
    <dataValidation type="list" allowBlank="1" showInputMessage="1" showErrorMessage="1" sqref="R2:R20" xr:uid="{00000000-0002-0000-0500-000003000000}">
      <formula1>What_is_rated</formula1>
    </dataValidation>
    <dataValidation type="list" allowBlank="1" showInputMessage="1" showErrorMessage="1" sqref="X2:X20" xr:uid="{00000000-0002-0000-0500-000004000000}">
      <formula1>Subordination_Risk</formula1>
    </dataValidation>
    <dataValidation type="list" allowBlank="1" showInputMessage="1" showErrorMessage="1" sqref="AG2:AG5 AG8:AG19" xr:uid="{00000000-0002-0000-0500-000005000000}">
      <formula1>In_the_books</formula1>
    </dataValidation>
    <dataValidation type="list" allowBlank="1" showInputMessage="1" showErrorMessage="1" sqref="K2:K20" xr:uid="{00000000-0002-0000-0500-000006000000}">
      <formula1>Country_list</formula1>
    </dataValidation>
    <dataValidation type="list" allowBlank="1" showInputMessage="1" showErrorMessage="1" sqref="Y2:Y20" xr:uid="{00000000-0002-0000-0500-000007000000}">
      <formula1>Yes_No_Bad_Debt</formula1>
    </dataValidation>
    <dataValidation type="list" allowBlank="1" showInputMessage="1" showErrorMessage="1" sqref="H3:H20" xr:uid="{00000000-0002-0000-0500-000008000000}">
      <formula1>Type_of_Security_ID_Fund</formula1>
    </dataValidation>
    <dataValidation type="list" allowBlank="1" showInputMessage="1" showErrorMessage="1" sqref="E2:E20" xr:uid="{00000000-0002-0000-0500-000009000000}">
      <formula1>Issuer_Number_Type_2</formula1>
    </dataValidation>
    <dataValidation type="list" allowBlank="1" showInputMessage="1" showErrorMessage="1" sqref="H2" xr:uid="{00000000-0002-0000-0500-00000A000000}">
      <formula1>Security_ID_Number_Type</formula1>
    </dataValidation>
    <dataValidation type="list" allowBlank="1" showInputMessage="1" showErrorMessage="1" sqref="N2:N20" xr:uid="{00000000-0002-0000-0500-00000B000000}">
      <formula1>Industry_Sector</formula1>
    </dataValidation>
    <dataValidation type="list" allowBlank="1" showInputMessage="1" showErrorMessage="1" sqref="L2:L20" xr:uid="{00000000-0002-0000-0500-00000C000000}">
      <formula1>Tradeable_Status</formula1>
    </dataValidation>
    <dataValidation type="list" allowBlank="1" showInputMessage="1" showErrorMessage="1" sqref="M2:M20" xr:uid="{00000000-0002-0000-0500-00000D000000}">
      <formula1>Stock_Exchange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E000000}">
          <x14:formula1>
            <xm:f>'אפשרויות בחירה'!$C$874:$C$883</xm:f>
          </x14:formula1>
          <xm:sqref>I2:I20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8"/>
  <dimension ref="A1:Z125"/>
  <sheetViews>
    <sheetView rightToLeft="1" zoomScale="70" zoomScaleNormal="70" workbookViewId="0"/>
  </sheetViews>
  <sheetFormatPr defaultColWidth="0" defaultRowHeight="14.25" zeroHeight="1"/>
  <cols>
    <col min="1" max="24" width="11.625" customWidth="1"/>
    <col min="25" max="26" width="11.625" hidden="1" customWidth="1"/>
  </cols>
  <sheetData>
    <row r="1" spans="1:24" ht="66.75" customHeight="1">
      <c r="A1" s="12" t="s">
        <v>0</v>
      </c>
      <c r="B1" s="12" t="s">
        <v>1</v>
      </c>
      <c r="C1" s="12" t="s">
        <v>2</v>
      </c>
      <c r="D1" s="12" t="s">
        <v>156</v>
      </c>
      <c r="E1" s="12" t="s">
        <v>157</v>
      </c>
      <c r="F1" s="12" t="s">
        <v>3</v>
      </c>
      <c r="G1" s="12" t="s">
        <v>4</v>
      </c>
      <c r="H1" s="12" t="s">
        <v>158</v>
      </c>
      <c r="I1" s="12" t="s">
        <v>5</v>
      </c>
      <c r="J1" s="12" t="s">
        <v>6</v>
      </c>
      <c r="K1" s="12" t="s">
        <v>7</v>
      </c>
      <c r="L1" s="12" t="s">
        <v>333</v>
      </c>
      <c r="M1" s="12" t="s">
        <v>8</v>
      </c>
      <c r="N1" s="12" t="s">
        <v>159</v>
      </c>
      <c r="O1" s="12" t="s">
        <v>125</v>
      </c>
      <c r="P1" s="12" t="s">
        <v>11</v>
      </c>
      <c r="Q1" s="12" t="s">
        <v>17</v>
      </c>
      <c r="R1" s="133" t="s">
        <v>18</v>
      </c>
      <c r="S1" s="144" t="s">
        <v>19</v>
      </c>
      <c r="T1" s="12" t="s">
        <v>16</v>
      </c>
      <c r="U1" s="12" t="s">
        <v>20</v>
      </c>
      <c r="V1" s="139" t="s">
        <v>23</v>
      </c>
      <c r="W1" s="139" t="s">
        <v>24</v>
      </c>
      <c r="X1" s="139" t="s">
        <v>25</v>
      </c>
    </row>
    <row r="2" spans="1:24">
      <c r="A2" s="11">
        <v>301</v>
      </c>
      <c r="B2" s="11">
        <v>7209</v>
      </c>
      <c r="C2" s="11" t="s">
        <v>1538</v>
      </c>
      <c r="D2" s="11" t="s">
        <v>1539</v>
      </c>
      <c r="E2" s="11" t="s">
        <v>1330</v>
      </c>
      <c r="F2" s="11" t="s">
        <v>1540</v>
      </c>
      <c r="G2" s="11" t="s">
        <v>1541</v>
      </c>
      <c r="H2" s="11" t="s">
        <v>328</v>
      </c>
      <c r="I2" s="11" t="s">
        <v>940</v>
      </c>
      <c r="J2" s="11" t="s">
        <v>30</v>
      </c>
      <c r="K2" s="11" t="s">
        <v>30</v>
      </c>
      <c r="L2" s="13" t="s">
        <v>334</v>
      </c>
      <c r="M2" s="11" t="s">
        <v>45</v>
      </c>
      <c r="N2" s="13" t="s">
        <v>452</v>
      </c>
      <c r="O2" s="13" t="s">
        <v>139</v>
      </c>
      <c r="P2" s="11" t="s">
        <v>34</v>
      </c>
      <c r="Q2" s="127">
        <v>49</v>
      </c>
      <c r="R2" s="152">
        <v>1</v>
      </c>
      <c r="S2" s="153">
        <v>95300</v>
      </c>
      <c r="T2" s="126">
        <v>8.8999999999999996E-2</v>
      </c>
      <c r="U2" s="127">
        <v>46.786000000000001</v>
      </c>
      <c r="V2" s="154">
        <v>9.9999999999999995E-7</v>
      </c>
      <c r="W2" s="154">
        <v>1.35211485039536E-2</v>
      </c>
      <c r="X2" s="154">
        <v>2.2825874494851999E-3</v>
      </c>
    </row>
    <row r="3" spans="1:24">
      <c r="A3" s="11">
        <v>301</v>
      </c>
      <c r="B3" s="11">
        <v>7209</v>
      </c>
      <c r="C3" s="11" t="s">
        <v>1542</v>
      </c>
      <c r="D3" s="11" t="s">
        <v>1543</v>
      </c>
      <c r="E3" s="11" t="s">
        <v>1330</v>
      </c>
      <c r="F3" s="11" t="s">
        <v>1544</v>
      </c>
      <c r="G3" s="11" t="s">
        <v>1545</v>
      </c>
      <c r="H3" s="11" t="s">
        <v>328</v>
      </c>
      <c r="I3" s="11" t="s">
        <v>940</v>
      </c>
      <c r="J3" s="11" t="s">
        <v>30</v>
      </c>
      <c r="K3" s="11" t="s">
        <v>30</v>
      </c>
      <c r="L3" s="13" t="s">
        <v>334</v>
      </c>
      <c r="M3" s="11" t="s">
        <v>45</v>
      </c>
      <c r="N3" s="13" t="s">
        <v>470</v>
      </c>
      <c r="O3" s="13" t="s">
        <v>139</v>
      </c>
      <c r="P3" s="11" t="s">
        <v>34</v>
      </c>
      <c r="Q3" s="127">
        <v>3010</v>
      </c>
      <c r="R3" s="152">
        <v>1</v>
      </c>
      <c r="S3" s="153">
        <v>3040</v>
      </c>
      <c r="T3" s="13"/>
      <c r="U3" s="127">
        <v>91.504000000000005</v>
      </c>
      <c r="V3" s="154">
        <v>1.4E-5</v>
      </c>
      <c r="W3" s="154">
        <v>2.6444419162529601E-2</v>
      </c>
      <c r="X3" s="154">
        <v>4.4642434976337898E-3</v>
      </c>
    </row>
    <row r="4" spans="1:24">
      <c r="A4" s="11">
        <v>301</v>
      </c>
      <c r="B4" s="11">
        <v>7209</v>
      </c>
      <c r="C4" s="11" t="s">
        <v>1546</v>
      </c>
      <c r="D4" s="11" t="s">
        <v>1547</v>
      </c>
      <c r="E4" s="11" t="s">
        <v>1330</v>
      </c>
      <c r="F4" s="11" t="s">
        <v>1548</v>
      </c>
      <c r="G4" s="11" t="s">
        <v>1549</v>
      </c>
      <c r="H4" s="11" t="s">
        <v>328</v>
      </c>
      <c r="I4" s="11" t="s">
        <v>940</v>
      </c>
      <c r="J4" s="11" t="s">
        <v>30</v>
      </c>
      <c r="K4" s="11" t="s">
        <v>30</v>
      </c>
      <c r="L4" s="13" t="s">
        <v>334</v>
      </c>
      <c r="M4" s="11" t="s">
        <v>45</v>
      </c>
      <c r="N4" s="13" t="s">
        <v>470</v>
      </c>
      <c r="O4" s="13" t="s">
        <v>139</v>
      </c>
      <c r="P4" s="11" t="s">
        <v>34</v>
      </c>
      <c r="Q4" s="127">
        <v>2735</v>
      </c>
      <c r="R4" s="152">
        <v>1</v>
      </c>
      <c r="S4" s="153">
        <v>2064</v>
      </c>
      <c r="T4" s="13"/>
      <c r="U4" s="127">
        <v>56.45</v>
      </c>
      <c r="V4" s="154">
        <v>6.0000000000000002E-6</v>
      </c>
      <c r="W4" s="154">
        <v>1.63140194908688E-2</v>
      </c>
      <c r="X4" s="154">
        <v>2.7540690148936198E-3</v>
      </c>
    </row>
    <row r="5" spans="1:24">
      <c r="A5" s="11">
        <v>301</v>
      </c>
      <c r="B5" s="11">
        <v>7209</v>
      </c>
      <c r="C5" s="11" t="s">
        <v>1550</v>
      </c>
      <c r="D5" s="11" t="s">
        <v>1551</v>
      </c>
      <c r="E5" s="11" t="s">
        <v>1330</v>
      </c>
      <c r="F5" s="11" t="s">
        <v>1552</v>
      </c>
      <c r="G5" s="11" t="s">
        <v>1553</v>
      </c>
      <c r="H5" s="11" t="s">
        <v>328</v>
      </c>
      <c r="I5" s="11" t="s">
        <v>940</v>
      </c>
      <c r="J5" s="11" t="s">
        <v>30</v>
      </c>
      <c r="K5" s="11" t="s">
        <v>101</v>
      </c>
      <c r="L5" s="13" t="s">
        <v>334</v>
      </c>
      <c r="M5" s="11" t="s">
        <v>45</v>
      </c>
      <c r="N5" s="13" t="s">
        <v>447</v>
      </c>
      <c r="O5" s="13" t="s">
        <v>139</v>
      </c>
      <c r="P5" s="11" t="s">
        <v>34</v>
      </c>
      <c r="Q5" s="127">
        <v>1175</v>
      </c>
      <c r="R5" s="152">
        <v>1</v>
      </c>
      <c r="S5" s="153">
        <v>6305</v>
      </c>
      <c r="T5" s="13"/>
      <c r="U5" s="127">
        <v>74.084000000000003</v>
      </c>
      <c r="V5" s="154">
        <v>1.0000000000000001E-5</v>
      </c>
      <c r="W5" s="154">
        <v>2.14100120009185E-2</v>
      </c>
      <c r="X5" s="154">
        <v>3.61435455518695E-3</v>
      </c>
    </row>
    <row r="6" spans="1:24">
      <c r="A6" s="11">
        <v>301</v>
      </c>
      <c r="B6" s="11">
        <v>7209</v>
      </c>
      <c r="C6" s="11" t="s">
        <v>1554</v>
      </c>
      <c r="D6" s="11" t="s">
        <v>1555</v>
      </c>
      <c r="E6" s="11" t="s">
        <v>1330</v>
      </c>
      <c r="F6" s="11" t="s">
        <v>1556</v>
      </c>
      <c r="G6" s="11" t="s">
        <v>1557</v>
      </c>
      <c r="H6" s="11" t="s">
        <v>328</v>
      </c>
      <c r="I6" s="11" t="s">
        <v>940</v>
      </c>
      <c r="J6" s="11" t="s">
        <v>30</v>
      </c>
      <c r="K6" s="11" t="s">
        <v>30</v>
      </c>
      <c r="L6" s="13" t="s">
        <v>334</v>
      </c>
      <c r="M6" s="11" t="s">
        <v>45</v>
      </c>
      <c r="N6" s="13" t="s">
        <v>447</v>
      </c>
      <c r="O6" s="13" t="s">
        <v>139</v>
      </c>
      <c r="P6" s="11" t="s">
        <v>34</v>
      </c>
      <c r="Q6" s="127">
        <v>7307</v>
      </c>
      <c r="R6" s="152">
        <v>1</v>
      </c>
      <c r="S6" s="153">
        <v>1250</v>
      </c>
      <c r="T6" s="13"/>
      <c r="U6" s="127">
        <v>91.337999999999994</v>
      </c>
      <c r="V6" s="154">
        <v>1.2999999999999999E-5</v>
      </c>
      <c r="W6" s="154">
        <v>2.6396301093477299E-2</v>
      </c>
      <c r="X6" s="154">
        <v>4.4561203932628702E-3</v>
      </c>
    </row>
    <row r="7" spans="1:24">
      <c r="A7" s="11">
        <v>301</v>
      </c>
      <c r="B7" s="11">
        <v>7209</v>
      </c>
      <c r="C7" s="11" t="s">
        <v>1558</v>
      </c>
      <c r="D7" s="11" t="s">
        <v>1559</v>
      </c>
      <c r="E7" s="11" t="s">
        <v>1330</v>
      </c>
      <c r="F7" s="11" t="s">
        <v>1560</v>
      </c>
      <c r="G7" s="11" t="s">
        <v>1561</v>
      </c>
      <c r="H7" s="11" t="s">
        <v>328</v>
      </c>
      <c r="I7" s="11" t="s">
        <v>940</v>
      </c>
      <c r="J7" s="11" t="s">
        <v>30</v>
      </c>
      <c r="K7" s="11" t="s">
        <v>30</v>
      </c>
      <c r="L7" s="13" t="s">
        <v>334</v>
      </c>
      <c r="M7" s="11" t="s">
        <v>45</v>
      </c>
      <c r="N7" s="13" t="s">
        <v>453</v>
      </c>
      <c r="O7" s="13" t="s">
        <v>139</v>
      </c>
      <c r="P7" s="11" t="s">
        <v>34</v>
      </c>
      <c r="Q7" s="127">
        <v>135</v>
      </c>
      <c r="R7" s="152">
        <v>1</v>
      </c>
      <c r="S7" s="153">
        <v>27280</v>
      </c>
      <c r="T7" s="13"/>
      <c r="U7" s="127">
        <v>36.828000000000003</v>
      </c>
      <c r="V7" s="154">
        <v>1.1E-5</v>
      </c>
      <c r="W7" s="154">
        <v>1.0643196679026501E-2</v>
      </c>
      <c r="X7" s="154">
        <v>1.7967428695014099E-3</v>
      </c>
    </row>
    <row r="8" spans="1:24">
      <c r="A8" s="11">
        <v>301</v>
      </c>
      <c r="B8" s="11">
        <v>7209</v>
      </c>
      <c r="C8" s="11" t="s">
        <v>1562</v>
      </c>
      <c r="D8" s="11" t="s">
        <v>1563</v>
      </c>
      <c r="E8" s="11" t="s">
        <v>1330</v>
      </c>
      <c r="F8" s="11" t="s">
        <v>1564</v>
      </c>
      <c r="G8" s="11" t="s">
        <v>1565</v>
      </c>
      <c r="H8" s="11" t="s">
        <v>328</v>
      </c>
      <c r="I8" s="11" t="s">
        <v>940</v>
      </c>
      <c r="J8" s="11" t="s">
        <v>30</v>
      </c>
      <c r="K8" s="11" t="s">
        <v>30</v>
      </c>
      <c r="L8" s="13" t="s">
        <v>334</v>
      </c>
      <c r="M8" s="11" t="s">
        <v>45</v>
      </c>
      <c r="N8" s="13" t="s">
        <v>491</v>
      </c>
      <c r="O8" s="13" t="s">
        <v>139</v>
      </c>
      <c r="P8" s="11" t="s">
        <v>34</v>
      </c>
      <c r="Q8" s="127">
        <v>24443</v>
      </c>
      <c r="R8" s="152">
        <v>1</v>
      </c>
      <c r="S8" s="153">
        <v>519</v>
      </c>
      <c r="T8" s="13"/>
      <c r="U8" s="127">
        <v>126.85899999999999</v>
      </c>
      <c r="V8" s="154">
        <v>9.0000000000000002E-6</v>
      </c>
      <c r="W8" s="154">
        <v>3.6661971783644401E-2</v>
      </c>
      <c r="X8" s="154">
        <v>6.1891308007050901E-3</v>
      </c>
    </row>
    <row r="9" spans="1:24">
      <c r="A9" s="11">
        <v>301</v>
      </c>
      <c r="B9" s="11">
        <v>7209</v>
      </c>
      <c r="C9" s="11" t="s">
        <v>1566</v>
      </c>
      <c r="D9" s="11" t="s">
        <v>1567</v>
      </c>
      <c r="E9" s="11" t="s">
        <v>1330</v>
      </c>
      <c r="F9" s="11" t="s">
        <v>1568</v>
      </c>
      <c r="G9" s="11" t="s">
        <v>1569</v>
      </c>
      <c r="H9" s="11" t="s">
        <v>328</v>
      </c>
      <c r="I9" s="11" t="s">
        <v>940</v>
      </c>
      <c r="J9" s="11" t="s">
        <v>30</v>
      </c>
      <c r="K9" s="11" t="s">
        <v>30</v>
      </c>
      <c r="L9" s="13" t="s">
        <v>334</v>
      </c>
      <c r="M9" s="11" t="s">
        <v>45</v>
      </c>
      <c r="N9" s="13" t="s">
        <v>454</v>
      </c>
      <c r="O9" s="13" t="s">
        <v>139</v>
      </c>
      <c r="P9" s="11" t="s">
        <v>34</v>
      </c>
      <c r="Q9" s="127">
        <v>11650</v>
      </c>
      <c r="R9" s="152">
        <v>1</v>
      </c>
      <c r="S9" s="153">
        <v>2492</v>
      </c>
      <c r="T9" s="13"/>
      <c r="U9" s="127">
        <v>290.31799999999998</v>
      </c>
      <c r="V9" s="154">
        <v>9.0000000000000002E-6</v>
      </c>
      <c r="W9" s="154">
        <v>8.3901150577321906E-2</v>
      </c>
      <c r="X9" s="154">
        <v>1.41638643528812E-2</v>
      </c>
    </row>
    <row r="10" spans="1:24">
      <c r="A10" s="11">
        <v>301</v>
      </c>
      <c r="B10" s="11">
        <v>7209</v>
      </c>
      <c r="C10" s="11" t="s">
        <v>1570</v>
      </c>
      <c r="D10" s="11" t="s">
        <v>1571</v>
      </c>
      <c r="E10" s="11" t="s">
        <v>1330</v>
      </c>
      <c r="F10" s="11" t="s">
        <v>1572</v>
      </c>
      <c r="G10" s="11" t="s">
        <v>1573</v>
      </c>
      <c r="H10" s="11" t="s">
        <v>328</v>
      </c>
      <c r="I10" s="11" t="s">
        <v>940</v>
      </c>
      <c r="J10" s="11" t="s">
        <v>30</v>
      </c>
      <c r="K10" s="11" t="s">
        <v>30</v>
      </c>
      <c r="L10" s="13" t="s">
        <v>334</v>
      </c>
      <c r="M10" s="11" t="s">
        <v>45</v>
      </c>
      <c r="N10" s="13" t="s">
        <v>453</v>
      </c>
      <c r="O10" s="13" t="s">
        <v>139</v>
      </c>
      <c r="P10" s="11" t="s">
        <v>34</v>
      </c>
      <c r="Q10" s="127">
        <v>150</v>
      </c>
      <c r="R10" s="152">
        <v>1</v>
      </c>
      <c r="S10" s="153">
        <v>36080</v>
      </c>
      <c r="T10" s="13"/>
      <c r="U10" s="127">
        <v>54.12</v>
      </c>
      <c r="V10" s="154">
        <v>6.9999999999999999E-6</v>
      </c>
      <c r="W10" s="154">
        <v>1.5640539922583699E-2</v>
      </c>
      <c r="X10" s="154">
        <v>2.6403748261490298E-3</v>
      </c>
    </row>
    <row r="11" spans="1:24">
      <c r="A11" s="11">
        <v>301</v>
      </c>
      <c r="B11" s="11">
        <v>7209</v>
      </c>
      <c r="C11" s="11" t="s">
        <v>1574</v>
      </c>
      <c r="D11" s="11" t="s">
        <v>1575</v>
      </c>
      <c r="E11" s="11" t="s">
        <v>1330</v>
      </c>
      <c r="F11" s="11" t="s">
        <v>1576</v>
      </c>
      <c r="G11" s="11" t="s">
        <v>1577</v>
      </c>
      <c r="H11" s="11" t="s">
        <v>328</v>
      </c>
      <c r="I11" s="11" t="s">
        <v>940</v>
      </c>
      <c r="J11" s="11" t="s">
        <v>30</v>
      </c>
      <c r="K11" s="11" t="s">
        <v>30</v>
      </c>
      <c r="L11" s="13" t="s">
        <v>334</v>
      </c>
      <c r="M11" s="11" t="s">
        <v>45</v>
      </c>
      <c r="N11" s="13" t="s">
        <v>451</v>
      </c>
      <c r="O11" s="13" t="s">
        <v>139</v>
      </c>
      <c r="P11" s="11" t="s">
        <v>34</v>
      </c>
      <c r="Q11" s="127">
        <v>1900</v>
      </c>
      <c r="R11" s="152">
        <v>1</v>
      </c>
      <c r="S11" s="153">
        <v>5318</v>
      </c>
      <c r="T11" s="13"/>
      <c r="U11" s="127">
        <v>101.042</v>
      </c>
      <c r="V11" s="154">
        <v>6.9999999999999999E-6</v>
      </c>
      <c r="W11" s="154">
        <v>2.9200876475567301E-2</v>
      </c>
      <c r="X11" s="154">
        <v>4.9295778489236901E-3</v>
      </c>
    </row>
    <row r="12" spans="1:24">
      <c r="A12" s="11">
        <v>301</v>
      </c>
      <c r="B12" s="11">
        <v>7209</v>
      </c>
      <c r="C12" s="11" t="s">
        <v>1578</v>
      </c>
      <c r="D12" s="11" t="s">
        <v>1579</v>
      </c>
      <c r="E12" s="11" t="s">
        <v>1330</v>
      </c>
      <c r="F12" s="11" t="s">
        <v>1580</v>
      </c>
      <c r="G12" s="11" t="s">
        <v>1581</v>
      </c>
      <c r="H12" s="11" t="s">
        <v>328</v>
      </c>
      <c r="I12" s="11" t="s">
        <v>940</v>
      </c>
      <c r="J12" s="11" t="s">
        <v>30</v>
      </c>
      <c r="K12" s="11" t="s">
        <v>101</v>
      </c>
      <c r="L12" s="13" t="s">
        <v>334</v>
      </c>
      <c r="M12" s="11" t="s">
        <v>45</v>
      </c>
      <c r="N12" s="13" t="s">
        <v>473</v>
      </c>
      <c r="O12" s="13" t="s">
        <v>139</v>
      </c>
      <c r="P12" s="11" t="s">
        <v>34</v>
      </c>
      <c r="Q12" s="127">
        <v>1279</v>
      </c>
      <c r="R12" s="152">
        <v>1</v>
      </c>
      <c r="S12" s="153">
        <v>8101</v>
      </c>
      <c r="T12" s="13"/>
      <c r="U12" s="127">
        <v>103.61199999999999</v>
      </c>
      <c r="V12" s="154">
        <v>9.9999999999999995E-7</v>
      </c>
      <c r="W12" s="154">
        <v>2.9943539134245401E-2</v>
      </c>
      <c r="X12" s="154">
        <v>5.0549512566193501E-3</v>
      </c>
    </row>
    <row r="13" spans="1:24">
      <c r="A13" s="11">
        <v>301</v>
      </c>
      <c r="B13" s="11">
        <v>7209</v>
      </c>
      <c r="C13" s="11" t="s">
        <v>1582</v>
      </c>
      <c r="D13" s="11" t="s">
        <v>1583</v>
      </c>
      <c r="E13" s="11" t="s">
        <v>1330</v>
      </c>
      <c r="F13" s="11" t="s">
        <v>1584</v>
      </c>
      <c r="G13" s="11" t="s">
        <v>1585</v>
      </c>
      <c r="H13" s="11" t="s">
        <v>328</v>
      </c>
      <c r="I13" s="11" t="s">
        <v>940</v>
      </c>
      <c r="J13" s="11" t="s">
        <v>30</v>
      </c>
      <c r="K13" s="11" t="s">
        <v>30</v>
      </c>
      <c r="L13" s="13" t="s">
        <v>334</v>
      </c>
      <c r="M13" s="11" t="s">
        <v>45</v>
      </c>
      <c r="N13" s="13" t="s">
        <v>453</v>
      </c>
      <c r="O13" s="13" t="s">
        <v>139</v>
      </c>
      <c r="P13" s="11" t="s">
        <v>34</v>
      </c>
      <c r="Q13" s="127">
        <v>4600</v>
      </c>
      <c r="R13" s="152">
        <v>1</v>
      </c>
      <c r="S13" s="153">
        <v>1412</v>
      </c>
      <c r="T13" s="13"/>
      <c r="U13" s="127">
        <v>64.951999999999998</v>
      </c>
      <c r="V13" s="154">
        <v>1.4E-5</v>
      </c>
      <c r="W13" s="154">
        <v>1.8770959886394298E-2</v>
      </c>
      <c r="X13" s="154">
        <v>3.1688400906879398E-3</v>
      </c>
    </row>
    <row r="14" spans="1:24">
      <c r="A14" s="11">
        <v>301</v>
      </c>
      <c r="B14" s="11">
        <v>7209</v>
      </c>
      <c r="C14" s="11" t="s">
        <v>1586</v>
      </c>
      <c r="D14" s="11" t="s">
        <v>1587</v>
      </c>
      <c r="E14" s="11" t="s">
        <v>1330</v>
      </c>
      <c r="F14" s="11" t="s">
        <v>1588</v>
      </c>
      <c r="G14" s="11" t="s">
        <v>1589</v>
      </c>
      <c r="H14" s="11" t="s">
        <v>328</v>
      </c>
      <c r="I14" s="11" t="s">
        <v>940</v>
      </c>
      <c r="J14" s="11" t="s">
        <v>30</v>
      </c>
      <c r="K14" s="11" t="s">
        <v>30</v>
      </c>
      <c r="L14" s="13" t="s">
        <v>334</v>
      </c>
      <c r="M14" s="11" t="s">
        <v>45</v>
      </c>
      <c r="N14" s="13" t="s">
        <v>451</v>
      </c>
      <c r="O14" s="13" t="s">
        <v>139</v>
      </c>
      <c r="P14" s="11" t="s">
        <v>34</v>
      </c>
      <c r="Q14" s="127">
        <v>470</v>
      </c>
      <c r="R14" s="152">
        <v>1</v>
      </c>
      <c r="S14" s="153">
        <v>8570</v>
      </c>
      <c r="T14" s="13"/>
      <c r="U14" s="127">
        <v>40.279000000000003</v>
      </c>
      <c r="V14" s="154">
        <v>6.0000000000000002E-6</v>
      </c>
      <c r="W14" s="154">
        <v>1.16405267468912E-2</v>
      </c>
      <c r="X14" s="154">
        <v>1.9651082339700002E-3</v>
      </c>
    </row>
    <row r="15" spans="1:24">
      <c r="A15" s="11">
        <v>301</v>
      </c>
      <c r="B15" s="11">
        <v>7209</v>
      </c>
      <c r="C15" s="11" t="s">
        <v>1181</v>
      </c>
      <c r="D15" s="11" t="s">
        <v>1590</v>
      </c>
      <c r="E15" s="11" t="s">
        <v>1330</v>
      </c>
      <c r="F15" s="11" t="s">
        <v>1307</v>
      </c>
      <c r="G15" s="11" t="s">
        <v>1591</v>
      </c>
      <c r="H15" s="11" t="s">
        <v>328</v>
      </c>
      <c r="I15" s="11" t="s">
        <v>940</v>
      </c>
      <c r="J15" s="11" t="s">
        <v>30</v>
      </c>
      <c r="K15" s="11" t="s">
        <v>30</v>
      </c>
      <c r="L15" s="13" t="s">
        <v>334</v>
      </c>
      <c r="M15" s="11" t="s">
        <v>45</v>
      </c>
      <c r="N15" s="13" t="s">
        <v>454</v>
      </c>
      <c r="O15" s="13" t="s">
        <v>139</v>
      </c>
      <c r="P15" s="11" t="s">
        <v>34</v>
      </c>
      <c r="Q15" s="127">
        <v>5495</v>
      </c>
      <c r="R15" s="152">
        <v>1</v>
      </c>
      <c r="S15" s="153">
        <v>4335</v>
      </c>
      <c r="T15" s="13"/>
      <c r="U15" s="127">
        <v>238.208</v>
      </c>
      <c r="V15" s="154">
        <v>3.0000000000000001E-6</v>
      </c>
      <c r="W15" s="154">
        <v>6.8841567701659404E-2</v>
      </c>
      <c r="X15" s="154">
        <v>1.16215644250003E-2</v>
      </c>
    </row>
    <row r="16" spans="1:24">
      <c r="A16" s="11">
        <v>301</v>
      </c>
      <c r="B16" s="11">
        <v>7209</v>
      </c>
      <c r="C16" s="11" t="s">
        <v>1592</v>
      </c>
      <c r="D16" s="11" t="s">
        <v>1593</v>
      </c>
      <c r="E16" s="11" t="s">
        <v>1330</v>
      </c>
      <c r="F16" s="11" t="s">
        <v>1594</v>
      </c>
      <c r="G16" s="11" t="s">
        <v>1595</v>
      </c>
      <c r="H16" s="11" t="s">
        <v>328</v>
      </c>
      <c r="I16" s="11" t="s">
        <v>940</v>
      </c>
      <c r="J16" s="11" t="s">
        <v>30</v>
      </c>
      <c r="K16" s="11" t="s">
        <v>30</v>
      </c>
      <c r="L16" s="13" t="s">
        <v>334</v>
      </c>
      <c r="M16" s="11" t="s">
        <v>45</v>
      </c>
      <c r="N16" s="13" t="s">
        <v>454</v>
      </c>
      <c r="O16" s="13" t="s">
        <v>139</v>
      </c>
      <c r="P16" s="11" t="s">
        <v>34</v>
      </c>
      <c r="Q16" s="127">
        <v>938</v>
      </c>
      <c r="R16" s="152">
        <v>1</v>
      </c>
      <c r="S16" s="153">
        <v>15760</v>
      </c>
      <c r="T16" s="13"/>
      <c r="U16" s="127">
        <v>147.82900000000001</v>
      </c>
      <c r="V16" s="154">
        <v>3.9999999999999998E-6</v>
      </c>
      <c r="W16" s="154">
        <v>4.2722140578485703E-2</v>
      </c>
      <c r="X16" s="154">
        <v>7.2121848133743401E-3</v>
      </c>
    </row>
    <row r="17" spans="1:24">
      <c r="A17" s="11">
        <v>301</v>
      </c>
      <c r="B17" s="11">
        <v>7209</v>
      </c>
      <c r="C17" s="11" t="s">
        <v>1596</v>
      </c>
      <c r="D17" s="11" t="s">
        <v>1597</v>
      </c>
      <c r="E17" s="11" t="s">
        <v>1330</v>
      </c>
      <c r="F17" s="11" t="s">
        <v>1598</v>
      </c>
      <c r="G17" s="11" t="s">
        <v>1599</v>
      </c>
      <c r="H17" s="11" t="s">
        <v>328</v>
      </c>
      <c r="I17" s="11" t="s">
        <v>940</v>
      </c>
      <c r="J17" s="11" t="s">
        <v>30</v>
      </c>
      <c r="K17" s="11" t="s">
        <v>30</v>
      </c>
      <c r="L17" s="13" t="s">
        <v>334</v>
      </c>
      <c r="M17" s="11" t="s">
        <v>45</v>
      </c>
      <c r="N17" s="13" t="s">
        <v>483</v>
      </c>
      <c r="O17" s="13" t="s">
        <v>139</v>
      </c>
      <c r="P17" s="11" t="s">
        <v>34</v>
      </c>
      <c r="Q17" s="127">
        <v>790</v>
      </c>
      <c r="R17" s="152">
        <v>1</v>
      </c>
      <c r="S17" s="153">
        <v>8550</v>
      </c>
      <c r="T17" s="126">
        <v>0.6</v>
      </c>
      <c r="U17" s="127">
        <v>68.144999999999996</v>
      </c>
      <c r="V17" s="154">
        <v>1.2E-5</v>
      </c>
      <c r="W17" s="154">
        <v>1.9693844220998499E-2</v>
      </c>
      <c r="X17" s="154">
        <v>3.3246378174031001E-3</v>
      </c>
    </row>
    <row r="18" spans="1:24">
      <c r="A18" s="11">
        <v>301</v>
      </c>
      <c r="B18" s="11">
        <v>7209</v>
      </c>
      <c r="C18" s="11" t="s">
        <v>1600</v>
      </c>
      <c r="D18" s="11" t="s">
        <v>1601</v>
      </c>
      <c r="E18" s="11" t="s">
        <v>1330</v>
      </c>
      <c r="F18" s="11" t="s">
        <v>1602</v>
      </c>
      <c r="G18" s="11" t="s">
        <v>1603</v>
      </c>
      <c r="H18" s="11" t="s">
        <v>328</v>
      </c>
      <c r="I18" s="11" t="s">
        <v>940</v>
      </c>
      <c r="J18" s="11" t="s">
        <v>30</v>
      </c>
      <c r="K18" s="11" t="s">
        <v>30</v>
      </c>
      <c r="L18" s="13" t="s">
        <v>334</v>
      </c>
      <c r="M18" s="11" t="s">
        <v>45</v>
      </c>
      <c r="N18" s="13" t="s">
        <v>470</v>
      </c>
      <c r="O18" s="13" t="s">
        <v>139</v>
      </c>
      <c r="P18" s="11" t="s">
        <v>34</v>
      </c>
      <c r="Q18" s="127">
        <v>300</v>
      </c>
      <c r="R18" s="152">
        <v>1</v>
      </c>
      <c r="S18" s="153">
        <v>32400</v>
      </c>
      <c r="T18" s="13"/>
      <c r="U18" s="127">
        <v>97.2</v>
      </c>
      <c r="V18" s="154">
        <v>6.0000000000000002E-6</v>
      </c>
      <c r="W18" s="154">
        <v>2.8090548419718E-2</v>
      </c>
      <c r="X18" s="154">
        <v>4.7421366057221999E-3</v>
      </c>
    </row>
    <row r="19" spans="1:24">
      <c r="A19" s="11">
        <v>301</v>
      </c>
      <c r="B19" s="11">
        <v>7209</v>
      </c>
      <c r="C19" s="11" t="s">
        <v>1604</v>
      </c>
      <c r="D19" s="11" t="s">
        <v>1605</v>
      </c>
      <c r="E19" s="11" t="s">
        <v>319</v>
      </c>
      <c r="F19" s="11" t="s">
        <v>1606</v>
      </c>
      <c r="G19" s="11" t="s">
        <v>1607</v>
      </c>
      <c r="H19" s="11" t="s">
        <v>328</v>
      </c>
      <c r="I19" s="11" t="s">
        <v>940</v>
      </c>
      <c r="J19" s="11" t="s">
        <v>30</v>
      </c>
      <c r="K19" s="11" t="s">
        <v>101</v>
      </c>
      <c r="L19" s="13" t="s">
        <v>334</v>
      </c>
      <c r="M19" s="11" t="s">
        <v>45</v>
      </c>
      <c r="N19" s="13" t="s">
        <v>460</v>
      </c>
      <c r="O19" s="13" t="s">
        <v>139</v>
      </c>
      <c r="P19" s="11" t="s">
        <v>34</v>
      </c>
      <c r="Q19" s="127">
        <v>957</v>
      </c>
      <c r="R19" s="152">
        <v>1</v>
      </c>
      <c r="S19" s="153">
        <v>7320</v>
      </c>
      <c r="T19" s="13"/>
      <c r="U19" s="127">
        <v>70.052000000000007</v>
      </c>
      <c r="V19" s="154">
        <v>1.0000000000000001E-5</v>
      </c>
      <c r="W19" s="154">
        <v>2.0244962285158999E-2</v>
      </c>
      <c r="X19" s="154">
        <v>3.4176754152128999E-3</v>
      </c>
    </row>
    <row r="20" spans="1:24">
      <c r="A20" s="3">
        <v>301</v>
      </c>
      <c r="B20" s="3">
        <v>7209</v>
      </c>
      <c r="C20" s="3" t="s">
        <v>1608</v>
      </c>
      <c r="D20" s="3" t="s">
        <v>1609</v>
      </c>
      <c r="E20" s="11" t="s">
        <v>1330</v>
      </c>
      <c r="F20" s="3" t="s">
        <v>1610</v>
      </c>
      <c r="G20" s="3" t="s">
        <v>1611</v>
      </c>
      <c r="H20" s="11" t="s">
        <v>328</v>
      </c>
      <c r="I20" s="3" t="s">
        <v>940</v>
      </c>
      <c r="J20" s="3" t="s">
        <v>30</v>
      </c>
      <c r="K20" s="11" t="s">
        <v>305</v>
      </c>
      <c r="L20" s="13" t="s">
        <v>334</v>
      </c>
      <c r="M20" s="11" t="s">
        <v>45</v>
      </c>
      <c r="N20" s="13" t="s">
        <v>464</v>
      </c>
      <c r="O20" s="3" t="s">
        <v>139</v>
      </c>
      <c r="P20" s="3" t="s">
        <v>34</v>
      </c>
      <c r="Q20" s="125">
        <v>60</v>
      </c>
      <c r="R20" s="143">
        <v>1</v>
      </c>
      <c r="S20" s="145">
        <v>71910</v>
      </c>
      <c r="T20" s="2"/>
      <c r="U20" s="125">
        <v>43.146000000000001</v>
      </c>
      <c r="V20" s="142">
        <v>1.9999999999999999E-6</v>
      </c>
      <c r="W20" s="142">
        <v>1.24690823263082E-2</v>
      </c>
      <c r="X20" s="142">
        <v>2.1049817488733502E-3</v>
      </c>
    </row>
    <row r="21" spans="1:24">
      <c r="A21" s="3">
        <v>301</v>
      </c>
      <c r="B21" s="3">
        <v>7209</v>
      </c>
      <c r="C21" s="3" t="s">
        <v>1612</v>
      </c>
      <c r="D21" s="3" t="s">
        <v>1613</v>
      </c>
      <c r="E21" s="3" t="s">
        <v>319</v>
      </c>
      <c r="F21" s="3" t="s">
        <v>1614</v>
      </c>
      <c r="G21" s="3" t="s">
        <v>1615</v>
      </c>
      <c r="H21" s="3" t="s">
        <v>328</v>
      </c>
      <c r="I21" s="3" t="s">
        <v>940</v>
      </c>
      <c r="J21" s="3" t="s">
        <v>30</v>
      </c>
      <c r="K21" s="3" t="s">
        <v>30</v>
      </c>
      <c r="L21" s="2" t="s">
        <v>334</v>
      </c>
      <c r="M21" s="3" t="s">
        <v>45</v>
      </c>
      <c r="N21" s="13" t="s">
        <v>460</v>
      </c>
      <c r="O21" s="3" t="s">
        <v>139</v>
      </c>
      <c r="P21" s="3" t="s">
        <v>34</v>
      </c>
      <c r="Q21" s="125">
        <v>5440.66</v>
      </c>
      <c r="R21" s="143">
        <v>1</v>
      </c>
      <c r="S21" s="145">
        <v>1114</v>
      </c>
      <c r="T21" s="2"/>
      <c r="U21" s="125">
        <v>60.609000000000002</v>
      </c>
      <c r="V21" s="142">
        <v>5.0000000000000004E-6</v>
      </c>
      <c r="W21" s="142">
        <v>1.7515830370993701E-2</v>
      </c>
      <c r="X21" s="142">
        <v>2.95695403097237E-3</v>
      </c>
    </row>
    <row r="22" spans="1:24">
      <c r="A22" s="3">
        <v>301</v>
      </c>
      <c r="B22" s="3">
        <v>7209</v>
      </c>
      <c r="C22" s="3" t="s">
        <v>1616</v>
      </c>
      <c r="D22" s="3" t="s">
        <v>1617</v>
      </c>
      <c r="E22" s="3" t="s">
        <v>1330</v>
      </c>
      <c r="F22" s="3" t="s">
        <v>1618</v>
      </c>
      <c r="G22" s="3" t="s">
        <v>1619</v>
      </c>
      <c r="H22" s="3" t="s">
        <v>328</v>
      </c>
      <c r="I22" s="3" t="s">
        <v>940</v>
      </c>
      <c r="J22" s="3" t="s">
        <v>30</v>
      </c>
      <c r="K22" s="3" t="s">
        <v>101</v>
      </c>
      <c r="L22" s="2" t="s">
        <v>334</v>
      </c>
      <c r="M22" s="3" t="s">
        <v>45</v>
      </c>
      <c r="N22" s="3" t="s">
        <v>487</v>
      </c>
      <c r="O22" s="3" t="s">
        <v>139</v>
      </c>
      <c r="P22" s="3" t="s">
        <v>34</v>
      </c>
      <c r="Q22" s="125">
        <v>126</v>
      </c>
      <c r="R22" s="143">
        <v>1</v>
      </c>
      <c r="S22" s="145">
        <v>62120</v>
      </c>
      <c r="T22" s="2"/>
      <c r="U22" s="125">
        <v>78.271000000000001</v>
      </c>
      <c r="V22" s="142">
        <v>1.9999999999999999E-6</v>
      </c>
      <c r="W22" s="142">
        <v>2.2620174212648499E-2</v>
      </c>
      <c r="X22" s="142">
        <v>3.8186494104300701E-3</v>
      </c>
    </row>
    <row r="23" spans="1:24">
      <c r="A23" s="3">
        <v>301</v>
      </c>
      <c r="B23" s="3">
        <v>7209</v>
      </c>
      <c r="C23" s="3" t="s">
        <v>1620</v>
      </c>
      <c r="D23" s="3" t="s">
        <v>1621</v>
      </c>
      <c r="E23" s="3" t="s">
        <v>1330</v>
      </c>
      <c r="F23" s="3" t="s">
        <v>1620</v>
      </c>
      <c r="G23" s="3" t="s">
        <v>1622</v>
      </c>
      <c r="H23" s="3" t="s">
        <v>328</v>
      </c>
      <c r="I23" s="3" t="s">
        <v>940</v>
      </c>
      <c r="J23" s="3" t="s">
        <v>30</v>
      </c>
      <c r="K23" s="3" t="s">
        <v>30</v>
      </c>
      <c r="L23" s="2" t="s">
        <v>334</v>
      </c>
      <c r="M23" s="2" t="s">
        <v>45</v>
      </c>
      <c r="N23" s="3" t="s">
        <v>445</v>
      </c>
      <c r="O23" s="3" t="s">
        <v>139</v>
      </c>
      <c r="P23" s="3" t="s">
        <v>34</v>
      </c>
      <c r="Q23" s="125">
        <v>1784</v>
      </c>
      <c r="R23" s="143">
        <v>1</v>
      </c>
      <c r="S23" s="145">
        <v>6044</v>
      </c>
      <c r="T23" s="2"/>
      <c r="U23" s="125">
        <v>107.825</v>
      </c>
      <c r="V23" s="142">
        <v>2.1999999999999999E-5</v>
      </c>
      <c r="W23" s="142">
        <v>3.1161134359404902E-2</v>
      </c>
      <c r="X23" s="142">
        <v>5.26050092414127E-3</v>
      </c>
    </row>
    <row r="24" spans="1:24">
      <c r="A24" s="3">
        <v>301</v>
      </c>
      <c r="B24" s="3">
        <v>7209</v>
      </c>
      <c r="C24" s="3" t="s">
        <v>1623</v>
      </c>
      <c r="D24" s="3" t="s">
        <v>1624</v>
      </c>
      <c r="E24" s="3" t="s">
        <v>1330</v>
      </c>
      <c r="F24" s="3" t="s">
        <v>1625</v>
      </c>
      <c r="G24" s="3" t="s">
        <v>1626</v>
      </c>
      <c r="H24" s="3" t="s">
        <v>328</v>
      </c>
      <c r="I24" s="3" t="s">
        <v>940</v>
      </c>
      <c r="J24" s="3" t="s">
        <v>30</v>
      </c>
      <c r="K24" s="3" t="s">
        <v>30</v>
      </c>
      <c r="L24" s="2" t="s">
        <v>334</v>
      </c>
      <c r="M24" s="2" t="s">
        <v>45</v>
      </c>
      <c r="N24" s="3" t="s">
        <v>470</v>
      </c>
      <c r="O24" s="3" t="s">
        <v>139</v>
      </c>
      <c r="P24" s="3" t="s">
        <v>34</v>
      </c>
      <c r="Q24" s="125">
        <v>290</v>
      </c>
      <c r="R24" s="143">
        <v>1</v>
      </c>
      <c r="S24" s="145">
        <v>30090</v>
      </c>
      <c r="T24" s="2"/>
      <c r="U24" s="125">
        <v>87.260999999999996</v>
      </c>
      <c r="V24" s="142">
        <v>1.9999999999999999E-6</v>
      </c>
      <c r="W24" s="142">
        <v>2.5218203144578299E-2</v>
      </c>
      <c r="X24" s="142">
        <v>4.2572385015630099E-3</v>
      </c>
    </row>
    <row r="25" spans="1:24">
      <c r="A25" s="3">
        <v>301</v>
      </c>
      <c r="B25" s="3">
        <v>7209</v>
      </c>
      <c r="C25" s="3" t="s">
        <v>1175</v>
      </c>
      <c r="D25" s="3" t="s">
        <v>1627</v>
      </c>
      <c r="E25" s="3" t="s">
        <v>1330</v>
      </c>
      <c r="F25" s="3" t="s">
        <v>1628</v>
      </c>
      <c r="G25" s="3" t="s">
        <v>1629</v>
      </c>
      <c r="H25" s="3" t="s">
        <v>328</v>
      </c>
      <c r="I25" s="3" t="s">
        <v>940</v>
      </c>
      <c r="J25" s="3" t="s">
        <v>30</v>
      </c>
      <c r="K25" s="3" t="s">
        <v>30</v>
      </c>
      <c r="L25" s="2" t="s">
        <v>334</v>
      </c>
      <c r="M25" s="2" t="s">
        <v>45</v>
      </c>
      <c r="N25" s="3" t="s">
        <v>454</v>
      </c>
      <c r="O25" s="3" t="s">
        <v>139</v>
      </c>
      <c r="P25" s="3" t="s">
        <v>34</v>
      </c>
      <c r="Q25" s="125">
        <v>4402</v>
      </c>
      <c r="R25" s="143">
        <v>1</v>
      </c>
      <c r="S25" s="145">
        <v>4402</v>
      </c>
      <c r="T25" s="2"/>
      <c r="U25" s="125">
        <v>193.77600000000001</v>
      </c>
      <c r="V25" s="142">
        <v>3.0000000000000001E-6</v>
      </c>
      <c r="W25" s="142">
        <v>5.6000774014415701E-2</v>
      </c>
      <c r="X25" s="142">
        <v>9.4538318168301307E-3</v>
      </c>
    </row>
    <row r="26" spans="1:24">
      <c r="A26" s="3">
        <v>301</v>
      </c>
      <c r="B26" s="3">
        <v>7209</v>
      </c>
      <c r="C26" s="3" t="s">
        <v>1630</v>
      </c>
      <c r="D26" s="3" t="s">
        <v>1631</v>
      </c>
      <c r="E26" s="3" t="s">
        <v>1330</v>
      </c>
      <c r="F26" s="3" t="s">
        <v>1632</v>
      </c>
      <c r="G26" s="3" t="s">
        <v>1633</v>
      </c>
      <c r="H26" s="3" t="s">
        <v>328</v>
      </c>
      <c r="I26" s="3" t="s">
        <v>940</v>
      </c>
      <c r="J26" s="3" t="s">
        <v>30</v>
      </c>
      <c r="K26" s="3" t="s">
        <v>30</v>
      </c>
      <c r="L26" s="2" t="s">
        <v>334</v>
      </c>
      <c r="M26" s="2" t="s">
        <v>45</v>
      </c>
      <c r="N26" s="3" t="s">
        <v>482</v>
      </c>
      <c r="O26" s="3" t="s">
        <v>139</v>
      </c>
      <c r="P26" s="3" t="s">
        <v>34</v>
      </c>
      <c r="Q26" s="125">
        <v>155</v>
      </c>
      <c r="R26" s="143">
        <v>1</v>
      </c>
      <c r="S26" s="145">
        <v>29900</v>
      </c>
      <c r="T26" s="2"/>
      <c r="U26" s="125">
        <v>46.344999999999999</v>
      </c>
      <c r="V26" s="142">
        <v>1.1E-5</v>
      </c>
      <c r="W26" s="142">
        <v>1.3393585046417999E-2</v>
      </c>
      <c r="X26" s="142">
        <v>2.2610526851048899E-3</v>
      </c>
    </row>
    <row r="27" spans="1:24">
      <c r="A27" s="3">
        <v>301</v>
      </c>
      <c r="B27" s="3">
        <v>7209</v>
      </c>
      <c r="C27" s="3" t="s">
        <v>1634</v>
      </c>
      <c r="D27" s="3" t="s">
        <v>1635</v>
      </c>
      <c r="E27" s="3" t="s">
        <v>1330</v>
      </c>
      <c r="F27" s="3" t="s">
        <v>1636</v>
      </c>
      <c r="G27" s="3" t="s">
        <v>1637</v>
      </c>
      <c r="H27" s="3" t="s">
        <v>328</v>
      </c>
      <c r="I27" s="3" t="s">
        <v>940</v>
      </c>
      <c r="J27" s="3" t="s">
        <v>30</v>
      </c>
      <c r="K27" s="3" t="s">
        <v>30</v>
      </c>
      <c r="L27" s="2" t="s">
        <v>334</v>
      </c>
      <c r="M27" s="2" t="s">
        <v>45</v>
      </c>
      <c r="N27" s="3" t="s">
        <v>483</v>
      </c>
      <c r="O27" s="3" t="s">
        <v>139</v>
      </c>
      <c r="P27" s="3" t="s">
        <v>34</v>
      </c>
      <c r="Q27" s="125">
        <v>68</v>
      </c>
      <c r="R27" s="143">
        <v>1</v>
      </c>
      <c r="S27" s="145">
        <v>30600</v>
      </c>
      <c r="T27" s="2"/>
      <c r="U27" s="125">
        <v>20.808</v>
      </c>
      <c r="V27" s="142">
        <v>3.9999999999999998E-6</v>
      </c>
      <c r="W27" s="142">
        <v>6.0134581431840698E-3</v>
      </c>
      <c r="X27" s="142">
        <v>1.01516850300275E-3</v>
      </c>
    </row>
    <row r="28" spans="1:24">
      <c r="A28" s="3">
        <v>301</v>
      </c>
      <c r="B28" s="3">
        <v>7209</v>
      </c>
      <c r="C28" s="3" t="s">
        <v>1638</v>
      </c>
      <c r="D28" s="3" t="s">
        <v>1639</v>
      </c>
      <c r="E28" s="3" t="s">
        <v>1330</v>
      </c>
      <c r="F28" s="3" t="s">
        <v>1640</v>
      </c>
      <c r="G28" s="3" t="s">
        <v>1641</v>
      </c>
      <c r="H28" s="3" t="s">
        <v>328</v>
      </c>
      <c r="I28" s="3" t="s">
        <v>940</v>
      </c>
      <c r="J28" s="3" t="s">
        <v>30</v>
      </c>
      <c r="K28" s="3" t="s">
        <v>305</v>
      </c>
      <c r="L28" s="2" t="s">
        <v>334</v>
      </c>
      <c r="M28" s="2" t="s">
        <v>45</v>
      </c>
      <c r="N28" s="3" t="s">
        <v>464</v>
      </c>
      <c r="O28" s="3" t="s">
        <v>139</v>
      </c>
      <c r="P28" s="3" t="s">
        <v>34</v>
      </c>
      <c r="Q28" s="125">
        <v>144</v>
      </c>
      <c r="R28" s="143">
        <v>1</v>
      </c>
      <c r="S28" s="145">
        <v>29800</v>
      </c>
      <c r="T28" s="2"/>
      <c r="U28" s="125">
        <v>42.911999999999999</v>
      </c>
      <c r="V28" s="142">
        <v>3.0000000000000001E-6</v>
      </c>
      <c r="W28" s="142">
        <v>1.24014569319644E-2</v>
      </c>
      <c r="X28" s="142">
        <v>2.0935654940818001E-3</v>
      </c>
    </row>
    <row r="29" spans="1:24">
      <c r="A29" s="3">
        <v>301</v>
      </c>
      <c r="B29" s="3">
        <v>7209</v>
      </c>
      <c r="C29" s="3" t="s">
        <v>1642</v>
      </c>
      <c r="D29" s="3" t="s">
        <v>1643</v>
      </c>
      <c r="E29" s="3" t="s">
        <v>319</v>
      </c>
      <c r="F29" s="3" t="s">
        <v>1644</v>
      </c>
      <c r="G29" s="3" t="s">
        <v>1645</v>
      </c>
      <c r="H29" s="3" t="s">
        <v>328</v>
      </c>
      <c r="I29" s="3" t="s">
        <v>940</v>
      </c>
      <c r="J29" s="3" t="s">
        <v>30</v>
      </c>
      <c r="K29" s="3" t="s">
        <v>30</v>
      </c>
      <c r="L29" s="2" t="s">
        <v>334</v>
      </c>
      <c r="M29" s="2" t="s">
        <v>45</v>
      </c>
      <c r="N29" s="3" t="s">
        <v>460</v>
      </c>
      <c r="O29" s="3" t="s">
        <v>139</v>
      </c>
      <c r="P29" s="3" t="s">
        <v>34</v>
      </c>
      <c r="Q29" s="125">
        <v>8955</v>
      </c>
      <c r="R29" s="143">
        <v>1</v>
      </c>
      <c r="S29" s="145">
        <v>340.9</v>
      </c>
      <c r="T29" s="2"/>
      <c r="U29" s="125">
        <v>30.527999999999999</v>
      </c>
      <c r="V29" s="142">
        <v>7.9999999999999996E-6</v>
      </c>
      <c r="W29" s="142">
        <v>8.8223959412041201E-3</v>
      </c>
      <c r="X29" s="142">
        <v>1.48936240467245E-3</v>
      </c>
    </row>
    <row r="30" spans="1:24">
      <c r="A30" s="3">
        <v>301</v>
      </c>
      <c r="B30" s="3">
        <v>7209</v>
      </c>
      <c r="C30" s="3" t="s">
        <v>1646</v>
      </c>
      <c r="D30" s="3" t="s">
        <v>1647</v>
      </c>
      <c r="E30" s="3" t="s">
        <v>1330</v>
      </c>
      <c r="F30" s="3" t="s">
        <v>1648</v>
      </c>
      <c r="G30" s="3" t="s">
        <v>1649</v>
      </c>
      <c r="H30" s="3" t="s">
        <v>328</v>
      </c>
      <c r="I30" s="3" t="s">
        <v>940</v>
      </c>
      <c r="J30" s="3" t="s">
        <v>30</v>
      </c>
      <c r="K30" s="3" t="s">
        <v>30</v>
      </c>
      <c r="L30" s="2" t="s">
        <v>334</v>
      </c>
      <c r="M30" s="2" t="s">
        <v>45</v>
      </c>
      <c r="N30" s="3" t="s">
        <v>482</v>
      </c>
      <c r="O30" s="3" t="s">
        <v>139</v>
      </c>
      <c r="P30" s="3" t="s">
        <v>34</v>
      </c>
      <c r="Q30" s="125">
        <v>1300</v>
      </c>
      <c r="R30" s="143">
        <v>1</v>
      </c>
      <c r="S30" s="145">
        <v>3795</v>
      </c>
      <c r="T30" s="2"/>
      <c r="U30" s="125">
        <v>49.335000000000001</v>
      </c>
      <c r="V30" s="142">
        <v>5.0000000000000004E-6</v>
      </c>
      <c r="W30" s="142">
        <v>1.42576873074772E-2</v>
      </c>
      <c r="X30" s="142">
        <v>2.4069270518858499E-3</v>
      </c>
    </row>
    <row r="31" spans="1:24">
      <c r="A31" s="3">
        <v>301</v>
      </c>
      <c r="B31" s="3">
        <v>7209</v>
      </c>
      <c r="C31" s="3" t="s">
        <v>1650</v>
      </c>
      <c r="D31" s="3" t="s">
        <v>1651</v>
      </c>
      <c r="E31" s="3" t="s">
        <v>321</v>
      </c>
      <c r="F31" s="3" t="s">
        <v>1652</v>
      </c>
      <c r="G31" s="3" t="s">
        <v>1653</v>
      </c>
      <c r="H31" s="3" t="s">
        <v>328</v>
      </c>
      <c r="I31" s="3" t="s">
        <v>940</v>
      </c>
      <c r="J31" s="3" t="s">
        <v>100</v>
      </c>
      <c r="K31" s="3" t="s">
        <v>298</v>
      </c>
      <c r="L31" s="2" t="s">
        <v>334</v>
      </c>
      <c r="M31" s="2" t="s">
        <v>353</v>
      </c>
      <c r="N31" s="3" t="s">
        <v>555</v>
      </c>
      <c r="O31" s="3" t="s">
        <v>139</v>
      </c>
      <c r="P31" s="3" t="s">
        <v>105</v>
      </c>
      <c r="Q31" s="125">
        <v>50</v>
      </c>
      <c r="R31" s="143">
        <v>3.6469999999999998</v>
      </c>
      <c r="S31" s="145">
        <v>12079</v>
      </c>
      <c r="T31" s="2"/>
      <c r="U31" s="125">
        <v>22.026</v>
      </c>
      <c r="V31" s="142">
        <v>0</v>
      </c>
      <c r="W31" s="142">
        <v>6.3654733190194896E-3</v>
      </c>
      <c r="X31" s="142">
        <v>1.07459432930407E-3</v>
      </c>
    </row>
    <row r="32" spans="1:24">
      <c r="A32" s="3">
        <v>301</v>
      </c>
      <c r="B32" s="3">
        <v>7209</v>
      </c>
      <c r="C32" s="3" t="s">
        <v>1654</v>
      </c>
      <c r="D32" s="3" t="s">
        <v>1655</v>
      </c>
      <c r="E32" s="3" t="s">
        <v>321</v>
      </c>
      <c r="F32" s="3" t="s">
        <v>1656</v>
      </c>
      <c r="G32" s="3" t="s">
        <v>1657</v>
      </c>
      <c r="H32" s="3" t="s">
        <v>328</v>
      </c>
      <c r="I32" s="3" t="s">
        <v>940</v>
      </c>
      <c r="J32" s="3" t="s">
        <v>100</v>
      </c>
      <c r="K32" s="3" t="s">
        <v>101</v>
      </c>
      <c r="L32" s="2" t="s">
        <v>334</v>
      </c>
      <c r="M32" s="2" t="s">
        <v>353</v>
      </c>
      <c r="N32" s="3" t="s">
        <v>556</v>
      </c>
      <c r="O32" s="3" t="s">
        <v>139</v>
      </c>
      <c r="P32" s="3" t="s">
        <v>105</v>
      </c>
      <c r="Q32" s="125">
        <v>150</v>
      </c>
      <c r="R32" s="143">
        <v>3.6469999999999998</v>
      </c>
      <c r="S32" s="145">
        <v>19044</v>
      </c>
      <c r="T32" s="2"/>
      <c r="U32" s="125">
        <v>104.18</v>
      </c>
      <c r="V32" s="142">
        <v>0</v>
      </c>
      <c r="W32" s="142">
        <v>3.0107808731039101E-2</v>
      </c>
      <c r="X32" s="142">
        <v>5.0826826079807897E-3</v>
      </c>
    </row>
    <row r="33" spans="1:24">
      <c r="A33" s="3">
        <v>301</v>
      </c>
      <c r="B33" s="3">
        <v>7209</v>
      </c>
      <c r="C33" s="3" t="s">
        <v>1658</v>
      </c>
      <c r="D33" s="3" t="s">
        <v>1659</v>
      </c>
      <c r="E33" s="3" t="s">
        <v>321</v>
      </c>
      <c r="F33" s="3" t="s">
        <v>1660</v>
      </c>
      <c r="G33" s="3" t="s">
        <v>1661</v>
      </c>
      <c r="H33" s="3" t="s">
        <v>328</v>
      </c>
      <c r="I33" s="3" t="s">
        <v>940</v>
      </c>
      <c r="J33" s="3" t="s">
        <v>100</v>
      </c>
      <c r="K33" s="3" t="s">
        <v>101</v>
      </c>
      <c r="L33" s="2" t="s">
        <v>334</v>
      </c>
      <c r="M33" s="2" t="s">
        <v>353</v>
      </c>
      <c r="N33" s="3" t="s">
        <v>507</v>
      </c>
      <c r="O33" s="3" t="s">
        <v>139</v>
      </c>
      <c r="P33" s="3" t="s">
        <v>105</v>
      </c>
      <c r="Q33" s="125">
        <v>115</v>
      </c>
      <c r="R33" s="143">
        <v>3.6469999999999998</v>
      </c>
      <c r="S33" s="145">
        <v>21939</v>
      </c>
      <c r="T33" s="2"/>
      <c r="U33" s="125">
        <v>92.013000000000005</v>
      </c>
      <c r="V33" s="142">
        <v>0</v>
      </c>
      <c r="W33" s="142">
        <v>2.6591594836967301E-2</v>
      </c>
      <c r="X33" s="142">
        <v>4.4890891198265098E-3</v>
      </c>
    </row>
    <row r="34" spans="1:24">
      <c r="A34" s="3">
        <v>301</v>
      </c>
      <c r="B34" s="3">
        <v>7209</v>
      </c>
      <c r="C34" s="3" t="s">
        <v>1662</v>
      </c>
      <c r="D34" s="3" t="s">
        <v>1663</v>
      </c>
      <c r="E34" s="3" t="s">
        <v>321</v>
      </c>
      <c r="F34" s="3" t="s">
        <v>1664</v>
      </c>
      <c r="G34" s="3" t="s">
        <v>1665</v>
      </c>
      <c r="H34" s="3" t="s">
        <v>328</v>
      </c>
      <c r="I34" s="3" t="s">
        <v>940</v>
      </c>
      <c r="J34" s="3" t="s">
        <v>100</v>
      </c>
      <c r="K34" s="3" t="s">
        <v>101</v>
      </c>
      <c r="L34" s="2" t="s">
        <v>334</v>
      </c>
      <c r="M34" s="2" t="s">
        <v>353</v>
      </c>
      <c r="N34" s="3" t="s">
        <v>553</v>
      </c>
      <c r="O34" s="3" t="s">
        <v>139</v>
      </c>
      <c r="P34" s="3" t="s">
        <v>105</v>
      </c>
      <c r="Q34" s="125">
        <v>65</v>
      </c>
      <c r="R34" s="143">
        <v>3.6469999999999998</v>
      </c>
      <c r="S34" s="145">
        <v>25042</v>
      </c>
      <c r="T34" s="2"/>
      <c r="U34" s="125">
        <v>59.363</v>
      </c>
      <c r="V34" s="142">
        <v>0</v>
      </c>
      <c r="W34" s="142">
        <v>1.7155843837350099E-2</v>
      </c>
      <c r="X34" s="142">
        <v>2.89618251119813E-3</v>
      </c>
    </row>
    <row r="35" spans="1:24">
      <c r="A35" s="3">
        <v>301</v>
      </c>
      <c r="B35" s="3">
        <v>7209</v>
      </c>
      <c r="C35" s="3" t="s">
        <v>1666</v>
      </c>
      <c r="D35" s="3" t="s">
        <v>1667</v>
      </c>
      <c r="E35" s="3" t="s">
        <v>321</v>
      </c>
      <c r="F35" s="3" t="s">
        <v>1668</v>
      </c>
      <c r="G35" s="3" t="s">
        <v>1669</v>
      </c>
      <c r="H35" s="3" t="s">
        <v>328</v>
      </c>
      <c r="I35" s="3" t="s">
        <v>940</v>
      </c>
      <c r="J35" s="3" t="s">
        <v>100</v>
      </c>
      <c r="K35" s="3" t="s">
        <v>101</v>
      </c>
      <c r="L35" s="2" t="s">
        <v>334</v>
      </c>
      <c r="M35" s="2" t="s">
        <v>353</v>
      </c>
      <c r="N35" s="3" t="s">
        <v>555</v>
      </c>
      <c r="O35" s="3" t="s">
        <v>139</v>
      </c>
      <c r="P35" s="3" t="s">
        <v>105</v>
      </c>
      <c r="Q35" s="125">
        <v>22</v>
      </c>
      <c r="R35" s="143">
        <v>3.6469999999999998</v>
      </c>
      <c r="S35" s="145">
        <v>69308</v>
      </c>
      <c r="T35" s="2"/>
      <c r="U35" s="125">
        <v>55.609000000000002</v>
      </c>
      <c r="V35" s="142">
        <v>0</v>
      </c>
      <c r="W35" s="142">
        <v>1.6070735897808199E-2</v>
      </c>
      <c r="X35" s="142">
        <v>2.7129988294708799E-3</v>
      </c>
    </row>
    <row r="36" spans="1:24">
      <c r="A36" s="3">
        <v>301</v>
      </c>
      <c r="B36" s="3">
        <v>7209</v>
      </c>
      <c r="C36" s="3" t="s">
        <v>1670</v>
      </c>
      <c r="D36" s="3" t="s">
        <v>1671</v>
      </c>
      <c r="E36" s="3" t="s">
        <v>321</v>
      </c>
      <c r="F36" s="3" t="s">
        <v>1672</v>
      </c>
      <c r="G36" s="3" t="s">
        <v>1673</v>
      </c>
      <c r="H36" s="3" t="s">
        <v>328</v>
      </c>
      <c r="I36" s="3" t="s">
        <v>940</v>
      </c>
      <c r="J36" s="3" t="s">
        <v>100</v>
      </c>
      <c r="K36" s="3" t="s">
        <v>101</v>
      </c>
      <c r="L36" s="2" t="s">
        <v>334</v>
      </c>
      <c r="M36" s="2" t="s">
        <v>353</v>
      </c>
      <c r="N36" s="3" t="s">
        <v>555</v>
      </c>
      <c r="O36" s="3" t="s">
        <v>139</v>
      </c>
      <c r="P36" s="3" t="s">
        <v>105</v>
      </c>
      <c r="Q36" s="125">
        <v>70</v>
      </c>
      <c r="R36" s="143">
        <v>3.6469999999999998</v>
      </c>
      <c r="S36" s="145">
        <v>23184</v>
      </c>
      <c r="T36" s="124">
        <v>4.1000000000000002E-2</v>
      </c>
      <c r="U36" s="125">
        <v>59.337000000000003</v>
      </c>
      <c r="V36" s="142">
        <v>0</v>
      </c>
      <c r="W36" s="142">
        <v>1.7148255227714002E-2</v>
      </c>
      <c r="X36" s="142">
        <v>2.89490143177583E-3</v>
      </c>
    </row>
    <row r="37" spans="1:24">
      <c r="A37" s="3">
        <v>301</v>
      </c>
      <c r="B37" s="3">
        <v>7209</v>
      </c>
      <c r="C37" s="3" t="s">
        <v>1638</v>
      </c>
      <c r="D37" s="3" t="s">
        <v>1639</v>
      </c>
      <c r="E37" s="3" t="s">
        <v>1330</v>
      </c>
      <c r="F37" s="3" t="s">
        <v>1674</v>
      </c>
      <c r="G37" s="3" t="s">
        <v>1641</v>
      </c>
      <c r="H37" s="3" t="s">
        <v>328</v>
      </c>
      <c r="I37" s="3" t="s">
        <v>940</v>
      </c>
      <c r="J37" s="3" t="s">
        <v>100</v>
      </c>
      <c r="K37" s="3" t="s">
        <v>305</v>
      </c>
      <c r="L37" s="2" t="s">
        <v>334</v>
      </c>
      <c r="M37" s="2" t="s">
        <v>353</v>
      </c>
      <c r="N37" s="3" t="s">
        <v>555</v>
      </c>
      <c r="O37" s="3" t="s">
        <v>139</v>
      </c>
      <c r="P37" s="3" t="s">
        <v>105</v>
      </c>
      <c r="Q37" s="125">
        <v>254</v>
      </c>
      <c r="R37" s="143">
        <v>3.6469999999999998</v>
      </c>
      <c r="S37" s="145">
        <v>8077</v>
      </c>
      <c r="T37" s="2"/>
      <c r="U37" s="125">
        <v>74.819999999999993</v>
      </c>
      <c r="V37" s="142">
        <v>6.0000000000000002E-6</v>
      </c>
      <c r="W37" s="142">
        <v>2.1622878899612501E-2</v>
      </c>
      <c r="X37" s="142">
        <v>3.6502899131358401E-3</v>
      </c>
    </row>
    <row r="38" spans="1:24">
      <c r="A38" s="3">
        <v>301</v>
      </c>
      <c r="B38" s="3">
        <v>7209</v>
      </c>
      <c r="C38" s="3" t="s">
        <v>1675</v>
      </c>
      <c r="D38" s="3" t="s">
        <v>1676</v>
      </c>
      <c r="E38" s="3" t="s">
        <v>321</v>
      </c>
      <c r="F38" s="3" t="s">
        <v>1677</v>
      </c>
      <c r="G38" s="3" t="s">
        <v>1678</v>
      </c>
      <c r="H38" s="3" t="s">
        <v>328</v>
      </c>
      <c r="I38" s="3" t="s">
        <v>940</v>
      </c>
      <c r="J38" s="3" t="s">
        <v>100</v>
      </c>
      <c r="K38" s="3" t="s">
        <v>101</v>
      </c>
      <c r="L38" s="2" t="s">
        <v>334</v>
      </c>
      <c r="M38" s="2" t="s">
        <v>353</v>
      </c>
      <c r="N38" s="3" t="s">
        <v>1679</v>
      </c>
      <c r="O38" s="3" t="s">
        <v>139</v>
      </c>
      <c r="P38" s="3" t="s">
        <v>105</v>
      </c>
      <c r="Q38" s="125">
        <v>15</v>
      </c>
      <c r="R38" s="143">
        <v>3.6469999999999998</v>
      </c>
      <c r="S38" s="145">
        <v>91627</v>
      </c>
      <c r="T38" s="2"/>
      <c r="U38" s="125">
        <v>50.125</v>
      </c>
      <c r="V38" s="142">
        <v>0</v>
      </c>
      <c r="W38" s="142">
        <v>1.44858653150542E-2</v>
      </c>
      <c r="X38" s="142">
        <v>2.4454471714002099E-3</v>
      </c>
    </row>
    <row r="39" spans="1:24">
      <c r="A39" s="3">
        <v>301</v>
      </c>
      <c r="B39" s="3">
        <v>7209</v>
      </c>
      <c r="C39" s="3" t="s">
        <v>1680</v>
      </c>
      <c r="D39" s="3" t="s">
        <v>1681</v>
      </c>
      <c r="E39" s="3" t="s">
        <v>321</v>
      </c>
      <c r="F39" s="3" t="s">
        <v>1682</v>
      </c>
      <c r="G39" s="3" t="s">
        <v>1683</v>
      </c>
      <c r="H39" s="3" t="s">
        <v>328</v>
      </c>
      <c r="I39" s="3" t="s">
        <v>940</v>
      </c>
      <c r="J39" s="3" t="s">
        <v>100</v>
      </c>
      <c r="K39" s="3" t="s">
        <v>101</v>
      </c>
      <c r="L39" s="2" t="s">
        <v>334</v>
      </c>
      <c r="M39" s="2" t="s">
        <v>351</v>
      </c>
      <c r="N39" s="3" t="s">
        <v>543</v>
      </c>
      <c r="O39" s="3" t="s">
        <v>139</v>
      </c>
      <c r="P39" s="3" t="s">
        <v>105</v>
      </c>
      <c r="Q39" s="125">
        <v>32</v>
      </c>
      <c r="R39" s="143">
        <v>3.6469999999999998</v>
      </c>
      <c r="S39" s="145">
        <v>23971</v>
      </c>
      <c r="T39" s="2"/>
      <c r="U39" s="125">
        <v>27.975000000000001</v>
      </c>
      <c r="V39" s="142">
        <v>0</v>
      </c>
      <c r="W39" s="142">
        <v>8.0847360704808593E-3</v>
      </c>
      <c r="X39" s="142">
        <v>1.3648335480883E-3</v>
      </c>
    </row>
    <row r="40" spans="1:24">
      <c r="A40" s="3">
        <v>301</v>
      </c>
      <c r="B40" s="3">
        <v>7209</v>
      </c>
      <c r="C40" s="3" t="s">
        <v>1684</v>
      </c>
      <c r="D40" s="3" t="s">
        <v>1685</v>
      </c>
      <c r="E40" s="3" t="s">
        <v>321</v>
      </c>
      <c r="F40" s="3" t="s">
        <v>1686</v>
      </c>
      <c r="G40" s="3" t="s">
        <v>1687</v>
      </c>
      <c r="H40" s="3" t="s">
        <v>328</v>
      </c>
      <c r="I40" s="3" t="s">
        <v>940</v>
      </c>
      <c r="J40" s="3" t="s">
        <v>100</v>
      </c>
      <c r="K40" s="3" t="s">
        <v>101</v>
      </c>
      <c r="L40" s="2" t="s">
        <v>334</v>
      </c>
      <c r="M40" s="2" t="s">
        <v>351</v>
      </c>
      <c r="N40" s="3" t="s">
        <v>1688</v>
      </c>
      <c r="O40" s="3" t="s">
        <v>139</v>
      </c>
      <c r="P40" s="3" t="s">
        <v>105</v>
      </c>
      <c r="Q40" s="125">
        <v>30</v>
      </c>
      <c r="R40" s="143">
        <v>3.6469999999999998</v>
      </c>
      <c r="S40" s="145">
        <v>52657</v>
      </c>
      <c r="T40" s="2"/>
      <c r="U40" s="125">
        <v>57.612000000000002</v>
      </c>
      <c r="V40" s="142">
        <v>0</v>
      </c>
      <c r="W40" s="142">
        <v>1.6649725733567801E-2</v>
      </c>
      <c r="X40" s="142">
        <v>2.8107416308385301E-3</v>
      </c>
    </row>
    <row r="41" spans="1:24">
      <c r="A41" s="3">
        <v>301</v>
      </c>
      <c r="B41" s="3">
        <v>7209</v>
      </c>
      <c r="C41" s="3" t="s">
        <v>1689</v>
      </c>
      <c r="D41" s="3" t="s">
        <v>1690</v>
      </c>
      <c r="E41" s="3" t="s">
        <v>321</v>
      </c>
      <c r="F41" s="3" t="s">
        <v>1691</v>
      </c>
      <c r="G41" s="3" t="s">
        <v>1692</v>
      </c>
      <c r="H41" s="3" t="s">
        <v>328</v>
      </c>
      <c r="I41" s="3" t="s">
        <v>940</v>
      </c>
      <c r="J41" s="3" t="s">
        <v>100</v>
      </c>
      <c r="K41" s="3" t="s">
        <v>101</v>
      </c>
      <c r="L41" s="2" t="s">
        <v>334</v>
      </c>
      <c r="M41" s="2" t="s">
        <v>353</v>
      </c>
      <c r="N41" s="3" t="s">
        <v>551</v>
      </c>
      <c r="O41" s="3" t="s">
        <v>139</v>
      </c>
      <c r="P41" s="3" t="s">
        <v>105</v>
      </c>
      <c r="Q41" s="125">
        <v>49</v>
      </c>
      <c r="R41" s="143">
        <v>3.6469999999999998</v>
      </c>
      <c r="S41" s="145">
        <v>42150</v>
      </c>
      <c r="T41" s="2"/>
      <c r="U41" s="125">
        <v>75.322999999999993</v>
      </c>
      <c r="V41" s="142">
        <v>0</v>
      </c>
      <c r="W41" s="142">
        <v>2.1768242933085401E-2</v>
      </c>
      <c r="X41" s="142">
        <v>3.6748297011808201E-3</v>
      </c>
    </row>
    <row r="42" spans="1:24">
      <c r="A42" s="3">
        <v>301</v>
      </c>
      <c r="B42" s="3">
        <v>7209</v>
      </c>
      <c r="C42" s="3" t="s">
        <v>1616</v>
      </c>
      <c r="D42" s="3" t="s">
        <v>1617</v>
      </c>
      <c r="E42" s="3" t="s">
        <v>1330</v>
      </c>
      <c r="F42" s="3" t="s">
        <v>1693</v>
      </c>
      <c r="G42" s="3" t="s">
        <v>1694</v>
      </c>
      <c r="H42" s="3" t="s">
        <v>328</v>
      </c>
      <c r="I42" s="3" t="s">
        <v>940</v>
      </c>
      <c r="J42" s="3" t="s">
        <v>100</v>
      </c>
      <c r="K42" s="3" t="s">
        <v>101</v>
      </c>
      <c r="L42" s="2" t="s">
        <v>334</v>
      </c>
      <c r="M42" s="2" t="s">
        <v>353</v>
      </c>
      <c r="N42" s="3" t="s">
        <v>487</v>
      </c>
      <c r="O42" s="3" t="s">
        <v>139</v>
      </c>
      <c r="P42" s="3" t="s">
        <v>105</v>
      </c>
      <c r="Q42" s="125">
        <v>43</v>
      </c>
      <c r="R42" s="143">
        <v>3.6469999999999998</v>
      </c>
      <c r="S42" s="145">
        <v>16984</v>
      </c>
      <c r="T42" s="2"/>
      <c r="U42" s="125">
        <v>26.634</v>
      </c>
      <c r="V42" s="142">
        <v>9.9999999999999995E-7</v>
      </c>
      <c r="W42" s="142">
        <v>7.6972953896179497E-3</v>
      </c>
      <c r="X42" s="142">
        <v>1.29942732647191E-3</v>
      </c>
    </row>
    <row r="43" spans="1:24">
      <c r="A43" s="3">
        <v>301</v>
      </c>
      <c r="B43" s="3">
        <v>7209</v>
      </c>
      <c r="C43" s="3" t="s">
        <v>1695</v>
      </c>
      <c r="D43" s="3" t="s">
        <v>1696</v>
      </c>
      <c r="E43" s="3" t="s">
        <v>321</v>
      </c>
      <c r="F43" s="3" t="s">
        <v>1697</v>
      </c>
      <c r="G43" s="3" t="s">
        <v>1698</v>
      </c>
      <c r="H43" s="3" t="s">
        <v>328</v>
      </c>
      <c r="I43" s="3" t="s">
        <v>940</v>
      </c>
      <c r="J43" s="3" t="s">
        <v>100</v>
      </c>
      <c r="K43" s="3" t="s">
        <v>101</v>
      </c>
      <c r="L43" s="2" t="s">
        <v>334</v>
      </c>
      <c r="M43" s="2" t="s">
        <v>353</v>
      </c>
      <c r="N43" s="3" t="s">
        <v>555</v>
      </c>
      <c r="O43" s="3" t="s">
        <v>139</v>
      </c>
      <c r="P43" s="3" t="s">
        <v>105</v>
      </c>
      <c r="Q43" s="125">
        <v>200</v>
      </c>
      <c r="R43" s="143">
        <v>3.6469999999999998</v>
      </c>
      <c r="S43" s="145">
        <v>13429</v>
      </c>
      <c r="T43" s="2"/>
      <c r="U43" s="125">
        <v>97.950999999999993</v>
      </c>
      <c r="V43" s="142">
        <v>0</v>
      </c>
      <c r="W43" s="142">
        <v>2.8307621889597699E-2</v>
      </c>
      <c r="X43" s="142">
        <v>4.7787821005792902E-3</v>
      </c>
    </row>
    <row r="44" spans="1:24">
      <c r="A44" s="3">
        <v>301</v>
      </c>
      <c r="B44" s="3">
        <v>7209</v>
      </c>
      <c r="C44" s="3" t="s">
        <v>1699</v>
      </c>
      <c r="D44" s="3" t="s">
        <v>1700</v>
      </c>
      <c r="E44" s="3" t="s">
        <v>321</v>
      </c>
      <c r="F44" s="3" t="s">
        <v>1701</v>
      </c>
      <c r="G44" s="3" t="s">
        <v>1702</v>
      </c>
      <c r="H44" s="3" t="s">
        <v>328</v>
      </c>
      <c r="I44" s="3" t="s">
        <v>940</v>
      </c>
      <c r="J44" s="3" t="s">
        <v>100</v>
      </c>
      <c r="K44" s="3" t="s">
        <v>101</v>
      </c>
      <c r="L44" s="2" t="s">
        <v>334</v>
      </c>
      <c r="M44" s="2" t="s">
        <v>351</v>
      </c>
      <c r="N44" s="3" t="s">
        <v>564</v>
      </c>
      <c r="O44" s="3" t="s">
        <v>139</v>
      </c>
      <c r="P44" s="3" t="s">
        <v>105</v>
      </c>
      <c r="Q44" s="125">
        <v>54</v>
      </c>
      <c r="R44" s="143">
        <v>3.6469999999999998</v>
      </c>
      <c r="S44" s="145">
        <v>6772</v>
      </c>
      <c r="T44" s="2"/>
      <c r="U44" s="125">
        <v>13.337</v>
      </c>
      <c r="V44" s="142">
        <v>9.9999999999999995E-7</v>
      </c>
      <c r="W44" s="142">
        <v>3.8542548341511701E-3</v>
      </c>
      <c r="X44" s="142">
        <v>6.5066023858687905E-4</v>
      </c>
    </row>
    <row r="45" spans="1:24">
      <c r="A45" s="3">
        <v>301</v>
      </c>
      <c r="B45" s="3">
        <v>7209</v>
      </c>
      <c r="C45" s="3" t="s">
        <v>1703</v>
      </c>
      <c r="D45" s="3" t="s">
        <v>1704</v>
      </c>
      <c r="E45" s="3" t="s">
        <v>321</v>
      </c>
      <c r="F45" s="3" t="s">
        <v>1705</v>
      </c>
      <c r="G45" s="3" t="s">
        <v>1706</v>
      </c>
      <c r="H45" s="3" t="s">
        <v>328</v>
      </c>
      <c r="I45" s="3" t="s">
        <v>940</v>
      </c>
      <c r="J45" s="3" t="s">
        <v>100</v>
      </c>
      <c r="K45" s="3" t="s">
        <v>1707</v>
      </c>
      <c r="L45" s="2" t="s">
        <v>334</v>
      </c>
      <c r="M45" s="2" t="s">
        <v>351</v>
      </c>
      <c r="N45" s="3" t="s">
        <v>555</v>
      </c>
      <c r="O45" s="3" t="s">
        <v>139</v>
      </c>
      <c r="P45" s="3" t="s">
        <v>105</v>
      </c>
      <c r="Q45" s="125">
        <v>55</v>
      </c>
      <c r="R45" s="143">
        <v>3.6469999999999998</v>
      </c>
      <c r="S45" s="145">
        <v>19749</v>
      </c>
      <c r="T45" s="124">
        <v>2.7E-2</v>
      </c>
      <c r="U45" s="125">
        <v>39.710999999999999</v>
      </c>
      <c r="V45" s="142">
        <v>0</v>
      </c>
      <c r="W45" s="142">
        <v>1.14764440678434E-2</v>
      </c>
      <c r="X45" s="142">
        <v>1.93740843733196E-3</v>
      </c>
    </row>
    <row r="46" spans="1:24">
      <c r="A46" s="3">
        <v>301</v>
      </c>
      <c r="B46" s="3">
        <v>7209</v>
      </c>
      <c r="C46" s="3" t="s">
        <v>1708</v>
      </c>
      <c r="D46" s="3" t="s">
        <v>1709</v>
      </c>
      <c r="E46" s="3" t="s">
        <v>321</v>
      </c>
      <c r="F46" s="3" t="s">
        <v>1710</v>
      </c>
      <c r="G46" s="3" t="s">
        <v>1711</v>
      </c>
      <c r="H46" s="3" t="s">
        <v>328</v>
      </c>
      <c r="I46" s="3" t="s">
        <v>940</v>
      </c>
      <c r="J46" s="3" t="s">
        <v>100</v>
      </c>
      <c r="K46" s="3" t="s">
        <v>101</v>
      </c>
      <c r="L46" s="2" t="s">
        <v>334</v>
      </c>
      <c r="M46" s="2" t="s">
        <v>351</v>
      </c>
      <c r="N46" s="3" t="s">
        <v>1688</v>
      </c>
      <c r="O46" s="3" t="s">
        <v>139</v>
      </c>
      <c r="P46" s="3" t="s">
        <v>105</v>
      </c>
      <c r="Q46" s="125">
        <v>38</v>
      </c>
      <c r="R46" s="143">
        <v>3.6469999999999998</v>
      </c>
      <c r="S46" s="145">
        <v>31604</v>
      </c>
      <c r="T46" s="2"/>
      <c r="U46" s="125">
        <v>43.798999999999999</v>
      </c>
      <c r="V46" s="142">
        <v>0</v>
      </c>
      <c r="W46" s="142">
        <v>1.26577165550511E-2</v>
      </c>
      <c r="X46" s="142">
        <v>2.1368262421829301E-3</v>
      </c>
    </row>
    <row r="47" spans="1:24">
      <c r="A47" s="3">
        <v>301</v>
      </c>
      <c r="B47" s="3">
        <v>7210</v>
      </c>
      <c r="C47" s="3" t="s">
        <v>1538</v>
      </c>
      <c r="D47" s="3" t="s">
        <v>1539</v>
      </c>
      <c r="E47" s="3" t="s">
        <v>1330</v>
      </c>
      <c r="F47" s="3" t="s">
        <v>1540</v>
      </c>
      <c r="G47" s="3" t="s">
        <v>1541</v>
      </c>
      <c r="H47" s="3" t="s">
        <v>328</v>
      </c>
      <c r="I47" s="3" t="s">
        <v>940</v>
      </c>
      <c r="J47" s="3" t="s">
        <v>30</v>
      </c>
      <c r="K47" s="3" t="s">
        <v>30</v>
      </c>
      <c r="L47" s="2" t="s">
        <v>334</v>
      </c>
      <c r="M47" s="2" t="s">
        <v>45</v>
      </c>
      <c r="N47" s="3" t="s">
        <v>452</v>
      </c>
      <c r="O47" s="3" t="s">
        <v>139</v>
      </c>
      <c r="P47" s="3" t="s">
        <v>34</v>
      </c>
      <c r="Q47" s="125">
        <v>3840.67</v>
      </c>
      <c r="R47" s="143">
        <v>1</v>
      </c>
      <c r="S47" s="145">
        <v>95300</v>
      </c>
      <c r="T47" s="124">
        <v>7.0069999999999997</v>
      </c>
      <c r="U47" s="125">
        <v>3667.1660000000002</v>
      </c>
      <c r="V47" s="142">
        <v>8.6000000000000003E-5</v>
      </c>
      <c r="W47" s="142">
        <v>1.78250090773946E-2</v>
      </c>
      <c r="X47" s="142">
        <v>2.65355723778364E-3</v>
      </c>
    </row>
    <row r="48" spans="1:24">
      <c r="A48" s="3">
        <v>301</v>
      </c>
      <c r="B48" s="3">
        <v>7210</v>
      </c>
      <c r="C48" s="3" t="s">
        <v>1542</v>
      </c>
      <c r="D48" s="3" t="s">
        <v>1543</v>
      </c>
      <c r="E48" s="3" t="s">
        <v>1330</v>
      </c>
      <c r="F48" s="3" t="s">
        <v>1544</v>
      </c>
      <c r="G48" s="3" t="s">
        <v>1545</v>
      </c>
      <c r="H48" s="3" t="s">
        <v>328</v>
      </c>
      <c r="I48" s="3" t="s">
        <v>940</v>
      </c>
      <c r="J48" s="3" t="s">
        <v>30</v>
      </c>
      <c r="K48" s="3" t="s">
        <v>30</v>
      </c>
      <c r="L48" s="2" t="s">
        <v>334</v>
      </c>
      <c r="M48" s="2" t="s">
        <v>45</v>
      </c>
      <c r="N48" s="3" t="s">
        <v>470</v>
      </c>
      <c r="O48" s="3" t="s">
        <v>139</v>
      </c>
      <c r="P48" s="3" t="s">
        <v>34</v>
      </c>
      <c r="Q48" s="125">
        <v>176000</v>
      </c>
      <c r="R48" s="143">
        <v>1</v>
      </c>
      <c r="S48" s="145">
        <v>3040</v>
      </c>
      <c r="T48" s="2"/>
      <c r="U48" s="125">
        <v>5350.4</v>
      </c>
      <c r="V48" s="142">
        <v>8.1800000000000004E-4</v>
      </c>
      <c r="W48" s="142">
        <v>2.6006712951900102E-2</v>
      </c>
      <c r="X48" s="142">
        <v>3.8715436881316301E-3</v>
      </c>
    </row>
    <row r="49" spans="1:24">
      <c r="A49" s="3">
        <v>301</v>
      </c>
      <c r="B49" s="3">
        <v>7210</v>
      </c>
      <c r="C49" s="3" t="s">
        <v>1546</v>
      </c>
      <c r="D49" s="3" t="s">
        <v>1547</v>
      </c>
      <c r="E49" s="3" t="s">
        <v>1330</v>
      </c>
      <c r="F49" s="3" t="s">
        <v>1548</v>
      </c>
      <c r="G49" s="3" t="s">
        <v>1549</v>
      </c>
      <c r="H49" s="3" t="s">
        <v>328</v>
      </c>
      <c r="I49" s="3" t="s">
        <v>940</v>
      </c>
      <c r="J49" s="3" t="s">
        <v>30</v>
      </c>
      <c r="K49" s="3" t="s">
        <v>30</v>
      </c>
      <c r="L49" s="2" t="s">
        <v>334</v>
      </c>
      <c r="M49" s="2" t="s">
        <v>45</v>
      </c>
      <c r="N49" s="3" t="s">
        <v>470</v>
      </c>
      <c r="O49" s="3" t="s">
        <v>139</v>
      </c>
      <c r="P49" s="3" t="s">
        <v>34</v>
      </c>
      <c r="Q49" s="125">
        <v>198434</v>
      </c>
      <c r="R49" s="143">
        <v>1</v>
      </c>
      <c r="S49" s="145">
        <v>2064</v>
      </c>
      <c r="T49" s="2"/>
      <c r="U49" s="125">
        <v>4095.6779999999999</v>
      </c>
      <c r="V49" s="142">
        <v>4.2099999999999999E-4</v>
      </c>
      <c r="W49" s="142">
        <v>1.9907879008635099E-2</v>
      </c>
      <c r="X49" s="142">
        <v>2.9636280241382099E-3</v>
      </c>
    </row>
    <row r="50" spans="1:24">
      <c r="A50" s="3">
        <v>301</v>
      </c>
      <c r="B50" s="3">
        <v>7210</v>
      </c>
      <c r="C50" s="3" t="s">
        <v>1550</v>
      </c>
      <c r="D50" s="3" t="s">
        <v>1551</v>
      </c>
      <c r="E50" s="3" t="s">
        <v>1330</v>
      </c>
      <c r="F50" s="3" t="s">
        <v>1552</v>
      </c>
      <c r="G50" s="3" t="s">
        <v>1553</v>
      </c>
      <c r="H50" s="3" t="s">
        <v>328</v>
      </c>
      <c r="I50" s="3" t="s">
        <v>940</v>
      </c>
      <c r="J50" s="3" t="s">
        <v>30</v>
      </c>
      <c r="K50" s="3" t="s">
        <v>101</v>
      </c>
      <c r="L50" s="2" t="s">
        <v>334</v>
      </c>
      <c r="M50" s="2" t="s">
        <v>45</v>
      </c>
      <c r="N50" s="3" t="s">
        <v>447</v>
      </c>
      <c r="O50" s="3" t="s">
        <v>139</v>
      </c>
      <c r="P50" s="3" t="s">
        <v>34</v>
      </c>
      <c r="Q50" s="125">
        <v>76456.399999999994</v>
      </c>
      <c r="R50" s="143">
        <v>1</v>
      </c>
      <c r="S50" s="145">
        <v>6305</v>
      </c>
      <c r="T50" s="2"/>
      <c r="U50" s="125">
        <v>4820.576</v>
      </c>
      <c r="V50" s="142">
        <v>6.4499999999999996E-4</v>
      </c>
      <c r="W50" s="142">
        <v>2.34313951882014E-2</v>
      </c>
      <c r="X50" s="142">
        <v>3.4881636257830602E-3</v>
      </c>
    </row>
    <row r="51" spans="1:24">
      <c r="A51" s="3">
        <v>301</v>
      </c>
      <c r="B51" s="3">
        <v>7210</v>
      </c>
      <c r="C51" s="3" t="s">
        <v>1554</v>
      </c>
      <c r="D51" s="3" t="s">
        <v>1555</v>
      </c>
      <c r="E51" s="3" t="s">
        <v>1330</v>
      </c>
      <c r="F51" s="3" t="s">
        <v>1556</v>
      </c>
      <c r="G51" s="3" t="s">
        <v>1557</v>
      </c>
      <c r="H51" s="3" t="s">
        <v>328</v>
      </c>
      <c r="I51" s="3" t="s">
        <v>940</v>
      </c>
      <c r="J51" s="3" t="s">
        <v>30</v>
      </c>
      <c r="K51" s="3" t="s">
        <v>30</v>
      </c>
      <c r="L51" s="2" t="s">
        <v>334</v>
      </c>
      <c r="M51" s="2" t="s">
        <v>45</v>
      </c>
      <c r="N51" s="3" t="s">
        <v>447</v>
      </c>
      <c r="O51" s="3" t="s">
        <v>139</v>
      </c>
      <c r="P51" s="3" t="s">
        <v>34</v>
      </c>
      <c r="Q51" s="125">
        <v>479401</v>
      </c>
      <c r="R51" s="143">
        <v>1</v>
      </c>
      <c r="S51" s="145">
        <v>1250</v>
      </c>
      <c r="T51" s="2"/>
      <c r="U51" s="125">
        <v>5992.5119999999997</v>
      </c>
      <c r="V51" s="142">
        <v>8.7200000000000005E-4</v>
      </c>
      <c r="W51" s="142">
        <v>2.91278320215634E-2</v>
      </c>
      <c r="X51" s="142">
        <v>4.3361756028380801E-3</v>
      </c>
    </row>
    <row r="52" spans="1:24">
      <c r="A52" s="3">
        <v>301</v>
      </c>
      <c r="B52" s="3">
        <v>7210</v>
      </c>
      <c r="C52" s="3" t="s">
        <v>1558</v>
      </c>
      <c r="D52" s="3" t="s">
        <v>1559</v>
      </c>
      <c r="E52" s="3" t="s">
        <v>1330</v>
      </c>
      <c r="F52" s="3" t="s">
        <v>1560</v>
      </c>
      <c r="G52" s="3" t="s">
        <v>1561</v>
      </c>
      <c r="H52" s="3" t="s">
        <v>328</v>
      </c>
      <c r="I52" s="3" t="s">
        <v>940</v>
      </c>
      <c r="J52" s="3" t="s">
        <v>30</v>
      </c>
      <c r="K52" s="3" t="s">
        <v>30</v>
      </c>
      <c r="L52" s="2" t="s">
        <v>334</v>
      </c>
      <c r="M52" s="2" t="s">
        <v>45</v>
      </c>
      <c r="N52" s="3" t="s">
        <v>453</v>
      </c>
      <c r="O52" s="3" t="s">
        <v>139</v>
      </c>
      <c r="P52" s="3" t="s">
        <v>34</v>
      </c>
      <c r="Q52" s="125">
        <v>6664</v>
      </c>
      <c r="R52" s="143">
        <v>1</v>
      </c>
      <c r="S52" s="145">
        <v>27280</v>
      </c>
      <c r="T52" s="2"/>
      <c r="U52" s="125">
        <v>1817.9390000000001</v>
      </c>
      <c r="V52" s="142">
        <v>5.2700000000000002E-4</v>
      </c>
      <c r="W52" s="142">
        <v>8.8364651125910007E-3</v>
      </c>
      <c r="X52" s="142">
        <v>1.3154588507713501E-3</v>
      </c>
    </row>
    <row r="53" spans="1:24">
      <c r="A53" s="3">
        <v>301</v>
      </c>
      <c r="B53" s="3">
        <v>7210</v>
      </c>
      <c r="C53" s="3" t="s">
        <v>1562</v>
      </c>
      <c r="D53" s="3" t="s">
        <v>1563</v>
      </c>
      <c r="E53" s="3" t="s">
        <v>1330</v>
      </c>
      <c r="F53" s="3" t="s">
        <v>1564</v>
      </c>
      <c r="G53" s="3" t="s">
        <v>1565</v>
      </c>
      <c r="H53" s="3" t="s">
        <v>328</v>
      </c>
      <c r="I53" s="3" t="s">
        <v>940</v>
      </c>
      <c r="J53" s="3" t="s">
        <v>30</v>
      </c>
      <c r="K53" s="3" t="s">
        <v>30</v>
      </c>
      <c r="L53" s="2" t="s">
        <v>334</v>
      </c>
      <c r="M53" s="2" t="s">
        <v>45</v>
      </c>
      <c r="N53" s="3" t="s">
        <v>491</v>
      </c>
      <c r="O53" s="3" t="s">
        <v>139</v>
      </c>
      <c r="P53" s="3" t="s">
        <v>34</v>
      </c>
      <c r="Q53" s="125">
        <v>1505187.78</v>
      </c>
      <c r="R53" s="143">
        <v>1</v>
      </c>
      <c r="S53" s="145">
        <v>519</v>
      </c>
      <c r="T53" s="2"/>
      <c r="U53" s="125">
        <v>7811.9250000000002</v>
      </c>
      <c r="V53" s="142">
        <v>5.44E-4</v>
      </c>
      <c r="W53" s="142">
        <v>3.7971456359737699E-2</v>
      </c>
      <c r="X53" s="142">
        <v>5.6527002266915597E-3</v>
      </c>
    </row>
    <row r="54" spans="1:24">
      <c r="A54" s="3">
        <v>301</v>
      </c>
      <c r="B54" s="3">
        <v>7210</v>
      </c>
      <c r="C54" s="3" t="s">
        <v>1712</v>
      </c>
      <c r="D54" s="3" t="s">
        <v>1713</v>
      </c>
      <c r="E54" s="3" t="s">
        <v>1330</v>
      </c>
      <c r="F54" s="3" t="s">
        <v>1712</v>
      </c>
      <c r="G54" s="3" t="s">
        <v>1714</v>
      </c>
      <c r="H54" s="3" t="s">
        <v>328</v>
      </c>
      <c r="I54" s="3" t="s">
        <v>940</v>
      </c>
      <c r="J54" s="3" t="s">
        <v>30</v>
      </c>
      <c r="K54" s="3" t="s">
        <v>30</v>
      </c>
      <c r="L54" s="2" t="s">
        <v>334</v>
      </c>
      <c r="M54" s="2" t="s">
        <v>45</v>
      </c>
      <c r="N54" s="3" t="s">
        <v>445</v>
      </c>
      <c r="O54" s="3" t="s">
        <v>139</v>
      </c>
      <c r="P54" s="3" t="s">
        <v>34</v>
      </c>
      <c r="Q54" s="125">
        <v>378594</v>
      </c>
      <c r="R54" s="143">
        <v>1</v>
      </c>
      <c r="S54" s="145">
        <v>11</v>
      </c>
      <c r="T54" s="2"/>
      <c r="U54" s="125">
        <v>41.645000000000003</v>
      </c>
      <c r="V54" s="142">
        <v>3.3779999999999999E-3</v>
      </c>
      <c r="W54" s="142">
        <v>2.0242568839045301E-4</v>
      </c>
      <c r="X54" s="142">
        <v>3.0134523253793301E-5</v>
      </c>
    </row>
    <row r="55" spans="1:24">
      <c r="A55" s="3">
        <v>301</v>
      </c>
      <c r="B55" s="3">
        <v>7210</v>
      </c>
      <c r="C55" s="3" t="s">
        <v>1566</v>
      </c>
      <c r="D55" s="3" t="s">
        <v>1567</v>
      </c>
      <c r="E55" s="3" t="s">
        <v>1330</v>
      </c>
      <c r="F55" s="3" t="s">
        <v>1568</v>
      </c>
      <c r="G55" s="3" t="s">
        <v>1569</v>
      </c>
      <c r="H55" s="3" t="s">
        <v>328</v>
      </c>
      <c r="I55" s="3" t="s">
        <v>940</v>
      </c>
      <c r="J55" s="3" t="s">
        <v>30</v>
      </c>
      <c r="K55" s="3" t="s">
        <v>30</v>
      </c>
      <c r="L55" s="2" t="s">
        <v>334</v>
      </c>
      <c r="M55" s="2" t="s">
        <v>45</v>
      </c>
      <c r="N55" s="3" t="s">
        <v>454</v>
      </c>
      <c r="O55" s="3" t="s">
        <v>139</v>
      </c>
      <c r="P55" s="3" t="s">
        <v>34</v>
      </c>
      <c r="Q55" s="125">
        <v>563597.17000000004</v>
      </c>
      <c r="R55" s="143">
        <v>1</v>
      </c>
      <c r="S55" s="145">
        <v>2492</v>
      </c>
      <c r="T55" s="2"/>
      <c r="U55" s="125">
        <v>14044.841</v>
      </c>
      <c r="V55" s="142">
        <v>4.5600000000000003E-4</v>
      </c>
      <c r="W55" s="142">
        <v>6.8267823103258699E-2</v>
      </c>
      <c r="X55" s="142">
        <v>1.0162832193624001E-2</v>
      </c>
    </row>
    <row r="56" spans="1:24">
      <c r="A56" s="3">
        <v>301</v>
      </c>
      <c r="B56" s="3">
        <v>7210</v>
      </c>
      <c r="C56" s="3" t="s">
        <v>1570</v>
      </c>
      <c r="D56" s="3" t="s">
        <v>1571</v>
      </c>
      <c r="E56" s="3" t="s">
        <v>1330</v>
      </c>
      <c r="F56" s="3" t="s">
        <v>1572</v>
      </c>
      <c r="G56" s="3" t="s">
        <v>1573</v>
      </c>
      <c r="H56" s="3" t="s">
        <v>328</v>
      </c>
      <c r="I56" s="3" t="s">
        <v>940</v>
      </c>
      <c r="J56" s="3" t="s">
        <v>30</v>
      </c>
      <c r="K56" s="3" t="s">
        <v>30</v>
      </c>
      <c r="L56" s="2" t="s">
        <v>334</v>
      </c>
      <c r="M56" s="2" t="s">
        <v>45</v>
      </c>
      <c r="N56" s="3" t="s">
        <v>453</v>
      </c>
      <c r="O56" s="3" t="s">
        <v>139</v>
      </c>
      <c r="P56" s="3" t="s">
        <v>34</v>
      </c>
      <c r="Q56" s="125">
        <v>8400</v>
      </c>
      <c r="R56" s="143">
        <v>1</v>
      </c>
      <c r="S56" s="145">
        <v>36080</v>
      </c>
      <c r="T56" s="2"/>
      <c r="U56" s="125">
        <v>3030.72</v>
      </c>
      <c r="V56" s="142">
        <v>4.0200000000000001E-4</v>
      </c>
      <c r="W56" s="142">
        <v>1.4731434112885499E-2</v>
      </c>
      <c r="X56" s="142">
        <v>2.1930257338692999E-3</v>
      </c>
    </row>
    <row r="57" spans="1:24">
      <c r="A57" s="3">
        <v>301</v>
      </c>
      <c r="B57" s="3">
        <v>7210</v>
      </c>
      <c r="C57" s="3" t="s">
        <v>1574</v>
      </c>
      <c r="D57" s="3" t="s">
        <v>1575</v>
      </c>
      <c r="E57" s="3" t="s">
        <v>1330</v>
      </c>
      <c r="F57" s="3" t="s">
        <v>1576</v>
      </c>
      <c r="G57" s="3" t="s">
        <v>1577</v>
      </c>
      <c r="H57" s="3" t="s">
        <v>328</v>
      </c>
      <c r="I57" s="3" t="s">
        <v>940</v>
      </c>
      <c r="J57" s="3" t="s">
        <v>30</v>
      </c>
      <c r="K57" s="3" t="s">
        <v>30</v>
      </c>
      <c r="L57" s="2" t="s">
        <v>334</v>
      </c>
      <c r="M57" s="2" t="s">
        <v>45</v>
      </c>
      <c r="N57" s="3" t="s">
        <v>451</v>
      </c>
      <c r="O57" s="3" t="s">
        <v>139</v>
      </c>
      <c r="P57" s="3" t="s">
        <v>34</v>
      </c>
      <c r="Q57" s="125">
        <v>67634</v>
      </c>
      <c r="R57" s="143">
        <v>1</v>
      </c>
      <c r="S57" s="145">
        <v>5318</v>
      </c>
      <c r="T57" s="2"/>
      <c r="U57" s="125">
        <v>3596.7759999999998</v>
      </c>
      <c r="V57" s="142">
        <v>2.5799999999999998E-4</v>
      </c>
      <c r="W57" s="142">
        <v>1.7482865599784899E-2</v>
      </c>
      <c r="X57" s="142">
        <v>2.60262333377104E-3</v>
      </c>
    </row>
    <row r="58" spans="1:24">
      <c r="A58" s="3">
        <v>301</v>
      </c>
      <c r="B58" s="3">
        <v>7210</v>
      </c>
      <c r="C58" s="3" t="s">
        <v>1578</v>
      </c>
      <c r="D58" s="3" t="s">
        <v>1579</v>
      </c>
      <c r="E58" s="3" t="s">
        <v>1330</v>
      </c>
      <c r="F58" s="3" t="s">
        <v>1580</v>
      </c>
      <c r="G58" s="3" t="s">
        <v>1581</v>
      </c>
      <c r="H58" s="3" t="s">
        <v>328</v>
      </c>
      <c r="I58" s="3" t="s">
        <v>940</v>
      </c>
      <c r="J58" s="3" t="s">
        <v>30</v>
      </c>
      <c r="K58" s="3" t="s">
        <v>101</v>
      </c>
      <c r="L58" s="2" t="s">
        <v>334</v>
      </c>
      <c r="M58" s="2" t="s">
        <v>45</v>
      </c>
      <c r="N58" s="3" t="s">
        <v>473</v>
      </c>
      <c r="O58" s="3" t="s">
        <v>139</v>
      </c>
      <c r="P58" s="3" t="s">
        <v>34</v>
      </c>
      <c r="Q58" s="125">
        <v>76218</v>
      </c>
      <c r="R58" s="143">
        <v>1</v>
      </c>
      <c r="S58" s="145">
        <v>8101</v>
      </c>
      <c r="T58" s="2"/>
      <c r="U58" s="125">
        <v>6174.42</v>
      </c>
      <c r="V58" s="142">
        <v>6.0999999999999999E-5</v>
      </c>
      <c r="W58" s="142">
        <v>3.00120314865579E-2</v>
      </c>
      <c r="X58" s="142">
        <v>4.4678038045289203E-3</v>
      </c>
    </row>
    <row r="59" spans="1:24">
      <c r="A59" s="3">
        <v>301</v>
      </c>
      <c r="B59" s="3">
        <v>7210</v>
      </c>
      <c r="C59" s="3" t="s">
        <v>1582</v>
      </c>
      <c r="D59" s="3" t="s">
        <v>1583</v>
      </c>
      <c r="E59" s="3" t="s">
        <v>1330</v>
      </c>
      <c r="F59" s="3" t="s">
        <v>1584</v>
      </c>
      <c r="G59" s="3" t="s">
        <v>1585</v>
      </c>
      <c r="H59" s="3" t="s">
        <v>328</v>
      </c>
      <c r="I59" s="3" t="s">
        <v>940</v>
      </c>
      <c r="J59" s="3" t="s">
        <v>30</v>
      </c>
      <c r="K59" s="3" t="s">
        <v>30</v>
      </c>
      <c r="L59" s="2" t="s">
        <v>334</v>
      </c>
      <c r="M59" s="2" t="s">
        <v>45</v>
      </c>
      <c r="N59" s="3" t="s">
        <v>453</v>
      </c>
      <c r="O59" s="3" t="s">
        <v>139</v>
      </c>
      <c r="P59" s="3" t="s">
        <v>34</v>
      </c>
      <c r="Q59" s="125">
        <v>241500</v>
      </c>
      <c r="R59" s="143">
        <v>1</v>
      </c>
      <c r="S59" s="145">
        <v>1412</v>
      </c>
      <c r="T59" s="2"/>
      <c r="U59" s="125">
        <v>3409.98</v>
      </c>
      <c r="V59" s="142">
        <v>7.4899999999999999E-4</v>
      </c>
      <c r="W59" s="142">
        <v>1.6574904872854401E-2</v>
      </c>
      <c r="X59" s="142">
        <v>2.4674578621514398E-3</v>
      </c>
    </row>
    <row r="60" spans="1:24">
      <c r="A60" s="3">
        <v>301</v>
      </c>
      <c r="B60" s="3">
        <v>7210</v>
      </c>
      <c r="C60" s="3" t="s">
        <v>1586</v>
      </c>
      <c r="D60" s="3" t="s">
        <v>1587</v>
      </c>
      <c r="E60" s="3" t="s">
        <v>1330</v>
      </c>
      <c r="F60" s="3" t="s">
        <v>1588</v>
      </c>
      <c r="G60" s="3" t="s">
        <v>1589</v>
      </c>
      <c r="H60" s="3" t="s">
        <v>328</v>
      </c>
      <c r="I60" s="3" t="s">
        <v>940</v>
      </c>
      <c r="J60" s="3" t="s">
        <v>30</v>
      </c>
      <c r="K60" s="3" t="s">
        <v>30</v>
      </c>
      <c r="L60" s="2" t="s">
        <v>334</v>
      </c>
      <c r="M60" s="2" t="s">
        <v>45</v>
      </c>
      <c r="N60" s="3" t="s">
        <v>451</v>
      </c>
      <c r="O60" s="3" t="s">
        <v>139</v>
      </c>
      <c r="P60" s="3" t="s">
        <v>34</v>
      </c>
      <c r="Q60" s="125">
        <v>40500</v>
      </c>
      <c r="R60" s="143">
        <v>1</v>
      </c>
      <c r="S60" s="145">
        <v>8570</v>
      </c>
      <c r="T60" s="2"/>
      <c r="U60" s="125">
        <v>3470.85</v>
      </c>
      <c r="V60" s="142">
        <v>5.1000000000000004E-4</v>
      </c>
      <c r="W60" s="142">
        <v>1.6870775951163E-2</v>
      </c>
      <c r="X60" s="142">
        <v>2.5115033287140499E-3</v>
      </c>
    </row>
    <row r="61" spans="1:24">
      <c r="A61" s="3">
        <v>301</v>
      </c>
      <c r="B61" s="3">
        <v>7210</v>
      </c>
      <c r="C61" s="3" t="s">
        <v>1181</v>
      </c>
      <c r="D61" s="3" t="s">
        <v>1590</v>
      </c>
      <c r="E61" s="3" t="s">
        <v>1330</v>
      </c>
      <c r="F61" s="3" t="s">
        <v>1307</v>
      </c>
      <c r="G61" s="3" t="s">
        <v>1591</v>
      </c>
      <c r="H61" s="3" t="s">
        <v>328</v>
      </c>
      <c r="I61" s="3" t="s">
        <v>940</v>
      </c>
      <c r="J61" s="3" t="s">
        <v>30</v>
      </c>
      <c r="K61" s="3" t="s">
        <v>30</v>
      </c>
      <c r="L61" s="2" t="s">
        <v>334</v>
      </c>
      <c r="M61" s="2" t="s">
        <v>45</v>
      </c>
      <c r="N61" s="3" t="s">
        <v>454</v>
      </c>
      <c r="O61" s="3" t="s">
        <v>139</v>
      </c>
      <c r="P61" s="3" t="s">
        <v>34</v>
      </c>
      <c r="Q61" s="125">
        <v>465156</v>
      </c>
      <c r="R61" s="143">
        <v>1</v>
      </c>
      <c r="S61" s="145">
        <v>4335</v>
      </c>
      <c r="T61" s="2"/>
      <c r="U61" s="125">
        <v>20164.512999999999</v>
      </c>
      <c r="V61" s="142">
        <v>2.8800000000000001E-4</v>
      </c>
      <c r="W61" s="142">
        <v>9.8013735609145503E-2</v>
      </c>
      <c r="X61" s="142">
        <v>1.4591019639799E-2</v>
      </c>
    </row>
    <row r="62" spans="1:24">
      <c r="A62" s="3">
        <v>301</v>
      </c>
      <c r="B62" s="3">
        <v>7210</v>
      </c>
      <c r="C62" s="3" t="s">
        <v>1592</v>
      </c>
      <c r="D62" s="3" t="s">
        <v>1593</v>
      </c>
      <c r="E62" s="3" t="s">
        <v>1330</v>
      </c>
      <c r="F62" s="3" t="s">
        <v>1594</v>
      </c>
      <c r="G62" s="3" t="s">
        <v>1595</v>
      </c>
      <c r="H62" s="3" t="s">
        <v>328</v>
      </c>
      <c r="I62" s="3" t="s">
        <v>940</v>
      </c>
      <c r="J62" s="3" t="s">
        <v>30</v>
      </c>
      <c r="K62" s="3" t="s">
        <v>30</v>
      </c>
      <c r="L62" s="2" t="s">
        <v>334</v>
      </c>
      <c r="M62" s="2" t="s">
        <v>45</v>
      </c>
      <c r="N62" s="3" t="s">
        <v>454</v>
      </c>
      <c r="O62" s="3" t="s">
        <v>139</v>
      </c>
      <c r="P62" s="3" t="s">
        <v>34</v>
      </c>
      <c r="Q62" s="125">
        <v>41461.769999999997</v>
      </c>
      <c r="R62" s="143">
        <v>1</v>
      </c>
      <c r="S62" s="145">
        <v>15760</v>
      </c>
      <c r="T62" s="2"/>
      <c r="U62" s="125">
        <v>6534.375</v>
      </c>
      <c r="V62" s="142">
        <v>1.6000000000000001E-4</v>
      </c>
      <c r="W62" s="142">
        <v>3.1761665239374598E-2</v>
      </c>
      <c r="X62" s="142">
        <v>4.72826669058407E-3</v>
      </c>
    </row>
    <row r="63" spans="1:24">
      <c r="A63" s="3">
        <v>301</v>
      </c>
      <c r="B63" s="3">
        <v>7210</v>
      </c>
      <c r="C63" s="3" t="s">
        <v>1596</v>
      </c>
      <c r="D63" s="3" t="s">
        <v>1597</v>
      </c>
      <c r="E63" s="3" t="s">
        <v>1330</v>
      </c>
      <c r="F63" s="3" t="s">
        <v>1598</v>
      </c>
      <c r="G63" s="3" t="s">
        <v>1599</v>
      </c>
      <c r="H63" s="3" t="s">
        <v>328</v>
      </c>
      <c r="I63" s="3" t="s">
        <v>940</v>
      </c>
      <c r="J63" s="3" t="s">
        <v>30</v>
      </c>
      <c r="K63" s="3" t="s">
        <v>30</v>
      </c>
      <c r="L63" s="2" t="s">
        <v>334</v>
      </c>
      <c r="M63" s="2" t="s">
        <v>45</v>
      </c>
      <c r="N63" s="3" t="s">
        <v>483</v>
      </c>
      <c r="O63" s="3" t="s">
        <v>139</v>
      </c>
      <c r="P63" s="3" t="s">
        <v>34</v>
      </c>
      <c r="Q63" s="125">
        <v>45118</v>
      </c>
      <c r="R63" s="143">
        <v>1</v>
      </c>
      <c r="S63" s="145">
        <v>8550</v>
      </c>
      <c r="T63" s="124">
        <v>34.29</v>
      </c>
      <c r="U63" s="125">
        <v>3891.8789999999999</v>
      </c>
      <c r="V63" s="142">
        <v>7.0299999999999996E-4</v>
      </c>
      <c r="W63" s="142">
        <v>1.8917271918805999E-2</v>
      </c>
      <c r="X63" s="142">
        <v>2.8161592289414001E-3</v>
      </c>
    </row>
    <row r="64" spans="1:24">
      <c r="A64" s="3">
        <v>301</v>
      </c>
      <c r="B64" s="3">
        <v>7210</v>
      </c>
      <c r="C64" s="3" t="s">
        <v>1600</v>
      </c>
      <c r="D64" s="3" t="s">
        <v>1601</v>
      </c>
      <c r="E64" s="3" t="s">
        <v>1330</v>
      </c>
      <c r="F64" s="3" t="s">
        <v>1602</v>
      </c>
      <c r="G64" s="3" t="s">
        <v>1603</v>
      </c>
      <c r="H64" s="3" t="s">
        <v>328</v>
      </c>
      <c r="I64" s="3" t="s">
        <v>940</v>
      </c>
      <c r="J64" s="3" t="s">
        <v>30</v>
      </c>
      <c r="K64" s="3" t="s">
        <v>30</v>
      </c>
      <c r="L64" s="2" t="s">
        <v>334</v>
      </c>
      <c r="M64" s="2" t="s">
        <v>45</v>
      </c>
      <c r="N64" s="3" t="s">
        <v>470</v>
      </c>
      <c r="O64" s="3" t="s">
        <v>139</v>
      </c>
      <c r="P64" s="3" t="s">
        <v>34</v>
      </c>
      <c r="Q64" s="125">
        <v>14905</v>
      </c>
      <c r="R64" s="143">
        <v>1</v>
      </c>
      <c r="S64" s="145">
        <v>32400</v>
      </c>
      <c r="T64" s="2"/>
      <c r="U64" s="125">
        <v>4829.22</v>
      </c>
      <c r="V64" s="142">
        <v>3.1300000000000002E-4</v>
      </c>
      <c r="W64" s="142">
        <v>2.3473411020031199E-2</v>
      </c>
      <c r="X64" s="142">
        <v>3.4944184004184801E-3</v>
      </c>
    </row>
    <row r="65" spans="1:24">
      <c r="A65" s="3">
        <v>301</v>
      </c>
      <c r="B65" s="3">
        <v>7210</v>
      </c>
      <c r="C65" s="3" t="s">
        <v>1604</v>
      </c>
      <c r="D65" s="3" t="s">
        <v>1605</v>
      </c>
      <c r="E65" s="3" t="s">
        <v>319</v>
      </c>
      <c r="F65" s="3" t="s">
        <v>1606</v>
      </c>
      <c r="G65" s="3" t="s">
        <v>1607</v>
      </c>
      <c r="H65" s="3" t="s">
        <v>328</v>
      </c>
      <c r="I65" s="3" t="s">
        <v>940</v>
      </c>
      <c r="J65" s="3" t="s">
        <v>30</v>
      </c>
      <c r="K65" s="3" t="s">
        <v>101</v>
      </c>
      <c r="L65" s="2" t="s">
        <v>334</v>
      </c>
      <c r="M65" s="2" t="s">
        <v>45</v>
      </c>
      <c r="N65" s="3" t="s">
        <v>460</v>
      </c>
      <c r="O65" s="3" t="s">
        <v>139</v>
      </c>
      <c r="P65" s="3" t="s">
        <v>34</v>
      </c>
      <c r="Q65" s="125">
        <v>42144</v>
      </c>
      <c r="R65" s="143">
        <v>1</v>
      </c>
      <c r="S65" s="145">
        <v>7320</v>
      </c>
      <c r="T65" s="2"/>
      <c r="U65" s="125">
        <v>3084.9409999999998</v>
      </c>
      <c r="V65" s="142">
        <v>4.1899999999999999E-4</v>
      </c>
      <c r="W65" s="142">
        <v>1.49949853953359E-2</v>
      </c>
      <c r="X65" s="142">
        <v>2.23225984646003E-3</v>
      </c>
    </row>
    <row r="66" spans="1:24">
      <c r="A66" s="3">
        <v>301</v>
      </c>
      <c r="B66" s="3">
        <v>7210</v>
      </c>
      <c r="C66" s="3" t="s">
        <v>1608</v>
      </c>
      <c r="D66" s="3" t="s">
        <v>1609</v>
      </c>
      <c r="E66" s="3" t="s">
        <v>1330</v>
      </c>
      <c r="F66" s="3" t="s">
        <v>1610</v>
      </c>
      <c r="G66" s="3" t="s">
        <v>1611</v>
      </c>
      <c r="H66" s="3" t="s">
        <v>328</v>
      </c>
      <c r="I66" s="3" t="s">
        <v>940</v>
      </c>
      <c r="J66" s="3" t="s">
        <v>30</v>
      </c>
      <c r="K66" s="3" t="s">
        <v>305</v>
      </c>
      <c r="L66" s="2" t="s">
        <v>334</v>
      </c>
      <c r="M66" s="2" t="s">
        <v>45</v>
      </c>
      <c r="N66" s="3" t="s">
        <v>464</v>
      </c>
      <c r="O66" s="3" t="s">
        <v>139</v>
      </c>
      <c r="P66" s="3" t="s">
        <v>34</v>
      </c>
      <c r="Q66" s="125">
        <v>4300</v>
      </c>
      <c r="R66" s="143">
        <v>1</v>
      </c>
      <c r="S66" s="145">
        <v>71910</v>
      </c>
      <c r="T66" s="2"/>
      <c r="U66" s="125">
        <v>3092.13</v>
      </c>
      <c r="V66" s="142">
        <v>1.47E-4</v>
      </c>
      <c r="W66" s="142">
        <v>1.50299299715832E-2</v>
      </c>
      <c r="X66" s="142">
        <v>2.2374619438513799E-3</v>
      </c>
    </row>
    <row r="67" spans="1:24">
      <c r="A67" s="3">
        <v>301</v>
      </c>
      <c r="B67" s="3">
        <v>7210</v>
      </c>
      <c r="C67" s="3" t="s">
        <v>1612</v>
      </c>
      <c r="D67" s="3" t="s">
        <v>1613</v>
      </c>
      <c r="E67" s="3" t="s">
        <v>319</v>
      </c>
      <c r="F67" s="3" t="s">
        <v>1614</v>
      </c>
      <c r="G67" s="3" t="s">
        <v>1615</v>
      </c>
      <c r="H67" s="3" t="s">
        <v>328</v>
      </c>
      <c r="I67" s="3" t="s">
        <v>940</v>
      </c>
      <c r="J67" s="3" t="s">
        <v>30</v>
      </c>
      <c r="K67" s="3" t="s">
        <v>30</v>
      </c>
      <c r="L67" s="2" t="s">
        <v>334</v>
      </c>
      <c r="M67" s="2" t="s">
        <v>45</v>
      </c>
      <c r="N67" s="3" t="s">
        <v>460</v>
      </c>
      <c r="O67" s="3" t="s">
        <v>139</v>
      </c>
      <c r="P67" s="3" t="s">
        <v>34</v>
      </c>
      <c r="Q67" s="125">
        <v>367104.3</v>
      </c>
      <c r="R67" s="143">
        <v>1</v>
      </c>
      <c r="S67" s="145">
        <v>1114</v>
      </c>
      <c r="T67" s="2"/>
      <c r="U67" s="125">
        <v>4089.5419999999999</v>
      </c>
      <c r="V67" s="142">
        <v>3.1300000000000002E-4</v>
      </c>
      <c r="W67" s="142">
        <v>1.9878054416507401E-2</v>
      </c>
      <c r="X67" s="142">
        <v>2.9591881238856701E-3</v>
      </c>
    </row>
    <row r="68" spans="1:24">
      <c r="A68" s="3">
        <v>301</v>
      </c>
      <c r="B68" s="3">
        <v>7210</v>
      </c>
      <c r="C68" s="3" t="s">
        <v>1616</v>
      </c>
      <c r="D68" s="3" t="s">
        <v>1617</v>
      </c>
      <c r="E68" s="3" t="s">
        <v>1330</v>
      </c>
      <c r="F68" s="3" t="s">
        <v>1618</v>
      </c>
      <c r="G68" s="3" t="s">
        <v>1619</v>
      </c>
      <c r="H68" s="3" t="s">
        <v>328</v>
      </c>
      <c r="I68" s="3" t="s">
        <v>940</v>
      </c>
      <c r="J68" s="3" t="s">
        <v>30</v>
      </c>
      <c r="K68" s="3" t="s">
        <v>101</v>
      </c>
      <c r="L68" s="2" t="s">
        <v>334</v>
      </c>
      <c r="M68" s="2" t="s">
        <v>45</v>
      </c>
      <c r="N68" s="3" t="s">
        <v>487</v>
      </c>
      <c r="O68" s="3" t="s">
        <v>139</v>
      </c>
      <c r="P68" s="3" t="s">
        <v>34</v>
      </c>
      <c r="Q68" s="125">
        <v>5069</v>
      </c>
      <c r="R68" s="143">
        <v>1</v>
      </c>
      <c r="S68" s="145">
        <v>62120</v>
      </c>
      <c r="T68" s="2"/>
      <c r="U68" s="125">
        <v>3148.8629999999998</v>
      </c>
      <c r="V68" s="142">
        <v>6.7999999999999999E-5</v>
      </c>
      <c r="W68" s="142">
        <v>1.5305691343547499E-2</v>
      </c>
      <c r="X68" s="142">
        <v>2.2785137369416299E-3</v>
      </c>
    </row>
    <row r="69" spans="1:24">
      <c r="A69" s="3">
        <v>301</v>
      </c>
      <c r="B69" s="3">
        <v>7210</v>
      </c>
      <c r="C69" s="3" t="s">
        <v>1620</v>
      </c>
      <c r="D69" s="3" t="s">
        <v>1621</v>
      </c>
      <c r="E69" s="3" t="s">
        <v>1330</v>
      </c>
      <c r="F69" s="3" t="s">
        <v>1620</v>
      </c>
      <c r="G69" s="3" t="s">
        <v>1622</v>
      </c>
      <c r="H69" s="3" t="s">
        <v>328</v>
      </c>
      <c r="I69" s="3" t="s">
        <v>940</v>
      </c>
      <c r="J69" s="3" t="s">
        <v>30</v>
      </c>
      <c r="K69" s="3" t="s">
        <v>30</v>
      </c>
      <c r="L69" s="2" t="s">
        <v>334</v>
      </c>
      <c r="M69" s="2" t="s">
        <v>45</v>
      </c>
      <c r="N69" s="3" t="s">
        <v>445</v>
      </c>
      <c r="O69" s="3" t="s">
        <v>139</v>
      </c>
      <c r="P69" s="3" t="s">
        <v>34</v>
      </c>
      <c r="Q69" s="125">
        <v>88429</v>
      </c>
      <c r="R69" s="143">
        <v>1</v>
      </c>
      <c r="S69" s="145">
        <v>6044</v>
      </c>
      <c r="T69" s="2"/>
      <c r="U69" s="125">
        <v>5344.6490000000003</v>
      </c>
      <c r="V69" s="142">
        <v>1.1039999999999999E-3</v>
      </c>
      <c r="W69" s="142">
        <v>2.59787578741867E-2</v>
      </c>
      <c r="X69" s="142">
        <v>3.8673820970504102E-3</v>
      </c>
    </row>
    <row r="70" spans="1:24">
      <c r="A70" s="3">
        <v>301</v>
      </c>
      <c r="B70" s="3">
        <v>7210</v>
      </c>
      <c r="C70" s="3" t="s">
        <v>1623</v>
      </c>
      <c r="D70" s="3" t="s">
        <v>1624</v>
      </c>
      <c r="E70" s="3" t="s">
        <v>1330</v>
      </c>
      <c r="F70" s="3" t="s">
        <v>1625</v>
      </c>
      <c r="G70" s="3" t="s">
        <v>1626</v>
      </c>
      <c r="H70" s="3" t="s">
        <v>328</v>
      </c>
      <c r="I70" s="3" t="s">
        <v>940</v>
      </c>
      <c r="J70" s="3" t="s">
        <v>30</v>
      </c>
      <c r="K70" s="3" t="s">
        <v>30</v>
      </c>
      <c r="L70" s="2" t="s">
        <v>334</v>
      </c>
      <c r="M70" s="2" t="s">
        <v>45</v>
      </c>
      <c r="N70" s="3" t="s">
        <v>470</v>
      </c>
      <c r="O70" s="3" t="s">
        <v>139</v>
      </c>
      <c r="P70" s="3" t="s">
        <v>34</v>
      </c>
      <c r="Q70" s="125">
        <v>16697</v>
      </c>
      <c r="R70" s="143">
        <v>1</v>
      </c>
      <c r="S70" s="145">
        <v>30090</v>
      </c>
      <c r="T70" s="2"/>
      <c r="U70" s="125">
        <v>5024.1270000000004</v>
      </c>
      <c r="V70" s="142">
        <v>1.3799999999999999E-4</v>
      </c>
      <c r="W70" s="142">
        <v>2.4420797795474101E-2</v>
      </c>
      <c r="X70" s="142">
        <v>3.6354531131662701E-3</v>
      </c>
    </row>
    <row r="71" spans="1:24">
      <c r="A71" s="3">
        <v>301</v>
      </c>
      <c r="B71" s="3">
        <v>7210</v>
      </c>
      <c r="C71" s="3" t="s">
        <v>1175</v>
      </c>
      <c r="D71" s="3" t="s">
        <v>1627</v>
      </c>
      <c r="E71" s="3" t="s">
        <v>1330</v>
      </c>
      <c r="F71" s="3" t="s">
        <v>1628</v>
      </c>
      <c r="G71" s="3" t="s">
        <v>1629</v>
      </c>
      <c r="H71" s="3" t="s">
        <v>328</v>
      </c>
      <c r="I71" s="3" t="s">
        <v>940</v>
      </c>
      <c r="J71" s="3" t="s">
        <v>30</v>
      </c>
      <c r="K71" s="3" t="s">
        <v>30</v>
      </c>
      <c r="L71" s="2" t="s">
        <v>334</v>
      </c>
      <c r="M71" s="2" t="s">
        <v>45</v>
      </c>
      <c r="N71" s="3" t="s">
        <v>454</v>
      </c>
      <c r="O71" s="3" t="s">
        <v>139</v>
      </c>
      <c r="P71" s="3" t="s">
        <v>34</v>
      </c>
      <c r="Q71" s="125">
        <v>226535</v>
      </c>
      <c r="R71" s="143">
        <v>1</v>
      </c>
      <c r="S71" s="145">
        <v>4402</v>
      </c>
      <c r="T71" s="2"/>
      <c r="U71" s="125">
        <v>9972.0709999999999</v>
      </c>
      <c r="V71" s="142">
        <v>1.6899999999999999E-4</v>
      </c>
      <c r="W71" s="142">
        <v>4.8471288171156E-2</v>
      </c>
      <c r="X71" s="142">
        <v>7.2157796381928999E-3</v>
      </c>
    </row>
    <row r="72" spans="1:24">
      <c r="A72" s="3">
        <v>301</v>
      </c>
      <c r="B72" s="3">
        <v>7210</v>
      </c>
      <c r="C72" s="3" t="s">
        <v>1630</v>
      </c>
      <c r="D72" s="3" t="s">
        <v>1631</v>
      </c>
      <c r="E72" s="3" t="s">
        <v>1330</v>
      </c>
      <c r="F72" s="3" t="s">
        <v>1632</v>
      </c>
      <c r="G72" s="3" t="s">
        <v>1633</v>
      </c>
      <c r="H72" s="3" t="s">
        <v>328</v>
      </c>
      <c r="I72" s="3" t="s">
        <v>940</v>
      </c>
      <c r="J72" s="3" t="s">
        <v>30</v>
      </c>
      <c r="K72" s="3" t="s">
        <v>30</v>
      </c>
      <c r="L72" s="2" t="s">
        <v>334</v>
      </c>
      <c r="M72" s="2" t="s">
        <v>45</v>
      </c>
      <c r="N72" s="3" t="s">
        <v>482</v>
      </c>
      <c r="O72" s="3" t="s">
        <v>139</v>
      </c>
      <c r="P72" s="3" t="s">
        <v>34</v>
      </c>
      <c r="Q72" s="125">
        <v>10500</v>
      </c>
      <c r="R72" s="143">
        <v>1</v>
      </c>
      <c r="S72" s="145">
        <v>29900</v>
      </c>
      <c r="T72" s="2"/>
      <c r="U72" s="125">
        <v>3139.5</v>
      </c>
      <c r="V72" s="142">
        <v>7.6000000000000004E-4</v>
      </c>
      <c r="W72" s="142">
        <v>1.52601815401634E-2</v>
      </c>
      <c r="X72" s="142">
        <v>2.2717388249269702E-3</v>
      </c>
    </row>
    <row r="73" spans="1:24">
      <c r="A73" s="3">
        <v>301</v>
      </c>
      <c r="B73" s="3">
        <v>7210</v>
      </c>
      <c r="C73" s="3" t="s">
        <v>1634</v>
      </c>
      <c r="D73" s="3" t="s">
        <v>1635</v>
      </c>
      <c r="E73" s="3" t="s">
        <v>1330</v>
      </c>
      <c r="F73" s="3" t="s">
        <v>1636</v>
      </c>
      <c r="G73" s="3" t="s">
        <v>1637</v>
      </c>
      <c r="H73" s="3" t="s">
        <v>328</v>
      </c>
      <c r="I73" s="3" t="s">
        <v>940</v>
      </c>
      <c r="J73" s="3" t="s">
        <v>30</v>
      </c>
      <c r="K73" s="3" t="s">
        <v>30</v>
      </c>
      <c r="L73" s="2" t="s">
        <v>334</v>
      </c>
      <c r="M73" s="2" t="s">
        <v>45</v>
      </c>
      <c r="N73" s="3" t="s">
        <v>483</v>
      </c>
      <c r="O73" s="3" t="s">
        <v>139</v>
      </c>
      <c r="P73" s="3" t="s">
        <v>34</v>
      </c>
      <c r="Q73" s="125">
        <v>5430</v>
      </c>
      <c r="R73" s="143">
        <v>1</v>
      </c>
      <c r="S73" s="145">
        <v>30600</v>
      </c>
      <c r="T73" s="2"/>
      <c r="U73" s="125">
        <v>1661.58</v>
      </c>
      <c r="V73" s="142">
        <v>3.4099999999999999E-4</v>
      </c>
      <c r="W73" s="142">
        <v>8.0764492573673196E-3</v>
      </c>
      <c r="X73" s="142">
        <v>1.2023175017430001E-3</v>
      </c>
    </row>
    <row r="74" spans="1:24">
      <c r="A74" s="3">
        <v>301</v>
      </c>
      <c r="B74" s="3">
        <v>7210</v>
      </c>
      <c r="C74" s="3" t="s">
        <v>1642</v>
      </c>
      <c r="D74" s="3" t="s">
        <v>1643</v>
      </c>
      <c r="E74" s="3" t="s">
        <v>319</v>
      </c>
      <c r="F74" s="3" t="s">
        <v>1644</v>
      </c>
      <c r="G74" s="3" t="s">
        <v>1645</v>
      </c>
      <c r="H74" s="3" t="s">
        <v>328</v>
      </c>
      <c r="I74" s="3" t="s">
        <v>940</v>
      </c>
      <c r="J74" s="3" t="s">
        <v>30</v>
      </c>
      <c r="K74" s="3" t="s">
        <v>30</v>
      </c>
      <c r="L74" s="2" t="s">
        <v>334</v>
      </c>
      <c r="M74" s="2" t="s">
        <v>45</v>
      </c>
      <c r="N74" s="3" t="s">
        <v>460</v>
      </c>
      <c r="O74" s="3" t="s">
        <v>139</v>
      </c>
      <c r="P74" s="3" t="s">
        <v>34</v>
      </c>
      <c r="Q74" s="125">
        <v>704750</v>
      </c>
      <c r="R74" s="143">
        <v>1</v>
      </c>
      <c r="S74" s="145">
        <v>340.9</v>
      </c>
      <c r="T74" s="2"/>
      <c r="U74" s="125">
        <v>2402.4929999999999</v>
      </c>
      <c r="V74" s="142">
        <v>6.2699999999999995E-4</v>
      </c>
      <c r="W74" s="142">
        <v>1.1677807139330001E-2</v>
      </c>
      <c r="X74" s="142">
        <v>1.7384411711357101E-3</v>
      </c>
    </row>
    <row r="75" spans="1:24">
      <c r="A75" s="3">
        <v>301</v>
      </c>
      <c r="B75" s="3">
        <v>7210</v>
      </c>
      <c r="C75" s="3" t="s">
        <v>1646</v>
      </c>
      <c r="D75" s="3" t="s">
        <v>1647</v>
      </c>
      <c r="E75" s="3" t="s">
        <v>1330</v>
      </c>
      <c r="F75" s="3" t="s">
        <v>1648</v>
      </c>
      <c r="G75" s="3" t="s">
        <v>1649</v>
      </c>
      <c r="H75" s="3" t="s">
        <v>328</v>
      </c>
      <c r="I75" s="3" t="s">
        <v>940</v>
      </c>
      <c r="J75" s="3" t="s">
        <v>30</v>
      </c>
      <c r="K75" s="3" t="s">
        <v>30</v>
      </c>
      <c r="L75" s="2" t="s">
        <v>334</v>
      </c>
      <c r="M75" s="2" t="s">
        <v>45</v>
      </c>
      <c r="N75" s="3" t="s">
        <v>482</v>
      </c>
      <c r="O75" s="3" t="s">
        <v>139</v>
      </c>
      <c r="P75" s="3" t="s">
        <v>34</v>
      </c>
      <c r="Q75" s="125">
        <v>56000</v>
      </c>
      <c r="R75" s="143">
        <v>1</v>
      </c>
      <c r="S75" s="145">
        <v>3795</v>
      </c>
      <c r="T75" s="2"/>
      <c r="U75" s="125">
        <v>2125.1999999999998</v>
      </c>
      <c r="V75" s="142">
        <v>2.03E-4</v>
      </c>
      <c r="W75" s="142">
        <v>1.0329969042572201E-2</v>
      </c>
      <c r="X75" s="142">
        <v>1.5377924353351801E-3</v>
      </c>
    </row>
    <row r="76" spans="1:24">
      <c r="A76" s="3">
        <v>301</v>
      </c>
      <c r="B76" s="3">
        <v>7210</v>
      </c>
      <c r="C76" s="3" t="s">
        <v>1650</v>
      </c>
      <c r="D76" s="3" t="s">
        <v>1651</v>
      </c>
      <c r="E76" s="3" t="s">
        <v>321</v>
      </c>
      <c r="F76" s="3" t="s">
        <v>1652</v>
      </c>
      <c r="G76" s="3" t="s">
        <v>1653</v>
      </c>
      <c r="H76" s="3" t="s">
        <v>328</v>
      </c>
      <c r="I76" s="3" t="s">
        <v>940</v>
      </c>
      <c r="J76" s="3" t="s">
        <v>100</v>
      </c>
      <c r="K76" s="3" t="s">
        <v>298</v>
      </c>
      <c r="L76" s="2" t="s">
        <v>334</v>
      </c>
      <c r="M76" s="2" t="s">
        <v>353</v>
      </c>
      <c r="N76" s="3" t="s">
        <v>555</v>
      </c>
      <c r="O76" s="3" t="s">
        <v>139</v>
      </c>
      <c r="P76" s="3" t="s">
        <v>105</v>
      </c>
      <c r="Q76" s="125">
        <v>2300</v>
      </c>
      <c r="R76" s="143">
        <v>3.6469999999999998</v>
      </c>
      <c r="S76" s="145">
        <v>12079</v>
      </c>
      <c r="T76" s="2"/>
      <c r="U76" s="125">
        <v>1013.199</v>
      </c>
      <c r="V76" s="142">
        <v>9.9999999999999995E-7</v>
      </c>
      <c r="W76" s="142">
        <v>4.9248589128775997E-3</v>
      </c>
      <c r="X76" s="142">
        <v>7.3314941701223399E-4</v>
      </c>
    </row>
    <row r="77" spans="1:24">
      <c r="A77" s="3">
        <v>301</v>
      </c>
      <c r="B77" s="3">
        <v>7210</v>
      </c>
      <c r="C77" s="3" t="s">
        <v>1654</v>
      </c>
      <c r="D77" s="3" t="s">
        <v>1655</v>
      </c>
      <c r="E77" s="3" t="s">
        <v>321</v>
      </c>
      <c r="F77" s="3" t="s">
        <v>1656</v>
      </c>
      <c r="G77" s="3" t="s">
        <v>1657</v>
      </c>
      <c r="H77" s="3" t="s">
        <v>328</v>
      </c>
      <c r="I77" s="3" t="s">
        <v>940</v>
      </c>
      <c r="J77" s="3" t="s">
        <v>100</v>
      </c>
      <c r="K77" s="3" t="s">
        <v>101</v>
      </c>
      <c r="L77" s="2" t="s">
        <v>334</v>
      </c>
      <c r="M77" s="2" t="s">
        <v>353</v>
      </c>
      <c r="N77" s="3" t="s">
        <v>556</v>
      </c>
      <c r="O77" s="3" t="s">
        <v>139</v>
      </c>
      <c r="P77" s="3" t="s">
        <v>105</v>
      </c>
      <c r="Q77" s="125">
        <v>11018</v>
      </c>
      <c r="R77" s="143">
        <v>3.6469999999999998</v>
      </c>
      <c r="S77" s="145">
        <v>19044</v>
      </c>
      <c r="T77" s="2"/>
      <c r="U77" s="125">
        <v>7652.3829999999998</v>
      </c>
      <c r="V77" s="142">
        <v>1.9999999999999999E-6</v>
      </c>
      <c r="W77" s="142">
        <v>3.7195972411397202E-2</v>
      </c>
      <c r="X77" s="142">
        <v>5.5372561876468104E-3</v>
      </c>
    </row>
    <row r="78" spans="1:24">
      <c r="A78" s="3">
        <v>301</v>
      </c>
      <c r="B78" s="3">
        <v>7210</v>
      </c>
      <c r="C78" s="3" t="s">
        <v>1658</v>
      </c>
      <c r="D78" s="3" t="s">
        <v>1659</v>
      </c>
      <c r="E78" s="3" t="s">
        <v>321</v>
      </c>
      <c r="F78" s="3" t="s">
        <v>1660</v>
      </c>
      <c r="G78" s="3" t="s">
        <v>1661</v>
      </c>
      <c r="H78" s="3" t="s">
        <v>328</v>
      </c>
      <c r="I78" s="3" t="s">
        <v>940</v>
      </c>
      <c r="J78" s="3" t="s">
        <v>100</v>
      </c>
      <c r="K78" s="3" t="s">
        <v>101</v>
      </c>
      <c r="L78" s="2" t="s">
        <v>334</v>
      </c>
      <c r="M78" s="2" t="s">
        <v>353</v>
      </c>
      <c r="N78" s="3" t="s">
        <v>507</v>
      </c>
      <c r="O78" s="3" t="s">
        <v>139</v>
      </c>
      <c r="P78" s="3" t="s">
        <v>105</v>
      </c>
      <c r="Q78" s="125">
        <v>9500</v>
      </c>
      <c r="R78" s="143">
        <v>3.6469999999999998</v>
      </c>
      <c r="S78" s="145">
        <v>21939</v>
      </c>
      <c r="T78" s="2"/>
      <c r="U78" s="125">
        <v>7601.0959999999995</v>
      </c>
      <c r="V78" s="142">
        <v>9.9999999999999995E-7</v>
      </c>
      <c r="W78" s="142">
        <v>3.6946679182749999E-2</v>
      </c>
      <c r="X78" s="142">
        <v>5.5001446300405798E-3</v>
      </c>
    </row>
    <row r="79" spans="1:24">
      <c r="A79" s="3">
        <v>301</v>
      </c>
      <c r="B79" s="3">
        <v>7210</v>
      </c>
      <c r="C79" s="3" t="s">
        <v>1662</v>
      </c>
      <c r="D79" s="3" t="s">
        <v>1663</v>
      </c>
      <c r="E79" s="3" t="s">
        <v>321</v>
      </c>
      <c r="F79" s="3" t="s">
        <v>1664</v>
      </c>
      <c r="G79" s="3" t="s">
        <v>1665</v>
      </c>
      <c r="H79" s="3" t="s">
        <v>328</v>
      </c>
      <c r="I79" s="3" t="s">
        <v>940</v>
      </c>
      <c r="J79" s="3" t="s">
        <v>100</v>
      </c>
      <c r="K79" s="3" t="s">
        <v>101</v>
      </c>
      <c r="L79" s="2" t="s">
        <v>334</v>
      </c>
      <c r="M79" s="2" t="s">
        <v>353</v>
      </c>
      <c r="N79" s="3" t="s">
        <v>553</v>
      </c>
      <c r="O79" s="3" t="s">
        <v>139</v>
      </c>
      <c r="P79" s="3" t="s">
        <v>105</v>
      </c>
      <c r="Q79" s="125">
        <v>5200</v>
      </c>
      <c r="R79" s="143">
        <v>3.6469999999999998</v>
      </c>
      <c r="S79" s="145">
        <v>25042</v>
      </c>
      <c r="T79" s="2"/>
      <c r="U79" s="125">
        <v>4749.0649999999996</v>
      </c>
      <c r="V79" s="142">
        <v>0</v>
      </c>
      <c r="W79" s="142">
        <v>2.3083801490213399E-2</v>
      </c>
      <c r="X79" s="142">
        <v>3.4364183633206701E-3</v>
      </c>
    </row>
    <row r="80" spans="1:24">
      <c r="A80" s="3">
        <v>301</v>
      </c>
      <c r="B80" s="3">
        <v>7210</v>
      </c>
      <c r="C80" s="3" t="s">
        <v>1666</v>
      </c>
      <c r="D80" s="3" t="s">
        <v>1667</v>
      </c>
      <c r="E80" s="3" t="s">
        <v>321</v>
      </c>
      <c r="F80" s="3" t="s">
        <v>1668</v>
      </c>
      <c r="G80" s="3" t="s">
        <v>1669</v>
      </c>
      <c r="H80" s="3" t="s">
        <v>328</v>
      </c>
      <c r="I80" s="3" t="s">
        <v>940</v>
      </c>
      <c r="J80" s="3" t="s">
        <v>100</v>
      </c>
      <c r="K80" s="3" t="s">
        <v>101</v>
      </c>
      <c r="L80" s="2" t="s">
        <v>334</v>
      </c>
      <c r="M80" s="2" t="s">
        <v>353</v>
      </c>
      <c r="N80" s="3" t="s">
        <v>555</v>
      </c>
      <c r="O80" s="3" t="s">
        <v>139</v>
      </c>
      <c r="P80" s="3" t="s">
        <v>105</v>
      </c>
      <c r="Q80" s="125">
        <v>1100</v>
      </c>
      <c r="R80" s="143">
        <v>3.6469999999999998</v>
      </c>
      <c r="S80" s="145">
        <v>69308</v>
      </c>
      <c r="T80" s="2"/>
      <c r="U80" s="125">
        <v>2780.4290000000001</v>
      </c>
      <c r="V80" s="142">
        <v>3.0000000000000001E-6</v>
      </c>
      <c r="W80" s="142">
        <v>1.35148437168025E-2</v>
      </c>
      <c r="X80" s="142">
        <v>2.01191546139049E-3</v>
      </c>
    </row>
    <row r="81" spans="1:24">
      <c r="A81" s="3">
        <v>301</v>
      </c>
      <c r="B81" s="3">
        <v>7210</v>
      </c>
      <c r="C81" s="3" t="s">
        <v>1670</v>
      </c>
      <c r="D81" s="3" t="s">
        <v>1671</v>
      </c>
      <c r="E81" s="3" t="s">
        <v>321</v>
      </c>
      <c r="F81" s="3" t="s">
        <v>1672</v>
      </c>
      <c r="G81" s="3" t="s">
        <v>1673</v>
      </c>
      <c r="H81" s="3" t="s">
        <v>328</v>
      </c>
      <c r="I81" s="3" t="s">
        <v>940</v>
      </c>
      <c r="J81" s="3" t="s">
        <v>100</v>
      </c>
      <c r="K81" s="3" t="s">
        <v>101</v>
      </c>
      <c r="L81" s="2" t="s">
        <v>334</v>
      </c>
      <c r="M81" s="2" t="s">
        <v>353</v>
      </c>
      <c r="N81" s="3" t="s">
        <v>555</v>
      </c>
      <c r="O81" s="3" t="s">
        <v>139</v>
      </c>
      <c r="P81" s="3" t="s">
        <v>105</v>
      </c>
      <c r="Q81" s="125">
        <v>4000</v>
      </c>
      <c r="R81" s="143">
        <v>3.6469999999999998</v>
      </c>
      <c r="S81" s="145">
        <v>23184</v>
      </c>
      <c r="T81" s="124">
        <v>2.36</v>
      </c>
      <c r="U81" s="125">
        <v>3390.6889999999999</v>
      </c>
      <c r="V81" s="142">
        <v>9.0000000000000002E-6</v>
      </c>
      <c r="W81" s="142">
        <v>1.6481136246092098E-2</v>
      </c>
      <c r="X81" s="142">
        <v>2.45349879951412E-3</v>
      </c>
    </row>
    <row r="82" spans="1:24">
      <c r="A82" s="3">
        <v>301</v>
      </c>
      <c r="B82" s="3">
        <v>7210</v>
      </c>
      <c r="C82" s="3" t="s">
        <v>1638</v>
      </c>
      <c r="D82" s="3" t="s">
        <v>1639</v>
      </c>
      <c r="E82" s="3" t="s">
        <v>1330</v>
      </c>
      <c r="F82" s="3" t="s">
        <v>1674</v>
      </c>
      <c r="G82" s="3" t="s">
        <v>1641</v>
      </c>
      <c r="H82" s="3" t="s">
        <v>328</v>
      </c>
      <c r="I82" s="3" t="s">
        <v>940</v>
      </c>
      <c r="J82" s="3" t="s">
        <v>100</v>
      </c>
      <c r="K82" s="3" t="s">
        <v>305</v>
      </c>
      <c r="L82" s="2" t="s">
        <v>334</v>
      </c>
      <c r="M82" s="2" t="s">
        <v>353</v>
      </c>
      <c r="N82" s="3" t="s">
        <v>555</v>
      </c>
      <c r="O82" s="3" t="s">
        <v>139</v>
      </c>
      <c r="P82" s="3" t="s">
        <v>105</v>
      </c>
      <c r="Q82" s="125">
        <v>14071</v>
      </c>
      <c r="R82" s="143">
        <v>3.6469999999999998</v>
      </c>
      <c r="S82" s="145">
        <v>8077</v>
      </c>
      <c r="T82" s="2"/>
      <c r="U82" s="125">
        <v>4144.8689999999997</v>
      </c>
      <c r="V82" s="142">
        <v>3.2499999999999999E-4</v>
      </c>
      <c r="W82" s="142">
        <v>2.0146983093783499E-2</v>
      </c>
      <c r="X82" s="142">
        <v>2.99922275359806E-3</v>
      </c>
    </row>
    <row r="83" spans="1:24">
      <c r="A83" s="3">
        <v>301</v>
      </c>
      <c r="B83" s="3">
        <v>7210</v>
      </c>
      <c r="C83" s="3" t="s">
        <v>1675</v>
      </c>
      <c r="D83" s="3" t="s">
        <v>1676</v>
      </c>
      <c r="E83" s="3" t="s">
        <v>321</v>
      </c>
      <c r="F83" s="3" t="s">
        <v>1677</v>
      </c>
      <c r="G83" s="3" t="s">
        <v>1678</v>
      </c>
      <c r="H83" s="3" t="s">
        <v>328</v>
      </c>
      <c r="I83" s="3" t="s">
        <v>940</v>
      </c>
      <c r="J83" s="3" t="s">
        <v>100</v>
      </c>
      <c r="K83" s="3" t="s">
        <v>101</v>
      </c>
      <c r="L83" s="2" t="s">
        <v>334</v>
      </c>
      <c r="M83" s="2" t="s">
        <v>353</v>
      </c>
      <c r="N83" s="3" t="s">
        <v>1679</v>
      </c>
      <c r="O83" s="3" t="s">
        <v>139</v>
      </c>
      <c r="P83" s="3" t="s">
        <v>105</v>
      </c>
      <c r="Q83" s="125">
        <v>1030</v>
      </c>
      <c r="R83" s="143">
        <v>3.6469999999999998</v>
      </c>
      <c r="S83" s="145">
        <v>91627</v>
      </c>
      <c r="T83" s="2"/>
      <c r="U83" s="125">
        <v>3441.886</v>
      </c>
      <c r="V83" s="142">
        <v>1.9999999999999999E-6</v>
      </c>
      <c r="W83" s="142">
        <v>1.67299894908714E-2</v>
      </c>
      <c r="X83" s="142">
        <v>2.4905448580021098E-3</v>
      </c>
    </row>
    <row r="84" spans="1:24">
      <c r="A84" s="3">
        <v>301</v>
      </c>
      <c r="B84" s="3">
        <v>7210</v>
      </c>
      <c r="C84" s="3" t="s">
        <v>1680</v>
      </c>
      <c r="D84" s="3" t="s">
        <v>1681</v>
      </c>
      <c r="E84" s="3" t="s">
        <v>321</v>
      </c>
      <c r="F84" s="3" t="s">
        <v>1682</v>
      </c>
      <c r="G84" s="3" t="s">
        <v>1683</v>
      </c>
      <c r="H84" s="3" t="s">
        <v>328</v>
      </c>
      <c r="I84" s="3" t="s">
        <v>940</v>
      </c>
      <c r="J84" s="3" t="s">
        <v>100</v>
      </c>
      <c r="K84" s="3" t="s">
        <v>101</v>
      </c>
      <c r="L84" s="2" t="s">
        <v>334</v>
      </c>
      <c r="M84" s="2" t="s">
        <v>351</v>
      </c>
      <c r="N84" s="3" t="s">
        <v>543</v>
      </c>
      <c r="O84" s="3" t="s">
        <v>139</v>
      </c>
      <c r="P84" s="3" t="s">
        <v>105</v>
      </c>
      <c r="Q84" s="125">
        <v>2640</v>
      </c>
      <c r="R84" s="143">
        <v>3.6469999999999998</v>
      </c>
      <c r="S84" s="145">
        <v>23971</v>
      </c>
      <c r="T84" s="2"/>
      <c r="U84" s="125">
        <v>2307.9470000000001</v>
      </c>
      <c r="V84" s="142">
        <v>9.9999999999999995E-7</v>
      </c>
      <c r="W84" s="142">
        <v>1.1218248470092E-2</v>
      </c>
      <c r="X84" s="142">
        <v>1.6700280091761399E-3</v>
      </c>
    </row>
    <row r="85" spans="1:24">
      <c r="A85" s="3">
        <v>301</v>
      </c>
      <c r="B85" s="3">
        <v>7210</v>
      </c>
      <c r="C85" s="3" t="s">
        <v>1684</v>
      </c>
      <c r="D85" s="3" t="s">
        <v>1685</v>
      </c>
      <c r="E85" s="3" t="s">
        <v>321</v>
      </c>
      <c r="F85" s="3" t="s">
        <v>1686</v>
      </c>
      <c r="G85" s="3" t="s">
        <v>1687</v>
      </c>
      <c r="H85" s="3" t="s">
        <v>328</v>
      </c>
      <c r="I85" s="3" t="s">
        <v>940</v>
      </c>
      <c r="J85" s="3" t="s">
        <v>100</v>
      </c>
      <c r="K85" s="3" t="s">
        <v>101</v>
      </c>
      <c r="L85" s="2" t="s">
        <v>334</v>
      </c>
      <c r="M85" s="2" t="s">
        <v>351</v>
      </c>
      <c r="N85" s="3" t="s">
        <v>1688</v>
      </c>
      <c r="O85" s="3" t="s">
        <v>139</v>
      </c>
      <c r="P85" s="3" t="s">
        <v>105</v>
      </c>
      <c r="Q85" s="125">
        <v>1600</v>
      </c>
      <c r="R85" s="143">
        <v>3.6469999999999998</v>
      </c>
      <c r="S85" s="145">
        <v>52657</v>
      </c>
      <c r="T85" s="2"/>
      <c r="U85" s="125">
        <v>3072.6410000000001</v>
      </c>
      <c r="V85" s="142">
        <v>9.9999999999999995E-7</v>
      </c>
      <c r="W85" s="142">
        <v>1.49352009862835E-2</v>
      </c>
      <c r="X85" s="142">
        <v>2.22335991543286E-3</v>
      </c>
    </row>
    <row r="86" spans="1:24">
      <c r="A86" s="3">
        <v>301</v>
      </c>
      <c r="B86" s="3">
        <v>7210</v>
      </c>
      <c r="C86" s="3" t="s">
        <v>1689</v>
      </c>
      <c r="D86" s="3" t="s">
        <v>1690</v>
      </c>
      <c r="E86" s="3" t="s">
        <v>321</v>
      </c>
      <c r="F86" s="3" t="s">
        <v>1691</v>
      </c>
      <c r="G86" s="3" t="s">
        <v>1692</v>
      </c>
      <c r="H86" s="3" t="s">
        <v>328</v>
      </c>
      <c r="I86" s="3" t="s">
        <v>940</v>
      </c>
      <c r="J86" s="3" t="s">
        <v>100</v>
      </c>
      <c r="K86" s="3" t="s">
        <v>101</v>
      </c>
      <c r="L86" s="2" t="s">
        <v>334</v>
      </c>
      <c r="M86" s="2" t="s">
        <v>353</v>
      </c>
      <c r="N86" s="3" t="s">
        <v>551</v>
      </c>
      <c r="O86" s="3" t="s">
        <v>139</v>
      </c>
      <c r="P86" s="3" t="s">
        <v>105</v>
      </c>
      <c r="Q86" s="125">
        <v>2729</v>
      </c>
      <c r="R86" s="143">
        <v>3.6469999999999998</v>
      </c>
      <c r="S86" s="145">
        <v>42150</v>
      </c>
      <c r="T86" s="2"/>
      <c r="U86" s="125">
        <v>4195.0469999999996</v>
      </c>
      <c r="V86" s="142">
        <v>0</v>
      </c>
      <c r="W86" s="142">
        <v>2.0390885722334901E-2</v>
      </c>
      <c r="X86" s="142">
        <v>3.0355318282524902E-3</v>
      </c>
    </row>
    <row r="87" spans="1:24">
      <c r="A87" s="3">
        <v>301</v>
      </c>
      <c r="B87" s="3">
        <v>7210</v>
      </c>
      <c r="C87" s="3" t="s">
        <v>1616</v>
      </c>
      <c r="D87" s="3" t="s">
        <v>1617</v>
      </c>
      <c r="E87" s="3" t="s">
        <v>1330</v>
      </c>
      <c r="F87" s="3" t="s">
        <v>1693</v>
      </c>
      <c r="G87" s="3" t="s">
        <v>1694</v>
      </c>
      <c r="H87" s="3" t="s">
        <v>328</v>
      </c>
      <c r="I87" s="3" t="s">
        <v>940</v>
      </c>
      <c r="J87" s="3" t="s">
        <v>100</v>
      </c>
      <c r="K87" s="3" t="s">
        <v>101</v>
      </c>
      <c r="L87" s="2" t="s">
        <v>334</v>
      </c>
      <c r="M87" s="2" t="s">
        <v>353</v>
      </c>
      <c r="N87" s="3" t="s">
        <v>487</v>
      </c>
      <c r="O87" s="3" t="s">
        <v>139</v>
      </c>
      <c r="P87" s="3" t="s">
        <v>105</v>
      </c>
      <c r="Q87" s="125">
        <v>3557</v>
      </c>
      <c r="R87" s="143">
        <v>3.6469999999999998</v>
      </c>
      <c r="S87" s="145">
        <v>16984</v>
      </c>
      <c r="T87" s="2"/>
      <c r="U87" s="125">
        <v>2203.2289999999998</v>
      </c>
      <c r="V87" s="142">
        <v>5.5999999999999999E-5</v>
      </c>
      <c r="W87" s="142">
        <v>1.07092442158812E-2</v>
      </c>
      <c r="X87" s="142">
        <v>1.5942540268483101E-3</v>
      </c>
    </row>
    <row r="88" spans="1:24">
      <c r="A88" s="3">
        <v>301</v>
      </c>
      <c r="B88" s="3">
        <v>7210</v>
      </c>
      <c r="C88" s="3" t="s">
        <v>1695</v>
      </c>
      <c r="D88" s="3" t="s">
        <v>1696</v>
      </c>
      <c r="E88" s="3" t="s">
        <v>321</v>
      </c>
      <c r="F88" s="3" t="s">
        <v>1697</v>
      </c>
      <c r="G88" s="3" t="s">
        <v>1698</v>
      </c>
      <c r="H88" s="3" t="s">
        <v>328</v>
      </c>
      <c r="I88" s="3" t="s">
        <v>940</v>
      </c>
      <c r="J88" s="3" t="s">
        <v>100</v>
      </c>
      <c r="K88" s="3" t="s">
        <v>101</v>
      </c>
      <c r="L88" s="2" t="s">
        <v>334</v>
      </c>
      <c r="M88" s="2" t="s">
        <v>353</v>
      </c>
      <c r="N88" s="3" t="s">
        <v>555</v>
      </c>
      <c r="O88" s="3" t="s">
        <v>139</v>
      </c>
      <c r="P88" s="3" t="s">
        <v>105</v>
      </c>
      <c r="Q88" s="125">
        <v>11100</v>
      </c>
      <c r="R88" s="143">
        <v>3.6469999999999998</v>
      </c>
      <c r="S88" s="145">
        <v>13429</v>
      </c>
      <c r="T88" s="2"/>
      <c r="U88" s="125">
        <v>5436.2870000000003</v>
      </c>
      <c r="V88" s="142">
        <v>0</v>
      </c>
      <c r="W88" s="142">
        <v>2.64241866691192E-2</v>
      </c>
      <c r="X88" s="142">
        <v>3.9336917857343504E-3</v>
      </c>
    </row>
    <row r="89" spans="1:24">
      <c r="A89" s="3">
        <v>301</v>
      </c>
      <c r="B89" s="3">
        <v>7210</v>
      </c>
      <c r="C89" s="3" t="s">
        <v>1699</v>
      </c>
      <c r="D89" s="3" t="s">
        <v>1700</v>
      </c>
      <c r="E89" s="3" t="s">
        <v>321</v>
      </c>
      <c r="F89" s="3" t="s">
        <v>1701</v>
      </c>
      <c r="G89" s="3" t="s">
        <v>1702</v>
      </c>
      <c r="H89" s="3" t="s">
        <v>328</v>
      </c>
      <c r="I89" s="3" t="s">
        <v>940</v>
      </c>
      <c r="J89" s="3" t="s">
        <v>100</v>
      </c>
      <c r="K89" s="3" t="s">
        <v>101</v>
      </c>
      <c r="L89" s="2" t="s">
        <v>334</v>
      </c>
      <c r="M89" s="2" t="s">
        <v>351</v>
      </c>
      <c r="N89" s="3" t="s">
        <v>564</v>
      </c>
      <c r="O89" s="3" t="s">
        <v>139</v>
      </c>
      <c r="P89" s="3" t="s">
        <v>105</v>
      </c>
      <c r="Q89" s="125">
        <v>4433</v>
      </c>
      <c r="R89" s="143">
        <v>3.6469999999999998</v>
      </c>
      <c r="S89" s="145">
        <v>6772</v>
      </c>
      <c r="T89" s="2"/>
      <c r="U89" s="125">
        <v>1094.8389999999999</v>
      </c>
      <c r="V89" s="142">
        <v>7.2999999999999999E-5</v>
      </c>
      <c r="W89" s="142">
        <v>5.3216910349491E-3</v>
      </c>
      <c r="X89" s="142">
        <v>7.9222466040402E-4</v>
      </c>
    </row>
    <row r="90" spans="1:24">
      <c r="A90" s="3">
        <v>301</v>
      </c>
      <c r="B90" s="3">
        <v>7210</v>
      </c>
      <c r="C90" s="3" t="s">
        <v>1703</v>
      </c>
      <c r="D90" s="3" t="s">
        <v>1704</v>
      </c>
      <c r="E90" s="3" t="s">
        <v>321</v>
      </c>
      <c r="F90" s="3" t="s">
        <v>1705</v>
      </c>
      <c r="G90" s="3" t="s">
        <v>1706</v>
      </c>
      <c r="H90" s="3" t="s">
        <v>328</v>
      </c>
      <c r="I90" s="3" t="s">
        <v>940</v>
      </c>
      <c r="J90" s="3" t="s">
        <v>100</v>
      </c>
      <c r="K90" s="3" t="s">
        <v>1707</v>
      </c>
      <c r="L90" s="2" t="s">
        <v>334</v>
      </c>
      <c r="M90" s="2" t="s">
        <v>351</v>
      </c>
      <c r="N90" s="3" t="s">
        <v>555</v>
      </c>
      <c r="O90" s="3" t="s">
        <v>139</v>
      </c>
      <c r="P90" s="3" t="s">
        <v>105</v>
      </c>
      <c r="Q90" s="125">
        <v>5100</v>
      </c>
      <c r="R90" s="143">
        <v>3.6469999999999998</v>
      </c>
      <c r="S90" s="145">
        <v>19749</v>
      </c>
      <c r="T90" s="124">
        <v>2.484</v>
      </c>
      <c r="U90" s="125">
        <v>3682.3139999999999</v>
      </c>
      <c r="V90" s="142">
        <v>9.9999999999999995E-7</v>
      </c>
      <c r="W90" s="142">
        <v>1.7898641774846898E-2</v>
      </c>
      <c r="X90" s="142">
        <v>2.6645187232120001E-3</v>
      </c>
    </row>
    <row r="91" spans="1:24">
      <c r="A91" s="3">
        <v>301</v>
      </c>
      <c r="B91" s="3">
        <v>7210</v>
      </c>
      <c r="C91" s="3" t="s">
        <v>1708</v>
      </c>
      <c r="D91" s="3" t="s">
        <v>1709</v>
      </c>
      <c r="E91" s="3" t="s">
        <v>321</v>
      </c>
      <c r="F91" s="3" t="s">
        <v>1710</v>
      </c>
      <c r="G91" s="3" t="s">
        <v>1711</v>
      </c>
      <c r="H91" s="3" t="s">
        <v>328</v>
      </c>
      <c r="I91" s="3" t="s">
        <v>940</v>
      </c>
      <c r="J91" s="3" t="s">
        <v>100</v>
      </c>
      <c r="K91" s="3" t="s">
        <v>101</v>
      </c>
      <c r="L91" s="2" t="s">
        <v>334</v>
      </c>
      <c r="M91" s="2" t="s">
        <v>351</v>
      </c>
      <c r="N91" s="3" t="s">
        <v>1688</v>
      </c>
      <c r="O91" s="3" t="s">
        <v>139</v>
      </c>
      <c r="P91" s="3" t="s">
        <v>105</v>
      </c>
      <c r="Q91" s="125">
        <v>2720</v>
      </c>
      <c r="R91" s="143">
        <v>3.6469999999999998</v>
      </c>
      <c r="S91" s="145">
        <v>31604</v>
      </c>
      <c r="T91" s="2"/>
      <c r="U91" s="125">
        <v>3135.0659999999998</v>
      </c>
      <c r="V91" s="142">
        <v>1.9999999999999999E-6</v>
      </c>
      <c r="W91" s="142">
        <v>1.52386303122065E-2</v>
      </c>
      <c r="X91" s="142">
        <v>2.2685305563263799E-3</v>
      </c>
    </row>
    <row r="92" spans="1:24">
      <c r="A92" s="3">
        <v>301</v>
      </c>
      <c r="B92" s="3">
        <v>7211</v>
      </c>
      <c r="C92" s="3" t="s">
        <v>1538</v>
      </c>
      <c r="D92" s="3" t="s">
        <v>1539</v>
      </c>
      <c r="E92" s="3" t="s">
        <v>1330</v>
      </c>
      <c r="F92" s="3" t="s">
        <v>1540</v>
      </c>
      <c r="G92" s="3" t="s">
        <v>1541</v>
      </c>
      <c r="H92" s="3" t="s">
        <v>328</v>
      </c>
      <c r="I92" s="3" t="s">
        <v>940</v>
      </c>
      <c r="J92" s="3" t="s">
        <v>30</v>
      </c>
      <c r="K92" s="3" t="s">
        <v>30</v>
      </c>
      <c r="L92" s="2" t="s">
        <v>334</v>
      </c>
      <c r="M92" s="2" t="s">
        <v>45</v>
      </c>
      <c r="N92" s="3" t="s">
        <v>452</v>
      </c>
      <c r="O92" s="3" t="s">
        <v>139</v>
      </c>
      <c r="P92" s="3" t="s">
        <v>34</v>
      </c>
      <c r="Q92" s="125">
        <v>33</v>
      </c>
      <c r="R92" s="143">
        <v>1</v>
      </c>
      <c r="S92" s="145">
        <v>95300</v>
      </c>
      <c r="T92" s="124">
        <v>0.06</v>
      </c>
      <c r="U92" s="125">
        <v>31.509</v>
      </c>
      <c r="V92" s="142">
        <v>9.9999999999999995E-7</v>
      </c>
      <c r="W92" s="142">
        <v>2.2724183218399599E-2</v>
      </c>
      <c r="X92" s="142">
        <v>1.4754915943897601E-3</v>
      </c>
    </row>
    <row r="93" spans="1:24">
      <c r="A93" s="3">
        <v>301</v>
      </c>
      <c r="B93" s="3">
        <v>7211</v>
      </c>
      <c r="C93" s="3" t="s">
        <v>1542</v>
      </c>
      <c r="D93" s="3" t="s">
        <v>1543</v>
      </c>
      <c r="E93" s="3" t="s">
        <v>1330</v>
      </c>
      <c r="F93" s="3" t="s">
        <v>1544</v>
      </c>
      <c r="G93" s="3" t="s">
        <v>1545</v>
      </c>
      <c r="H93" s="3" t="s">
        <v>328</v>
      </c>
      <c r="I93" s="3" t="s">
        <v>940</v>
      </c>
      <c r="J93" s="3" t="s">
        <v>30</v>
      </c>
      <c r="K93" s="3" t="s">
        <v>30</v>
      </c>
      <c r="L93" s="2" t="s">
        <v>334</v>
      </c>
      <c r="M93" s="2" t="s">
        <v>45</v>
      </c>
      <c r="N93" s="3" t="s">
        <v>470</v>
      </c>
      <c r="O93" s="3" t="s">
        <v>139</v>
      </c>
      <c r="P93" s="3" t="s">
        <v>34</v>
      </c>
      <c r="Q93" s="125">
        <v>760</v>
      </c>
      <c r="R93" s="143">
        <v>1</v>
      </c>
      <c r="S93" s="145">
        <v>3040</v>
      </c>
      <c r="T93" s="2"/>
      <c r="U93" s="125">
        <v>23.103999999999999</v>
      </c>
      <c r="V93" s="142">
        <v>3.9999999999999998E-6</v>
      </c>
      <c r="W93" s="142">
        <v>1.66624148646667E-2</v>
      </c>
      <c r="X93" s="142">
        <v>1.0818982068030599E-3</v>
      </c>
    </row>
    <row r="94" spans="1:24">
      <c r="A94" s="3">
        <v>301</v>
      </c>
      <c r="B94" s="3">
        <v>7211</v>
      </c>
      <c r="C94" s="3" t="s">
        <v>1546</v>
      </c>
      <c r="D94" s="3" t="s">
        <v>1547</v>
      </c>
      <c r="E94" s="3" t="s">
        <v>1330</v>
      </c>
      <c r="F94" s="3" t="s">
        <v>1548</v>
      </c>
      <c r="G94" s="3" t="s">
        <v>1549</v>
      </c>
      <c r="H94" s="3" t="s">
        <v>328</v>
      </c>
      <c r="I94" s="3" t="s">
        <v>940</v>
      </c>
      <c r="J94" s="3" t="s">
        <v>30</v>
      </c>
      <c r="K94" s="3" t="s">
        <v>30</v>
      </c>
      <c r="L94" s="2" t="s">
        <v>334</v>
      </c>
      <c r="M94" s="2" t="s">
        <v>45</v>
      </c>
      <c r="N94" s="3" t="s">
        <v>470</v>
      </c>
      <c r="O94" s="3" t="s">
        <v>139</v>
      </c>
      <c r="P94" s="3" t="s">
        <v>34</v>
      </c>
      <c r="Q94" s="125">
        <v>1100</v>
      </c>
      <c r="R94" s="143">
        <v>1</v>
      </c>
      <c r="S94" s="145">
        <v>2064</v>
      </c>
      <c r="T94" s="2"/>
      <c r="U94" s="125">
        <v>22.704000000000001</v>
      </c>
      <c r="V94" s="142">
        <v>1.9999999999999999E-6</v>
      </c>
      <c r="W94" s="142">
        <v>1.6373938153020798E-2</v>
      </c>
      <c r="X94" s="142">
        <v>1.06316728217004E-3</v>
      </c>
    </row>
    <row r="95" spans="1:24">
      <c r="A95" s="3">
        <v>301</v>
      </c>
      <c r="B95" s="3">
        <v>7211</v>
      </c>
      <c r="C95" s="3" t="s">
        <v>1550</v>
      </c>
      <c r="D95" s="3" t="s">
        <v>1551</v>
      </c>
      <c r="E95" s="3" t="s">
        <v>1330</v>
      </c>
      <c r="F95" s="3" t="s">
        <v>1552</v>
      </c>
      <c r="G95" s="3" t="s">
        <v>1553</v>
      </c>
      <c r="H95" s="3" t="s">
        <v>328</v>
      </c>
      <c r="I95" s="3" t="s">
        <v>940</v>
      </c>
      <c r="J95" s="3" t="s">
        <v>30</v>
      </c>
      <c r="K95" s="3" t="s">
        <v>101</v>
      </c>
      <c r="L95" s="2" t="s">
        <v>334</v>
      </c>
      <c r="M95" s="2" t="s">
        <v>45</v>
      </c>
      <c r="N95" s="3" t="s">
        <v>447</v>
      </c>
      <c r="O95" s="3" t="s">
        <v>139</v>
      </c>
      <c r="P95" s="3" t="s">
        <v>34</v>
      </c>
      <c r="Q95" s="125">
        <v>397.9</v>
      </c>
      <c r="R95" s="143">
        <v>1</v>
      </c>
      <c r="S95" s="145">
        <v>6305</v>
      </c>
      <c r="T95" s="2"/>
      <c r="U95" s="125">
        <v>25.088000000000001</v>
      </c>
      <c r="V95" s="142">
        <v>3.0000000000000001E-6</v>
      </c>
      <c r="W95" s="142">
        <v>1.80929672717598E-2</v>
      </c>
      <c r="X95" s="142">
        <v>1.17478462792163E-3</v>
      </c>
    </row>
    <row r="96" spans="1:24">
      <c r="A96" s="3">
        <v>301</v>
      </c>
      <c r="B96" s="3">
        <v>7211</v>
      </c>
      <c r="C96" s="3" t="s">
        <v>1554</v>
      </c>
      <c r="D96" s="3" t="s">
        <v>1555</v>
      </c>
      <c r="E96" s="3" t="s">
        <v>1330</v>
      </c>
      <c r="F96" s="3" t="s">
        <v>1556</v>
      </c>
      <c r="G96" s="3" t="s">
        <v>1557</v>
      </c>
      <c r="H96" s="3" t="s">
        <v>328</v>
      </c>
      <c r="I96" s="3" t="s">
        <v>940</v>
      </c>
      <c r="J96" s="3" t="s">
        <v>30</v>
      </c>
      <c r="K96" s="3" t="s">
        <v>30</v>
      </c>
      <c r="L96" s="2" t="s">
        <v>334</v>
      </c>
      <c r="M96" s="2" t="s">
        <v>45</v>
      </c>
      <c r="N96" s="3" t="s">
        <v>447</v>
      </c>
      <c r="O96" s="3" t="s">
        <v>139</v>
      </c>
      <c r="P96" s="3" t="s">
        <v>34</v>
      </c>
      <c r="Q96" s="125">
        <v>3994</v>
      </c>
      <c r="R96" s="143">
        <v>1</v>
      </c>
      <c r="S96" s="145">
        <v>1250</v>
      </c>
      <c r="T96" s="2"/>
      <c r="U96" s="125">
        <v>49.924999999999997</v>
      </c>
      <c r="V96" s="142">
        <v>6.9999999999999999E-6</v>
      </c>
      <c r="W96" s="142">
        <v>3.6005499572302799E-2</v>
      </c>
      <c r="X96" s="142">
        <v>2.3378535307584198E-3</v>
      </c>
    </row>
    <row r="97" spans="1:24">
      <c r="A97" s="3">
        <v>301</v>
      </c>
      <c r="B97" s="3">
        <v>7211</v>
      </c>
      <c r="C97" s="3" t="s">
        <v>1558</v>
      </c>
      <c r="D97" s="3" t="s">
        <v>1559</v>
      </c>
      <c r="E97" s="3" t="s">
        <v>1330</v>
      </c>
      <c r="F97" s="3" t="s">
        <v>1560</v>
      </c>
      <c r="G97" s="3" t="s">
        <v>1561</v>
      </c>
      <c r="H97" s="3" t="s">
        <v>328</v>
      </c>
      <c r="I97" s="3" t="s">
        <v>940</v>
      </c>
      <c r="J97" s="3" t="s">
        <v>30</v>
      </c>
      <c r="K97" s="3" t="s">
        <v>30</v>
      </c>
      <c r="L97" s="2" t="s">
        <v>334</v>
      </c>
      <c r="M97" s="2" t="s">
        <v>45</v>
      </c>
      <c r="N97" s="3" t="s">
        <v>453</v>
      </c>
      <c r="O97" s="3" t="s">
        <v>139</v>
      </c>
      <c r="P97" s="3" t="s">
        <v>34</v>
      </c>
      <c r="Q97" s="125">
        <v>77</v>
      </c>
      <c r="R97" s="143">
        <v>1</v>
      </c>
      <c r="S97" s="145">
        <v>27280</v>
      </c>
      <c r="T97" s="2"/>
      <c r="U97" s="125">
        <v>21.006</v>
      </c>
      <c r="V97" s="142">
        <v>6.0000000000000002E-6</v>
      </c>
      <c r="W97" s="142">
        <v>1.51490660353723E-2</v>
      </c>
      <c r="X97" s="142">
        <v>9.8363577617824999E-4</v>
      </c>
    </row>
    <row r="98" spans="1:24">
      <c r="A98" s="3">
        <v>301</v>
      </c>
      <c r="B98" s="3">
        <v>7211</v>
      </c>
      <c r="C98" s="3" t="s">
        <v>1562</v>
      </c>
      <c r="D98" s="3" t="s">
        <v>1563</v>
      </c>
      <c r="E98" s="3" t="s">
        <v>1330</v>
      </c>
      <c r="F98" s="3" t="s">
        <v>1564</v>
      </c>
      <c r="G98" s="3" t="s">
        <v>1565</v>
      </c>
      <c r="H98" s="3" t="s">
        <v>328</v>
      </c>
      <c r="I98" s="3" t="s">
        <v>940</v>
      </c>
      <c r="J98" s="3" t="s">
        <v>30</v>
      </c>
      <c r="K98" s="3" t="s">
        <v>30</v>
      </c>
      <c r="L98" s="2" t="s">
        <v>334</v>
      </c>
      <c r="M98" s="2" t="s">
        <v>45</v>
      </c>
      <c r="N98" s="3" t="s">
        <v>491</v>
      </c>
      <c r="O98" s="3" t="s">
        <v>139</v>
      </c>
      <c r="P98" s="3" t="s">
        <v>34</v>
      </c>
      <c r="Q98" s="125">
        <v>10028</v>
      </c>
      <c r="R98" s="143">
        <v>1</v>
      </c>
      <c r="S98" s="145">
        <v>519</v>
      </c>
      <c r="T98" s="2"/>
      <c r="U98" s="125">
        <v>52.045000000000002</v>
      </c>
      <c r="V98" s="142">
        <v>3.9999999999999998E-6</v>
      </c>
      <c r="W98" s="142">
        <v>3.7534656925395302E-2</v>
      </c>
      <c r="X98" s="142">
        <v>2.4371424160531201E-3</v>
      </c>
    </row>
    <row r="99" spans="1:24">
      <c r="A99" s="3">
        <v>301</v>
      </c>
      <c r="B99" s="3">
        <v>7211</v>
      </c>
      <c r="C99" s="3" t="s">
        <v>1566</v>
      </c>
      <c r="D99" s="3" t="s">
        <v>1567</v>
      </c>
      <c r="E99" s="3" t="s">
        <v>1330</v>
      </c>
      <c r="F99" s="3" t="s">
        <v>1568</v>
      </c>
      <c r="G99" s="3" t="s">
        <v>1569</v>
      </c>
      <c r="H99" s="3" t="s">
        <v>328</v>
      </c>
      <c r="I99" s="3" t="s">
        <v>940</v>
      </c>
      <c r="J99" s="3" t="s">
        <v>30</v>
      </c>
      <c r="K99" s="3" t="s">
        <v>30</v>
      </c>
      <c r="L99" s="2" t="s">
        <v>334</v>
      </c>
      <c r="M99" s="2" t="s">
        <v>45</v>
      </c>
      <c r="N99" s="3" t="s">
        <v>454</v>
      </c>
      <c r="O99" s="3" t="s">
        <v>139</v>
      </c>
      <c r="P99" s="3" t="s">
        <v>34</v>
      </c>
      <c r="Q99" s="125">
        <v>3916</v>
      </c>
      <c r="R99" s="143">
        <v>1</v>
      </c>
      <c r="S99" s="145">
        <v>2492</v>
      </c>
      <c r="T99" s="2"/>
      <c r="U99" s="125">
        <v>97.587000000000003</v>
      </c>
      <c r="V99" s="142">
        <v>3.0000000000000001E-6</v>
      </c>
      <c r="W99" s="142">
        <v>7.0378740214770794E-2</v>
      </c>
      <c r="X99" s="142">
        <v>4.5697237437583096E-3</v>
      </c>
    </row>
    <row r="100" spans="1:24">
      <c r="A100" s="3">
        <v>301</v>
      </c>
      <c r="B100" s="3">
        <v>7211</v>
      </c>
      <c r="C100" s="3" t="s">
        <v>1570</v>
      </c>
      <c r="D100" s="3" t="s">
        <v>1571</v>
      </c>
      <c r="E100" s="3" t="s">
        <v>1330</v>
      </c>
      <c r="F100" s="3" t="s">
        <v>1572</v>
      </c>
      <c r="G100" s="3" t="s">
        <v>1573</v>
      </c>
      <c r="H100" s="3" t="s">
        <v>328</v>
      </c>
      <c r="I100" s="3" t="s">
        <v>940</v>
      </c>
      <c r="J100" s="3" t="s">
        <v>30</v>
      </c>
      <c r="K100" s="3" t="s">
        <v>30</v>
      </c>
      <c r="L100" s="2" t="s">
        <v>334</v>
      </c>
      <c r="M100" s="2" t="s">
        <v>45</v>
      </c>
      <c r="N100" s="3" t="s">
        <v>453</v>
      </c>
      <c r="O100" s="3" t="s">
        <v>139</v>
      </c>
      <c r="P100" s="3" t="s">
        <v>34</v>
      </c>
      <c r="Q100" s="125">
        <v>40</v>
      </c>
      <c r="R100" s="143">
        <v>1</v>
      </c>
      <c r="S100" s="145">
        <v>36080</v>
      </c>
      <c r="T100" s="2"/>
      <c r="U100" s="125">
        <v>14.432</v>
      </c>
      <c r="V100" s="142">
        <v>1.9999999999999999E-6</v>
      </c>
      <c r="W100" s="142">
        <v>1.0408239756183799E-2</v>
      </c>
      <c r="X100" s="142">
        <v>6.7581176075924999E-4</v>
      </c>
    </row>
    <row r="101" spans="1:24">
      <c r="A101" s="3">
        <v>301</v>
      </c>
      <c r="B101" s="3">
        <v>7211</v>
      </c>
      <c r="C101" s="3" t="s">
        <v>1574</v>
      </c>
      <c r="D101" s="3" t="s">
        <v>1575</v>
      </c>
      <c r="E101" s="3" t="s">
        <v>1330</v>
      </c>
      <c r="F101" s="3" t="s">
        <v>1576</v>
      </c>
      <c r="G101" s="3" t="s">
        <v>1577</v>
      </c>
      <c r="H101" s="3" t="s">
        <v>328</v>
      </c>
      <c r="I101" s="3" t="s">
        <v>940</v>
      </c>
      <c r="J101" s="3" t="s">
        <v>30</v>
      </c>
      <c r="K101" s="3" t="s">
        <v>30</v>
      </c>
      <c r="L101" s="2" t="s">
        <v>334</v>
      </c>
      <c r="M101" s="2" t="s">
        <v>45</v>
      </c>
      <c r="N101" s="3" t="s">
        <v>451</v>
      </c>
      <c r="O101" s="3" t="s">
        <v>139</v>
      </c>
      <c r="P101" s="3" t="s">
        <v>34</v>
      </c>
      <c r="Q101" s="125">
        <v>691</v>
      </c>
      <c r="R101" s="143">
        <v>1</v>
      </c>
      <c r="S101" s="145">
        <v>5318</v>
      </c>
      <c r="T101" s="2"/>
      <c r="U101" s="125">
        <v>36.747</v>
      </c>
      <c r="V101" s="142">
        <v>3.0000000000000001E-6</v>
      </c>
      <c r="W101" s="142">
        <v>2.6501908360004999E-2</v>
      </c>
      <c r="X101" s="142">
        <v>1.72078101310208E-3</v>
      </c>
    </row>
    <row r="102" spans="1:24">
      <c r="A102" s="3">
        <v>301</v>
      </c>
      <c r="B102" s="3">
        <v>7211</v>
      </c>
      <c r="C102" s="3" t="s">
        <v>1578</v>
      </c>
      <c r="D102" s="3" t="s">
        <v>1579</v>
      </c>
      <c r="E102" s="3" t="s">
        <v>1330</v>
      </c>
      <c r="F102" s="3" t="s">
        <v>1580</v>
      </c>
      <c r="G102" s="3" t="s">
        <v>1581</v>
      </c>
      <c r="H102" s="3" t="s">
        <v>328</v>
      </c>
      <c r="I102" s="3" t="s">
        <v>940</v>
      </c>
      <c r="J102" s="3" t="s">
        <v>30</v>
      </c>
      <c r="K102" s="3" t="s">
        <v>101</v>
      </c>
      <c r="L102" s="2" t="s">
        <v>334</v>
      </c>
      <c r="M102" s="2" t="s">
        <v>45</v>
      </c>
      <c r="N102" s="3" t="s">
        <v>473</v>
      </c>
      <c r="O102" s="3" t="s">
        <v>139</v>
      </c>
      <c r="P102" s="3" t="s">
        <v>34</v>
      </c>
      <c r="Q102" s="125">
        <v>855</v>
      </c>
      <c r="R102" s="143">
        <v>1</v>
      </c>
      <c r="S102" s="145">
        <v>8101</v>
      </c>
      <c r="T102" s="2"/>
      <c r="U102" s="125">
        <v>69.263999999999996</v>
      </c>
      <c r="V102" s="142">
        <v>9.9999999999999995E-7</v>
      </c>
      <c r="W102" s="142">
        <v>4.99523028523019E-2</v>
      </c>
      <c r="X102" s="142">
        <v>3.2434258371629998E-3</v>
      </c>
    </row>
    <row r="103" spans="1:24">
      <c r="A103" s="3">
        <v>301</v>
      </c>
      <c r="B103" s="3">
        <v>7211</v>
      </c>
      <c r="C103" s="3" t="s">
        <v>1582</v>
      </c>
      <c r="D103" s="3" t="s">
        <v>1583</v>
      </c>
      <c r="E103" s="3" t="s">
        <v>1330</v>
      </c>
      <c r="F103" s="3" t="s">
        <v>1584</v>
      </c>
      <c r="G103" s="3" t="s">
        <v>1585</v>
      </c>
      <c r="H103" s="3" t="s">
        <v>328</v>
      </c>
      <c r="I103" s="3" t="s">
        <v>940</v>
      </c>
      <c r="J103" s="3" t="s">
        <v>30</v>
      </c>
      <c r="K103" s="3" t="s">
        <v>30</v>
      </c>
      <c r="L103" s="2" t="s">
        <v>334</v>
      </c>
      <c r="M103" s="2" t="s">
        <v>45</v>
      </c>
      <c r="N103" s="3" t="s">
        <v>453</v>
      </c>
      <c r="O103" s="3" t="s">
        <v>139</v>
      </c>
      <c r="P103" s="3" t="s">
        <v>34</v>
      </c>
      <c r="Q103" s="125">
        <v>1950</v>
      </c>
      <c r="R103" s="143">
        <v>1</v>
      </c>
      <c r="S103" s="145">
        <v>1412</v>
      </c>
      <c r="T103" s="2"/>
      <c r="U103" s="125">
        <v>27.533999999999999</v>
      </c>
      <c r="V103" s="142">
        <v>6.0000000000000002E-6</v>
      </c>
      <c r="W103" s="142">
        <v>1.98572944461449E-2</v>
      </c>
      <c r="X103" s="142">
        <v>1.28934319711372E-3</v>
      </c>
    </row>
    <row r="104" spans="1:24">
      <c r="A104" s="3">
        <v>301</v>
      </c>
      <c r="B104" s="3">
        <v>7211</v>
      </c>
      <c r="C104" s="3" t="s">
        <v>1586</v>
      </c>
      <c r="D104" s="3" t="s">
        <v>1587</v>
      </c>
      <c r="E104" s="3" t="s">
        <v>1330</v>
      </c>
      <c r="F104" s="3" t="s">
        <v>1588</v>
      </c>
      <c r="G104" s="3" t="s">
        <v>1589</v>
      </c>
      <c r="H104" s="3" t="s">
        <v>328</v>
      </c>
      <c r="I104" s="3" t="s">
        <v>940</v>
      </c>
      <c r="J104" s="3" t="s">
        <v>30</v>
      </c>
      <c r="K104" s="3" t="s">
        <v>30</v>
      </c>
      <c r="L104" s="2" t="s">
        <v>334</v>
      </c>
      <c r="M104" s="2" t="s">
        <v>45</v>
      </c>
      <c r="N104" s="3" t="s">
        <v>451</v>
      </c>
      <c r="O104" s="3" t="s">
        <v>139</v>
      </c>
      <c r="P104" s="3" t="s">
        <v>34</v>
      </c>
      <c r="Q104" s="125">
        <v>170</v>
      </c>
      <c r="R104" s="143">
        <v>1</v>
      </c>
      <c r="S104" s="145">
        <v>8570</v>
      </c>
      <c r="T104" s="2"/>
      <c r="U104" s="125">
        <v>14.569000000000001</v>
      </c>
      <c r="V104" s="142">
        <v>1.9999999999999999E-6</v>
      </c>
      <c r="W104" s="142">
        <v>1.0507043029922499E-2</v>
      </c>
      <c r="X104" s="142">
        <v>6.82227102446059E-4</v>
      </c>
    </row>
    <row r="105" spans="1:24">
      <c r="A105" s="3">
        <v>301</v>
      </c>
      <c r="B105" s="3">
        <v>7211</v>
      </c>
      <c r="C105" s="3" t="s">
        <v>1181</v>
      </c>
      <c r="D105" s="3" t="s">
        <v>1590</v>
      </c>
      <c r="E105" s="3" t="s">
        <v>1330</v>
      </c>
      <c r="F105" s="3" t="s">
        <v>1307</v>
      </c>
      <c r="G105" s="3" t="s">
        <v>1591</v>
      </c>
      <c r="H105" s="3" t="s">
        <v>328</v>
      </c>
      <c r="I105" s="3" t="s">
        <v>940</v>
      </c>
      <c r="J105" s="3" t="s">
        <v>30</v>
      </c>
      <c r="K105" s="3" t="s">
        <v>30</v>
      </c>
      <c r="L105" s="2" t="s">
        <v>334</v>
      </c>
      <c r="M105" s="2" t="s">
        <v>45</v>
      </c>
      <c r="N105" s="3" t="s">
        <v>454</v>
      </c>
      <c r="O105" s="3" t="s">
        <v>139</v>
      </c>
      <c r="P105" s="3" t="s">
        <v>34</v>
      </c>
      <c r="Q105" s="125">
        <v>2345</v>
      </c>
      <c r="R105" s="143">
        <v>1</v>
      </c>
      <c r="S105" s="145">
        <v>4335</v>
      </c>
      <c r="T105" s="2"/>
      <c r="U105" s="125">
        <v>101.65600000000001</v>
      </c>
      <c r="V105" s="142">
        <v>9.9999999999999995E-7</v>
      </c>
      <c r="W105" s="142">
        <v>7.3313291199742003E-2</v>
      </c>
      <c r="X105" s="142">
        <v>4.7602654794070198E-3</v>
      </c>
    </row>
    <row r="106" spans="1:24">
      <c r="A106" s="3">
        <v>301</v>
      </c>
      <c r="B106" s="3">
        <v>7211</v>
      </c>
      <c r="C106" s="3" t="s">
        <v>1592</v>
      </c>
      <c r="D106" s="3" t="s">
        <v>1593</v>
      </c>
      <c r="E106" s="3" t="s">
        <v>1330</v>
      </c>
      <c r="F106" s="3" t="s">
        <v>1594</v>
      </c>
      <c r="G106" s="3" t="s">
        <v>1595</v>
      </c>
      <c r="H106" s="3" t="s">
        <v>328</v>
      </c>
      <c r="I106" s="3" t="s">
        <v>940</v>
      </c>
      <c r="J106" s="3" t="s">
        <v>30</v>
      </c>
      <c r="K106" s="3" t="s">
        <v>30</v>
      </c>
      <c r="L106" s="2" t="s">
        <v>334</v>
      </c>
      <c r="M106" s="2" t="s">
        <v>45</v>
      </c>
      <c r="N106" s="3" t="s">
        <v>454</v>
      </c>
      <c r="O106" s="3" t="s">
        <v>139</v>
      </c>
      <c r="P106" s="3" t="s">
        <v>34</v>
      </c>
      <c r="Q106" s="125">
        <v>322</v>
      </c>
      <c r="R106" s="143">
        <v>1</v>
      </c>
      <c r="S106" s="145">
        <v>15760</v>
      </c>
      <c r="T106" s="2"/>
      <c r="U106" s="125">
        <v>50.747</v>
      </c>
      <c r="V106" s="142">
        <v>9.9999999999999995E-7</v>
      </c>
      <c r="W106" s="142">
        <v>3.6598463453090903E-2</v>
      </c>
      <c r="X106" s="142">
        <v>2.37635494634159E-3</v>
      </c>
    </row>
    <row r="107" spans="1:24">
      <c r="A107" s="3">
        <v>301</v>
      </c>
      <c r="B107" s="3">
        <v>7211</v>
      </c>
      <c r="C107" s="3" t="s">
        <v>1596</v>
      </c>
      <c r="D107" s="3" t="s">
        <v>1597</v>
      </c>
      <c r="E107" s="3" t="s">
        <v>1330</v>
      </c>
      <c r="F107" s="3" t="s">
        <v>1598</v>
      </c>
      <c r="G107" s="3" t="s">
        <v>1599</v>
      </c>
      <c r="H107" s="3" t="s">
        <v>328</v>
      </c>
      <c r="I107" s="3" t="s">
        <v>940</v>
      </c>
      <c r="J107" s="3" t="s">
        <v>30</v>
      </c>
      <c r="K107" s="3" t="s">
        <v>30</v>
      </c>
      <c r="L107" s="2" t="s">
        <v>334</v>
      </c>
      <c r="M107" s="2" t="s">
        <v>45</v>
      </c>
      <c r="N107" s="3" t="s">
        <v>483</v>
      </c>
      <c r="O107" s="3" t="s">
        <v>139</v>
      </c>
      <c r="P107" s="3" t="s">
        <v>34</v>
      </c>
      <c r="Q107" s="125">
        <v>353</v>
      </c>
      <c r="R107" s="143">
        <v>1</v>
      </c>
      <c r="S107" s="145">
        <v>8550</v>
      </c>
      <c r="T107" s="124">
        <v>0.26800000000000002</v>
      </c>
      <c r="U107" s="125">
        <v>30.45</v>
      </c>
      <c r="V107" s="142">
        <v>6.0000000000000002E-6</v>
      </c>
      <c r="W107" s="142">
        <v>2.19601310118521E-2</v>
      </c>
      <c r="X107" s="142">
        <v>1.4258813356798599E-3</v>
      </c>
    </row>
    <row r="108" spans="1:24">
      <c r="A108" s="3">
        <v>301</v>
      </c>
      <c r="B108" s="3">
        <v>7211</v>
      </c>
      <c r="C108" s="3" t="s">
        <v>1600</v>
      </c>
      <c r="D108" s="3" t="s">
        <v>1601</v>
      </c>
      <c r="E108" s="3" t="s">
        <v>1330</v>
      </c>
      <c r="F108" s="3" t="s">
        <v>1602</v>
      </c>
      <c r="G108" s="3" t="s">
        <v>1603</v>
      </c>
      <c r="H108" s="3" t="s">
        <v>328</v>
      </c>
      <c r="I108" s="3" t="s">
        <v>940</v>
      </c>
      <c r="J108" s="3" t="s">
        <v>30</v>
      </c>
      <c r="K108" s="3" t="s">
        <v>30</v>
      </c>
      <c r="L108" s="2" t="s">
        <v>334</v>
      </c>
      <c r="M108" s="2" t="s">
        <v>45</v>
      </c>
      <c r="N108" s="3" t="s">
        <v>470</v>
      </c>
      <c r="O108" s="3" t="s">
        <v>139</v>
      </c>
      <c r="P108" s="3" t="s">
        <v>34</v>
      </c>
      <c r="Q108" s="125">
        <v>200</v>
      </c>
      <c r="R108" s="143">
        <v>1</v>
      </c>
      <c r="S108" s="145">
        <v>32400</v>
      </c>
      <c r="T108" s="2"/>
      <c r="U108" s="125">
        <v>64.8</v>
      </c>
      <c r="V108" s="142">
        <v>3.9999999999999998E-6</v>
      </c>
      <c r="W108" s="142">
        <v>4.6733227286634399E-2</v>
      </c>
      <c r="X108" s="142">
        <v>3.0344097905487398E-3</v>
      </c>
    </row>
    <row r="109" spans="1:24">
      <c r="A109" s="3">
        <v>301</v>
      </c>
      <c r="B109" s="3">
        <v>7211</v>
      </c>
      <c r="C109" s="3" t="s">
        <v>1604</v>
      </c>
      <c r="D109" s="3" t="s">
        <v>1605</v>
      </c>
      <c r="E109" s="3" t="s">
        <v>319</v>
      </c>
      <c r="F109" s="3" t="s">
        <v>1606</v>
      </c>
      <c r="G109" s="3" t="s">
        <v>1607</v>
      </c>
      <c r="H109" s="3" t="s">
        <v>328</v>
      </c>
      <c r="I109" s="3" t="s">
        <v>940</v>
      </c>
      <c r="J109" s="3" t="s">
        <v>30</v>
      </c>
      <c r="K109" s="3" t="s">
        <v>101</v>
      </c>
      <c r="L109" s="2" t="s">
        <v>334</v>
      </c>
      <c r="M109" s="2" t="s">
        <v>45</v>
      </c>
      <c r="N109" s="3" t="s">
        <v>460</v>
      </c>
      <c r="O109" s="3" t="s">
        <v>139</v>
      </c>
      <c r="P109" s="3" t="s">
        <v>34</v>
      </c>
      <c r="Q109" s="125">
        <v>496</v>
      </c>
      <c r="R109" s="143">
        <v>1</v>
      </c>
      <c r="S109" s="145">
        <v>7320</v>
      </c>
      <c r="T109" s="2"/>
      <c r="U109" s="125">
        <v>36.307000000000002</v>
      </c>
      <c r="V109" s="142">
        <v>5.0000000000000004E-6</v>
      </c>
      <c r="W109" s="142">
        <v>2.61844541626743E-2</v>
      </c>
      <c r="X109" s="142">
        <v>1.7001685670896801E-3</v>
      </c>
    </row>
    <row r="110" spans="1:24">
      <c r="A110" s="3">
        <v>301</v>
      </c>
      <c r="B110" s="3">
        <v>7211</v>
      </c>
      <c r="C110" s="3" t="s">
        <v>1608</v>
      </c>
      <c r="D110" s="3" t="s">
        <v>1609</v>
      </c>
      <c r="E110" s="3" t="s">
        <v>1330</v>
      </c>
      <c r="F110" s="3" t="s">
        <v>1610</v>
      </c>
      <c r="G110" s="3" t="s">
        <v>1611</v>
      </c>
      <c r="H110" s="3" t="s">
        <v>328</v>
      </c>
      <c r="I110" s="3" t="s">
        <v>940</v>
      </c>
      <c r="J110" s="3" t="s">
        <v>30</v>
      </c>
      <c r="K110" s="3" t="s">
        <v>305</v>
      </c>
      <c r="L110" s="2" t="s">
        <v>334</v>
      </c>
      <c r="M110" s="2" t="s">
        <v>45</v>
      </c>
      <c r="N110" s="3" t="s">
        <v>464</v>
      </c>
      <c r="O110" s="3" t="s">
        <v>139</v>
      </c>
      <c r="P110" s="3" t="s">
        <v>34</v>
      </c>
      <c r="Q110" s="125">
        <v>30</v>
      </c>
      <c r="R110" s="143">
        <v>1</v>
      </c>
      <c r="S110" s="145">
        <v>71910</v>
      </c>
      <c r="T110" s="2"/>
      <c r="U110" s="125">
        <v>21.573</v>
      </c>
      <c r="V110" s="142">
        <v>9.9999999999999995E-7</v>
      </c>
      <c r="W110" s="142">
        <v>1.5558270250842001E-2</v>
      </c>
      <c r="X110" s="142">
        <v>1.0102055927701801E-3</v>
      </c>
    </row>
    <row r="111" spans="1:24">
      <c r="A111" s="3">
        <v>301</v>
      </c>
      <c r="B111" s="3">
        <v>7211</v>
      </c>
      <c r="C111" s="3" t="s">
        <v>1612</v>
      </c>
      <c r="D111" s="3" t="s">
        <v>1613</v>
      </c>
      <c r="E111" s="3" t="s">
        <v>319</v>
      </c>
      <c r="F111" s="3" t="s">
        <v>1614</v>
      </c>
      <c r="G111" s="3" t="s">
        <v>1615</v>
      </c>
      <c r="H111" s="3" t="s">
        <v>328</v>
      </c>
      <c r="I111" s="3" t="s">
        <v>940</v>
      </c>
      <c r="J111" s="3" t="s">
        <v>30</v>
      </c>
      <c r="K111" s="3" t="s">
        <v>30</v>
      </c>
      <c r="L111" s="2" t="s">
        <v>334</v>
      </c>
      <c r="M111" s="2" t="s">
        <v>45</v>
      </c>
      <c r="N111" s="3" t="s">
        <v>460</v>
      </c>
      <c r="O111" s="3" t="s">
        <v>139</v>
      </c>
      <c r="P111" s="3" t="s">
        <v>34</v>
      </c>
      <c r="Q111" s="125">
        <v>3000</v>
      </c>
      <c r="R111" s="143">
        <v>1</v>
      </c>
      <c r="S111" s="145">
        <v>1114</v>
      </c>
      <c r="T111" s="2"/>
      <c r="U111" s="125">
        <v>33.42</v>
      </c>
      <c r="V111" s="142">
        <v>3.0000000000000001E-6</v>
      </c>
      <c r="W111" s="142">
        <v>2.41022292580142E-2</v>
      </c>
      <c r="X111" s="142">
        <v>1.56496875308856E-3</v>
      </c>
    </row>
    <row r="112" spans="1:24">
      <c r="A112" s="3">
        <v>301</v>
      </c>
      <c r="B112" s="3">
        <v>7211</v>
      </c>
      <c r="C112" s="3" t="s">
        <v>1616</v>
      </c>
      <c r="D112" s="3" t="s">
        <v>1617</v>
      </c>
      <c r="E112" s="3" t="s">
        <v>1330</v>
      </c>
      <c r="F112" s="3" t="s">
        <v>1618</v>
      </c>
      <c r="G112" s="3" t="s">
        <v>1619</v>
      </c>
      <c r="H112" s="3" t="s">
        <v>328</v>
      </c>
      <c r="I112" s="3" t="s">
        <v>940</v>
      </c>
      <c r="J112" s="3" t="s">
        <v>30</v>
      </c>
      <c r="K112" s="3" t="s">
        <v>101</v>
      </c>
      <c r="L112" s="2" t="s">
        <v>334</v>
      </c>
      <c r="M112" s="2" t="s">
        <v>45</v>
      </c>
      <c r="N112" s="3" t="s">
        <v>487</v>
      </c>
      <c r="O112" s="3" t="s">
        <v>139</v>
      </c>
      <c r="P112" s="3" t="s">
        <v>34</v>
      </c>
      <c r="Q112" s="125">
        <v>85</v>
      </c>
      <c r="R112" s="143">
        <v>1</v>
      </c>
      <c r="S112" s="145">
        <v>62120</v>
      </c>
      <c r="T112" s="2"/>
      <c r="U112" s="125">
        <v>52.802</v>
      </c>
      <c r="V112" s="142">
        <v>9.9999999999999995E-7</v>
      </c>
      <c r="W112" s="142">
        <v>3.8080368320815898E-2</v>
      </c>
      <c r="X112" s="142">
        <v>2.4725757061814001E-3</v>
      </c>
    </row>
    <row r="113" spans="1:24">
      <c r="A113" s="3">
        <v>301</v>
      </c>
      <c r="B113" s="3">
        <v>7211</v>
      </c>
      <c r="C113" s="3" t="s">
        <v>1620</v>
      </c>
      <c r="D113" s="3" t="s">
        <v>1621</v>
      </c>
      <c r="E113" s="3" t="s">
        <v>1330</v>
      </c>
      <c r="F113" s="3" t="s">
        <v>1620</v>
      </c>
      <c r="G113" s="3" t="s">
        <v>1622</v>
      </c>
      <c r="H113" s="3" t="s">
        <v>328</v>
      </c>
      <c r="I113" s="3" t="s">
        <v>940</v>
      </c>
      <c r="J113" s="3" t="s">
        <v>30</v>
      </c>
      <c r="K113" s="3" t="s">
        <v>30</v>
      </c>
      <c r="L113" s="2" t="s">
        <v>334</v>
      </c>
      <c r="M113" s="2" t="s">
        <v>45</v>
      </c>
      <c r="N113" s="3" t="s">
        <v>445</v>
      </c>
      <c r="O113" s="3" t="s">
        <v>139</v>
      </c>
      <c r="P113" s="3" t="s">
        <v>34</v>
      </c>
      <c r="Q113" s="125">
        <v>510</v>
      </c>
      <c r="R113" s="143">
        <v>1</v>
      </c>
      <c r="S113" s="145">
        <v>6044</v>
      </c>
      <c r="T113" s="2"/>
      <c r="U113" s="125">
        <v>30.824000000000002</v>
      </c>
      <c r="V113" s="142">
        <v>6.0000000000000002E-6</v>
      </c>
      <c r="W113" s="142">
        <v>2.2230303876144001E-2</v>
      </c>
      <c r="X113" s="142">
        <v>1.4434237831449199E-3</v>
      </c>
    </row>
    <row r="114" spans="1:24">
      <c r="A114" s="3">
        <v>301</v>
      </c>
      <c r="B114" s="3">
        <v>7211</v>
      </c>
      <c r="C114" s="3" t="s">
        <v>1623</v>
      </c>
      <c r="D114" s="3" t="s">
        <v>1624</v>
      </c>
      <c r="E114" s="3" t="s">
        <v>1330</v>
      </c>
      <c r="F114" s="3" t="s">
        <v>1625</v>
      </c>
      <c r="G114" s="3" t="s">
        <v>1626</v>
      </c>
      <c r="H114" s="3" t="s">
        <v>328</v>
      </c>
      <c r="I114" s="3" t="s">
        <v>940</v>
      </c>
      <c r="J114" s="3" t="s">
        <v>30</v>
      </c>
      <c r="K114" s="3" t="s">
        <v>30</v>
      </c>
      <c r="L114" s="2" t="s">
        <v>334</v>
      </c>
      <c r="M114" s="2" t="s">
        <v>45</v>
      </c>
      <c r="N114" s="3" t="s">
        <v>470</v>
      </c>
      <c r="O114" s="3" t="s">
        <v>139</v>
      </c>
      <c r="P114" s="3" t="s">
        <v>34</v>
      </c>
      <c r="Q114" s="125">
        <v>130</v>
      </c>
      <c r="R114" s="143">
        <v>1</v>
      </c>
      <c r="S114" s="145">
        <v>30090</v>
      </c>
      <c r="T114" s="2"/>
      <c r="U114" s="125">
        <v>39.116999999999997</v>
      </c>
      <c r="V114" s="142">
        <v>9.9999999999999995E-7</v>
      </c>
      <c r="W114" s="142">
        <v>2.8210858823630801E-2</v>
      </c>
      <c r="X114" s="142">
        <v>1.8317439471743099E-3</v>
      </c>
    </row>
    <row r="115" spans="1:24">
      <c r="A115" s="3">
        <v>301</v>
      </c>
      <c r="B115" s="3">
        <v>7211</v>
      </c>
      <c r="C115" s="3" t="s">
        <v>1175</v>
      </c>
      <c r="D115" s="3" t="s">
        <v>1627</v>
      </c>
      <c r="E115" s="3" t="s">
        <v>1330</v>
      </c>
      <c r="F115" s="3" t="s">
        <v>1628</v>
      </c>
      <c r="G115" s="3" t="s">
        <v>1629</v>
      </c>
      <c r="H115" s="3" t="s">
        <v>328</v>
      </c>
      <c r="I115" s="3" t="s">
        <v>940</v>
      </c>
      <c r="J115" s="3" t="s">
        <v>30</v>
      </c>
      <c r="K115" s="3" t="s">
        <v>30</v>
      </c>
      <c r="L115" s="2" t="s">
        <v>334</v>
      </c>
      <c r="M115" s="2" t="s">
        <v>45</v>
      </c>
      <c r="N115" s="3" t="s">
        <v>454</v>
      </c>
      <c r="O115" s="3" t="s">
        <v>139</v>
      </c>
      <c r="P115" s="3" t="s">
        <v>34</v>
      </c>
      <c r="Q115" s="125">
        <v>2230</v>
      </c>
      <c r="R115" s="143">
        <v>1</v>
      </c>
      <c r="S115" s="145">
        <v>4402</v>
      </c>
      <c r="T115" s="2"/>
      <c r="U115" s="125">
        <v>98.165000000000006</v>
      </c>
      <c r="V115" s="142">
        <v>1.9999999999999999E-6</v>
      </c>
      <c r="W115" s="142">
        <v>7.0795502520085596E-2</v>
      </c>
      <c r="X115" s="142">
        <v>4.5967843105756299E-3</v>
      </c>
    </row>
    <row r="116" spans="1:24">
      <c r="A116" s="3">
        <v>301</v>
      </c>
      <c r="B116" s="3">
        <v>7211</v>
      </c>
      <c r="C116" s="3" t="s">
        <v>1630</v>
      </c>
      <c r="D116" s="3" t="s">
        <v>1631</v>
      </c>
      <c r="E116" s="3" t="s">
        <v>1330</v>
      </c>
      <c r="F116" s="3" t="s">
        <v>1632</v>
      </c>
      <c r="G116" s="3" t="s">
        <v>1633</v>
      </c>
      <c r="H116" s="3" t="s">
        <v>328</v>
      </c>
      <c r="I116" s="3" t="s">
        <v>940</v>
      </c>
      <c r="J116" s="3" t="s">
        <v>30</v>
      </c>
      <c r="K116" s="3" t="s">
        <v>30</v>
      </c>
      <c r="L116" s="2" t="s">
        <v>334</v>
      </c>
      <c r="M116" s="2" t="s">
        <v>45</v>
      </c>
      <c r="N116" s="3" t="s">
        <v>482</v>
      </c>
      <c r="O116" s="3" t="s">
        <v>139</v>
      </c>
      <c r="P116" s="3" t="s">
        <v>34</v>
      </c>
      <c r="Q116" s="125">
        <v>70</v>
      </c>
      <c r="R116" s="143">
        <v>1</v>
      </c>
      <c r="S116" s="145">
        <v>29900</v>
      </c>
      <c r="T116" s="2"/>
      <c r="U116" s="125">
        <v>20.93</v>
      </c>
      <c r="V116" s="142">
        <v>5.0000000000000004E-6</v>
      </c>
      <c r="W116" s="142">
        <v>1.5094543936871299E-2</v>
      </c>
      <c r="X116" s="142">
        <v>9.8009563142261E-4</v>
      </c>
    </row>
    <row r="117" spans="1:24">
      <c r="A117" s="3">
        <v>301</v>
      </c>
      <c r="B117" s="3">
        <v>7211</v>
      </c>
      <c r="C117" s="3" t="s">
        <v>1646</v>
      </c>
      <c r="D117" s="3" t="s">
        <v>1647</v>
      </c>
      <c r="E117" s="3" t="s">
        <v>1330</v>
      </c>
      <c r="F117" s="3" t="s">
        <v>1648</v>
      </c>
      <c r="G117" s="3" t="s">
        <v>1649</v>
      </c>
      <c r="H117" s="3" t="s">
        <v>328</v>
      </c>
      <c r="I117" s="3" t="s">
        <v>940</v>
      </c>
      <c r="J117" s="3" t="s">
        <v>30</v>
      </c>
      <c r="K117" s="3" t="s">
        <v>30</v>
      </c>
      <c r="L117" s="2" t="s">
        <v>334</v>
      </c>
      <c r="M117" s="2" t="s">
        <v>45</v>
      </c>
      <c r="N117" s="3" t="s">
        <v>482</v>
      </c>
      <c r="O117" s="3" t="s">
        <v>139</v>
      </c>
      <c r="P117" s="3" t="s">
        <v>34</v>
      </c>
      <c r="Q117" s="125">
        <v>370</v>
      </c>
      <c r="R117" s="143">
        <v>1</v>
      </c>
      <c r="S117" s="145">
        <v>3795</v>
      </c>
      <c r="T117" s="2"/>
      <c r="U117" s="125">
        <v>14.041</v>
      </c>
      <c r="V117" s="142">
        <v>9.9999999999999995E-7</v>
      </c>
      <c r="W117" s="142">
        <v>1.0126614366439499E-2</v>
      </c>
      <c r="X117" s="142">
        <v>6.57525695586268E-4</v>
      </c>
    </row>
    <row r="118" spans="1:24">
      <c r="A118" s="3">
        <v>301</v>
      </c>
      <c r="B118" s="3">
        <v>7211</v>
      </c>
      <c r="C118" s="3" t="s">
        <v>1650</v>
      </c>
      <c r="D118" s="3" t="s">
        <v>1651</v>
      </c>
      <c r="E118" s="3" t="s">
        <v>321</v>
      </c>
      <c r="F118" s="3" t="s">
        <v>1652</v>
      </c>
      <c r="G118" s="3" t="s">
        <v>1653</v>
      </c>
      <c r="H118" s="3" t="s">
        <v>328</v>
      </c>
      <c r="I118" s="3" t="s">
        <v>940</v>
      </c>
      <c r="J118" s="3" t="s">
        <v>100</v>
      </c>
      <c r="K118" s="3" t="s">
        <v>298</v>
      </c>
      <c r="L118" s="2" t="s">
        <v>334</v>
      </c>
      <c r="M118" s="2" t="s">
        <v>353</v>
      </c>
      <c r="N118" s="3" t="s">
        <v>555</v>
      </c>
      <c r="O118" s="3" t="s">
        <v>139</v>
      </c>
      <c r="P118" s="3" t="s">
        <v>105</v>
      </c>
      <c r="Q118" s="125">
        <v>40</v>
      </c>
      <c r="R118" s="143">
        <v>3.6469999999999998</v>
      </c>
      <c r="S118" s="145">
        <v>12079</v>
      </c>
      <c r="T118" s="2"/>
      <c r="U118" s="125">
        <v>17.620999999999999</v>
      </c>
      <c r="V118" s="142">
        <v>0</v>
      </c>
      <c r="W118" s="142">
        <v>1.27080086992932E-2</v>
      </c>
      <c r="X118" s="142">
        <v>8.2513680852814501E-4</v>
      </c>
    </row>
    <row r="119" spans="1:24">
      <c r="A119" s="3">
        <v>301</v>
      </c>
      <c r="B119" s="3">
        <v>7211</v>
      </c>
      <c r="C119" s="3" t="s">
        <v>1654</v>
      </c>
      <c r="D119" s="3" t="s">
        <v>1655</v>
      </c>
      <c r="E119" s="3" t="s">
        <v>321</v>
      </c>
      <c r="F119" s="3" t="s">
        <v>1656</v>
      </c>
      <c r="G119" s="3" t="s">
        <v>1657</v>
      </c>
      <c r="H119" s="3" t="s">
        <v>328</v>
      </c>
      <c r="I119" s="3" t="s">
        <v>940</v>
      </c>
      <c r="J119" s="3" t="s">
        <v>100</v>
      </c>
      <c r="K119" s="3" t="s">
        <v>101</v>
      </c>
      <c r="L119" s="2" t="s">
        <v>334</v>
      </c>
      <c r="M119" s="2" t="s">
        <v>353</v>
      </c>
      <c r="N119" s="3" t="s">
        <v>556</v>
      </c>
      <c r="O119" s="3" t="s">
        <v>139</v>
      </c>
      <c r="P119" s="3" t="s">
        <v>105</v>
      </c>
      <c r="Q119" s="125">
        <v>100</v>
      </c>
      <c r="R119" s="143">
        <v>3.6469999999999998</v>
      </c>
      <c r="S119" s="145">
        <v>19044</v>
      </c>
      <c r="T119" s="2"/>
      <c r="U119" s="125">
        <v>69.453000000000003</v>
      </c>
      <c r="V119" s="142">
        <v>0</v>
      </c>
      <c r="W119" s="142">
        <v>5.00892701526078E-2</v>
      </c>
      <c r="X119" s="142">
        <v>3.25231918652413E-3</v>
      </c>
    </row>
    <row r="120" spans="1:24">
      <c r="A120" s="3">
        <v>301</v>
      </c>
      <c r="B120" s="3">
        <v>7211</v>
      </c>
      <c r="C120" s="3" t="s">
        <v>1658</v>
      </c>
      <c r="D120" s="3" t="s">
        <v>1659</v>
      </c>
      <c r="E120" s="3" t="s">
        <v>321</v>
      </c>
      <c r="F120" s="3" t="s">
        <v>1660</v>
      </c>
      <c r="G120" s="3" t="s">
        <v>1661</v>
      </c>
      <c r="H120" s="3" t="s">
        <v>328</v>
      </c>
      <c r="I120" s="3" t="s">
        <v>940</v>
      </c>
      <c r="J120" s="3" t="s">
        <v>100</v>
      </c>
      <c r="K120" s="3" t="s">
        <v>101</v>
      </c>
      <c r="L120" s="2" t="s">
        <v>334</v>
      </c>
      <c r="M120" s="2" t="s">
        <v>353</v>
      </c>
      <c r="N120" s="3" t="s">
        <v>507</v>
      </c>
      <c r="O120" s="3" t="s">
        <v>139</v>
      </c>
      <c r="P120" s="3" t="s">
        <v>105</v>
      </c>
      <c r="Q120" s="125">
        <v>50</v>
      </c>
      <c r="R120" s="143">
        <v>3.6469999999999998</v>
      </c>
      <c r="S120" s="145">
        <v>21939</v>
      </c>
      <c r="T120" s="2"/>
      <c r="U120" s="125">
        <v>40.006</v>
      </c>
      <c r="V120" s="142">
        <v>0</v>
      </c>
      <c r="W120" s="142">
        <v>2.8851829916983401E-2</v>
      </c>
      <c r="X120" s="142">
        <v>1.8733624929939299E-3</v>
      </c>
    </row>
    <row r="121" spans="1:24">
      <c r="A121" s="3">
        <v>301</v>
      </c>
      <c r="B121" s="3">
        <v>7211</v>
      </c>
      <c r="C121" s="3" t="s">
        <v>1662</v>
      </c>
      <c r="D121" s="3" t="s">
        <v>1663</v>
      </c>
      <c r="E121" s="3" t="s">
        <v>321</v>
      </c>
      <c r="F121" s="3" t="s">
        <v>1664</v>
      </c>
      <c r="G121" s="3" t="s">
        <v>1665</v>
      </c>
      <c r="H121" s="3" t="s">
        <v>328</v>
      </c>
      <c r="I121" s="3" t="s">
        <v>940</v>
      </c>
      <c r="J121" s="3" t="s">
        <v>100</v>
      </c>
      <c r="K121" s="3" t="s">
        <v>101</v>
      </c>
      <c r="L121" s="2" t="s">
        <v>334</v>
      </c>
      <c r="M121" s="2" t="s">
        <v>353</v>
      </c>
      <c r="N121" s="3" t="s">
        <v>553</v>
      </c>
      <c r="O121" s="3" t="s">
        <v>139</v>
      </c>
      <c r="P121" s="3" t="s">
        <v>105</v>
      </c>
      <c r="Q121" s="125">
        <v>55</v>
      </c>
      <c r="R121" s="143">
        <v>3.6469999999999998</v>
      </c>
      <c r="S121" s="145">
        <v>25042</v>
      </c>
      <c r="T121" s="2"/>
      <c r="U121" s="125">
        <v>50.23</v>
      </c>
      <c r="V121" s="142">
        <v>0</v>
      </c>
      <c r="W121" s="142">
        <v>3.6225820559697697E-2</v>
      </c>
      <c r="X121" s="142">
        <v>2.3521590730894498E-3</v>
      </c>
    </row>
    <row r="122" spans="1:24">
      <c r="A122" s="3">
        <v>301</v>
      </c>
      <c r="B122" s="3">
        <v>7211</v>
      </c>
      <c r="C122" s="3" t="s">
        <v>1666</v>
      </c>
      <c r="D122" s="3" t="s">
        <v>1667</v>
      </c>
      <c r="E122" s="3" t="s">
        <v>321</v>
      </c>
      <c r="F122" s="3" t="s">
        <v>1668</v>
      </c>
      <c r="G122" s="3" t="s">
        <v>1669</v>
      </c>
      <c r="H122" s="3" t="s">
        <v>328</v>
      </c>
      <c r="I122" s="3" t="s">
        <v>940</v>
      </c>
      <c r="J122" s="3" t="s">
        <v>100</v>
      </c>
      <c r="K122" s="3" t="s">
        <v>101</v>
      </c>
      <c r="L122" s="2" t="s">
        <v>334</v>
      </c>
      <c r="M122" s="2" t="s">
        <v>353</v>
      </c>
      <c r="N122" s="3" t="s">
        <v>555</v>
      </c>
      <c r="O122" s="3" t="s">
        <v>139</v>
      </c>
      <c r="P122" s="3" t="s">
        <v>105</v>
      </c>
      <c r="Q122" s="125">
        <v>12</v>
      </c>
      <c r="R122" s="143">
        <v>3.6469999999999998</v>
      </c>
      <c r="S122" s="145">
        <v>69308</v>
      </c>
      <c r="T122" s="2"/>
      <c r="U122" s="125">
        <v>30.332000000000001</v>
      </c>
      <c r="V122" s="142">
        <v>0</v>
      </c>
      <c r="W122" s="142">
        <v>2.1875155234637299E-2</v>
      </c>
      <c r="X122" s="142">
        <v>1.4203638196573099E-3</v>
      </c>
    </row>
    <row r="123" spans="1:24">
      <c r="A123" s="3">
        <v>301</v>
      </c>
      <c r="B123" s="3">
        <v>7211</v>
      </c>
      <c r="C123" s="3" t="s">
        <v>1670</v>
      </c>
      <c r="D123" s="3" t="s">
        <v>1671</v>
      </c>
      <c r="E123" s="3" t="s">
        <v>321</v>
      </c>
      <c r="F123" s="3" t="s">
        <v>1672</v>
      </c>
      <c r="G123" s="3" t="s">
        <v>1673</v>
      </c>
      <c r="H123" s="3" t="s">
        <v>328</v>
      </c>
      <c r="I123" s="3" t="s">
        <v>940</v>
      </c>
      <c r="J123" s="3" t="s">
        <v>100</v>
      </c>
      <c r="K123" s="3" t="s">
        <v>101</v>
      </c>
      <c r="L123" s="2" t="s">
        <v>334</v>
      </c>
      <c r="M123" s="2" t="s">
        <v>353</v>
      </c>
      <c r="N123" s="3" t="s">
        <v>555</v>
      </c>
      <c r="O123" s="3" t="s">
        <v>139</v>
      </c>
      <c r="P123" s="3" t="s">
        <v>105</v>
      </c>
      <c r="Q123" s="125">
        <v>40</v>
      </c>
      <c r="R123" s="143">
        <v>3.6469999999999998</v>
      </c>
      <c r="S123" s="145">
        <v>23184</v>
      </c>
      <c r="T123" s="124">
        <v>2.4E-2</v>
      </c>
      <c r="U123" s="125">
        <v>33.906999999999996</v>
      </c>
      <c r="V123" s="142">
        <v>0</v>
      </c>
      <c r="W123" s="142">
        <v>2.4453369169440499E-2</v>
      </c>
      <c r="X123" s="142">
        <v>1.58776842790129E-3</v>
      </c>
    </row>
    <row r="124" spans="1:24">
      <c r="A124" s="3">
        <v>301</v>
      </c>
      <c r="B124" s="3">
        <v>7211</v>
      </c>
      <c r="C124" s="3" t="s">
        <v>1689</v>
      </c>
      <c r="D124" s="3" t="s">
        <v>1690</v>
      </c>
      <c r="E124" s="3" t="s">
        <v>321</v>
      </c>
      <c r="F124" s="3" t="s">
        <v>1691</v>
      </c>
      <c r="G124" s="3" t="s">
        <v>1692</v>
      </c>
      <c r="H124" s="3" t="s">
        <v>328</v>
      </c>
      <c r="I124" s="3" t="s">
        <v>940</v>
      </c>
      <c r="J124" s="3" t="s">
        <v>100</v>
      </c>
      <c r="K124" s="3" t="s">
        <v>101</v>
      </c>
      <c r="L124" s="2" t="s">
        <v>334</v>
      </c>
      <c r="M124" s="2" t="s">
        <v>353</v>
      </c>
      <c r="N124" s="3" t="s">
        <v>551</v>
      </c>
      <c r="O124" s="3" t="s">
        <v>139</v>
      </c>
      <c r="P124" s="3" t="s">
        <v>105</v>
      </c>
      <c r="Q124" s="125">
        <v>30</v>
      </c>
      <c r="R124" s="143">
        <v>3.6469999999999998</v>
      </c>
      <c r="S124" s="145">
        <v>42150</v>
      </c>
      <c r="T124" s="2"/>
      <c r="U124" s="125">
        <v>46.116</v>
      </c>
      <c r="V124" s="142">
        <v>0</v>
      </c>
      <c r="W124" s="142">
        <v>3.3258707261065203E-2</v>
      </c>
      <c r="X124" s="142">
        <v>2.1595030515436701E-3</v>
      </c>
    </row>
    <row r="125" spans="1:24">
      <c r="A125" s="3">
        <v>301</v>
      </c>
      <c r="B125" s="3">
        <v>7211</v>
      </c>
      <c r="C125" s="3" t="s">
        <v>1616</v>
      </c>
      <c r="D125" s="3" t="s">
        <v>1617</v>
      </c>
      <c r="E125" s="3" t="s">
        <v>1330</v>
      </c>
      <c r="F125" s="3" t="s">
        <v>1693</v>
      </c>
      <c r="G125" s="3" t="s">
        <v>1694</v>
      </c>
      <c r="H125" s="3" t="s">
        <v>328</v>
      </c>
      <c r="I125" s="3" t="s">
        <v>940</v>
      </c>
      <c r="J125" s="3" t="s">
        <v>100</v>
      </c>
      <c r="K125" s="3" t="s">
        <v>101</v>
      </c>
      <c r="L125" s="2" t="s">
        <v>334</v>
      </c>
      <c r="M125" s="2" t="s">
        <v>353</v>
      </c>
      <c r="N125" s="3" t="s">
        <v>487</v>
      </c>
      <c r="O125" s="3" t="s">
        <v>139</v>
      </c>
      <c r="P125" s="3" t="s">
        <v>105</v>
      </c>
      <c r="Q125" s="125">
        <v>30</v>
      </c>
      <c r="R125" s="143">
        <v>3.6469999999999998</v>
      </c>
      <c r="S125" s="145">
        <v>16984</v>
      </c>
      <c r="T125" s="2"/>
      <c r="U125" s="125">
        <v>18.582000000000001</v>
      </c>
      <c r="V125" s="142">
        <v>0</v>
      </c>
      <c r="W125" s="142">
        <v>1.3401325839191699E-2</v>
      </c>
      <c r="X125" s="142">
        <v>8.7015420705617303E-4</v>
      </c>
    </row>
  </sheetData>
  <sheetProtection formatColumns="0"/>
  <customSheetViews>
    <customSheetView guid="{AE318230-F718-49FC-82EB-7CAC3DCD05F1}" showGridLines="0" hiddenRows="1" topLeftCell="O1">
      <selection activeCell="X26" sqref="X26"/>
      <pageMargins left="0.7" right="0.7" top="0.75" bottom="0.75" header="0.3" footer="0.3"/>
    </customSheetView>
  </customSheetViews>
  <dataValidations count="8">
    <dataValidation type="list" allowBlank="1" showInputMessage="1" showErrorMessage="1" sqref="J2:J19" xr:uid="{00000000-0002-0000-0600-000000000000}">
      <formula1>israel_abroad</formula1>
    </dataValidation>
    <dataValidation type="list" allowBlank="1" showInputMessage="1" showErrorMessage="1" sqref="O2:O19" xr:uid="{00000000-0002-0000-0600-000001000000}">
      <formula1>Holding_interest</formula1>
    </dataValidation>
    <dataValidation type="list" allowBlank="1" showInputMessage="1" showErrorMessage="1" sqref="K2:K20" xr:uid="{00000000-0002-0000-0600-000002000000}">
      <formula1>Country_list</formula1>
    </dataValidation>
    <dataValidation type="list" allowBlank="1" showInputMessage="1" showErrorMessage="1" sqref="E2:E20" xr:uid="{00000000-0002-0000-0600-000003000000}">
      <formula1>Issuer_Number_Type_2</formula1>
    </dataValidation>
    <dataValidation type="list" allowBlank="1" showInputMessage="1" showErrorMessage="1" sqref="H2:H20" xr:uid="{00000000-0002-0000-0600-000004000000}">
      <formula1>Security_ID_Number_Type</formula1>
    </dataValidation>
    <dataValidation type="list" allowBlank="1" showInputMessage="1" showErrorMessage="1" sqref="N2:N21" xr:uid="{00000000-0002-0000-0600-000005000000}">
      <formula1>Industry_Sector</formula1>
    </dataValidation>
    <dataValidation type="list" allowBlank="1" showInputMessage="1" showErrorMessage="1" sqref="L2:L20" xr:uid="{00000000-0002-0000-0600-000006000000}">
      <formula1>Tradeable_Status</formula1>
    </dataValidation>
    <dataValidation type="list" allowBlank="1" showInputMessage="1" showErrorMessage="1" sqref="M2:M20" xr:uid="{00000000-0002-0000-0600-000007000000}">
      <formula1>Stock_Exchange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8000000}">
          <x14:formula1>
            <xm:f>'אפשרויות בחירה'!$C$884:$C$889</xm:f>
          </x14:formula1>
          <xm:sqref>I2:I19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9"/>
  <dimension ref="A1:X61"/>
  <sheetViews>
    <sheetView rightToLeft="1" zoomScale="70" zoomScaleNormal="70" workbookViewId="0">
      <selection activeCell="A2" sqref="A2"/>
    </sheetView>
  </sheetViews>
  <sheetFormatPr defaultColWidth="0" defaultRowHeight="14.25" zeroHeight="1"/>
  <cols>
    <col min="1" max="23" width="11.625" customWidth="1"/>
    <col min="24" max="24" width="11.625" hidden="1" customWidth="1"/>
  </cols>
  <sheetData>
    <row r="1" spans="1:23" ht="66.75" customHeight="1">
      <c r="A1" s="12" t="s">
        <v>0</v>
      </c>
      <c r="B1" s="12" t="s">
        <v>1</v>
      </c>
      <c r="C1" s="12" t="s">
        <v>2</v>
      </c>
      <c r="D1" s="12" t="s">
        <v>156</v>
      </c>
      <c r="E1" s="12" t="s">
        <v>157</v>
      </c>
      <c r="F1" s="12" t="s">
        <v>3</v>
      </c>
      <c r="G1" s="12" t="s">
        <v>4</v>
      </c>
      <c r="H1" s="12" t="s">
        <v>158</v>
      </c>
      <c r="I1" s="12" t="s">
        <v>5</v>
      </c>
      <c r="J1" s="12" t="s">
        <v>6</v>
      </c>
      <c r="K1" s="12" t="s">
        <v>7</v>
      </c>
      <c r="L1" s="12" t="s">
        <v>8</v>
      </c>
      <c r="M1" s="12" t="s">
        <v>577</v>
      </c>
      <c r="N1" s="12" t="s">
        <v>125</v>
      </c>
      <c r="O1" s="12" t="s">
        <v>11</v>
      </c>
      <c r="P1" s="12" t="s">
        <v>17</v>
      </c>
      <c r="Q1" s="133" t="s">
        <v>18</v>
      </c>
      <c r="R1" s="144" t="s">
        <v>19</v>
      </c>
      <c r="S1" s="12" t="s">
        <v>16</v>
      </c>
      <c r="T1" s="12" t="s">
        <v>20</v>
      </c>
      <c r="U1" s="139" t="s">
        <v>23</v>
      </c>
      <c r="V1" s="139" t="s">
        <v>24</v>
      </c>
      <c r="W1" s="139" t="s">
        <v>25</v>
      </c>
    </row>
    <row r="2" spans="1:23">
      <c r="A2" s="13">
        <v>301</v>
      </c>
      <c r="B2" s="13">
        <v>7209</v>
      </c>
      <c r="C2" s="13" t="s">
        <v>1473</v>
      </c>
      <c r="D2" s="13" t="s">
        <v>1474</v>
      </c>
      <c r="E2" s="11" t="s">
        <v>1330</v>
      </c>
      <c r="F2" s="13" t="s">
        <v>1475</v>
      </c>
      <c r="G2" s="13" t="s">
        <v>1476</v>
      </c>
      <c r="H2" s="11" t="s">
        <v>328</v>
      </c>
      <c r="I2" s="13" t="s">
        <v>990</v>
      </c>
      <c r="J2" s="11" t="s">
        <v>30</v>
      </c>
      <c r="K2" s="11" t="s">
        <v>30</v>
      </c>
      <c r="L2" s="11" t="s">
        <v>45</v>
      </c>
      <c r="M2" s="13" t="s">
        <v>1472</v>
      </c>
      <c r="N2" s="13" t="s">
        <v>139</v>
      </c>
      <c r="O2" s="11" t="s">
        <v>34</v>
      </c>
      <c r="P2" s="127">
        <v>3000</v>
      </c>
      <c r="Q2" s="149">
        <v>1</v>
      </c>
      <c r="R2" s="150">
        <v>3748</v>
      </c>
      <c r="S2" s="114"/>
      <c r="T2" s="126">
        <v>112.44</v>
      </c>
      <c r="U2" s="148">
        <v>3.4999999999999997E-5</v>
      </c>
      <c r="V2" s="148">
        <v>2.5930919843301599E-2</v>
      </c>
      <c r="W2" s="148">
        <v>5.4856567895823398E-3</v>
      </c>
    </row>
    <row r="3" spans="1:23">
      <c r="A3" s="13">
        <v>301</v>
      </c>
      <c r="B3" s="13">
        <v>7209</v>
      </c>
      <c r="C3" s="13" t="s">
        <v>1473</v>
      </c>
      <c r="D3" s="13" t="s">
        <v>1474</v>
      </c>
      <c r="E3" s="11" t="s">
        <v>1330</v>
      </c>
      <c r="F3" s="13" t="s">
        <v>1477</v>
      </c>
      <c r="G3" s="13" t="s">
        <v>1478</v>
      </c>
      <c r="H3" s="11" t="s">
        <v>328</v>
      </c>
      <c r="I3" s="13" t="s">
        <v>990</v>
      </c>
      <c r="J3" s="11" t="s">
        <v>30</v>
      </c>
      <c r="K3" s="11" t="s">
        <v>30</v>
      </c>
      <c r="L3" s="11" t="s">
        <v>45</v>
      </c>
      <c r="M3" s="13" t="s">
        <v>1472</v>
      </c>
      <c r="N3" s="13" t="s">
        <v>139</v>
      </c>
      <c r="O3" s="11" t="s">
        <v>34</v>
      </c>
      <c r="P3" s="127">
        <v>6110</v>
      </c>
      <c r="Q3" s="149">
        <v>1</v>
      </c>
      <c r="R3" s="150">
        <v>3630</v>
      </c>
      <c r="S3" s="114"/>
      <c r="T3" s="126">
        <v>221.79300000000001</v>
      </c>
      <c r="U3" s="148">
        <v>1.1900000000000001E-4</v>
      </c>
      <c r="V3" s="148">
        <v>5.1149915553231798E-2</v>
      </c>
      <c r="W3" s="148">
        <v>1.0820706833260699E-2</v>
      </c>
    </row>
    <row r="4" spans="1:23">
      <c r="A4" s="13">
        <v>301</v>
      </c>
      <c r="B4" s="13">
        <v>7209</v>
      </c>
      <c r="C4" s="13" t="s">
        <v>1479</v>
      </c>
      <c r="D4" s="13" t="s">
        <v>1480</v>
      </c>
      <c r="E4" s="11" t="s">
        <v>1330</v>
      </c>
      <c r="F4" s="13" t="s">
        <v>1481</v>
      </c>
      <c r="G4" s="13" t="s">
        <v>1482</v>
      </c>
      <c r="H4" s="11" t="s">
        <v>328</v>
      </c>
      <c r="I4" s="13" t="s">
        <v>990</v>
      </c>
      <c r="J4" s="11" t="s">
        <v>30</v>
      </c>
      <c r="K4" s="11" t="s">
        <v>30</v>
      </c>
      <c r="L4" s="11" t="s">
        <v>45</v>
      </c>
      <c r="M4" s="13" t="s">
        <v>1472</v>
      </c>
      <c r="N4" s="13" t="s">
        <v>139</v>
      </c>
      <c r="O4" s="11" t="s">
        <v>34</v>
      </c>
      <c r="P4" s="127">
        <v>6700</v>
      </c>
      <c r="Q4" s="149">
        <v>1</v>
      </c>
      <c r="R4" s="150">
        <v>2414</v>
      </c>
      <c r="S4" s="114"/>
      <c r="T4" s="126">
        <v>161.738</v>
      </c>
      <c r="U4" s="148">
        <v>2.6999999999999999E-5</v>
      </c>
      <c r="V4" s="148">
        <v>3.7300027691354598E-2</v>
      </c>
      <c r="W4" s="148">
        <v>7.8907787071635406E-3</v>
      </c>
    </row>
    <row r="5" spans="1:23">
      <c r="A5" s="13">
        <v>301</v>
      </c>
      <c r="B5" s="13">
        <v>7209</v>
      </c>
      <c r="C5" s="13" t="s">
        <v>1483</v>
      </c>
      <c r="D5" s="13" t="s">
        <v>1484</v>
      </c>
      <c r="E5" s="11" t="s">
        <v>1330</v>
      </c>
      <c r="F5" s="13" t="s">
        <v>1485</v>
      </c>
      <c r="G5" s="13" t="s">
        <v>1486</v>
      </c>
      <c r="H5" s="11" t="s">
        <v>328</v>
      </c>
      <c r="I5" s="13" t="s">
        <v>990</v>
      </c>
      <c r="J5" s="11" t="s">
        <v>30</v>
      </c>
      <c r="K5" s="11" t="s">
        <v>30</v>
      </c>
      <c r="L5" s="11" t="s">
        <v>45</v>
      </c>
      <c r="M5" s="13" t="s">
        <v>1472</v>
      </c>
      <c r="N5" s="13" t="s">
        <v>139</v>
      </c>
      <c r="O5" s="11" t="s">
        <v>34</v>
      </c>
      <c r="P5" s="127">
        <v>1700</v>
      </c>
      <c r="Q5" s="149">
        <v>1</v>
      </c>
      <c r="R5" s="150">
        <v>6621</v>
      </c>
      <c r="S5" s="114"/>
      <c r="T5" s="126">
        <v>112.557</v>
      </c>
      <c r="U5" s="148">
        <v>1.55E-4</v>
      </c>
      <c r="V5" s="148">
        <v>2.5957902390630502E-2</v>
      </c>
      <c r="W5" s="148">
        <v>5.4913649169781196E-3</v>
      </c>
    </row>
    <row r="6" spans="1:23">
      <c r="A6" s="13">
        <v>301</v>
      </c>
      <c r="B6" s="13">
        <v>7209</v>
      </c>
      <c r="C6" s="13" t="s">
        <v>1487</v>
      </c>
      <c r="D6" s="13" t="s">
        <v>1488</v>
      </c>
      <c r="E6" s="11" t="s">
        <v>1330</v>
      </c>
      <c r="F6" s="13" t="s">
        <v>1489</v>
      </c>
      <c r="G6" s="13" t="s">
        <v>1490</v>
      </c>
      <c r="H6" s="11" t="s">
        <v>328</v>
      </c>
      <c r="I6" s="13" t="s">
        <v>990</v>
      </c>
      <c r="J6" s="11" t="s">
        <v>30</v>
      </c>
      <c r="K6" s="11" t="s">
        <v>30</v>
      </c>
      <c r="L6" s="11" t="s">
        <v>45</v>
      </c>
      <c r="M6" s="13" t="s">
        <v>1472</v>
      </c>
      <c r="N6" s="13" t="s">
        <v>139</v>
      </c>
      <c r="O6" s="11" t="s">
        <v>34</v>
      </c>
      <c r="P6" s="127">
        <v>770</v>
      </c>
      <c r="Q6" s="149">
        <v>1</v>
      </c>
      <c r="R6" s="150">
        <v>23840</v>
      </c>
      <c r="S6" s="114"/>
      <c r="T6" s="126">
        <v>183.56800000000001</v>
      </c>
      <c r="U6" s="148">
        <v>2.1999999999999999E-5</v>
      </c>
      <c r="V6" s="148">
        <v>4.2334463658797401E-2</v>
      </c>
      <c r="W6" s="148">
        <v>8.9558079469054808E-3</v>
      </c>
    </row>
    <row r="7" spans="1:23">
      <c r="A7" s="13">
        <v>301</v>
      </c>
      <c r="B7" s="13">
        <v>7209</v>
      </c>
      <c r="C7" s="13" t="s">
        <v>1487</v>
      </c>
      <c r="D7" s="13" t="s">
        <v>1488</v>
      </c>
      <c r="E7" s="11" t="s">
        <v>1330</v>
      </c>
      <c r="F7" s="13" t="s">
        <v>1491</v>
      </c>
      <c r="G7" s="13" t="s">
        <v>1492</v>
      </c>
      <c r="H7" s="11" t="s">
        <v>328</v>
      </c>
      <c r="I7" s="13" t="s">
        <v>990</v>
      </c>
      <c r="J7" s="11" t="s">
        <v>30</v>
      </c>
      <c r="K7" s="11" t="s">
        <v>30</v>
      </c>
      <c r="L7" s="11" t="s">
        <v>45</v>
      </c>
      <c r="M7" s="13" t="s">
        <v>1472</v>
      </c>
      <c r="N7" s="13" t="s">
        <v>139</v>
      </c>
      <c r="O7" s="11" t="s">
        <v>34</v>
      </c>
      <c r="P7" s="127">
        <v>464</v>
      </c>
      <c r="Q7" s="149">
        <v>1</v>
      </c>
      <c r="R7" s="150">
        <v>23190</v>
      </c>
      <c r="S7" s="114"/>
      <c r="T7" s="126">
        <v>107.602</v>
      </c>
      <c r="U7" s="148">
        <v>1.5E-5</v>
      </c>
      <c r="V7" s="148">
        <v>2.4815087732221599E-2</v>
      </c>
      <c r="W7" s="148">
        <v>5.2496037674308396E-3</v>
      </c>
    </row>
    <row r="8" spans="1:23">
      <c r="A8" s="13">
        <v>301</v>
      </c>
      <c r="B8" s="13">
        <v>7209</v>
      </c>
      <c r="C8" s="13" t="s">
        <v>1468</v>
      </c>
      <c r="D8" s="13" t="s">
        <v>1469</v>
      </c>
      <c r="E8" s="11" t="s">
        <v>1330</v>
      </c>
      <c r="F8" s="13" t="s">
        <v>1493</v>
      </c>
      <c r="G8" s="13" t="s">
        <v>1494</v>
      </c>
      <c r="H8" s="11" t="s">
        <v>328</v>
      </c>
      <c r="I8" s="13" t="s">
        <v>990</v>
      </c>
      <c r="J8" s="11" t="s">
        <v>30</v>
      </c>
      <c r="K8" s="11" t="s">
        <v>30</v>
      </c>
      <c r="L8" s="11" t="s">
        <v>45</v>
      </c>
      <c r="M8" s="13" t="s">
        <v>1472</v>
      </c>
      <c r="N8" s="13" t="s">
        <v>139</v>
      </c>
      <c r="O8" s="11" t="s">
        <v>34</v>
      </c>
      <c r="P8" s="127">
        <v>4486</v>
      </c>
      <c r="Q8" s="149">
        <v>1</v>
      </c>
      <c r="R8" s="150">
        <v>2405</v>
      </c>
      <c r="S8" s="114"/>
      <c r="T8" s="126">
        <v>107.88800000000001</v>
      </c>
      <c r="U8" s="148">
        <v>1.1E-5</v>
      </c>
      <c r="V8" s="148">
        <v>2.48812065041806E-2</v>
      </c>
      <c r="W8" s="148">
        <v>5.2635911189211704E-3</v>
      </c>
    </row>
    <row r="9" spans="1:23">
      <c r="A9" s="13">
        <v>301</v>
      </c>
      <c r="B9" s="13">
        <v>7209</v>
      </c>
      <c r="C9" s="13" t="s">
        <v>1464</v>
      </c>
      <c r="D9" s="13" t="s">
        <v>1465</v>
      </c>
      <c r="E9" s="11" t="s">
        <v>321</v>
      </c>
      <c r="F9" s="13" t="s">
        <v>1495</v>
      </c>
      <c r="G9" s="13" t="s">
        <v>1496</v>
      </c>
      <c r="H9" s="11" t="s">
        <v>328</v>
      </c>
      <c r="I9" s="13" t="s">
        <v>991</v>
      </c>
      <c r="J9" s="11" t="s">
        <v>100</v>
      </c>
      <c r="K9" s="11" t="s">
        <v>101</v>
      </c>
      <c r="L9" s="11" t="s">
        <v>353</v>
      </c>
      <c r="M9" s="13" t="s">
        <v>743</v>
      </c>
      <c r="N9" s="13" t="s">
        <v>139</v>
      </c>
      <c r="O9" s="11" t="s">
        <v>105</v>
      </c>
      <c r="P9" s="127">
        <v>240</v>
      </c>
      <c r="Q9" s="149">
        <v>3.6469999999999998</v>
      </c>
      <c r="R9" s="150">
        <v>51123</v>
      </c>
      <c r="S9" s="128">
        <v>0.2</v>
      </c>
      <c r="T9" s="126">
        <v>448.2</v>
      </c>
      <c r="U9" s="148">
        <v>0</v>
      </c>
      <c r="V9" s="148">
        <v>0.10336390318277699</v>
      </c>
      <c r="W9" s="148">
        <v>2.18665169118097E-2</v>
      </c>
    </row>
    <row r="10" spans="1:23">
      <c r="A10" s="13">
        <v>301</v>
      </c>
      <c r="B10" s="13">
        <v>7209</v>
      </c>
      <c r="C10" s="13" t="s">
        <v>1464</v>
      </c>
      <c r="D10" s="13" t="s">
        <v>1465</v>
      </c>
      <c r="E10" s="11" t="s">
        <v>321</v>
      </c>
      <c r="F10" s="13" t="s">
        <v>1497</v>
      </c>
      <c r="G10" s="13" t="s">
        <v>1498</v>
      </c>
      <c r="H10" s="11" t="s">
        <v>328</v>
      </c>
      <c r="I10" s="13" t="s">
        <v>991</v>
      </c>
      <c r="J10" s="11" t="s">
        <v>100</v>
      </c>
      <c r="K10" s="11" t="s">
        <v>101</v>
      </c>
      <c r="L10" s="11" t="s">
        <v>387</v>
      </c>
      <c r="M10" s="13" t="s">
        <v>743</v>
      </c>
      <c r="N10" s="13" t="s">
        <v>139</v>
      </c>
      <c r="O10" s="11" t="s">
        <v>105</v>
      </c>
      <c r="P10" s="127">
        <v>50</v>
      </c>
      <c r="Q10" s="149">
        <v>3.6469999999999998</v>
      </c>
      <c r="R10" s="150">
        <v>116945.5</v>
      </c>
      <c r="S10" s="114"/>
      <c r="T10" s="126">
        <v>213.25</v>
      </c>
      <c r="U10" s="148">
        <v>1.9999999999999999E-6</v>
      </c>
      <c r="V10" s="148">
        <v>4.9179755859536198E-2</v>
      </c>
      <c r="W10" s="148">
        <v>1.0403921776440801E-2</v>
      </c>
    </row>
    <row r="11" spans="1:23">
      <c r="A11" s="13">
        <v>301</v>
      </c>
      <c r="B11" s="13">
        <v>7209</v>
      </c>
      <c r="C11" s="13" t="s">
        <v>1499</v>
      </c>
      <c r="D11" s="13" t="s">
        <v>1500</v>
      </c>
      <c r="E11" s="11" t="s">
        <v>321</v>
      </c>
      <c r="F11" s="13" t="s">
        <v>1501</v>
      </c>
      <c r="G11" s="13" t="s">
        <v>1502</v>
      </c>
      <c r="H11" s="11" t="s">
        <v>328</v>
      </c>
      <c r="I11" s="13" t="s">
        <v>993</v>
      </c>
      <c r="J11" s="11" t="s">
        <v>100</v>
      </c>
      <c r="K11" s="11" t="s">
        <v>305</v>
      </c>
      <c r="L11" s="11" t="s">
        <v>387</v>
      </c>
      <c r="M11" s="13" t="s">
        <v>740</v>
      </c>
      <c r="N11" s="13" t="s">
        <v>139</v>
      </c>
      <c r="O11" s="11" t="s">
        <v>105</v>
      </c>
      <c r="P11" s="127">
        <v>5700</v>
      </c>
      <c r="Q11" s="149">
        <v>3.6469999999999998</v>
      </c>
      <c r="R11" s="150">
        <v>586.15</v>
      </c>
      <c r="S11" s="114"/>
      <c r="T11" s="126">
        <v>121.848</v>
      </c>
      <c r="U11" s="148">
        <v>1.7E-5</v>
      </c>
      <c r="V11" s="148">
        <v>2.8100657009168001E-2</v>
      </c>
      <c r="W11" s="148">
        <v>5.9446622351072096E-3</v>
      </c>
    </row>
    <row r="12" spans="1:23">
      <c r="A12" s="13">
        <v>301</v>
      </c>
      <c r="B12" s="13">
        <v>7209</v>
      </c>
      <c r="C12" s="13" t="s">
        <v>1503</v>
      </c>
      <c r="D12" s="13" t="s">
        <v>1504</v>
      </c>
      <c r="E12" s="11" t="s">
        <v>321</v>
      </c>
      <c r="F12" s="13" t="s">
        <v>1505</v>
      </c>
      <c r="G12" s="13" t="s">
        <v>1506</v>
      </c>
      <c r="H12" s="11" t="s">
        <v>328</v>
      </c>
      <c r="I12" s="13" t="s">
        <v>993</v>
      </c>
      <c r="J12" s="11" t="s">
        <v>100</v>
      </c>
      <c r="K12" s="11" t="s">
        <v>101</v>
      </c>
      <c r="L12" s="11" t="s">
        <v>109</v>
      </c>
      <c r="M12" s="13" t="s">
        <v>740</v>
      </c>
      <c r="N12" s="13" t="s">
        <v>139</v>
      </c>
      <c r="O12" s="11" t="s">
        <v>105</v>
      </c>
      <c r="P12" s="127">
        <v>2600</v>
      </c>
      <c r="Q12" s="149">
        <v>3.6469999999999998</v>
      </c>
      <c r="R12" s="150">
        <v>655.45</v>
      </c>
      <c r="S12" s="114"/>
      <c r="T12" s="126">
        <v>62.151000000000003</v>
      </c>
      <c r="U12" s="148">
        <v>0</v>
      </c>
      <c r="V12" s="148">
        <v>1.43332859397148E-2</v>
      </c>
      <c r="W12" s="148">
        <v>3.0321904431991299E-3</v>
      </c>
    </row>
    <row r="13" spans="1:23">
      <c r="A13" s="13">
        <v>301</v>
      </c>
      <c r="B13" s="13">
        <v>7209</v>
      </c>
      <c r="C13" s="13" t="s">
        <v>1499</v>
      </c>
      <c r="D13" s="13" t="s">
        <v>1500</v>
      </c>
      <c r="E13" s="11" t="s">
        <v>321</v>
      </c>
      <c r="F13" s="13" t="s">
        <v>1507</v>
      </c>
      <c r="G13" s="13" t="s">
        <v>1508</v>
      </c>
      <c r="H13" s="11" t="s">
        <v>328</v>
      </c>
      <c r="I13" s="13" t="s">
        <v>991</v>
      </c>
      <c r="J13" s="11" t="s">
        <v>100</v>
      </c>
      <c r="K13" s="11" t="s">
        <v>302</v>
      </c>
      <c r="L13" s="11" t="s">
        <v>375</v>
      </c>
      <c r="M13" s="13" t="s">
        <v>743</v>
      </c>
      <c r="N13" s="13" t="s">
        <v>139</v>
      </c>
      <c r="O13" s="11" t="s">
        <v>1183</v>
      </c>
      <c r="P13" s="127">
        <v>740</v>
      </c>
      <c r="Q13" s="149">
        <v>3.7964000000000002</v>
      </c>
      <c r="R13" s="150">
        <v>4909</v>
      </c>
      <c r="S13" s="114"/>
      <c r="T13" s="126">
        <v>137.91</v>
      </c>
      <c r="U13" s="148">
        <v>5.0000000000000004E-6</v>
      </c>
      <c r="V13" s="148">
        <v>3.1804883002603798E-2</v>
      </c>
      <c r="W13" s="148">
        <v>6.7282870580533897E-3</v>
      </c>
    </row>
    <row r="14" spans="1:23">
      <c r="A14" s="13">
        <v>301</v>
      </c>
      <c r="B14" s="13">
        <v>7209</v>
      </c>
      <c r="C14" s="13" t="s">
        <v>1499</v>
      </c>
      <c r="D14" s="13" t="s">
        <v>1500</v>
      </c>
      <c r="E14" s="11" t="s">
        <v>321</v>
      </c>
      <c r="F14" s="13" t="s">
        <v>1509</v>
      </c>
      <c r="G14" s="13" t="s">
        <v>1510</v>
      </c>
      <c r="H14" s="11" t="s">
        <v>328</v>
      </c>
      <c r="I14" s="13" t="s">
        <v>991</v>
      </c>
      <c r="J14" s="11" t="s">
        <v>100</v>
      </c>
      <c r="K14" s="11" t="s">
        <v>101</v>
      </c>
      <c r="L14" s="11" t="s">
        <v>109</v>
      </c>
      <c r="M14" s="13" t="s">
        <v>743</v>
      </c>
      <c r="N14" s="13" t="s">
        <v>139</v>
      </c>
      <c r="O14" s="11" t="s">
        <v>105</v>
      </c>
      <c r="P14" s="127">
        <v>4210</v>
      </c>
      <c r="Q14" s="149">
        <v>3.6469999999999998</v>
      </c>
      <c r="R14" s="150">
        <v>639.75</v>
      </c>
      <c r="S14" s="114"/>
      <c r="T14" s="126">
        <v>98.225999999999999</v>
      </c>
      <c r="U14" s="148">
        <v>0</v>
      </c>
      <c r="V14" s="148">
        <v>2.26529746753645E-2</v>
      </c>
      <c r="W14" s="148">
        <v>4.7922111935512603E-3</v>
      </c>
    </row>
    <row r="15" spans="1:23">
      <c r="A15" s="13">
        <v>301</v>
      </c>
      <c r="B15" s="13">
        <v>7209</v>
      </c>
      <c r="C15" s="13" t="s">
        <v>1499</v>
      </c>
      <c r="D15" s="13" t="s">
        <v>1500</v>
      </c>
      <c r="E15" s="11" t="s">
        <v>321</v>
      </c>
      <c r="F15" s="13" t="s">
        <v>1511</v>
      </c>
      <c r="G15" s="13" t="s">
        <v>1512</v>
      </c>
      <c r="H15" s="11" t="s">
        <v>328</v>
      </c>
      <c r="I15" s="13" t="s">
        <v>991</v>
      </c>
      <c r="J15" s="11" t="s">
        <v>100</v>
      </c>
      <c r="K15" s="11" t="s">
        <v>101</v>
      </c>
      <c r="L15" s="11" t="s">
        <v>109</v>
      </c>
      <c r="M15" s="13" t="s">
        <v>743</v>
      </c>
      <c r="N15" s="13" t="s">
        <v>139</v>
      </c>
      <c r="O15" s="11" t="s">
        <v>105</v>
      </c>
      <c r="P15" s="127">
        <v>2385</v>
      </c>
      <c r="Q15" s="149">
        <v>3.6469999999999998</v>
      </c>
      <c r="R15" s="150">
        <v>1105.1559999999999</v>
      </c>
      <c r="S15" s="114"/>
      <c r="T15" s="126">
        <v>96.128</v>
      </c>
      <c r="U15" s="148">
        <v>7.2999999999999999E-5</v>
      </c>
      <c r="V15" s="148">
        <v>2.2168938414018E-2</v>
      </c>
      <c r="W15" s="148">
        <v>4.6898138694491699E-3</v>
      </c>
    </row>
    <row r="16" spans="1:23">
      <c r="A16" s="13">
        <v>301</v>
      </c>
      <c r="B16" s="13">
        <v>7209</v>
      </c>
      <c r="C16" s="13" t="s">
        <v>1499</v>
      </c>
      <c r="D16" s="13" t="s">
        <v>1500</v>
      </c>
      <c r="E16" s="11" t="s">
        <v>321</v>
      </c>
      <c r="F16" s="13" t="s">
        <v>1513</v>
      </c>
      <c r="G16" s="13" t="s">
        <v>1514</v>
      </c>
      <c r="H16" s="11" t="s">
        <v>328</v>
      </c>
      <c r="I16" s="13" t="s">
        <v>993</v>
      </c>
      <c r="J16" s="11" t="s">
        <v>100</v>
      </c>
      <c r="K16" s="11" t="s">
        <v>101</v>
      </c>
      <c r="L16" s="11" t="s">
        <v>387</v>
      </c>
      <c r="M16" s="13" t="s">
        <v>740</v>
      </c>
      <c r="N16" s="13" t="s">
        <v>139</v>
      </c>
      <c r="O16" s="11" t="s">
        <v>105</v>
      </c>
      <c r="P16" s="127">
        <v>3230</v>
      </c>
      <c r="Q16" s="149">
        <v>3.6469999999999998</v>
      </c>
      <c r="R16" s="150">
        <v>595.1</v>
      </c>
      <c r="S16" s="114"/>
      <c r="T16" s="126">
        <v>70.102000000000004</v>
      </c>
      <c r="U16" s="148">
        <v>0</v>
      </c>
      <c r="V16" s="148">
        <v>1.6166846755076899E-2</v>
      </c>
      <c r="W16" s="148">
        <v>3.42007816167131E-3</v>
      </c>
    </row>
    <row r="17" spans="1:23">
      <c r="A17" s="13">
        <v>301</v>
      </c>
      <c r="B17" s="13">
        <v>7209</v>
      </c>
      <c r="C17" s="13" t="s">
        <v>1499</v>
      </c>
      <c r="D17" s="13" t="s">
        <v>1500</v>
      </c>
      <c r="E17" s="11" t="s">
        <v>321</v>
      </c>
      <c r="F17" s="13" t="s">
        <v>1515</v>
      </c>
      <c r="G17" s="13" t="s">
        <v>1516</v>
      </c>
      <c r="H17" s="11" t="s">
        <v>328</v>
      </c>
      <c r="I17" s="13" t="s">
        <v>991</v>
      </c>
      <c r="J17" s="11" t="s">
        <v>100</v>
      </c>
      <c r="K17" s="11" t="s">
        <v>101</v>
      </c>
      <c r="L17" s="11" t="s">
        <v>351</v>
      </c>
      <c r="M17" s="13" t="s">
        <v>743</v>
      </c>
      <c r="N17" s="13" t="s">
        <v>139</v>
      </c>
      <c r="O17" s="11" t="s">
        <v>105</v>
      </c>
      <c r="P17" s="127">
        <v>260</v>
      </c>
      <c r="Q17" s="149">
        <v>3.6469999999999998</v>
      </c>
      <c r="R17" s="150">
        <v>10339</v>
      </c>
      <c r="S17" s="114"/>
      <c r="T17" s="126">
        <v>98.036000000000001</v>
      </c>
      <c r="U17" s="148">
        <v>1.0000000000000001E-5</v>
      </c>
      <c r="V17" s="148">
        <v>2.26091758838525E-2</v>
      </c>
      <c r="W17" s="148">
        <v>4.7829456087017698E-3</v>
      </c>
    </row>
    <row r="18" spans="1:23">
      <c r="A18" s="13">
        <v>301</v>
      </c>
      <c r="B18" s="13">
        <v>7209</v>
      </c>
      <c r="C18" s="13" t="s">
        <v>1499</v>
      </c>
      <c r="D18" s="13" t="s">
        <v>1500</v>
      </c>
      <c r="E18" s="11" t="s">
        <v>321</v>
      </c>
      <c r="F18" s="13" t="s">
        <v>1517</v>
      </c>
      <c r="G18" s="13" t="s">
        <v>1518</v>
      </c>
      <c r="H18" s="11" t="s">
        <v>328</v>
      </c>
      <c r="I18" s="13" t="s">
        <v>991</v>
      </c>
      <c r="J18" s="11" t="s">
        <v>100</v>
      </c>
      <c r="K18" s="11" t="s">
        <v>101</v>
      </c>
      <c r="L18" s="11" t="s">
        <v>387</v>
      </c>
      <c r="M18" s="13" t="s">
        <v>743</v>
      </c>
      <c r="N18" s="13" t="s">
        <v>139</v>
      </c>
      <c r="O18" s="11" t="s">
        <v>105</v>
      </c>
      <c r="P18" s="127">
        <v>15</v>
      </c>
      <c r="Q18" s="149">
        <v>3.6469999999999998</v>
      </c>
      <c r="R18" s="150">
        <v>121767</v>
      </c>
      <c r="S18" s="114"/>
      <c r="T18" s="126">
        <v>66.613</v>
      </c>
      <c r="U18" s="148">
        <v>9.9999999999999995E-7</v>
      </c>
      <c r="V18" s="148">
        <v>1.53622105983081E-2</v>
      </c>
      <c r="W18" s="148">
        <v>3.2498582919869598E-3</v>
      </c>
    </row>
    <row r="19" spans="1:23">
      <c r="A19" s="13">
        <v>301</v>
      </c>
      <c r="B19" s="13">
        <v>7209</v>
      </c>
      <c r="C19" s="13" t="s">
        <v>1519</v>
      </c>
      <c r="D19" s="13" t="s">
        <v>1520</v>
      </c>
      <c r="E19" s="11" t="s">
        <v>321</v>
      </c>
      <c r="F19" s="13" t="s">
        <v>1521</v>
      </c>
      <c r="G19" s="13" t="s">
        <v>1522</v>
      </c>
      <c r="H19" s="11" t="s">
        <v>328</v>
      </c>
      <c r="I19" s="13" t="s">
        <v>993</v>
      </c>
      <c r="J19" s="11" t="s">
        <v>100</v>
      </c>
      <c r="K19" s="11" t="s">
        <v>101</v>
      </c>
      <c r="L19" s="11" t="s">
        <v>1523</v>
      </c>
      <c r="M19" s="13" t="s">
        <v>740</v>
      </c>
      <c r="N19" s="13" t="s">
        <v>139</v>
      </c>
      <c r="O19" s="11" t="s">
        <v>105</v>
      </c>
      <c r="P19" s="127">
        <v>1070</v>
      </c>
      <c r="Q19" s="149">
        <v>3.6469999999999998</v>
      </c>
      <c r="R19" s="150">
        <v>1080.5999999999999</v>
      </c>
      <c r="S19" s="114"/>
      <c r="T19" s="126">
        <v>42.167999999999999</v>
      </c>
      <c r="U19" s="148">
        <v>6.6000000000000005E-5</v>
      </c>
      <c r="V19" s="148">
        <v>9.7248204119939393E-3</v>
      </c>
      <c r="W19" s="148">
        <v>2.0572747686119601E-3</v>
      </c>
    </row>
    <row r="20" spans="1:23">
      <c r="A20" s="2">
        <v>301</v>
      </c>
      <c r="B20" s="2">
        <v>7209</v>
      </c>
      <c r="C20" s="2" t="s">
        <v>1519</v>
      </c>
      <c r="D20" s="2" t="s">
        <v>1520</v>
      </c>
      <c r="E20" s="11" t="s">
        <v>321</v>
      </c>
      <c r="F20" s="2" t="s">
        <v>1524</v>
      </c>
      <c r="G20" s="2" t="s">
        <v>1525</v>
      </c>
      <c r="H20" s="11" t="s">
        <v>328</v>
      </c>
      <c r="I20" s="13" t="s">
        <v>991</v>
      </c>
      <c r="J20" s="11" t="s">
        <v>100</v>
      </c>
      <c r="K20" s="11" t="s">
        <v>101</v>
      </c>
      <c r="L20" s="11" t="s">
        <v>387</v>
      </c>
      <c r="M20" s="13" t="s">
        <v>743</v>
      </c>
      <c r="N20" s="13" t="s">
        <v>139</v>
      </c>
      <c r="O20" s="2" t="s">
        <v>105</v>
      </c>
      <c r="P20" s="127">
        <v>8660</v>
      </c>
      <c r="Q20" s="134">
        <v>3.6469999999999998</v>
      </c>
      <c r="R20" s="151">
        <v>1443.9</v>
      </c>
      <c r="S20" s="115"/>
      <c r="T20" s="124">
        <v>456.02699999999999</v>
      </c>
      <c r="U20" s="140">
        <v>0</v>
      </c>
      <c r="V20" s="140">
        <v>0.105169027375172</v>
      </c>
      <c r="W20" s="140">
        <v>2.2248388894828001E-2</v>
      </c>
    </row>
    <row r="21" spans="1:23">
      <c r="A21" s="2">
        <v>301</v>
      </c>
      <c r="B21" s="2">
        <v>7209</v>
      </c>
      <c r="C21" s="2" t="s">
        <v>1519</v>
      </c>
      <c r="D21" s="2" t="s">
        <v>1520</v>
      </c>
      <c r="E21" s="3" t="s">
        <v>321</v>
      </c>
      <c r="F21" s="2" t="s">
        <v>1526</v>
      </c>
      <c r="G21" s="2" t="s">
        <v>1527</v>
      </c>
      <c r="H21" s="3" t="s">
        <v>328</v>
      </c>
      <c r="I21" s="2" t="s">
        <v>991</v>
      </c>
      <c r="J21" s="2" t="s">
        <v>100</v>
      </c>
      <c r="K21" s="2" t="s">
        <v>277</v>
      </c>
      <c r="L21" s="3" t="s">
        <v>351</v>
      </c>
      <c r="M21" s="2" t="s">
        <v>743</v>
      </c>
      <c r="N21" s="2" t="s">
        <v>139</v>
      </c>
      <c r="O21" s="2" t="s">
        <v>105</v>
      </c>
      <c r="P21" s="125">
        <v>830</v>
      </c>
      <c r="Q21" s="134">
        <v>3.6469999999999998</v>
      </c>
      <c r="R21" s="151">
        <v>7588</v>
      </c>
      <c r="S21" s="115"/>
      <c r="T21" s="124">
        <v>229.69</v>
      </c>
      <c r="U21" s="140">
        <v>4.6999999999999997E-5</v>
      </c>
      <c r="V21" s="140">
        <v>5.2971011213529998E-2</v>
      </c>
      <c r="W21" s="140">
        <v>1.12059575622654E-2</v>
      </c>
    </row>
    <row r="22" spans="1:23">
      <c r="A22" s="2">
        <v>301</v>
      </c>
      <c r="B22" s="2">
        <v>7209</v>
      </c>
      <c r="C22" s="2" t="s">
        <v>1519</v>
      </c>
      <c r="D22" s="2" t="s">
        <v>1520</v>
      </c>
      <c r="E22" s="3" t="s">
        <v>321</v>
      </c>
      <c r="F22" s="2" t="s">
        <v>1528</v>
      </c>
      <c r="G22" s="2" t="s">
        <v>1529</v>
      </c>
      <c r="H22" s="2" t="s">
        <v>328</v>
      </c>
      <c r="I22" s="2" t="s">
        <v>991</v>
      </c>
      <c r="J22" s="2" t="s">
        <v>100</v>
      </c>
      <c r="K22" s="2" t="s">
        <v>101</v>
      </c>
      <c r="L22" s="3" t="s">
        <v>387</v>
      </c>
      <c r="M22" s="2" t="s">
        <v>743</v>
      </c>
      <c r="N22" s="2" t="s">
        <v>139</v>
      </c>
      <c r="O22" s="2" t="s">
        <v>105</v>
      </c>
      <c r="P22" s="125">
        <v>740</v>
      </c>
      <c r="Q22" s="134">
        <v>3.6469999999999998</v>
      </c>
      <c r="R22" s="151">
        <v>3282</v>
      </c>
      <c r="S22" s="115"/>
      <c r="T22" s="124">
        <v>88.573999999999998</v>
      </c>
      <c r="U22" s="140">
        <v>0</v>
      </c>
      <c r="V22" s="140">
        <v>2.0426932111272101E-2</v>
      </c>
      <c r="W22" s="140">
        <v>4.3212944046596598E-3</v>
      </c>
    </row>
    <row r="23" spans="1:23">
      <c r="A23" s="2">
        <v>301</v>
      </c>
      <c r="B23" s="2">
        <v>7209</v>
      </c>
      <c r="C23" s="2" t="s">
        <v>1530</v>
      </c>
      <c r="D23" s="2" t="s">
        <v>1531</v>
      </c>
      <c r="E23" s="3" t="s">
        <v>321</v>
      </c>
      <c r="F23" s="2" t="s">
        <v>1532</v>
      </c>
      <c r="G23" s="2" t="s">
        <v>1533</v>
      </c>
      <c r="H23" s="2" t="s">
        <v>328</v>
      </c>
      <c r="I23" s="2" t="s">
        <v>991</v>
      </c>
      <c r="J23" s="2" t="s">
        <v>100</v>
      </c>
      <c r="K23" s="2" t="s">
        <v>101</v>
      </c>
      <c r="L23" s="2" t="s">
        <v>351</v>
      </c>
      <c r="M23" s="2" t="s">
        <v>743</v>
      </c>
      <c r="N23" s="2" t="s">
        <v>139</v>
      </c>
      <c r="O23" s="2" t="s">
        <v>105</v>
      </c>
      <c r="P23" s="125">
        <v>490</v>
      </c>
      <c r="Q23" s="134">
        <v>3.6469999999999998</v>
      </c>
      <c r="R23" s="151">
        <v>53881</v>
      </c>
      <c r="S23" s="115"/>
      <c r="T23" s="124">
        <v>962.87</v>
      </c>
      <c r="U23" s="140">
        <v>9.9999999999999995E-7</v>
      </c>
      <c r="V23" s="140">
        <v>0.22205705537693299</v>
      </c>
      <c r="W23" s="140">
        <v>4.69759191291396E-2</v>
      </c>
    </row>
    <row r="24" spans="1:23">
      <c r="A24" s="2">
        <v>301</v>
      </c>
      <c r="B24" s="2">
        <v>7209</v>
      </c>
      <c r="C24" s="2" t="s">
        <v>1534</v>
      </c>
      <c r="D24" s="2" t="s">
        <v>1535</v>
      </c>
      <c r="E24" s="3" t="s">
        <v>321</v>
      </c>
      <c r="F24" s="2" t="s">
        <v>1536</v>
      </c>
      <c r="G24" s="2" t="s">
        <v>1537</v>
      </c>
      <c r="H24" s="2" t="s">
        <v>328</v>
      </c>
      <c r="I24" s="2" t="s">
        <v>991</v>
      </c>
      <c r="J24" s="2" t="s">
        <v>100</v>
      </c>
      <c r="K24" s="2" t="s">
        <v>260</v>
      </c>
      <c r="L24" s="2" t="s">
        <v>351</v>
      </c>
      <c r="M24" s="2" t="s">
        <v>743</v>
      </c>
      <c r="N24" s="2" t="s">
        <v>139</v>
      </c>
      <c r="O24" s="2" t="s">
        <v>105</v>
      </c>
      <c r="P24" s="125">
        <v>340</v>
      </c>
      <c r="Q24" s="134">
        <v>3.6469999999999998</v>
      </c>
      <c r="R24" s="151">
        <v>11029</v>
      </c>
      <c r="S24" s="115"/>
      <c r="T24" s="124">
        <v>136.75700000000001</v>
      </c>
      <c r="U24" s="140">
        <v>1.1E-5</v>
      </c>
      <c r="V24" s="140">
        <v>3.1538998816960102E-2</v>
      </c>
      <c r="W24" s="140">
        <v>6.67203955904322E-3</v>
      </c>
    </row>
    <row r="25" spans="1:23">
      <c r="A25" s="2">
        <v>301</v>
      </c>
      <c r="B25" s="2">
        <v>7210</v>
      </c>
      <c r="C25" s="2" t="s">
        <v>1473</v>
      </c>
      <c r="D25" s="2" t="s">
        <v>1474</v>
      </c>
      <c r="E25" s="3" t="s">
        <v>1330</v>
      </c>
      <c r="F25" s="2" t="s">
        <v>1475</v>
      </c>
      <c r="G25" s="2" t="s">
        <v>1476</v>
      </c>
      <c r="H25" s="2" t="s">
        <v>328</v>
      </c>
      <c r="I25" s="2" t="s">
        <v>990</v>
      </c>
      <c r="J25" s="2" t="s">
        <v>30</v>
      </c>
      <c r="K25" s="2" t="s">
        <v>30</v>
      </c>
      <c r="L25" s="2" t="s">
        <v>45</v>
      </c>
      <c r="M25" s="2" t="s">
        <v>1472</v>
      </c>
      <c r="N25" s="2" t="s">
        <v>139</v>
      </c>
      <c r="O25" s="2" t="s">
        <v>34</v>
      </c>
      <c r="P25" s="125">
        <v>210000</v>
      </c>
      <c r="Q25" s="134">
        <v>1</v>
      </c>
      <c r="R25" s="151">
        <v>3748</v>
      </c>
      <c r="S25" s="115"/>
      <c r="T25" s="124">
        <v>7870.8</v>
      </c>
      <c r="U25" s="140">
        <v>2.4710000000000001E-3</v>
      </c>
      <c r="V25" s="140">
        <v>4.8148859431538599E-2</v>
      </c>
      <c r="W25" s="140">
        <v>5.6953024186128902E-3</v>
      </c>
    </row>
    <row r="26" spans="1:23">
      <c r="A26" s="2">
        <v>301</v>
      </c>
      <c r="B26" s="2">
        <v>7210</v>
      </c>
      <c r="C26" s="2" t="s">
        <v>1473</v>
      </c>
      <c r="D26" s="2" t="s">
        <v>1474</v>
      </c>
      <c r="E26" s="3" t="s">
        <v>1330</v>
      </c>
      <c r="F26" s="2" t="s">
        <v>1477</v>
      </c>
      <c r="G26" s="4" t="s">
        <v>1478</v>
      </c>
      <c r="H26" s="2" t="s">
        <v>328</v>
      </c>
      <c r="I26" s="2" t="s">
        <v>990</v>
      </c>
      <c r="J26" s="2" t="s">
        <v>30</v>
      </c>
      <c r="K26" s="2" t="s">
        <v>30</v>
      </c>
      <c r="L26" s="2" t="s">
        <v>45</v>
      </c>
      <c r="M26" s="2" t="s">
        <v>1472</v>
      </c>
      <c r="N26" s="2" t="s">
        <v>139</v>
      </c>
      <c r="O26" s="2" t="s">
        <v>34</v>
      </c>
      <c r="P26" s="125">
        <v>464400</v>
      </c>
      <c r="Q26" s="134">
        <v>1</v>
      </c>
      <c r="R26" s="151">
        <v>3630</v>
      </c>
      <c r="S26" s="115"/>
      <c r="T26" s="124">
        <v>16857.72</v>
      </c>
      <c r="U26" s="140">
        <v>9.0679999999999997E-3</v>
      </c>
      <c r="V26" s="140">
        <v>0.10312547525235501</v>
      </c>
      <c r="W26" s="140">
        <v>1.2198228069357501E-2</v>
      </c>
    </row>
    <row r="27" spans="1:23">
      <c r="A27" s="2">
        <v>301</v>
      </c>
      <c r="B27" s="2">
        <v>7210</v>
      </c>
      <c r="C27" s="2" t="s">
        <v>1483</v>
      </c>
      <c r="D27" s="2" t="s">
        <v>1484</v>
      </c>
      <c r="E27" s="3" t="s">
        <v>1330</v>
      </c>
      <c r="F27" s="2" t="s">
        <v>1485</v>
      </c>
      <c r="G27" s="2" t="s">
        <v>1486</v>
      </c>
      <c r="H27" s="2" t="s">
        <v>328</v>
      </c>
      <c r="I27" s="2" t="s">
        <v>990</v>
      </c>
      <c r="J27" s="2" t="s">
        <v>30</v>
      </c>
      <c r="K27" s="2" t="s">
        <v>30</v>
      </c>
      <c r="L27" s="2" t="s">
        <v>45</v>
      </c>
      <c r="M27" s="2" t="s">
        <v>1472</v>
      </c>
      <c r="N27" s="2" t="s">
        <v>139</v>
      </c>
      <c r="O27" s="2" t="s">
        <v>34</v>
      </c>
      <c r="P27" s="125">
        <v>119500</v>
      </c>
      <c r="Q27" s="134">
        <v>1</v>
      </c>
      <c r="R27" s="151">
        <v>6621</v>
      </c>
      <c r="S27" s="115"/>
      <c r="T27" s="124">
        <v>7912.0950000000003</v>
      </c>
      <c r="U27" s="140">
        <v>1.0864E-2</v>
      </c>
      <c r="V27" s="140">
        <v>4.8401477608880798E-2</v>
      </c>
      <c r="W27" s="140">
        <v>5.7251834362193098E-3</v>
      </c>
    </row>
    <row r="28" spans="1:23">
      <c r="A28" s="2">
        <v>301</v>
      </c>
      <c r="B28" s="2">
        <v>7210</v>
      </c>
      <c r="C28" s="2" t="s">
        <v>1487</v>
      </c>
      <c r="D28" s="2" t="s">
        <v>1488</v>
      </c>
      <c r="E28" s="3" t="s">
        <v>1330</v>
      </c>
      <c r="F28" s="2" t="s">
        <v>1489</v>
      </c>
      <c r="G28" s="2" t="s">
        <v>1490</v>
      </c>
      <c r="H28" s="2" t="s">
        <v>328</v>
      </c>
      <c r="I28" s="2" t="s">
        <v>990</v>
      </c>
      <c r="J28" s="2" t="s">
        <v>30</v>
      </c>
      <c r="K28" s="2" t="s">
        <v>30</v>
      </c>
      <c r="L28" s="2" t="s">
        <v>45</v>
      </c>
      <c r="M28" s="2" t="s">
        <v>1472</v>
      </c>
      <c r="N28" s="2" t="s">
        <v>139</v>
      </c>
      <c r="O28" s="2" t="s">
        <v>34</v>
      </c>
      <c r="P28" s="125">
        <v>49000</v>
      </c>
      <c r="Q28" s="134">
        <v>1</v>
      </c>
      <c r="R28" s="151">
        <v>23840</v>
      </c>
      <c r="S28" s="115"/>
      <c r="T28" s="124">
        <v>11681.6</v>
      </c>
      <c r="U28" s="140">
        <v>1.3829999999999999E-3</v>
      </c>
      <c r="V28" s="140">
        <v>7.1461060671781901E-2</v>
      </c>
      <c r="W28" s="140">
        <v>8.4527932018687198E-3</v>
      </c>
    </row>
    <row r="29" spans="1:23">
      <c r="A29" s="2">
        <v>301</v>
      </c>
      <c r="B29" s="2">
        <v>7210</v>
      </c>
      <c r="C29" s="2" t="s">
        <v>1487</v>
      </c>
      <c r="D29" s="2" t="s">
        <v>1488</v>
      </c>
      <c r="E29" s="3" t="s">
        <v>1330</v>
      </c>
      <c r="F29" s="2" t="s">
        <v>1491</v>
      </c>
      <c r="G29" s="2" t="s">
        <v>1492</v>
      </c>
      <c r="H29" s="2" t="s">
        <v>328</v>
      </c>
      <c r="I29" s="2" t="s">
        <v>990</v>
      </c>
      <c r="J29" s="2" t="s">
        <v>30</v>
      </c>
      <c r="K29" s="2" t="s">
        <v>30</v>
      </c>
      <c r="L29" s="2" t="s">
        <v>45</v>
      </c>
      <c r="M29" s="2" t="s">
        <v>1472</v>
      </c>
      <c r="N29" s="2" t="s">
        <v>139</v>
      </c>
      <c r="O29" s="2" t="s">
        <v>34</v>
      </c>
      <c r="P29" s="125">
        <v>30197</v>
      </c>
      <c r="Q29" s="134">
        <v>1</v>
      </c>
      <c r="R29" s="151">
        <v>23190</v>
      </c>
      <c r="S29" s="115"/>
      <c r="T29" s="124">
        <v>7002.6840000000002</v>
      </c>
      <c r="U29" s="140">
        <v>9.990000000000001E-4</v>
      </c>
      <c r="V29" s="140">
        <v>4.2838245413953098E-2</v>
      </c>
      <c r="W29" s="140">
        <v>5.06713483134783E-3</v>
      </c>
    </row>
    <row r="30" spans="1:23">
      <c r="A30" s="2">
        <v>301</v>
      </c>
      <c r="B30" s="2">
        <v>7210</v>
      </c>
      <c r="C30" s="2" t="s">
        <v>1468</v>
      </c>
      <c r="D30" s="2" t="s">
        <v>1469</v>
      </c>
      <c r="E30" s="3" t="s">
        <v>1330</v>
      </c>
      <c r="F30" s="2" t="s">
        <v>1493</v>
      </c>
      <c r="G30" s="2" t="s">
        <v>1494</v>
      </c>
      <c r="H30" s="2" t="s">
        <v>328</v>
      </c>
      <c r="I30" s="2" t="s">
        <v>990</v>
      </c>
      <c r="J30" s="2" t="s">
        <v>30</v>
      </c>
      <c r="K30" s="2" t="s">
        <v>30</v>
      </c>
      <c r="L30" s="2" t="s">
        <v>45</v>
      </c>
      <c r="M30" s="2" t="s">
        <v>1472</v>
      </c>
      <c r="N30" s="2" t="s">
        <v>139</v>
      </c>
      <c r="O30" s="2" t="s">
        <v>34</v>
      </c>
      <c r="P30" s="125">
        <v>292479</v>
      </c>
      <c r="Q30" s="134">
        <v>1</v>
      </c>
      <c r="R30" s="151">
        <v>2405</v>
      </c>
      <c r="S30" s="115"/>
      <c r="T30" s="124">
        <v>7034.12</v>
      </c>
      <c r="U30" s="140">
        <v>7.1699999999999997E-4</v>
      </c>
      <c r="V30" s="140">
        <v>4.30305499691431E-2</v>
      </c>
      <c r="W30" s="140">
        <v>5.0898816338933997E-3</v>
      </c>
    </row>
    <row r="31" spans="1:23">
      <c r="A31" s="2">
        <v>301</v>
      </c>
      <c r="B31" s="2">
        <v>7210</v>
      </c>
      <c r="C31" s="2" t="s">
        <v>1464</v>
      </c>
      <c r="D31" s="2" t="s">
        <v>1465</v>
      </c>
      <c r="E31" s="3" t="s">
        <v>321</v>
      </c>
      <c r="F31" s="2" t="s">
        <v>1495</v>
      </c>
      <c r="G31" s="2" t="s">
        <v>1496</v>
      </c>
      <c r="H31" s="2" t="s">
        <v>328</v>
      </c>
      <c r="I31" s="2" t="s">
        <v>991</v>
      </c>
      <c r="J31" s="2" t="s">
        <v>100</v>
      </c>
      <c r="K31" s="2" t="s">
        <v>101</v>
      </c>
      <c r="L31" s="2" t="s">
        <v>353</v>
      </c>
      <c r="M31" s="2" t="s">
        <v>743</v>
      </c>
      <c r="N31" s="2" t="s">
        <v>139</v>
      </c>
      <c r="O31" s="2" t="s">
        <v>105</v>
      </c>
      <c r="P31" s="125">
        <v>16500</v>
      </c>
      <c r="Q31" s="134">
        <v>3.6469999999999998</v>
      </c>
      <c r="R31" s="151">
        <v>51123</v>
      </c>
      <c r="S31" s="129">
        <v>13.772</v>
      </c>
      <c r="T31" s="124">
        <v>30813.746999999999</v>
      </c>
      <c r="U31" s="140">
        <v>2.9E-5</v>
      </c>
      <c r="V31" s="140">
        <v>0.188500123284808</v>
      </c>
      <c r="W31" s="140">
        <v>2.22967941655869E-2</v>
      </c>
    </row>
    <row r="32" spans="1:23">
      <c r="A32" s="2">
        <v>301</v>
      </c>
      <c r="B32" s="2">
        <v>7210</v>
      </c>
      <c r="C32" s="2" t="s">
        <v>1499</v>
      </c>
      <c r="D32" s="2" t="s">
        <v>1500</v>
      </c>
      <c r="E32" s="3" t="s">
        <v>321</v>
      </c>
      <c r="F32" s="2" t="s">
        <v>1501</v>
      </c>
      <c r="G32" s="2" t="s">
        <v>1502</v>
      </c>
      <c r="H32" s="2" t="s">
        <v>328</v>
      </c>
      <c r="I32" s="2" t="s">
        <v>993</v>
      </c>
      <c r="J32" s="2" t="s">
        <v>100</v>
      </c>
      <c r="K32" s="2" t="s">
        <v>305</v>
      </c>
      <c r="L32" s="2" t="s">
        <v>387</v>
      </c>
      <c r="M32" s="2" t="s">
        <v>740</v>
      </c>
      <c r="N32" s="2" t="s">
        <v>139</v>
      </c>
      <c r="O32" s="2" t="s">
        <v>105</v>
      </c>
      <c r="P32" s="125">
        <v>160000</v>
      </c>
      <c r="Q32" s="134">
        <v>3.6469999999999998</v>
      </c>
      <c r="R32" s="151">
        <v>586.15</v>
      </c>
      <c r="S32" s="115"/>
      <c r="T32" s="124">
        <v>3420.3020000000001</v>
      </c>
      <c r="U32" s="140">
        <v>4.7199999999999998E-4</v>
      </c>
      <c r="V32" s="140">
        <v>2.0923370346453099E-2</v>
      </c>
      <c r="W32" s="140">
        <v>2.4749271975824101E-3</v>
      </c>
    </row>
    <row r="33" spans="1:23">
      <c r="A33" s="2">
        <v>301</v>
      </c>
      <c r="B33" s="2">
        <v>7210</v>
      </c>
      <c r="C33" s="2" t="s">
        <v>1503</v>
      </c>
      <c r="D33" s="2" t="s">
        <v>1504</v>
      </c>
      <c r="E33" s="3" t="s">
        <v>321</v>
      </c>
      <c r="F33" s="2" t="s">
        <v>1505</v>
      </c>
      <c r="G33" s="2" t="s">
        <v>1506</v>
      </c>
      <c r="H33" s="2" t="s">
        <v>328</v>
      </c>
      <c r="I33" s="2" t="s">
        <v>993</v>
      </c>
      <c r="J33" s="2" t="s">
        <v>100</v>
      </c>
      <c r="K33" s="2" t="s">
        <v>101</v>
      </c>
      <c r="L33" s="2" t="s">
        <v>109</v>
      </c>
      <c r="M33" s="2" t="s">
        <v>740</v>
      </c>
      <c r="N33" s="2" t="s">
        <v>139</v>
      </c>
      <c r="O33" s="2" t="s">
        <v>105</v>
      </c>
      <c r="P33" s="125">
        <v>180000</v>
      </c>
      <c r="Q33" s="134">
        <v>3.6469999999999998</v>
      </c>
      <c r="R33" s="151">
        <v>655.45</v>
      </c>
      <c r="S33" s="115"/>
      <c r="T33" s="124">
        <v>4302.7669999999998</v>
      </c>
      <c r="U33" s="140">
        <v>0</v>
      </c>
      <c r="V33" s="140">
        <v>2.6321762313879501E-2</v>
      </c>
      <c r="W33" s="140">
        <v>3.11347762622591E-3</v>
      </c>
    </row>
    <row r="34" spans="1:23">
      <c r="A34" s="2">
        <v>301</v>
      </c>
      <c r="B34" s="2">
        <v>7210</v>
      </c>
      <c r="C34" s="2" t="s">
        <v>1499</v>
      </c>
      <c r="D34" s="2" t="s">
        <v>1500</v>
      </c>
      <c r="E34" s="3" t="s">
        <v>321</v>
      </c>
      <c r="F34" s="2" t="s">
        <v>1507</v>
      </c>
      <c r="G34" s="2" t="s">
        <v>1508</v>
      </c>
      <c r="H34" s="2" t="s">
        <v>328</v>
      </c>
      <c r="I34" s="2" t="s">
        <v>991</v>
      </c>
      <c r="J34" s="2" t="s">
        <v>100</v>
      </c>
      <c r="K34" s="2" t="s">
        <v>302</v>
      </c>
      <c r="L34" s="2" t="s">
        <v>375</v>
      </c>
      <c r="M34" s="2" t="s">
        <v>743</v>
      </c>
      <c r="N34" s="2" t="s">
        <v>139</v>
      </c>
      <c r="O34" s="2" t="s">
        <v>1183</v>
      </c>
      <c r="P34" s="125">
        <v>64700</v>
      </c>
      <c r="Q34" s="134">
        <v>3.7964000000000002</v>
      </c>
      <c r="R34" s="151">
        <v>4909</v>
      </c>
      <c r="S34" s="115"/>
      <c r="T34" s="124">
        <v>12057.833000000001</v>
      </c>
      <c r="U34" s="140">
        <v>4.5600000000000003E-4</v>
      </c>
      <c r="V34" s="140">
        <v>7.3762631926200597E-2</v>
      </c>
      <c r="W34" s="140">
        <v>8.7250352546745392E-3</v>
      </c>
    </row>
    <row r="35" spans="1:23">
      <c r="A35" s="2">
        <v>301</v>
      </c>
      <c r="B35" s="2">
        <v>7210</v>
      </c>
      <c r="C35" s="2" t="s">
        <v>1499</v>
      </c>
      <c r="D35" s="2" t="s">
        <v>1500</v>
      </c>
      <c r="E35" s="3" t="s">
        <v>321</v>
      </c>
      <c r="F35" s="2" t="s">
        <v>1509</v>
      </c>
      <c r="G35" s="2" t="s">
        <v>1510</v>
      </c>
      <c r="H35" s="2" t="s">
        <v>328</v>
      </c>
      <c r="I35" s="2" t="s">
        <v>991</v>
      </c>
      <c r="J35" s="2" t="s">
        <v>100</v>
      </c>
      <c r="K35" s="2" t="s">
        <v>101</v>
      </c>
      <c r="L35" s="2" t="s">
        <v>109</v>
      </c>
      <c r="M35" s="2" t="s">
        <v>743</v>
      </c>
      <c r="N35" s="2" t="s">
        <v>139</v>
      </c>
      <c r="O35" s="2" t="s">
        <v>105</v>
      </c>
      <c r="P35" s="125">
        <v>285195</v>
      </c>
      <c r="Q35" s="134">
        <v>3.6469999999999998</v>
      </c>
      <c r="R35" s="151">
        <v>639.75</v>
      </c>
      <c r="S35" s="115"/>
      <c r="T35" s="124">
        <v>6654.0789999999997</v>
      </c>
      <c r="U35" s="140">
        <v>0</v>
      </c>
      <c r="V35" s="140">
        <v>4.0705687299121301E-2</v>
      </c>
      <c r="W35" s="140">
        <v>4.8148845489397098E-3</v>
      </c>
    </row>
    <row r="36" spans="1:23">
      <c r="A36" s="2">
        <v>301</v>
      </c>
      <c r="B36" s="2">
        <v>7210</v>
      </c>
      <c r="C36" s="2" t="s">
        <v>1499</v>
      </c>
      <c r="D36" s="2" t="s">
        <v>1500</v>
      </c>
      <c r="E36" s="3" t="s">
        <v>321</v>
      </c>
      <c r="F36" s="2" t="s">
        <v>1511</v>
      </c>
      <c r="G36" s="2" t="s">
        <v>1512</v>
      </c>
      <c r="H36" s="2" t="s">
        <v>328</v>
      </c>
      <c r="I36" s="2" t="s">
        <v>991</v>
      </c>
      <c r="J36" s="2" t="s">
        <v>100</v>
      </c>
      <c r="K36" s="2" t="s">
        <v>101</v>
      </c>
      <c r="L36" s="2" t="s">
        <v>109</v>
      </c>
      <c r="M36" s="2" t="s">
        <v>743</v>
      </c>
      <c r="N36" s="2" t="s">
        <v>139</v>
      </c>
      <c r="O36" s="2" t="s">
        <v>105</v>
      </c>
      <c r="P36" s="125">
        <v>161715</v>
      </c>
      <c r="Q36" s="134">
        <v>3.6469999999999998</v>
      </c>
      <c r="R36" s="151">
        <v>1105.1559999999999</v>
      </c>
      <c r="S36" s="115"/>
      <c r="T36" s="124">
        <v>6517.9309999999996</v>
      </c>
      <c r="U36" s="140">
        <v>4.9300000000000004E-3</v>
      </c>
      <c r="V36" s="140">
        <v>3.9872811515814302E-2</v>
      </c>
      <c r="W36" s="140">
        <v>4.7163675846943398E-3</v>
      </c>
    </row>
    <row r="37" spans="1:23">
      <c r="A37" s="2">
        <v>301</v>
      </c>
      <c r="B37" s="2">
        <v>7210</v>
      </c>
      <c r="C37" s="2" t="s">
        <v>1499</v>
      </c>
      <c r="D37" s="2" t="s">
        <v>1500</v>
      </c>
      <c r="E37" s="3" t="s">
        <v>321</v>
      </c>
      <c r="F37" s="2" t="s">
        <v>1513</v>
      </c>
      <c r="G37" s="2" t="s">
        <v>1514</v>
      </c>
      <c r="H37" s="2" t="s">
        <v>328</v>
      </c>
      <c r="I37" s="2" t="s">
        <v>993</v>
      </c>
      <c r="J37" s="2" t="s">
        <v>100</v>
      </c>
      <c r="K37" s="2" t="s">
        <v>101</v>
      </c>
      <c r="L37" s="2" t="s">
        <v>387</v>
      </c>
      <c r="M37" s="2" t="s">
        <v>740</v>
      </c>
      <c r="N37" s="2" t="s">
        <v>139</v>
      </c>
      <c r="O37" s="2" t="s">
        <v>105</v>
      </c>
      <c r="P37" s="125">
        <v>438800</v>
      </c>
      <c r="Q37" s="134">
        <v>3.6469999999999998</v>
      </c>
      <c r="R37" s="151">
        <v>595.1</v>
      </c>
      <c r="S37" s="115"/>
      <c r="T37" s="124">
        <v>9523.4069999999992</v>
      </c>
      <c r="U37" s="140">
        <v>0</v>
      </c>
      <c r="V37" s="140">
        <v>5.8258521578999099E-2</v>
      </c>
      <c r="W37" s="140">
        <v>6.8911268671994399E-3</v>
      </c>
    </row>
    <row r="38" spans="1:23">
      <c r="A38" s="2">
        <v>301</v>
      </c>
      <c r="B38" s="2">
        <v>7210</v>
      </c>
      <c r="C38" s="2" t="s">
        <v>1499</v>
      </c>
      <c r="D38" s="2" t="s">
        <v>1500</v>
      </c>
      <c r="E38" s="3" t="s">
        <v>321</v>
      </c>
      <c r="F38" s="2" t="s">
        <v>1515</v>
      </c>
      <c r="G38" s="2" t="s">
        <v>1516</v>
      </c>
      <c r="H38" s="2" t="s">
        <v>328</v>
      </c>
      <c r="I38" s="2" t="s">
        <v>991</v>
      </c>
      <c r="J38" s="2" t="s">
        <v>100</v>
      </c>
      <c r="K38" s="2" t="s">
        <v>101</v>
      </c>
      <c r="L38" s="2" t="s">
        <v>351</v>
      </c>
      <c r="M38" s="2" t="s">
        <v>743</v>
      </c>
      <c r="N38" s="2" t="s">
        <v>139</v>
      </c>
      <c r="O38" s="2" t="s">
        <v>105</v>
      </c>
      <c r="P38" s="125">
        <v>15420</v>
      </c>
      <c r="Q38" s="134">
        <v>3.6469999999999998</v>
      </c>
      <c r="R38" s="151">
        <v>10339</v>
      </c>
      <c r="S38" s="115"/>
      <c r="T38" s="124">
        <v>5814.317</v>
      </c>
      <c r="U38" s="140">
        <v>6.02E-4</v>
      </c>
      <c r="V38" s="140">
        <v>3.5568520377726502E-2</v>
      </c>
      <c r="W38" s="140">
        <v>4.2072332039719603E-3</v>
      </c>
    </row>
    <row r="39" spans="1:23">
      <c r="A39" s="2">
        <v>301</v>
      </c>
      <c r="B39" s="2">
        <v>7210</v>
      </c>
      <c r="C39" s="2" t="s">
        <v>1499</v>
      </c>
      <c r="D39" s="2" t="s">
        <v>1500</v>
      </c>
      <c r="E39" s="3" t="s">
        <v>321</v>
      </c>
      <c r="F39" s="2" t="s">
        <v>1517</v>
      </c>
      <c r="G39" s="2" t="s">
        <v>1518</v>
      </c>
      <c r="H39" s="2" t="s">
        <v>328</v>
      </c>
      <c r="I39" s="2" t="s">
        <v>991</v>
      </c>
      <c r="J39" s="2" t="s">
        <v>100</v>
      </c>
      <c r="K39" s="2" t="s">
        <v>101</v>
      </c>
      <c r="L39" s="2" t="s">
        <v>387</v>
      </c>
      <c r="M39" s="2" t="s">
        <v>743</v>
      </c>
      <c r="N39" s="2" t="s">
        <v>139</v>
      </c>
      <c r="O39" s="2" t="s">
        <v>105</v>
      </c>
      <c r="P39" s="125">
        <v>850</v>
      </c>
      <c r="Q39" s="134">
        <v>3.6469999999999998</v>
      </c>
      <c r="R39" s="151">
        <v>121767</v>
      </c>
      <c r="S39" s="115"/>
      <c r="T39" s="124">
        <v>3774.7159999999999</v>
      </c>
      <c r="U39" s="140">
        <v>8.0000000000000007E-5</v>
      </c>
      <c r="V39" s="140">
        <v>2.3091461565193101E-2</v>
      </c>
      <c r="W39" s="140">
        <v>2.7313805239466801E-3</v>
      </c>
    </row>
    <row r="40" spans="1:23">
      <c r="A40" s="2">
        <v>301</v>
      </c>
      <c r="B40" s="2">
        <v>7210</v>
      </c>
      <c r="C40" s="2" t="s">
        <v>1519</v>
      </c>
      <c r="D40" s="2" t="s">
        <v>1520</v>
      </c>
      <c r="E40" s="3" t="s">
        <v>321</v>
      </c>
      <c r="F40" s="2" t="s">
        <v>1521</v>
      </c>
      <c r="G40" s="2" t="s">
        <v>1522</v>
      </c>
      <c r="H40" s="2" t="s">
        <v>328</v>
      </c>
      <c r="I40" s="2" t="s">
        <v>993</v>
      </c>
      <c r="J40" s="2" t="s">
        <v>100</v>
      </c>
      <c r="K40" s="2" t="s">
        <v>101</v>
      </c>
      <c r="L40" s="2" t="s">
        <v>1523</v>
      </c>
      <c r="M40" s="2" t="s">
        <v>740</v>
      </c>
      <c r="N40" s="2" t="s">
        <v>139</v>
      </c>
      <c r="O40" s="2" t="s">
        <v>105</v>
      </c>
      <c r="P40" s="125">
        <v>73500</v>
      </c>
      <c r="Q40" s="134">
        <v>3.6469999999999998</v>
      </c>
      <c r="R40" s="151">
        <v>1080.5999999999999</v>
      </c>
      <c r="S40" s="115"/>
      <c r="T40" s="124">
        <v>2896.5970000000002</v>
      </c>
      <c r="U40" s="140">
        <v>4.509E-3</v>
      </c>
      <c r="V40" s="140">
        <v>1.7719652165974199E-2</v>
      </c>
      <c r="W40" s="140">
        <v>2.09597442243352E-3</v>
      </c>
    </row>
    <row r="41" spans="1:23">
      <c r="A41" s="2">
        <v>301</v>
      </c>
      <c r="B41" s="2">
        <v>7210</v>
      </c>
      <c r="C41" s="2" t="s">
        <v>1519</v>
      </c>
      <c r="D41" s="2" t="s">
        <v>1520</v>
      </c>
      <c r="E41" s="3" t="s">
        <v>321</v>
      </c>
      <c r="F41" s="2" t="s">
        <v>1524</v>
      </c>
      <c r="G41" s="2" t="s">
        <v>1525</v>
      </c>
      <c r="H41" s="2" t="s">
        <v>328</v>
      </c>
      <c r="I41" s="2" t="s">
        <v>991</v>
      </c>
      <c r="J41" s="2" t="s">
        <v>100</v>
      </c>
      <c r="K41" s="2" t="s">
        <v>101</v>
      </c>
      <c r="L41" s="2" t="s">
        <v>387</v>
      </c>
      <c r="M41" s="2" t="s">
        <v>743</v>
      </c>
      <c r="N41" s="2" t="s">
        <v>139</v>
      </c>
      <c r="O41" s="2" t="s">
        <v>105</v>
      </c>
      <c r="P41" s="125">
        <v>70750</v>
      </c>
      <c r="Q41" s="134">
        <v>3.6469999999999998</v>
      </c>
      <c r="R41" s="151">
        <v>1443.9</v>
      </c>
      <c r="S41" s="115"/>
      <c r="T41" s="124">
        <v>3725.627</v>
      </c>
      <c r="U41" s="140">
        <v>0</v>
      </c>
      <c r="V41" s="140">
        <v>2.2791161092078401E-2</v>
      </c>
      <c r="W41" s="140">
        <v>2.6958593915453501E-3</v>
      </c>
    </row>
    <row r="42" spans="1:23">
      <c r="A42" s="2">
        <v>301</v>
      </c>
      <c r="B42" s="2">
        <v>7210</v>
      </c>
      <c r="C42" s="2" t="s">
        <v>1519</v>
      </c>
      <c r="D42" s="2" t="s">
        <v>1520</v>
      </c>
      <c r="E42" s="3" t="s">
        <v>321</v>
      </c>
      <c r="F42" s="2" t="s">
        <v>1528</v>
      </c>
      <c r="G42" s="2" t="s">
        <v>1529</v>
      </c>
      <c r="H42" s="2" t="s">
        <v>328</v>
      </c>
      <c r="I42" s="2" t="s">
        <v>991</v>
      </c>
      <c r="J42" s="2" t="s">
        <v>100</v>
      </c>
      <c r="K42" s="2" t="s">
        <v>101</v>
      </c>
      <c r="L42" s="2" t="s">
        <v>387</v>
      </c>
      <c r="M42" s="2" t="s">
        <v>743</v>
      </c>
      <c r="N42" s="2" t="s">
        <v>139</v>
      </c>
      <c r="O42" s="2" t="s">
        <v>105</v>
      </c>
      <c r="P42" s="125">
        <v>40000</v>
      </c>
      <c r="Q42" s="134">
        <v>3.6469999999999998</v>
      </c>
      <c r="R42" s="151">
        <v>3282</v>
      </c>
      <c r="S42" s="115"/>
      <c r="T42" s="124">
        <v>4787.7820000000002</v>
      </c>
      <c r="U42" s="140">
        <v>0</v>
      </c>
      <c r="V42" s="140">
        <v>2.9288791895017902E-2</v>
      </c>
      <c r="W42" s="140">
        <v>3.4644336187262099E-3</v>
      </c>
    </row>
    <row r="43" spans="1:23">
      <c r="A43" s="2">
        <v>301</v>
      </c>
      <c r="B43" s="2">
        <v>7210</v>
      </c>
      <c r="C43" s="2" t="s">
        <v>1534</v>
      </c>
      <c r="D43" s="2" t="s">
        <v>1535</v>
      </c>
      <c r="E43" s="3" t="s">
        <v>321</v>
      </c>
      <c r="F43" s="2" t="s">
        <v>1536</v>
      </c>
      <c r="G43" s="2" t="s">
        <v>1537</v>
      </c>
      <c r="H43" s="2" t="s">
        <v>328</v>
      </c>
      <c r="I43" s="2" t="s">
        <v>991</v>
      </c>
      <c r="J43" s="2" t="s">
        <v>100</v>
      </c>
      <c r="K43" s="2" t="s">
        <v>260</v>
      </c>
      <c r="L43" s="2" t="s">
        <v>351</v>
      </c>
      <c r="M43" s="2" t="s">
        <v>743</v>
      </c>
      <c r="N43" s="2" t="s">
        <v>139</v>
      </c>
      <c r="O43" s="2" t="s">
        <v>105</v>
      </c>
      <c r="P43" s="125">
        <v>26900</v>
      </c>
      <c r="Q43" s="134">
        <v>3.6469999999999998</v>
      </c>
      <c r="R43" s="151">
        <v>11029</v>
      </c>
      <c r="S43" s="115"/>
      <c r="T43" s="124">
        <v>10819.923000000001</v>
      </c>
      <c r="U43" s="140">
        <v>8.5300000000000003E-4</v>
      </c>
      <c r="V43" s="140">
        <v>6.6189836291080897E-2</v>
      </c>
      <c r="W43" s="140">
        <v>7.8292848297307708E-3</v>
      </c>
    </row>
    <row r="44" spans="1:23">
      <c r="A44" s="2">
        <v>301</v>
      </c>
      <c r="B44" s="2">
        <v>7211</v>
      </c>
      <c r="C44" s="2" t="s">
        <v>1473</v>
      </c>
      <c r="D44" s="2" t="s">
        <v>1474</v>
      </c>
      <c r="E44" s="3" t="s">
        <v>1330</v>
      </c>
      <c r="F44" s="2" t="s">
        <v>1477</v>
      </c>
      <c r="G44" s="2" t="s">
        <v>1478</v>
      </c>
      <c r="H44" s="2" t="s">
        <v>328</v>
      </c>
      <c r="I44" s="2" t="s">
        <v>990</v>
      </c>
      <c r="J44" s="2" t="s">
        <v>30</v>
      </c>
      <c r="K44" s="2" t="s">
        <v>30</v>
      </c>
      <c r="L44" s="2" t="s">
        <v>45</v>
      </c>
      <c r="M44" s="2" t="s">
        <v>1472</v>
      </c>
      <c r="N44" s="2" t="s">
        <v>139</v>
      </c>
      <c r="O44" s="2" t="s">
        <v>34</v>
      </c>
      <c r="P44" s="125">
        <v>2910</v>
      </c>
      <c r="Q44" s="134">
        <v>1</v>
      </c>
      <c r="R44" s="151">
        <v>3630</v>
      </c>
      <c r="S44" s="115"/>
      <c r="T44" s="124">
        <v>105.633</v>
      </c>
      <c r="U44" s="140">
        <v>5.7000000000000003E-5</v>
      </c>
      <c r="V44" s="140">
        <v>6.6664949579536795E-2</v>
      </c>
      <c r="W44" s="140">
        <v>4.9465094043986899E-3</v>
      </c>
    </row>
    <row r="45" spans="1:23">
      <c r="A45" s="2">
        <v>301</v>
      </c>
      <c r="B45" s="2">
        <v>7211</v>
      </c>
      <c r="C45" s="2" t="s">
        <v>1487</v>
      </c>
      <c r="D45" s="2" t="s">
        <v>1488</v>
      </c>
      <c r="E45" s="3" t="s">
        <v>1330</v>
      </c>
      <c r="F45" s="2" t="s">
        <v>1489</v>
      </c>
      <c r="G45" s="2" t="s">
        <v>1490</v>
      </c>
      <c r="H45" s="2" t="s">
        <v>328</v>
      </c>
      <c r="I45" s="2" t="s">
        <v>990</v>
      </c>
      <c r="J45" s="2" t="s">
        <v>30</v>
      </c>
      <c r="K45" s="2" t="s">
        <v>30</v>
      </c>
      <c r="L45" s="2" t="s">
        <v>45</v>
      </c>
      <c r="M45" s="2" t="s">
        <v>1472</v>
      </c>
      <c r="N45" s="2" t="s">
        <v>139</v>
      </c>
      <c r="O45" s="2" t="s">
        <v>34</v>
      </c>
      <c r="P45" s="125">
        <v>380</v>
      </c>
      <c r="Q45" s="134">
        <v>1</v>
      </c>
      <c r="R45" s="151">
        <v>23840</v>
      </c>
      <c r="S45" s="115"/>
      <c r="T45" s="124">
        <v>90.591999999999999</v>
      </c>
      <c r="U45" s="140">
        <v>1.1E-5</v>
      </c>
      <c r="V45" s="140">
        <v>5.7172579708134698E-2</v>
      </c>
      <c r="W45" s="140">
        <v>4.2421798108856698E-3</v>
      </c>
    </row>
    <row r="46" spans="1:23">
      <c r="A46" s="2">
        <v>301</v>
      </c>
      <c r="B46" s="2">
        <v>7211</v>
      </c>
      <c r="C46" s="2" t="s">
        <v>1487</v>
      </c>
      <c r="D46" s="2" t="s">
        <v>1488</v>
      </c>
      <c r="E46" s="3" t="s">
        <v>1330</v>
      </c>
      <c r="F46" s="2" t="s">
        <v>1491</v>
      </c>
      <c r="G46" s="2" t="s">
        <v>1492</v>
      </c>
      <c r="H46" s="2" t="s">
        <v>328</v>
      </c>
      <c r="I46" s="2" t="s">
        <v>990</v>
      </c>
      <c r="J46" s="2" t="s">
        <v>30</v>
      </c>
      <c r="K46" s="2" t="s">
        <v>30</v>
      </c>
      <c r="L46" s="2" t="s">
        <v>45</v>
      </c>
      <c r="M46" s="2" t="s">
        <v>1472</v>
      </c>
      <c r="N46" s="2" t="s">
        <v>139</v>
      </c>
      <c r="O46" s="2" t="s">
        <v>34</v>
      </c>
      <c r="P46" s="125">
        <v>464</v>
      </c>
      <c r="Q46" s="134">
        <v>1</v>
      </c>
      <c r="R46" s="151">
        <v>23190</v>
      </c>
      <c r="S46" s="115"/>
      <c r="T46" s="124">
        <v>107.602</v>
      </c>
      <c r="U46" s="140">
        <v>1.5E-5</v>
      </c>
      <c r="V46" s="140">
        <v>6.7907332355206101E-2</v>
      </c>
      <c r="W46" s="140">
        <v>5.0386936499800796E-3</v>
      </c>
    </row>
    <row r="47" spans="1:23">
      <c r="A47" s="2">
        <v>301</v>
      </c>
      <c r="B47" s="2">
        <v>7211</v>
      </c>
      <c r="C47" s="2" t="s">
        <v>1468</v>
      </c>
      <c r="D47" s="2" t="s">
        <v>1469</v>
      </c>
      <c r="E47" s="3" t="s">
        <v>1330</v>
      </c>
      <c r="F47" s="2" t="s">
        <v>1493</v>
      </c>
      <c r="G47" s="2" t="s">
        <v>1494</v>
      </c>
      <c r="H47" s="2" t="s">
        <v>328</v>
      </c>
      <c r="I47" s="2" t="s">
        <v>990</v>
      </c>
      <c r="J47" s="2" t="s">
        <v>30</v>
      </c>
      <c r="K47" s="2" t="s">
        <v>30</v>
      </c>
      <c r="L47" s="2" t="s">
        <v>45</v>
      </c>
      <c r="M47" s="2" t="s">
        <v>1472</v>
      </c>
      <c r="N47" s="2" t="s">
        <v>139</v>
      </c>
      <c r="O47" s="2" t="s">
        <v>34</v>
      </c>
      <c r="P47" s="125">
        <v>4499</v>
      </c>
      <c r="Q47" s="134">
        <v>1</v>
      </c>
      <c r="R47" s="151">
        <v>2405</v>
      </c>
      <c r="S47" s="115"/>
      <c r="T47" s="124">
        <v>108.20099999999999</v>
      </c>
      <c r="U47" s="140">
        <v>1.1E-5</v>
      </c>
      <c r="V47" s="140">
        <v>6.82855819318582E-2</v>
      </c>
      <c r="W47" s="140">
        <v>5.06675959917708E-3</v>
      </c>
    </row>
    <row r="48" spans="1:23">
      <c r="A48" s="2">
        <v>301</v>
      </c>
      <c r="B48" s="2">
        <v>7211</v>
      </c>
      <c r="C48" s="2" t="s">
        <v>1464</v>
      </c>
      <c r="D48" s="2" t="s">
        <v>1465</v>
      </c>
      <c r="E48" s="3" t="s">
        <v>321</v>
      </c>
      <c r="F48" s="2" t="s">
        <v>1495</v>
      </c>
      <c r="G48" s="2" t="s">
        <v>1496</v>
      </c>
      <c r="H48" s="2" t="s">
        <v>328</v>
      </c>
      <c r="I48" s="2" t="s">
        <v>991</v>
      </c>
      <c r="J48" s="2" t="s">
        <v>100</v>
      </c>
      <c r="K48" s="2" t="s">
        <v>101</v>
      </c>
      <c r="L48" s="2" t="s">
        <v>353</v>
      </c>
      <c r="M48" s="2" t="s">
        <v>743</v>
      </c>
      <c r="N48" s="2" t="s">
        <v>139</v>
      </c>
      <c r="O48" s="2" t="s">
        <v>105</v>
      </c>
      <c r="P48" s="125">
        <v>100</v>
      </c>
      <c r="Q48" s="134">
        <v>3.6469999999999998</v>
      </c>
      <c r="R48" s="151">
        <v>51123</v>
      </c>
      <c r="S48" s="129">
        <v>8.3000000000000004E-2</v>
      </c>
      <c r="T48" s="124">
        <v>186.75</v>
      </c>
      <c r="U48" s="140">
        <v>0</v>
      </c>
      <c r="V48" s="140">
        <v>0.11785785761379999</v>
      </c>
      <c r="W48" s="140">
        <v>8.7450002549449898E-3</v>
      </c>
    </row>
    <row r="49" spans="1:23">
      <c r="A49" s="2">
        <v>301</v>
      </c>
      <c r="B49" s="2">
        <v>7211</v>
      </c>
      <c r="C49" s="2" t="s">
        <v>1464</v>
      </c>
      <c r="D49" s="2" t="s">
        <v>1465</v>
      </c>
      <c r="E49" s="3" t="s">
        <v>321</v>
      </c>
      <c r="F49" s="2" t="s">
        <v>1497</v>
      </c>
      <c r="G49" s="2" t="s">
        <v>1498</v>
      </c>
      <c r="H49" s="2" t="s">
        <v>328</v>
      </c>
      <c r="I49" s="2" t="s">
        <v>991</v>
      </c>
      <c r="J49" s="2" t="s">
        <v>100</v>
      </c>
      <c r="K49" s="2" t="s">
        <v>101</v>
      </c>
      <c r="L49" s="2" t="s">
        <v>387</v>
      </c>
      <c r="M49" s="2" t="s">
        <v>743</v>
      </c>
      <c r="N49" s="2" t="s">
        <v>139</v>
      </c>
      <c r="O49" s="2" t="s">
        <v>105</v>
      </c>
      <c r="P49" s="125">
        <v>8</v>
      </c>
      <c r="Q49" s="134">
        <v>3.6469999999999998</v>
      </c>
      <c r="R49" s="151">
        <v>116945.5</v>
      </c>
      <c r="S49" s="115"/>
      <c r="T49" s="124">
        <v>34.119999999999997</v>
      </c>
      <c r="U49" s="140">
        <v>0</v>
      </c>
      <c r="V49" s="140">
        <v>2.1533132180483701E-2</v>
      </c>
      <c r="W49" s="140">
        <v>1.59774876466145E-3</v>
      </c>
    </row>
    <row r="50" spans="1:23">
      <c r="A50" s="2">
        <v>301</v>
      </c>
      <c r="B50" s="2">
        <v>7211</v>
      </c>
      <c r="C50" s="2" t="s">
        <v>1499</v>
      </c>
      <c r="D50" s="2" t="s">
        <v>1500</v>
      </c>
      <c r="E50" s="3" t="s">
        <v>321</v>
      </c>
      <c r="F50" s="2" t="s">
        <v>1501</v>
      </c>
      <c r="G50" s="2" t="s">
        <v>1502</v>
      </c>
      <c r="H50" s="2" t="s">
        <v>328</v>
      </c>
      <c r="I50" s="2" t="s">
        <v>993</v>
      </c>
      <c r="J50" s="2" t="s">
        <v>100</v>
      </c>
      <c r="K50" s="2" t="s">
        <v>305</v>
      </c>
      <c r="L50" s="2" t="s">
        <v>387</v>
      </c>
      <c r="M50" s="2" t="s">
        <v>740</v>
      </c>
      <c r="N50" s="2" t="s">
        <v>139</v>
      </c>
      <c r="O50" s="2" t="s">
        <v>105</v>
      </c>
      <c r="P50" s="125">
        <v>11100</v>
      </c>
      <c r="Q50" s="134">
        <v>3.6469999999999998</v>
      </c>
      <c r="R50" s="151">
        <v>586.15</v>
      </c>
      <c r="S50" s="115"/>
      <c r="T50" s="124">
        <v>237.28299999999999</v>
      </c>
      <c r="U50" s="140">
        <v>3.3000000000000003E-5</v>
      </c>
      <c r="V50" s="140">
        <v>0.14974952461430199</v>
      </c>
      <c r="W50" s="140">
        <v>1.11113476644142E-2</v>
      </c>
    </row>
    <row r="51" spans="1:23">
      <c r="A51" s="2">
        <v>301</v>
      </c>
      <c r="B51" s="2">
        <v>7211</v>
      </c>
      <c r="C51" s="2" t="s">
        <v>1503</v>
      </c>
      <c r="D51" s="2" t="s">
        <v>1504</v>
      </c>
      <c r="E51" s="3" t="s">
        <v>321</v>
      </c>
      <c r="F51" s="2" t="s">
        <v>1505</v>
      </c>
      <c r="G51" s="2" t="s">
        <v>1506</v>
      </c>
      <c r="H51" s="2" t="s">
        <v>328</v>
      </c>
      <c r="I51" s="2" t="s">
        <v>993</v>
      </c>
      <c r="J51" s="2" t="s">
        <v>100</v>
      </c>
      <c r="K51" s="2" t="s">
        <v>101</v>
      </c>
      <c r="L51" s="2" t="s">
        <v>109</v>
      </c>
      <c r="M51" s="2" t="s">
        <v>740</v>
      </c>
      <c r="N51" s="2" t="s">
        <v>139</v>
      </c>
      <c r="O51" s="2" t="s">
        <v>105</v>
      </c>
      <c r="P51" s="125">
        <v>3200</v>
      </c>
      <c r="Q51" s="134">
        <v>3.6469999999999998</v>
      </c>
      <c r="R51" s="151">
        <v>655.45</v>
      </c>
      <c r="S51" s="115"/>
      <c r="T51" s="124">
        <v>76.494</v>
      </c>
      <c r="U51" s="140">
        <v>0</v>
      </c>
      <c r="V51" s="140">
        <v>4.8275107593530403E-2</v>
      </c>
      <c r="W51" s="140">
        <v>3.5819913645154201E-3</v>
      </c>
    </row>
    <row r="52" spans="1:23">
      <c r="A52" s="2">
        <v>301</v>
      </c>
      <c r="B52" s="2">
        <v>7211</v>
      </c>
      <c r="C52" s="2" t="s">
        <v>1499</v>
      </c>
      <c r="D52" s="2" t="s">
        <v>1500</v>
      </c>
      <c r="E52" s="3" t="s">
        <v>321</v>
      </c>
      <c r="F52" s="2" t="s">
        <v>1507</v>
      </c>
      <c r="G52" s="2" t="s">
        <v>1508</v>
      </c>
      <c r="H52" s="2" t="s">
        <v>328</v>
      </c>
      <c r="I52" s="2" t="s">
        <v>991</v>
      </c>
      <c r="J52" s="2" t="s">
        <v>100</v>
      </c>
      <c r="K52" s="2" t="s">
        <v>302</v>
      </c>
      <c r="L52" s="2" t="s">
        <v>375</v>
      </c>
      <c r="M52" s="2" t="s">
        <v>743</v>
      </c>
      <c r="N52" s="2" t="s">
        <v>139</v>
      </c>
      <c r="O52" s="2" t="s">
        <v>1183</v>
      </c>
      <c r="P52" s="125">
        <v>315</v>
      </c>
      <c r="Q52" s="134">
        <v>3.7964000000000002</v>
      </c>
      <c r="R52" s="151">
        <v>4909</v>
      </c>
      <c r="S52" s="115"/>
      <c r="T52" s="124">
        <v>58.704999999999998</v>
      </c>
      <c r="U52" s="140">
        <v>1.9999999999999999E-6</v>
      </c>
      <c r="V52" s="140">
        <v>3.7048744183102597E-2</v>
      </c>
      <c r="W52" s="140">
        <v>2.7490002269368301E-3</v>
      </c>
    </row>
    <row r="53" spans="1:23">
      <c r="A53" s="2">
        <v>301</v>
      </c>
      <c r="B53" s="2">
        <v>7211</v>
      </c>
      <c r="C53" s="2" t="s">
        <v>1499</v>
      </c>
      <c r="D53" s="2" t="s">
        <v>1500</v>
      </c>
      <c r="E53" s="3" t="s">
        <v>321</v>
      </c>
      <c r="F53" s="2" t="s">
        <v>1509</v>
      </c>
      <c r="G53" s="2" t="s">
        <v>1510</v>
      </c>
      <c r="H53" s="2" t="s">
        <v>328</v>
      </c>
      <c r="I53" s="2" t="s">
        <v>991</v>
      </c>
      <c r="J53" s="2" t="s">
        <v>100</v>
      </c>
      <c r="K53" s="2" t="s">
        <v>101</v>
      </c>
      <c r="L53" s="2" t="s">
        <v>109</v>
      </c>
      <c r="M53" s="2" t="s">
        <v>743</v>
      </c>
      <c r="N53" s="2" t="s">
        <v>139</v>
      </c>
      <c r="O53" s="2" t="s">
        <v>105</v>
      </c>
      <c r="P53" s="125">
        <v>2490</v>
      </c>
      <c r="Q53" s="134">
        <v>3.6469999999999998</v>
      </c>
      <c r="R53" s="151">
        <v>639.75</v>
      </c>
      <c r="S53" s="115"/>
      <c r="T53" s="124">
        <v>58.095999999999997</v>
      </c>
      <c r="U53" s="140">
        <v>0</v>
      </c>
      <c r="V53" s="140">
        <v>3.6664295620648497E-2</v>
      </c>
      <c r="W53" s="140">
        <v>2.7204743157693998E-3</v>
      </c>
    </row>
    <row r="54" spans="1:23">
      <c r="A54" s="2">
        <v>301</v>
      </c>
      <c r="B54" s="2">
        <v>7211</v>
      </c>
      <c r="C54" s="2" t="s">
        <v>1499</v>
      </c>
      <c r="D54" s="2" t="s">
        <v>1500</v>
      </c>
      <c r="E54" s="3" t="s">
        <v>321</v>
      </c>
      <c r="F54" s="2" t="s">
        <v>1511</v>
      </c>
      <c r="G54" s="2" t="s">
        <v>1512</v>
      </c>
      <c r="H54" s="2" t="s">
        <v>328</v>
      </c>
      <c r="I54" s="2" t="s">
        <v>991</v>
      </c>
      <c r="J54" s="2" t="s">
        <v>100</v>
      </c>
      <c r="K54" s="2" t="s">
        <v>101</v>
      </c>
      <c r="L54" s="2" t="s">
        <v>109</v>
      </c>
      <c r="M54" s="2" t="s">
        <v>743</v>
      </c>
      <c r="N54" s="2" t="s">
        <v>139</v>
      </c>
      <c r="O54" s="2" t="s">
        <v>105</v>
      </c>
      <c r="P54" s="125">
        <v>1410</v>
      </c>
      <c r="Q54" s="134">
        <v>3.6469999999999998</v>
      </c>
      <c r="R54" s="151">
        <v>1105.1559999999999</v>
      </c>
      <c r="S54" s="115"/>
      <c r="T54" s="124">
        <v>56.83</v>
      </c>
      <c r="U54" s="140">
        <v>4.3000000000000002E-5</v>
      </c>
      <c r="V54" s="140">
        <v>3.5865466279057602E-2</v>
      </c>
      <c r="W54" s="140">
        <v>2.6612015363611601E-3</v>
      </c>
    </row>
    <row r="55" spans="1:23">
      <c r="A55" s="2">
        <v>301</v>
      </c>
      <c r="B55" s="2">
        <v>7211</v>
      </c>
      <c r="C55" s="2" t="s">
        <v>1499</v>
      </c>
      <c r="D55" s="2" t="s">
        <v>1500</v>
      </c>
      <c r="E55" s="3" t="s">
        <v>321</v>
      </c>
      <c r="F55" s="2" t="s">
        <v>1513</v>
      </c>
      <c r="G55" s="2" t="s">
        <v>1514</v>
      </c>
      <c r="H55" s="2" t="s">
        <v>328</v>
      </c>
      <c r="I55" s="2" t="s">
        <v>993</v>
      </c>
      <c r="J55" s="2" t="s">
        <v>100</v>
      </c>
      <c r="K55" s="2" t="s">
        <v>101</v>
      </c>
      <c r="L55" s="2" t="s">
        <v>387</v>
      </c>
      <c r="M55" s="2" t="s">
        <v>740</v>
      </c>
      <c r="N55" s="2" t="s">
        <v>139</v>
      </c>
      <c r="O55" s="2" t="s">
        <v>105</v>
      </c>
      <c r="P55" s="125">
        <v>6410</v>
      </c>
      <c r="Q55" s="134">
        <v>3.6469999999999998</v>
      </c>
      <c r="R55" s="151">
        <v>595.1</v>
      </c>
      <c r="S55" s="115"/>
      <c r="T55" s="124">
        <v>139.11799999999999</v>
      </c>
      <c r="U55" s="140">
        <v>0</v>
      </c>
      <c r="V55" s="140">
        <v>8.7797405861580205E-2</v>
      </c>
      <c r="W55" s="140">
        <v>6.5145281968295903E-3</v>
      </c>
    </row>
    <row r="56" spans="1:23">
      <c r="A56" s="2">
        <v>301</v>
      </c>
      <c r="B56" s="2">
        <v>7211</v>
      </c>
      <c r="C56" s="2" t="s">
        <v>1499</v>
      </c>
      <c r="D56" s="2" t="s">
        <v>1500</v>
      </c>
      <c r="E56" s="3" t="s">
        <v>321</v>
      </c>
      <c r="F56" s="2" t="s">
        <v>1515</v>
      </c>
      <c r="G56" s="2" t="s">
        <v>1516</v>
      </c>
      <c r="H56" s="2" t="s">
        <v>328</v>
      </c>
      <c r="I56" s="2" t="s">
        <v>991</v>
      </c>
      <c r="J56" s="2" t="s">
        <v>100</v>
      </c>
      <c r="K56" s="2" t="s">
        <v>101</v>
      </c>
      <c r="L56" s="2" t="s">
        <v>351</v>
      </c>
      <c r="M56" s="2" t="s">
        <v>743</v>
      </c>
      <c r="N56" s="2" t="s">
        <v>139</v>
      </c>
      <c r="O56" s="2" t="s">
        <v>105</v>
      </c>
      <c r="P56" s="125">
        <v>60</v>
      </c>
      <c r="Q56" s="134">
        <v>3.6469999999999998</v>
      </c>
      <c r="R56" s="151">
        <v>10339</v>
      </c>
      <c r="S56" s="115"/>
      <c r="T56" s="124">
        <v>22.623999999999999</v>
      </c>
      <c r="U56" s="140">
        <v>1.9999999999999999E-6</v>
      </c>
      <c r="V56" s="140">
        <v>1.4277872189226199E-2</v>
      </c>
      <c r="W56" s="140">
        <v>1.05941172241566E-3</v>
      </c>
    </row>
    <row r="57" spans="1:23">
      <c r="A57" s="2">
        <v>301</v>
      </c>
      <c r="B57" s="2">
        <v>7211</v>
      </c>
      <c r="C57" s="2" t="s">
        <v>1499</v>
      </c>
      <c r="D57" s="2" t="s">
        <v>1500</v>
      </c>
      <c r="E57" s="3" t="s">
        <v>321</v>
      </c>
      <c r="F57" s="2" t="s">
        <v>1517</v>
      </c>
      <c r="G57" s="2" t="s">
        <v>1518</v>
      </c>
      <c r="H57" s="2" t="s">
        <v>328</v>
      </c>
      <c r="I57" s="2" t="s">
        <v>991</v>
      </c>
      <c r="J57" s="2" t="s">
        <v>100</v>
      </c>
      <c r="K57" s="2" t="s">
        <v>101</v>
      </c>
      <c r="L57" s="2" t="s">
        <v>387</v>
      </c>
      <c r="M57" s="2" t="s">
        <v>743</v>
      </c>
      <c r="N57" s="2" t="s">
        <v>139</v>
      </c>
      <c r="O57" s="2" t="s">
        <v>105</v>
      </c>
      <c r="P57" s="125">
        <v>4</v>
      </c>
      <c r="Q57" s="134">
        <v>3.6469999999999998</v>
      </c>
      <c r="R57" s="151">
        <v>121767</v>
      </c>
      <c r="S57" s="115"/>
      <c r="T57" s="124">
        <v>17.763000000000002</v>
      </c>
      <c r="U57" s="140">
        <v>0</v>
      </c>
      <c r="V57" s="140">
        <v>1.1210456606799601E-2</v>
      </c>
      <c r="W57" s="140">
        <v>8.3181085987289196E-4</v>
      </c>
    </row>
    <row r="58" spans="1:23">
      <c r="A58" s="2">
        <v>301</v>
      </c>
      <c r="B58" s="2">
        <v>7211</v>
      </c>
      <c r="C58" s="2" t="s">
        <v>1519</v>
      </c>
      <c r="D58" s="2" t="s">
        <v>1520</v>
      </c>
      <c r="E58" s="3" t="s">
        <v>321</v>
      </c>
      <c r="F58" s="2" t="s">
        <v>1521</v>
      </c>
      <c r="G58" s="2" t="s">
        <v>1522</v>
      </c>
      <c r="H58" s="2" t="s">
        <v>328</v>
      </c>
      <c r="I58" s="2" t="s">
        <v>993</v>
      </c>
      <c r="J58" s="2" t="s">
        <v>100</v>
      </c>
      <c r="K58" s="2" t="s">
        <v>101</v>
      </c>
      <c r="L58" s="2" t="s">
        <v>1523</v>
      </c>
      <c r="M58" s="2" t="s">
        <v>740</v>
      </c>
      <c r="N58" s="2" t="s">
        <v>139</v>
      </c>
      <c r="O58" s="2" t="s">
        <v>105</v>
      </c>
      <c r="P58" s="125">
        <v>1300</v>
      </c>
      <c r="Q58" s="134">
        <v>3.6469999999999998</v>
      </c>
      <c r="R58" s="151">
        <v>1080.5999999999999</v>
      </c>
      <c r="S58" s="115"/>
      <c r="T58" s="124">
        <v>51.231999999999999</v>
      </c>
      <c r="U58" s="140">
        <v>8.0000000000000007E-5</v>
      </c>
      <c r="V58" s="140">
        <v>3.2332703507723499E-2</v>
      </c>
      <c r="W58" s="140">
        <v>2.3990721207967701E-3</v>
      </c>
    </row>
    <row r="59" spans="1:23">
      <c r="A59" s="2">
        <v>301</v>
      </c>
      <c r="B59" s="2">
        <v>7211</v>
      </c>
      <c r="C59" s="2" t="s">
        <v>1519</v>
      </c>
      <c r="D59" s="2" t="s">
        <v>1520</v>
      </c>
      <c r="E59" s="3" t="s">
        <v>321</v>
      </c>
      <c r="F59" s="2" t="s">
        <v>1524</v>
      </c>
      <c r="G59" s="2" t="s">
        <v>1525</v>
      </c>
      <c r="H59" s="2" t="s">
        <v>328</v>
      </c>
      <c r="I59" s="2" t="s">
        <v>991</v>
      </c>
      <c r="J59" s="2" t="s">
        <v>100</v>
      </c>
      <c r="K59" s="2" t="s">
        <v>101</v>
      </c>
      <c r="L59" s="2" t="s">
        <v>387</v>
      </c>
      <c r="M59" s="2" t="s">
        <v>743</v>
      </c>
      <c r="N59" s="2" t="s">
        <v>139</v>
      </c>
      <c r="O59" s="2" t="s">
        <v>105</v>
      </c>
      <c r="P59" s="125">
        <v>2650</v>
      </c>
      <c r="Q59" s="134">
        <v>3.6469999999999998</v>
      </c>
      <c r="R59" s="151">
        <v>1443.9</v>
      </c>
      <c r="S59" s="115"/>
      <c r="T59" s="124">
        <v>139.54599999999999</v>
      </c>
      <c r="U59" s="140">
        <v>0</v>
      </c>
      <c r="V59" s="140">
        <v>8.8067708165139993E-2</v>
      </c>
      <c r="W59" s="140">
        <v>6.5345845067048998E-3</v>
      </c>
    </row>
    <row r="60" spans="1:23">
      <c r="A60" s="2">
        <v>301</v>
      </c>
      <c r="B60" s="2">
        <v>7211</v>
      </c>
      <c r="C60" s="2" t="s">
        <v>1519</v>
      </c>
      <c r="D60" s="2" t="s">
        <v>1520</v>
      </c>
      <c r="E60" s="3" t="s">
        <v>321</v>
      </c>
      <c r="F60" s="2" t="s">
        <v>1528</v>
      </c>
      <c r="G60" s="2" t="s">
        <v>1529</v>
      </c>
      <c r="H60" s="2" t="s">
        <v>328</v>
      </c>
      <c r="I60" s="2" t="s">
        <v>991</v>
      </c>
      <c r="J60" s="2" t="s">
        <v>100</v>
      </c>
      <c r="K60" s="2" t="s">
        <v>101</v>
      </c>
      <c r="L60" s="2" t="s">
        <v>387</v>
      </c>
      <c r="M60" s="2" t="s">
        <v>743</v>
      </c>
      <c r="N60" s="2" t="s">
        <v>139</v>
      </c>
      <c r="O60" s="2" t="s">
        <v>105</v>
      </c>
      <c r="P60" s="125">
        <v>180</v>
      </c>
      <c r="Q60" s="134">
        <v>3.6469999999999998</v>
      </c>
      <c r="R60" s="151">
        <v>3282</v>
      </c>
      <c r="S60" s="115"/>
      <c r="T60" s="124">
        <v>21.545000000000002</v>
      </c>
      <c r="U60" s="140">
        <v>0</v>
      </c>
      <c r="V60" s="140">
        <v>1.35970528653759E-2</v>
      </c>
      <c r="W60" s="140">
        <v>1.00889523347563E-3</v>
      </c>
    </row>
    <row r="61" spans="1:23">
      <c r="A61" s="2">
        <v>301</v>
      </c>
      <c r="B61" s="2">
        <v>7211</v>
      </c>
      <c r="C61" s="2" t="s">
        <v>1534</v>
      </c>
      <c r="D61" s="2" t="s">
        <v>1535</v>
      </c>
      <c r="E61" s="3" t="s">
        <v>321</v>
      </c>
      <c r="F61" s="2" t="s">
        <v>1536</v>
      </c>
      <c r="G61" s="2" t="s">
        <v>1537</v>
      </c>
      <c r="H61" s="2" t="s">
        <v>328</v>
      </c>
      <c r="I61" s="2" t="s">
        <v>991</v>
      </c>
      <c r="J61" s="2" t="s">
        <v>100</v>
      </c>
      <c r="K61" s="2" t="s">
        <v>260</v>
      </c>
      <c r="L61" s="2" t="s">
        <v>351</v>
      </c>
      <c r="M61" s="2" t="s">
        <v>743</v>
      </c>
      <c r="N61" s="2" t="s">
        <v>139</v>
      </c>
      <c r="O61" s="2" t="s">
        <v>105</v>
      </c>
      <c r="P61" s="125">
        <v>180</v>
      </c>
      <c r="Q61" s="134">
        <v>3.6469999999999998</v>
      </c>
      <c r="R61" s="151">
        <v>11029</v>
      </c>
      <c r="S61" s="115"/>
      <c r="T61" s="124">
        <v>72.400999999999996</v>
      </c>
      <c r="U61" s="140">
        <v>6.0000000000000002E-6</v>
      </c>
      <c r="V61" s="140">
        <v>4.5692229144494403E-2</v>
      </c>
      <c r="W61" s="140">
        <v>3.39034294028116E-3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8">
    <dataValidation type="list" allowBlank="1" showInputMessage="1" showErrorMessage="1" sqref="J2:J20" xr:uid="{00000000-0002-0000-0700-000000000000}">
      <formula1>israel_abroad</formula1>
    </dataValidation>
    <dataValidation type="list" allowBlank="1" showInputMessage="1" showErrorMessage="1" sqref="N2:N20" xr:uid="{00000000-0002-0000-0700-000001000000}">
      <formula1>Holding_interest</formula1>
    </dataValidation>
    <dataValidation type="list" allowBlank="1" showInputMessage="1" showErrorMessage="1" sqref="K3:K20" xr:uid="{00000000-0002-0000-0700-000002000000}">
      <formula1>Country_list</formula1>
    </dataValidation>
    <dataValidation type="list" allowBlank="1" showInputMessage="1" showErrorMessage="1" sqref="M2:M20" xr:uid="{00000000-0002-0000-0700-000003000000}">
      <formula1>Fund_type</formula1>
    </dataValidation>
    <dataValidation type="list" allowBlank="1" showInputMessage="1" showErrorMessage="1" sqref="E2:E20" xr:uid="{00000000-0002-0000-0700-000004000000}">
      <formula1>Issuer_Type_TFunds</formula1>
    </dataValidation>
    <dataValidation type="list" allowBlank="1" showInputMessage="1" showErrorMessage="1" sqref="H2:H20" xr:uid="{00000000-0002-0000-0700-000005000000}">
      <formula1>Security_ID_Number_Type</formula1>
    </dataValidation>
    <dataValidation type="list" allowBlank="1" showInputMessage="1" showErrorMessage="1" sqref="K2" xr:uid="{00000000-0002-0000-0700-000006000000}">
      <formula1>Country_list_funds</formula1>
    </dataValidation>
    <dataValidation type="list" allowBlank="1" showInputMessage="1" showErrorMessage="1" sqref="L2:L20" xr:uid="{00000000-0002-0000-0700-000007000000}">
      <formula1>Stock_Exchange</formula1>
    </dataValidation>
  </dataValidations>
  <pageMargins left="0.7" right="0.7" top="0.75" bottom="0.75" header="0.3" footer="0.3"/>
  <pageSetup paperSize="9"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8000000}">
          <x14:formula1>
            <xm:f>'אפשרויות בחירה'!$C$891:$C$896</xm:f>
          </x14:formula1>
          <xm:sqref>I2:I20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10"/>
  <dimension ref="A1:X8"/>
  <sheetViews>
    <sheetView rightToLeft="1" zoomScale="70" zoomScaleNormal="70" workbookViewId="0"/>
  </sheetViews>
  <sheetFormatPr defaultColWidth="0" defaultRowHeight="14.25" zeroHeight="1"/>
  <cols>
    <col min="1" max="23" width="11.625" customWidth="1"/>
    <col min="24" max="24" width="11.625" hidden="1" customWidth="1"/>
  </cols>
  <sheetData>
    <row r="1" spans="1:23" ht="66.75" customHeight="1">
      <c r="A1" s="12" t="s">
        <v>0</v>
      </c>
      <c r="B1" s="12" t="s">
        <v>1</v>
      </c>
      <c r="C1" s="12" t="s">
        <v>2</v>
      </c>
      <c r="D1" s="12" t="s">
        <v>156</v>
      </c>
      <c r="E1" s="12" t="s">
        <v>157</v>
      </c>
      <c r="F1" s="12" t="s">
        <v>1113</v>
      </c>
      <c r="G1" s="12" t="s">
        <v>4</v>
      </c>
      <c r="H1" s="12" t="s">
        <v>158</v>
      </c>
      <c r="I1" s="12" t="s">
        <v>5</v>
      </c>
      <c r="J1" s="12" t="s">
        <v>6</v>
      </c>
      <c r="K1" s="12" t="s">
        <v>7</v>
      </c>
      <c r="L1" s="12" t="s">
        <v>333</v>
      </c>
      <c r="M1" s="12" t="s">
        <v>8</v>
      </c>
      <c r="N1" s="12" t="s">
        <v>577</v>
      </c>
      <c r="O1" s="12" t="s">
        <v>125</v>
      </c>
      <c r="P1" s="12" t="s">
        <v>11</v>
      </c>
      <c r="Q1" s="12" t="s">
        <v>17</v>
      </c>
      <c r="R1" s="133" t="s">
        <v>18</v>
      </c>
      <c r="S1" s="144" t="s">
        <v>19</v>
      </c>
      <c r="T1" s="12" t="s">
        <v>20</v>
      </c>
      <c r="U1" s="139" t="s">
        <v>23</v>
      </c>
      <c r="V1" s="139" t="s">
        <v>24</v>
      </c>
      <c r="W1" s="139" t="s">
        <v>25</v>
      </c>
    </row>
    <row r="2" spans="1:23">
      <c r="A2" s="11">
        <v>301</v>
      </c>
      <c r="B2" s="11">
        <v>7209</v>
      </c>
      <c r="C2" s="11" t="s">
        <v>1460</v>
      </c>
      <c r="D2" s="11" t="s">
        <v>1461</v>
      </c>
      <c r="E2" s="11" t="s">
        <v>321</v>
      </c>
      <c r="F2" s="11" t="s">
        <v>1462</v>
      </c>
      <c r="G2" s="11" t="s">
        <v>1463</v>
      </c>
      <c r="H2" s="11" t="s">
        <v>328</v>
      </c>
      <c r="I2" s="11" t="s">
        <v>996</v>
      </c>
      <c r="J2" s="11" t="s">
        <v>100</v>
      </c>
      <c r="K2" s="11" t="s">
        <v>101</v>
      </c>
      <c r="L2" s="3" t="s">
        <v>334</v>
      </c>
      <c r="M2" s="11" t="s">
        <v>109</v>
      </c>
      <c r="N2" s="13" t="s">
        <v>740</v>
      </c>
      <c r="O2" s="13" t="s">
        <v>139</v>
      </c>
      <c r="P2" s="11" t="s">
        <v>105</v>
      </c>
      <c r="Q2" s="127">
        <v>16.68</v>
      </c>
      <c r="R2" s="152">
        <v>3.6469999999999998</v>
      </c>
      <c r="S2" s="153">
        <v>168274.48</v>
      </c>
      <c r="T2" s="127">
        <v>102.36499999999999</v>
      </c>
      <c r="U2" s="154">
        <v>0</v>
      </c>
      <c r="V2" s="154">
        <v>0.66722675237227602</v>
      </c>
      <c r="W2" s="154">
        <v>4.9941072223465104E-3</v>
      </c>
    </row>
    <row r="3" spans="1:23">
      <c r="A3" s="11">
        <v>301</v>
      </c>
      <c r="B3" s="11">
        <v>7209</v>
      </c>
      <c r="C3" s="11" t="s">
        <v>1464</v>
      </c>
      <c r="D3" s="11" t="s">
        <v>1465</v>
      </c>
      <c r="E3" s="11" t="s">
        <v>321</v>
      </c>
      <c r="F3" s="11" t="s">
        <v>1466</v>
      </c>
      <c r="G3" s="11" t="s">
        <v>1467</v>
      </c>
      <c r="H3" s="11" t="s">
        <v>328</v>
      </c>
      <c r="I3" s="11" t="s">
        <v>996</v>
      </c>
      <c r="J3" s="11" t="s">
        <v>100</v>
      </c>
      <c r="K3" s="11" t="s">
        <v>305</v>
      </c>
      <c r="L3" s="3" t="s">
        <v>334</v>
      </c>
      <c r="M3" s="11" t="s">
        <v>109</v>
      </c>
      <c r="N3" s="13" t="s">
        <v>740</v>
      </c>
      <c r="O3" s="13" t="s">
        <v>139</v>
      </c>
      <c r="P3" s="11" t="s">
        <v>105</v>
      </c>
      <c r="Q3" s="127">
        <v>75</v>
      </c>
      <c r="R3" s="152">
        <v>3.6469999999999998</v>
      </c>
      <c r="S3" s="153">
        <v>18665</v>
      </c>
      <c r="T3" s="127">
        <v>51.052999999999997</v>
      </c>
      <c r="U3" s="154">
        <v>7.9999999999999996E-6</v>
      </c>
      <c r="V3" s="154">
        <v>0.33277324762772398</v>
      </c>
      <c r="W3" s="154">
        <v>2.49076535596412E-3</v>
      </c>
    </row>
    <row r="4" spans="1:23">
      <c r="A4" s="11">
        <v>301</v>
      </c>
      <c r="B4" s="11">
        <v>7210</v>
      </c>
      <c r="C4" s="11" t="s">
        <v>1468</v>
      </c>
      <c r="D4" s="11" t="s">
        <v>1469</v>
      </c>
      <c r="E4" s="11" t="s">
        <v>1330</v>
      </c>
      <c r="F4" s="11" t="s">
        <v>1470</v>
      </c>
      <c r="G4" s="11" t="s">
        <v>1471</v>
      </c>
      <c r="H4" s="11" t="s">
        <v>328</v>
      </c>
      <c r="I4" s="11" t="s">
        <v>940</v>
      </c>
      <c r="J4" s="11" t="s">
        <v>30</v>
      </c>
      <c r="K4" s="11" t="s">
        <v>30</v>
      </c>
      <c r="L4" s="3" t="s">
        <v>334</v>
      </c>
      <c r="M4" s="11" t="s">
        <v>45</v>
      </c>
      <c r="N4" s="13" t="s">
        <v>1472</v>
      </c>
      <c r="O4" s="13" t="s">
        <v>139</v>
      </c>
      <c r="P4" s="11" t="s">
        <v>34</v>
      </c>
      <c r="Q4" s="127">
        <v>1442000</v>
      </c>
      <c r="R4" s="152">
        <v>1</v>
      </c>
      <c r="S4" s="153">
        <v>214.37</v>
      </c>
      <c r="T4" s="127">
        <v>3091.2150000000001</v>
      </c>
      <c r="U4" s="154">
        <v>5.5059999999999996E-3</v>
      </c>
      <c r="V4" s="154">
        <v>0.22109440218509199</v>
      </c>
      <c r="W4" s="154">
        <v>2.2368001402746098E-3</v>
      </c>
    </row>
    <row r="5" spans="1:23">
      <c r="A5" s="11">
        <v>301</v>
      </c>
      <c r="B5" s="11">
        <v>7210</v>
      </c>
      <c r="C5" s="11" t="s">
        <v>1460</v>
      </c>
      <c r="D5" s="11" t="s">
        <v>1461</v>
      </c>
      <c r="E5" s="11" t="s">
        <v>321</v>
      </c>
      <c r="F5" s="11" t="s">
        <v>1462</v>
      </c>
      <c r="G5" s="11" t="s">
        <v>1463</v>
      </c>
      <c r="H5" s="11" t="s">
        <v>328</v>
      </c>
      <c r="I5" s="11" t="s">
        <v>996</v>
      </c>
      <c r="J5" s="11" t="s">
        <v>100</v>
      </c>
      <c r="K5" s="11" t="s">
        <v>101</v>
      </c>
      <c r="L5" s="3" t="s">
        <v>334</v>
      </c>
      <c r="M5" s="11" t="s">
        <v>109</v>
      </c>
      <c r="N5" s="13" t="s">
        <v>740</v>
      </c>
      <c r="O5" s="13" t="s">
        <v>139</v>
      </c>
      <c r="P5" s="11" t="s">
        <v>105</v>
      </c>
      <c r="Q5" s="127">
        <v>1186.6500000000001</v>
      </c>
      <c r="R5" s="152">
        <v>3.6469999999999998</v>
      </c>
      <c r="S5" s="153">
        <v>168274.48</v>
      </c>
      <c r="T5" s="127">
        <v>7282.4359999999997</v>
      </c>
      <c r="U5" s="154">
        <v>0</v>
      </c>
      <c r="V5" s="154">
        <v>0.52086496052986497</v>
      </c>
      <c r="W5" s="154">
        <v>5.2695627083402096E-3</v>
      </c>
    </row>
    <row r="6" spans="1:23">
      <c r="A6" s="11">
        <v>301</v>
      </c>
      <c r="B6" s="11">
        <v>7210</v>
      </c>
      <c r="C6" s="11" t="s">
        <v>1464</v>
      </c>
      <c r="D6" s="11" t="s">
        <v>1465</v>
      </c>
      <c r="E6" s="11" t="s">
        <v>321</v>
      </c>
      <c r="F6" s="11" t="s">
        <v>1466</v>
      </c>
      <c r="G6" s="11" t="s">
        <v>1467</v>
      </c>
      <c r="H6" s="11" t="s">
        <v>328</v>
      </c>
      <c r="I6" s="11" t="s">
        <v>996</v>
      </c>
      <c r="J6" s="11" t="s">
        <v>100</v>
      </c>
      <c r="K6" s="11" t="s">
        <v>305</v>
      </c>
      <c r="L6" s="3" t="s">
        <v>334</v>
      </c>
      <c r="M6" s="11" t="s">
        <v>109</v>
      </c>
      <c r="N6" s="13" t="s">
        <v>740</v>
      </c>
      <c r="O6" s="13" t="s">
        <v>139</v>
      </c>
      <c r="P6" s="11" t="s">
        <v>105</v>
      </c>
      <c r="Q6" s="127">
        <v>5300</v>
      </c>
      <c r="R6" s="152">
        <v>3.6469999999999998</v>
      </c>
      <c r="S6" s="153">
        <v>18665</v>
      </c>
      <c r="T6" s="127">
        <v>3607.777</v>
      </c>
      <c r="U6" s="154">
        <v>5.8200000000000005E-4</v>
      </c>
      <c r="V6" s="154">
        <v>0.25804063728504301</v>
      </c>
      <c r="W6" s="154">
        <v>2.6105832077672302E-3</v>
      </c>
    </row>
    <row r="7" spans="1:23">
      <c r="A7" s="11">
        <v>301</v>
      </c>
      <c r="B7" s="11">
        <v>7211</v>
      </c>
      <c r="C7" s="11" t="s">
        <v>1460</v>
      </c>
      <c r="D7" s="11" t="s">
        <v>1461</v>
      </c>
      <c r="E7" s="11" t="s">
        <v>321</v>
      </c>
      <c r="F7" s="11" t="s">
        <v>1462</v>
      </c>
      <c r="G7" s="11" t="s">
        <v>1463</v>
      </c>
      <c r="H7" s="11" t="s">
        <v>328</v>
      </c>
      <c r="I7" s="11" t="s">
        <v>996</v>
      </c>
      <c r="J7" s="11" t="s">
        <v>100</v>
      </c>
      <c r="K7" s="11" t="s">
        <v>101</v>
      </c>
      <c r="L7" s="3" t="s">
        <v>334</v>
      </c>
      <c r="M7" s="11" t="s">
        <v>109</v>
      </c>
      <c r="N7" s="13" t="s">
        <v>740</v>
      </c>
      <c r="O7" s="13" t="s">
        <v>139</v>
      </c>
      <c r="P7" s="11" t="s">
        <v>105</v>
      </c>
      <c r="Q7" s="127">
        <v>19.77</v>
      </c>
      <c r="R7" s="152">
        <v>3.6469999999999998</v>
      </c>
      <c r="S7" s="153">
        <v>168274.48</v>
      </c>
      <c r="T7" s="127">
        <v>121.328</v>
      </c>
      <c r="U7" s="154">
        <v>0</v>
      </c>
      <c r="V7" s="154">
        <v>0.69020659924717198</v>
      </c>
      <c r="W7" s="154">
        <v>5.6814594961924801E-3</v>
      </c>
    </row>
    <row r="8" spans="1:23">
      <c r="A8" s="11">
        <v>301</v>
      </c>
      <c r="B8" s="11">
        <v>7211</v>
      </c>
      <c r="C8" s="11" t="s">
        <v>1464</v>
      </c>
      <c r="D8" s="11" t="s">
        <v>1465</v>
      </c>
      <c r="E8" s="11" t="s">
        <v>321</v>
      </c>
      <c r="F8" s="11" t="s">
        <v>1466</v>
      </c>
      <c r="G8" s="11" t="s">
        <v>1467</v>
      </c>
      <c r="H8" s="11" t="s">
        <v>328</v>
      </c>
      <c r="I8" s="11" t="s">
        <v>996</v>
      </c>
      <c r="J8" s="11" t="s">
        <v>100</v>
      </c>
      <c r="K8" s="11" t="s">
        <v>305</v>
      </c>
      <c r="L8" s="3" t="s">
        <v>334</v>
      </c>
      <c r="M8" s="11" t="s">
        <v>109</v>
      </c>
      <c r="N8" s="13" t="s">
        <v>740</v>
      </c>
      <c r="O8" s="13" t="s">
        <v>139</v>
      </c>
      <c r="P8" s="11" t="s">
        <v>105</v>
      </c>
      <c r="Q8" s="127">
        <v>80</v>
      </c>
      <c r="R8" s="152">
        <v>3.6469999999999998</v>
      </c>
      <c r="S8" s="153">
        <v>18665</v>
      </c>
      <c r="T8" s="127">
        <v>54.457000000000001</v>
      </c>
      <c r="U8" s="154">
        <v>9.0000000000000002E-6</v>
      </c>
      <c r="V8" s="154">
        <v>0.30979340075282802</v>
      </c>
      <c r="W8" s="154">
        <v>2.55007509415975E-3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8">
    <dataValidation type="list" allowBlank="1" showInputMessage="1" showErrorMessage="1" sqref="J2:J8" xr:uid="{00000000-0002-0000-0800-000000000000}">
      <formula1>israel_abroad</formula1>
    </dataValidation>
    <dataValidation type="list" allowBlank="1" showInputMessage="1" showErrorMessage="1" sqref="O2:O8" xr:uid="{00000000-0002-0000-0800-000001000000}">
      <formula1>Holding_interest</formula1>
    </dataValidation>
    <dataValidation type="list" allowBlank="1" showInputMessage="1" showErrorMessage="1" sqref="N2:N8" xr:uid="{00000000-0002-0000-0800-000002000000}">
      <formula1>Fund_type</formula1>
    </dataValidation>
    <dataValidation type="list" allowBlank="1" showInputMessage="1" showErrorMessage="1" sqref="E2:E8" xr:uid="{00000000-0002-0000-0800-000003000000}">
      <formula1>Issuer_Type_TFunds</formula1>
    </dataValidation>
    <dataValidation type="list" allowBlank="1" showInputMessage="1" showErrorMessage="1" sqref="H2:H8" xr:uid="{00000000-0002-0000-0800-000004000000}">
      <formula1>Security_ID_Number_Type</formula1>
    </dataValidation>
    <dataValidation type="list" allowBlank="1" showInputMessage="1" showErrorMessage="1" sqref="L2:L8" xr:uid="{00000000-0002-0000-0800-000005000000}">
      <formula1>tradeable_status_funds</formula1>
    </dataValidation>
    <dataValidation type="list" allowBlank="1" showInputMessage="1" showErrorMessage="1" sqref="K2:K8" xr:uid="{00000000-0002-0000-0800-000006000000}">
      <formula1>Country_list_funds</formula1>
    </dataValidation>
    <dataValidation type="list" allowBlank="1" showInputMessage="1" showErrorMessage="1" sqref="M2:M8" xr:uid="{00000000-0002-0000-0800-000007000000}">
      <formula1>Stock_Exchange</formula1>
    </dataValidation>
  </dataValidations>
  <pageMargins left="0.7" right="0.7" top="0.75" bottom="0.75" header="0.3" footer="0.3"/>
  <pageSetup paperSize="9" orientation="portrait" verticalDpi="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8000000}">
          <x14:formula1>
            <xm:f>'אפשרויות בחירה'!$C$897:$C$900</xm:f>
          </x14:formula1>
          <xm:sqref>I2:I8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1"/>
  <dimension ref="A1:AA19"/>
  <sheetViews>
    <sheetView rightToLeft="1" zoomScale="70" zoomScaleNormal="70" workbookViewId="0"/>
  </sheetViews>
  <sheetFormatPr defaultColWidth="0" defaultRowHeight="14.25" zeroHeight="1"/>
  <cols>
    <col min="1" max="25" width="11.625" customWidth="1"/>
    <col min="26" max="27" width="11.625" hidden="1" customWidth="1"/>
  </cols>
  <sheetData>
    <row r="1" spans="1:25" ht="66.75" customHeight="1">
      <c r="A1" s="12" t="s">
        <v>0</v>
      </c>
      <c r="B1" s="12" t="s">
        <v>1</v>
      </c>
      <c r="C1" s="12" t="s">
        <v>2</v>
      </c>
      <c r="D1" s="12" t="s">
        <v>156</v>
      </c>
      <c r="E1" s="12" t="s">
        <v>157</v>
      </c>
      <c r="F1" s="12" t="s">
        <v>3</v>
      </c>
      <c r="G1" s="12" t="s">
        <v>4</v>
      </c>
      <c r="H1" s="12" t="s">
        <v>158</v>
      </c>
      <c r="I1" s="12" t="s">
        <v>6</v>
      </c>
      <c r="J1" s="12" t="s">
        <v>7</v>
      </c>
      <c r="K1" s="12" t="s">
        <v>333</v>
      </c>
      <c r="L1" s="12" t="s">
        <v>8</v>
      </c>
      <c r="M1" s="12" t="s">
        <v>1118</v>
      </c>
      <c r="N1" s="12" t="s">
        <v>159</v>
      </c>
      <c r="O1" s="155" t="s">
        <v>1119</v>
      </c>
      <c r="P1" s="12" t="s">
        <v>125</v>
      </c>
      <c r="Q1" s="12" t="s">
        <v>11</v>
      </c>
      <c r="R1" s="144" t="s">
        <v>1120</v>
      </c>
      <c r="S1" s="12" t="s">
        <v>1121</v>
      </c>
      <c r="T1" s="12" t="s">
        <v>17</v>
      </c>
      <c r="U1" s="133" t="s">
        <v>18</v>
      </c>
      <c r="V1" s="144" t="s">
        <v>19</v>
      </c>
      <c r="W1" s="12" t="s">
        <v>20</v>
      </c>
      <c r="X1" s="139" t="s">
        <v>24</v>
      </c>
      <c r="Y1" s="139" t="s">
        <v>25</v>
      </c>
    </row>
    <row r="2" spans="1:25">
      <c r="A2" s="18">
        <v>301</v>
      </c>
      <c r="B2" s="13">
        <v>7209</v>
      </c>
      <c r="C2" s="13" t="s">
        <v>2074</v>
      </c>
      <c r="D2" s="13" t="s">
        <v>2075</v>
      </c>
      <c r="E2" s="11" t="s">
        <v>1330</v>
      </c>
      <c r="F2" s="13" t="s">
        <v>2076</v>
      </c>
      <c r="G2" s="13" t="s">
        <v>2077</v>
      </c>
      <c r="H2" s="11" t="s">
        <v>328</v>
      </c>
      <c r="I2" s="11" t="s">
        <v>30</v>
      </c>
      <c r="J2" s="11" t="s">
        <v>30</v>
      </c>
      <c r="K2" s="13" t="s">
        <v>334</v>
      </c>
      <c r="L2" s="11" t="s">
        <v>45</v>
      </c>
      <c r="M2" s="13" t="s">
        <v>2078</v>
      </c>
      <c r="N2" s="13" t="s">
        <v>447</v>
      </c>
      <c r="O2" s="156" t="s">
        <v>2079</v>
      </c>
      <c r="P2" s="13" t="s">
        <v>139</v>
      </c>
      <c r="Q2" s="11" t="s">
        <v>34</v>
      </c>
      <c r="R2" s="153">
        <v>8000</v>
      </c>
      <c r="S2" s="127">
        <v>0</v>
      </c>
      <c r="T2" s="126">
        <v>114</v>
      </c>
      <c r="U2" s="149">
        <v>1</v>
      </c>
      <c r="V2" s="150">
        <v>524.6</v>
      </c>
      <c r="W2" s="126">
        <v>0.59799999999999998</v>
      </c>
      <c r="X2" s="148">
        <v>0.11778395898930399</v>
      </c>
      <c r="Y2" s="148">
        <v>2.9177020002392201E-5</v>
      </c>
    </row>
    <row r="3" spans="1:25">
      <c r="A3" s="13">
        <v>301</v>
      </c>
      <c r="B3" s="13">
        <v>7209</v>
      </c>
      <c r="C3" s="13" t="s">
        <v>1768</v>
      </c>
      <c r="D3" s="13" t="s">
        <v>1769</v>
      </c>
      <c r="E3" s="11" t="s">
        <v>1330</v>
      </c>
      <c r="F3" s="13" t="s">
        <v>2080</v>
      </c>
      <c r="G3" s="13" t="s">
        <v>2081</v>
      </c>
      <c r="H3" s="11" t="s">
        <v>328</v>
      </c>
      <c r="I3" s="11" t="s">
        <v>30</v>
      </c>
      <c r="J3" s="11" t="s">
        <v>30</v>
      </c>
      <c r="K3" s="13" t="s">
        <v>334</v>
      </c>
      <c r="L3" s="11" t="s">
        <v>31</v>
      </c>
      <c r="M3" s="13" t="s">
        <v>2082</v>
      </c>
      <c r="N3" s="13" t="s">
        <v>470</v>
      </c>
      <c r="O3" s="156" t="s">
        <v>2083</v>
      </c>
      <c r="P3" s="13" t="s">
        <v>139</v>
      </c>
      <c r="Q3" s="11" t="s">
        <v>34</v>
      </c>
      <c r="R3" s="153">
        <v>58000</v>
      </c>
      <c r="S3" s="127">
        <v>1</v>
      </c>
      <c r="T3" s="126">
        <v>51</v>
      </c>
      <c r="U3" s="149">
        <v>1</v>
      </c>
      <c r="V3" s="150">
        <v>3857</v>
      </c>
      <c r="W3" s="126">
        <v>1.9670000000000001</v>
      </c>
      <c r="X3" s="148">
        <v>0.38741178276028099</v>
      </c>
      <c r="Y3" s="148">
        <v>9.5968257747098404E-5</v>
      </c>
    </row>
    <row r="4" spans="1:25">
      <c r="A4" s="13">
        <v>301</v>
      </c>
      <c r="B4" s="13">
        <v>7209</v>
      </c>
      <c r="C4" s="13" t="s">
        <v>2084</v>
      </c>
      <c r="D4" s="13" t="s">
        <v>2085</v>
      </c>
      <c r="E4" s="11" t="s">
        <v>1330</v>
      </c>
      <c r="F4" s="13" t="s">
        <v>2086</v>
      </c>
      <c r="G4" s="13" t="s">
        <v>2087</v>
      </c>
      <c r="H4" s="11" t="s">
        <v>328</v>
      </c>
      <c r="I4" s="11" t="s">
        <v>30</v>
      </c>
      <c r="J4" s="11" t="s">
        <v>30</v>
      </c>
      <c r="K4" s="13" t="s">
        <v>334</v>
      </c>
      <c r="L4" s="11" t="s">
        <v>45</v>
      </c>
      <c r="M4" s="13" t="s">
        <v>2088</v>
      </c>
      <c r="N4" s="13" t="s">
        <v>470</v>
      </c>
      <c r="O4" s="156" t="s">
        <v>2089</v>
      </c>
      <c r="P4" s="13" t="s">
        <v>139</v>
      </c>
      <c r="Q4" s="11" t="s">
        <v>34</v>
      </c>
      <c r="R4" s="153">
        <v>20</v>
      </c>
      <c r="S4" s="127">
        <v>0</v>
      </c>
      <c r="T4" s="126">
        <v>1500</v>
      </c>
      <c r="U4" s="149">
        <v>1</v>
      </c>
      <c r="V4" s="150">
        <v>20.7</v>
      </c>
      <c r="W4" s="126">
        <v>0.31</v>
      </c>
      <c r="X4" s="148">
        <v>6.1152556109882801E-2</v>
      </c>
      <c r="Y4" s="148">
        <v>1.51484919349459E-5</v>
      </c>
    </row>
    <row r="5" spans="1:25">
      <c r="A5" s="13">
        <v>301</v>
      </c>
      <c r="B5" s="13">
        <v>7209</v>
      </c>
      <c r="C5" s="13" t="s">
        <v>2090</v>
      </c>
      <c r="D5" s="13" t="s">
        <v>2091</v>
      </c>
      <c r="E5" s="11" t="s">
        <v>1330</v>
      </c>
      <c r="F5" s="13" t="s">
        <v>2092</v>
      </c>
      <c r="G5" s="13" t="s">
        <v>2093</v>
      </c>
      <c r="H5" s="11" t="s">
        <v>328</v>
      </c>
      <c r="I5" s="11" t="s">
        <v>30</v>
      </c>
      <c r="J5" s="11" t="s">
        <v>30</v>
      </c>
      <c r="K5" s="13" t="s">
        <v>334</v>
      </c>
      <c r="L5" s="11" t="s">
        <v>45</v>
      </c>
      <c r="M5" s="13" t="s">
        <v>2094</v>
      </c>
      <c r="N5" s="13" t="s">
        <v>477</v>
      </c>
      <c r="O5" s="156" t="s">
        <v>2095</v>
      </c>
      <c r="P5" s="13" t="s">
        <v>139</v>
      </c>
      <c r="Q5" s="11" t="s">
        <v>34</v>
      </c>
      <c r="R5" s="153">
        <v>4117.3940000000002</v>
      </c>
      <c r="S5" s="127">
        <v>1</v>
      </c>
      <c r="T5" s="126">
        <v>1801.58</v>
      </c>
      <c r="U5" s="149">
        <v>1</v>
      </c>
      <c r="V5" s="150">
        <v>47</v>
      </c>
      <c r="W5" s="126">
        <v>0.84699999999999998</v>
      </c>
      <c r="X5" s="148">
        <v>0.16676481274437399</v>
      </c>
      <c r="Y5" s="148">
        <v>4.1310381472061597E-5</v>
      </c>
    </row>
    <row r="6" spans="1:25">
      <c r="A6" s="13">
        <v>301</v>
      </c>
      <c r="B6" s="13">
        <v>7209</v>
      </c>
      <c r="C6" s="13" t="s">
        <v>1712</v>
      </c>
      <c r="D6" s="13" t="s">
        <v>1713</v>
      </c>
      <c r="E6" s="11" t="s">
        <v>1330</v>
      </c>
      <c r="F6" s="13" t="s">
        <v>2096</v>
      </c>
      <c r="G6" s="13" t="s">
        <v>2097</v>
      </c>
      <c r="H6" s="11" t="s">
        <v>328</v>
      </c>
      <c r="I6" s="11" t="s">
        <v>100</v>
      </c>
      <c r="J6" s="11" t="s">
        <v>30</v>
      </c>
      <c r="K6" s="13" t="s">
        <v>334</v>
      </c>
      <c r="L6" s="11" t="s">
        <v>45</v>
      </c>
      <c r="M6" s="13" t="s">
        <v>1714</v>
      </c>
      <c r="N6" s="13" t="s">
        <v>445</v>
      </c>
      <c r="O6" s="156" t="s">
        <v>1772</v>
      </c>
      <c r="P6" s="13" t="s">
        <v>139</v>
      </c>
      <c r="Q6" s="11" t="s">
        <v>34</v>
      </c>
      <c r="R6" s="153">
        <v>285</v>
      </c>
      <c r="S6" s="127">
        <v>0</v>
      </c>
      <c r="T6" s="126">
        <v>2400</v>
      </c>
      <c r="U6" s="149">
        <v>1</v>
      </c>
      <c r="V6" s="150">
        <v>52.1</v>
      </c>
      <c r="W6" s="126">
        <v>1.25</v>
      </c>
      <c r="X6" s="148">
        <v>0.246264593107238</v>
      </c>
      <c r="Y6" s="148">
        <v>6.1003782014352198E-5</v>
      </c>
    </row>
    <row r="7" spans="1:25">
      <c r="A7" s="13">
        <v>301</v>
      </c>
      <c r="B7" s="13">
        <v>7209</v>
      </c>
      <c r="C7" s="13" t="s">
        <v>2098</v>
      </c>
      <c r="D7" s="13" t="s">
        <v>2099</v>
      </c>
      <c r="E7" s="11" t="s">
        <v>1330</v>
      </c>
      <c r="F7" s="13" t="s">
        <v>2100</v>
      </c>
      <c r="G7" s="13" t="s">
        <v>2101</v>
      </c>
      <c r="H7" s="11" t="s">
        <v>328</v>
      </c>
      <c r="I7" s="11" t="s">
        <v>100</v>
      </c>
      <c r="J7" s="11" t="s">
        <v>30</v>
      </c>
      <c r="K7" s="13" t="s">
        <v>334</v>
      </c>
      <c r="L7" s="11" t="s">
        <v>45</v>
      </c>
      <c r="M7" s="13" t="s">
        <v>2102</v>
      </c>
      <c r="N7" s="13" t="s">
        <v>445</v>
      </c>
      <c r="O7" s="156" t="s">
        <v>2089</v>
      </c>
      <c r="P7" s="13" t="s">
        <v>139</v>
      </c>
      <c r="Q7" s="11" t="s">
        <v>34</v>
      </c>
      <c r="R7" s="153">
        <v>946.60154</v>
      </c>
      <c r="S7" s="127">
        <v>0</v>
      </c>
      <c r="T7" s="126">
        <v>960</v>
      </c>
      <c r="U7" s="149">
        <v>1</v>
      </c>
      <c r="V7" s="150">
        <v>2.9</v>
      </c>
      <c r="W7" s="126">
        <v>2.8000000000000001E-2</v>
      </c>
      <c r="X7" s="148">
        <v>5.4830504415431204E-3</v>
      </c>
      <c r="Y7" s="148">
        <v>1.35824159571302E-6</v>
      </c>
    </row>
    <row r="8" spans="1:25">
      <c r="A8" s="13">
        <v>301</v>
      </c>
      <c r="B8" s="13">
        <v>7209</v>
      </c>
      <c r="C8" s="13" t="s">
        <v>2103</v>
      </c>
      <c r="D8" s="13" t="s">
        <v>2104</v>
      </c>
      <c r="E8" s="11" t="s">
        <v>1330</v>
      </c>
      <c r="F8" s="13" t="s">
        <v>2105</v>
      </c>
      <c r="G8" s="13" t="s">
        <v>2106</v>
      </c>
      <c r="H8" s="11" t="s">
        <v>328</v>
      </c>
      <c r="I8" s="11" t="s">
        <v>100</v>
      </c>
      <c r="J8" s="11" t="s">
        <v>30</v>
      </c>
      <c r="K8" s="13" t="s">
        <v>334</v>
      </c>
      <c r="L8" s="11" t="s">
        <v>45</v>
      </c>
      <c r="M8" s="13" t="s">
        <v>2107</v>
      </c>
      <c r="N8" s="13" t="s">
        <v>487</v>
      </c>
      <c r="O8" s="156" t="s">
        <v>2108</v>
      </c>
      <c r="P8" s="13" t="s">
        <v>139</v>
      </c>
      <c r="Q8" s="11" t="s">
        <v>34</v>
      </c>
      <c r="R8" s="153">
        <v>1415</v>
      </c>
      <c r="S8" s="127">
        <v>0</v>
      </c>
      <c r="T8" s="126">
        <v>219</v>
      </c>
      <c r="U8" s="149">
        <v>1</v>
      </c>
      <c r="V8" s="150">
        <v>35.1</v>
      </c>
      <c r="W8" s="126">
        <v>7.6999999999999999E-2</v>
      </c>
      <c r="X8" s="148">
        <v>1.51392458473771E-2</v>
      </c>
      <c r="Y8" s="148">
        <v>3.7502396990252998E-6</v>
      </c>
    </row>
    <row r="9" spans="1:25">
      <c r="A9" s="13">
        <v>301</v>
      </c>
      <c r="B9" s="13">
        <v>7210</v>
      </c>
      <c r="C9" s="13" t="s">
        <v>2074</v>
      </c>
      <c r="D9" s="13" t="s">
        <v>2075</v>
      </c>
      <c r="E9" s="11" t="s">
        <v>1330</v>
      </c>
      <c r="F9" s="13" t="s">
        <v>2076</v>
      </c>
      <c r="G9" s="13" t="s">
        <v>2077</v>
      </c>
      <c r="H9" s="11" t="s">
        <v>328</v>
      </c>
      <c r="I9" s="11" t="s">
        <v>30</v>
      </c>
      <c r="J9" s="11" t="s">
        <v>30</v>
      </c>
      <c r="K9" s="13" t="s">
        <v>334</v>
      </c>
      <c r="L9" s="11" t="s">
        <v>45</v>
      </c>
      <c r="M9" s="13" t="s">
        <v>2078</v>
      </c>
      <c r="N9" s="13" t="s">
        <v>447</v>
      </c>
      <c r="O9" s="156" t="s">
        <v>2079</v>
      </c>
      <c r="P9" s="13" t="s">
        <v>139</v>
      </c>
      <c r="Q9" s="11" t="s">
        <v>34</v>
      </c>
      <c r="R9" s="153">
        <v>8000</v>
      </c>
      <c r="S9" s="127">
        <v>0</v>
      </c>
      <c r="T9" s="126">
        <v>8016</v>
      </c>
      <c r="U9" s="149">
        <v>1</v>
      </c>
      <c r="V9" s="150">
        <v>524.6</v>
      </c>
      <c r="W9" s="126">
        <v>42.052</v>
      </c>
      <c r="X9" s="148">
        <v>0.123792041502456</v>
      </c>
      <c r="Y9" s="148">
        <v>3.04287356822883E-5</v>
      </c>
    </row>
    <row r="10" spans="1:25">
      <c r="A10" s="13">
        <v>301</v>
      </c>
      <c r="B10" s="13">
        <v>7210</v>
      </c>
      <c r="C10" s="13" t="s">
        <v>1768</v>
      </c>
      <c r="D10" s="13" t="s">
        <v>1769</v>
      </c>
      <c r="E10" s="11" t="s">
        <v>1330</v>
      </c>
      <c r="F10" s="13" t="s">
        <v>2080</v>
      </c>
      <c r="G10" s="13" t="s">
        <v>2081</v>
      </c>
      <c r="H10" s="11" t="s">
        <v>328</v>
      </c>
      <c r="I10" s="11" t="s">
        <v>30</v>
      </c>
      <c r="J10" s="11" t="s">
        <v>30</v>
      </c>
      <c r="K10" s="13" t="s">
        <v>334</v>
      </c>
      <c r="L10" s="11" t="s">
        <v>31</v>
      </c>
      <c r="M10" s="13" t="s">
        <v>2082</v>
      </c>
      <c r="N10" s="13" t="s">
        <v>470</v>
      </c>
      <c r="O10" s="156" t="s">
        <v>2083</v>
      </c>
      <c r="P10" s="13" t="s">
        <v>139</v>
      </c>
      <c r="Q10" s="11" t="s">
        <v>34</v>
      </c>
      <c r="R10" s="153">
        <v>58000</v>
      </c>
      <c r="S10" s="127">
        <v>1</v>
      </c>
      <c r="T10" s="126">
        <v>3388</v>
      </c>
      <c r="U10" s="149">
        <v>1</v>
      </c>
      <c r="V10" s="150">
        <v>3857</v>
      </c>
      <c r="W10" s="126">
        <v>130.67500000000001</v>
      </c>
      <c r="X10" s="148">
        <v>0.38468014481093299</v>
      </c>
      <c r="Y10" s="148">
        <v>9.4556405295602303E-5</v>
      </c>
    </row>
    <row r="11" spans="1:25">
      <c r="A11" s="18">
        <v>301</v>
      </c>
      <c r="B11" s="13">
        <v>7210</v>
      </c>
      <c r="C11" s="13" t="s">
        <v>2084</v>
      </c>
      <c r="D11" s="13" t="s">
        <v>2085</v>
      </c>
      <c r="E11" s="11" t="s">
        <v>1330</v>
      </c>
      <c r="F11" s="13" t="s">
        <v>2086</v>
      </c>
      <c r="G11" s="13" t="s">
        <v>2087</v>
      </c>
      <c r="H11" s="11" t="s">
        <v>328</v>
      </c>
      <c r="I11" s="11" t="s">
        <v>30</v>
      </c>
      <c r="J11" s="11" t="s">
        <v>30</v>
      </c>
      <c r="K11" s="13" t="s">
        <v>334</v>
      </c>
      <c r="L11" s="11" t="s">
        <v>45</v>
      </c>
      <c r="M11" s="13" t="s">
        <v>2088</v>
      </c>
      <c r="N11" s="13" t="s">
        <v>470</v>
      </c>
      <c r="O11" s="156" t="s">
        <v>2089</v>
      </c>
      <c r="P11" s="13" t="s">
        <v>139</v>
      </c>
      <c r="Q11" s="11" t="s">
        <v>34</v>
      </c>
      <c r="R11" s="153">
        <v>20</v>
      </c>
      <c r="S11" s="127">
        <v>0</v>
      </c>
      <c r="T11" s="126">
        <v>134850</v>
      </c>
      <c r="U11" s="149">
        <v>1</v>
      </c>
      <c r="V11" s="150">
        <v>20.7</v>
      </c>
      <c r="W11" s="126">
        <v>27.914000000000001</v>
      </c>
      <c r="X11" s="148">
        <v>8.2172788831826493E-2</v>
      </c>
      <c r="Y11" s="148">
        <v>2.0198504211521001E-5</v>
      </c>
    </row>
    <row r="12" spans="1:25">
      <c r="A12" s="13">
        <v>301</v>
      </c>
      <c r="B12" s="13">
        <v>7210</v>
      </c>
      <c r="C12" s="13" t="s">
        <v>2090</v>
      </c>
      <c r="D12" s="13" t="s">
        <v>2091</v>
      </c>
      <c r="E12" s="11" t="s">
        <v>1330</v>
      </c>
      <c r="F12" s="13" t="s">
        <v>2092</v>
      </c>
      <c r="G12" s="13" t="s">
        <v>2093</v>
      </c>
      <c r="H12" s="11" t="s">
        <v>328</v>
      </c>
      <c r="I12" s="11" t="s">
        <v>30</v>
      </c>
      <c r="J12" s="11" t="s">
        <v>30</v>
      </c>
      <c r="K12" s="13" t="s">
        <v>334</v>
      </c>
      <c r="L12" s="11" t="s">
        <v>45</v>
      </c>
      <c r="M12" s="13" t="s">
        <v>2094</v>
      </c>
      <c r="N12" s="13" t="s">
        <v>477</v>
      </c>
      <c r="O12" s="156" t="s">
        <v>2095</v>
      </c>
      <c r="P12" s="13" t="s">
        <v>139</v>
      </c>
      <c r="Q12" s="11" t="s">
        <v>34</v>
      </c>
      <c r="R12" s="153">
        <v>4117.3940000000002</v>
      </c>
      <c r="S12" s="127">
        <v>1</v>
      </c>
      <c r="T12" s="126">
        <v>15248.04</v>
      </c>
      <c r="U12" s="149">
        <v>1</v>
      </c>
      <c r="V12" s="150">
        <v>47</v>
      </c>
      <c r="W12" s="126">
        <v>7.1669999999999998</v>
      </c>
      <c r="X12" s="148">
        <v>2.10968983744345E-2</v>
      </c>
      <c r="Y12" s="148">
        <v>5.1857287153554703E-6</v>
      </c>
    </row>
    <row r="13" spans="1:25">
      <c r="A13" s="13">
        <v>301</v>
      </c>
      <c r="B13" s="13">
        <v>7210</v>
      </c>
      <c r="C13" s="13" t="s">
        <v>1712</v>
      </c>
      <c r="D13" s="13" t="s">
        <v>1713</v>
      </c>
      <c r="E13" s="11" t="s">
        <v>1330</v>
      </c>
      <c r="F13" s="13" t="s">
        <v>2096</v>
      </c>
      <c r="G13" s="13" t="s">
        <v>2097</v>
      </c>
      <c r="H13" s="11" t="s">
        <v>328</v>
      </c>
      <c r="I13" s="11" t="s">
        <v>100</v>
      </c>
      <c r="J13" s="11" t="s">
        <v>30</v>
      </c>
      <c r="K13" s="13" t="s">
        <v>334</v>
      </c>
      <c r="L13" s="11" t="s">
        <v>45</v>
      </c>
      <c r="M13" s="13" t="s">
        <v>1714</v>
      </c>
      <c r="N13" s="13" t="s">
        <v>445</v>
      </c>
      <c r="O13" s="156" t="s">
        <v>1772</v>
      </c>
      <c r="P13" s="13" t="s">
        <v>139</v>
      </c>
      <c r="Q13" s="11" t="s">
        <v>34</v>
      </c>
      <c r="R13" s="153">
        <v>285</v>
      </c>
      <c r="S13" s="127">
        <v>0</v>
      </c>
      <c r="T13" s="126">
        <v>234200</v>
      </c>
      <c r="U13" s="149">
        <v>1</v>
      </c>
      <c r="V13" s="150">
        <v>52.1</v>
      </c>
      <c r="W13" s="126">
        <v>122.018</v>
      </c>
      <c r="X13" s="148">
        <v>0.35919587812687098</v>
      </c>
      <c r="Y13" s="148">
        <v>8.8292238346138996E-5</v>
      </c>
    </row>
    <row r="14" spans="1:25">
      <c r="A14" s="13">
        <v>301</v>
      </c>
      <c r="B14" s="13">
        <v>7210</v>
      </c>
      <c r="C14" s="13" t="s">
        <v>2098</v>
      </c>
      <c r="D14" s="13" t="s">
        <v>2099</v>
      </c>
      <c r="E14" s="11" t="s">
        <v>1330</v>
      </c>
      <c r="F14" s="13" t="s">
        <v>2100</v>
      </c>
      <c r="G14" s="13" t="s">
        <v>2101</v>
      </c>
      <c r="H14" s="11" t="s">
        <v>328</v>
      </c>
      <c r="I14" s="11" t="s">
        <v>100</v>
      </c>
      <c r="J14" s="11" t="s">
        <v>30</v>
      </c>
      <c r="K14" s="13" t="s">
        <v>334</v>
      </c>
      <c r="L14" s="11" t="s">
        <v>45</v>
      </c>
      <c r="M14" s="13" t="s">
        <v>2102</v>
      </c>
      <c r="N14" s="13" t="s">
        <v>445</v>
      </c>
      <c r="O14" s="156" t="s">
        <v>2089</v>
      </c>
      <c r="P14" s="13" t="s">
        <v>139</v>
      </c>
      <c r="Q14" s="11" t="s">
        <v>34</v>
      </c>
      <c r="R14" s="153">
        <v>946.60154</v>
      </c>
      <c r="S14" s="127">
        <v>0</v>
      </c>
      <c r="T14" s="126">
        <v>94800</v>
      </c>
      <c r="U14" s="149">
        <v>1</v>
      </c>
      <c r="V14" s="150">
        <v>2.9</v>
      </c>
      <c r="W14" s="126">
        <v>2.7490000000000001</v>
      </c>
      <c r="X14" s="148">
        <v>8.0930656914000899E-3</v>
      </c>
      <c r="Y14" s="148">
        <v>1.98931816451321E-6</v>
      </c>
    </row>
    <row r="15" spans="1:25">
      <c r="A15" s="13">
        <v>301</v>
      </c>
      <c r="B15" s="13">
        <v>7210</v>
      </c>
      <c r="C15" s="13" t="s">
        <v>2103</v>
      </c>
      <c r="D15" s="13" t="s">
        <v>2104</v>
      </c>
      <c r="E15" s="11" t="s">
        <v>1330</v>
      </c>
      <c r="F15" s="13" t="s">
        <v>2105</v>
      </c>
      <c r="G15" s="13" t="s">
        <v>2106</v>
      </c>
      <c r="H15" s="11" t="s">
        <v>328</v>
      </c>
      <c r="I15" s="11" t="s">
        <v>100</v>
      </c>
      <c r="J15" s="11" t="s">
        <v>30</v>
      </c>
      <c r="K15" s="13" t="s">
        <v>334</v>
      </c>
      <c r="L15" s="11" t="s">
        <v>45</v>
      </c>
      <c r="M15" s="13" t="s">
        <v>2107</v>
      </c>
      <c r="N15" s="13" t="s">
        <v>487</v>
      </c>
      <c r="O15" s="156" t="s">
        <v>2108</v>
      </c>
      <c r="P15" s="13" t="s">
        <v>139</v>
      </c>
      <c r="Q15" s="11" t="s">
        <v>34</v>
      </c>
      <c r="R15" s="153">
        <v>1415</v>
      </c>
      <c r="S15" s="127">
        <v>0</v>
      </c>
      <c r="T15" s="126">
        <v>20294</v>
      </c>
      <c r="U15" s="149">
        <v>1</v>
      </c>
      <c r="V15" s="150">
        <v>35.1</v>
      </c>
      <c r="W15" s="126">
        <v>7.1230000000000002</v>
      </c>
      <c r="X15" s="148">
        <v>2.0969182662078801E-2</v>
      </c>
      <c r="Y15" s="148">
        <v>5.1543355207156599E-6</v>
      </c>
    </row>
    <row r="16" spans="1:25">
      <c r="A16" s="13">
        <v>301</v>
      </c>
      <c r="B16" s="13">
        <v>7211</v>
      </c>
      <c r="C16" s="13" t="s">
        <v>2074</v>
      </c>
      <c r="D16" s="13" t="s">
        <v>2075</v>
      </c>
      <c r="E16" s="11" t="s">
        <v>1330</v>
      </c>
      <c r="F16" s="13" t="s">
        <v>2076</v>
      </c>
      <c r="G16" s="13" t="s">
        <v>2077</v>
      </c>
      <c r="H16" s="11" t="s">
        <v>328</v>
      </c>
      <c r="I16" s="11" t="s">
        <v>30</v>
      </c>
      <c r="J16" s="11" t="s">
        <v>30</v>
      </c>
      <c r="K16" s="13" t="s">
        <v>334</v>
      </c>
      <c r="L16" s="11" t="s">
        <v>45</v>
      </c>
      <c r="M16" s="13" t="s">
        <v>2078</v>
      </c>
      <c r="N16" s="13" t="s">
        <v>447</v>
      </c>
      <c r="O16" s="156" t="s">
        <v>2079</v>
      </c>
      <c r="P16" s="13" t="s">
        <v>139</v>
      </c>
      <c r="Q16" s="11" t="s">
        <v>34</v>
      </c>
      <c r="R16" s="153">
        <v>8000</v>
      </c>
      <c r="S16" s="127">
        <v>0</v>
      </c>
      <c r="T16" s="126">
        <v>144</v>
      </c>
      <c r="U16" s="149">
        <v>1</v>
      </c>
      <c r="V16" s="150">
        <v>524.6</v>
      </c>
      <c r="W16" s="126">
        <v>0.755</v>
      </c>
      <c r="X16" s="148">
        <v>0.219355673488797</v>
      </c>
      <c r="Y16" s="148">
        <v>3.5374475024930399E-5</v>
      </c>
    </row>
    <row r="17" spans="1:25">
      <c r="A17" s="13">
        <v>301</v>
      </c>
      <c r="B17" s="13">
        <v>7211</v>
      </c>
      <c r="C17" s="13" t="s">
        <v>1768</v>
      </c>
      <c r="D17" s="13" t="s">
        <v>1769</v>
      </c>
      <c r="E17" s="11" t="s">
        <v>1330</v>
      </c>
      <c r="F17" s="13" t="s">
        <v>2080</v>
      </c>
      <c r="G17" s="13" t="s">
        <v>2081</v>
      </c>
      <c r="H17" s="11" t="s">
        <v>328</v>
      </c>
      <c r="I17" s="11" t="s">
        <v>30</v>
      </c>
      <c r="J17" s="11" t="s">
        <v>30</v>
      </c>
      <c r="K17" s="13" t="s">
        <v>334</v>
      </c>
      <c r="L17" s="11" t="s">
        <v>31</v>
      </c>
      <c r="M17" s="13" t="s">
        <v>2082</v>
      </c>
      <c r="N17" s="13" t="s">
        <v>470</v>
      </c>
      <c r="O17" s="156" t="s">
        <v>2083</v>
      </c>
      <c r="P17" s="13" t="s">
        <v>139</v>
      </c>
      <c r="Q17" s="11" t="s">
        <v>34</v>
      </c>
      <c r="R17" s="153">
        <v>58000</v>
      </c>
      <c r="S17" s="127">
        <v>1</v>
      </c>
      <c r="T17" s="126">
        <v>51</v>
      </c>
      <c r="U17" s="149">
        <v>1</v>
      </c>
      <c r="V17" s="150">
        <v>3857</v>
      </c>
      <c r="W17" s="126">
        <v>1.9670000000000001</v>
      </c>
      <c r="X17" s="148">
        <v>0.57118646567968101</v>
      </c>
      <c r="Y17" s="148">
        <v>9.2112599794671505E-5</v>
      </c>
    </row>
    <row r="18" spans="1:25">
      <c r="A18" s="13">
        <v>301</v>
      </c>
      <c r="B18" s="13">
        <v>7211</v>
      </c>
      <c r="C18" s="13" t="s">
        <v>2084</v>
      </c>
      <c r="D18" s="13" t="s">
        <v>2085</v>
      </c>
      <c r="E18" s="11" t="s">
        <v>1330</v>
      </c>
      <c r="F18" s="13" t="s">
        <v>2086</v>
      </c>
      <c r="G18" s="13" t="s">
        <v>2087</v>
      </c>
      <c r="H18" s="11" t="s">
        <v>328</v>
      </c>
      <c r="I18" s="11" t="s">
        <v>30</v>
      </c>
      <c r="J18" s="11" t="s">
        <v>30</v>
      </c>
      <c r="K18" s="13" t="s">
        <v>334</v>
      </c>
      <c r="L18" s="11" t="s">
        <v>45</v>
      </c>
      <c r="M18" s="13" t="s">
        <v>2088</v>
      </c>
      <c r="N18" s="13" t="s">
        <v>470</v>
      </c>
      <c r="O18" s="156" t="s">
        <v>2089</v>
      </c>
      <c r="P18" s="13" t="s">
        <v>139</v>
      </c>
      <c r="Q18" s="11" t="s">
        <v>34</v>
      </c>
      <c r="R18" s="153">
        <v>20</v>
      </c>
      <c r="S18" s="127">
        <v>0</v>
      </c>
      <c r="T18" s="126">
        <v>2775</v>
      </c>
      <c r="U18" s="149">
        <v>1</v>
      </c>
      <c r="V18" s="150">
        <v>20.7</v>
      </c>
      <c r="W18" s="126">
        <v>0.57399999999999995</v>
      </c>
      <c r="X18" s="148">
        <v>0.16679822555783499</v>
      </c>
      <c r="Y18" s="148">
        <v>2.6898778455801901E-5</v>
      </c>
    </row>
    <row r="19" spans="1:25">
      <c r="A19" s="13">
        <v>301</v>
      </c>
      <c r="B19" s="13">
        <v>7211</v>
      </c>
      <c r="C19" s="13" t="s">
        <v>2090</v>
      </c>
      <c r="D19" s="13" t="s">
        <v>2091</v>
      </c>
      <c r="E19" s="11" t="s">
        <v>1330</v>
      </c>
      <c r="F19" s="13" t="s">
        <v>2092</v>
      </c>
      <c r="G19" s="13" t="s">
        <v>2093</v>
      </c>
      <c r="H19" s="11" t="s">
        <v>328</v>
      </c>
      <c r="I19" s="11" t="s">
        <v>30</v>
      </c>
      <c r="J19" s="11" t="s">
        <v>30</v>
      </c>
      <c r="K19" s="13" t="s">
        <v>334</v>
      </c>
      <c r="L19" s="11" t="s">
        <v>45</v>
      </c>
      <c r="M19" s="13" t="s">
        <v>2094</v>
      </c>
      <c r="N19" s="13" t="s">
        <v>477</v>
      </c>
      <c r="O19" s="156" t="s">
        <v>2095</v>
      </c>
      <c r="P19" s="13" t="s">
        <v>139</v>
      </c>
      <c r="Q19" s="11" t="s">
        <v>34</v>
      </c>
      <c r="R19" s="153">
        <v>4117.3940000000002</v>
      </c>
      <c r="S19" s="127">
        <v>1</v>
      </c>
      <c r="T19" s="126">
        <v>312.58</v>
      </c>
      <c r="U19" s="149">
        <v>1</v>
      </c>
      <c r="V19" s="150">
        <v>47</v>
      </c>
      <c r="W19" s="126">
        <v>0.14699999999999999</v>
      </c>
      <c r="X19" s="148">
        <v>4.2659635273687602E-2</v>
      </c>
      <c r="Y19" s="148">
        <v>6.8795220956014003E-6</v>
      </c>
    </row>
  </sheetData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8">
    <dataValidation type="list" allowBlank="1" showInputMessage="1" showErrorMessage="1" sqref="I2:I19" xr:uid="{00000000-0002-0000-0900-000000000000}">
      <formula1>israel_abroad</formula1>
    </dataValidation>
    <dataValidation type="list" allowBlank="1" showInputMessage="1" showErrorMessage="1" sqref="N2:N19" xr:uid="{00000000-0002-0000-0900-000001000000}">
      <formula1>Industry_sectors</formula1>
    </dataValidation>
    <dataValidation type="list" allowBlank="1" showInputMessage="1" showErrorMessage="1" sqref="P2:P19" xr:uid="{00000000-0002-0000-0900-000002000000}">
      <formula1>Holding_interest</formula1>
    </dataValidation>
    <dataValidation type="list" allowBlank="1" showInputMessage="1" showErrorMessage="1" sqref="J2:J19" xr:uid="{00000000-0002-0000-0900-000003000000}">
      <formula1>Country_list</formula1>
    </dataValidation>
    <dataValidation type="list" allowBlank="1" showInputMessage="1" showErrorMessage="1" sqref="E2:E19" xr:uid="{00000000-0002-0000-0900-000004000000}">
      <formula1>Issuer_Type_TFunds</formula1>
    </dataValidation>
    <dataValidation type="list" allowBlank="1" showInputMessage="1" showErrorMessage="1" sqref="H2:H19" xr:uid="{00000000-0002-0000-0900-000005000000}">
      <formula1>Security_ID_Number_Type</formula1>
    </dataValidation>
    <dataValidation type="list" allowBlank="1" showInputMessage="1" showErrorMessage="1" sqref="K2:K19" xr:uid="{00000000-0002-0000-0900-000006000000}">
      <formula1>tradeable_status_warrants</formula1>
    </dataValidation>
    <dataValidation type="list" allowBlank="1" showInputMessage="1" showErrorMessage="1" sqref="L2:L19" xr:uid="{00000000-0002-0000-0900-000007000000}">
      <formula1>Stock_Exchange</formula1>
    </dataValidation>
  </dataValidation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2"/>
  <dimension ref="A1:Y1"/>
  <sheetViews>
    <sheetView rightToLeft="1" topLeftCell="G1" zoomScale="70" zoomScaleNormal="70" workbookViewId="0"/>
  </sheetViews>
  <sheetFormatPr defaultColWidth="0" defaultRowHeight="14.25" zeroHeight="1"/>
  <cols>
    <col min="1" max="24" width="11.625" customWidth="1"/>
    <col min="25" max="25" width="11.625" hidden="1" customWidth="1"/>
  </cols>
  <sheetData>
    <row r="1" spans="1:24" ht="66.75" customHeight="1">
      <c r="A1" s="12" t="s">
        <v>0</v>
      </c>
      <c r="B1" s="12" t="s">
        <v>1</v>
      </c>
      <c r="C1" s="12" t="s">
        <v>2</v>
      </c>
      <c r="D1" s="12" t="s">
        <v>156</v>
      </c>
      <c r="E1" s="12" t="s">
        <v>157</v>
      </c>
      <c r="F1" s="12" t="s">
        <v>3</v>
      </c>
      <c r="G1" s="12" t="s">
        <v>4</v>
      </c>
      <c r="H1" s="12" t="s">
        <v>158</v>
      </c>
      <c r="I1" s="12" t="s">
        <v>5</v>
      </c>
      <c r="J1" s="12" t="s">
        <v>6</v>
      </c>
      <c r="K1" s="12" t="s">
        <v>7</v>
      </c>
      <c r="L1" s="12" t="s">
        <v>8</v>
      </c>
      <c r="M1" s="12" t="s">
        <v>159</v>
      </c>
      <c r="N1" s="12" t="s">
        <v>182</v>
      </c>
      <c r="O1" s="12" t="s">
        <v>1119</v>
      </c>
      <c r="P1" s="12" t="s">
        <v>125</v>
      </c>
      <c r="Q1" s="12" t="s">
        <v>11</v>
      </c>
      <c r="R1" s="12" t="s">
        <v>1120</v>
      </c>
      <c r="S1" s="12" t="s">
        <v>17</v>
      </c>
      <c r="T1" s="12" t="s">
        <v>18</v>
      </c>
      <c r="U1" s="12" t="s">
        <v>19</v>
      </c>
      <c r="V1" s="12" t="s">
        <v>20</v>
      </c>
      <c r="W1" s="12" t="s">
        <v>24</v>
      </c>
      <c r="X1" s="12" t="s">
        <v>25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3"/>
  <dimension ref="A1:T6"/>
  <sheetViews>
    <sheetView rightToLeft="1" zoomScale="70" zoomScaleNormal="70" workbookViewId="0"/>
  </sheetViews>
  <sheetFormatPr defaultColWidth="0" defaultRowHeight="14.25" zeroHeight="1"/>
  <cols>
    <col min="1" max="20" width="11.625" customWidth="1"/>
  </cols>
  <sheetData>
    <row r="1" spans="1:20" ht="66.75" customHeight="1">
      <c r="A1" s="12" t="s">
        <v>0</v>
      </c>
      <c r="B1" s="12" t="s">
        <v>1</v>
      </c>
      <c r="C1" s="12" t="s">
        <v>2</v>
      </c>
      <c r="D1" s="12" t="s">
        <v>156</v>
      </c>
      <c r="E1" s="12" t="s">
        <v>157</v>
      </c>
      <c r="F1" s="12" t="s">
        <v>3</v>
      </c>
      <c r="G1" s="12" t="s">
        <v>4</v>
      </c>
      <c r="H1" s="12" t="s">
        <v>158</v>
      </c>
      <c r="I1" s="12" t="s">
        <v>6</v>
      </c>
      <c r="J1" s="12" t="s">
        <v>7</v>
      </c>
      <c r="K1" s="12" t="s">
        <v>8</v>
      </c>
      <c r="L1" s="12" t="s">
        <v>182</v>
      </c>
      <c r="M1" s="12" t="s">
        <v>125</v>
      </c>
      <c r="N1" s="12" t="s">
        <v>11</v>
      </c>
      <c r="O1" s="12" t="s">
        <v>17</v>
      </c>
      <c r="P1" s="133" t="s">
        <v>18</v>
      </c>
      <c r="Q1" s="144" t="s">
        <v>19</v>
      </c>
      <c r="R1" s="12" t="s">
        <v>20</v>
      </c>
      <c r="S1" s="139" t="s">
        <v>24</v>
      </c>
      <c r="T1" s="139" t="s">
        <v>25</v>
      </c>
    </row>
    <row r="2" spans="1:20">
      <c r="A2" s="13">
        <v>301</v>
      </c>
      <c r="B2" s="13">
        <v>7209</v>
      </c>
      <c r="C2" s="2" t="s">
        <v>2065</v>
      </c>
      <c r="D2" s="2" t="s">
        <v>2066</v>
      </c>
      <c r="E2" s="11" t="s">
        <v>33</v>
      </c>
      <c r="F2" s="13" t="s">
        <v>2067</v>
      </c>
      <c r="G2" s="13" t="s">
        <v>2068</v>
      </c>
      <c r="H2" s="11" t="s">
        <v>109</v>
      </c>
      <c r="I2" s="11" t="s">
        <v>100</v>
      </c>
      <c r="J2" s="11" t="s">
        <v>101</v>
      </c>
      <c r="K2" s="11" t="s">
        <v>2069</v>
      </c>
      <c r="L2" s="13" t="s">
        <v>755</v>
      </c>
      <c r="M2" s="13" t="s">
        <v>139</v>
      </c>
      <c r="N2" s="11" t="s">
        <v>105</v>
      </c>
      <c r="O2" s="126">
        <v>2</v>
      </c>
      <c r="P2" s="149">
        <v>3.6469999999999998</v>
      </c>
      <c r="Q2" s="150">
        <v>5935.75</v>
      </c>
      <c r="R2" s="126">
        <v>-69.674000000000007</v>
      </c>
      <c r="S2" s="148">
        <v>0.52631026040736895</v>
      </c>
      <c r="T2" s="148">
        <v>-3.39923327357179E-3</v>
      </c>
    </row>
    <row r="3" spans="1:20">
      <c r="A3" s="13">
        <v>301</v>
      </c>
      <c r="B3" s="13">
        <v>7209</v>
      </c>
      <c r="C3" s="2" t="s">
        <v>2065</v>
      </c>
      <c r="D3" s="2" t="s">
        <v>2066</v>
      </c>
      <c r="E3" s="11" t="s">
        <v>33</v>
      </c>
      <c r="F3" s="13" t="s">
        <v>2070</v>
      </c>
      <c r="G3" s="13" t="s">
        <v>2071</v>
      </c>
      <c r="H3" s="11" t="s">
        <v>109</v>
      </c>
      <c r="I3" s="11" t="s">
        <v>100</v>
      </c>
      <c r="J3" s="11" t="s">
        <v>101</v>
      </c>
      <c r="K3" s="11" t="s">
        <v>2069</v>
      </c>
      <c r="L3" s="13" t="s">
        <v>755</v>
      </c>
      <c r="M3" s="13" t="s">
        <v>139</v>
      </c>
      <c r="N3" s="11" t="s">
        <v>105</v>
      </c>
      <c r="O3" s="126">
        <v>18</v>
      </c>
      <c r="P3" s="149">
        <v>3.6469999999999998</v>
      </c>
      <c r="Q3" s="150">
        <v>5935.75</v>
      </c>
      <c r="R3" s="126">
        <v>-62.707999999999998</v>
      </c>
      <c r="S3" s="148">
        <v>0.473689739592631</v>
      </c>
      <c r="T3" s="148">
        <v>-3.0593777953835301E-3</v>
      </c>
    </row>
    <row r="4" spans="1:20">
      <c r="A4" s="13">
        <v>301</v>
      </c>
      <c r="B4" s="13">
        <v>7210</v>
      </c>
      <c r="C4" s="2" t="s">
        <v>2065</v>
      </c>
      <c r="D4" s="2" t="s">
        <v>2066</v>
      </c>
      <c r="E4" s="11" t="s">
        <v>33</v>
      </c>
      <c r="F4" s="13" t="s">
        <v>2067</v>
      </c>
      <c r="G4" s="13" t="s">
        <v>2068</v>
      </c>
      <c r="H4" s="11" t="s">
        <v>109</v>
      </c>
      <c r="I4" s="11" t="s">
        <v>100</v>
      </c>
      <c r="J4" s="11" t="s">
        <v>101</v>
      </c>
      <c r="K4" s="11" t="s">
        <v>2069</v>
      </c>
      <c r="L4" s="13" t="s">
        <v>755</v>
      </c>
      <c r="M4" s="13" t="s">
        <v>139</v>
      </c>
      <c r="N4" s="11" t="s">
        <v>105</v>
      </c>
      <c r="O4" s="126">
        <v>233</v>
      </c>
      <c r="P4" s="149">
        <v>3.6469999999999998</v>
      </c>
      <c r="Q4" s="150">
        <v>5935.75</v>
      </c>
      <c r="R4" s="126">
        <v>-8117.0659999999998</v>
      </c>
      <c r="S4" s="148">
        <v>0.89586231157744201</v>
      </c>
      <c r="T4" s="148">
        <v>-5.8735005265161903E-3</v>
      </c>
    </row>
    <row r="5" spans="1:20">
      <c r="A5" s="13">
        <v>301</v>
      </c>
      <c r="B5" s="13">
        <v>7210</v>
      </c>
      <c r="C5" s="2" t="s">
        <v>2065</v>
      </c>
      <c r="D5" s="2" t="s">
        <v>2066</v>
      </c>
      <c r="E5" s="11" t="s">
        <v>33</v>
      </c>
      <c r="F5" s="13" t="s">
        <v>2072</v>
      </c>
      <c r="G5" s="13" t="s">
        <v>2073</v>
      </c>
      <c r="H5" s="11" t="s">
        <v>109</v>
      </c>
      <c r="I5" s="11" t="s">
        <v>100</v>
      </c>
      <c r="J5" s="11" t="s">
        <v>101</v>
      </c>
      <c r="K5" s="11" t="s">
        <v>2069</v>
      </c>
      <c r="L5" s="13" t="s">
        <v>755</v>
      </c>
      <c r="M5" s="13" t="s">
        <v>139</v>
      </c>
      <c r="N5" s="11" t="s">
        <v>105</v>
      </c>
      <c r="O5" s="126">
        <v>15</v>
      </c>
      <c r="P5" s="149">
        <v>3.6469999999999998</v>
      </c>
      <c r="Q5" s="150">
        <v>21226.5</v>
      </c>
      <c r="R5" s="126">
        <v>-943.55200000000002</v>
      </c>
      <c r="S5" s="148">
        <v>0.10413768842255799</v>
      </c>
      <c r="T5" s="148">
        <v>-6.8275309707255402E-4</v>
      </c>
    </row>
    <row r="6" spans="1:20">
      <c r="A6" s="13">
        <v>301</v>
      </c>
      <c r="B6" s="13">
        <v>7211</v>
      </c>
      <c r="C6" s="2" t="s">
        <v>2065</v>
      </c>
      <c r="D6" s="2" t="s">
        <v>2066</v>
      </c>
      <c r="E6" s="11" t="s">
        <v>33</v>
      </c>
      <c r="F6" s="13" t="s">
        <v>2067</v>
      </c>
      <c r="G6" s="13" t="s">
        <v>2068</v>
      </c>
      <c r="H6" s="11" t="s">
        <v>109</v>
      </c>
      <c r="I6" s="11" t="s">
        <v>100</v>
      </c>
      <c r="J6" s="11" t="s">
        <v>101</v>
      </c>
      <c r="K6" s="11" t="s">
        <v>2069</v>
      </c>
      <c r="L6" s="13" t="s">
        <v>755</v>
      </c>
      <c r="M6" s="13" t="s">
        <v>139</v>
      </c>
      <c r="N6" s="11" t="s">
        <v>105</v>
      </c>
      <c r="O6" s="126">
        <v>1</v>
      </c>
      <c r="P6" s="149">
        <v>3.6469999999999998</v>
      </c>
      <c r="Q6" s="150">
        <v>5935.75</v>
      </c>
      <c r="R6" s="126">
        <v>-34.837000000000003</v>
      </c>
      <c r="S6" s="148">
        <v>1</v>
      </c>
      <c r="T6" s="148">
        <v>-1.6313321794503299E-3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7">
    <dataValidation type="list" allowBlank="1" showInputMessage="1" showErrorMessage="1" sqref="I2:I6" xr:uid="{00000000-0002-0000-0B00-000000000000}">
      <formula1>israel_abroad</formula1>
    </dataValidation>
    <dataValidation type="list" allowBlank="1" showInputMessage="1" showErrorMessage="1" sqref="M2:M6" xr:uid="{00000000-0002-0000-0B00-000001000000}">
      <formula1>Holding_interest</formula1>
    </dataValidation>
    <dataValidation type="list" allowBlank="1" showInputMessage="1" showErrorMessage="1" sqref="L2:L6" xr:uid="{00000000-0002-0000-0B00-000002000000}">
      <formula1>Underlying_Asset</formula1>
    </dataValidation>
    <dataValidation type="list" allowBlank="1" showInputMessage="1" showErrorMessage="1" sqref="J2:J6" xr:uid="{00000000-0002-0000-0B00-000003000000}">
      <formula1>Country_list</formula1>
    </dataValidation>
    <dataValidation type="list" allowBlank="1" showInputMessage="1" showErrorMessage="1" sqref="E2:E6" xr:uid="{00000000-0002-0000-0B00-000004000000}">
      <formula1>Issuer_Type_TFunds</formula1>
    </dataValidation>
    <dataValidation type="list" allowBlank="1" showInputMessage="1" showErrorMessage="1" sqref="H2:H6" xr:uid="{00000000-0002-0000-0B00-000005000000}">
      <formula1>Security_ID_Number_Type</formula1>
    </dataValidation>
    <dataValidation type="list" allowBlank="1" showInputMessage="1" showErrorMessage="1" sqref="K2:K6" xr:uid="{00000000-0002-0000-0B00-000006000000}">
      <formula1>Stock_Exchange</formula1>
    </dataValidation>
  </dataValidations>
  <pageMargins left="0.7" right="0.7" top="0.75" bottom="0.75" header="0.3" footer="0.3"/>
  <pageSetup orientation="portrait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4"/>
  <dimension ref="A1:AB4"/>
  <sheetViews>
    <sheetView rightToLeft="1" zoomScale="70" zoomScaleNormal="70" workbookViewId="0">
      <selection activeCell="A2" sqref="A2"/>
    </sheetView>
  </sheetViews>
  <sheetFormatPr defaultColWidth="0" defaultRowHeight="14.25" zeroHeight="1"/>
  <cols>
    <col min="1" max="28" width="11.625" customWidth="1"/>
  </cols>
  <sheetData>
    <row r="1" spans="1:28" ht="66.75" customHeight="1">
      <c r="A1" s="12" t="s">
        <v>0</v>
      </c>
      <c r="B1" s="12" t="s">
        <v>1</v>
      </c>
      <c r="C1" s="12" t="s">
        <v>2</v>
      </c>
      <c r="D1" s="12" t="s">
        <v>156</v>
      </c>
      <c r="E1" s="12" t="s">
        <v>157</v>
      </c>
      <c r="F1" s="12" t="s">
        <v>3</v>
      </c>
      <c r="G1" s="12" t="s">
        <v>4</v>
      </c>
      <c r="H1" s="12" t="s">
        <v>158</v>
      </c>
      <c r="I1" s="12" t="s">
        <v>5</v>
      </c>
      <c r="J1" s="12" t="s">
        <v>6</v>
      </c>
      <c r="K1" s="12" t="s">
        <v>7</v>
      </c>
      <c r="L1" s="12" t="s">
        <v>333</v>
      </c>
      <c r="M1" s="12" t="s">
        <v>8</v>
      </c>
      <c r="N1" s="12" t="s">
        <v>182</v>
      </c>
      <c r="O1" s="12" t="s">
        <v>125</v>
      </c>
      <c r="P1" s="12" t="s">
        <v>12</v>
      </c>
      <c r="Q1" s="135" t="s">
        <v>14</v>
      </c>
      <c r="R1" s="139" t="s">
        <v>15</v>
      </c>
      <c r="S1" s="12" t="s">
        <v>9</v>
      </c>
      <c r="T1" s="12" t="s">
        <v>10</v>
      </c>
      <c r="U1" s="12" t="s">
        <v>183</v>
      </c>
      <c r="V1" s="12" t="s">
        <v>11</v>
      </c>
      <c r="W1" s="12" t="s">
        <v>17</v>
      </c>
      <c r="X1" s="133" t="s">
        <v>18</v>
      </c>
      <c r="Y1" s="144" t="s">
        <v>19</v>
      </c>
      <c r="Z1" s="12" t="s">
        <v>20</v>
      </c>
      <c r="AA1" s="139" t="s">
        <v>24</v>
      </c>
      <c r="AB1" s="139" t="s">
        <v>25</v>
      </c>
    </row>
    <row r="2" spans="1:28">
      <c r="A2" s="13">
        <v>301</v>
      </c>
      <c r="B2" s="13">
        <v>7209</v>
      </c>
      <c r="C2" s="13" t="s">
        <v>2399</v>
      </c>
      <c r="D2" s="13" t="s">
        <v>2400</v>
      </c>
      <c r="E2" s="11" t="s">
        <v>1330</v>
      </c>
      <c r="F2" s="13" t="s">
        <v>2401</v>
      </c>
      <c r="G2" s="13" t="s">
        <v>2402</v>
      </c>
      <c r="H2" s="11" t="s">
        <v>328</v>
      </c>
      <c r="I2" s="13" t="s">
        <v>1004</v>
      </c>
      <c r="J2" s="11" t="s">
        <v>30</v>
      </c>
      <c r="K2" s="11" t="s">
        <v>30</v>
      </c>
      <c r="L2" s="13" t="s">
        <v>334</v>
      </c>
      <c r="M2" s="11" t="s">
        <v>45</v>
      </c>
      <c r="N2" s="13" t="s">
        <v>752</v>
      </c>
      <c r="O2" s="13" t="s">
        <v>139</v>
      </c>
      <c r="P2" s="126">
        <v>3.012</v>
      </c>
      <c r="Q2" s="147">
        <v>5.0000000000000001E-4</v>
      </c>
      <c r="R2" s="148">
        <v>2.3939999999999999E-2</v>
      </c>
      <c r="S2" s="13" t="s">
        <v>1177</v>
      </c>
      <c r="T2" s="13" t="s">
        <v>420</v>
      </c>
      <c r="U2" s="13" t="s">
        <v>413</v>
      </c>
      <c r="V2" s="11" t="s">
        <v>34</v>
      </c>
      <c r="W2" s="126">
        <v>57818.18</v>
      </c>
      <c r="X2" s="149">
        <v>1</v>
      </c>
      <c r="Y2" s="150">
        <v>106.76</v>
      </c>
      <c r="Z2" s="126">
        <v>61.726999999999997</v>
      </c>
      <c r="AA2" s="148">
        <v>1</v>
      </c>
      <c r="AB2" s="148">
        <v>3.0114855072549498E-3</v>
      </c>
    </row>
    <row r="3" spans="1:28">
      <c r="A3" s="13">
        <v>301</v>
      </c>
      <c r="B3" s="13">
        <v>7210</v>
      </c>
      <c r="C3" s="13" t="s">
        <v>2399</v>
      </c>
      <c r="D3" s="13" t="s">
        <v>2400</v>
      </c>
      <c r="E3" s="11" t="s">
        <v>1330</v>
      </c>
      <c r="F3" s="13" t="s">
        <v>2401</v>
      </c>
      <c r="G3" s="13" t="s">
        <v>2402</v>
      </c>
      <c r="H3" s="11" t="s">
        <v>328</v>
      </c>
      <c r="I3" s="13" t="s">
        <v>1004</v>
      </c>
      <c r="J3" s="11" t="s">
        <v>30</v>
      </c>
      <c r="K3" s="11" t="s">
        <v>30</v>
      </c>
      <c r="L3" s="13" t="s">
        <v>334</v>
      </c>
      <c r="M3" s="11" t="s">
        <v>45</v>
      </c>
      <c r="N3" s="13" t="s">
        <v>752</v>
      </c>
      <c r="O3" s="13" t="s">
        <v>139</v>
      </c>
      <c r="P3" s="126">
        <v>3.012</v>
      </c>
      <c r="Q3" s="147">
        <v>5.0000000000000001E-4</v>
      </c>
      <c r="R3" s="148">
        <v>2.3939999999999999E-2</v>
      </c>
      <c r="S3" s="13" t="s">
        <v>1177</v>
      </c>
      <c r="T3" s="13" t="s">
        <v>420</v>
      </c>
      <c r="U3" s="13" t="s">
        <v>413</v>
      </c>
      <c r="V3" s="11" t="s">
        <v>34</v>
      </c>
      <c r="W3" s="126">
        <v>5071727.54</v>
      </c>
      <c r="X3" s="149">
        <v>1</v>
      </c>
      <c r="Y3" s="150">
        <v>106.76</v>
      </c>
      <c r="Z3" s="126">
        <v>5414.576</v>
      </c>
      <c r="AA3" s="148">
        <v>1</v>
      </c>
      <c r="AB3" s="148">
        <v>3.9179816055248404E-3</v>
      </c>
    </row>
    <row r="4" spans="1:28">
      <c r="A4" s="13">
        <v>301</v>
      </c>
      <c r="B4" s="13">
        <v>7211</v>
      </c>
      <c r="C4" s="13" t="s">
        <v>2399</v>
      </c>
      <c r="D4" s="13" t="s">
        <v>2400</v>
      </c>
      <c r="E4" s="11" t="s">
        <v>1330</v>
      </c>
      <c r="F4" s="13" t="s">
        <v>2401</v>
      </c>
      <c r="G4" s="13" t="s">
        <v>2402</v>
      </c>
      <c r="H4" s="11" t="s">
        <v>328</v>
      </c>
      <c r="I4" s="13" t="s">
        <v>1004</v>
      </c>
      <c r="J4" s="11" t="s">
        <v>30</v>
      </c>
      <c r="K4" s="11" t="s">
        <v>30</v>
      </c>
      <c r="L4" s="13" t="s">
        <v>334</v>
      </c>
      <c r="M4" s="11" t="s">
        <v>45</v>
      </c>
      <c r="N4" s="13" t="s">
        <v>752</v>
      </c>
      <c r="O4" s="13" t="s">
        <v>139</v>
      </c>
      <c r="P4" s="126">
        <v>3.012</v>
      </c>
      <c r="Q4" s="147">
        <v>5.0000000000000001E-4</v>
      </c>
      <c r="R4" s="148">
        <v>2.3939999999999999E-2</v>
      </c>
      <c r="S4" s="13" t="s">
        <v>1177</v>
      </c>
      <c r="T4" s="13" t="s">
        <v>420</v>
      </c>
      <c r="U4" s="13" t="s">
        <v>413</v>
      </c>
      <c r="V4" s="11" t="s">
        <v>34</v>
      </c>
      <c r="W4" s="126">
        <v>95818.18</v>
      </c>
      <c r="X4" s="149">
        <v>1</v>
      </c>
      <c r="Y4" s="150">
        <v>106.76</v>
      </c>
      <c r="Z4" s="126">
        <v>102.295</v>
      </c>
      <c r="AA4" s="148">
        <v>1</v>
      </c>
      <c r="AB4" s="148">
        <v>4.7902227353930496E-3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0">
    <dataValidation type="list" allowBlank="1" showInputMessage="1" showErrorMessage="1" sqref="J2:J4" xr:uid="{00000000-0002-0000-0C00-000000000000}">
      <formula1>israel_abroad</formula1>
    </dataValidation>
    <dataValidation type="list" allowBlank="1" showInputMessage="1" showErrorMessage="1" sqref="O2:O4" xr:uid="{00000000-0002-0000-0C00-000001000000}">
      <formula1>Holding_interest</formula1>
    </dataValidation>
    <dataValidation type="list" allowBlank="1" showInputMessage="1" showErrorMessage="1" sqref="U2:U4" xr:uid="{00000000-0002-0000-0C00-000002000000}">
      <formula1>What_is_rated</formula1>
    </dataValidation>
    <dataValidation type="list" allowBlank="1" showInputMessage="1" showErrorMessage="1" sqref="T2:T4" xr:uid="{00000000-0002-0000-0C00-000003000000}">
      <formula1>Rating_Agency</formula1>
    </dataValidation>
    <dataValidation type="list" allowBlank="1" showInputMessage="1" showErrorMessage="1" sqref="K2:K4" xr:uid="{00000000-0002-0000-0C00-000004000000}">
      <formula1>Country_list</formula1>
    </dataValidation>
    <dataValidation type="list" allowBlank="1" showInputMessage="1" showErrorMessage="1" sqref="E2:E4" xr:uid="{00000000-0002-0000-0C00-000005000000}">
      <formula1>Issuer_Type_TFunds</formula1>
    </dataValidation>
    <dataValidation type="list" allowBlank="1" showInputMessage="1" showErrorMessage="1" sqref="N2:N4" xr:uid="{00000000-0002-0000-0C00-000006000000}">
      <formula1>Underlying_Asset_Structured</formula1>
    </dataValidation>
    <dataValidation type="list" allowBlank="1" showInputMessage="1" showErrorMessage="1" sqref="H2:H4" xr:uid="{00000000-0002-0000-0C00-000007000000}">
      <formula1>Security_ID_Number_Type</formula1>
    </dataValidation>
    <dataValidation type="list" allowBlank="1" showInputMessage="1" showErrorMessage="1" sqref="L2:L4" xr:uid="{00000000-0002-0000-0C00-000008000000}">
      <formula1>Tradeable_Status</formula1>
    </dataValidation>
    <dataValidation type="list" allowBlank="1" showInputMessage="1" showErrorMessage="1" sqref="M2:M4" xr:uid="{00000000-0002-0000-0C00-000009000000}">
      <formula1>Stock_Exchange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A000000}">
          <x14:formula1>
            <xm:f>'אפשרויות בחירה'!$C$906:$C$911</xm:f>
          </x14:formula1>
          <xm:sqref>I2:I4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5"/>
  <dimension ref="A1:Y1"/>
  <sheetViews>
    <sheetView rightToLeft="1" zoomScale="70" zoomScaleNormal="70" workbookViewId="0">
      <selection activeCell="A2" sqref="A2"/>
    </sheetView>
  </sheetViews>
  <sheetFormatPr defaultColWidth="0" defaultRowHeight="14.25" zeroHeight="1"/>
  <cols>
    <col min="1" max="25" width="11.625" customWidth="1"/>
    <col min="26" max="27" width="0" hidden="1" customWidth="1"/>
  </cols>
  <sheetData>
    <row r="1" spans="1:25" ht="66.75" customHeight="1">
      <c r="A1" s="12" t="s">
        <v>0</v>
      </c>
      <c r="B1" s="12" t="s">
        <v>1</v>
      </c>
      <c r="C1" s="12" t="s">
        <v>2</v>
      </c>
      <c r="D1" s="12" t="s">
        <v>3</v>
      </c>
      <c r="E1" s="12" t="s">
        <v>4</v>
      </c>
      <c r="F1" s="12" t="s">
        <v>158</v>
      </c>
      <c r="G1" s="12" t="s">
        <v>5</v>
      </c>
      <c r="H1" s="12" t="s">
        <v>6</v>
      </c>
      <c r="I1" s="12" t="s">
        <v>7</v>
      </c>
      <c r="J1" s="12" t="s">
        <v>167</v>
      </c>
      <c r="K1" s="12" t="s">
        <v>9</v>
      </c>
      <c r="L1" s="12" t="s">
        <v>10</v>
      </c>
      <c r="M1" s="12" t="s">
        <v>11</v>
      </c>
      <c r="N1" s="12" t="s">
        <v>12</v>
      </c>
      <c r="O1" s="12" t="s">
        <v>13</v>
      </c>
      <c r="P1" s="120" t="s">
        <v>14</v>
      </c>
      <c r="Q1" s="12" t="s">
        <v>15</v>
      </c>
      <c r="R1" s="12" t="s">
        <v>17</v>
      </c>
      <c r="S1" s="12" t="s">
        <v>18</v>
      </c>
      <c r="T1" s="12" t="s">
        <v>19</v>
      </c>
      <c r="U1" s="12" t="s">
        <v>20</v>
      </c>
      <c r="V1" s="12" t="s">
        <v>21</v>
      </c>
      <c r="W1" s="12" t="s">
        <v>22</v>
      </c>
      <c r="X1" s="12" t="s">
        <v>24</v>
      </c>
      <c r="Y1" s="12" t="s">
        <v>25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pageMargins left="0.7" right="0.7" top="0.75" bottom="0.75" header="0.3" footer="0.3"/>
  <pageSetup paperSize="9" orientation="portrait" verticalDpi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6"/>
  <dimension ref="A1:S1"/>
  <sheetViews>
    <sheetView rightToLeft="1" zoomScale="70" zoomScaleNormal="70" workbookViewId="0"/>
  </sheetViews>
  <sheetFormatPr defaultColWidth="0" defaultRowHeight="14.25" zeroHeight="1"/>
  <cols>
    <col min="1" max="18" width="11.625" customWidth="1"/>
    <col min="19" max="19" width="11.625" hidden="1" customWidth="1"/>
  </cols>
  <sheetData>
    <row r="1" spans="1:18" ht="66.75" customHeight="1">
      <c r="A1" s="12" t="s">
        <v>0</v>
      </c>
      <c r="B1" s="12" t="s">
        <v>1</v>
      </c>
      <c r="C1" s="12" t="s">
        <v>5</v>
      </c>
      <c r="D1" s="12" t="s">
        <v>3</v>
      </c>
      <c r="E1" s="12" t="s">
        <v>4</v>
      </c>
      <c r="F1" s="12" t="s">
        <v>167</v>
      </c>
      <c r="G1" s="12" t="s">
        <v>12</v>
      </c>
      <c r="H1" s="12" t="s">
        <v>761</v>
      </c>
      <c r="I1" s="12" t="s">
        <v>13</v>
      </c>
      <c r="J1" s="120" t="s">
        <v>14</v>
      </c>
      <c r="K1" s="12" t="s">
        <v>15</v>
      </c>
      <c r="L1" s="12" t="s">
        <v>17</v>
      </c>
      <c r="M1" s="12" t="s">
        <v>19</v>
      </c>
      <c r="N1" s="12" t="s">
        <v>20</v>
      </c>
      <c r="O1" s="12" t="s">
        <v>21</v>
      </c>
      <c r="P1" s="12" t="s">
        <v>22</v>
      </c>
      <c r="Q1" s="12" t="s">
        <v>24</v>
      </c>
      <c r="R1" s="12" t="s">
        <v>25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  <pageSetup orientation="portrait"/>
    </customSheetView>
  </customSheetViews>
  <pageMargins left="0.7" right="0.7" top="0.75" bottom="0.75" header="0.3" footer="0.3"/>
  <pageSetup orientation="portrait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2"/>
  <dimension ref="A1:H1"/>
  <sheetViews>
    <sheetView rightToLeft="1" zoomScale="70" zoomScaleNormal="70" workbookViewId="0"/>
  </sheetViews>
  <sheetFormatPr defaultColWidth="0" defaultRowHeight="14.25" zeroHeight="1"/>
  <cols>
    <col min="1" max="7" width="11.625" customWidth="1"/>
    <col min="8" max="8" width="11.625" hidden="1" customWidth="1"/>
  </cols>
  <sheetData>
    <row r="1" spans="1:7" ht="66.75" customHeight="1">
      <c r="A1" s="12" t="s">
        <v>1123</v>
      </c>
      <c r="B1" s="12" t="s">
        <v>1</v>
      </c>
      <c r="C1" s="12" t="s">
        <v>5</v>
      </c>
      <c r="D1" s="12" t="s">
        <v>1124</v>
      </c>
      <c r="E1" s="12" t="s">
        <v>1125</v>
      </c>
      <c r="F1" s="12" t="s">
        <v>1126</v>
      </c>
      <c r="G1" s="12" t="s">
        <v>25</v>
      </c>
    </row>
  </sheetData>
  <sheetProtection formatColumns="0"/>
  <pageMargins left="0.7" right="0.7" top="0.75" bottom="0.75" header="0.3" footer="0.3"/>
  <pageSetup orientation="portrait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heet17"/>
  <dimension ref="A1:AN1"/>
  <sheetViews>
    <sheetView rightToLeft="1" zoomScale="70" zoomScaleNormal="70" workbookViewId="0"/>
  </sheetViews>
  <sheetFormatPr defaultColWidth="0" defaultRowHeight="14.25" zeroHeight="1"/>
  <cols>
    <col min="1" max="40" width="11.625" customWidth="1"/>
  </cols>
  <sheetData>
    <row r="1" spans="1:40" ht="66.75" customHeight="1">
      <c r="A1" s="12" t="s">
        <v>0</v>
      </c>
      <c r="B1" s="12" t="s">
        <v>1</v>
      </c>
      <c r="C1" s="12" t="s">
        <v>2</v>
      </c>
      <c r="D1" s="12" t="s">
        <v>156</v>
      </c>
      <c r="E1" s="12" t="s">
        <v>157</v>
      </c>
      <c r="F1" s="12" t="s">
        <v>3</v>
      </c>
      <c r="G1" s="12" t="s">
        <v>4</v>
      </c>
      <c r="H1" s="12" t="s">
        <v>158</v>
      </c>
      <c r="I1" s="12" t="s">
        <v>5</v>
      </c>
      <c r="J1" s="12" t="s">
        <v>6</v>
      </c>
      <c r="K1" s="12" t="s">
        <v>7</v>
      </c>
      <c r="L1" s="12" t="s">
        <v>159</v>
      </c>
      <c r="M1" s="12" t="s">
        <v>125</v>
      </c>
      <c r="N1" s="12" t="s">
        <v>167</v>
      </c>
      <c r="O1" s="12" t="s">
        <v>9</v>
      </c>
      <c r="P1" s="12" t="s">
        <v>10</v>
      </c>
      <c r="Q1" s="12" t="s">
        <v>183</v>
      </c>
      <c r="R1" s="12" t="s">
        <v>11</v>
      </c>
      <c r="S1" s="12" t="s">
        <v>12</v>
      </c>
      <c r="T1" s="12" t="s">
        <v>761</v>
      </c>
      <c r="U1" s="12" t="s">
        <v>918</v>
      </c>
      <c r="V1" s="12" t="s">
        <v>13</v>
      </c>
      <c r="W1" s="12" t="s">
        <v>14</v>
      </c>
      <c r="X1" s="12" t="s">
        <v>15</v>
      </c>
      <c r="Y1" s="12" t="s">
        <v>417</v>
      </c>
      <c r="Z1" s="12" t="s">
        <v>839</v>
      </c>
      <c r="AA1" s="12" t="s">
        <v>160</v>
      </c>
      <c r="AB1" s="12" t="s">
        <v>161</v>
      </c>
      <c r="AC1" s="12" t="s">
        <v>173</v>
      </c>
      <c r="AD1" s="12" t="s">
        <v>134</v>
      </c>
      <c r="AE1" s="12" t="s">
        <v>162</v>
      </c>
      <c r="AF1" s="12" t="s">
        <v>17</v>
      </c>
      <c r="AG1" s="12" t="s">
        <v>18</v>
      </c>
      <c r="AH1" s="12" t="s">
        <v>19</v>
      </c>
      <c r="AI1" s="12" t="s">
        <v>20</v>
      </c>
      <c r="AJ1" s="12" t="s">
        <v>21</v>
      </c>
      <c r="AK1" s="12" t="s">
        <v>175</v>
      </c>
      <c r="AL1" s="12" t="s">
        <v>22</v>
      </c>
      <c r="AM1" s="12" t="s">
        <v>24</v>
      </c>
      <c r="AN1" s="12" t="s">
        <v>25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heet18"/>
  <dimension ref="A1:AL23"/>
  <sheetViews>
    <sheetView rightToLeft="1" zoomScale="70" zoomScaleNormal="70" workbookViewId="0">
      <selection activeCell="A5" sqref="A5"/>
    </sheetView>
  </sheetViews>
  <sheetFormatPr defaultColWidth="0" defaultRowHeight="14.25" zeroHeight="1"/>
  <cols>
    <col min="1" max="38" width="11.625" customWidth="1"/>
  </cols>
  <sheetData>
    <row r="1" spans="1:38" ht="66.75" customHeight="1">
      <c r="A1" s="12" t="s">
        <v>0</v>
      </c>
      <c r="B1" s="12" t="s">
        <v>1</v>
      </c>
      <c r="C1" s="12" t="s">
        <v>2</v>
      </c>
      <c r="D1" s="12" t="s">
        <v>156</v>
      </c>
      <c r="E1" s="12" t="s">
        <v>157</v>
      </c>
      <c r="F1" s="12" t="s">
        <v>3</v>
      </c>
      <c r="G1" s="12" t="s">
        <v>4</v>
      </c>
      <c r="H1" s="12" t="s">
        <v>158</v>
      </c>
      <c r="I1" s="12" t="s">
        <v>5</v>
      </c>
      <c r="J1" s="12" t="s">
        <v>6</v>
      </c>
      <c r="K1" s="12" t="s">
        <v>7</v>
      </c>
      <c r="L1" s="12" t="s">
        <v>333</v>
      </c>
      <c r="M1" s="12" t="s">
        <v>159</v>
      </c>
      <c r="N1" s="12" t="s">
        <v>125</v>
      </c>
      <c r="O1" s="155" t="s">
        <v>167</v>
      </c>
      <c r="P1" s="12" t="s">
        <v>9</v>
      </c>
      <c r="Q1" s="12" t="s">
        <v>10</v>
      </c>
      <c r="R1" s="12" t="s">
        <v>183</v>
      </c>
      <c r="S1" s="12" t="s">
        <v>11</v>
      </c>
      <c r="T1" s="12" t="s">
        <v>12</v>
      </c>
      <c r="U1" s="12" t="s">
        <v>13</v>
      </c>
      <c r="V1" s="139" t="s">
        <v>15</v>
      </c>
      <c r="W1" s="139" t="s">
        <v>14</v>
      </c>
      <c r="X1" s="12" t="s">
        <v>417</v>
      </c>
      <c r="Y1" s="12" t="s">
        <v>839</v>
      </c>
      <c r="Z1" s="12" t="s">
        <v>160</v>
      </c>
      <c r="AA1" s="12" t="s">
        <v>161</v>
      </c>
      <c r="AB1" s="155" t="s">
        <v>134</v>
      </c>
      <c r="AC1" s="155" t="s">
        <v>162</v>
      </c>
      <c r="AD1" s="12" t="s">
        <v>17</v>
      </c>
      <c r="AE1" s="133" t="s">
        <v>18</v>
      </c>
      <c r="AF1" s="144" t="s">
        <v>19</v>
      </c>
      <c r="AG1" s="12" t="s">
        <v>20</v>
      </c>
      <c r="AH1" s="12" t="s">
        <v>21</v>
      </c>
      <c r="AI1" s="12" t="s">
        <v>175</v>
      </c>
      <c r="AJ1" s="12" t="s">
        <v>22</v>
      </c>
      <c r="AK1" s="139" t="s">
        <v>24</v>
      </c>
      <c r="AL1" s="139" t="s">
        <v>25</v>
      </c>
    </row>
    <row r="2" spans="1:38">
      <c r="A2" s="2">
        <v>301</v>
      </c>
      <c r="B2" s="13">
        <v>7209</v>
      </c>
      <c r="C2" s="13" t="s">
        <v>2330</v>
      </c>
      <c r="D2" s="13" t="s">
        <v>2331</v>
      </c>
      <c r="E2" s="11" t="s">
        <v>1330</v>
      </c>
      <c r="F2" s="13" t="s">
        <v>2332</v>
      </c>
      <c r="G2" s="13" t="s">
        <v>2333</v>
      </c>
      <c r="H2" s="13" t="s">
        <v>328</v>
      </c>
      <c r="I2" s="13" t="s">
        <v>976</v>
      </c>
      <c r="J2" s="11" t="s">
        <v>30</v>
      </c>
      <c r="K2" s="11" t="s">
        <v>30</v>
      </c>
      <c r="L2" s="13" t="s">
        <v>335</v>
      </c>
      <c r="M2" s="13" t="s">
        <v>457</v>
      </c>
      <c r="N2" s="13" t="s">
        <v>139</v>
      </c>
      <c r="O2" s="156" t="s">
        <v>2334</v>
      </c>
      <c r="P2" s="13" t="s">
        <v>1725</v>
      </c>
      <c r="Q2" s="13" t="s">
        <v>420</v>
      </c>
      <c r="R2" s="13" t="s">
        <v>413</v>
      </c>
      <c r="S2" s="11" t="s">
        <v>34</v>
      </c>
      <c r="T2" s="126">
        <v>2.4</v>
      </c>
      <c r="U2" s="13" t="s">
        <v>2335</v>
      </c>
      <c r="V2" s="148">
        <v>5.5599999999999997E-2</v>
      </c>
      <c r="W2" s="140">
        <v>2.86E-2</v>
      </c>
      <c r="X2" s="11" t="s">
        <v>419</v>
      </c>
      <c r="Y2" s="11" t="s">
        <v>139</v>
      </c>
      <c r="Z2" s="13" t="s">
        <v>902</v>
      </c>
      <c r="AA2" s="13" t="s">
        <v>905</v>
      </c>
      <c r="AB2" s="157" t="s">
        <v>140</v>
      </c>
      <c r="AC2" s="13"/>
      <c r="AD2" s="126">
        <v>10857.15</v>
      </c>
      <c r="AE2" s="149">
        <v>1</v>
      </c>
      <c r="AF2" s="150">
        <v>93.94</v>
      </c>
      <c r="AG2" s="126">
        <v>10.199</v>
      </c>
      <c r="AH2" s="13"/>
      <c r="AI2" s="18"/>
      <c r="AJ2" s="13" t="s">
        <v>36</v>
      </c>
      <c r="AK2" s="140">
        <v>9.8329869175150394E-2</v>
      </c>
      <c r="AL2" s="140">
        <v>4.9759291655162999E-4</v>
      </c>
    </row>
    <row r="3" spans="1:38">
      <c r="A3" s="13">
        <v>301</v>
      </c>
      <c r="B3" s="13">
        <v>7209</v>
      </c>
      <c r="C3" s="13" t="s">
        <v>2336</v>
      </c>
      <c r="D3" s="13" t="s">
        <v>2337</v>
      </c>
      <c r="E3" s="11" t="s">
        <v>1330</v>
      </c>
      <c r="F3" s="13" t="s">
        <v>2338</v>
      </c>
      <c r="G3" s="13" t="s">
        <v>2339</v>
      </c>
      <c r="H3" s="13" t="s">
        <v>328</v>
      </c>
      <c r="I3" s="13" t="s">
        <v>976</v>
      </c>
      <c r="J3" s="11" t="s">
        <v>30</v>
      </c>
      <c r="K3" s="11" t="s">
        <v>30</v>
      </c>
      <c r="L3" s="13" t="s">
        <v>335</v>
      </c>
      <c r="M3" s="13" t="s">
        <v>457</v>
      </c>
      <c r="N3" s="13" t="s">
        <v>139</v>
      </c>
      <c r="O3" s="156" t="s">
        <v>2340</v>
      </c>
      <c r="P3" s="13" t="s">
        <v>1395</v>
      </c>
      <c r="Q3" s="13" t="s">
        <v>439</v>
      </c>
      <c r="R3" s="13" t="s">
        <v>413</v>
      </c>
      <c r="S3" s="11" t="s">
        <v>34</v>
      </c>
      <c r="T3" s="126">
        <v>2.0499999999999998</v>
      </c>
      <c r="U3" s="13" t="s">
        <v>1385</v>
      </c>
      <c r="V3" s="148">
        <v>5.6500000000000002E-2</v>
      </c>
      <c r="W3" s="140">
        <v>4.4699999999999997E-2</v>
      </c>
      <c r="X3" s="11" t="s">
        <v>419</v>
      </c>
      <c r="Y3" s="11" t="s">
        <v>139</v>
      </c>
      <c r="Z3" s="13" t="s">
        <v>902</v>
      </c>
      <c r="AA3" s="13" t="s">
        <v>2341</v>
      </c>
      <c r="AB3" s="157" t="s">
        <v>140</v>
      </c>
      <c r="AC3" s="13"/>
      <c r="AD3" s="126">
        <v>55116.6</v>
      </c>
      <c r="AE3" s="149">
        <v>1</v>
      </c>
      <c r="AF3" s="150">
        <v>97.83</v>
      </c>
      <c r="AG3" s="126">
        <v>53.920999999999999</v>
      </c>
      <c r="AH3" s="13"/>
      <c r="AI3" s="13"/>
      <c r="AJ3" s="13" t="s">
        <v>36</v>
      </c>
      <c r="AK3" s="140">
        <v>0.51984460390615705</v>
      </c>
      <c r="AL3" s="140">
        <v>2.63064514151375E-3</v>
      </c>
    </row>
    <row r="4" spans="1:38">
      <c r="A4" s="13">
        <v>301</v>
      </c>
      <c r="B4" s="13">
        <v>7209</v>
      </c>
      <c r="C4" s="13" t="s">
        <v>2342</v>
      </c>
      <c r="D4" s="13" t="s">
        <v>2343</v>
      </c>
      <c r="E4" s="11" t="s">
        <v>1330</v>
      </c>
      <c r="F4" s="13" t="s">
        <v>2344</v>
      </c>
      <c r="G4" s="13" t="s">
        <v>2345</v>
      </c>
      <c r="H4" s="13" t="s">
        <v>328</v>
      </c>
      <c r="I4" s="13" t="s">
        <v>976</v>
      </c>
      <c r="J4" s="11" t="s">
        <v>30</v>
      </c>
      <c r="K4" s="11" t="s">
        <v>30</v>
      </c>
      <c r="L4" s="13" t="s">
        <v>109</v>
      </c>
      <c r="M4" s="13" t="s">
        <v>470</v>
      </c>
      <c r="N4" s="13" t="s">
        <v>139</v>
      </c>
      <c r="O4" s="157" t="s">
        <v>2346</v>
      </c>
      <c r="P4" s="13" t="s">
        <v>1719</v>
      </c>
      <c r="Q4" s="13" t="s">
        <v>422</v>
      </c>
      <c r="R4" s="13" t="s">
        <v>413</v>
      </c>
      <c r="S4" s="13" t="s">
        <v>34</v>
      </c>
      <c r="T4" s="126">
        <v>1.45</v>
      </c>
      <c r="U4" s="13" t="s">
        <v>2347</v>
      </c>
      <c r="V4" s="148">
        <v>4.9200000000000001E-2</v>
      </c>
      <c r="W4" s="140">
        <v>3.1E-2</v>
      </c>
      <c r="X4" s="11" t="s">
        <v>419</v>
      </c>
      <c r="Y4" s="11" t="s">
        <v>139</v>
      </c>
      <c r="Z4" s="13" t="s">
        <v>902</v>
      </c>
      <c r="AA4" s="13" t="s">
        <v>2341</v>
      </c>
      <c r="AB4" s="157" t="s">
        <v>140</v>
      </c>
      <c r="AC4" s="2"/>
      <c r="AD4" s="124">
        <v>19802.77</v>
      </c>
      <c r="AE4" s="149">
        <v>1</v>
      </c>
      <c r="AF4" s="150">
        <v>97.56</v>
      </c>
      <c r="AG4" s="126">
        <v>19.32</v>
      </c>
      <c r="AH4" s="13"/>
      <c r="AI4" s="13"/>
      <c r="AJ4" s="13" t="s">
        <v>36</v>
      </c>
      <c r="AK4" s="140">
        <v>0.18625880081711699</v>
      </c>
      <c r="AL4" s="140">
        <v>9.4255245846925901E-4</v>
      </c>
    </row>
    <row r="5" spans="1:38">
      <c r="A5" s="13">
        <v>301</v>
      </c>
      <c r="B5" s="13">
        <v>7209</v>
      </c>
      <c r="C5" s="13" t="s">
        <v>2348</v>
      </c>
      <c r="D5" s="13" t="s">
        <v>2349</v>
      </c>
      <c r="E5" s="11" t="s">
        <v>1330</v>
      </c>
      <c r="F5" s="13" t="s">
        <v>2350</v>
      </c>
      <c r="G5" s="13" t="s">
        <v>2351</v>
      </c>
      <c r="H5" s="13" t="s">
        <v>328</v>
      </c>
      <c r="I5" s="13" t="s">
        <v>976</v>
      </c>
      <c r="J5" s="11" t="s">
        <v>30</v>
      </c>
      <c r="K5" s="11" t="s">
        <v>30</v>
      </c>
      <c r="L5" s="13" t="s">
        <v>109</v>
      </c>
      <c r="M5" s="13" t="s">
        <v>485</v>
      </c>
      <c r="N5" s="13" t="s">
        <v>139</v>
      </c>
      <c r="O5" s="156" t="s">
        <v>2352</v>
      </c>
      <c r="P5" s="13" t="s">
        <v>1437</v>
      </c>
      <c r="Q5" s="13" t="s">
        <v>422</v>
      </c>
      <c r="R5" s="13" t="s">
        <v>413</v>
      </c>
      <c r="S5" s="11" t="s">
        <v>34</v>
      </c>
      <c r="T5" s="126">
        <v>0.7</v>
      </c>
      <c r="U5" s="13" t="s">
        <v>2353</v>
      </c>
      <c r="V5" s="148">
        <v>6.2100000000000002E-2</v>
      </c>
      <c r="W5" s="140">
        <v>6.5000000000000002E-2</v>
      </c>
      <c r="X5" s="11" t="s">
        <v>419</v>
      </c>
      <c r="Y5" s="11" t="s">
        <v>139</v>
      </c>
      <c r="Z5" s="13" t="s">
        <v>902</v>
      </c>
      <c r="AA5" s="13" t="s">
        <v>905</v>
      </c>
      <c r="AB5" s="157" t="s">
        <v>140</v>
      </c>
      <c r="AC5" s="13"/>
      <c r="AD5" s="126">
        <v>9534.57</v>
      </c>
      <c r="AE5" s="149">
        <v>1</v>
      </c>
      <c r="AF5" s="150">
        <v>100.4</v>
      </c>
      <c r="AG5" s="124">
        <v>9.5730000000000004</v>
      </c>
      <c r="AH5" s="2"/>
      <c r="AI5" s="2"/>
      <c r="AJ5" s="13" t="s">
        <v>36</v>
      </c>
      <c r="AK5" s="140">
        <v>9.22898397481621E-2</v>
      </c>
      <c r="AL5" s="140">
        <v>4.6702767850296297E-4</v>
      </c>
    </row>
    <row r="6" spans="1:38">
      <c r="A6" s="13">
        <v>301</v>
      </c>
      <c r="B6" s="13">
        <v>7209</v>
      </c>
      <c r="C6" s="13" t="s">
        <v>2354</v>
      </c>
      <c r="D6" s="13" t="s">
        <v>2355</v>
      </c>
      <c r="E6" s="11" t="s">
        <v>1330</v>
      </c>
      <c r="F6" s="13" t="s">
        <v>2356</v>
      </c>
      <c r="G6" s="13" t="s">
        <v>2357</v>
      </c>
      <c r="H6" s="13" t="s">
        <v>328</v>
      </c>
      <c r="I6" s="13" t="s">
        <v>764</v>
      </c>
      <c r="J6" s="11" t="s">
        <v>100</v>
      </c>
      <c r="K6" s="11" t="s">
        <v>101</v>
      </c>
      <c r="L6" s="13" t="s">
        <v>335</v>
      </c>
      <c r="M6" s="13" t="s">
        <v>493</v>
      </c>
      <c r="N6" s="13" t="s">
        <v>139</v>
      </c>
      <c r="O6" s="156" t="s">
        <v>2358</v>
      </c>
      <c r="P6" s="13" t="s">
        <v>2359</v>
      </c>
      <c r="Q6" s="13" t="s">
        <v>439</v>
      </c>
      <c r="R6" s="13" t="s">
        <v>413</v>
      </c>
      <c r="S6" s="11" t="s">
        <v>105</v>
      </c>
      <c r="T6" s="126">
        <v>2.34</v>
      </c>
      <c r="U6" s="13" t="s">
        <v>1385</v>
      </c>
      <c r="V6" s="148">
        <v>7.5800000000000006E-2</v>
      </c>
      <c r="W6" s="140">
        <v>6.5000000000000002E-2</v>
      </c>
      <c r="X6" s="11" t="s">
        <v>419</v>
      </c>
      <c r="Y6" s="11" t="s">
        <v>139</v>
      </c>
      <c r="Z6" s="13" t="s">
        <v>109</v>
      </c>
      <c r="AA6" s="13"/>
      <c r="AB6" s="157" t="s">
        <v>140</v>
      </c>
      <c r="AC6" s="13"/>
      <c r="AD6" s="126">
        <v>3000</v>
      </c>
      <c r="AE6" s="149">
        <v>3.6469999999999998</v>
      </c>
      <c r="AF6" s="150">
        <v>97.91</v>
      </c>
      <c r="AG6" s="124">
        <v>10.712</v>
      </c>
      <c r="AH6" s="2"/>
      <c r="AI6" s="2"/>
      <c r="AJ6" s="13" t="s">
        <v>36</v>
      </c>
      <c r="AK6" s="140">
        <v>0.10327688635341301</v>
      </c>
      <c r="AL6" s="140">
        <v>5.2262702598970703E-4</v>
      </c>
    </row>
    <row r="7" spans="1:38">
      <c r="A7" s="13">
        <v>301</v>
      </c>
      <c r="B7" s="13">
        <v>7210</v>
      </c>
      <c r="C7" s="13" t="s">
        <v>2360</v>
      </c>
      <c r="D7" s="13" t="s">
        <v>2361</v>
      </c>
      <c r="E7" s="11" t="s">
        <v>1330</v>
      </c>
      <c r="F7" s="13" t="s">
        <v>2362</v>
      </c>
      <c r="G7" s="13" t="s">
        <v>2363</v>
      </c>
      <c r="H7" s="13" t="s">
        <v>33</v>
      </c>
      <c r="I7" s="13" t="s">
        <v>976</v>
      </c>
      <c r="J7" s="11" t="s">
        <v>30</v>
      </c>
      <c r="K7" s="11" t="s">
        <v>30</v>
      </c>
      <c r="L7" s="13" t="s">
        <v>109</v>
      </c>
      <c r="M7" s="13" t="s">
        <v>457</v>
      </c>
      <c r="N7" s="13" t="s">
        <v>139</v>
      </c>
      <c r="O7" s="156" t="s">
        <v>2364</v>
      </c>
      <c r="P7" s="13" t="s">
        <v>1395</v>
      </c>
      <c r="Q7" s="13" t="s">
        <v>422</v>
      </c>
      <c r="R7" s="13" t="s">
        <v>413</v>
      </c>
      <c r="S7" s="11" t="s">
        <v>34</v>
      </c>
      <c r="T7" s="126">
        <v>1.9970000000000001</v>
      </c>
      <c r="U7" s="13" t="s">
        <v>2365</v>
      </c>
      <c r="V7" s="148">
        <v>2.13056</v>
      </c>
      <c r="W7" s="140">
        <v>0</v>
      </c>
      <c r="X7" s="11" t="s">
        <v>419</v>
      </c>
      <c r="Y7" s="11" t="s">
        <v>139</v>
      </c>
      <c r="Z7" s="13" t="s">
        <v>109</v>
      </c>
      <c r="AA7" s="13"/>
      <c r="AB7" s="157" t="s">
        <v>140</v>
      </c>
      <c r="AC7" s="13" t="s">
        <v>140</v>
      </c>
      <c r="AD7" s="126">
        <v>264461.21000000002</v>
      </c>
      <c r="AE7" s="149">
        <v>1</v>
      </c>
      <c r="AF7" s="150">
        <v>26.56</v>
      </c>
      <c r="AG7" s="126">
        <v>70.241</v>
      </c>
      <c r="AH7" s="13"/>
      <c r="AI7" s="13"/>
      <c r="AJ7" s="13" t="s">
        <v>36</v>
      </c>
      <c r="AK7" s="140">
        <v>6.9427579118129098E-3</v>
      </c>
      <c r="AL7" s="140">
        <v>5.0826237829835901E-5</v>
      </c>
    </row>
    <row r="8" spans="1:38">
      <c r="A8" s="13">
        <v>301</v>
      </c>
      <c r="B8" s="13">
        <v>7210</v>
      </c>
      <c r="C8" s="13" t="s">
        <v>1181</v>
      </c>
      <c r="D8" s="13" t="s">
        <v>1590</v>
      </c>
      <c r="E8" s="11" t="s">
        <v>1330</v>
      </c>
      <c r="F8" s="13" t="s">
        <v>2366</v>
      </c>
      <c r="G8" s="13" t="s">
        <v>2367</v>
      </c>
      <c r="H8" s="13" t="s">
        <v>33</v>
      </c>
      <c r="I8" s="13" t="s">
        <v>763</v>
      </c>
      <c r="J8" s="11" t="s">
        <v>30</v>
      </c>
      <c r="K8" s="11" t="s">
        <v>30</v>
      </c>
      <c r="L8" s="13" t="s">
        <v>109</v>
      </c>
      <c r="M8" s="13" t="s">
        <v>454</v>
      </c>
      <c r="N8" s="13" t="s">
        <v>139</v>
      </c>
      <c r="O8" s="156" t="s">
        <v>2368</v>
      </c>
      <c r="P8" s="13" t="s">
        <v>103</v>
      </c>
      <c r="Q8" s="13" t="s">
        <v>420</v>
      </c>
      <c r="R8" s="13" t="s">
        <v>413</v>
      </c>
      <c r="S8" s="11" t="s">
        <v>34</v>
      </c>
      <c r="T8" s="126">
        <v>1.02</v>
      </c>
      <c r="U8" s="13" t="s">
        <v>2369</v>
      </c>
      <c r="V8" s="148">
        <v>1.7569999999999999E-2</v>
      </c>
      <c r="W8" s="140">
        <v>6.6000000000000003E-2</v>
      </c>
      <c r="X8" s="11" t="s">
        <v>419</v>
      </c>
      <c r="Y8" s="11" t="s">
        <v>139</v>
      </c>
      <c r="Z8" s="13" t="s">
        <v>109</v>
      </c>
      <c r="AA8" s="13"/>
      <c r="AB8" s="157" t="s">
        <v>140</v>
      </c>
      <c r="AC8" s="13" t="s">
        <v>140</v>
      </c>
      <c r="AD8" s="126">
        <v>225000</v>
      </c>
      <c r="AE8" s="149">
        <v>1</v>
      </c>
      <c r="AF8" s="150">
        <v>156.82</v>
      </c>
      <c r="AG8" s="126">
        <v>352.84500000000003</v>
      </c>
      <c r="AH8" s="13"/>
      <c r="AI8" s="13"/>
      <c r="AJ8" s="13" t="s">
        <v>36</v>
      </c>
      <c r="AK8" s="140">
        <v>3.4875941323475303E-2</v>
      </c>
      <c r="AL8" s="140">
        <v>2.55318262679202E-4</v>
      </c>
    </row>
    <row r="9" spans="1:38">
      <c r="A9" s="13">
        <v>301</v>
      </c>
      <c r="B9" s="13">
        <v>7210</v>
      </c>
      <c r="C9" s="13" t="s">
        <v>2370</v>
      </c>
      <c r="D9" s="13" t="s">
        <v>2371</v>
      </c>
      <c r="E9" s="11" t="s">
        <v>1330</v>
      </c>
      <c r="F9" s="13" t="s">
        <v>2372</v>
      </c>
      <c r="G9" s="13" t="s">
        <v>2373</v>
      </c>
      <c r="H9" s="13" t="s">
        <v>33</v>
      </c>
      <c r="I9" s="13" t="s">
        <v>763</v>
      </c>
      <c r="J9" s="11" t="s">
        <v>30</v>
      </c>
      <c r="K9" s="11" t="s">
        <v>30</v>
      </c>
      <c r="L9" s="13" t="s">
        <v>109</v>
      </c>
      <c r="M9" s="13" t="s">
        <v>453</v>
      </c>
      <c r="N9" s="13" t="s">
        <v>139</v>
      </c>
      <c r="O9" s="156" t="s">
        <v>2374</v>
      </c>
      <c r="P9" s="13" t="s">
        <v>416</v>
      </c>
      <c r="Q9" s="13" t="s">
        <v>416</v>
      </c>
      <c r="R9" s="13" t="s">
        <v>416</v>
      </c>
      <c r="S9" s="11" t="s">
        <v>34</v>
      </c>
      <c r="T9" s="126">
        <v>0.01</v>
      </c>
      <c r="U9" s="13" t="s">
        <v>2375</v>
      </c>
      <c r="V9" s="148">
        <v>1.46E-2</v>
      </c>
      <c r="W9" s="140">
        <v>9.9000000000000005E-2</v>
      </c>
      <c r="X9" s="11" t="s">
        <v>419</v>
      </c>
      <c r="Y9" s="11" t="s">
        <v>139</v>
      </c>
      <c r="Z9" s="13" t="s">
        <v>109</v>
      </c>
      <c r="AA9" s="13"/>
      <c r="AB9" s="157" t="s">
        <v>140</v>
      </c>
      <c r="AC9" s="13" t="s">
        <v>2376</v>
      </c>
      <c r="AD9" s="126">
        <v>75160.87</v>
      </c>
      <c r="AE9" s="149">
        <v>1</v>
      </c>
      <c r="AF9" s="150">
        <v>0</v>
      </c>
      <c r="AG9" s="126">
        <v>0</v>
      </c>
      <c r="AH9" s="13"/>
      <c r="AI9" s="13"/>
      <c r="AJ9" s="13" t="s">
        <v>36</v>
      </c>
      <c r="AK9" s="140">
        <v>7.4290583455663391E-11</v>
      </c>
      <c r="AL9" s="140">
        <v>5.4386324731418497E-13</v>
      </c>
    </row>
    <row r="10" spans="1:38">
      <c r="A10" s="13">
        <v>301</v>
      </c>
      <c r="B10" s="13">
        <v>7210</v>
      </c>
      <c r="C10" s="13" t="s">
        <v>2370</v>
      </c>
      <c r="D10" s="13" t="s">
        <v>2371</v>
      </c>
      <c r="E10" s="11" t="s">
        <v>1330</v>
      </c>
      <c r="F10" s="13" t="s">
        <v>2377</v>
      </c>
      <c r="G10" s="13" t="s">
        <v>2378</v>
      </c>
      <c r="H10" s="13" t="s">
        <v>328</v>
      </c>
      <c r="I10" s="13" t="s">
        <v>763</v>
      </c>
      <c r="J10" s="11" t="s">
        <v>30</v>
      </c>
      <c r="K10" s="11" t="s">
        <v>30</v>
      </c>
      <c r="L10" s="13" t="s">
        <v>109</v>
      </c>
      <c r="M10" s="13" t="s">
        <v>468</v>
      </c>
      <c r="N10" s="13" t="s">
        <v>139</v>
      </c>
      <c r="O10" s="156" t="s">
        <v>2374</v>
      </c>
      <c r="P10" s="13" t="s">
        <v>2379</v>
      </c>
      <c r="Q10" s="13" t="s">
        <v>422</v>
      </c>
      <c r="R10" s="13" t="s">
        <v>413</v>
      </c>
      <c r="S10" s="11" t="s">
        <v>34</v>
      </c>
      <c r="T10" s="126">
        <v>0.01</v>
      </c>
      <c r="U10" s="13" t="s">
        <v>2380</v>
      </c>
      <c r="V10" s="148">
        <v>1E-4</v>
      </c>
      <c r="W10" s="140">
        <v>9.9000000000000005E-2</v>
      </c>
      <c r="X10" s="11" t="s">
        <v>419</v>
      </c>
      <c r="Y10" s="11" t="s">
        <v>139</v>
      </c>
      <c r="Z10" s="13" t="s">
        <v>109</v>
      </c>
      <c r="AA10" s="13"/>
      <c r="AB10" s="157" t="s">
        <v>140</v>
      </c>
      <c r="AC10" s="13"/>
      <c r="AD10" s="126">
        <v>375804.53</v>
      </c>
      <c r="AE10" s="149">
        <v>1</v>
      </c>
      <c r="AF10" s="150">
        <v>0</v>
      </c>
      <c r="AG10" s="126">
        <v>0</v>
      </c>
      <c r="AH10" s="13"/>
      <c r="AI10" s="13"/>
      <c r="AJ10" s="13" t="s">
        <v>36</v>
      </c>
      <c r="AK10" s="140">
        <v>3.7145309519409998E-10</v>
      </c>
      <c r="AL10" s="140">
        <v>2.7193175390489898E-12</v>
      </c>
    </row>
    <row r="11" spans="1:38">
      <c r="A11" s="13">
        <v>301</v>
      </c>
      <c r="B11" s="13">
        <v>7210</v>
      </c>
      <c r="C11" s="13" t="s">
        <v>2302</v>
      </c>
      <c r="D11" s="13" t="s">
        <v>2303</v>
      </c>
      <c r="E11" s="11" t="s">
        <v>1330</v>
      </c>
      <c r="F11" s="13" t="s">
        <v>2381</v>
      </c>
      <c r="G11" s="13" t="s">
        <v>2382</v>
      </c>
      <c r="H11" s="13" t="s">
        <v>328</v>
      </c>
      <c r="I11" s="13" t="s">
        <v>763</v>
      </c>
      <c r="J11" s="11" t="s">
        <v>30</v>
      </c>
      <c r="K11" s="11" t="s">
        <v>30</v>
      </c>
      <c r="L11" s="13" t="s">
        <v>109</v>
      </c>
      <c r="M11" s="13" t="s">
        <v>457</v>
      </c>
      <c r="N11" s="13" t="s">
        <v>139</v>
      </c>
      <c r="O11" s="156" t="s">
        <v>2383</v>
      </c>
      <c r="P11" s="13" t="s">
        <v>2384</v>
      </c>
      <c r="Q11" s="13" t="s">
        <v>420</v>
      </c>
      <c r="R11" s="13" t="s">
        <v>413</v>
      </c>
      <c r="S11" s="11" t="s">
        <v>34</v>
      </c>
      <c r="T11" s="126">
        <v>0</v>
      </c>
      <c r="U11" s="13" t="s">
        <v>2385</v>
      </c>
      <c r="V11" s="148">
        <v>0</v>
      </c>
      <c r="W11" s="140">
        <v>5.3499999999999999E-2</v>
      </c>
      <c r="X11" s="11" t="s">
        <v>419</v>
      </c>
      <c r="Y11" s="11" t="s">
        <v>139</v>
      </c>
      <c r="Z11" s="13" t="s">
        <v>109</v>
      </c>
      <c r="AA11" s="13"/>
      <c r="AB11" s="157" t="s">
        <v>2386</v>
      </c>
      <c r="AC11" s="13"/>
      <c r="AD11" s="126">
        <v>1077381.81</v>
      </c>
      <c r="AE11" s="149">
        <v>1</v>
      </c>
      <c r="AF11" s="150">
        <v>0</v>
      </c>
      <c r="AG11" s="126">
        <v>0</v>
      </c>
      <c r="AH11" s="13"/>
      <c r="AI11" s="13"/>
      <c r="AJ11" s="13" t="s">
        <v>36</v>
      </c>
      <c r="AK11" s="140">
        <v>1.0649068227844999E-9</v>
      </c>
      <c r="AL11" s="140">
        <v>7.7959231949262199E-12</v>
      </c>
    </row>
    <row r="12" spans="1:38">
      <c r="A12" s="13">
        <v>301</v>
      </c>
      <c r="B12" s="13">
        <v>7210</v>
      </c>
      <c r="C12" s="13" t="s">
        <v>2387</v>
      </c>
      <c r="D12" s="13" t="s">
        <v>2388</v>
      </c>
      <c r="E12" s="11" t="s">
        <v>320</v>
      </c>
      <c r="F12" s="13" t="s">
        <v>2389</v>
      </c>
      <c r="G12" s="13" t="s">
        <v>155</v>
      </c>
      <c r="H12" s="13" t="s">
        <v>328</v>
      </c>
      <c r="I12" s="13" t="s">
        <v>976</v>
      </c>
      <c r="J12" s="11" t="s">
        <v>30</v>
      </c>
      <c r="K12" s="11" t="s">
        <v>30</v>
      </c>
      <c r="L12" s="13" t="s">
        <v>109</v>
      </c>
      <c r="M12" s="13" t="s">
        <v>457</v>
      </c>
      <c r="N12" s="13" t="s">
        <v>139</v>
      </c>
      <c r="O12" s="156" t="s">
        <v>2390</v>
      </c>
      <c r="P12" s="13" t="s">
        <v>2384</v>
      </c>
      <c r="Q12" s="13" t="s">
        <v>422</v>
      </c>
      <c r="R12" s="13" t="s">
        <v>413</v>
      </c>
      <c r="S12" s="11" t="s">
        <v>34</v>
      </c>
      <c r="T12" s="126">
        <v>8.41</v>
      </c>
      <c r="U12" s="13" t="s">
        <v>2391</v>
      </c>
      <c r="V12" s="148">
        <v>9.99</v>
      </c>
      <c r="W12" s="140">
        <v>6.6000000000000003E-2</v>
      </c>
      <c r="X12" s="11" t="s">
        <v>418</v>
      </c>
      <c r="Y12" s="11" t="s">
        <v>347</v>
      </c>
      <c r="Z12" s="13" t="s">
        <v>109</v>
      </c>
      <c r="AA12" s="13" t="s">
        <v>905</v>
      </c>
      <c r="AB12" s="157" t="s">
        <v>140</v>
      </c>
      <c r="AC12" s="13"/>
      <c r="AD12" s="126">
        <v>90021.81</v>
      </c>
      <c r="AE12" s="149">
        <v>1</v>
      </c>
      <c r="AF12" s="150">
        <v>0</v>
      </c>
      <c r="AG12" s="126">
        <v>0</v>
      </c>
      <c r="AH12" s="13"/>
      <c r="AI12" s="13"/>
      <c r="AJ12" s="13" t="s">
        <v>36</v>
      </c>
      <c r="AK12" s="140">
        <v>8.8979448862617887E-11</v>
      </c>
      <c r="AL12" s="140">
        <v>6.5139684939384799E-13</v>
      </c>
    </row>
    <row r="13" spans="1:38">
      <c r="A13" s="13">
        <v>301</v>
      </c>
      <c r="B13" s="13">
        <v>7210</v>
      </c>
      <c r="C13" s="13" t="s">
        <v>2392</v>
      </c>
      <c r="D13" s="13" t="s">
        <v>2393</v>
      </c>
      <c r="E13" s="11" t="s">
        <v>1330</v>
      </c>
      <c r="F13" s="13" t="s">
        <v>2394</v>
      </c>
      <c r="G13" s="13" t="s">
        <v>2395</v>
      </c>
      <c r="H13" s="13" t="s">
        <v>328</v>
      </c>
      <c r="I13" s="13" t="s">
        <v>763</v>
      </c>
      <c r="J13" s="11" t="s">
        <v>30</v>
      </c>
      <c r="K13" s="11" t="s">
        <v>30</v>
      </c>
      <c r="L13" s="13" t="s">
        <v>109</v>
      </c>
      <c r="M13" s="13" t="s">
        <v>485</v>
      </c>
      <c r="N13" s="13" t="s">
        <v>139</v>
      </c>
      <c r="O13" s="156" t="s">
        <v>2396</v>
      </c>
      <c r="P13" s="13" t="s">
        <v>1719</v>
      </c>
      <c r="Q13" s="13" t="s">
        <v>420</v>
      </c>
      <c r="R13" s="13" t="s">
        <v>413</v>
      </c>
      <c r="S13" s="11" t="s">
        <v>34</v>
      </c>
      <c r="T13" s="126">
        <v>0.43</v>
      </c>
      <c r="U13" s="13" t="s">
        <v>2397</v>
      </c>
      <c r="V13" s="148">
        <v>2.3900000000000001E-2</v>
      </c>
      <c r="W13" s="140">
        <v>7.7499999999999999E-2</v>
      </c>
      <c r="X13" s="11" t="s">
        <v>419</v>
      </c>
      <c r="Y13" s="11" t="s">
        <v>139</v>
      </c>
      <c r="Z13" s="13" t="s">
        <v>902</v>
      </c>
      <c r="AA13" s="13" t="s">
        <v>2341</v>
      </c>
      <c r="AB13" s="157" t="s">
        <v>140</v>
      </c>
      <c r="AC13" s="13" t="s">
        <v>2314</v>
      </c>
      <c r="AD13" s="126">
        <v>182680.26</v>
      </c>
      <c r="AE13" s="149">
        <v>1</v>
      </c>
      <c r="AF13" s="150">
        <v>147.75</v>
      </c>
      <c r="AG13" s="126">
        <v>269.91000000000003</v>
      </c>
      <c r="AH13" s="13"/>
      <c r="AI13" s="13"/>
      <c r="AJ13" s="13" t="s">
        <v>36</v>
      </c>
      <c r="AK13" s="140">
        <v>2.6678479948503399E-2</v>
      </c>
      <c r="AL13" s="140">
        <v>1.9530664672809701E-4</v>
      </c>
    </row>
    <row r="14" spans="1:38">
      <c r="A14" s="13">
        <v>301</v>
      </c>
      <c r="B14" s="13">
        <v>7210</v>
      </c>
      <c r="C14" s="13" t="s">
        <v>2330</v>
      </c>
      <c r="D14" s="13" t="s">
        <v>2331</v>
      </c>
      <c r="E14" s="11" t="s">
        <v>1330</v>
      </c>
      <c r="F14" s="13" t="s">
        <v>2332</v>
      </c>
      <c r="G14" s="13" t="s">
        <v>2333</v>
      </c>
      <c r="H14" s="13" t="s">
        <v>328</v>
      </c>
      <c r="I14" s="13" t="s">
        <v>976</v>
      </c>
      <c r="J14" s="11" t="s">
        <v>30</v>
      </c>
      <c r="K14" s="11" t="s">
        <v>30</v>
      </c>
      <c r="L14" s="13" t="s">
        <v>335</v>
      </c>
      <c r="M14" s="13" t="s">
        <v>457</v>
      </c>
      <c r="N14" s="13" t="s">
        <v>139</v>
      </c>
      <c r="O14" s="156" t="s">
        <v>2334</v>
      </c>
      <c r="P14" s="13" t="s">
        <v>1725</v>
      </c>
      <c r="Q14" s="13" t="s">
        <v>420</v>
      </c>
      <c r="R14" s="13" t="s">
        <v>413</v>
      </c>
      <c r="S14" s="11" t="s">
        <v>34</v>
      </c>
      <c r="T14" s="126">
        <v>2.4</v>
      </c>
      <c r="U14" s="13" t="s">
        <v>2335</v>
      </c>
      <c r="V14" s="148">
        <v>5.5599999999999997E-2</v>
      </c>
      <c r="W14" s="140">
        <v>2.86E-2</v>
      </c>
      <c r="X14" s="11" t="s">
        <v>419</v>
      </c>
      <c r="Y14" s="11" t="s">
        <v>139</v>
      </c>
      <c r="Z14" s="13" t="s">
        <v>902</v>
      </c>
      <c r="AA14" s="13" t="s">
        <v>905</v>
      </c>
      <c r="AB14" s="157" t="s">
        <v>140</v>
      </c>
      <c r="AC14" s="13"/>
      <c r="AD14" s="126">
        <v>980000.25</v>
      </c>
      <c r="AE14" s="149">
        <v>1</v>
      </c>
      <c r="AF14" s="150">
        <v>93.94</v>
      </c>
      <c r="AG14" s="126">
        <v>920.61199999999997</v>
      </c>
      <c r="AH14" s="13"/>
      <c r="AI14" s="13"/>
      <c r="AJ14" s="13" t="s">
        <v>36</v>
      </c>
      <c r="AK14" s="140">
        <v>9.0995248010605406E-2</v>
      </c>
      <c r="AL14" s="140">
        <v>6.66154023446895E-4</v>
      </c>
    </row>
    <row r="15" spans="1:38">
      <c r="A15" s="13">
        <v>301</v>
      </c>
      <c r="B15" s="13">
        <v>7210</v>
      </c>
      <c r="C15" s="13" t="s">
        <v>2336</v>
      </c>
      <c r="D15" s="13" t="s">
        <v>2337</v>
      </c>
      <c r="E15" s="11" t="s">
        <v>1330</v>
      </c>
      <c r="F15" s="13" t="s">
        <v>2338</v>
      </c>
      <c r="G15" s="13" t="s">
        <v>2339</v>
      </c>
      <c r="H15" s="13" t="s">
        <v>328</v>
      </c>
      <c r="I15" s="13" t="s">
        <v>976</v>
      </c>
      <c r="J15" s="11" t="s">
        <v>30</v>
      </c>
      <c r="K15" s="11" t="s">
        <v>30</v>
      </c>
      <c r="L15" s="13" t="s">
        <v>335</v>
      </c>
      <c r="M15" s="13" t="s">
        <v>457</v>
      </c>
      <c r="N15" s="13" t="s">
        <v>139</v>
      </c>
      <c r="O15" s="156" t="s">
        <v>2340</v>
      </c>
      <c r="P15" s="13" t="s">
        <v>1395</v>
      </c>
      <c r="Q15" s="13" t="s">
        <v>439</v>
      </c>
      <c r="R15" s="13" t="s">
        <v>413</v>
      </c>
      <c r="S15" s="11" t="s">
        <v>34</v>
      </c>
      <c r="T15" s="126">
        <v>2.0499999999999998</v>
      </c>
      <c r="U15" s="13" t="s">
        <v>1385</v>
      </c>
      <c r="V15" s="148">
        <v>5.6500000000000002E-2</v>
      </c>
      <c r="W15" s="140">
        <v>4.4699999999999997E-2</v>
      </c>
      <c r="X15" s="11" t="s">
        <v>419</v>
      </c>
      <c r="Y15" s="11" t="s">
        <v>139</v>
      </c>
      <c r="Z15" s="13" t="s">
        <v>902</v>
      </c>
      <c r="AA15" s="13" t="s">
        <v>2341</v>
      </c>
      <c r="AB15" s="157" t="s">
        <v>140</v>
      </c>
      <c r="AC15" s="13"/>
      <c r="AD15" s="126">
        <v>4296575.2699999996</v>
      </c>
      <c r="AE15" s="149">
        <v>1</v>
      </c>
      <c r="AF15" s="150">
        <v>97.83</v>
      </c>
      <c r="AG15" s="126">
        <v>4203.34</v>
      </c>
      <c r="AH15" s="13"/>
      <c r="AI15" s="13"/>
      <c r="AJ15" s="13" t="s">
        <v>36</v>
      </c>
      <c r="AK15" s="140">
        <v>0.415466918296511</v>
      </c>
      <c r="AL15" s="140">
        <v>3.04153200615538E-3</v>
      </c>
    </row>
    <row r="16" spans="1:38">
      <c r="A16" s="13">
        <v>301</v>
      </c>
      <c r="B16" s="13">
        <v>7210</v>
      </c>
      <c r="C16" s="13" t="s">
        <v>2342</v>
      </c>
      <c r="D16" s="13" t="s">
        <v>2343</v>
      </c>
      <c r="E16" s="11" t="s">
        <v>1330</v>
      </c>
      <c r="F16" s="13" t="s">
        <v>2344</v>
      </c>
      <c r="G16" s="13" t="s">
        <v>2345</v>
      </c>
      <c r="H16" s="13" t="s">
        <v>328</v>
      </c>
      <c r="I16" s="13" t="s">
        <v>976</v>
      </c>
      <c r="J16" s="11" t="s">
        <v>30</v>
      </c>
      <c r="K16" s="11" t="s">
        <v>30</v>
      </c>
      <c r="L16" s="13" t="s">
        <v>109</v>
      </c>
      <c r="M16" s="13" t="s">
        <v>470</v>
      </c>
      <c r="N16" s="13" t="s">
        <v>139</v>
      </c>
      <c r="O16" s="156" t="s">
        <v>2398</v>
      </c>
      <c r="P16" s="13" t="s">
        <v>1719</v>
      </c>
      <c r="Q16" s="13" t="s">
        <v>422</v>
      </c>
      <c r="R16" s="13" t="s">
        <v>413</v>
      </c>
      <c r="S16" s="11" t="s">
        <v>34</v>
      </c>
      <c r="T16" s="126">
        <v>1.45</v>
      </c>
      <c r="U16" s="13" t="s">
        <v>2347</v>
      </c>
      <c r="V16" s="148">
        <v>4.9200000000000001E-2</v>
      </c>
      <c r="W16" s="140">
        <v>3.1E-2</v>
      </c>
      <c r="X16" s="11" t="s">
        <v>419</v>
      </c>
      <c r="Y16" s="11" t="s">
        <v>139</v>
      </c>
      <c r="Z16" s="13" t="s">
        <v>902</v>
      </c>
      <c r="AA16" s="13" t="s">
        <v>2341</v>
      </c>
      <c r="AB16" s="157" t="s">
        <v>140</v>
      </c>
      <c r="AC16" s="13"/>
      <c r="AD16" s="126">
        <v>2830128.15</v>
      </c>
      <c r="AE16" s="149">
        <v>1</v>
      </c>
      <c r="AF16" s="150">
        <v>97.56</v>
      </c>
      <c r="AG16" s="126">
        <v>2761.0729999999999</v>
      </c>
      <c r="AH16" s="13"/>
      <c r="AI16" s="13"/>
      <c r="AJ16" s="13" t="s">
        <v>36</v>
      </c>
      <c r="AK16" s="140">
        <v>0.27291026015633302</v>
      </c>
      <c r="AL16" s="140">
        <v>1.9979094712933901E-3</v>
      </c>
    </row>
    <row r="17" spans="1:38">
      <c r="A17" s="13">
        <v>301</v>
      </c>
      <c r="B17" s="13">
        <v>7210</v>
      </c>
      <c r="C17" s="13" t="s">
        <v>2348</v>
      </c>
      <c r="D17" s="13" t="s">
        <v>2349</v>
      </c>
      <c r="E17" s="11" t="s">
        <v>1330</v>
      </c>
      <c r="F17" s="13" t="s">
        <v>2350</v>
      </c>
      <c r="G17" s="13" t="s">
        <v>2351</v>
      </c>
      <c r="H17" s="13" t="s">
        <v>328</v>
      </c>
      <c r="I17" s="13" t="s">
        <v>976</v>
      </c>
      <c r="J17" s="11" t="s">
        <v>30</v>
      </c>
      <c r="K17" s="11" t="s">
        <v>30</v>
      </c>
      <c r="L17" s="13" t="s">
        <v>109</v>
      </c>
      <c r="M17" s="13" t="s">
        <v>485</v>
      </c>
      <c r="N17" s="13" t="s">
        <v>139</v>
      </c>
      <c r="O17" s="156" t="s">
        <v>2352</v>
      </c>
      <c r="P17" s="13" t="s">
        <v>1437</v>
      </c>
      <c r="Q17" s="13" t="s">
        <v>422</v>
      </c>
      <c r="R17" s="13" t="s">
        <v>413</v>
      </c>
      <c r="S17" s="11" t="s">
        <v>34</v>
      </c>
      <c r="T17" s="126">
        <v>0.7</v>
      </c>
      <c r="U17" s="13" t="s">
        <v>2353</v>
      </c>
      <c r="V17" s="148">
        <v>6.2100000000000002E-2</v>
      </c>
      <c r="W17" s="140">
        <v>6.5000000000000002E-2</v>
      </c>
      <c r="X17" s="11" t="s">
        <v>419</v>
      </c>
      <c r="Y17" s="11" t="s">
        <v>139</v>
      </c>
      <c r="Z17" s="13" t="s">
        <v>902</v>
      </c>
      <c r="AA17" s="13" t="s">
        <v>905</v>
      </c>
      <c r="AB17" s="157" t="s">
        <v>140</v>
      </c>
      <c r="AC17" s="13"/>
      <c r="AD17" s="126">
        <v>739882.48</v>
      </c>
      <c r="AE17" s="149">
        <v>1</v>
      </c>
      <c r="AF17" s="150">
        <v>100.4</v>
      </c>
      <c r="AG17" s="126">
        <v>742.84199999999998</v>
      </c>
      <c r="AH17" s="13"/>
      <c r="AI17" s="13"/>
      <c r="AJ17" s="13" t="s">
        <v>36</v>
      </c>
      <c r="AK17" s="140">
        <v>7.3424065384467399E-2</v>
      </c>
      <c r="AL17" s="140">
        <v>5.3751967979679804E-4</v>
      </c>
    </row>
    <row r="18" spans="1:38">
      <c r="A18" s="13">
        <v>301</v>
      </c>
      <c r="B18" s="13">
        <v>7210</v>
      </c>
      <c r="C18" s="13" t="s">
        <v>2354</v>
      </c>
      <c r="D18" s="13" t="s">
        <v>2355</v>
      </c>
      <c r="E18" s="11" t="s">
        <v>1330</v>
      </c>
      <c r="F18" s="13" t="s">
        <v>2356</v>
      </c>
      <c r="G18" s="13" t="s">
        <v>2357</v>
      </c>
      <c r="H18" s="13" t="s">
        <v>328</v>
      </c>
      <c r="I18" s="13" t="s">
        <v>764</v>
      </c>
      <c r="J18" s="11" t="s">
        <v>100</v>
      </c>
      <c r="K18" s="11" t="s">
        <v>101</v>
      </c>
      <c r="L18" s="13" t="s">
        <v>335</v>
      </c>
      <c r="M18" s="13" t="s">
        <v>493</v>
      </c>
      <c r="N18" s="13" t="s">
        <v>139</v>
      </c>
      <c r="O18" s="156" t="s">
        <v>2358</v>
      </c>
      <c r="P18" s="13" t="s">
        <v>2359</v>
      </c>
      <c r="Q18" s="13" t="s">
        <v>439</v>
      </c>
      <c r="R18" s="13" t="s">
        <v>413</v>
      </c>
      <c r="S18" s="11" t="s">
        <v>105</v>
      </c>
      <c r="T18" s="126">
        <v>2.34</v>
      </c>
      <c r="U18" s="13" t="s">
        <v>1385</v>
      </c>
      <c r="V18" s="148">
        <v>7.5800000000000006E-2</v>
      </c>
      <c r="W18" s="140">
        <v>6.5000000000000002E-2</v>
      </c>
      <c r="X18" s="11" t="s">
        <v>419</v>
      </c>
      <c r="Y18" s="11" t="s">
        <v>139</v>
      </c>
      <c r="Z18" s="13" t="s">
        <v>109</v>
      </c>
      <c r="AA18" s="13"/>
      <c r="AB18" s="157" t="s">
        <v>140</v>
      </c>
      <c r="AC18" s="13"/>
      <c r="AD18" s="126">
        <v>223000</v>
      </c>
      <c r="AE18" s="149">
        <v>3.6469999999999998</v>
      </c>
      <c r="AF18" s="150">
        <v>97.91</v>
      </c>
      <c r="AG18" s="126">
        <v>796.28300000000002</v>
      </c>
      <c r="AH18" s="13"/>
      <c r="AI18" s="13"/>
      <c r="AJ18" s="13" t="s">
        <v>36</v>
      </c>
      <c r="AK18" s="140">
        <v>7.8706327368661594E-2</v>
      </c>
      <c r="AL18" s="140">
        <v>5.7618983181684095E-4</v>
      </c>
    </row>
    <row r="19" spans="1:38">
      <c r="A19" s="13">
        <v>301</v>
      </c>
      <c r="B19" s="13">
        <v>7211</v>
      </c>
      <c r="C19" s="13" t="s">
        <v>2330</v>
      </c>
      <c r="D19" s="13" t="s">
        <v>2331</v>
      </c>
      <c r="E19" s="11" t="s">
        <v>1330</v>
      </c>
      <c r="F19" s="13" t="s">
        <v>2332</v>
      </c>
      <c r="G19" s="13" t="s">
        <v>2333</v>
      </c>
      <c r="H19" s="13" t="s">
        <v>328</v>
      </c>
      <c r="I19" s="13" t="s">
        <v>976</v>
      </c>
      <c r="J19" s="11" t="s">
        <v>30</v>
      </c>
      <c r="K19" s="11" t="s">
        <v>30</v>
      </c>
      <c r="L19" s="13" t="s">
        <v>335</v>
      </c>
      <c r="M19" s="13" t="s">
        <v>457</v>
      </c>
      <c r="N19" s="13" t="s">
        <v>139</v>
      </c>
      <c r="O19" s="156" t="s">
        <v>2334</v>
      </c>
      <c r="P19" s="13" t="s">
        <v>1725</v>
      </c>
      <c r="Q19" s="13" t="s">
        <v>420</v>
      </c>
      <c r="R19" s="13" t="s">
        <v>413</v>
      </c>
      <c r="S19" s="11" t="s">
        <v>34</v>
      </c>
      <c r="T19" s="126">
        <v>2.4</v>
      </c>
      <c r="U19" s="13" t="s">
        <v>2335</v>
      </c>
      <c r="V19" s="148">
        <v>5.5599999999999997E-2</v>
      </c>
      <c r="W19" s="140">
        <v>2.86E-2</v>
      </c>
      <c r="X19" s="11" t="s">
        <v>419</v>
      </c>
      <c r="Y19" s="11" t="s">
        <v>139</v>
      </c>
      <c r="Z19" s="13" t="s">
        <v>902</v>
      </c>
      <c r="AA19" s="13" t="s">
        <v>905</v>
      </c>
      <c r="AB19" s="157" t="s">
        <v>140</v>
      </c>
      <c r="AC19" s="13"/>
      <c r="AD19" s="126">
        <v>20571.43</v>
      </c>
      <c r="AE19" s="149">
        <v>1</v>
      </c>
      <c r="AF19" s="150">
        <v>93.94</v>
      </c>
      <c r="AG19" s="126">
        <v>19.324999999999999</v>
      </c>
      <c r="AH19" s="13"/>
      <c r="AI19" s="13"/>
      <c r="AJ19" s="13" t="s">
        <v>36</v>
      </c>
      <c r="AK19" s="140">
        <v>0.126923381007266</v>
      </c>
      <c r="AL19" s="140">
        <v>9.0492849371256599E-4</v>
      </c>
    </row>
    <row r="20" spans="1:38">
      <c r="A20" s="2">
        <v>301</v>
      </c>
      <c r="B20" s="2">
        <v>7211</v>
      </c>
      <c r="C20" s="2" t="s">
        <v>2336</v>
      </c>
      <c r="D20" s="2" t="s">
        <v>2337</v>
      </c>
      <c r="E20" s="11" t="s">
        <v>1330</v>
      </c>
      <c r="F20" s="2" t="s">
        <v>2338</v>
      </c>
      <c r="G20" s="2" t="s">
        <v>2339</v>
      </c>
      <c r="H20" s="13" t="s">
        <v>328</v>
      </c>
      <c r="I20" s="13" t="s">
        <v>976</v>
      </c>
      <c r="J20" s="11" t="s">
        <v>30</v>
      </c>
      <c r="K20" s="11" t="s">
        <v>30</v>
      </c>
      <c r="L20" s="13" t="s">
        <v>335</v>
      </c>
      <c r="M20" s="13" t="s">
        <v>457</v>
      </c>
      <c r="N20" s="13" t="s">
        <v>139</v>
      </c>
      <c r="O20" s="157" t="s">
        <v>2340</v>
      </c>
      <c r="P20" s="2" t="s">
        <v>1395</v>
      </c>
      <c r="Q20" s="13" t="s">
        <v>439</v>
      </c>
      <c r="R20" s="13" t="s">
        <v>413</v>
      </c>
      <c r="S20" s="2" t="s">
        <v>34</v>
      </c>
      <c r="T20" s="124">
        <v>2.0499999999999998</v>
      </c>
      <c r="U20" s="2" t="s">
        <v>1385</v>
      </c>
      <c r="V20" s="140">
        <v>5.6500000000000002E-2</v>
      </c>
      <c r="W20" s="140">
        <v>4.4699999999999997E-2</v>
      </c>
      <c r="X20" s="11" t="s">
        <v>419</v>
      </c>
      <c r="Y20" s="11" t="s">
        <v>139</v>
      </c>
      <c r="Z20" s="2" t="s">
        <v>902</v>
      </c>
      <c r="AA20" s="13" t="s">
        <v>2341</v>
      </c>
      <c r="AB20" s="157" t="s">
        <v>140</v>
      </c>
      <c r="AC20" s="2"/>
      <c r="AD20" s="124">
        <v>82401.210000000006</v>
      </c>
      <c r="AE20" s="134">
        <v>1</v>
      </c>
      <c r="AF20" s="151">
        <v>97.83</v>
      </c>
      <c r="AG20" s="124">
        <v>80.613</v>
      </c>
      <c r="AH20" s="2"/>
      <c r="AI20" s="2"/>
      <c r="AJ20" s="13" t="s">
        <v>36</v>
      </c>
      <c r="AK20" s="140">
        <v>0.52945888029978305</v>
      </c>
      <c r="AL20" s="140">
        <v>3.7748949266092702E-3</v>
      </c>
    </row>
    <row r="21" spans="1:38">
      <c r="A21" s="2">
        <v>301</v>
      </c>
      <c r="B21" s="2">
        <v>7211</v>
      </c>
      <c r="C21" s="2" t="s">
        <v>2342</v>
      </c>
      <c r="D21" s="2" t="s">
        <v>2343</v>
      </c>
      <c r="E21" s="3" t="s">
        <v>1330</v>
      </c>
      <c r="F21" s="2" t="s">
        <v>2344</v>
      </c>
      <c r="G21" s="2" t="s">
        <v>2345</v>
      </c>
      <c r="H21" s="2" t="s">
        <v>328</v>
      </c>
      <c r="I21" s="2" t="s">
        <v>976</v>
      </c>
      <c r="J21" s="2" t="s">
        <v>30</v>
      </c>
      <c r="K21" s="2" t="s">
        <v>30</v>
      </c>
      <c r="L21" s="2" t="s">
        <v>109</v>
      </c>
      <c r="M21" s="2" t="s">
        <v>470</v>
      </c>
      <c r="N21" s="2" t="s">
        <v>139</v>
      </c>
      <c r="O21" s="157" t="s">
        <v>2346</v>
      </c>
      <c r="P21" s="2" t="s">
        <v>1719</v>
      </c>
      <c r="Q21" s="2" t="s">
        <v>422</v>
      </c>
      <c r="R21" s="2" t="s">
        <v>413</v>
      </c>
      <c r="S21" s="2" t="s">
        <v>34</v>
      </c>
      <c r="T21" s="124">
        <v>1.45</v>
      </c>
      <c r="U21" s="2" t="s">
        <v>2347</v>
      </c>
      <c r="V21" s="140">
        <v>4.9200000000000001E-2</v>
      </c>
      <c r="W21" s="140">
        <v>3.1E-2</v>
      </c>
      <c r="X21" s="3" t="s">
        <v>419</v>
      </c>
      <c r="Y21" s="3" t="s">
        <v>139</v>
      </c>
      <c r="Z21" s="2" t="s">
        <v>902</v>
      </c>
      <c r="AA21" s="2" t="s">
        <v>2341</v>
      </c>
      <c r="AB21" s="157" t="s">
        <v>140</v>
      </c>
      <c r="AC21" s="2"/>
      <c r="AD21" s="124">
        <v>25248.92</v>
      </c>
      <c r="AE21" s="134">
        <v>1</v>
      </c>
      <c r="AF21" s="151">
        <v>97.56</v>
      </c>
      <c r="AG21" s="124">
        <v>24.632999999999999</v>
      </c>
      <c r="AH21" s="2"/>
      <c r="AI21" s="2"/>
      <c r="AJ21" s="2" t="s">
        <v>36</v>
      </c>
      <c r="AK21" s="140">
        <v>0.16178609484762599</v>
      </c>
      <c r="AL21" s="140">
        <v>1.15348997128999E-3</v>
      </c>
    </row>
    <row r="22" spans="1:38">
      <c r="A22" s="2">
        <v>301</v>
      </c>
      <c r="B22" s="2">
        <v>7211</v>
      </c>
      <c r="C22" s="2" t="s">
        <v>2348</v>
      </c>
      <c r="D22" s="2" t="s">
        <v>2349</v>
      </c>
      <c r="E22" s="3" t="s">
        <v>1330</v>
      </c>
      <c r="F22" s="2" t="s">
        <v>2350</v>
      </c>
      <c r="G22" s="2" t="s">
        <v>2351</v>
      </c>
      <c r="H22" s="2" t="s">
        <v>328</v>
      </c>
      <c r="I22" s="2" t="s">
        <v>976</v>
      </c>
      <c r="J22" s="2" t="s">
        <v>30</v>
      </c>
      <c r="K22" s="2" t="s">
        <v>30</v>
      </c>
      <c r="L22" s="2" t="s">
        <v>109</v>
      </c>
      <c r="M22" s="2" t="s">
        <v>485</v>
      </c>
      <c r="N22" s="2" t="s">
        <v>139</v>
      </c>
      <c r="O22" s="157" t="s">
        <v>2352</v>
      </c>
      <c r="P22" s="2" t="s">
        <v>1437</v>
      </c>
      <c r="Q22" s="2" t="s">
        <v>422</v>
      </c>
      <c r="R22" s="2" t="s">
        <v>413</v>
      </c>
      <c r="S22" s="2" t="s">
        <v>34</v>
      </c>
      <c r="T22" s="124">
        <v>0.7</v>
      </c>
      <c r="U22" s="2" t="s">
        <v>2353</v>
      </c>
      <c r="V22" s="140">
        <v>6.2100000000000002E-2</v>
      </c>
      <c r="W22" s="140">
        <v>6.5000000000000002E-2</v>
      </c>
      <c r="X22" s="3" t="s">
        <v>419</v>
      </c>
      <c r="Y22" s="3" t="s">
        <v>139</v>
      </c>
      <c r="Z22" s="2" t="s">
        <v>902</v>
      </c>
      <c r="AA22" s="2" t="s">
        <v>905</v>
      </c>
      <c r="AB22" s="157" t="s">
        <v>140</v>
      </c>
      <c r="AC22" s="2"/>
      <c r="AD22" s="124">
        <v>13348.39</v>
      </c>
      <c r="AE22" s="134">
        <v>1</v>
      </c>
      <c r="AF22" s="151">
        <v>100.4</v>
      </c>
      <c r="AG22" s="124">
        <v>13.401999999999999</v>
      </c>
      <c r="AH22" s="2"/>
      <c r="AI22" s="2"/>
      <c r="AJ22" s="2" t="s">
        <v>36</v>
      </c>
      <c r="AK22" s="140">
        <v>8.8021586916181602E-2</v>
      </c>
      <c r="AL22" s="140">
        <v>6.2756949452591297E-4</v>
      </c>
    </row>
    <row r="23" spans="1:38">
      <c r="A23" s="2">
        <v>301</v>
      </c>
      <c r="B23" s="2">
        <v>7211</v>
      </c>
      <c r="C23" s="2" t="s">
        <v>2354</v>
      </c>
      <c r="D23" s="2" t="s">
        <v>2355</v>
      </c>
      <c r="E23" s="3" t="s">
        <v>1330</v>
      </c>
      <c r="F23" s="2" t="s">
        <v>2356</v>
      </c>
      <c r="G23" s="2" t="s">
        <v>2357</v>
      </c>
      <c r="H23" s="2" t="s">
        <v>328</v>
      </c>
      <c r="I23" s="2" t="s">
        <v>764</v>
      </c>
      <c r="J23" s="2" t="s">
        <v>100</v>
      </c>
      <c r="K23" s="2" t="s">
        <v>101</v>
      </c>
      <c r="L23" s="2" t="s">
        <v>335</v>
      </c>
      <c r="M23" s="2" t="s">
        <v>493</v>
      </c>
      <c r="N23" s="2" t="s">
        <v>139</v>
      </c>
      <c r="O23" s="157" t="s">
        <v>2358</v>
      </c>
      <c r="P23" s="2" t="s">
        <v>2359</v>
      </c>
      <c r="Q23" s="2" t="s">
        <v>439</v>
      </c>
      <c r="R23" s="2" t="s">
        <v>413</v>
      </c>
      <c r="S23" s="2" t="s">
        <v>105</v>
      </c>
      <c r="T23" s="124">
        <v>2.34</v>
      </c>
      <c r="U23" s="2" t="s">
        <v>1385</v>
      </c>
      <c r="V23" s="140">
        <v>7.5800000000000006E-2</v>
      </c>
      <c r="W23" s="140">
        <v>6.5000000000000002E-2</v>
      </c>
      <c r="X23" s="3" t="s">
        <v>419</v>
      </c>
      <c r="Y23" s="3" t="s">
        <v>139</v>
      </c>
      <c r="Z23" s="2" t="s">
        <v>109</v>
      </c>
      <c r="AA23" s="2"/>
      <c r="AB23" s="157" t="s">
        <v>140</v>
      </c>
      <c r="AC23" s="2"/>
      <c r="AD23" s="124">
        <v>4000</v>
      </c>
      <c r="AE23" s="134">
        <v>3.6469999999999998</v>
      </c>
      <c r="AF23" s="151">
        <v>97.91</v>
      </c>
      <c r="AG23" s="124">
        <v>14.282999999999999</v>
      </c>
      <c r="AH23" s="2"/>
      <c r="AI23" s="2"/>
      <c r="AJ23" s="2" t="s">
        <v>36</v>
      </c>
      <c r="AK23" s="140">
        <v>9.3810056929143001E-2</v>
      </c>
      <c r="AL23" s="140">
        <v>6.6883967979957499E-4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6">
    <dataValidation type="list" allowBlank="1" showInputMessage="1" showErrorMessage="1" sqref="J2:J20" xr:uid="{00000000-0002-0000-1100-000000000000}">
      <formula1>israel_abroad</formula1>
    </dataValidation>
    <dataValidation type="list" allowBlank="1" showInputMessage="1" showErrorMessage="1" sqref="N2:N20" xr:uid="{00000000-0002-0000-1100-000001000000}">
      <formula1>Holding_interest</formula1>
    </dataValidation>
    <dataValidation type="list" allowBlank="1" showInputMessage="1" showErrorMessage="1" sqref="K2:K20" xr:uid="{00000000-0002-0000-1100-000002000000}">
      <formula1>Country_list</formula1>
    </dataValidation>
    <dataValidation type="list" allowBlank="1" showInputMessage="1" showErrorMessage="1" sqref="E3:E20" xr:uid="{00000000-0002-0000-1100-000003000000}">
      <formula1>Issuer_Number_Type_2</formula1>
    </dataValidation>
    <dataValidation type="list" allowBlank="1" showInputMessage="1" showErrorMessage="1" sqref="Q2:Q20" xr:uid="{00000000-0002-0000-1100-000004000000}">
      <formula1>Rating_Agency</formula1>
    </dataValidation>
    <dataValidation type="list" allowBlank="1" showInputMessage="1" showErrorMessage="1" sqref="P4 R2:R20" xr:uid="{00000000-0002-0000-1100-000005000000}">
      <formula1>What_is_rated</formula1>
    </dataValidation>
    <dataValidation type="list" allowBlank="1" showInputMessage="1" showErrorMessage="1" sqref="V4 X2:X20" xr:uid="{00000000-0002-0000-1100-000006000000}">
      <formula1>Subordination_Risk</formula1>
    </dataValidation>
    <dataValidation type="list" allowBlank="1" showInputMessage="1" showErrorMessage="1" sqref="Z2:Z19" xr:uid="{00000000-0002-0000-1100-000007000000}">
      <formula1>Valuation</formula1>
    </dataValidation>
    <dataValidation type="list" allowBlank="1" showInputMessage="1" showErrorMessage="1" sqref="AA2:AA20" xr:uid="{00000000-0002-0000-1100-000008000000}">
      <formula1>Dependence_Independence</formula1>
    </dataValidation>
    <dataValidation type="list" allowBlank="1" showInputMessage="1" showErrorMessage="1" sqref="AE4" xr:uid="{00000000-0002-0000-1100-000009000000}">
      <formula1>Info_Provider</formula1>
    </dataValidation>
    <dataValidation type="list" allowBlank="1" showInputMessage="1" showErrorMessage="1" sqref="Y2:Y20" xr:uid="{00000000-0002-0000-1100-00000A000000}">
      <formula1>Yes_No_Bad_Debt</formula1>
    </dataValidation>
    <dataValidation type="list" allowBlank="1" showInputMessage="1" showErrorMessage="1" sqref="H2:H20" xr:uid="{00000000-0002-0000-1100-00000B000000}">
      <formula1>Type_of_Security_ID_Fund</formula1>
    </dataValidation>
    <dataValidation type="list" allowBlank="1" showInputMessage="1" showErrorMessage="1" sqref="E2" xr:uid="{00000000-0002-0000-1100-00000C000000}">
      <formula1>Issuer_Number_Type_3</formula1>
    </dataValidation>
    <dataValidation type="list" allowBlank="1" showInputMessage="1" showErrorMessage="1" sqref="AJ2:AJ20" xr:uid="{00000000-0002-0000-1100-00000D000000}">
      <formula1>In_the_books</formula1>
    </dataValidation>
    <dataValidation type="list" allowBlank="1" showInputMessage="1" showErrorMessage="1" sqref="M2:M20" xr:uid="{00000000-0002-0000-1100-00000E000000}">
      <formula1>Industry_Sector</formula1>
    </dataValidation>
    <dataValidation type="list" allowBlank="1" showInputMessage="1" showErrorMessage="1" sqref="L2:L20" xr:uid="{00000000-0002-0000-1100-00000F000000}">
      <formula1>tradeable_status_bonds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10000000}">
          <x14:formula1>
            <xm:f>'אפשרויות בחירה'!$C$934:$C$945</xm:f>
          </x14:formula1>
          <xm:sqref>I2:I20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Sheet19"/>
  <dimension ref="A1:Z6"/>
  <sheetViews>
    <sheetView rightToLeft="1" zoomScale="70" zoomScaleNormal="70" workbookViewId="0">
      <selection activeCell="G12" sqref="G12"/>
    </sheetView>
  </sheetViews>
  <sheetFormatPr defaultColWidth="0" defaultRowHeight="14.25" zeroHeight="1"/>
  <cols>
    <col min="1" max="26" width="11.625" customWidth="1"/>
  </cols>
  <sheetData>
    <row r="1" spans="1:26" ht="66.75" customHeight="1">
      <c r="A1" s="12" t="s">
        <v>0</v>
      </c>
      <c r="B1" s="12" t="s">
        <v>1</v>
      </c>
      <c r="C1" s="12" t="s">
        <v>2</v>
      </c>
      <c r="D1" s="12" t="s">
        <v>156</v>
      </c>
      <c r="E1" s="12" t="s">
        <v>157</v>
      </c>
      <c r="F1" s="12" t="s">
        <v>3</v>
      </c>
      <c r="G1" s="12" t="s">
        <v>4</v>
      </c>
      <c r="H1" s="12" t="s">
        <v>158</v>
      </c>
      <c r="I1" s="12" t="s">
        <v>5</v>
      </c>
      <c r="J1" s="12" t="s">
        <v>6</v>
      </c>
      <c r="K1" s="12" t="s">
        <v>7</v>
      </c>
      <c r="L1" s="12" t="s">
        <v>333</v>
      </c>
      <c r="M1" s="12" t="s">
        <v>159</v>
      </c>
      <c r="N1" s="12" t="s">
        <v>125</v>
      </c>
      <c r="O1" s="155" t="s">
        <v>167</v>
      </c>
      <c r="P1" s="12" t="s">
        <v>11</v>
      </c>
      <c r="Q1" s="12" t="s">
        <v>160</v>
      </c>
      <c r="R1" s="12" t="s">
        <v>161</v>
      </c>
      <c r="S1" s="155" t="s">
        <v>134</v>
      </c>
      <c r="T1" s="155" t="s">
        <v>162</v>
      </c>
      <c r="U1" s="12" t="s">
        <v>17</v>
      </c>
      <c r="V1" s="133" t="s">
        <v>18</v>
      </c>
      <c r="W1" s="144" t="s">
        <v>19</v>
      </c>
      <c r="X1" s="12" t="s">
        <v>20</v>
      </c>
      <c r="Y1" s="139" t="s">
        <v>24</v>
      </c>
      <c r="Z1" s="139" t="s">
        <v>25</v>
      </c>
    </row>
    <row r="2" spans="1:26">
      <c r="A2" s="13">
        <v>301</v>
      </c>
      <c r="B2" s="13">
        <v>7210</v>
      </c>
      <c r="C2" s="13" t="s">
        <v>2302</v>
      </c>
      <c r="D2" s="13" t="s">
        <v>2303</v>
      </c>
      <c r="E2" s="11" t="s">
        <v>1330</v>
      </c>
      <c r="F2" s="13" t="s">
        <v>2304</v>
      </c>
      <c r="G2" s="13" t="s">
        <v>2305</v>
      </c>
      <c r="H2" s="11" t="s">
        <v>33</v>
      </c>
      <c r="I2" s="13" t="s">
        <v>775</v>
      </c>
      <c r="J2" s="11" t="s">
        <v>30</v>
      </c>
      <c r="K2" s="11" t="s">
        <v>30</v>
      </c>
      <c r="L2" s="13" t="s">
        <v>109</v>
      </c>
      <c r="M2" s="13" t="s">
        <v>457</v>
      </c>
      <c r="N2" s="13" t="s">
        <v>139</v>
      </c>
      <c r="O2" s="156" t="s">
        <v>2306</v>
      </c>
      <c r="P2" s="11" t="s">
        <v>34</v>
      </c>
      <c r="Q2" s="13" t="s">
        <v>109</v>
      </c>
      <c r="R2" s="13" t="s">
        <v>904</v>
      </c>
      <c r="S2" s="156" t="s">
        <v>2307</v>
      </c>
      <c r="T2" s="13"/>
      <c r="U2" s="126">
        <v>87124.56</v>
      </c>
      <c r="V2" s="149">
        <v>1</v>
      </c>
      <c r="W2" s="150">
        <v>0</v>
      </c>
      <c r="X2" s="126">
        <v>0</v>
      </c>
      <c r="Y2" s="148">
        <v>3.7921065311677299E-10</v>
      </c>
      <c r="Z2" s="148">
        <v>6.3043237954030596E-13</v>
      </c>
    </row>
    <row r="3" spans="1:26">
      <c r="A3" s="13">
        <v>301</v>
      </c>
      <c r="B3" s="13">
        <v>7210</v>
      </c>
      <c r="C3" s="13" t="s">
        <v>2308</v>
      </c>
      <c r="D3" s="13" t="s">
        <v>2309</v>
      </c>
      <c r="E3" s="11" t="s">
        <v>1330</v>
      </c>
      <c r="F3" s="13" t="s">
        <v>2310</v>
      </c>
      <c r="G3" s="13" t="s">
        <v>2311</v>
      </c>
      <c r="H3" s="11" t="s">
        <v>33</v>
      </c>
      <c r="I3" s="13" t="s">
        <v>775</v>
      </c>
      <c r="J3" s="11" t="s">
        <v>30</v>
      </c>
      <c r="K3" s="11"/>
      <c r="L3" s="13" t="s">
        <v>109</v>
      </c>
      <c r="M3" s="13" t="s">
        <v>2312</v>
      </c>
      <c r="N3" s="13" t="s">
        <v>139</v>
      </c>
      <c r="O3" s="156" t="s">
        <v>2313</v>
      </c>
      <c r="P3" s="11" t="s">
        <v>105</v>
      </c>
      <c r="Q3" s="13" t="s">
        <v>109</v>
      </c>
      <c r="R3" s="13" t="s">
        <v>904</v>
      </c>
      <c r="S3" s="156" t="s">
        <v>2314</v>
      </c>
      <c r="T3" s="13"/>
      <c r="U3" s="126">
        <v>444</v>
      </c>
      <c r="V3" s="149">
        <v>3.6469999999999998</v>
      </c>
      <c r="W3" s="150">
        <v>90093</v>
      </c>
      <c r="X3" s="126">
        <v>1458.847</v>
      </c>
      <c r="Y3" s="148">
        <v>0.63496489266002998</v>
      </c>
      <c r="Z3" s="148">
        <v>1.0556202071700499E-3</v>
      </c>
    </row>
    <row r="4" spans="1:26">
      <c r="A4" s="13">
        <v>301</v>
      </c>
      <c r="B4" s="13">
        <v>7210</v>
      </c>
      <c r="C4" s="13" t="s">
        <v>2130</v>
      </c>
      <c r="D4" s="13" t="s">
        <v>2131</v>
      </c>
      <c r="E4" s="11" t="s">
        <v>33</v>
      </c>
      <c r="F4" s="13" t="s">
        <v>2315</v>
      </c>
      <c r="G4" s="13" t="s">
        <v>2316</v>
      </c>
      <c r="H4" s="11" t="s">
        <v>33</v>
      </c>
      <c r="I4" s="13" t="s">
        <v>775</v>
      </c>
      <c r="J4" s="11" t="s">
        <v>30</v>
      </c>
      <c r="K4" s="11" t="s">
        <v>30</v>
      </c>
      <c r="L4" s="13" t="s">
        <v>109</v>
      </c>
      <c r="M4" s="13" t="s">
        <v>479</v>
      </c>
      <c r="N4" s="13" t="s">
        <v>139</v>
      </c>
      <c r="O4" s="157" t="s">
        <v>2317</v>
      </c>
      <c r="P4" s="11" t="s">
        <v>34</v>
      </c>
      <c r="Q4" s="13" t="s">
        <v>109</v>
      </c>
      <c r="R4" s="13" t="s">
        <v>904</v>
      </c>
      <c r="S4" s="156" t="s">
        <v>2318</v>
      </c>
      <c r="T4" s="13"/>
      <c r="U4" s="126">
        <v>464.1</v>
      </c>
      <c r="V4" s="149">
        <v>1</v>
      </c>
      <c r="W4" s="150">
        <v>129056.238</v>
      </c>
      <c r="X4" s="126">
        <v>598.95000000000005</v>
      </c>
      <c r="Y4" s="148">
        <v>0.26069367913696301</v>
      </c>
      <c r="Z4" s="148">
        <v>4.3339957651143099E-4</v>
      </c>
    </row>
    <row r="5" spans="1:26">
      <c r="A5" s="13">
        <v>301</v>
      </c>
      <c r="B5" s="13">
        <v>7210</v>
      </c>
      <c r="C5" s="13" t="s">
        <v>2319</v>
      </c>
      <c r="D5" s="13" t="s">
        <v>2320</v>
      </c>
      <c r="E5" s="11" t="s">
        <v>33</v>
      </c>
      <c r="F5" s="13" t="s">
        <v>2319</v>
      </c>
      <c r="G5" s="13" t="s">
        <v>2321</v>
      </c>
      <c r="H5" s="11" t="s">
        <v>33</v>
      </c>
      <c r="I5" s="13" t="s">
        <v>775</v>
      </c>
      <c r="J5" s="11" t="s">
        <v>100</v>
      </c>
      <c r="K5" s="11" t="s">
        <v>101</v>
      </c>
      <c r="L5" s="13" t="s">
        <v>109</v>
      </c>
      <c r="M5" s="13" t="s">
        <v>479</v>
      </c>
      <c r="N5" s="13" t="s">
        <v>139</v>
      </c>
      <c r="O5" s="156" t="s">
        <v>2322</v>
      </c>
      <c r="P5" s="11" t="s">
        <v>105</v>
      </c>
      <c r="Q5" s="13" t="s">
        <v>109</v>
      </c>
      <c r="R5" s="13" t="s">
        <v>904</v>
      </c>
      <c r="S5" s="156" t="s">
        <v>2323</v>
      </c>
      <c r="T5" s="13"/>
      <c r="U5" s="126">
        <v>273886</v>
      </c>
      <c r="V5" s="149">
        <v>3.6469999999999998</v>
      </c>
      <c r="W5" s="150">
        <v>24</v>
      </c>
      <c r="X5" s="126">
        <v>239.727</v>
      </c>
      <c r="Y5" s="148">
        <v>0.10434142652657399</v>
      </c>
      <c r="Z5" s="148">
        <v>1.7346615467978899E-4</v>
      </c>
    </row>
    <row r="6" spans="1:26">
      <c r="A6" s="13">
        <v>301</v>
      </c>
      <c r="B6" s="13">
        <v>7210</v>
      </c>
      <c r="C6" s="13" t="s">
        <v>2324</v>
      </c>
      <c r="D6" s="13" t="s">
        <v>2325</v>
      </c>
      <c r="E6" s="11" t="s">
        <v>33</v>
      </c>
      <c r="F6" s="13" t="s">
        <v>2326</v>
      </c>
      <c r="G6" s="13" t="s">
        <v>2327</v>
      </c>
      <c r="H6" s="11" t="s">
        <v>328</v>
      </c>
      <c r="I6" s="13" t="s">
        <v>775</v>
      </c>
      <c r="J6" s="11" t="s">
        <v>100</v>
      </c>
      <c r="K6" s="11" t="s">
        <v>101</v>
      </c>
      <c r="L6" s="13" t="s">
        <v>109</v>
      </c>
      <c r="M6" s="13" t="s">
        <v>455</v>
      </c>
      <c r="N6" s="13" t="s">
        <v>139</v>
      </c>
      <c r="O6" s="156" t="s">
        <v>2328</v>
      </c>
      <c r="P6" s="11" t="s">
        <v>34</v>
      </c>
      <c r="Q6" s="13" t="s">
        <v>109</v>
      </c>
      <c r="R6" s="13" t="s">
        <v>905</v>
      </c>
      <c r="S6" s="156" t="s">
        <v>2329</v>
      </c>
      <c r="T6" s="13"/>
      <c r="U6" s="126">
        <v>298040</v>
      </c>
      <c r="V6" s="149">
        <v>1</v>
      </c>
      <c r="W6" s="150">
        <v>0</v>
      </c>
      <c r="X6" s="126">
        <v>0</v>
      </c>
      <c r="Y6" s="148">
        <v>1.2972225404056301E-9</v>
      </c>
      <c r="Z6" s="148">
        <v>2.1566142359650699E-12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1">
    <dataValidation type="list" allowBlank="1" showInputMessage="1" showErrorMessage="1" sqref="J2:J6" xr:uid="{00000000-0002-0000-1200-000000000000}">
      <formula1>israel_abroad</formula1>
    </dataValidation>
    <dataValidation type="list" allowBlank="1" showInputMessage="1" showErrorMessage="1" sqref="N2:N6" xr:uid="{00000000-0002-0000-1200-000001000000}">
      <formula1>Holding_interest</formula1>
    </dataValidation>
    <dataValidation type="list" allowBlank="1" showInputMessage="1" showErrorMessage="1" sqref="Q2:Q6" xr:uid="{00000000-0002-0000-1200-000002000000}">
      <formula1>Valuation</formula1>
    </dataValidation>
    <dataValidation type="list" allowBlank="1" showInputMessage="1" showErrorMessage="1" sqref="R2:R6" xr:uid="{00000000-0002-0000-1200-000003000000}">
      <formula1>Dependence_Independence</formula1>
    </dataValidation>
    <dataValidation type="list" allowBlank="1" showInputMessage="1" showErrorMessage="1" sqref="K2:K6" xr:uid="{00000000-0002-0000-1200-000004000000}">
      <formula1>Country_list</formula1>
    </dataValidation>
    <dataValidation type="list" allowBlank="1" showInputMessage="1" showErrorMessage="1" sqref="E3:E6" xr:uid="{00000000-0002-0000-1200-000005000000}">
      <formula1>Issuer_Number_Type_2</formula1>
    </dataValidation>
    <dataValidation type="list" allowBlank="1" showInputMessage="1" showErrorMessage="1" sqref="H2" xr:uid="{00000000-0002-0000-1200-000006000000}">
      <formula1>Type_of_Security_ID</formula1>
    </dataValidation>
    <dataValidation type="list" allowBlank="1" showInputMessage="1" showErrorMessage="1" sqref="H3:H6" xr:uid="{00000000-0002-0000-1200-000007000000}">
      <formula1>Type_of_Security_ID_Traded</formula1>
    </dataValidation>
    <dataValidation type="list" allowBlank="1" showInputMessage="1" showErrorMessage="1" sqref="E2" xr:uid="{00000000-0002-0000-1200-000008000000}">
      <formula1>Issuer_Number_Type_3</formula1>
    </dataValidation>
    <dataValidation type="list" allowBlank="1" showInputMessage="1" showErrorMessage="1" sqref="M2:M6" xr:uid="{00000000-0002-0000-1200-000009000000}">
      <formula1>Industry_Sector</formula1>
    </dataValidation>
    <dataValidation type="list" allowBlank="1" showInputMessage="1" showErrorMessage="1" sqref="L2:L6" xr:uid="{00000000-0002-0000-1200-00000A000000}">
      <formula1>tradeable_status_stock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B000000}">
          <x14:formula1>
            <xm:f>'אפשרויות בחירה'!$C$946:$C$955</xm:f>
          </x14:formula1>
          <xm:sqref>I2:I6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Sheet20"/>
  <dimension ref="A1:Z47"/>
  <sheetViews>
    <sheetView rightToLeft="1" zoomScale="70" zoomScaleNormal="70" workbookViewId="0"/>
  </sheetViews>
  <sheetFormatPr defaultColWidth="0" defaultRowHeight="14.25" zeroHeight="1"/>
  <cols>
    <col min="1" max="26" width="11.625" customWidth="1"/>
  </cols>
  <sheetData>
    <row r="1" spans="1:26" ht="66.75" customHeight="1">
      <c r="A1" s="12" t="s">
        <v>0</v>
      </c>
      <c r="B1" s="12" t="s">
        <v>1</v>
      </c>
      <c r="C1" s="12" t="s">
        <v>199</v>
      </c>
      <c r="D1" s="12" t="s">
        <v>200</v>
      </c>
      <c r="E1" s="12" t="s">
        <v>201</v>
      </c>
      <c r="F1" s="12" t="s">
        <v>202</v>
      </c>
      <c r="G1" s="12" t="s">
        <v>203</v>
      </c>
      <c r="H1" s="12" t="s">
        <v>204</v>
      </c>
      <c r="I1" s="12" t="s">
        <v>5</v>
      </c>
      <c r="J1" s="12" t="s">
        <v>840</v>
      </c>
      <c r="K1" s="12" t="s">
        <v>6</v>
      </c>
      <c r="L1" s="12" t="s">
        <v>1129</v>
      </c>
      <c r="M1" s="12" t="s">
        <v>1130</v>
      </c>
      <c r="N1" s="12" t="s">
        <v>7</v>
      </c>
      <c r="O1" s="12" t="s">
        <v>125</v>
      </c>
      <c r="P1" s="158" t="s">
        <v>167</v>
      </c>
      <c r="Q1" s="12" t="s">
        <v>11</v>
      </c>
      <c r="R1" s="12" t="s">
        <v>160</v>
      </c>
      <c r="S1" s="12" t="s">
        <v>161</v>
      </c>
      <c r="T1" s="155" t="s">
        <v>134</v>
      </c>
      <c r="U1" s="133" t="s">
        <v>18</v>
      </c>
      <c r="V1" s="91" t="s">
        <v>2109</v>
      </c>
      <c r="W1" s="12" t="s">
        <v>20</v>
      </c>
      <c r="X1" s="139" t="s">
        <v>1132</v>
      </c>
      <c r="Y1" s="139" t="s">
        <v>24</v>
      </c>
      <c r="Z1" s="139" t="s">
        <v>25</v>
      </c>
    </row>
    <row r="2" spans="1:26">
      <c r="A2" s="13">
        <v>301</v>
      </c>
      <c r="B2" s="13">
        <v>7210</v>
      </c>
      <c r="C2" s="13" t="s">
        <v>2110</v>
      </c>
      <c r="D2" s="13" t="s">
        <v>2111</v>
      </c>
      <c r="E2" s="13" t="s">
        <v>1330</v>
      </c>
      <c r="F2" s="13" t="s">
        <v>2112</v>
      </c>
      <c r="G2" s="13">
        <v>180100</v>
      </c>
      <c r="H2" s="13" t="s">
        <v>33</v>
      </c>
      <c r="I2" s="2" t="s">
        <v>1035</v>
      </c>
      <c r="J2" s="13" t="s">
        <v>576</v>
      </c>
      <c r="K2" s="11" t="s">
        <v>30</v>
      </c>
      <c r="L2" s="13" t="s">
        <v>30</v>
      </c>
      <c r="M2" s="13" t="s">
        <v>30</v>
      </c>
      <c r="N2" s="11" t="s">
        <v>30</v>
      </c>
      <c r="O2" s="13" t="s">
        <v>139</v>
      </c>
      <c r="P2" s="159" t="s">
        <v>2113</v>
      </c>
      <c r="Q2" s="11" t="s">
        <v>105</v>
      </c>
      <c r="R2" s="13" t="s">
        <v>901</v>
      </c>
      <c r="S2" s="13" t="s">
        <v>905</v>
      </c>
      <c r="T2" s="156" t="s">
        <v>2114</v>
      </c>
      <c r="U2" s="149">
        <v>3.6469999999999998</v>
      </c>
      <c r="V2" s="126">
        <v>270.05</v>
      </c>
      <c r="W2" s="126">
        <v>984.87199999999996</v>
      </c>
      <c r="X2" s="148">
        <v>0</v>
      </c>
      <c r="Y2" s="148">
        <v>6.1114624398194697E-3</v>
      </c>
      <c r="Z2" s="148">
        <v>7.12652573687549E-4</v>
      </c>
    </row>
    <row r="3" spans="1:26">
      <c r="A3" s="13">
        <v>301</v>
      </c>
      <c r="B3" s="13">
        <v>7210</v>
      </c>
      <c r="C3" s="13" t="s">
        <v>2115</v>
      </c>
      <c r="D3" s="2" t="s">
        <v>2116</v>
      </c>
      <c r="E3" s="13" t="s">
        <v>33</v>
      </c>
      <c r="F3" s="13" t="s">
        <v>2117</v>
      </c>
      <c r="G3" s="13">
        <v>7522</v>
      </c>
      <c r="H3" s="13" t="s">
        <v>33</v>
      </c>
      <c r="I3" s="2" t="s">
        <v>1035</v>
      </c>
      <c r="J3" s="13" t="s">
        <v>861</v>
      </c>
      <c r="K3" s="11" t="s">
        <v>100</v>
      </c>
      <c r="L3" s="13" t="s">
        <v>227</v>
      </c>
      <c r="M3" s="13" t="s">
        <v>30</v>
      </c>
      <c r="N3" s="11" t="s">
        <v>302</v>
      </c>
      <c r="O3" s="13" t="s">
        <v>139</v>
      </c>
      <c r="P3" s="159" t="s">
        <v>2118</v>
      </c>
      <c r="Q3" s="11" t="s">
        <v>105</v>
      </c>
      <c r="R3" s="13" t="s">
        <v>901</v>
      </c>
      <c r="S3" s="13" t="s">
        <v>905</v>
      </c>
      <c r="T3" s="160" t="s">
        <v>2119</v>
      </c>
      <c r="U3" s="149">
        <v>3.6469999999999998</v>
      </c>
      <c r="V3" s="126">
        <v>349.38299999999998</v>
      </c>
      <c r="W3" s="126">
        <v>1274.2</v>
      </c>
      <c r="X3" s="161">
        <v>9.3989999999999994E-3</v>
      </c>
      <c r="Y3" s="148">
        <v>7.9068346589337007E-3</v>
      </c>
      <c r="Z3" s="148">
        <v>9.2200944125862198E-4</v>
      </c>
    </row>
    <row r="4" spans="1:26">
      <c r="A4" s="13">
        <v>301</v>
      </c>
      <c r="B4" s="13">
        <v>7210</v>
      </c>
      <c r="C4" s="13" t="s">
        <v>2120</v>
      </c>
      <c r="D4" s="2" t="s">
        <v>2121</v>
      </c>
      <c r="E4" s="13" t="s">
        <v>319</v>
      </c>
      <c r="F4" s="13" t="s">
        <v>2122</v>
      </c>
      <c r="G4" s="13">
        <v>72351</v>
      </c>
      <c r="H4" s="13" t="s">
        <v>33</v>
      </c>
      <c r="I4" s="2" t="s">
        <v>1035</v>
      </c>
      <c r="J4" s="13" t="s">
        <v>576</v>
      </c>
      <c r="K4" s="11" t="s">
        <v>30</v>
      </c>
      <c r="L4" s="13" t="s">
        <v>30</v>
      </c>
      <c r="M4" s="13" t="s">
        <v>30</v>
      </c>
      <c r="N4" s="11" t="s">
        <v>30</v>
      </c>
      <c r="O4" s="13" t="s">
        <v>139</v>
      </c>
      <c r="P4" s="159" t="s">
        <v>2123</v>
      </c>
      <c r="Q4" s="11" t="s">
        <v>105</v>
      </c>
      <c r="R4" s="13" t="s">
        <v>901</v>
      </c>
      <c r="S4" s="13" t="s">
        <v>905</v>
      </c>
      <c r="T4" s="156" t="s">
        <v>2124</v>
      </c>
      <c r="U4" s="149">
        <v>3.6469999999999998</v>
      </c>
      <c r="V4" s="126">
        <v>373.77699999999999</v>
      </c>
      <c r="W4" s="126">
        <v>1363.1659999999999</v>
      </c>
      <c r="X4" s="161">
        <v>3.673E-3</v>
      </c>
      <c r="Y4" s="148">
        <v>8.4589033383688297E-3</v>
      </c>
      <c r="Z4" s="148">
        <v>9.8638571275270906E-4</v>
      </c>
    </row>
    <row r="5" spans="1:26">
      <c r="A5" s="13">
        <v>301</v>
      </c>
      <c r="B5" s="13">
        <v>7210</v>
      </c>
      <c r="C5" s="13" t="s">
        <v>2125</v>
      </c>
      <c r="D5" s="2" t="s">
        <v>2126</v>
      </c>
      <c r="E5" s="13" t="s">
        <v>33</v>
      </c>
      <c r="F5" s="13" t="s">
        <v>2127</v>
      </c>
      <c r="G5" s="13">
        <v>29994562</v>
      </c>
      <c r="H5" s="13" t="s">
        <v>33</v>
      </c>
      <c r="I5" s="2" t="s">
        <v>1035</v>
      </c>
      <c r="J5" s="13" t="s">
        <v>854</v>
      </c>
      <c r="K5" s="11" t="s">
        <v>100</v>
      </c>
      <c r="L5" s="13" t="s">
        <v>227</v>
      </c>
      <c r="M5" s="13" t="s">
        <v>227</v>
      </c>
      <c r="N5" s="11" t="s">
        <v>30</v>
      </c>
      <c r="O5" s="13" t="s">
        <v>139</v>
      </c>
      <c r="P5" s="159" t="s">
        <v>2128</v>
      </c>
      <c r="Q5" s="11" t="s">
        <v>34</v>
      </c>
      <c r="R5" s="13" t="s">
        <v>901</v>
      </c>
      <c r="S5" s="13" t="s">
        <v>905</v>
      </c>
      <c r="T5" s="156" t="s">
        <v>2129</v>
      </c>
      <c r="U5" s="149">
        <v>1</v>
      </c>
      <c r="V5" s="126">
        <v>2393.3679999999999</v>
      </c>
      <c r="W5" s="126">
        <v>2393.3679999999999</v>
      </c>
      <c r="X5" s="161">
        <v>0</v>
      </c>
      <c r="Y5" s="148">
        <v>1.48516485669636E-2</v>
      </c>
      <c r="Z5" s="148">
        <v>1.73183843948524E-3</v>
      </c>
    </row>
    <row r="6" spans="1:26">
      <c r="A6" s="13">
        <v>301</v>
      </c>
      <c r="B6" s="13">
        <v>7210</v>
      </c>
      <c r="C6" s="13" t="s">
        <v>2130</v>
      </c>
      <c r="D6" s="2" t="s">
        <v>2131</v>
      </c>
      <c r="E6" s="13" t="s">
        <v>33</v>
      </c>
      <c r="F6" s="13" t="s">
        <v>2132</v>
      </c>
      <c r="G6" s="13">
        <v>9222380</v>
      </c>
      <c r="H6" s="13" t="s">
        <v>33</v>
      </c>
      <c r="I6" s="2" t="s">
        <v>1035</v>
      </c>
      <c r="J6" s="13" t="s">
        <v>576</v>
      </c>
      <c r="K6" s="11" t="s">
        <v>30</v>
      </c>
      <c r="L6" s="13" t="s">
        <v>227</v>
      </c>
      <c r="M6" s="13" t="s">
        <v>2133</v>
      </c>
      <c r="N6" s="11" t="s">
        <v>101</v>
      </c>
      <c r="O6" s="13" t="s">
        <v>139</v>
      </c>
      <c r="P6" s="159" t="s">
        <v>2134</v>
      </c>
      <c r="Q6" s="11" t="s">
        <v>105</v>
      </c>
      <c r="R6" s="13" t="s">
        <v>901</v>
      </c>
      <c r="S6" s="13" t="s">
        <v>905</v>
      </c>
      <c r="T6" s="156" t="s">
        <v>2114</v>
      </c>
      <c r="U6" s="149">
        <v>3.6469999999999998</v>
      </c>
      <c r="V6" s="126">
        <v>12.972</v>
      </c>
      <c r="W6" s="126">
        <v>47.308999999999997</v>
      </c>
      <c r="X6" s="148">
        <v>2.2889999999999998E-3</v>
      </c>
      <c r="Y6" s="148">
        <v>2.9356745332100801E-4</v>
      </c>
      <c r="Z6" s="148">
        <v>3.4232657603684099E-5</v>
      </c>
    </row>
    <row r="7" spans="1:26">
      <c r="A7" s="13">
        <v>301</v>
      </c>
      <c r="B7" s="13">
        <v>7210</v>
      </c>
      <c r="C7" s="13" t="s">
        <v>2135</v>
      </c>
      <c r="D7" s="2" t="s">
        <v>2136</v>
      </c>
      <c r="E7" s="13" t="s">
        <v>33</v>
      </c>
      <c r="F7" s="13" t="s">
        <v>2135</v>
      </c>
      <c r="G7" s="13">
        <v>1181106</v>
      </c>
      <c r="H7" s="13" t="s">
        <v>33</v>
      </c>
      <c r="I7" s="2" t="s">
        <v>1035</v>
      </c>
      <c r="J7" s="13" t="s">
        <v>576</v>
      </c>
      <c r="K7" s="11" t="s">
        <v>100</v>
      </c>
      <c r="L7" s="13" t="s">
        <v>101</v>
      </c>
      <c r="M7" s="13" t="s">
        <v>2137</v>
      </c>
      <c r="N7" s="11" t="s">
        <v>30</v>
      </c>
      <c r="O7" s="13" t="s">
        <v>139</v>
      </c>
      <c r="P7" s="159" t="s">
        <v>2138</v>
      </c>
      <c r="Q7" s="11" t="s">
        <v>34</v>
      </c>
      <c r="R7" s="13" t="s">
        <v>109</v>
      </c>
      <c r="S7" s="13" t="s">
        <v>905</v>
      </c>
      <c r="T7" s="156" t="s">
        <v>2139</v>
      </c>
      <c r="U7" s="149">
        <v>1</v>
      </c>
      <c r="V7" s="126">
        <v>3364.3519999999999</v>
      </c>
      <c r="W7" s="126">
        <v>3364.3519999999999</v>
      </c>
      <c r="X7" s="148">
        <v>1.1782000000000001E-2</v>
      </c>
      <c r="Y7" s="148">
        <v>2.0876928143277199E-2</v>
      </c>
      <c r="Z7" s="148">
        <v>2.4344413008346999E-3</v>
      </c>
    </row>
    <row r="8" spans="1:26">
      <c r="A8" s="13">
        <v>301</v>
      </c>
      <c r="B8" s="13">
        <v>7210</v>
      </c>
      <c r="C8" s="13" t="s">
        <v>2110</v>
      </c>
      <c r="D8" s="2" t="s">
        <v>2111</v>
      </c>
      <c r="E8" s="13" t="s">
        <v>1330</v>
      </c>
      <c r="F8" s="13" t="s">
        <v>2140</v>
      </c>
      <c r="G8" s="13">
        <v>71040</v>
      </c>
      <c r="H8" s="13" t="s">
        <v>33</v>
      </c>
      <c r="I8" s="2" t="s">
        <v>1035</v>
      </c>
      <c r="J8" s="13" t="s">
        <v>576</v>
      </c>
      <c r="K8" s="11" t="s">
        <v>30</v>
      </c>
      <c r="L8" s="13" t="s">
        <v>30</v>
      </c>
      <c r="M8" s="13" t="s">
        <v>2141</v>
      </c>
      <c r="N8" s="11" t="s">
        <v>2142</v>
      </c>
      <c r="O8" s="13" t="s">
        <v>139</v>
      </c>
      <c r="P8" s="159" t="s">
        <v>2143</v>
      </c>
      <c r="Q8" s="11" t="s">
        <v>105</v>
      </c>
      <c r="R8" s="13" t="s">
        <v>901</v>
      </c>
      <c r="S8" s="13"/>
      <c r="T8" s="156" t="s">
        <v>2144</v>
      </c>
      <c r="U8" s="149">
        <v>3.6469999999999998</v>
      </c>
      <c r="V8" s="126">
        <v>1559.972</v>
      </c>
      <c r="W8" s="126">
        <v>5689.2160000000003</v>
      </c>
      <c r="X8" s="148">
        <v>0</v>
      </c>
      <c r="Y8" s="148">
        <v>3.5303489301869502E-2</v>
      </c>
      <c r="Z8" s="148">
        <v>4.11671064968066E-3</v>
      </c>
    </row>
    <row r="9" spans="1:26">
      <c r="A9" s="13">
        <v>301</v>
      </c>
      <c r="B9" s="13">
        <v>7210</v>
      </c>
      <c r="C9" s="13" t="s">
        <v>2145</v>
      </c>
      <c r="D9" s="2" t="s">
        <v>2146</v>
      </c>
      <c r="E9" s="13" t="s">
        <v>33</v>
      </c>
      <c r="F9" s="13" t="s">
        <v>2147</v>
      </c>
      <c r="G9" s="13">
        <v>7381</v>
      </c>
      <c r="H9" s="13" t="s">
        <v>33</v>
      </c>
      <c r="I9" s="2" t="s">
        <v>1035</v>
      </c>
      <c r="J9" s="13" t="s">
        <v>576</v>
      </c>
      <c r="K9" s="11" t="s">
        <v>30</v>
      </c>
      <c r="L9" s="13" t="s">
        <v>30</v>
      </c>
      <c r="M9" s="13" t="s">
        <v>30</v>
      </c>
      <c r="N9" s="11" t="s">
        <v>30</v>
      </c>
      <c r="O9" s="13" t="s">
        <v>139</v>
      </c>
      <c r="P9" s="159" t="s">
        <v>2148</v>
      </c>
      <c r="Q9" s="11" t="s">
        <v>34</v>
      </c>
      <c r="R9" s="13" t="s">
        <v>901</v>
      </c>
      <c r="S9" s="13" t="s">
        <v>905</v>
      </c>
      <c r="T9" s="156" t="s">
        <v>2149</v>
      </c>
      <c r="U9" s="149">
        <v>1</v>
      </c>
      <c r="V9" s="126">
        <v>754.66700000000003</v>
      </c>
      <c r="W9" s="126">
        <v>754.66700000000003</v>
      </c>
      <c r="X9" s="148">
        <v>2.4499999999999999E-4</v>
      </c>
      <c r="Y9" s="148">
        <v>4.68295963262318E-3</v>
      </c>
      <c r="Z9" s="148">
        <v>5.4607604440458498E-4</v>
      </c>
    </row>
    <row r="10" spans="1:26">
      <c r="A10" s="13">
        <v>301</v>
      </c>
      <c r="B10" s="13">
        <v>7210</v>
      </c>
      <c r="C10" s="13"/>
      <c r="D10" s="2" t="s">
        <v>2150</v>
      </c>
      <c r="E10" s="13" t="s">
        <v>321</v>
      </c>
      <c r="F10" s="13" t="s">
        <v>2151</v>
      </c>
      <c r="G10" s="13">
        <v>70860</v>
      </c>
      <c r="H10" s="13" t="s">
        <v>33</v>
      </c>
      <c r="I10" s="2" t="s">
        <v>1035</v>
      </c>
      <c r="J10" s="13" t="s">
        <v>576</v>
      </c>
      <c r="K10" s="11" t="s">
        <v>30</v>
      </c>
      <c r="L10" s="13" t="s">
        <v>30</v>
      </c>
      <c r="M10" s="13" t="s">
        <v>30</v>
      </c>
      <c r="N10" s="11" t="s">
        <v>30</v>
      </c>
      <c r="O10" s="13" t="s">
        <v>139</v>
      </c>
      <c r="P10" s="159" t="s">
        <v>2152</v>
      </c>
      <c r="Q10" s="11" t="s">
        <v>34</v>
      </c>
      <c r="R10" s="13" t="s">
        <v>901</v>
      </c>
      <c r="S10" s="13" t="s">
        <v>905</v>
      </c>
      <c r="T10" s="156" t="s">
        <v>2124</v>
      </c>
      <c r="U10" s="149">
        <v>1</v>
      </c>
      <c r="V10" s="126">
        <v>1146.394</v>
      </c>
      <c r="W10" s="126">
        <v>1146.394</v>
      </c>
      <c r="X10" s="148">
        <v>0</v>
      </c>
      <c r="Y10" s="148">
        <v>7.1137595698735796E-3</v>
      </c>
      <c r="Z10" s="148">
        <v>8.2952961193599197E-4</v>
      </c>
    </row>
    <row r="11" spans="1:26">
      <c r="A11" s="13">
        <v>301</v>
      </c>
      <c r="B11" s="13">
        <v>7210</v>
      </c>
      <c r="C11" s="13" t="s">
        <v>2153</v>
      </c>
      <c r="D11" s="2" t="s">
        <v>2154</v>
      </c>
      <c r="E11" s="13" t="s">
        <v>320</v>
      </c>
      <c r="F11" s="13" t="s">
        <v>2155</v>
      </c>
      <c r="G11" s="13">
        <v>29993575</v>
      </c>
      <c r="H11" s="13" t="s">
        <v>33</v>
      </c>
      <c r="I11" s="2" t="s">
        <v>1035</v>
      </c>
      <c r="J11" s="13" t="s">
        <v>854</v>
      </c>
      <c r="K11" s="11" t="s">
        <v>100</v>
      </c>
      <c r="L11" s="13" t="s">
        <v>227</v>
      </c>
      <c r="M11" s="13" t="s">
        <v>227</v>
      </c>
      <c r="N11" s="11" t="s">
        <v>30</v>
      </c>
      <c r="O11" s="13" t="s">
        <v>139</v>
      </c>
      <c r="P11" s="159" t="s">
        <v>2156</v>
      </c>
      <c r="Q11" s="11" t="s">
        <v>34</v>
      </c>
      <c r="R11" s="13" t="s">
        <v>901</v>
      </c>
      <c r="S11" s="13" t="s">
        <v>905</v>
      </c>
      <c r="T11" s="156" t="s">
        <v>1312</v>
      </c>
      <c r="U11" s="149">
        <v>1</v>
      </c>
      <c r="V11" s="126">
        <v>4623.5</v>
      </c>
      <c r="W11" s="126">
        <v>4623.5</v>
      </c>
      <c r="X11" s="148">
        <v>3.0969999999999999E-3</v>
      </c>
      <c r="Y11" s="148">
        <v>2.8690364381237201E-2</v>
      </c>
      <c r="Z11" s="148">
        <v>3.3455596295747202E-3</v>
      </c>
    </row>
    <row r="12" spans="1:26">
      <c r="A12" s="13">
        <v>301</v>
      </c>
      <c r="B12" s="13">
        <v>7210</v>
      </c>
      <c r="C12" s="13" t="s">
        <v>2157</v>
      </c>
      <c r="D12" s="2" t="s">
        <v>2158</v>
      </c>
      <c r="E12" s="13" t="s">
        <v>319</v>
      </c>
      <c r="F12" s="13" t="s">
        <v>2159</v>
      </c>
      <c r="G12" s="13">
        <v>9213840</v>
      </c>
      <c r="H12" s="13" t="s">
        <v>33</v>
      </c>
      <c r="I12" s="2" t="s">
        <v>1035</v>
      </c>
      <c r="J12" s="13" t="s">
        <v>576</v>
      </c>
      <c r="K12" s="11" t="s">
        <v>30</v>
      </c>
      <c r="L12" s="13" t="s">
        <v>30</v>
      </c>
      <c r="M12" s="13" t="s">
        <v>30</v>
      </c>
      <c r="N12" s="11" t="s">
        <v>101</v>
      </c>
      <c r="O12" s="13" t="s">
        <v>139</v>
      </c>
      <c r="P12" s="159" t="s">
        <v>2160</v>
      </c>
      <c r="Q12" s="11" t="s">
        <v>105</v>
      </c>
      <c r="R12" s="13" t="s">
        <v>901</v>
      </c>
      <c r="S12" s="13" t="s">
        <v>905</v>
      </c>
      <c r="T12" s="156" t="s">
        <v>2124</v>
      </c>
      <c r="U12" s="149">
        <v>3.6469999999999998</v>
      </c>
      <c r="V12" s="126">
        <v>89.108000000000004</v>
      </c>
      <c r="W12" s="126">
        <v>324.97500000000002</v>
      </c>
      <c r="X12" s="148">
        <v>4.1799999999999997E-3</v>
      </c>
      <c r="Y12" s="148">
        <v>2.0165789274438602E-3</v>
      </c>
      <c r="Z12" s="148">
        <v>2.3515159862937701E-4</v>
      </c>
    </row>
    <row r="13" spans="1:26">
      <c r="A13" s="13">
        <v>301</v>
      </c>
      <c r="B13" s="13">
        <v>7210</v>
      </c>
      <c r="C13" s="13" t="s">
        <v>2161</v>
      </c>
      <c r="D13" s="2" t="s">
        <v>2162</v>
      </c>
      <c r="E13" s="13" t="s">
        <v>1330</v>
      </c>
      <c r="F13" s="13" t="s">
        <v>2163</v>
      </c>
      <c r="G13" s="13">
        <v>9220210</v>
      </c>
      <c r="H13" s="13" t="s">
        <v>33</v>
      </c>
      <c r="I13" s="2" t="s">
        <v>1035</v>
      </c>
      <c r="J13" s="13" t="s">
        <v>576</v>
      </c>
      <c r="K13" s="11" t="s">
        <v>30</v>
      </c>
      <c r="L13" s="13" t="s">
        <v>30</v>
      </c>
      <c r="M13" s="13" t="s">
        <v>30</v>
      </c>
      <c r="N13" s="11" t="s">
        <v>30</v>
      </c>
      <c r="O13" s="13" t="s">
        <v>139</v>
      </c>
      <c r="P13" s="159" t="s">
        <v>2164</v>
      </c>
      <c r="Q13" s="11" t="s">
        <v>105</v>
      </c>
      <c r="R13" s="13" t="s">
        <v>901</v>
      </c>
      <c r="S13" s="13" t="s">
        <v>905</v>
      </c>
      <c r="T13" s="156" t="s">
        <v>2149</v>
      </c>
      <c r="U13" s="149">
        <v>3.6469999999999998</v>
      </c>
      <c r="V13" s="126">
        <v>17.966000000000001</v>
      </c>
      <c r="W13" s="126">
        <v>65.522999999999996</v>
      </c>
      <c r="X13" s="148">
        <v>6.7229999999999998E-3</v>
      </c>
      <c r="Y13" s="148">
        <v>4.06592199229828E-4</v>
      </c>
      <c r="Z13" s="148">
        <v>4.7412379618744201E-5</v>
      </c>
    </row>
    <row r="14" spans="1:26">
      <c r="A14" s="13">
        <v>301</v>
      </c>
      <c r="B14" s="13">
        <v>7210</v>
      </c>
      <c r="C14" s="13" t="s">
        <v>2110</v>
      </c>
      <c r="D14" s="2" t="s">
        <v>2111</v>
      </c>
      <c r="E14" s="13" t="s">
        <v>1330</v>
      </c>
      <c r="F14" s="13" t="s">
        <v>2165</v>
      </c>
      <c r="G14" s="13">
        <v>9203620</v>
      </c>
      <c r="H14" s="13" t="s">
        <v>33</v>
      </c>
      <c r="I14" s="2" t="s">
        <v>1035</v>
      </c>
      <c r="J14" s="13" t="s">
        <v>576</v>
      </c>
      <c r="K14" s="11" t="s">
        <v>30</v>
      </c>
      <c r="L14" s="13" t="s">
        <v>30</v>
      </c>
      <c r="M14" s="13" t="s">
        <v>30</v>
      </c>
      <c r="N14" s="11" t="s">
        <v>30</v>
      </c>
      <c r="O14" s="13" t="s">
        <v>139</v>
      </c>
      <c r="P14" s="159" t="s">
        <v>2166</v>
      </c>
      <c r="Q14" s="11" t="s">
        <v>105</v>
      </c>
      <c r="R14" s="13" t="s">
        <v>901</v>
      </c>
      <c r="S14" s="13" t="s">
        <v>905</v>
      </c>
      <c r="T14" s="156" t="s">
        <v>2167</v>
      </c>
      <c r="U14" s="149">
        <v>3.6469999999999998</v>
      </c>
      <c r="V14" s="126">
        <v>5.2720000000000002</v>
      </c>
      <c r="W14" s="126">
        <v>19.225999999999999</v>
      </c>
      <c r="X14" s="148">
        <v>2.931E-3</v>
      </c>
      <c r="Y14" s="148">
        <v>1.19302605784862E-4</v>
      </c>
      <c r="Z14" s="148">
        <v>1.39117780559778E-5</v>
      </c>
    </row>
    <row r="15" spans="1:26">
      <c r="A15" s="13">
        <v>301</v>
      </c>
      <c r="B15" s="13">
        <v>7210</v>
      </c>
      <c r="C15" s="13" t="s">
        <v>2168</v>
      </c>
      <c r="D15" s="2" t="s">
        <v>2169</v>
      </c>
      <c r="E15" s="13" t="s">
        <v>33</v>
      </c>
      <c r="F15" s="13" t="s">
        <v>2170</v>
      </c>
      <c r="G15" s="13">
        <v>9215510</v>
      </c>
      <c r="H15" s="13" t="s">
        <v>33</v>
      </c>
      <c r="I15" s="2" t="s">
        <v>1035</v>
      </c>
      <c r="J15" s="13" t="s">
        <v>576</v>
      </c>
      <c r="K15" s="11" t="s">
        <v>30</v>
      </c>
      <c r="L15" s="13" t="s">
        <v>2142</v>
      </c>
      <c r="M15" s="13" t="s">
        <v>2171</v>
      </c>
      <c r="N15" s="11" t="s">
        <v>2142</v>
      </c>
      <c r="O15" s="13" t="s">
        <v>139</v>
      </c>
      <c r="P15" s="159" t="s">
        <v>2172</v>
      </c>
      <c r="Q15" s="11" t="s">
        <v>105</v>
      </c>
      <c r="R15" s="13" t="s">
        <v>901</v>
      </c>
      <c r="S15" s="13"/>
      <c r="T15" s="156" t="s">
        <v>2173</v>
      </c>
      <c r="U15" s="149">
        <v>3.6469999999999998</v>
      </c>
      <c r="V15" s="126">
        <v>12.551</v>
      </c>
      <c r="W15" s="126">
        <v>45.774999999999999</v>
      </c>
      <c r="X15" s="148">
        <v>3.6670000000000001E-3</v>
      </c>
      <c r="Y15" s="148">
        <v>2.8404622799433699E-4</v>
      </c>
      <c r="Z15" s="148">
        <v>3.3122395403674299E-5</v>
      </c>
    </row>
    <row r="16" spans="1:26">
      <c r="A16" s="13">
        <v>301</v>
      </c>
      <c r="B16" s="13">
        <v>7210</v>
      </c>
      <c r="C16" s="13" t="s">
        <v>2174</v>
      </c>
      <c r="D16" s="2" t="s">
        <v>2175</v>
      </c>
      <c r="E16" s="13" t="s">
        <v>33</v>
      </c>
      <c r="F16" s="13" t="s">
        <v>2176</v>
      </c>
      <c r="G16" s="13">
        <v>7126</v>
      </c>
      <c r="H16" s="13" t="s">
        <v>33</v>
      </c>
      <c r="I16" s="2" t="s">
        <v>1035</v>
      </c>
      <c r="J16" s="13" t="s">
        <v>576</v>
      </c>
      <c r="K16" s="11" t="s">
        <v>30</v>
      </c>
      <c r="L16" s="13" t="s">
        <v>30</v>
      </c>
      <c r="M16" s="13" t="s">
        <v>30</v>
      </c>
      <c r="N16" s="11" t="s">
        <v>30</v>
      </c>
      <c r="O16" s="13" t="s">
        <v>139</v>
      </c>
      <c r="P16" s="159" t="s">
        <v>2177</v>
      </c>
      <c r="Q16" s="11" t="s">
        <v>34</v>
      </c>
      <c r="R16" s="13" t="s">
        <v>901</v>
      </c>
      <c r="S16" s="13" t="s">
        <v>905</v>
      </c>
      <c r="T16" s="156" t="s">
        <v>2178</v>
      </c>
      <c r="U16" s="149">
        <v>1</v>
      </c>
      <c r="V16" s="126">
        <v>6.1550000000000002</v>
      </c>
      <c r="W16" s="126">
        <v>6.1550000000000002</v>
      </c>
      <c r="X16" s="148">
        <v>2.72E-4</v>
      </c>
      <c r="Y16" s="148">
        <v>3.8190929867301002E-5</v>
      </c>
      <c r="Z16" s="148">
        <v>4.4534127026814703E-6</v>
      </c>
    </row>
    <row r="17" spans="1:26">
      <c r="A17" s="13">
        <v>301</v>
      </c>
      <c r="B17" s="13">
        <v>7210</v>
      </c>
      <c r="C17" s="13" t="s">
        <v>2153</v>
      </c>
      <c r="D17" s="2" t="s">
        <v>2154</v>
      </c>
      <c r="E17" s="13" t="s">
        <v>320</v>
      </c>
      <c r="F17" s="13" t="s">
        <v>2179</v>
      </c>
      <c r="G17" s="13">
        <v>9216910</v>
      </c>
      <c r="H17" s="13" t="s">
        <v>33</v>
      </c>
      <c r="I17" s="2" t="s">
        <v>1035</v>
      </c>
      <c r="J17" s="13" t="s">
        <v>854</v>
      </c>
      <c r="K17" s="11" t="s">
        <v>30</v>
      </c>
      <c r="L17" s="13" t="s">
        <v>30</v>
      </c>
      <c r="M17" s="13" t="s">
        <v>30</v>
      </c>
      <c r="N17" s="11" t="s">
        <v>30</v>
      </c>
      <c r="O17" s="13" t="s">
        <v>139</v>
      </c>
      <c r="P17" s="159" t="s">
        <v>2180</v>
      </c>
      <c r="Q17" s="11" t="s">
        <v>34</v>
      </c>
      <c r="R17" s="13" t="s">
        <v>901</v>
      </c>
      <c r="S17" s="13" t="s">
        <v>905</v>
      </c>
      <c r="T17" s="156" t="s">
        <v>2181</v>
      </c>
      <c r="U17" s="149">
        <v>1</v>
      </c>
      <c r="V17" s="126">
        <v>4.0529999999999999</v>
      </c>
      <c r="W17" s="126">
        <v>4.0529999999999999</v>
      </c>
      <c r="X17" s="148">
        <v>4.372E-3</v>
      </c>
      <c r="Y17" s="148">
        <v>2.5147540056694499E-5</v>
      </c>
      <c r="Z17" s="148">
        <v>2.9324338192027598E-6</v>
      </c>
    </row>
    <row r="18" spans="1:26">
      <c r="A18" s="13">
        <v>301</v>
      </c>
      <c r="B18" s="13">
        <v>7210</v>
      </c>
      <c r="C18" s="13" t="s">
        <v>2182</v>
      </c>
      <c r="D18" s="2" t="s">
        <v>2183</v>
      </c>
      <c r="E18" s="13" t="s">
        <v>320</v>
      </c>
      <c r="F18" s="13" t="s">
        <v>2184</v>
      </c>
      <c r="G18" s="13">
        <v>29993519</v>
      </c>
      <c r="H18" s="13" t="s">
        <v>33</v>
      </c>
      <c r="I18" s="2" t="s">
        <v>1039</v>
      </c>
      <c r="J18" s="13" t="s">
        <v>848</v>
      </c>
      <c r="K18" s="11" t="s">
        <v>100</v>
      </c>
      <c r="L18" s="13" t="s">
        <v>227</v>
      </c>
      <c r="M18" s="13" t="s">
        <v>101</v>
      </c>
      <c r="N18" s="11" t="s">
        <v>101</v>
      </c>
      <c r="O18" s="13" t="s">
        <v>139</v>
      </c>
      <c r="P18" s="159" t="s">
        <v>2185</v>
      </c>
      <c r="Q18" s="11" t="s">
        <v>105</v>
      </c>
      <c r="R18" s="13" t="s">
        <v>901</v>
      </c>
      <c r="S18" s="13" t="s">
        <v>905</v>
      </c>
      <c r="T18" s="156" t="s">
        <v>2144</v>
      </c>
      <c r="U18" s="149">
        <v>3.6469999999999998</v>
      </c>
      <c r="V18" s="126">
        <v>1379.9760000000001</v>
      </c>
      <c r="W18" s="126">
        <v>5032.7719999999999</v>
      </c>
      <c r="X18" s="148">
        <v>0</v>
      </c>
      <c r="Y18" s="148">
        <v>3.1230037000008599E-2</v>
      </c>
      <c r="Z18" s="148">
        <v>3.6417087503315998E-3</v>
      </c>
    </row>
    <row r="19" spans="1:26">
      <c r="A19" s="13">
        <v>301</v>
      </c>
      <c r="B19" s="13">
        <v>7210</v>
      </c>
      <c r="C19" s="13" t="s">
        <v>2186</v>
      </c>
      <c r="D19" s="2" t="s">
        <v>2187</v>
      </c>
      <c r="E19" s="13" t="s">
        <v>33</v>
      </c>
      <c r="F19" s="13" t="s">
        <v>2188</v>
      </c>
      <c r="G19" s="13">
        <v>29994566</v>
      </c>
      <c r="H19" s="13" t="s">
        <v>33</v>
      </c>
      <c r="I19" s="2" t="s">
        <v>1039</v>
      </c>
      <c r="J19" s="13" t="s">
        <v>576</v>
      </c>
      <c r="K19" s="11" t="s">
        <v>100</v>
      </c>
      <c r="L19" s="13" t="s">
        <v>101</v>
      </c>
      <c r="M19" s="13" t="s">
        <v>101</v>
      </c>
      <c r="N19" s="11" t="s">
        <v>101</v>
      </c>
      <c r="O19" s="13" t="s">
        <v>139</v>
      </c>
      <c r="P19" s="159" t="s">
        <v>2189</v>
      </c>
      <c r="Q19" s="11" t="s">
        <v>105</v>
      </c>
      <c r="R19" s="13" t="s">
        <v>901</v>
      </c>
      <c r="S19" s="13" t="s">
        <v>905</v>
      </c>
      <c r="T19" s="156" t="s">
        <v>2190</v>
      </c>
      <c r="U19" s="149">
        <v>3.6469999999999998</v>
      </c>
      <c r="V19" s="126">
        <v>562.15099999999995</v>
      </c>
      <c r="W19" s="126">
        <v>2050.165</v>
      </c>
      <c r="X19" s="148">
        <v>0</v>
      </c>
      <c r="Y19" s="148">
        <v>1.2721960611884299E-2</v>
      </c>
      <c r="Z19" s="148">
        <v>1.4834972908184601E-3</v>
      </c>
    </row>
    <row r="20" spans="1:26">
      <c r="A20" s="2">
        <v>301</v>
      </c>
      <c r="B20" s="2">
        <v>7210</v>
      </c>
      <c r="C20" s="2" t="s">
        <v>2191</v>
      </c>
      <c r="D20" s="2" t="s">
        <v>2192</v>
      </c>
      <c r="E20" s="13" t="s">
        <v>321</v>
      </c>
      <c r="F20" s="2" t="s">
        <v>2193</v>
      </c>
      <c r="G20" s="2">
        <v>29993409</v>
      </c>
      <c r="H20" s="13" t="s">
        <v>33</v>
      </c>
      <c r="I20" s="2" t="s">
        <v>1035</v>
      </c>
      <c r="J20" s="13" t="s">
        <v>852</v>
      </c>
      <c r="K20" s="11" t="s">
        <v>100</v>
      </c>
      <c r="L20" s="13" t="s">
        <v>2194</v>
      </c>
      <c r="M20" s="13" t="s">
        <v>2195</v>
      </c>
      <c r="N20" s="11" t="s">
        <v>305</v>
      </c>
      <c r="O20" s="13" t="s">
        <v>139</v>
      </c>
      <c r="P20" s="159" t="s">
        <v>2196</v>
      </c>
      <c r="Q20" s="2" t="s">
        <v>1183</v>
      </c>
      <c r="R20" s="13" t="s">
        <v>901</v>
      </c>
      <c r="S20" s="13" t="s">
        <v>905</v>
      </c>
      <c r="T20" s="157" t="s">
        <v>2197</v>
      </c>
      <c r="U20" s="134">
        <v>3.7964000000000002</v>
      </c>
      <c r="V20" s="124">
        <v>1345.3989999999999</v>
      </c>
      <c r="W20" s="124">
        <v>5107.6710000000003</v>
      </c>
      <c r="X20" s="140">
        <v>0</v>
      </c>
      <c r="Y20" s="140">
        <v>3.1694808948952498E-2</v>
      </c>
      <c r="Z20" s="140">
        <v>3.6959054223809299E-3</v>
      </c>
    </row>
    <row r="21" spans="1:26">
      <c r="A21" s="2">
        <v>301</v>
      </c>
      <c r="B21" s="2">
        <v>7210</v>
      </c>
      <c r="C21" s="2" t="s">
        <v>2198</v>
      </c>
      <c r="D21" s="2" t="s">
        <v>2199</v>
      </c>
      <c r="E21" s="2" t="s">
        <v>1330</v>
      </c>
      <c r="F21" s="2" t="s">
        <v>2200</v>
      </c>
      <c r="G21" s="2">
        <v>29994474</v>
      </c>
      <c r="H21" s="2" t="s">
        <v>33</v>
      </c>
      <c r="I21" s="2" t="s">
        <v>1035</v>
      </c>
      <c r="J21" s="2" t="s">
        <v>576</v>
      </c>
      <c r="K21" s="2" t="s">
        <v>100</v>
      </c>
      <c r="L21" s="2" t="s">
        <v>227</v>
      </c>
      <c r="M21" s="2" t="s">
        <v>101</v>
      </c>
      <c r="N21" s="2" t="s">
        <v>101</v>
      </c>
      <c r="O21" s="2" t="s">
        <v>139</v>
      </c>
      <c r="P21" s="159" t="s">
        <v>2201</v>
      </c>
      <c r="Q21" s="2" t="s">
        <v>105</v>
      </c>
      <c r="R21" s="2" t="s">
        <v>901</v>
      </c>
      <c r="S21" s="2" t="s">
        <v>905</v>
      </c>
      <c r="T21" s="157" t="s">
        <v>2202</v>
      </c>
      <c r="U21" s="134">
        <v>3.6469999999999998</v>
      </c>
      <c r="V21" s="124">
        <v>1678.0889999999999</v>
      </c>
      <c r="W21" s="124">
        <v>6119.991</v>
      </c>
      <c r="X21" s="140">
        <v>0</v>
      </c>
      <c r="Y21" s="140">
        <v>3.7976591931189498E-2</v>
      </c>
      <c r="Z21" s="140">
        <v>4.4284189334629102E-3</v>
      </c>
    </row>
    <row r="22" spans="1:26">
      <c r="A22" s="2">
        <v>301</v>
      </c>
      <c r="B22" s="2">
        <v>7210</v>
      </c>
      <c r="C22" s="2" t="s">
        <v>2203</v>
      </c>
      <c r="D22" s="2" t="s">
        <v>2204</v>
      </c>
      <c r="E22" s="2" t="s">
        <v>1330</v>
      </c>
      <c r="F22" s="2" t="s">
        <v>2203</v>
      </c>
      <c r="G22" s="2">
        <v>29994325</v>
      </c>
      <c r="H22" s="2" t="s">
        <v>33</v>
      </c>
      <c r="I22" s="2" t="s">
        <v>1035</v>
      </c>
      <c r="J22" s="2" t="s">
        <v>859</v>
      </c>
      <c r="K22" s="2" t="s">
        <v>100</v>
      </c>
      <c r="L22" s="2" t="s">
        <v>262</v>
      </c>
      <c r="M22" s="2" t="s">
        <v>262</v>
      </c>
      <c r="N22" s="2" t="s">
        <v>305</v>
      </c>
      <c r="O22" s="2" t="s">
        <v>139</v>
      </c>
      <c r="P22" s="159" t="s">
        <v>2205</v>
      </c>
      <c r="Q22" s="2" t="s">
        <v>1183</v>
      </c>
      <c r="R22" s="2" t="s">
        <v>901</v>
      </c>
      <c r="S22" s="2" t="s">
        <v>905</v>
      </c>
      <c r="T22" s="157" t="s">
        <v>2129</v>
      </c>
      <c r="U22" s="134">
        <v>3.7964000000000002</v>
      </c>
      <c r="V22" s="124">
        <v>2162.1030000000001</v>
      </c>
      <c r="W22" s="124">
        <v>8208.2090000000007</v>
      </c>
      <c r="X22" s="140">
        <v>3.0699999999999998E-4</v>
      </c>
      <c r="Y22" s="140">
        <v>5.0934681583026803E-2</v>
      </c>
      <c r="Z22" s="140">
        <v>5.9394510360718297E-3</v>
      </c>
    </row>
    <row r="23" spans="1:26">
      <c r="A23" s="2">
        <v>301</v>
      </c>
      <c r="B23" s="2">
        <v>7210</v>
      </c>
      <c r="C23" s="2" t="s">
        <v>2206</v>
      </c>
      <c r="D23" s="2" t="s">
        <v>2207</v>
      </c>
      <c r="E23" s="2" t="s">
        <v>320</v>
      </c>
      <c r="F23" s="2" t="s">
        <v>2208</v>
      </c>
      <c r="G23" s="2">
        <v>29993440</v>
      </c>
      <c r="H23" s="2" t="s">
        <v>33</v>
      </c>
      <c r="I23" s="2" t="s">
        <v>1035</v>
      </c>
      <c r="J23" s="2" t="s">
        <v>842</v>
      </c>
      <c r="K23" s="2" t="s">
        <v>100</v>
      </c>
      <c r="L23" s="2" t="s">
        <v>227</v>
      </c>
      <c r="M23" s="2" t="s">
        <v>101</v>
      </c>
      <c r="N23" s="2" t="s">
        <v>101</v>
      </c>
      <c r="O23" s="2" t="s">
        <v>139</v>
      </c>
      <c r="P23" s="159" t="s">
        <v>2209</v>
      </c>
      <c r="Q23" s="2" t="s">
        <v>105</v>
      </c>
      <c r="R23" s="2" t="s">
        <v>901</v>
      </c>
      <c r="S23" s="2" t="s">
        <v>905</v>
      </c>
      <c r="T23" s="157" t="s">
        <v>2197</v>
      </c>
      <c r="U23" s="134">
        <v>3.6469999999999998</v>
      </c>
      <c r="V23" s="124">
        <v>3927.4279999999999</v>
      </c>
      <c r="W23" s="124">
        <v>14323.329</v>
      </c>
      <c r="X23" s="140">
        <v>2.5709999999999999E-3</v>
      </c>
      <c r="Y23" s="140">
        <v>8.8881049854323296E-2</v>
      </c>
      <c r="Z23" s="140">
        <v>1.03643456135854E-2</v>
      </c>
    </row>
    <row r="24" spans="1:26">
      <c r="A24" s="2">
        <v>301</v>
      </c>
      <c r="B24" s="2">
        <v>7210</v>
      </c>
      <c r="C24" s="2" t="s">
        <v>2210</v>
      </c>
      <c r="D24" s="2" t="s">
        <v>2211</v>
      </c>
      <c r="E24" s="2" t="s">
        <v>33</v>
      </c>
      <c r="F24" s="2" t="s">
        <v>2212</v>
      </c>
      <c r="G24" s="2">
        <v>29999808</v>
      </c>
      <c r="H24" s="2" t="s">
        <v>33</v>
      </c>
      <c r="I24" s="2" t="s">
        <v>1035</v>
      </c>
      <c r="J24" s="2" t="s">
        <v>853</v>
      </c>
      <c r="K24" s="2" t="s">
        <v>100</v>
      </c>
      <c r="L24" s="2" t="s">
        <v>101</v>
      </c>
      <c r="M24" s="2" t="s">
        <v>30</v>
      </c>
      <c r="N24" s="2" t="s">
        <v>101</v>
      </c>
      <c r="O24" s="2" t="s">
        <v>139</v>
      </c>
      <c r="P24" s="159" t="s">
        <v>2213</v>
      </c>
      <c r="Q24" s="2" t="s">
        <v>105</v>
      </c>
      <c r="R24" s="2" t="s">
        <v>901</v>
      </c>
      <c r="S24" s="2" t="s">
        <v>905</v>
      </c>
      <c r="T24" s="157" t="s">
        <v>2149</v>
      </c>
      <c r="U24" s="134">
        <v>3.6469999999999998</v>
      </c>
      <c r="V24" s="124">
        <v>1287.597</v>
      </c>
      <c r="W24" s="124">
        <v>4695.866</v>
      </c>
      <c r="X24" s="140">
        <v>0</v>
      </c>
      <c r="Y24" s="140">
        <v>2.9139421229862E-2</v>
      </c>
      <c r="Z24" s="140">
        <v>3.3979237767908402E-3</v>
      </c>
    </row>
    <row r="25" spans="1:26">
      <c r="A25" s="2">
        <v>301</v>
      </c>
      <c r="B25" s="2">
        <v>7210</v>
      </c>
      <c r="C25" s="2" t="s">
        <v>2214</v>
      </c>
      <c r="D25" s="2" t="s">
        <v>2215</v>
      </c>
      <c r="E25" s="2" t="s">
        <v>33</v>
      </c>
      <c r="F25" s="2" t="s">
        <v>2216</v>
      </c>
      <c r="G25" s="2">
        <v>75590</v>
      </c>
      <c r="H25" s="2" t="s">
        <v>33</v>
      </c>
      <c r="I25" s="2" t="s">
        <v>1035</v>
      </c>
      <c r="J25" s="2" t="s">
        <v>853</v>
      </c>
      <c r="K25" s="2" t="s">
        <v>100</v>
      </c>
      <c r="L25" s="2" t="s">
        <v>262</v>
      </c>
      <c r="M25" s="2" t="s">
        <v>262</v>
      </c>
      <c r="N25" s="2" t="s">
        <v>302</v>
      </c>
      <c r="O25" s="2" t="s">
        <v>139</v>
      </c>
      <c r="P25" s="159" t="s">
        <v>2217</v>
      </c>
      <c r="Q25" s="2" t="s">
        <v>1183</v>
      </c>
      <c r="R25" s="4" t="s">
        <v>901</v>
      </c>
      <c r="S25" s="2" t="s">
        <v>905</v>
      </c>
      <c r="T25" s="157" t="s">
        <v>2149</v>
      </c>
      <c r="U25" s="134">
        <v>3.7964000000000002</v>
      </c>
      <c r="V25" s="124">
        <v>1207.018</v>
      </c>
      <c r="W25" s="124">
        <v>4582.3249999999998</v>
      </c>
      <c r="X25" s="140">
        <v>2.81E-4</v>
      </c>
      <c r="Y25" s="140">
        <v>2.84348587009466E-2</v>
      </c>
      <c r="Z25" s="140">
        <v>3.3157653238019302E-3</v>
      </c>
    </row>
    <row r="26" spans="1:26">
      <c r="A26" s="2">
        <v>301</v>
      </c>
      <c r="B26" s="2">
        <v>7210</v>
      </c>
      <c r="C26" s="2" t="s">
        <v>2214</v>
      </c>
      <c r="D26" s="2" t="s">
        <v>2215</v>
      </c>
      <c r="E26" s="2" t="s">
        <v>33</v>
      </c>
      <c r="F26" s="2" t="s">
        <v>2218</v>
      </c>
      <c r="G26" s="2">
        <v>29993319</v>
      </c>
      <c r="H26" s="2" t="s">
        <v>33</v>
      </c>
      <c r="I26" s="2" t="s">
        <v>1035</v>
      </c>
      <c r="J26" s="2" t="s">
        <v>852</v>
      </c>
      <c r="K26" s="2" t="s">
        <v>100</v>
      </c>
      <c r="L26" s="2" t="s">
        <v>101</v>
      </c>
      <c r="M26" s="2"/>
      <c r="N26" s="2" t="s">
        <v>101</v>
      </c>
      <c r="O26" s="2" t="s">
        <v>139</v>
      </c>
      <c r="P26" s="159" t="s">
        <v>2219</v>
      </c>
      <c r="Q26" s="2" t="s">
        <v>105</v>
      </c>
      <c r="R26" s="4" t="s">
        <v>901</v>
      </c>
      <c r="S26" s="2" t="s">
        <v>905</v>
      </c>
      <c r="T26" s="157" t="s">
        <v>2114</v>
      </c>
      <c r="U26" s="134">
        <v>3.6469999999999998</v>
      </c>
      <c r="V26" s="124">
        <v>571.40599999999995</v>
      </c>
      <c r="W26" s="124">
        <v>2083.9189999999999</v>
      </c>
      <c r="X26" s="140">
        <v>5.0500000000000002E-4</v>
      </c>
      <c r="Y26" s="140">
        <v>1.29314145292039E-2</v>
      </c>
      <c r="Z26" s="140">
        <v>1.5079215386505701E-3</v>
      </c>
    </row>
    <row r="27" spans="1:26">
      <c r="A27" s="2">
        <v>301</v>
      </c>
      <c r="B27" s="2">
        <v>7210</v>
      </c>
      <c r="C27" s="2" t="s">
        <v>2220</v>
      </c>
      <c r="D27" s="2" t="s">
        <v>2221</v>
      </c>
      <c r="E27" s="2" t="s">
        <v>33</v>
      </c>
      <c r="F27" s="2" t="s">
        <v>2222</v>
      </c>
      <c r="G27" s="2">
        <v>29994342</v>
      </c>
      <c r="H27" s="2" t="s">
        <v>33</v>
      </c>
      <c r="I27" s="2" t="s">
        <v>1035</v>
      </c>
      <c r="J27" s="2" t="s">
        <v>576</v>
      </c>
      <c r="K27" s="2" t="s">
        <v>100</v>
      </c>
      <c r="L27" s="2" t="s">
        <v>227</v>
      </c>
      <c r="M27" s="2" t="s">
        <v>101</v>
      </c>
      <c r="N27" s="2" t="s">
        <v>101</v>
      </c>
      <c r="O27" s="2" t="s">
        <v>139</v>
      </c>
      <c r="P27" s="159" t="s">
        <v>2223</v>
      </c>
      <c r="Q27" s="2" t="s">
        <v>105</v>
      </c>
      <c r="R27" s="2" t="s">
        <v>901</v>
      </c>
      <c r="S27" s="2" t="s">
        <v>905</v>
      </c>
      <c r="T27" s="157" t="s">
        <v>2144</v>
      </c>
      <c r="U27" s="134">
        <v>3.6469999999999998</v>
      </c>
      <c r="V27" s="124">
        <v>1693.2460000000001</v>
      </c>
      <c r="W27" s="124">
        <v>6175.27</v>
      </c>
      <c r="X27" s="140">
        <v>3.1E-4</v>
      </c>
      <c r="Y27" s="140">
        <v>3.8319616315888802E-2</v>
      </c>
      <c r="Z27" s="140">
        <v>4.4684187228751504E-3</v>
      </c>
    </row>
    <row r="28" spans="1:26">
      <c r="A28" s="2">
        <v>301</v>
      </c>
      <c r="B28" s="2">
        <v>7210</v>
      </c>
      <c r="C28" s="2" t="s">
        <v>2224</v>
      </c>
      <c r="D28" s="2" t="s">
        <v>2225</v>
      </c>
      <c r="E28" s="2" t="s">
        <v>1330</v>
      </c>
      <c r="F28" s="2" t="s">
        <v>2224</v>
      </c>
      <c r="G28" s="2">
        <v>29993334</v>
      </c>
      <c r="H28" s="2" t="s">
        <v>33</v>
      </c>
      <c r="I28" s="2" t="s">
        <v>1035</v>
      </c>
      <c r="J28" s="2" t="s">
        <v>860</v>
      </c>
      <c r="K28" s="2" t="s">
        <v>100</v>
      </c>
      <c r="L28" s="2" t="s">
        <v>227</v>
      </c>
      <c r="M28" s="2" t="s">
        <v>30</v>
      </c>
      <c r="N28" s="2" t="s">
        <v>101</v>
      </c>
      <c r="O28" s="2" t="s">
        <v>139</v>
      </c>
      <c r="P28" s="159" t="s">
        <v>2226</v>
      </c>
      <c r="Q28" s="2" t="s">
        <v>105</v>
      </c>
      <c r="R28" s="2" t="s">
        <v>901</v>
      </c>
      <c r="S28" s="2" t="s">
        <v>905</v>
      </c>
      <c r="T28" s="157" t="s">
        <v>2149</v>
      </c>
      <c r="U28" s="134">
        <v>3.6469999999999998</v>
      </c>
      <c r="V28" s="124">
        <v>670.00400000000002</v>
      </c>
      <c r="W28" s="124">
        <v>2443.5039999999999</v>
      </c>
      <c r="X28" s="140">
        <v>0</v>
      </c>
      <c r="Y28" s="140">
        <v>1.5162762358658301E-2</v>
      </c>
      <c r="Z28" s="140">
        <v>1.76811716107507E-3</v>
      </c>
    </row>
    <row r="29" spans="1:26">
      <c r="A29" s="2">
        <v>301</v>
      </c>
      <c r="B29" s="2">
        <v>7210</v>
      </c>
      <c r="C29" s="2" t="s">
        <v>2227</v>
      </c>
      <c r="D29" s="2" t="s">
        <v>2228</v>
      </c>
      <c r="E29" s="2" t="s">
        <v>33</v>
      </c>
      <c r="F29" s="2" t="s">
        <v>2229</v>
      </c>
      <c r="G29" s="2">
        <v>29993805</v>
      </c>
      <c r="H29" s="2" t="s">
        <v>33</v>
      </c>
      <c r="I29" s="2" t="s">
        <v>1035</v>
      </c>
      <c r="J29" s="2" t="s">
        <v>852</v>
      </c>
      <c r="K29" s="2" t="s">
        <v>100</v>
      </c>
      <c r="L29" s="2" t="s">
        <v>262</v>
      </c>
      <c r="M29" s="2" t="s">
        <v>262</v>
      </c>
      <c r="N29" s="2" t="s">
        <v>302</v>
      </c>
      <c r="O29" s="2" t="s">
        <v>139</v>
      </c>
      <c r="P29" s="159" t="s">
        <v>2230</v>
      </c>
      <c r="Q29" s="2" t="s">
        <v>1183</v>
      </c>
      <c r="R29" s="2" t="s">
        <v>901</v>
      </c>
      <c r="S29" s="2" t="s">
        <v>905</v>
      </c>
      <c r="T29" s="157" t="s">
        <v>1316</v>
      </c>
      <c r="U29" s="134">
        <v>3.7964000000000002</v>
      </c>
      <c r="V29" s="124">
        <v>1000.225</v>
      </c>
      <c r="W29" s="124">
        <v>3797.252</v>
      </c>
      <c r="X29" s="140">
        <v>2.1870000000000001E-3</v>
      </c>
      <c r="Y29" s="140">
        <v>2.3563222123406901E-2</v>
      </c>
      <c r="Z29" s="140">
        <v>2.7476878171099998E-3</v>
      </c>
    </row>
    <row r="30" spans="1:26">
      <c r="A30" s="2">
        <v>301</v>
      </c>
      <c r="B30" s="2">
        <v>7210</v>
      </c>
      <c r="C30" s="2" t="s">
        <v>2231</v>
      </c>
      <c r="D30" s="2" t="s">
        <v>2232</v>
      </c>
      <c r="E30" s="2" t="s">
        <v>320</v>
      </c>
      <c r="F30" s="2" t="s">
        <v>2233</v>
      </c>
      <c r="G30" s="2">
        <v>7530</v>
      </c>
      <c r="H30" s="2" t="s">
        <v>33</v>
      </c>
      <c r="I30" s="2" t="s">
        <v>1035</v>
      </c>
      <c r="J30" s="2" t="s">
        <v>576</v>
      </c>
      <c r="K30" s="2" t="s">
        <v>100</v>
      </c>
      <c r="L30" s="2" t="s">
        <v>262</v>
      </c>
      <c r="M30" s="2" t="s">
        <v>262</v>
      </c>
      <c r="N30" s="2" t="s">
        <v>302</v>
      </c>
      <c r="O30" s="2" t="s">
        <v>139</v>
      </c>
      <c r="P30" s="159" t="s">
        <v>2234</v>
      </c>
      <c r="Q30" s="2" t="s">
        <v>105</v>
      </c>
      <c r="R30" s="2" t="s">
        <v>901</v>
      </c>
      <c r="S30" s="2" t="s">
        <v>905</v>
      </c>
      <c r="T30" s="157" t="s">
        <v>140</v>
      </c>
      <c r="U30" s="134">
        <v>3.6469999999999998</v>
      </c>
      <c r="V30" s="124">
        <v>1860.5070000000001</v>
      </c>
      <c r="W30" s="124">
        <v>6785.2690000000002</v>
      </c>
      <c r="X30" s="140">
        <v>2.6450000000000002E-3</v>
      </c>
      <c r="Y30" s="140">
        <v>4.2104861356027097E-2</v>
      </c>
      <c r="Z30" s="140">
        <v>4.9098130121235798E-3</v>
      </c>
    </row>
    <row r="31" spans="1:26">
      <c r="A31" s="2">
        <v>301</v>
      </c>
      <c r="B31" s="2">
        <v>7210</v>
      </c>
      <c r="C31" s="2" t="s">
        <v>2231</v>
      </c>
      <c r="D31" s="2" t="s">
        <v>2232</v>
      </c>
      <c r="E31" s="2" t="s">
        <v>320</v>
      </c>
      <c r="F31" s="2" t="s">
        <v>2235</v>
      </c>
      <c r="G31" s="2">
        <v>620019915</v>
      </c>
      <c r="H31" s="2" t="s">
        <v>33</v>
      </c>
      <c r="I31" s="2" t="s">
        <v>1035</v>
      </c>
      <c r="J31" s="2" t="s">
        <v>576</v>
      </c>
      <c r="K31" s="2" t="s">
        <v>100</v>
      </c>
      <c r="L31" s="2" t="s">
        <v>262</v>
      </c>
      <c r="M31" s="2" t="s">
        <v>262</v>
      </c>
      <c r="N31" s="2" t="s">
        <v>302</v>
      </c>
      <c r="O31" s="2" t="s">
        <v>139</v>
      </c>
      <c r="P31" s="159" t="s">
        <v>2236</v>
      </c>
      <c r="Q31" s="2" t="s">
        <v>105</v>
      </c>
      <c r="R31" s="2" t="s">
        <v>901</v>
      </c>
      <c r="S31" s="2" t="s">
        <v>905</v>
      </c>
      <c r="T31" s="157" t="s">
        <v>2237</v>
      </c>
      <c r="U31" s="134">
        <v>3.6469999999999998</v>
      </c>
      <c r="V31" s="124">
        <v>827.57500000000005</v>
      </c>
      <c r="W31" s="124">
        <v>3018.1669999999999</v>
      </c>
      <c r="X31" s="140">
        <v>0</v>
      </c>
      <c r="Y31" s="140">
        <v>1.87287368791654E-2</v>
      </c>
      <c r="Z31" s="140">
        <v>2.1839424966257999E-3</v>
      </c>
    </row>
    <row r="32" spans="1:26">
      <c r="A32" s="2">
        <v>301</v>
      </c>
      <c r="B32" s="2">
        <v>7210</v>
      </c>
      <c r="C32" s="2" t="s">
        <v>2238</v>
      </c>
      <c r="D32" s="2" t="s">
        <v>2239</v>
      </c>
      <c r="E32" s="2" t="s">
        <v>33</v>
      </c>
      <c r="F32" s="2" t="s">
        <v>2238</v>
      </c>
      <c r="G32" s="2">
        <v>29994542</v>
      </c>
      <c r="H32" s="2" t="s">
        <v>33</v>
      </c>
      <c r="I32" s="2" t="s">
        <v>1039</v>
      </c>
      <c r="J32" s="2" t="s">
        <v>576</v>
      </c>
      <c r="K32" s="2" t="s">
        <v>100</v>
      </c>
      <c r="L32" s="2" t="s">
        <v>302</v>
      </c>
      <c r="M32" s="2" t="s">
        <v>302</v>
      </c>
      <c r="N32" s="2" t="s">
        <v>302</v>
      </c>
      <c r="O32" s="2" t="s">
        <v>139</v>
      </c>
      <c r="P32" s="159" t="s">
        <v>2240</v>
      </c>
      <c r="Q32" s="2" t="s">
        <v>1185</v>
      </c>
      <c r="R32" s="2" t="s">
        <v>901</v>
      </c>
      <c r="S32" s="2" t="s">
        <v>905</v>
      </c>
      <c r="T32" s="157" t="s">
        <v>2241</v>
      </c>
      <c r="U32" s="134">
        <v>4.5743</v>
      </c>
      <c r="V32" s="124">
        <v>430.149</v>
      </c>
      <c r="W32" s="124">
        <v>1967.6289999999999</v>
      </c>
      <c r="X32" s="140">
        <v>0</v>
      </c>
      <c r="Y32" s="140">
        <v>1.22097981339413E-2</v>
      </c>
      <c r="Z32" s="140">
        <v>1.4237744484306601E-3</v>
      </c>
    </row>
    <row r="33" spans="1:26">
      <c r="A33" s="2">
        <v>301</v>
      </c>
      <c r="B33" s="2">
        <v>7210</v>
      </c>
      <c r="C33" s="2" t="s">
        <v>2242</v>
      </c>
      <c r="D33" s="2" t="s">
        <v>2243</v>
      </c>
      <c r="E33" s="2" t="s">
        <v>320</v>
      </c>
      <c r="F33" s="2" t="s">
        <v>2244</v>
      </c>
      <c r="G33" s="2">
        <v>75741</v>
      </c>
      <c r="H33" s="2" t="s">
        <v>33</v>
      </c>
      <c r="I33" s="2" t="s">
        <v>1035</v>
      </c>
      <c r="J33" s="2" t="s">
        <v>841</v>
      </c>
      <c r="K33" s="2" t="s">
        <v>100</v>
      </c>
      <c r="L33" s="2" t="s">
        <v>227</v>
      </c>
      <c r="M33" s="2" t="s">
        <v>30</v>
      </c>
      <c r="N33" s="2" t="s">
        <v>101</v>
      </c>
      <c r="O33" s="2" t="s">
        <v>139</v>
      </c>
      <c r="P33" s="159" t="s">
        <v>2245</v>
      </c>
      <c r="Q33" s="2" t="s">
        <v>105</v>
      </c>
      <c r="R33" s="2" t="s">
        <v>901</v>
      </c>
      <c r="S33" s="2" t="s">
        <v>905</v>
      </c>
      <c r="T33" s="157" t="s">
        <v>2167</v>
      </c>
      <c r="U33" s="134">
        <v>3.6469999999999998</v>
      </c>
      <c r="V33" s="124">
        <v>2984.962</v>
      </c>
      <c r="W33" s="124">
        <v>10886.155000000001</v>
      </c>
      <c r="X33" s="140">
        <v>9.7000000000000003E-3</v>
      </c>
      <c r="Y33" s="140">
        <v>6.7552233670444106E-2</v>
      </c>
      <c r="Z33" s="140">
        <v>7.8772100225828704E-3</v>
      </c>
    </row>
    <row r="34" spans="1:26">
      <c r="A34" s="2">
        <v>301</v>
      </c>
      <c r="B34" s="2">
        <v>7210</v>
      </c>
      <c r="C34" s="2" t="s">
        <v>2242</v>
      </c>
      <c r="D34" s="2" t="s">
        <v>2243</v>
      </c>
      <c r="E34" s="2" t="s">
        <v>320</v>
      </c>
      <c r="F34" s="2" t="s">
        <v>2246</v>
      </c>
      <c r="G34" s="2">
        <v>7075</v>
      </c>
      <c r="H34" s="2" t="s">
        <v>33</v>
      </c>
      <c r="I34" s="2" t="s">
        <v>1035</v>
      </c>
      <c r="J34" s="2" t="s">
        <v>841</v>
      </c>
      <c r="K34" s="2" t="s">
        <v>100</v>
      </c>
      <c r="L34" s="2" t="s">
        <v>227</v>
      </c>
      <c r="M34" s="2" t="s">
        <v>30</v>
      </c>
      <c r="N34" s="2" t="s">
        <v>302</v>
      </c>
      <c r="O34" s="2" t="s">
        <v>139</v>
      </c>
      <c r="P34" s="159" t="s">
        <v>2247</v>
      </c>
      <c r="Q34" s="2" t="s">
        <v>105</v>
      </c>
      <c r="R34" s="2" t="s">
        <v>901</v>
      </c>
      <c r="S34" s="2" t="s">
        <v>905</v>
      </c>
      <c r="T34" s="157" t="s">
        <v>2167</v>
      </c>
      <c r="U34" s="134">
        <v>3.6469999999999998</v>
      </c>
      <c r="V34" s="124">
        <v>2323.3249999999998</v>
      </c>
      <c r="W34" s="124">
        <v>8473.1650000000009</v>
      </c>
      <c r="X34" s="140">
        <v>5.2610000000000001E-3</v>
      </c>
      <c r="Y34" s="140">
        <v>5.2578825520991197E-2</v>
      </c>
      <c r="Z34" s="140">
        <v>6.1311732990229802E-3</v>
      </c>
    </row>
    <row r="35" spans="1:26">
      <c r="A35" s="2">
        <v>301</v>
      </c>
      <c r="B35" s="2">
        <v>7210</v>
      </c>
      <c r="C35" s="2" t="s">
        <v>2242</v>
      </c>
      <c r="D35" s="2" t="s">
        <v>2243</v>
      </c>
      <c r="E35" s="2" t="s">
        <v>320</v>
      </c>
      <c r="F35" s="2" t="s">
        <v>2248</v>
      </c>
      <c r="G35" s="2">
        <v>7538</v>
      </c>
      <c r="H35" s="2" t="s">
        <v>33</v>
      </c>
      <c r="I35" s="2" t="s">
        <v>1035</v>
      </c>
      <c r="J35" s="2" t="s">
        <v>862</v>
      </c>
      <c r="K35" s="2" t="s">
        <v>100</v>
      </c>
      <c r="L35" s="2" t="s">
        <v>227</v>
      </c>
      <c r="M35" s="2" t="s">
        <v>30</v>
      </c>
      <c r="N35" s="2" t="s">
        <v>302</v>
      </c>
      <c r="O35" s="2" t="s">
        <v>139</v>
      </c>
      <c r="P35" s="159" t="s">
        <v>2249</v>
      </c>
      <c r="Q35" s="2" t="s">
        <v>105</v>
      </c>
      <c r="R35" s="2" t="s">
        <v>901</v>
      </c>
      <c r="S35" s="2" t="s">
        <v>905</v>
      </c>
      <c r="T35" s="157" t="s">
        <v>2167</v>
      </c>
      <c r="U35" s="134">
        <v>3.6469999999999998</v>
      </c>
      <c r="V35" s="124">
        <v>280.483</v>
      </c>
      <c r="W35" s="124">
        <v>1022.922</v>
      </c>
      <c r="X35" s="140">
        <v>1.209E-3</v>
      </c>
      <c r="Y35" s="140">
        <v>6.3475734220115104E-3</v>
      </c>
      <c r="Z35" s="140">
        <v>7.4018527977745498E-4</v>
      </c>
    </row>
    <row r="36" spans="1:26">
      <c r="A36" s="2">
        <v>301</v>
      </c>
      <c r="B36" s="2">
        <v>7210</v>
      </c>
      <c r="C36" s="2" t="s">
        <v>2250</v>
      </c>
      <c r="D36" s="2" t="s">
        <v>2251</v>
      </c>
      <c r="E36" s="2" t="s">
        <v>33</v>
      </c>
      <c r="F36" s="2" t="s">
        <v>2252</v>
      </c>
      <c r="G36" s="2">
        <v>29994470</v>
      </c>
      <c r="H36" s="2" t="s">
        <v>33</v>
      </c>
      <c r="I36" s="2" t="s">
        <v>1035</v>
      </c>
      <c r="J36" s="2" t="s">
        <v>860</v>
      </c>
      <c r="K36" s="2" t="s">
        <v>100</v>
      </c>
      <c r="L36" s="2" t="s">
        <v>227</v>
      </c>
      <c r="M36" s="2" t="s">
        <v>227</v>
      </c>
      <c r="N36" s="2" t="s">
        <v>101</v>
      </c>
      <c r="O36" s="2" t="s">
        <v>139</v>
      </c>
      <c r="P36" s="159" t="s">
        <v>2253</v>
      </c>
      <c r="Q36" s="2" t="s">
        <v>105</v>
      </c>
      <c r="R36" s="2" t="s">
        <v>901</v>
      </c>
      <c r="S36" s="2" t="s">
        <v>905</v>
      </c>
      <c r="T36" s="157" t="s">
        <v>2114</v>
      </c>
      <c r="U36" s="134">
        <v>3.6469999999999998</v>
      </c>
      <c r="V36" s="124">
        <v>442.51</v>
      </c>
      <c r="W36" s="124">
        <v>1613.835</v>
      </c>
      <c r="X36" s="140">
        <v>0</v>
      </c>
      <c r="Y36" s="140">
        <v>1.00143883229041E-2</v>
      </c>
      <c r="Z36" s="140">
        <v>1.1677695285704701E-3</v>
      </c>
    </row>
    <row r="37" spans="1:26">
      <c r="A37" s="2">
        <v>301</v>
      </c>
      <c r="B37" s="2">
        <v>7210</v>
      </c>
      <c r="C37" s="2" t="s">
        <v>2254</v>
      </c>
      <c r="D37" s="2" t="s">
        <v>2255</v>
      </c>
      <c r="E37" s="2" t="s">
        <v>33</v>
      </c>
      <c r="F37" s="2" t="s">
        <v>2256</v>
      </c>
      <c r="G37" s="2">
        <v>29999807</v>
      </c>
      <c r="H37" s="2" t="s">
        <v>33</v>
      </c>
      <c r="I37" s="2" t="s">
        <v>1035</v>
      </c>
      <c r="J37" s="2" t="s">
        <v>576</v>
      </c>
      <c r="K37" s="2" t="s">
        <v>100</v>
      </c>
      <c r="L37" s="2" t="s">
        <v>2257</v>
      </c>
      <c r="M37" s="2" t="s">
        <v>2258</v>
      </c>
      <c r="N37" s="2" t="s">
        <v>101</v>
      </c>
      <c r="O37" s="2" t="s">
        <v>139</v>
      </c>
      <c r="P37" s="159" t="s">
        <v>2259</v>
      </c>
      <c r="Q37" s="2" t="s">
        <v>105</v>
      </c>
      <c r="R37" s="2" t="s">
        <v>901</v>
      </c>
      <c r="S37" s="2" t="s">
        <v>905</v>
      </c>
      <c r="T37" s="157" t="s">
        <v>2260</v>
      </c>
      <c r="U37" s="134">
        <v>3.6469999999999998</v>
      </c>
      <c r="V37" s="124">
        <v>2798.3</v>
      </c>
      <c r="W37" s="124">
        <v>10205.4</v>
      </c>
      <c r="X37" s="140">
        <v>0</v>
      </c>
      <c r="Y37" s="140">
        <v>6.3327922034241202E-2</v>
      </c>
      <c r="Z37" s="140">
        <v>7.3846165411955902E-3</v>
      </c>
    </row>
    <row r="38" spans="1:26">
      <c r="A38" s="2">
        <v>301</v>
      </c>
      <c r="B38" s="2">
        <v>7210</v>
      </c>
      <c r="C38" s="2" t="s">
        <v>2261</v>
      </c>
      <c r="D38" s="2" t="s">
        <v>2262</v>
      </c>
      <c r="E38" s="2" t="s">
        <v>320</v>
      </c>
      <c r="F38" s="2" t="s">
        <v>2263</v>
      </c>
      <c r="G38" s="2">
        <v>72110</v>
      </c>
      <c r="H38" s="2" t="s">
        <v>33</v>
      </c>
      <c r="I38" s="2" t="s">
        <v>1039</v>
      </c>
      <c r="J38" s="2" t="s">
        <v>576</v>
      </c>
      <c r="K38" s="2" t="s">
        <v>100</v>
      </c>
      <c r="L38" s="2" t="s">
        <v>2264</v>
      </c>
      <c r="M38" s="2" t="s">
        <v>2265</v>
      </c>
      <c r="N38" s="2" t="s">
        <v>2264</v>
      </c>
      <c r="O38" s="2" t="s">
        <v>139</v>
      </c>
      <c r="P38" s="159" t="s">
        <v>2143</v>
      </c>
      <c r="Q38" s="2" t="s">
        <v>105</v>
      </c>
      <c r="R38" s="2" t="s">
        <v>903</v>
      </c>
      <c r="S38" s="2"/>
      <c r="T38" s="157" t="s">
        <v>2167</v>
      </c>
      <c r="U38" s="134">
        <v>3.6469999999999998</v>
      </c>
      <c r="V38" s="124">
        <v>1222.354</v>
      </c>
      <c r="W38" s="124">
        <v>4457.9250000000002</v>
      </c>
      <c r="X38" s="140">
        <v>0</v>
      </c>
      <c r="Y38" s="140">
        <v>2.7662916345725201E-2</v>
      </c>
      <c r="Z38" s="140">
        <v>3.2257497650704302E-3</v>
      </c>
    </row>
    <row r="39" spans="1:26">
      <c r="A39" s="2">
        <v>301</v>
      </c>
      <c r="B39" s="2">
        <v>7210</v>
      </c>
      <c r="C39" s="2" t="s">
        <v>2182</v>
      </c>
      <c r="D39" s="2" t="s">
        <v>2183</v>
      </c>
      <c r="E39" s="2" t="s">
        <v>320</v>
      </c>
      <c r="F39" s="2" t="s">
        <v>2266</v>
      </c>
      <c r="G39" s="2">
        <v>7314</v>
      </c>
      <c r="H39" s="2" t="s">
        <v>33</v>
      </c>
      <c r="I39" s="2" t="s">
        <v>1039</v>
      </c>
      <c r="J39" s="2" t="s">
        <v>848</v>
      </c>
      <c r="K39" s="2" t="s">
        <v>100</v>
      </c>
      <c r="L39" s="2" t="s">
        <v>2264</v>
      </c>
      <c r="M39" s="2" t="s">
        <v>101</v>
      </c>
      <c r="N39" s="2" t="s">
        <v>101</v>
      </c>
      <c r="O39" s="2" t="s">
        <v>139</v>
      </c>
      <c r="P39" s="159" t="s">
        <v>2267</v>
      </c>
      <c r="Q39" s="2" t="s">
        <v>105</v>
      </c>
      <c r="R39" s="2" t="s">
        <v>901</v>
      </c>
      <c r="S39" s="2" t="s">
        <v>905</v>
      </c>
      <c r="T39" s="157" t="s">
        <v>2144</v>
      </c>
      <c r="U39" s="134">
        <v>3.6469999999999998</v>
      </c>
      <c r="V39" s="124">
        <v>1611.6959999999999</v>
      </c>
      <c r="W39" s="124">
        <v>5877.8549999999996</v>
      </c>
      <c r="X39" s="140">
        <v>1.2632000000000001E-2</v>
      </c>
      <c r="Y39" s="140">
        <v>3.6474058760997199E-2</v>
      </c>
      <c r="Z39" s="140">
        <v>4.2532097848617901E-3</v>
      </c>
    </row>
    <row r="40" spans="1:26">
      <c r="A40" s="2">
        <v>301</v>
      </c>
      <c r="B40" s="2">
        <v>7210</v>
      </c>
      <c r="C40" s="2" t="s">
        <v>2182</v>
      </c>
      <c r="D40" s="2" t="s">
        <v>2183</v>
      </c>
      <c r="E40" s="2" t="s">
        <v>320</v>
      </c>
      <c r="F40" s="2" t="s">
        <v>2268</v>
      </c>
      <c r="G40" s="2">
        <v>7085</v>
      </c>
      <c r="H40" s="2" t="s">
        <v>33</v>
      </c>
      <c r="I40" s="2" t="s">
        <v>1035</v>
      </c>
      <c r="J40" s="2" t="s">
        <v>848</v>
      </c>
      <c r="K40" s="2" t="s">
        <v>100</v>
      </c>
      <c r="L40" s="2" t="s">
        <v>2264</v>
      </c>
      <c r="M40" s="2" t="s">
        <v>101</v>
      </c>
      <c r="N40" s="2" t="s">
        <v>101</v>
      </c>
      <c r="O40" s="2" t="s">
        <v>139</v>
      </c>
      <c r="P40" s="159" t="s">
        <v>2269</v>
      </c>
      <c r="Q40" s="2" t="s">
        <v>105</v>
      </c>
      <c r="R40" s="2" t="s">
        <v>901</v>
      </c>
      <c r="S40" s="2" t="s">
        <v>905</v>
      </c>
      <c r="T40" s="157" t="s">
        <v>2144</v>
      </c>
      <c r="U40" s="134">
        <v>3.6469999999999998</v>
      </c>
      <c r="V40" s="124">
        <v>2800.3879999999999</v>
      </c>
      <c r="W40" s="124">
        <v>10213.014999999999</v>
      </c>
      <c r="X40" s="140">
        <v>3.1911000000000002E-2</v>
      </c>
      <c r="Y40" s="140">
        <v>6.3375175259845096E-2</v>
      </c>
      <c r="Z40" s="140">
        <v>7.3901267006988604E-3</v>
      </c>
    </row>
    <row r="41" spans="1:26">
      <c r="A41" s="2">
        <v>301</v>
      </c>
      <c r="B41" s="2">
        <v>7210</v>
      </c>
      <c r="C41" s="2" t="s">
        <v>2242</v>
      </c>
      <c r="D41" s="2" t="s">
        <v>2243</v>
      </c>
      <c r="E41" s="2" t="s">
        <v>320</v>
      </c>
      <c r="F41" s="2" t="s">
        <v>2270</v>
      </c>
      <c r="G41" s="2">
        <v>29993617</v>
      </c>
      <c r="H41" s="2" t="s">
        <v>33</v>
      </c>
      <c r="I41" s="2" t="s">
        <v>1035</v>
      </c>
      <c r="J41" s="2" t="s">
        <v>860</v>
      </c>
      <c r="K41" s="2" t="s">
        <v>100</v>
      </c>
      <c r="L41" s="2" t="s">
        <v>101</v>
      </c>
      <c r="M41" s="2" t="s">
        <v>30</v>
      </c>
      <c r="N41" s="2" t="s">
        <v>101</v>
      </c>
      <c r="O41" s="2" t="s">
        <v>139</v>
      </c>
      <c r="P41" s="159" t="s">
        <v>2271</v>
      </c>
      <c r="Q41" s="2" t="s">
        <v>105</v>
      </c>
      <c r="R41" s="2" t="s">
        <v>901</v>
      </c>
      <c r="S41" s="2" t="s">
        <v>905</v>
      </c>
      <c r="T41" s="157" t="s">
        <v>2272</v>
      </c>
      <c r="U41" s="134">
        <v>3.6469999999999998</v>
      </c>
      <c r="V41" s="124">
        <v>126.867</v>
      </c>
      <c r="W41" s="124">
        <v>462.685</v>
      </c>
      <c r="X41" s="140">
        <v>7.7200000000000001E-4</v>
      </c>
      <c r="Y41" s="140">
        <v>2.8711171370122898E-3</v>
      </c>
      <c r="Z41" s="140">
        <v>3.3479859153166602E-4</v>
      </c>
    </row>
    <row r="42" spans="1:26">
      <c r="A42" s="2">
        <v>301</v>
      </c>
      <c r="B42" s="2">
        <v>7210</v>
      </c>
      <c r="C42" s="2" t="s">
        <v>2273</v>
      </c>
      <c r="D42" s="2" t="s">
        <v>2274</v>
      </c>
      <c r="E42" s="2" t="s">
        <v>33</v>
      </c>
      <c r="F42" s="2" t="s">
        <v>2275</v>
      </c>
      <c r="G42" s="2">
        <v>9005010</v>
      </c>
      <c r="H42" s="2" t="s">
        <v>33</v>
      </c>
      <c r="I42" s="2" t="s">
        <v>1035</v>
      </c>
      <c r="J42" s="2" t="s">
        <v>858</v>
      </c>
      <c r="K42" s="2" t="s">
        <v>100</v>
      </c>
      <c r="L42" s="2" t="s">
        <v>2276</v>
      </c>
      <c r="M42" s="2" t="s">
        <v>2277</v>
      </c>
      <c r="N42" s="2" t="s">
        <v>302</v>
      </c>
      <c r="O42" s="2" t="s">
        <v>139</v>
      </c>
      <c r="P42" s="159" t="s">
        <v>2278</v>
      </c>
      <c r="Q42" s="2" t="s">
        <v>1183</v>
      </c>
      <c r="R42" s="2" t="s">
        <v>901</v>
      </c>
      <c r="S42" s="2" t="s">
        <v>905</v>
      </c>
      <c r="T42" s="157" t="s">
        <v>2144</v>
      </c>
      <c r="U42" s="134">
        <v>3.7964000000000002</v>
      </c>
      <c r="V42" s="124">
        <v>16.54</v>
      </c>
      <c r="W42" s="124">
        <v>62.792999999999999</v>
      </c>
      <c r="X42" s="140">
        <v>9.7999999999999997E-5</v>
      </c>
      <c r="Y42" s="140">
        <v>3.8964849238326901E-4</v>
      </c>
      <c r="Z42" s="140">
        <v>4.5436587995886E-5</v>
      </c>
    </row>
    <row r="43" spans="1:26">
      <c r="A43" s="2">
        <v>301</v>
      </c>
      <c r="B43" s="2">
        <v>7210</v>
      </c>
      <c r="C43" s="2" t="s">
        <v>2279</v>
      </c>
      <c r="D43" s="2" t="s">
        <v>2280</v>
      </c>
      <c r="E43" s="2" t="s">
        <v>1330</v>
      </c>
      <c r="F43" s="2" t="s">
        <v>2281</v>
      </c>
      <c r="G43" s="2">
        <v>7558</v>
      </c>
      <c r="H43" s="2" t="s">
        <v>33</v>
      </c>
      <c r="I43" s="2" t="s">
        <v>1039</v>
      </c>
      <c r="J43" s="2" t="s">
        <v>848</v>
      </c>
      <c r="K43" s="2" t="s">
        <v>100</v>
      </c>
      <c r="L43" s="2" t="s">
        <v>101</v>
      </c>
      <c r="M43" s="2" t="s">
        <v>101</v>
      </c>
      <c r="N43" s="2" t="s">
        <v>101</v>
      </c>
      <c r="O43" s="2" t="s">
        <v>139</v>
      </c>
      <c r="P43" s="159" t="s">
        <v>2282</v>
      </c>
      <c r="Q43" s="2" t="s">
        <v>105</v>
      </c>
      <c r="R43" s="2" t="s">
        <v>901</v>
      </c>
      <c r="S43" s="2" t="s">
        <v>905</v>
      </c>
      <c r="T43" s="157" t="s">
        <v>2202</v>
      </c>
      <c r="U43" s="134">
        <v>3.6469999999999998</v>
      </c>
      <c r="V43" s="124">
        <v>1528.28</v>
      </c>
      <c r="W43" s="124">
        <v>5573.6369999999997</v>
      </c>
      <c r="X43" s="140">
        <v>6.6670000000000002E-3</v>
      </c>
      <c r="Y43" s="140">
        <v>3.4586283345777798E-2</v>
      </c>
      <c r="Z43" s="140">
        <v>4.0330778571198199E-3</v>
      </c>
    </row>
    <row r="44" spans="1:26">
      <c r="A44" s="2">
        <v>301</v>
      </c>
      <c r="B44" s="2">
        <v>7210</v>
      </c>
      <c r="C44" s="2" t="s">
        <v>2283</v>
      </c>
      <c r="D44" s="2" t="s">
        <v>2284</v>
      </c>
      <c r="E44" s="2" t="s">
        <v>320</v>
      </c>
      <c r="F44" s="2" t="s">
        <v>2285</v>
      </c>
      <c r="G44" s="2">
        <v>9213270</v>
      </c>
      <c r="H44" s="2" t="s">
        <v>33</v>
      </c>
      <c r="I44" s="2" t="s">
        <v>1039</v>
      </c>
      <c r="J44" s="2" t="s">
        <v>576</v>
      </c>
      <c r="K44" s="2" t="s">
        <v>100</v>
      </c>
      <c r="L44" s="2" t="s">
        <v>2286</v>
      </c>
      <c r="M44" s="2" t="s">
        <v>2286</v>
      </c>
      <c r="N44" s="2" t="s">
        <v>101</v>
      </c>
      <c r="O44" s="2" t="s">
        <v>139</v>
      </c>
      <c r="P44" s="159" t="s">
        <v>2287</v>
      </c>
      <c r="Q44" s="2" t="s">
        <v>105</v>
      </c>
      <c r="R44" s="2" t="s">
        <v>901</v>
      </c>
      <c r="S44" s="2" t="s">
        <v>905</v>
      </c>
      <c r="T44" s="157" t="s">
        <v>2181</v>
      </c>
      <c r="U44" s="134">
        <v>3.6469999999999998</v>
      </c>
      <c r="V44" s="124">
        <v>69.876000000000005</v>
      </c>
      <c r="W44" s="124">
        <v>254.839</v>
      </c>
      <c r="X44" s="140">
        <v>2.9239999999999999E-3</v>
      </c>
      <c r="Y44" s="140">
        <v>1.5813636077667301E-3</v>
      </c>
      <c r="Z44" s="140">
        <v>1.8440150064050399E-4</v>
      </c>
    </row>
    <row r="45" spans="1:26">
      <c r="A45" s="2">
        <v>301</v>
      </c>
      <c r="B45" s="2">
        <v>7210</v>
      </c>
      <c r="C45" s="2" t="s">
        <v>2191</v>
      </c>
      <c r="D45" s="2" t="s">
        <v>2288</v>
      </c>
      <c r="E45" s="2" t="s">
        <v>33</v>
      </c>
      <c r="F45" s="2" t="s">
        <v>2289</v>
      </c>
      <c r="G45" s="2">
        <v>29993477</v>
      </c>
      <c r="H45" s="2" t="s">
        <v>33</v>
      </c>
      <c r="I45" s="2" t="s">
        <v>1037</v>
      </c>
      <c r="J45" s="2" t="s">
        <v>576</v>
      </c>
      <c r="K45" s="2" t="s">
        <v>100</v>
      </c>
      <c r="L45" s="2" t="s">
        <v>2290</v>
      </c>
      <c r="M45" s="2" t="s">
        <v>2291</v>
      </c>
      <c r="N45" s="2" t="s">
        <v>101</v>
      </c>
      <c r="O45" s="2" t="s">
        <v>139</v>
      </c>
      <c r="P45" s="159" t="s">
        <v>2292</v>
      </c>
      <c r="Q45" s="2" t="s">
        <v>105</v>
      </c>
      <c r="R45" s="2" t="s">
        <v>901</v>
      </c>
      <c r="S45" s="2" t="s">
        <v>905</v>
      </c>
      <c r="T45" s="157" t="s">
        <v>2149</v>
      </c>
      <c r="U45" s="134">
        <v>3.6469999999999998</v>
      </c>
      <c r="V45" s="124">
        <v>32.866999999999997</v>
      </c>
      <c r="W45" s="124">
        <v>119.86799999999999</v>
      </c>
      <c r="X45" s="140">
        <v>0</v>
      </c>
      <c r="Y45" s="140">
        <v>7.4381796127709105E-4</v>
      </c>
      <c r="Z45" s="140">
        <v>8.6735996445852699E-5</v>
      </c>
    </row>
    <row r="46" spans="1:26">
      <c r="A46" s="2">
        <v>301</v>
      </c>
      <c r="B46" s="2">
        <v>7210</v>
      </c>
      <c r="C46" s="2" t="s">
        <v>2293</v>
      </c>
      <c r="D46" s="2" t="s">
        <v>2294</v>
      </c>
      <c r="E46" s="2" t="s">
        <v>1330</v>
      </c>
      <c r="F46" s="2" t="s">
        <v>2295</v>
      </c>
      <c r="G46" s="2">
        <v>7371</v>
      </c>
      <c r="H46" s="2" t="s">
        <v>33</v>
      </c>
      <c r="I46" s="2" t="s">
        <v>1039</v>
      </c>
      <c r="J46" s="2" t="s">
        <v>848</v>
      </c>
      <c r="K46" s="2" t="s">
        <v>100</v>
      </c>
      <c r="L46" s="2" t="s">
        <v>227</v>
      </c>
      <c r="M46" s="2" t="s">
        <v>30</v>
      </c>
      <c r="N46" s="2" t="s">
        <v>302</v>
      </c>
      <c r="O46" s="2" t="s">
        <v>139</v>
      </c>
      <c r="P46" s="159" t="s">
        <v>2296</v>
      </c>
      <c r="Q46" s="2" t="s">
        <v>1183</v>
      </c>
      <c r="R46" s="2" t="s">
        <v>901</v>
      </c>
      <c r="S46" s="2" t="s">
        <v>905</v>
      </c>
      <c r="T46" s="157" t="s">
        <v>2114</v>
      </c>
      <c r="U46" s="134">
        <v>3.7964000000000002</v>
      </c>
      <c r="V46" s="124">
        <v>849.01499999999999</v>
      </c>
      <c r="W46" s="124">
        <v>3223.2</v>
      </c>
      <c r="X46" s="140">
        <v>7.2449999999999997E-3</v>
      </c>
      <c r="Y46" s="140">
        <v>2.0001032487891101E-2</v>
      </c>
      <c r="Z46" s="140">
        <v>2.3323038338635199E-3</v>
      </c>
    </row>
    <row r="47" spans="1:26">
      <c r="A47" s="2">
        <v>301</v>
      </c>
      <c r="B47" s="2">
        <v>7210</v>
      </c>
      <c r="C47" s="2" t="s">
        <v>2297</v>
      </c>
      <c r="D47" s="2" t="s">
        <v>2298</v>
      </c>
      <c r="E47" s="2" t="s">
        <v>1330</v>
      </c>
      <c r="F47" s="2" t="s">
        <v>2299</v>
      </c>
      <c r="G47" s="2">
        <v>6302</v>
      </c>
      <c r="H47" s="2" t="s">
        <v>33</v>
      </c>
      <c r="I47" s="2" t="s">
        <v>1039</v>
      </c>
      <c r="J47" s="2" t="s">
        <v>576</v>
      </c>
      <c r="K47" s="2" t="s">
        <v>100</v>
      </c>
      <c r="L47" s="2" t="s">
        <v>2194</v>
      </c>
      <c r="M47" s="2" t="s">
        <v>2300</v>
      </c>
      <c r="N47" s="2" t="s">
        <v>302</v>
      </c>
      <c r="O47" s="2" t="s">
        <v>139</v>
      </c>
      <c r="P47" s="159" t="s">
        <v>2301</v>
      </c>
      <c r="Q47" s="2" t="s">
        <v>1183</v>
      </c>
      <c r="R47" s="2" t="s">
        <v>901</v>
      </c>
      <c r="S47" s="2" t="s">
        <v>905</v>
      </c>
      <c r="T47" s="157" t="s">
        <v>2144</v>
      </c>
      <c r="U47" s="134">
        <v>3.7964000000000002</v>
      </c>
      <c r="V47" s="124">
        <v>54.335999999999999</v>
      </c>
      <c r="W47" s="124">
        <v>206.28200000000001</v>
      </c>
      <c r="X47" s="140">
        <v>2.2750000000000001E-3</v>
      </c>
      <c r="Y47" s="140">
        <v>1.2800461575822001E-3</v>
      </c>
      <c r="Z47" s="140">
        <v>1.4926512232099401E-4</v>
      </c>
    </row>
  </sheetData>
  <sheetProtection formatColumns="0"/>
  <customSheetViews>
    <customSheetView guid="{AE318230-F718-49FC-82EB-7CAC3DCD05F1}" showGridLines="0" hiddenRows="1" topLeftCell="P1">
      <selection activeCell="Z2" sqref="Z2"/>
      <pageMargins left="0.7" right="0.7" top="0.75" bottom="0.75" header="0.3" footer="0.3"/>
    </customSheetView>
  </customSheetViews>
  <dataValidations count="9">
    <dataValidation type="list" allowBlank="1" showInputMessage="1" showErrorMessage="1" sqref="J2:J20" xr:uid="{00000000-0002-0000-1300-000000000000}">
      <formula1>Fund_Strategy</formula1>
    </dataValidation>
    <dataValidation type="list" allowBlank="1" showInputMessage="1" showErrorMessage="1" sqref="K2:K20" xr:uid="{00000000-0002-0000-1300-000001000000}">
      <formula1>israel_abroad</formula1>
    </dataValidation>
    <dataValidation type="list" allowBlank="1" showInputMessage="1" showErrorMessage="1" sqref="O2:O20" xr:uid="{00000000-0002-0000-1300-000002000000}">
      <formula1>Holding_interest</formula1>
    </dataValidation>
    <dataValidation type="list" allowBlank="1" showInputMessage="1" showErrorMessage="1" sqref="R2:R20" xr:uid="{00000000-0002-0000-1300-000003000000}">
      <formula1>Valuation</formula1>
    </dataValidation>
    <dataValidation type="list" allowBlank="1" showInputMessage="1" showErrorMessage="1" sqref="S2:S20" xr:uid="{00000000-0002-0000-1300-000004000000}">
      <formula1>Dependence_Independence</formula1>
    </dataValidation>
    <dataValidation type="list" allowBlank="1" showInputMessage="1" showErrorMessage="1" sqref="L2:M20" xr:uid="{00000000-0002-0000-1300-000005000000}">
      <formula1>Country_list</formula1>
    </dataValidation>
    <dataValidation type="list" allowBlank="1" showInputMessage="1" showErrorMessage="1" sqref="E2:E20" xr:uid="{00000000-0002-0000-1300-000007000000}">
      <formula1>Issuer_Number_Fund</formula1>
    </dataValidation>
    <dataValidation type="list" allowBlank="1" showInputMessage="1" showErrorMessage="1" sqref="H2:H20" xr:uid="{00000000-0002-0000-1300-000008000000}">
      <formula1>Type_of_Security_ID_Fund</formula1>
    </dataValidation>
    <dataValidation type="list" allowBlank="1" showInputMessage="1" showErrorMessage="1" sqref="N2:N20" xr:uid="{00000000-0002-0000-1300-000009000000}">
      <formula1>Country_list_funds</formula1>
    </dataValidation>
  </dataValidations>
  <pageMargins left="0.7" right="0.7" top="0.75" bottom="0.75" header="0.3" footer="0.3"/>
  <pageSetup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A000000}">
          <x14:formula1>
            <xm:f>'אפשרויות בחירה'!$C$956:$C$963</xm:f>
          </x14:formula1>
          <xm:sqref>I2:I24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Sheet21"/>
  <dimension ref="A1:AC5"/>
  <sheetViews>
    <sheetView rightToLeft="1" zoomScale="70" zoomScaleNormal="70" workbookViewId="0">
      <selection activeCell="A4" sqref="A4:XFD4"/>
    </sheetView>
  </sheetViews>
  <sheetFormatPr defaultColWidth="0" defaultRowHeight="14.25" zeroHeight="1"/>
  <cols>
    <col min="1" max="28" width="11.625" customWidth="1"/>
    <col min="29" max="29" width="11.625" hidden="1" customWidth="1"/>
  </cols>
  <sheetData>
    <row r="1" spans="1:28" ht="66.75" customHeight="1">
      <c r="A1" s="12" t="s">
        <v>0</v>
      </c>
      <c r="B1" s="12" t="s">
        <v>1</v>
      </c>
      <c r="C1" s="12" t="s">
        <v>2</v>
      </c>
      <c r="D1" s="12" t="s">
        <v>156</v>
      </c>
      <c r="E1" s="12" t="s">
        <v>157</v>
      </c>
      <c r="F1" s="12" t="s">
        <v>3</v>
      </c>
      <c r="G1" s="12" t="s">
        <v>4</v>
      </c>
      <c r="H1" s="12" t="s">
        <v>158</v>
      </c>
      <c r="I1" s="12" t="s">
        <v>6</v>
      </c>
      <c r="J1" s="12" t="s">
        <v>7</v>
      </c>
      <c r="K1" s="12" t="s">
        <v>333</v>
      </c>
      <c r="L1" s="12" t="s">
        <v>1118</v>
      </c>
      <c r="M1" s="12" t="s">
        <v>159</v>
      </c>
      <c r="N1" s="155" t="s">
        <v>1119</v>
      </c>
      <c r="O1" s="12" t="s">
        <v>125</v>
      </c>
      <c r="P1" s="155" t="s">
        <v>167</v>
      </c>
      <c r="Q1" s="12" t="s">
        <v>11</v>
      </c>
      <c r="R1" s="12" t="s">
        <v>160</v>
      </c>
      <c r="S1" s="12" t="s">
        <v>161</v>
      </c>
      <c r="T1" s="155" t="s">
        <v>134</v>
      </c>
      <c r="U1" s="144" t="s">
        <v>1120</v>
      </c>
      <c r="V1" s="12" t="s">
        <v>1121</v>
      </c>
      <c r="W1" s="12" t="s">
        <v>17</v>
      </c>
      <c r="X1" s="144" t="s">
        <v>19</v>
      </c>
      <c r="Y1" s="133" t="s">
        <v>18</v>
      </c>
      <c r="Z1" s="12" t="s">
        <v>20</v>
      </c>
      <c r="AA1" s="139" t="s">
        <v>24</v>
      </c>
      <c r="AB1" s="139" t="s">
        <v>25</v>
      </c>
    </row>
    <row r="2" spans="1:28">
      <c r="A2" s="13">
        <v>301</v>
      </c>
      <c r="B2" s="13">
        <v>7209</v>
      </c>
      <c r="C2" s="13" t="s">
        <v>1446</v>
      </c>
      <c r="D2" s="13" t="s">
        <v>1447</v>
      </c>
      <c r="E2" s="11" t="s">
        <v>1330</v>
      </c>
      <c r="F2" s="13" t="s">
        <v>1448</v>
      </c>
      <c r="G2" s="13" t="s">
        <v>1449</v>
      </c>
      <c r="H2" s="13" t="s">
        <v>33</v>
      </c>
      <c r="I2" s="11" t="s">
        <v>30</v>
      </c>
      <c r="J2" s="11" t="s">
        <v>30</v>
      </c>
      <c r="K2" s="13" t="s">
        <v>336</v>
      </c>
      <c r="L2" s="13" t="s">
        <v>1450</v>
      </c>
      <c r="M2" s="13" t="s">
        <v>447</v>
      </c>
      <c r="N2" s="156" t="s">
        <v>1451</v>
      </c>
      <c r="O2" s="13" t="s">
        <v>139</v>
      </c>
      <c r="P2" s="156" t="s">
        <v>1452</v>
      </c>
      <c r="Q2" s="11" t="s">
        <v>34</v>
      </c>
      <c r="R2" s="13" t="s">
        <v>109</v>
      </c>
      <c r="S2" s="13"/>
      <c r="T2" s="156" t="s">
        <v>140</v>
      </c>
      <c r="U2" s="150">
        <v>11200</v>
      </c>
      <c r="V2" s="126">
        <v>0</v>
      </c>
      <c r="W2" s="126">
        <v>67</v>
      </c>
      <c r="X2" s="150">
        <v>0</v>
      </c>
      <c r="Y2" s="149">
        <v>1</v>
      </c>
      <c r="Z2" s="126">
        <v>0</v>
      </c>
      <c r="AA2" s="148">
        <v>1</v>
      </c>
      <c r="AB2" s="148">
        <v>3.2687567138208601E-14</v>
      </c>
    </row>
    <row r="3" spans="1:28">
      <c r="A3" s="13">
        <v>301</v>
      </c>
      <c r="B3" s="13">
        <v>7210</v>
      </c>
      <c r="C3" s="13" t="s">
        <v>1446</v>
      </c>
      <c r="D3" s="13" t="s">
        <v>1447</v>
      </c>
      <c r="E3" s="11" t="s">
        <v>1330</v>
      </c>
      <c r="F3" s="13" t="s">
        <v>1448</v>
      </c>
      <c r="G3" s="13" t="s">
        <v>1449</v>
      </c>
      <c r="H3" s="13" t="s">
        <v>33</v>
      </c>
      <c r="I3" s="11" t="s">
        <v>30</v>
      </c>
      <c r="J3" s="11" t="s">
        <v>30</v>
      </c>
      <c r="K3" s="13" t="s">
        <v>336</v>
      </c>
      <c r="L3" s="13" t="s">
        <v>1450</v>
      </c>
      <c r="M3" s="13" t="s">
        <v>447</v>
      </c>
      <c r="N3" s="156" t="s">
        <v>1451</v>
      </c>
      <c r="O3" s="13" t="s">
        <v>139</v>
      </c>
      <c r="P3" s="156" t="s">
        <v>1452</v>
      </c>
      <c r="Q3" s="11" t="s">
        <v>34</v>
      </c>
      <c r="R3" s="13" t="s">
        <v>109</v>
      </c>
      <c r="S3" s="13"/>
      <c r="T3" s="156" t="s">
        <v>140</v>
      </c>
      <c r="U3" s="150">
        <v>11200</v>
      </c>
      <c r="V3" s="126">
        <v>0</v>
      </c>
      <c r="W3" s="126">
        <v>4571</v>
      </c>
      <c r="X3" s="150">
        <v>0</v>
      </c>
      <c r="Y3" s="149">
        <v>1</v>
      </c>
      <c r="Z3" s="126">
        <v>0</v>
      </c>
      <c r="AA3" s="148">
        <v>1.48635424212472E-10</v>
      </c>
      <c r="AB3" s="148">
        <v>3.3075706860140704E-14</v>
      </c>
    </row>
    <row r="4" spans="1:28">
      <c r="A4" s="13">
        <v>301</v>
      </c>
      <c r="B4" s="13">
        <v>7210</v>
      </c>
      <c r="C4" s="13" t="s">
        <v>1453</v>
      </c>
      <c r="D4" s="13" t="s">
        <v>1454</v>
      </c>
      <c r="E4" s="11" t="s">
        <v>321</v>
      </c>
      <c r="F4" s="13" t="s">
        <v>1455</v>
      </c>
      <c r="G4" s="13" t="s">
        <v>1456</v>
      </c>
      <c r="H4" s="13" t="s">
        <v>33</v>
      </c>
      <c r="I4" s="11" t="s">
        <v>100</v>
      </c>
      <c r="J4" s="11" t="s">
        <v>101</v>
      </c>
      <c r="K4" s="13" t="s">
        <v>109</v>
      </c>
      <c r="L4" s="13"/>
      <c r="M4" s="13" t="s">
        <v>109</v>
      </c>
      <c r="N4" s="13"/>
      <c r="O4" s="13" t="s">
        <v>139</v>
      </c>
      <c r="P4" s="156" t="s">
        <v>1457</v>
      </c>
      <c r="Q4" s="11" t="s">
        <v>105</v>
      </c>
      <c r="R4" s="13" t="s">
        <v>109</v>
      </c>
      <c r="S4" s="13" t="s">
        <v>905</v>
      </c>
      <c r="T4" s="156" t="s">
        <v>1458</v>
      </c>
      <c r="U4" s="13"/>
      <c r="V4" s="13"/>
      <c r="W4" s="126">
        <v>28125</v>
      </c>
      <c r="X4" s="150">
        <v>299.82</v>
      </c>
      <c r="Y4" s="149">
        <v>3.6469999999999998</v>
      </c>
      <c r="Z4" s="126">
        <v>307.53100000000001</v>
      </c>
      <c r="AA4" s="148">
        <v>0.99999999985136401</v>
      </c>
      <c r="AB4" s="148">
        <v>2.2252909782760201E-4</v>
      </c>
    </row>
    <row r="5" spans="1:28">
      <c r="A5" s="13">
        <v>301</v>
      </c>
      <c r="B5" s="13">
        <v>7211</v>
      </c>
      <c r="C5" s="13" t="s">
        <v>1446</v>
      </c>
      <c r="D5" s="13" t="s">
        <v>1447</v>
      </c>
      <c r="E5" s="11" t="s">
        <v>1330</v>
      </c>
      <c r="F5" s="13" t="s">
        <v>1448</v>
      </c>
      <c r="G5" s="13" t="s">
        <v>1449</v>
      </c>
      <c r="H5" s="13" t="s">
        <v>33</v>
      </c>
      <c r="I5" s="11" t="s">
        <v>30</v>
      </c>
      <c r="J5" s="11" t="s">
        <v>30</v>
      </c>
      <c r="K5" s="13" t="s">
        <v>336</v>
      </c>
      <c r="L5" s="13" t="s">
        <v>1450</v>
      </c>
      <c r="M5" s="13" t="s">
        <v>447</v>
      </c>
      <c r="N5" s="13" t="s">
        <v>1451</v>
      </c>
      <c r="O5" s="13" t="s">
        <v>139</v>
      </c>
      <c r="P5" s="156" t="s">
        <v>1452</v>
      </c>
      <c r="Q5" s="11" t="s">
        <v>34</v>
      </c>
      <c r="R5" s="13" t="s">
        <v>109</v>
      </c>
      <c r="S5" s="13"/>
      <c r="T5" s="156" t="s">
        <v>140</v>
      </c>
      <c r="U5" s="126">
        <v>11200</v>
      </c>
      <c r="V5" s="126">
        <v>0</v>
      </c>
      <c r="W5" s="126">
        <v>86</v>
      </c>
      <c r="X5" s="150">
        <v>0</v>
      </c>
      <c r="Y5" s="149">
        <v>1</v>
      </c>
      <c r="Z5" s="126">
        <v>0</v>
      </c>
      <c r="AA5" s="148">
        <v>1</v>
      </c>
      <c r="AB5" s="148">
        <v>4.0271487960986403E-14</v>
      </c>
    </row>
  </sheetData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0">
    <dataValidation type="list" allowBlank="1" showInputMessage="1" showErrorMessage="1" sqref="I2:I5" xr:uid="{00000000-0002-0000-1400-000000000000}">
      <formula1>israel_abroad</formula1>
    </dataValidation>
    <dataValidation type="list" allowBlank="1" showInputMessage="1" showErrorMessage="1" sqref="O2:O5" xr:uid="{00000000-0002-0000-1400-000001000000}">
      <formula1>Holding_interest</formula1>
    </dataValidation>
    <dataValidation type="list" allowBlank="1" showInputMessage="1" showErrorMessage="1" sqref="R2:R5" xr:uid="{00000000-0002-0000-1400-000002000000}">
      <formula1>Valuation</formula1>
    </dataValidation>
    <dataValidation type="list" allowBlank="1" showInputMessage="1" showErrorMessage="1" sqref="S2:S5" xr:uid="{00000000-0002-0000-1400-000003000000}">
      <formula1>Dependence_Independence</formula1>
    </dataValidation>
    <dataValidation type="list" allowBlank="1" showInputMessage="1" showErrorMessage="1" sqref="J2:J5" xr:uid="{00000000-0002-0000-1400-000004000000}">
      <formula1>Country_list</formula1>
    </dataValidation>
    <dataValidation type="list" allowBlank="1" showInputMessage="1" showErrorMessage="1" sqref="H2:H5" xr:uid="{00000000-0002-0000-1400-000005000000}">
      <formula1>Type_of_Security_ID</formula1>
    </dataValidation>
    <dataValidation type="list" allowBlank="1" showInputMessage="1" showErrorMessage="1" sqref="E2" xr:uid="{00000000-0002-0000-1400-000006000000}">
      <formula1>Issuer_Number_Type_3</formula1>
    </dataValidation>
    <dataValidation type="list" allowBlank="1" showInputMessage="1" showErrorMessage="1" sqref="E3:E5" xr:uid="{00000000-0002-0000-1400-000007000000}">
      <formula1>Issuer_Number_Type_2</formula1>
    </dataValidation>
    <dataValidation type="list" allowBlank="1" showInputMessage="1" showErrorMessage="1" sqref="M2:M5" xr:uid="{00000000-0002-0000-1400-000008000000}">
      <formula1>Industry_Sector</formula1>
    </dataValidation>
    <dataValidation type="list" allowBlank="1" showInputMessage="1" showErrorMessage="1" sqref="K2:K5" xr:uid="{00000000-0002-0000-1400-000009000000}">
      <formula1>tradeable_status_warrants_v2</formula1>
    </dataValidation>
  </dataValidation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Sheet22"/>
  <dimension ref="A1:AC1"/>
  <sheetViews>
    <sheetView rightToLeft="1" zoomScale="70" zoomScaleNormal="70" workbookViewId="0"/>
  </sheetViews>
  <sheetFormatPr defaultColWidth="0" defaultRowHeight="14.25" zeroHeight="1"/>
  <cols>
    <col min="1" max="28" width="11.625" customWidth="1"/>
    <col min="29" max="29" width="11.625" hidden="1" customWidth="1"/>
  </cols>
  <sheetData>
    <row r="1" spans="1:28" ht="66.75" customHeight="1">
      <c r="A1" s="12" t="s">
        <v>0</v>
      </c>
      <c r="B1" s="12" t="s">
        <v>1</v>
      </c>
      <c r="C1" s="12" t="s">
        <v>2</v>
      </c>
      <c r="D1" s="12" t="s">
        <v>156</v>
      </c>
      <c r="E1" s="12" t="s">
        <v>157</v>
      </c>
      <c r="F1" s="12" t="s">
        <v>3</v>
      </c>
      <c r="G1" s="12" t="s">
        <v>4</v>
      </c>
      <c r="H1" s="12" t="s">
        <v>158</v>
      </c>
      <c r="I1" s="12" t="s">
        <v>5</v>
      </c>
      <c r="J1" s="12" t="s">
        <v>6</v>
      </c>
      <c r="K1" s="12" t="s">
        <v>7</v>
      </c>
      <c r="L1" s="12" t="s">
        <v>159</v>
      </c>
      <c r="M1" s="12" t="s">
        <v>182</v>
      </c>
      <c r="N1" s="12" t="s">
        <v>1119</v>
      </c>
      <c r="O1" s="12" t="s">
        <v>125</v>
      </c>
      <c r="P1" s="12" t="s">
        <v>167</v>
      </c>
      <c r="Q1" s="12" t="s">
        <v>11</v>
      </c>
      <c r="R1" s="12" t="s">
        <v>160</v>
      </c>
      <c r="S1" s="12" t="s">
        <v>161</v>
      </c>
      <c r="T1" s="12" t="s">
        <v>134</v>
      </c>
      <c r="U1" s="12" t="s">
        <v>1120</v>
      </c>
      <c r="V1" s="12" t="s">
        <v>1121</v>
      </c>
      <c r="W1" s="12" t="s">
        <v>17</v>
      </c>
      <c r="X1" s="12" t="s">
        <v>19</v>
      </c>
      <c r="Y1" s="12" t="s">
        <v>18</v>
      </c>
      <c r="Z1" s="12" t="s">
        <v>1459</v>
      </c>
      <c r="AA1" s="12" t="s">
        <v>24</v>
      </c>
      <c r="AB1" s="12" t="s">
        <v>25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Sheet23"/>
  <dimension ref="A1:AO15"/>
  <sheetViews>
    <sheetView rightToLeft="1" topLeftCell="E1" zoomScale="70" zoomScaleNormal="70" workbookViewId="0">
      <selection activeCell="W12" sqref="W12"/>
    </sheetView>
  </sheetViews>
  <sheetFormatPr defaultColWidth="0" defaultRowHeight="14.25" zeroHeight="1"/>
  <cols>
    <col min="1" max="41" width="11.625" customWidth="1"/>
  </cols>
  <sheetData>
    <row r="1" spans="1:41" ht="66.75" customHeight="1">
      <c r="A1" s="12" t="s">
        <v>0</v>
      </c>
      <c r="B1" s="12" t="s">
        <v>1</v>
      </c>
      <c r="C1" s="12" t="s">
        <v>5</v>
      </c>
      <c r="D1" s="12" t="s">
        <v>1134</v>
      </c>
      <c r="E1" s="12" t="s">
        <v>1135</v>
      </c>
      <c r="F1" s="144" t="s">
        <v>18</v>
      </c>
      <c r="G1" s="12" t="s">
        <v>1136</v>
      </c>
      <c r="H1" s="12" t="s">
        <v>1137</v>
      </c>
      <c r="I1" s="12" t="s">
        <v>1138</v>
      </c>
      <c r="J1" s="12" t="s">
        <v>1139</v>
      </c>
      <c r="K1" s="12" t="s">
        <v>1140</v>
      </c>
      <c r="L1" s="12" t="s">
        <v>1141</v>
      </c>
      <c r="M1" s="144" t="s">
        <v>18</v>
      </c>
      <c r="N1" s="12" t="s">
        <v>1142</v>
      </c>
      <c r="O1" s="12" t="s">
        <v>1143</v>
      </c>
      <c r="P1" s="12" t="s">
        <v>1298</v>
      </c>
      <c r="Q1" s="12" t="s">
        <v>1299</v>
      </c>
      <c r="R1" s="12" t="s">
        <v>1300</v>
      </c>
      <c r="S1" s="12" t="s">
        <v>6</v>
      </c>
      <c r="T1" s="12" t="s">
        <v>7</v>
      </c>
      <c r="U1" s="12" t="s">
        <v>1147</v>
      </c>
      <c r="V1" s="12" t="s">
        <v>936</v>
      </c>
      <c r="W1" s="12" t="s">
        <v>943</v>
      </c>
      <c r="X1" s="12" t="s">
        <v>331</v>
      </c>
      <c r="Y1" s="12" t="s">
        <v>125</v>
      </c>
      <c r="Z1" s="12" t="s">
        <v>1148</v>
      </c>
      <c r="AA1" s="12" t="s">
        <v>1149</v>
      </c>
      <c r="AB1" s="12" t="s">
        <v>907</v>
      </c>
      <c r="AC1" s="12" t="s">
        <v>915</v>
      </c>
      <c r="AD1" s="12" t="s">
        <v>1150</v>
      </c>
      <c r="AE1" s="12" t="s">
        <v>933</v>
      </c>
      <c r="AF1" s="12" t="s">
        <v>918</v>
      </c>
      <c r="AG1" s="12" t="s">
        <v>929</v>
      </c>
      <c r="AH1" s="120" t="s">
        <v>1151</v>
      </c>
      <c r="AI1" s="12" t="s">
        <v>1152</v>
      </c>
      <c r="AJ1" s="12" t="s">
        <v>1153</v>
      </c>
      <c r="AK1" s="12" t="s">
        <v>958</v>
      </c>
      <c r="AL1" s="12" t="s">
        <v>1154</v>
      </c>
      <c r="AM1" s="12" t="s">
        <v>1155</v>
      </c>
      <c r="AN1" s="139" t="s">
        <v>24</v>
      </c>
      <c r="AO1" s="139" t="s">
        <v>25</v>
      </c>
    </row>
    <row r="2" spans="1:41">
      <c r="A2" s="5" t="s">
        <v>1301</v>
      </c>
      <c r="B2" s="5" t="s">
        <v>1302</v>
      </c>
      <c r="C2" s="5" t="s">
        <v>1054</v>
      </c>
      <c r="D2" s="1" t="s">
        <v>1303</v>
      </c>
      <c r="E2" s="5" t="s">
        <v>105</v>
      </c>
      <c r="F2" s="166">
        <v>3.6469999999999998</v>
      </c>
      <c r="G2" s="131">
        <v>-55000</v>
      </c>
      <c r="H2" s="123">
        <v>-54.64</v>
      </c>
      <c r="I2" s="132">
        <v>0.34235599999999999</v>
      </c>
      <c r="J2" s="123">
        <v>-3.0000000000000001E-6</v>
      </c>
      <c r="K2" s="4" t="s">
        <v>1303</v>
      </c>
      <c r="L2" s="5" t="s">
        <v>34</v>
      </c>
      <c r="M2" s="167">
        <v>1</v>
      </c>
      <c r="N2" s="132">
        <v>205892.5</v>
      </c>
      <c r="O2" s="132">
        <v>205.89</v>
      </c>
      <c r="P2" s="132">
        <v>1.0000000000000001E-5</v>
      </c>
      <c r="Q2" s="132">
        <v>0.35353800000000002</v>
      </c>
      <c r="R2" s="131">
        <v>6.63</v>
      </c>
      <c r="S2" s="4" t="s">
        <v>30</v>
      </c>
      <c r="T2" s="11" t="s">
        <v>30</v>
      </c>
      <c r="U2" s="5" t="s">
        <v>754</v>
      </c>
      <c r="V2" s="5" t="s">
        <v>938</v>
      </c>
      <c r="W2" s="4" t="s">
        <v>952</v>
      </c>
      <c r="X2" s="5" t="s">
        <v>914</v>
      </c>
      <c r="Y2" s="5" t="s">
        <v>139</v>
      </c>
      <c r="Z2" s="1" t="s">
        <v>1304</v>
      </c>
      <c r="AA2" s="17" t="s">
        <v>1305</v>
      </c>
      <c r="AB2" s="5" t="s">
        <v>914</v>
      </c>
      <c r="AC2" s="5" t="s">
        <v>916</v>
      </c>
      <c r="AD2" s="5" t="s">
        <v>347</v>
      </c>
      <c r="AE2" s="5" t="s">
        <v>934</v>
      </c>
      <c r="AF2" s="5" t="s">
        <v>914</v>
      </c>
      <c r="AG2" s="5" t="s">
        <v>914</v>
      </c>
      <c r="AH2" s="122" t="s">
        <v>914</v>
      </c>
      <c r="AI2" s="131">
        <v>3.7435</v>
      </c>
      <c r="AJ2" s="4" t="s">
        <v>1306</v>
      </c>
      <c r="AK2" s="5" t="s">
        <v>139</v>
      </c>
      <c r="AL2" s="4" t="s">
        <v>1306</v>
      </c>
      <c r="AM2" s="4" t="s">
        <v>1307</v>
      </c>
      <c r="AN2" s="148">
        <v>22.862069000000002</v>
      </c>
      <c r="AO2" s="148">
        <v>0</v>
      </c>
    </row>
    <row r="3" spans="1:41">
      <c r="A3" s="5" t="s">
        <v>1301</v>
      </c>
      <c r="B3" s="5" t="s">
        <v>1302</v>
      </c>
      <c r="C3" s="5" t="s">
        <v>1054</v>
      </c>
      <c r="D3" s="1" t="s">
        <v>1308</v>
      </c>
      <c r="E3" s="5" t="s">
        <v>105</v>
      </c>
      <c r="F3" s="166">
        <v>3.65</v>
      </c>
      <c r="G3" s="131">
        <v>15000</v>
      </c>
      <c r="H3" s="123">
        <v>15</v>
      </c>
      <c r="I3" s="132">
        <v>-9.3984999999999999E-2</v>
      </c>
      <c r="J3" s="123">
        <v>9.9999999999999995E-7</v>
      </c>
      <c r="K3" s="4" t="s">
        <v>1308</v>
      </c>
      <c r="L3" s="5" t="s">
        <v>34</v>
      </c>
      <c r="M3" s="167">
        <v>1</v>
      </c>
      <c r="N3" s="132">
        <v>-56320.5</v>
      </c>
      <c r="O3" s="132">
        <v>-56.32</v>
      </c>
      <c r="P3" s="132">
        <v>-3.0000000000000001E-6</v>
      </c>
      <c r="Q3" s="132">
        <v>-9.6708000000000002E-2</v>
      </c>
      <c r="R3" s="131">
        <v>-1.63</v>
      </c>
      <c r="S3" s="4" t="s">
        <v>30</v>
      </c>
      <c r="T3" s="11" t="s">
        <v>30</v>
      </c>
      <c r="U3" s="5" t="s">
        <v>754</v>
      </c>
      <c r="V3" s="5" t="s">
        <v>938</v>
      </c>
      <c r="W3" s="4" t="s">
        <v>952</v>
      </c>
      <c r="X3" s="5" t="s">
        <v>914</v>
      </c>
      <c r="Y3" s="5" t="s">
        <v>139</v>
      </c>
      <c r="Z3" s="1" t="s">
        <v>1309</v>
      </c>
      <c r="AA3" s="17" t="s">
        <v>1310</v>
      </c>
      <c r="AB3" s="5" t="s">
        <v>914</v>
      </c>
      <c r="AC3" s="5" t="s">
        <v>916</v>
      </c>
      <c r="AD3" s="5" t="s">
        <v>347</v>
      </c>
      <c r="AE3" s="5" t="s">
        <v>934</v>
      </c>
      <c r="AF3" s="5" t="s">
        <v>914</v>
      </c>
      <c r="AG3" s="5" t="s">
        <v>914</v>
      </c>
      <c r="AH3" s="121" t="s">
        <v>914</v>
      </c>
      <c r="AI3" s="131">
        <v>3.7547000000000001</v>
      </c>
      <c r="AJ3" s="5" t="s">
        <v>1306</v>
      </c>
      <c r="AK3" s="5" t="s">
        <v>139</v>
      </c>
      <c r="AL3" s="4" t="s">
        <v>1306</v>
      </c>
      <c r="AM3" s="4" t="s">
        <v>1307</v>
      </c>
      <c r="AN3" s="148">
        <v>-5.6206899999999997</v>
      </c>
      <c r="AO3" s="148">
        <v>0</v>
      </c>
    </row>
    <row r="4" spans="1:41">
      <c r="A4" s="5" t="s">
        <v>1301</v>
      </c>
      <c r="B4" s="5" t="s">
        <v>1302</v>
      </c>
      <c r="C4" s="5" t="s">
        <v>1054</v>
      </c>
      <c r="D4" s="1" t="s">
        <v>1311</v>
      </c>
      <c r="E4" s="5" t="s">
        <v>105</v>
      </c>
      <c r="F4" s="166">
        <v>3.6469999999999998</v>
      </c>
      <c r="G4" s="131">
        <v>-90000</v>
      </c>
      <c r="H4" s="123">
        <v>-89.97</v>
      </c>
      <c r="I4" s="132">
        <v>0.56372199999999995</v>
      </c>
      <c r="J4" s="123">
        <v>-3.9999999999999998E-6</v>
      </c>
      <c r="K4" s="4" t="s">
        <v>1311</v>
      </c>
      <c r="L4" s="5" t="s">
        <v>34</v>
      </c>
      <c r="M4" s="167">
        <v>1</v>
      </c>
      <c r="N4" s="132">
        <v>324621</v>
      </c>
      <c r="O4" s="132">
        <v>324.62</v>
      </c>
      <c r="P4" s="132">
        <v>1.5999999999999999E-5</v>
      </c>
      <c r="Q4" s="132">
        <v>0.55741200000000002</v>
      </c>
      <c r="R4" s="131">
        <v>-3.51</v>
      </c>
      <c r="S4" s="4" t="s">
        <v>30</v>
      </c>
      <c r="T4" s="11" t="s">
        <v>30</v>
      </c>
      <c r="U4" s="5" t="s">
        <v>754</v>
      </c>
      <c r="V4" s="5" t="s">
        <v>938</v>
      </c>
      <c r="W4" s="4" t="s">
        <v>952</v>
      </c>
      <c r="X4" s="5" t="s">
        <v>914</v>
      </c>
      <c r="Y4" s="5" t="s">
        <v>139</v>
      </c>
      <c r="Z4" s="1" t="s">
        <v>1312</v>
      </c>
      <c r="AA4" s="17" t="s">
        <v>1310</v>
      </c>
      <c r="AB4" s="5" t="s">
        <v>914</v>
      </c>
      <c r="AC4" s="5" t="s">
        <v>916</v>
      </c>
      <c r="AD4" s="5" t="s">
        <v>347</v>
      </c>
      <c r="AE4" s="5" t="s">
        <v>934</v>
      </c>
      <c r="AF4" s="5" t="s">
        <v>914</v>
      </c>
      <c r="AG4" s="5" t="s">
        <v>914</v>
      </c>
      <c r="AH4" s="121" t="s">
        <v>914</v>
      </c>
      <c r="AI4" s="131">
        <v>3.6069</v>
      </c>
      <c r="AJ4" s="5" t="s">
        <v>1306</v>
      </c>
      <c r="AK4" s="5" t="s">
        <v>139</v>
      </c>
      <c r="AL4" s="4" t="s">
        <v>1306</v>
      </c>
      <c r="AM4" s="4" t="s">
        <v>1307</v>
      </c>
      <c r="AN4" s="148">
        <v>-12.103448</v>
      </c>
      <c r="AO4" s="148">
        <v>0</v>
      </c>
    </row>
    <row r="5" spans="1:41">
      <c r="A5" s="5" t="s">
        <v>1301</v>
      </c>
      <c r="B5" s="5" t="s">
        <v>1302</v>
      </c>
      <c r="C5" s="5" t="s">
        <v>1054</v>
      </c>
      <c r="D5" s="1" t="s">
        <v>1313</v>
      </c>
      <c r="E5" s="5" t="s">
        <v>105</v>
      </c>
      <c r="F5" s="166">
        <v>3.6469999999999998</v>
      </c>
      <c r="G5" s="131">
        <v>-60000</v>
      </c>
      <c r="H5" s="123">
        <v>-59.98</v>
      </c>
      <c r="I5" s="132">
        <v>0.37581500000000001</v>
      </c>
      <c r="J5" s="123">
        <v>-3.0000000000000001E-6</v>
      </c>
      <c r="K5" s="4" t="s">
        <v>1313</v>
      </c>
      <c r="L5" s="5" t="s">
        <v>34</v>
      </c>
      <c r="M5" s="167">
        <v>1</v>
      </c>
      <c r="N5" s="132">
        <v>215580</v>
      </c>
      <c r="O5" s="132">
        <v>215.58</v>
      </c>
      <c r="P5" s="132">
        <v>1.1E-5</v>
      </c>
      <c r="Q5" s="132">
        <v>0.37017699999999998</v>
      </c>
      <c r="R5" s="131">
        <v>-3.17</v>
      </c>
      <c r="S5" s="4" t="s">
        <v>30</v>
      </c>
      <c r="T5" s="11" t="s">
        <v>30</v>
      </c>
      <c r="U5" s="5" t="s">
        <v>754</v>
      </c>
      <c r="V5" s="5" t="s">
        <v>938</v>
      </c>
      <c r="W5" s="4" t="s">
        <v>952</v>
      </c>
      <c r="X5" s="5" t="s">
        <v>914</v>
      </c>
      <c r="Y5" s="5" t="s">
        <v>139</v>
      </c>
      <c r="Z5" s="1" t="s">
        <v>1314</v>
      </c>
      <c r="AA5" s="17" t="s">
        <v>1310</v>
      </c>
      <c r="AB5" s="5" t="s">
        <v>914</v>
      </c>
      <c r="AC5" s="5" t="s">
        <v>916</v>
      </c>
      <c r="AD5" s="5" t="s">
        <v>347</v>
      </c>
      <c r="AE5" s="5" t="s">
        <v>934</v>
      </c>
      <c r="AF5" s="5" t="s">
        <v>914</v>
      </c>
      <c r="AG5" s="5" t="s">
        <v>914</v>
      </c>
      <c r="AH5" s="121" t="s">
        <v>914</v>
      </c>
      <c r="AI5" s="131">
        <v>3.593</v>
      </c>
      <c r="AJ5" s="5" t="s">
        <v>1306</v>
      </c>
      <c r="AK5" s="5" t="s">
        <v>139</v>
      </c>
      <c r="AL5" s="4" t="s">
        <v>1306</v>
      </c>
      <c r="AM5" s="4" t="s">
        <v>1307</v>
      </c>
      <c r="AN5" s="148">
        <v>-10.931034</v>
      </c>
      <c r="AO5" s="148">
        <v>0</v>
      </c>
    </row>
    <row r="6" spans="1:41">
      <c r="A6" s="5" t="s">
        <v>1301</v>
      </c>
      <c r="B6" s="5" t="s">
        <v>1302</v>
      </c>
      <c r="C6" s="5" t="s">
        <v>1054</v>
      </c>
      <c r="D6" s="1" t="s">
        <v>1315</v>
      </c>
      <c r="E6" s="5" t="s">
        <v>105</v>
      </c>
      <c r="F6" s="166">
        <v>3.6469999999999998</v>
      </c>
      <c r="G6" s="131">
        <v>30000</v>
      </c>
      <c r="H6" s="123">
        <v>29.99</v>
      </c>
      <c r="I6" s="132">
        <v>-0.18790699999999999</v>
      </c>
      <c r="J6" s="123">
        <v>9.9999999999999995E-7</v>
      </c>
      <c r="K6" s="4" t="s">
        <v>1315</v>
      </c>
      <c r="L6" s="5" t="s">
        <v>34</v>
      </c>
      <c r="M6" s="167">
        <v>1</v>
      </c>
      <c r="N6" s="132">
        <v>-107403</v>
      </c>
      <c r="O6" s="132">
        <v>-107.4</v>
      </c>
      <c r="P6" s="132">
        <v>-5.0000000000000004E-6</v>
      </c>
      <c r="Q6" s="132">
        <v>-0.184419</v>
      </c>
      <c r="R6" s="131">
        <v>1.97</v>
      </c>
      <c r="S6" s="4" t="s">
        <v>30</v>
      </c>
      <c r="T6" s="11" t="s">
        <v>30</v>
      </c>
      <c r="U6" s="5" t="s">
        <v>754</v>
      </c>
      <c r="V6" s="5" t="s">
        <v>938</v>
      </c>
      <c r="W6" s="4" t="s">
        <v>952</v>
      </c>
      <c r="X6" s="5" t="s">
        <v>914</v>
      </c>
      <c r="Y6" s="5" t="s">
        <v>139</v>
      </c>
      <c r="Z6" s="1" t="s">
        <v>1316</v>
      </c>
      <c r="AA6" s="17" t="s">
        <v>1310</v>
      </c>
      <c r="AB6" s="5" t="s">
        <v>914</v>
      </c>
      <c r="AC6" s="5" t="s">
        <v>916</v>
      </c>
      <c r="AD6" s="5" t="s">
        <v>347</v>
      </c>
      <c r="AE6" s="5" t="s">
        <v>934</v>
      </c>
      <c r="AF6" s="5" t="s">
        <v>914</v>
      </c>
      <c r="AG6" s="5" t="s">
        <v>914</v>
      </c>
      <c r="AH6" s="121" t="s">
        <v>914</v>
      </c>
      <c r="AI6" s="131">
        <v>3.5800999999999998</v>
      </c>
      <c r="AJ6" s="5" t="s">
        <v>1306</v>
      </c>
      <c r="AK6" s="5" t="s">
        <v>139</v>
      </c>
      <c r="AL6" s="4" t="s">
        <v>1306</v>
      </c>
      <c r="AM6" s="4" t="s">
        <v>1307</v>
      </c>
      <c r="AN6" s="148">
        <v>6.7931030000000003</v>
      </c>
      <c r="AO6" s="148">
        <v>0</v>
      </c>
    </row>
    <row r="7" spans="1:41">
      <c r="A7" s="5" t="s">
        <v>1301</v>
      </c>
      <c r="B7" s="5" t="s">
        <v>1317</v>
      </c>
      <c r="C7" s="5" t="s">
        <v>1054</v>
      </c>
      <c r="D7" s="1" t="s">
        <v>1318</v>
      </c>
      <c r="E7" s="5" t="s">
        <v>105</v>
      </c>
      <c r="F7" s="166">
        <v>3.6469999999999998</v>
      </c>
      <c r="G7" s="131">
        <v>-10850000</v>
      </c>
      <c r="H7" s="123">
        <v>-10778.57</v>
      </c>
      <c r="I7" s="132">
        <v>0.58602799999999999</v>
      </c>
      <c r="J7" s="123">
        <v>-7.9999999999999996E-6</v>
      </c>
      <c r="K7" s="4" t="s">
        <v>1318</v>
      </c>
      <c r="L7" s="5" t="s">
        <v>34</v>
      </c>
      <c r="M7" s="167">
        <v>1</v>
      </c>
      <c r="N7" s="132">
        <v>40616975</v>
      </c>
      <c r="O7" s="132">
        <v>40616.980000000003</v>
      </c>
      <c r="P7" s="132">
        <v>2.9E-5</v>
      </c>
      <c r="Q7" s="132">
        <v>0.57006800000000002</v>
      </c>
      <c r="R7" s="131">
        <v>1307.52</v>
      </c>
      <c r="S7" s="4" t="s">
        <v>30</v>
      </c>
      <c r="T7" s="11" t="s">
        <v>30</v>
      </c>
      <c r="U7" s="5" t="s">
        <v>754</v>
      </c>
      <c r="V7" s="5" t="s">
        <v>938</v>
      </c>
      <c r="W7" s="4" t="s">
        <v>952</v>
      </c>
      <c r="X7" s="5" t="s">
        <v>914</v>
      </c>
      <c r="Y7" s="5" t="s">
        <v>139</v>
      </c>
      <c r="Z7" s="1" t="s">
        <v>1304</v>
      </c>
      <c r="AA7" s="17" t="s">
        <v>1305</v>
      </c>
      <c r="AB7" s="5" t="s">
        <v>914</v>
      </c>
      <c r="AC7" s="5" t="s">
        <v>916</v>
      </c>
      <c r="AD7" s="5" t="s">
        <v>347</v>
      </c>
      <c r="AE7" s="5" t="s">
        <v>934</v>
      </c>
      <c r="AF7" s="5" t="s">
        <v>914</v>
      </c>
      <c r="AG7" s="5" t="s">
        <v>914</v>
      </c>
      <c r="AH7" s="121" t="s">
        <v>914</v>
      </c>
      <c r="AI7" s="131">
        <v>3.7435</v>
      </c>
      <c r="AJ7" s="5" t="s">
        <v>1306</v>
      </c>
      <c r="AK7" s="5" t="s">
        <v>139</v>
      </c>
      <c r="AL7" s="4" t="s">
        <v>1306</v>
      </c>
      <c r="AM7" s="4" t="s">
        <v>1307</v>
      </c>
      <c r="AN7" s="148">
        <v>0.38864900000000002</v>
      </c>
      <c r="AO7" s="148">
        <v>9.9999999999999995E-7</v>
      </c>
    </row>
    <row r="8" spans="1:41">
      <c r="A8" s="5" t="s">
        <v>1301</v>
      </c>
      <c r="B8" s="5" t="s">
        <v>1317</v>
      </c>
      <c r="C8" s="5" t="s">
        <v>1054</v>
      </c>
      <c r="D8" s="1" t="s">
        <v>1319</v>
      </c>
      <c r="E8" s="5" t="s">
        <v>105</v>
      </c>
      <c r="F8" s="166">
        <v>3.6469999999999998</v>
      </c>
      <c r="G8" s="131">
        <v>-5350000</v>
      </c>
      <c r="H8" s="123">
        <v>-5348.84</v>
      </c>
      <c r="I8" s="132">
        <v>0.29081499999999999</v>
      </c>
      <c r="J8" s="123">
        <v>-3.9999999999999998E-6</v>
      </c>
      <c r="K8" s="4" t="s">
        <v>1319</v>
      </c>
      <c r="L8" s="5" t="s">
        <v>34</v>
      </c>
      <c r="M8" s="167">
        <v>1</v>
      </c>
      <c r="N8" s="132">
        <v>20087645</v>
      </c>
      <c r="O8" s="132">
        <v>20087.650000000001</v>
      </c>
      <c r="P8" s="132">
        <v>1.5E-5</v>
      </c>
      <c r="Q8" s="132">
        <v>0.28193400000000002</v>
      </c>
      <c r="R8" s="131">
        <v>580.41999999999996</v>
      </c>
      <c r="S8" s="4" t="s">
        <v>30</v>
      </c>
      <c r="T8" s="11" t="s">
        <v>30</v>
      </c>
      <c r="U8" s="5" t="s">
        <v>754</v>
      </c>
      <c r="V8" s="5" t="s">
        <v>938</v>
      </c>
      <c r="W8" s="4" t="s">
        <v>952</v>
      </c>
      <c r="X8" s="5" t="s">
        <v>914</v>
      </c>
      <c r="Y8" s="5" t="s">
        <v>139</v>
      </c>
      <c r="Z8" s="1" t="s">
        <v>1309</v>
      </c>
      <c r="AA8" s="17" t="s">
        <v>1310</v>
      </c>
      <c r="AB8" s="5" t="s">
        <v>914</v>
      </c>
      <c r="AC8" s="5" t="s">
        <v>916</v>
      </c>
      <c r="AD8" s="5" t="s">
        <v>347</v>
      </c>
      <c r="AE8" s="5" t="s">
        <v>934</v>
      </c>
      <c r="AF8" s="5" t="s">
        <v>914</v>
      </c>
      <c r="AG8" s="5" t="s">
        <v>914</v>
      </c>
      <c r="AH8" s="121" t="s">
        <v>914</v>
      </c>
      <c r="AI8" s="131">
        <v>3.7547000000000001</v>
      </c>
      <c r="AJ8" s="5" t="s">
        <v>1306</v>
      </c>
      <c r="AK8" s="5" t="s">
        <v>139</v>
      </c>
      <c r="AL8" s="4" t="s">
        <v>1306</v>
      </c>
      <c r="AM8" s="4" t="s">
        <v>1307</v>
      </c>
      <c r="AN8" s="148">
        <v>0.17252500000000001</v>
      </c>
      <c r="AO8" s="148">
        <v>0</v>
      </c>
    </row>
    <row r="9" spans="1:41">
      <c r="A9" s="5" t="s">
        <v>1301</v>
      </c>
      <c r="B9" s="5" t="s">
        <v>1317</v>
      </c>
      <c r="C9" s="5" t="s">
        <v>1054</v>
      </c>
      <c r="D9" s="1" t="s">
        <v>1320</v>
      </c>
      <c r="E9" s="5" t="s">
        <v>1183</v>
      </c>
      <c r="F9" s="166">
        <v>3.7964000000000002</v>
      </c>
      <c r="G9" s="131">
        <v>-5400000</v>
      </c>
      <c r="H9" s="123">
        <v>-5404.01</v>
      </c>
      <c r="I9" s="132">
        <v>0.29381499999999999</v>
      </c>
      <c r="J9" s="123">
        <v>-3.9999999999999998E-6</v>
      </c>
      <c r="K9" s="4" t="s">
        <v>1320</v>
      </c>
      <c r="L9" s="5" t="s">
        <v>34</v>
      </c>
      <c r="M9" s="167">
        <v>1</v>
      </c>
      <c r="N9" s="132">
        <v>21556800</v>
      </c>
      <c r="O9" s="132">
        <v>21556.799999999999</v>
      </c>
      <c r="P9" s="132">
        <v>1.5999999999999999E-5</v>
      </c>
      <c r="Q9" s="132">
        <v>0.30255399999999999</v>
      </c>
      <c r="R9" s="131">
        <v>1041.03</v>
      </c>
      <c r="S9" s="4" t="s">
        <v>30</v>
      </c>
      <c r="T9" s="11" t="s">
        <v>30</v>
      </c>
      <c r="U9" s="5" t="s">
        <v>754</v>
      </c>
      <c r="V9" s="5" t="s">
        <v>938</v>
      </c>
      <c r="W9" s="4" t="s">
        <v>952</v>
      </c>
      <c r="X9" s="5" t="s">
        <v>914</v>
      </c>
      <c r="Y9" s="5" t="s">
        <v>139</v>
      </c>
      <c r="Z9" s="1" t="s">
        <v>1309</v>
      </c>
      <c r="AA9" s="17" t="s">
        <v>1310</v>
      </c>
      <c r="AB9" s="5" t="s">
        <v>914</v>
      </c>
      <c r="AC9" s="5" t="s">
        <v>916</v>
      </c>
      <c r="AD9" s="5" t="s">
        <v>347</v>
      </c>
      <c r="AE9" s="5" t="s">
        <v>934</v>
      </c>
      <c r="AF9" s="5" t="s">
        <v>914</v>
      </c>
      <c r="AG9" s="5" t="s">
        <v>914</v>
      </c>
      <c r="AH9" s="121" t="s">
        <v>914</v>
      </c>
      <c r="AI9" s="131">
        <v>3.992</v>
      </c>
      <c r="AJ9" s="5" t="s">
        <v>1306</v>
      </c>
      <c r="AK9" s="5" t="s">
        <v>139</v>
      </c>
      <c r="AL9" s="4" t="s">
        <v>1306</v>
      </c>
      <c r="AM9" s="4" t="s">
        <v>1307</v>
      </c>
      <c r="AN9" s="148">
        <v>0.30943700000000002</v>
      </c>
      <c r="AO9" s="148">
        <v>9.9999999999999995E-7</v>
      </c>
    </row>
    <row r="10" spans="1:41">
      <c r="A10" s="5" t="s">
        <v>1301</v>
      </c>
      <c r="B10" s="5" t="s">
        <v>1317</v>
      </c>
      <c r="C10" s="5" t="s">
        <v>1054</v>
      </c>
      <c r="D10" s="1" t="s">
        <v>1321</v>
      </c>
      <c r="E10" s="5" t="s">
        <v>105</v>
      </c>
      <c r="F10" s="166">
        <v>3.6469999999999998</v>
      </c>
      <c r="G10" s="131">
        <v>-60000</v>
      </c>
      <c r="H10" s="123">
        <v>-59.98</v>
      </c>
      <c r="I10" s="132">
        <v>3.261E-3</v>
      </c>
      <c r="J10" s="123">
        <v>0</v>
      </c>
      <c r="K10" s="4" t="s">
        <v>1321</v>
      </c>
      <c r="L10" s="5" t="s">
        <v>34</v>
      </c>
      <c r="M10" s="167">
        <v>1</v>
      </c>
      <c r="N10" s="132">
        <v>215580</v>
      </c>
      <c r="O10" s="132">
        <v>215.58</v>
      </c>
      <c r="P10" s="132">
        <v>0</v>
      </c>
      <c r="Q10" s="132">
        <v>3.026E-3</v>
      </c>
      <c r="R10" s="131">
        <v>-3.17</v>
      </c>
      <c r="S10" s="4" t="s">
        <v>30</v>
      </c>
      <c r="T10" s="11" t="s">
        <v>30</v>
      </c>
      <c r="U10" s="5" t="s">
        <v>754</v>
      </c>
      <c r="V10" s="5" t="s">
        <v>938</v>
      </c>
      <c r="W10" s="4" t="s">
        <v>952</v>
      </c>
      <c r="X10" s="5" t="s">
        <v>914</v>
      </c>
      <c r="Y10" s="5" t="s">
        <v>139</v>
      </c>
      <c r="Z10" s="1" t="s">
        <v>1314</v>
      </c>
      <c r="AA10" s="17" t="s">
        <v>1310</v>
      </c>
      <c r="AB10" s="5" t="s">
        <v>914</v>
      </c>
      <c r="AC10" s="5" t="s">
        <v>916</v>
      </c>
      <c r="AD10" s="5" t="s">
        <v>347</v>
      </c>
      <c r="AE10" s="5" t="s">
        <v>934</v>
      </c>
      <c r="AF10" s="5" t="s">
        <v>914</v>
      </c>
      <c r="AG10" s="5" t="s">
        <v>914</v>
      </c>
      <c r="AH10" s="121" t="s">
        <v>914</v>
      </c>
      <c r="AI10" s="131">
        <v>3.593</v>
      </c>
      <c r="AJ10" s="5" t="s">
        <v>1306</v>
      </c>
      <c r="AK10" s="5" t="s">
        <v>139</v>
      </c>
      <c r="AL10" s="4" t="s">
        <v>1306</v>
      </c>
      <c r="AM10" s="4" t="s">
        <v>1307</v>
      </c>
      <c r="AN10" s="148">
        <v>-9.4200000000000002E-4</v>
      </c>
      <c r="AO10" s="148">
        <v>0</v>
      </c>
    </row>
    <row r="11" spans="1:41">
      <c r="A11" s="5" t="s">
        <v>1301</v>
      </c>
      <c r="B11" s="5" t="s">
        <v>1317</v>
      </c>
      <c r="C11" s="5" t="s">
        <v>1054</v>
      </c>
      <c r="D11" s="1" t="s">
        <v>1322</v>
      </c>
      <c r="E11" s="5" t="s">
        <v>105</v>
      </c>
      <c r="F11" s="166">
        <v>3.6469999999999998</v>
      </c>
      <c r="G11" s="131">
        <v>5900000</v>
      </c>
      <c r="H11" s="123">
        <v>5898.09</v>
      </c>
      <c r="I11" s="132">
        <v>-0.32067800000000002</v>
      </c>
      <c r="J11" s="123">
        <v>3.9999999999999998E-6</v>
      </c>
      <c r="K11" s="4" t="s">
        <v>1322</v>
      </c>
      <c r="L11" s="5" t="s">
        <v>34</v>
      </c>
      <c r="M11" s="167">
        <v>1</v>
      </c>
      <c r="N11" s="132">
        <v>-21122590</v>
      </c>
      <c r="O11" s="132">
        <v>-21122.59</v>
      </c>
      <c r="P11" s="132">
        <v>-1.5E-5</v>
      </c>
      <c r="Q11" s="132">
        <v>-0.29646</v>
      </c>
      <c r="R11" s="131">
        <v>387.73</v>
      </c>
      <c r="S11" s="4" t="s">
        <v>30</v>
      </c>
      <c r="T11" s="11" t="s">
        <v>30</v>
      </c>
      <c r="U11" s="5" t="s">
        <v>754</v>
      </c>
      <c r="V11" s="5" t="s">
        <v>938</v>
      </c>
      <c r="W11" s="4" t="s">
        <v>952</v>
      </c>
      <c r="X11" s="5" t="s">
        <v>914</v>
      </c>
      <c r="Y11" s="5" t="s">
        <v>139</v>
      </c>
      <c r="Z11" s="1" t="s">
        <v>1316</v>
      </c>
      <c r="AA11" s="17" t="s">
        <v>1310</v>
      </c>
      <c r="AB11" s="5" t="s">
        <v>914</v>
      </c>
      <c r="AC11" s="5" t="s">
        <v>916</v>
      </c>
      <c r="AD11" s="5" t="s">
        <v>347</v>
      </c>
      <c r="AE11" s="5" t="s">
        <v>934</v>
      </c>
      <c r="AF11" s="5" t="s">
        <v>914</v>
      </c>
      <c r="AG11" s="5" t="s">
        <v>914</v>
      </c>
      <c r="AH11" s="121" t="s">
        <v>914</v>
      </c>
      <c r="AI11" s="131">
        <v>3.5800999999999998</v>
      </c>
      <c r="AJ11" s="5" t="s">
        <v>1306</v>
      </c>
      <c r="AK11" s="5" t="s">
        <v>139</v>
      </c>
      <c r="AL11" s="4" t="s">
        <v>1306</v>
      </c>
      <c r="AM11" s="4" t="s">
        <v>1307</v>
      </c>
      <c r="AN11" s="148">
        <v>0.115249</v>
      </c>
      <c r="AO11" s="148">
        <v>0</v>
      </c>
    </row>
    <row r="12" spans="1:41">
      <c r="A12" s="5" t="s">
        <v>1301</v>
      </c>
      <c r="B12" s="5" t="s">
        <v>1317</v>
      </c>
      <c r="C12" s="5" t="s">
        <v>1054</v>
      </c>
      <c r="D12" s="1" t="s">
        <v>1323</v>
      </c>
      <c r="E12" s="5" t="s">
        <v>105</v>
      </c>
      <c r="F12" s="166">
        <v>3.6469999999999998</v>
      </c>
      <c r="G12" s="131">
        <v>-2700000</v>
      </c>
      <c r="H12" s="123">
        <v>-2699.27</v>
      </c>
      <c r="I12" s="132">
        <v>0.146759</v>
      </c>
      <c r="J12" s="123">
        <v>-1.9999999999999999E-6</v>
      </c>
      <c r="K12" s="4" t="s">
        <v>1323</v>
      </c>
      <c r="L12" s="5" t="s">
        <v>34</v>
      </c>
      <c r="M12" s="167">
        <v>1</v>
      </c>
      <c r="N12" s="132">
        <v>9894960</v>
      </c>
      <c r="O12" s="132">
        <v>9894.9599999999991</v>
      </c>
      <c r="P12" s="132">
        <v>6.9999999999999999E-6</v>
      </c>
      <c r="Q12" s="132">
        <v>0.138878</v>
      </c>
      <c r="R12" s="131">
        <v>50.74</v>
      </c>
      <c r="S12" s="4" t="s">
        <v>30</v>
      </c>
      <c r="T12" s="11" t="s">
        <v>30</v>
      </c>
      <c r="U12" s="5" t="s">
        <v>754</v>
      </c>
      <c r="V12" s="5" t="s">
        <v>938</v>
      </c>
      <c r="W12" s="4" t="s">
        <v>952</v>
      </c>
      <c r="X12" s="5" t="s">
        <v>914</v>
      </c>
      <c r="Y12" s="5" t="s">
        <v>139</v>
      </c>
      <c r="Z12" s="1" t="s">
        <v>1324</v>
      </c>
      <c r="AA12" s="17" t="s">
        <v>1310</v>
      </c>
      <c r="AB12" s="5" t="s">
        <v>914</v>
      </c>
      <c r="AC12" s="5" t="s">
        <v>916</v>
      </c>
      <c r="AD12" s="5" t="s">
        <v>347</v>
      </c>
      <c r="AE12" s="5" t="s">
        <v>934</v>
      </c>
      <c r="AF12" s="5" t="s">
        <v>914</v>
      </c>
      <c r="AG12" s="5" t="s">
        <v>914</v>
      </c>
      <c r="AH12" s="121" t="s">
        <v>914</v>
      </c>
      <c r="AI12" s="131">
        <v>3.6648000000000001</v>
      </c>
      <c r="AJ12" s="5" t="s">
        <v>1306</v>
      </c>
      <c r="AK12" s="5" t="s">
        <v>139</v>
      </c>
      <c r="AL12" s="4" t="s">
        <v>1306</v>
      </c>
      <c r="AM12" s="4" t="s">
        <v>1307</v>
      </c>
      <c r="AN12" s="148">
        <v>1.5082E-2</v>
      </c>
      <c r="AO12" s="148">
        <v>0</v>
      </c>
    </row>
    <row r="13" spans="1:41">
      <c r="A13" s="5" t="s">
        <v>1301</v>
      </c>
      <c r="B13" s="5" t="s">
        <v>1325</v>
      </c>
      <c r="C13" s="5" t="s">
        <v>1054</v>
      </c>
      <c r="D13" s="1" t="s">
        <v>1326</v>
      </c>
      <c r="E13" s="5" t="s">
        <v>105</v>
      </c>
      <c r="F13" s="166">
        <v>3.6469999999999998</v>
      </c>
      <c r="G13" s="131">
        <v>-30000</v>
      </c>
      <c r="H13" s="123">
        <v>-29.8</v>
      </c>
      <c r="I13" s="132">
        <v>-2.924436</v>
      </c>
      <c r="J13" s="123">
        <v>-9.9999999999999995E-7</v>
      </c>
      <c r="K13" s="4" t="s">
        <v>1326</v>
      </c>
      <c r="L13" s="5" t="s">
        <v>34</v>
      </c>
      <c r="M13" s="167">
        <v>1</v>
      </c>
      <c r="N13" s="132">
        <v>112305</v>
      </c>
      <c r="O13" s="132">
        <v>112.31</v>
      </c>
      <c r="P13" s="132">
        <v>5.0000000000000004E-6</v>
      </c>
      <c r="Q13" s="132">
        <v>-3.4408699999999999</v>
      </c>
      <c r="R13" s="131">
        <v>3.62</v>
      </c>
      <c r="S13" s="4" t="s">
        <v>30</v>
      </c>
      <c r="T13" s="11" t="s">
        <v>30</v>
      </c>
      <c r="U13" s="5" t="s">
        <v>754</v>
      </c>
      <c r="V13" s="5" t="s">
        <v>938</v>
      </c>
      <c r="W13" s="4" t="s">
        <v>952</v>
      </c>
      <c r="X13" s="5" t="s">
        <v>914</v>
      </c>
      <c r="Y13" s="5" t="s">
        <v>139</v>
      </c>
      <c r="Z13" s="1" t="s">
        <v>1304</v>
      </c>
      <c r="AA13" s="17" t="s">
        <v>1305</v>
      </c>
      <c r="AB13" s="5" t="s">
        <v>914</v>
      </c>
      <c r="AC13" s="5" t="s">
        <v>916</v>
      </c>
      <c r="AD13" s="5" t="s">
        <v>347</v>
      </c>
      <c r="AE13" s="5" t="s">
        <v>934</v>
      </c>
      <c r="AF13" s="5" t="s">
        <v>914</v>
      </c>
      <c r="AG13" s="5" t="s">
        <v>914</v>
      </c>
      <c r="AH13" s="121" t="s">
        <v>914</v>
      </c>
      <c r="AI13" s="131">
        <v>3.7435</v>
      </c>
      <c r="AJ13" s="5" t="s">
        <v>1306</v>
      </c>
      <c r="AK13" s="5" t="s">
        <v>139</v>
      </c>
      <c r="AL13" s="4" t="s">
        <v>1306</v>
      </c>
      <c r="AM13" s="4" t="s">
        <v>1307</v>
      </c>
      <c r="AN13" s="148">
        <v>0.80266099999999996</v>
      </c>
      <c r="AO13" s="148">
        <v>0</v>
      </c>
    </row>
    <row r="14" spans="1:41">
      <c r="A14" s="5" t="s">
        <v>1301</v>
      </c>
      <c r="B14" s="5" t="s">
        <v>1325</v>
      </c>
      <c r="C14" s="5" t="s">
        <v>1054</v>
      </c>
      <c r="D14" s="1" t="s">
        <v>1327</v>
      </c>
      <c r="E14" s="5" t="s">
        <v>105</v>
      </c>
      <c r="F14" s="166">
        <v>3.6469999999999998</v>
      </c>
      <c r="G14" s="131">
        <v>10000</v>
      </c>
      <c r="H14" s="123">
        <v>10</v>
      </c>
      <c r="I14" s="132">
        <v>0.98135399999999995</v>
      </c>
      <c r="J14" s="123">
        <v>0</v>
      </c>
      <c r="K14" s="4" t="s">
        <v>1327</v>
      </c>
      <c r="L14" s="5" t="s">
        <v>34</v>
      </c>
      <c r="M14" s="167">
        <v>1</v>
      </c>
      <c r="N14" s="132">
        <v>-37547</v>
      </c>
      <c r="O14" s="132">
        <v>-37.549999999999997</v>
      </c>
      <c r="P14" s="132">
        <v>-1.9999999999999999E-6</v>
      </c>
      <c r="Q14" s="132">
        <v>1.1504289999999999</v>
      </c>
      <c r="R14" s="131">
        <v>-1.08</v>
      </c>
      <c r="S14" s="4" t="s">
        <v>30</v>
      </c>
      <c r="T14" s="11" t="s">
        <v>30</v>
      </c>
      <c r="U14" s="5" t="s">
        <v>754</v>
      </c>
      <c r="V14" s="5" t="s">
        <v>938</v>
      </c>
      <c r="W14" s="4" t="s">
        <v>952</v>
      </c>
      <c r="X14" s="5" t="s">
        <v>914</v>
      </c>
      <c r="Y14" s="5" t="s">
        <v>139</v>
      </c>
      <c r="Z14" s="1" t="s">
        <v>1309</v>
      </c>
      <c r="AA14" s="17" t="s">
        <v>1310</v>
      </c>
      <c r="AB14" s="5" t="s">
        <v>914</v>
      </c>
      <c r="AC14" s="5" t="s">
        <v>916</v>
      </c>
      <c r="AD14" s="5" t="s">
        <v>347</v>
      </c>
      <c r="AE14" s="5" t="s">
        <v>934</v>
      </c>
      <c r="AF14" s="5" t="s">
        <v>914</v>
      </c>
      <c r="AG14" s="5" t="s">
        <v>914</v>
      </c>
      <c r="AH14" s="121" t="s">
        <v>914</v>
      </c>
      <c r="AI14" s="131">
        <v>3.7547000000000001</v>
      </c>
      <c r="AJ14" s="5" t="s">
        <v>1306</v>
      </c>
      <c r="AK14" s="5" t="s">
        <v>139</v>
      </c>
      <c r="AL14" s="4" t="s">
        <v>1306</v>
      </c>
      <c r="AM14" s="4" t="s">
        <v>1307</v>
      </c>
      <c r="AN14" s="148">
        <v>-0.23946799999999999</v>
      </c>
      <c r="AO14" s="148">
        <v>0</v>
      </c>
    </row>
    <row r="15" spans="1:41">
      <c r="A15" s="5" t="s">
        <v>1301</v>
      </c>
      <c r="B15" s="5" t="s">
        <v>1325</v>
      </c>
      <c r="C15" s="5" t="s">
        <v>1054</v>
      </c>
      <c r="D15" s="1" t="s">
        <v>1328</v>
      </c>
      <c r="E15" s="5" t="s">
        <v>105</v>
      </c>
      <c r="F15" s="166">
        <v>3.6469999999999998</v>
      </c>
      <c r="G15" s="131">
        <v>30000</v>
      </c>
      <c r="H15" s="123">
        <v>29.99</v>
      </c>
      <c r="I15" s="132">
        <v>2.9430809999999998</v>
      </c>
      <c r="J15" s="123">
        <v>9.9999999999999995E-7</v>
      </c>
      <c r="K15" s="4" t="s">
        <v>1328</v>
      </c>
      <c r="L15" s="5" t="s">
        <v>34</v>
      </c>
      <c r="M15" s="167">
        <v>1</v>
      </c>
      <c r="N15" s="132">
        <v>-107403</v>
      </c>
      <c r="O15" s="132">
        <v>-107.4</v>
      </c>
      <c r="P15" s="132">
        <v>-5.0000000000000004E-6</v>
      </c>
      <c r="Q15" s="132">
        <v>3.2904409999999999</v>
      </c>
      <c r="R15" s="131">
        <v>1.97</v>
      </c>
      <c r="S15" s="4" t="s">
        <v>30</v>
      </c>
      <c r="T15" s="11" t="s">
        <v>30</v>
      </c>
      <c r="U15" s="5" t="s">
        <v>754</v>
      </c>
      <c r="V15" s="5" t="s">
        <v>938</v>
      </c>
      <c r="W15" s="4" t="s">
        <v>952</v>
      </c>
      <c r="X15" s="5" t="s">
        <v>914</v>
      </c>
      <c r="Y15" s="5" t="s">
        <v>139</v>
      </c>
      <c r="Z15" s="1" t="s">
        <v>1316</v>
      </c>
      <c r="AA15" s="17" t="s">
        <v>1310</v>
      </c>
      <c r="AB15" s="5" t="s">
        <v>914</v>
      </c>
      <c r="AC15" s="5" t="s">
        <v>916</v>
      </c>
      <c r="AD15" s="5" t="s">
        <v>347</v>
      </c>
      <c r="AE15" s="5" t="s">
        <v>934</v>
      </c>
      <c r="AF15" s="5" t="s">
        <v>914</v>
      </c>
      <c r="AG15" s="5" t="s">
        <v>914</v>
      </c>
      <c r="AH15" s="121" t="s">
        <v>914</v>
      </c>
      <c r="AI15" s="131">
        <v>3.5800999999999998</v>
      </c>
      <c r="AJ15" s="5" t="s">
        <v>1306</v>
      </c>
      <c r="AK15" s="5" t="s">
        <v>139</v>
      </c>
      <c r="AL15" s="4" t="s">
        <v>1306</v>
      </c>
      <c r="AM15" s="4" t="s">
        <v>1307</v>
      </c>
      <c r="AN15" s="148">
        <v>0.436807</v>
      </c>
      <c r="AO15" s="148">
        <v>0</v>
      </c>
    </row>
  </sheetData>
  <dataValidations count="12">
    <dataValidation type="list" allowBlank="1" showInputMessage="1" showErrorMessage="1" sqref="U2:U15" xr:uid="{00000000-0002-0000-1600-000000000000}">
      <formula1>Underlying_Asset</formula1>
    </dataValidation>
    <dataValidation type="list" allowBlank="1" showInputMessage="1" showErrorMessage="1" sqref="AG2:AG15 AB2:AB15" xr:uid="{00000000-0002-0000-1600-000001000000}">
      <formula1>Reset_frequency</formula1>
    </dataValidation>
    <dataValidation type="list" allowBlank="1" showInputMessage="1" showErrorMessage="1" sqref="S2:S15" xr:uid="{00000000-0002-0000-1600-000002000000}">
      <formula1>israel_abroad</formula1>
    </dataValidation>
    <dataValidation type="list" allowBlank="1" showInputMessage="1" showErrorMessage="1" sqref="Y2:Y15 AD2:AD15" xr:uid="{00000000-0002-0000-1600-000003000000}">
      <formula1>Holding_interest</formula1>
    </dataValidation>
    <dataValidation type="list" allowBlank="1" showInputMessage="1" showErrorMessage="1" sqref="AC2:AC15" xr:uid="{00000000-0002-0000-1600-000004000000}">
      <formula1>Delivery</formula1>
    </dataValidation>
    <dataValidation type="list" allowBlank="1" showInputMessage="1" showErrorMessage="1" sqref="V2:V15" xr:uid="{00000000-0002-0000-1600-000006000000}">
      <formula1>Leading_factor</formula1>
    </dataValidation>
    <dataValidation type="list" allowBlank="1" showInputMessage="1" showErrorMessage="1" sqref="T2:T15" xr:uid="{00000000-0002-0000-1600-000007000000}">
      <formula1>Country_list</formula1>
    </dataValidation>
    <dataValidation type="list" allowBlank="1" showInputMessage="1" showErrorMessage="1" sqref="W2:W15" xr:uid="{00000000-0002-0000-1600-000008000000}">
      <formula1>Additional_Factor</formula1>
    </dataValidation>
    <dataValidation allowBlank="1" showInputMessage="1" showErrorMessage="1" sqref="M2:N15 P2:R15 I2:K15 D2:D15 Z2:Z15" xr:uid="{00000000-0002-0000-1600-000009000000}"/>
    <dataValidation type="list" allowBlank="1" showInputMessage="1" showErrorMessage="1" sqref="AF2:AF15" xr:uid="{00000000-0002-0000-1600-00000B000000}">
      <formula1>Underlying_Interest_Rates</formula1>
    </dataValidation>
    <dataValidation type="list" allowBlank="1" showInputMessage="1" showErrorMessage="1" sqref="AK2:AK15" xr:uid="{00000000-0002-0000-1600-00000C000000}">
      <formula1>Penalty</formula1>
    </dataValidation>
    <dataValidation type="list" allowBlank="1" showInputMessage="1" showErrorMessage="1" sqref="AE3:AE15" xr:uid="{00000000-0002-0000-1600-00000E000000}">
      <formula1>$C$535:$C$536</formula1>
    </dataValidation>
  </dataValidations>
  <pageMargins left="0.7" right="0.7" top="0.75" bottom="0.75" header="0.3" footer="0.3"/>
  <pageSetup paperSize="9" orientation="portrait" verticalDpi="0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1600-000010000000}">
          <x14:formula1>
            <xm:f>'אפשרויות בחירה'!$C$690:$C$691</xm:f>
          </x14:formula1>
          <xm:sqref>AE2</xm:sqref>
        </x14:dataValidation>
        <x14:dataValidation type="list" allowBlank="1" showInputMessage="1" showErrorMessage="1" xr:uid="{00000000-0002-0000-1600-000011000000}">
          <x14:formula1>
            <xm:f>'אפשרויות בחירה'!$C$977:$C$985</xm:f>
          </x14:formula1>
          <xm:sqref>C2:C15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Sheet24"/>
  <dimension ref="A1:BA43"/>
  <sheetViews>
    <sheetView rightToLeft="1" zoomScale="70" zoomScaleNormal="70" workbookViewId="0">
      <selection activeCell="A2" sqref="A2"/>
    </sheetView>
  </sheetViews>
  <sheetFormatPr defaultColWidth="0" defaultRowHeight="14.25" zeroHeight="1"/>
  <cols>
    <col min="1" max="53" width="11.625" customWidth="1"/>
  </cols>
  <sheetData>
    <row r="1" spans="1:53" ht="66.75" customHeight="1">
      <c r="A1" s="12" t="s">
        <v>0</v>
      </c>
      <c r="B1" s="12" t="s">
        <v>1</v>
      </c>
      <c r="C1" s="12" t="s">
        <v>120</v>
      </c>
      <c r="D1" s="12" t="s">
        <v>121</v>
      </c>
      <c r="E1" s="12" t="s">
        <v>122</v>
      </c>
      <c r="F1" s="12" t="s">
        <v>123</v>
      </c>
      <c r="G1" s="12" t="s">
        <v>5</v>
      </c>
      <c r="H1" s="12" t="s">
        <v>1156</v>
      </c>
      <c r="I1" s="12" t="s">
        <v>6</v>
      </c>
      <c r="J1" s="12" t="s">
        <v>7</v>
      </c>
      <c r="K1" s="12" t="s">
        <v>159</v>
      </c>
      <c r="L1" s="12" t="s">
        <v>125</v>
      </c>
      <c r="M1" s="12" t="s">
        <v>1157</v>
      </c>
      <c r="N1" s="12" t="s">
        <v>1158</v>
      </c>
      <c r="O1" s="155" t="s">
        <v>1159</v>
      </c>
      <c r="P1" s="12" t="s">
        <v>9</v>
      </c>
      <c r="Q1" s="12" t="s">
        <v>10</v>
      </c>
      <c r="R1" s="12" t="s">
        <v>126</v>
      </c>
      <c r="S1" s="12" t="s">
        <v>11</v>
      </c>
      <c r="T1" s="12" t="s">
        <v>12</v>
      </c>
      <c r="U1" s="12" t="s">
        <v>127</v>
      </c>
      <c r="V1" s="135" t="s">
        <v>14</v>
      </c>
      <c r="W1" s="12" t="s">
        <v>761</v>
      </c>
      <c r="X1" s="12" t="s">
        <v>918</v>
      </c>
      <c r="Y1" s="162" t="s">
        <v>1161</v>
      </c>
      <c r="Z1" s="139" t="s">
        <v>15</v>
      </c>
      <c r="AA1" s="12" t="s">
        <v>13</v>
      </c>
      <c r="AB1" s="12" t="s">
        <v>417</v>
      </c>
      <c r="AC1" s="12" t="s">
        <v>766</v>
      </c>
      <c r="AD1" s="165" t="s">
        <v>1162</v>
      </c>
      <c r="AE1" s="139" t="s">
        <v>1163</v>
      </c>
      <c r="AF1" s="155" t="s">
        <v>1164</v>
      </c>
      <c r="AG1" s="12" t="s">
        <v>789</v>
      </c>
      <c r="AH1" s="12" t="s">
        <v>790</v>
      </c>
      <c r="AI1" s="12" t="s">
        <v>1165</v>
      </c>
      <c r="AJ1" s="12" t="s">
        <v>796</v>
      </c>
      <c r="AK1" s="12" t="s">
        <v>160</v>
      </c>
      <c r="AL1" s="12" t="s">
        <v>173</v>
      </c>
      <c r="AM1" s="12" t="s">
        <v>161</v>
      </c>
      <c r="AN1" s="155" t="s">
        <v>134</v>
      </c>
      <c r="AO1" s="155" t="s">
        <v>162</v>
      </c>
      <c r="AP1" s="135" t="s">
        <v>1166</v>
      </c>
      <c r="AQ1" s="12" t="s">
        <v>1167</v>
      </c>
      <c r="AR1" s="144" t="s">
        <v>1168</v>
      </c>
      <c r="AS1" s="133" t="s">
        <v>18</v>
      </c>
      <c r="AT1" s="12" t="s">
        <v>20</v>
      </c>
      <c r="AU1" s="12" t="s">
        <v>174</v>
      </c>
      <c r="AV1" s="12" t="s">
        <v>21</v>
      </c>
      <c r="AW1" s="12" t="s">
        <v>175</v>
      </c>
      <c r="AX1" s="12" t="s">
        <v>839</v>
      </c>
      <c r="AY1" s="12" t="s">
        <v>22</v>
      </c>
      <c r="AZ1" s="139" t="s">
        <v>24</v>
      </c>
      <c r="BA1" s="139" t="s">
        <v>25</v>
      </c>
    </row>
    <row r="2" spans="1:53">
      <c r="A2" s="2">
        <v>301</v>
      </c>
      <c r="B2" s="2">
        <v>7210</v>
      </c>
      <c r="C2" s="13" t="s">
        <v>1329</v>
      </c>
      <c r="D2" s="13" t="s">
        <v>1330</v>
      </c>
      <c r="E2" s="13" t="s">
        <v>1331</v>
      </c>
      <c r="F2" s="13" t="s">
        <v>1332</v>
      </c>
      <c r="G2" s="13" t="s">
        <v>1049</v>
      </c>
      <c r="H2" s="2"/>
      <c r="I2" s="11" t="s">
        <v>30</v>
      </c>
      <c r="J2" s="11" t="s">
        <v>30</v>
      </c>
      <c r="K2" s="13" t="s">
        <v>492</v>
      </c>
      <c r="L2" s="13" t="s">
        <v>139</v>
      </c>
      <c r="M2" s="13" t="s">
        <v>347</v>
      </c>
      <c r="N2" s="13" t="s">
        <v>1329</v>
      </c>
      <c r="O2" s="156" t="s">
        <v>1333</v>
      </c>
      <c r="P2" s="13" t="s">
        <v>103</v>
      </c>
      <c r="Q2" s="13" t="s">
        <v>420</v>
      </c>
      <c r="R2" s="13" t="s">
        <v>414</v>
      </c>
      <c r="S2" s="11" t="s">
        <v>34</v>
      </c>
      <c r="T2" s="126">
        <v>1.46</v>
      </c>
      <c r="U2" s="13" t="s">
        <v>1334</v>
      </c>
      <c r="V2" s="147">
        <v>5.1700000000000003E-2</v>
      </c>
      <c r="W2" s="13" t="s">
        <v>765</v>
      </c>
      <c r="X2" s="13" t="s">
        <v>1335</v>
      </c>
      <c r="Y2" s="163">
        <v>5.1700000000000003E-2</v>
      </c>
      <c r="Z2" s="148">
        <v>2.24E-2</v>
      </c>
      <c r="AA2" s="13" t="s">
        <v>1336</v>
      </c>
      <c r="AB2" s="11" t="s">
        <v>419</v>
      </c>
      <c r="AC2" s="13"/>
      <c r="AD2" s="13"/>
      <c r="AE2" s="148">
        <v>0</v>
      </c>
      <c r="AF2" s="13"/>
      <c r="AG2" s="13" t="s">
        <v>139</v>
      </c>
      <c r="AH2" s="13"/>
      <c r="AI2" s="2"/>
      <c r="AJ2" s="2" t="s">
        <v>139</v>
      </c>
      <c r="AK2" s="13" t="s">
        <v>109</v>
      </c>
      <c r="AL2" s="13"/>
      <c r="AM2" s="13"/>
      <c r="AN2" s="157" t="s">
        <v>140</v>
      </c>
      <c r="AO2" s="2"/>
      <c r="AP2" s="138">
        <v>0</v>
      </c>
      <c r="AQ2" s="124">
        <v>1640.77</v>
      </c>
      <c r="AR2" s="150">
        <v>159.25</v>
      </c>
      <c r="AS2" s="149">
        <v>1</v>
      </c>
      <c r="AT2" s="126">
        <v>2.613</v>
      </c>
      <c r="AU2" s="130">
        <v>2.613</v>
      </c>
      <c r="AV2" s="18"/>
      <c r="AW2" s="18"/>
      <c r="AX2" s="11" t="s">
        <v>139</v>
      </c>
      <c r="AY2" s="13" t="s">
        <v>36</v>
      </c>
      <c r="AZ2" s="148">
        <v>1.8884738529503E-4</v>
      </c>
      <c r="BA2" s="148">
        <v>1.8907106074223101E-6</v>
      </c>
    </row>
    <row r="3" spans="1:53">
      <c r="A3" s="2">
        <v>301</v>
      </c>
      <c r="B3" s="2">
        <v>7210</v>
      </c>
      <c r="C3" s="13" t="s">
        <v>1329</v>
      </c>
      <c r="D3" s="13" t="s">
        <v>1330</v>
      </c>
      <c r="E3" s="13" t="s">
        <v>1337</v>
      </c>
      <c r="F3" s="13" t="s">
        <v>1338</v>
      </c>
      <c r="G3" s="13" t="s">
        <v>1049</v>
      </c>
      <c r="H3" s="2"/>
      <c r="I3" s="11" t="s">
        <v>30</v>
      </c>
      <c r="J3" s="11" t="s">
        <v>30</v>
      </c>
      <c r="K3" s="13" t="s">
        <v>492</v>
      </c>
      <c r="L3" s="13" t="s">
        <v>139</v>
      </c>
      <c r="M3" s="13" t="s">
        <v>347</v>
      </c>
      <c r="N3" s="13" t="s">
        <v>1329</v>
      </c>
      <c r="O3" s="156" t="s">
        <v>1339</v>
      </c>
      <c r="P3" s="13" t="s">
        <v>103</v>
      </c>
      <c r="Q3" s="13" t="s">
        <v>420</v>
      </c>
      <c r="R3" s="13" t="s">
        <v>414</v>
      </c>
      <c r="S3" s="11" t="s">
        <v>34</v>
      </c>
      <c r="T3" s="126">
        <v>1.46</v>
      </c>
      <c r="U3" s="13" t="s">
        <v>1334</v>
      </c>
      <c r="V3" s="147">
        <v>5.1700000000000003E-2</v>
      </c>
      <c r="W3" s="13" t="s">
        <v>765</v>
      </c>
      <c r="X3" s="13" t="s">
        <v>1335</v>
      </c>
      <c r="Y3" s="163">
        <v>5.1700000000000003E-2</v>
      </c>
      <c r="Z3" s="148">
        <v>2.24E-2</v>
      </c>
      <c r="AA3" s="13" t="s">
        <v>1336</v>
      </c>
      <c r="AB3" s="11" t="s">
        <v>419</v>
      </c>
      <c r="AC3" s="13"/>
      <c r="AD3" s="13"/>
      <c r="AE3" s="148">
        <v>0</v>
      </c>
      <c r="AF3" s="13"/>
      <c r="AG3" s="13" t="s">
        <v>139</v>
      </c>
      <c r="AH3" s="13"/>
      <c r="AI3" s="2"/>
      <c r="AJ3" s="2" t="s">
        <v>139</v>
      </c>
      <c r="AK3" s="13" t="s">
        <v>109</v>
      </c>
      <c r="AL3" s="13"/>
      <c r="AM3" s="13"/>
      <c r="AN3" s="157" t="s">
        <v>140</v>
      </c>
      <c r="AO3" s="2"/>
      <c r="AP3" s="138">
        <v>0</v>
      </c>
      <c r="AQ3" s="124">
        <v>51388.88</v>
      </c>
      <c r="AR3" s="150">
        <v>156.88</v>
      </c>
      <c r="AS3" s="149">
        <v>1</v>
      </c>
      <c r="AT3" s="126">
        <v>80.619</v>
      </c>
      <c r="AU3" s="126">
        <v>80.619</v>
      </c>
      <c r="AV3" s="13"/>
      <c r="AW3" s="13"/>
      <c r="AX3" s="11" t="s">
        <v>139</v>
      </c>
      <c r="AY3" s="13" t="s">
        <v>36</v>
      </c>
      <c r="AZ3" s="148">
        <v>5.8266718719168602E-3</v>
      </c>
      <c r="BA3" s="148">
        <v>5.8335731241349403E-5</v>
      </c>
    </row>
    <row r="4" spans="1:53">
      <c r="A4" s="2">
        <v>301</v>
      </c>
      <c r="B4" s="2">
        <v>7210</v>
      </c>
      <c r="C4" s="13" t="s">
        <v>1329</v>
      </c>
      <c r="D4" s="13" t="s">
        <v>1330</v>
      </c>
      <c r="E4" s="13" t="s">
        <v>1340</v>
      </c>
      <c r="F4" s="13" t="s">
        <v>1341</v>
      </c>
      <c r="G4" s="13" t="s">
        <v>1049</v>
      </c>
      <c r="H4" s="2"/>
      <c r="I4" s="11" t="s">
        <v>30</v>
      </c>
      <c r="J4" s="11" t="s">
        <v>30</v>
      </c>
      <c r="K4" s="13" t="s">
        <v>492</v>
      </c>
      <c r="L4" s="13" t="s">
        <v>139</v>
      </c>
      <c r="M4" s="13" t="s">
        <v>347</v>
      </c>
      <c r="N4" s="13" t="s">
        <v>1329</v>
      </c>
      <c r="O4" s="156" t="s">
        <v>1342</v>
      </c>
      <c r="P4" s="13" t="s">
        <v>103</v>
      </c>
      <c r="Q4" s="13" t="s">
        <v>420</v>
      </c>
      <c r="R4" s="13" t="s">
        <v>414</v>
      </c>
      <c r="S4" s="11" t="s">
        <v>34</v>
      </c>
      <c r="T4" s="126">
        <v>1.46</v>
      </c>
      <c r="U4" s="13" t="s">
        <v>1334</v>
      </c>
      <c r="V4" s="147">
        <v>5.1700000000000003E-2</v>
      </c>
      <c r="W4" s="13" t="s">
        <v>765</v>
      </c>
      <c r="X4" s="13" t="s">
        <v>1335</v>
      </c>
      <c r="Y4" s="163">
        <v>5.1700000000000003E-2</v>
      </c>
      <c r="Z4" s="148">
        <v>2.24E-2</v>
      </c>
      <c r="AA4" s="13" t="s">
        <v>1336</v>
      </c>
      <c r="AB4" s="11" t="s">
        <v>419</v>
      </c>
      <c r="AC4" s="13"/>
      <c r="AD4" s="13"/>
      <c r="AE4" s="148">
        <v>0</v>
      </c>
      <c r="AF4" s="13"/>
      <c r="AG4" s="13" t="s">
        <v>139</v>
      </c>
      <c r="AH4" s="13"/>
      <c r="AI4" s="2"/>
      <c r="AJ4" s="2" t="s">
        <v>139</v>
      </c>
      <c r="AK4" s="13" t="s">
        <v>109</v>
      </c>
      <c r="AL4" s="13"/>
      <c r="AM4" s="13"/>
      <c r="AN4" s="157" t="s">
        <v>140</v>
      </c>
      <c r="AO4" s="2"/>
      <c r="AP4" s="138">
        <v>0</v>
      </c>
      <c r="AQ4" s="124">
        <v>38101.360000000001</v>
      </c>
      <c r="AR4" s="150">
        <v>154.15</v>
      </c>
      <c r="AS4" s="149">
        <v>1</v>
      </c>
      <c r="AT4" s="126">
        <v>58.732999999999997</v>
      </c>
      <c r="AU4" s="130">
        <v>58.732999999999997</v>
      </c>
      <c r="AV4" s="18"/>
      <c r="AW4" s="18"/>
      <c r="AX4" s="11" t="s">
        <v>139</v>
      </c>
      <c r="AY4" s="13" t="s">
        <v>36</v>
      </c>
      <c r="AZ4" s="148">
        <v>4.2449036310172198E-3</v>
      </c>
      <c r="BA4" s="148">
        <v>4.2499313983676198E-5</v>
      </c>
    </row>
    <row r="5" spans="1:53">
      <c r="A5" s="2">
        <v>301</v>
      </c>
      <c r="B5" s="2">
        <v>7210</v>
      </c>
      <c r="C5" s="13" t="s">
        <v>1329</v>
      </c>
      <c r="D5" s="13" t="s">
        <v>1330</v>
      </c>
      <c r="E5" s="13" t="s">
        <v>1343</v>
      </c>
      <c r="F5" s="13" t="s">
        <v>1344</v>
      </c>
      <c r="G5" s="13" t="s">
        <v>1049</v>
      </c>
      <c r="H5" s="2"/>
      <c r="I5" s="11" t="s">
        <v>30</v>
      </c>
      <c r="J5" s="11" t="s">
        <v>30</v>
      </c>
      <c r="K5" s="13" t="s">
        <v>492</v>
      </c>
      <c r="L5" s="13" t="s">
        <v>139</v>
      </c>
      <c r="M5" s="13" t="s">
        <v>347</v>
      </c>
      <c r="N5" s="13" t="s">
        <v>1329</v>
      </c>
      <c r="O5" s="156" t="s">
        <v>1345</v>
      </c>
      <c r="P5" s="13" t="s">
        <v>103</v>
      </c>
      <c r="Q5" s="13" t="s">
        <v>420</v>
      </c>
      <c r="R5" s="13" t="s">
        <v>414</v>
      </c>
      <c r="S5" s="11" t="s">
        <v>34</v>
      </c>
      <c r="T5" s="126">
        <v>1.46</v>
      </c>
      <c r="U5" s="13" t="s">
        <v>1334</v>
      </c>
      <c r="V5" s="147">
        <v>5.1700000000000003E-2</v>
      </c>
      <c r="W5" s="13" t="s">
        <v>765</v>
      </c>
      <c r="X5" s="13" t="s">
        <v>1335</v>
      </c>
      <c r="Y5" s="163">
        <v>5.1700000000000003E-2</v>
      </c>
      <c r="Z5" s="148">
        <v>2.2499999999999999E-2</v>
      </c>
      <c r="AA5" s="13" t="s">
        <v>1336</v>
      </c>
      <c r="AB5" s="11" t="s">
        <v>419</v>
      </c>
      <c r="AC5" s="13"/>
      <c r="AD5" s="13"/>
      <c r="AE5" s="148">
        <v>0</v>
      </c>
      <c r="AF5" s="13"/>
      <c r="AG5" s="13" t="s">
        <v>139</v>
      </c>
      <c r="AH5" s="13"/>
      <c r="AI5" s="2"/>
      <c r="AJ5" s="2" t="s">
        <v>139</v>
      </c>
      <c r="AK5" s="13" t="s">
        <v>109</v>
      </c>
      <c r="AL5" s="13"/>
      <c r="AM5" s="13"/>
      <c r="AN5" s="157" t="s">
        <v>140</v>
      </c>
      <c r="AO5" s="2"/>
      <c r="AP5" s="138">
        <v>0</v>
      </c>
      <c r="AQ5" s="124">
        <v>29648.32</v>
      </c>
      <c r="AR5" s="150">
        <v>149.66</v>
      </c>
      <c r="AS5" s="149">
        <v>1</v>
      </c>
      <c r="AT5" s="126">
        <v>44.372</v>
      </c>
      <c r="AU5" s="130">
        <v>44.372</v>
      </c>
      <c r="AV5" s="18"/>
      <c r="AW5" s="18"/>
      <c r="AX5" s="11" t="s">
        <v>139</v>
      </c>
      <c r="AY5" s="13" t="s">
        <v>36</v>
      </c>
      <c r="AZ5" s="148">
        <v>3.2069313167730901E-3</v>
      </c>
      <c r="BA5" s="148">
        <v>3.2107296844089602E-5</v>
      </c>
    </row>
    <row r="6" spans="1:53">
      <c r="A6" s="2">
        <v>301</v>
      </c>
      <c r="B6" s="2">
        <v>7210</v>
      </c>
      <c r="C6" s="13" t="s">
        <v>1329</v>
      </c>
      <c r="D6" s="13" t="s">
        <v>1330</v>
      </c>
      <c r="E6" s="13" t="s">
        <v>1346</v>
      </c>
      <c r="F6" s="13" t="s">
        <v>1347</v>
      </c>
      <c r="G6" s="13" t="s">
        <v>1049</v>
      </c>
      <c r="H6" s="2"/>
      <c r="I6" s="11" t="s">
        <v>30</v>
      </c>
      <c r="J6" s="11" t="s">
        <v>30</v>
      </c>
      <c r="K6" s="13" t="s">
        <v>492</v>
      </c>
      <c r="L6" s="13" t="s">
        <v>139</v>
      </c>
      <c r="M6" s="13" t="s">
        <v>347</v>
      </c>
      <c r="N6" s="13" t="s">
        <v>1329</v>
      </c>
      <c r="O6" s="156" t="s">
        <v>1348</v>
      </c>
      <c r="P6" s="13" t="s">
        <v>103</v>
      </c>
      <c r="Q6" s="13" t="s">
        <v>420</v>
      </c>
      <c r="R6" s="13" t="s">
        <v>414</v>
      </c>
      <c r="S6" s="11" t="s">
        <v>34</v>
      </c>
      <c r="T6" s="126">
        <v>1.46</v>
      </c>
      <c r="U6" s="13" t="s">
        <v>1334</v>
      </c>
      <c r="V6" s="147">
        <v>5.1700000000000003E-2</v>
      </c>
      <c r="W6" s="13" t="s">
        <v>765</v>
      </c>
      <c r="X6" s="13" t="s">
        <v>1335</v>
      </c>
      <c r="Y6" s="163">
        <v>5.1700000000000003E-2</v>
      </c>
      <c r="Z6" s="148">
        <v>2.2499999999999999E-2</v>
      </c>
      <c r="AA6" s="13" t="s">
        <v>1336</v>
      </c>
      <c r="AB6" s="11" t="s">
        <v>419</v>
      </c>
      <c r="AC6" s="13"/>
      <c r="AD6" s="13"/>
      <c r="AE6" s="148">
        <v>0</v>
      </c>
      <c r="AF6" s="13"/>
      <c r="AG6" s="13" t="s">
        <v>139</v>
      </c>
      <c r="AH6" s="13"/>
      <c r="AI6" s="2"/>
      <c r="AJ6" s="2" t="s">
        <v>139</v>
      </c>
      <c r="AK6" s="13" t="s">
        <v>109</v>
      </c>
      <c r="AL6" s="13"/>
      <c r="AM6" s="13"/>
      <c r="AN6" s="157" t="s">
        <v>140</v>
      </c>
      <c r="AO6" s="2"/>
      <c r="AP6" s="138">
        <v>0</v>
      </c>
      <c r="AQ6" s="124">
        <v>36885.64</v>
      </c>
      <c r="AR6" s="150">
        <v>147.31</v>
      </c>
      <c r="AS6" s="149">
        <v>1</v>
      </c>
      <c r="AT6" s="126">
        <v>54.335999999999999</v>
      </c>
      <c r="AU6" s="130">
        <v>54.335999999999999</v>
      </c>
      <c r="AV6" s="18"/>
      <c r="AW6" s="18"/>
      <c r="AX6" s="11" t="s">
        <v>139</v>
      </c>
      <c r="AY6" s="13" t="s">
        <v>36</v>
      </c>
      <c r="AZ6" s="148">
        <v>3.9271128479742403E-3</v>
      </c>
      <c r="BA6" s="148">
        <v>3.9317642161735398E-5</v>
      </c>
    </row>
    <row r="7" spans="1:53">
      <c r="A7" s="2">
        <v>301</v>
      </c>
      <c r="B7" s="2">
        <v>7210</v>
      </c>
      <c r="C7" s="13" t="s">
        <v>1329</v>
      </c>
      <c r="D7" s="13" t="s">
        <v>1330</v>
      </c>
      <c r="E7" s="13" t="s">
        <v>1349</v>
      </c>
      <c r="F7" s="13" t="s">
        <v>1350</v>
      </c>
      <c r="G7" s="13" t="s">
        <v>1049</v>
      </c>
      <c r="H7" s="2"/>
      <c r="I7" s="11" t="s">
        <v>30</v>
      </c>
      <c r="J7" s="11" t="s">
        <v>30</v>
      </c>
      <c r="K7" s="13" t="s">
        <v>492</v>
      </c>
      <c r="L7" s="13" t="s">
        <v>139</v>
      </c>
      <c r="M7" s="13" t="s">
        <v>347</v>
      </c>
      <c r="N7" s="13" t="s">
        <v>1329</v>
      </c>
      <c r="O7" s="156" t="s">
        <v>1351</v>
      </c>
      <c r="P7" s="13" t="s">
        <v>103</v>
      </c>
      <c r="Q7" s="13" t="s">
        <v>420</v>
      </c>
      <c r="R7" s="13" t="s">
        <v>414</v>
      </c>
      <c r="S7" s="11" t="s">
        <v>34</v>
      </c>
      <c r="T7" s="126">
        <v>1.46</v>
      </c>
      <c r="U7" s="13" t="s">
        <v>1334</v>
      </c>
      <c r="V7" s="147">
        <v>5.1700000000000003E-2</v>
      </c>
      <c r="W7" s="13" t="s">
        <v>765</v>
      </c>
      <c r="X7" s="13" t="s">
        <v>1335</v>
      </c>
      <c r="Y7" s="163">
        <v>5.1700000000000003E-2</v>
      </c>
      <c r="Z7" s="148">
        <v>2.2499999999999999E-2</v>
      </c>
      <c r="AA7" s="13" t="s">
        <v>1336</v>
      </c>
      <c r="AB7" s="11" t="s">
        <v>419</v>
      </c>
      <c r="AC7" s="13"/>
      <c r="AD7" s="13"/>
      <c r="AE7" s="148">
        <v>0</v>
      </c>
      <c r="AF7" s="13"/>
      <c r="AG7" s="13" t="s">
        <v>139</v>
      </c>
      <c r="AH7" s="13"/>
      <c r="AI7" s="2"/>
      <c r="AJ7" s="2" t="s">
        <v>139</v>
      </c>
      <c r="AK7" s="13" t="s">
        <v>109</v>
      </c>
      <c r="AL7" s="13"/>
      <c r="AM7" s="13"/>
      <c r="AN7" s="157" t="s">
        <v>140</v>
      </c>
      <c r="AO7" s="2"/>
      <c r="AP7" s="138">
        <v>0</v>
      </c>
      <c r="AQ7" s="124">
        <v>35520.080000000002</v>
      </c>
      <c r="AR7" s="150">
        <v>147.04</v>
      </c>
      <c r="AS7" s="149">
        <v>1</v>
      </c>
      <c r="AT7" s="126">
        <v>52.228999999999999</v>
      </c>
      <c r="AU7" s="130">
        <v>52.228999999999999</v>
      </c>
      <c r="AV7" s="18"/>
      <c r="AW7" s="18"/>
      <c r="AX7" s="11" t="s">
        <v>139</v>
      </c>
      <c r="AY7" s="13" t="s">
        <v>36</v>
      </c>
      <c r="AZ7" s="148">
        <v>3.7747940139009101E-3</v>
      </c>
      <c r="BA7" s="148">
        <v>3.77926497195963E-5</v>
      </c>
    </row>
    <row r="8" spans="1:53">
      <c r="A8" s="2">
        <v>301</v>
      </c>
      <c r="B8" s="2">
        <v>7210</v>
      </c>
      <c r="C8" s="13" t="s">
        <v>1329</v>
      </c>
      <c r="D8" s="13" t="s">
        <v>1330</v>
      </c>
      <c r="E8" s="13" t="s">
        <v>1352</v>
      </c>
      <c r="F8" s="13" t="s">
        <v>1353</v>
      </c>
      <c r="G8" s="13" t="s">
        <v>1049</v>
      </c>
      <c r="H8" s="2"/>
      <c r="I8" s="11" t="s">
        <v>30</v>
      </c>
      <c r="J8" s="11" t="s">
        <v>30</v>
      </c>
      <c r="K8" s="13" t="s">
        <v>492</v>
      </c>
      <c r="L8" s="13" t="s">
        <v>139</v>
      </c>
      <c r="M8" s="13" t="s">
        <v>347</v>
      </c>
      <c r="N8" s="13" t="s">
        <v>1329</v>
      </c>
      <c r="O8" s="156" t="s">
        <v>1354</v>
      </c>
      <c r="P8" s="13" t="s">
        <v>103</v>
      </c>
      <c r="Q8" s="13" t="s">
        <v>420</v>
      </c>
      <c r="R8" s="13" t="s">
        <v>414</v>
      </c>
      <c r="S8" s="11" t="s">
        <v>34</v>
      </c>
      <c r="T8" s="126">
        <v>1.46</v>
      </c>
      <c r="U8" s="13" t="s">
        <v>1334</v>
      </c>
      <c r="V8" s="147">
        <v>5.1700000000000003E-2</v>
      </c>
      <c r="W8" s="13" t="s">
        <v>765</v>
      </c>
      <c r="X8" s="13" t="s">
        <v>1335</v>
      </c>
      <c r="Y8" s="163">
        <v>5.1700000000000003E-2</v>
      </c>
      <c r="Z8" s="148">
        <v>2.2499999999999999E-2</v>
      </c>
      <c r="AA8" s="13" t="s">
        <v>1336</v>
      </c>
      <c r="AB8" s="11" t="s">
        <v>419</v>
      </c>
      <c r="AC8" s="13"/>
      <c r="AD8" s="13"/>
      <c r="AE8" s="148">
        <v>0</v>
      </c>
      <c r="AF8" s="13"/>
      <c r="AG8" s="13" t="s">
        <v>139</v>
      </c>
      <c r="AH8" s="13"/>
      <c r="AI8" s="2"/>
      <c r="AJ8" s="2" t="s">
        <v>139</v>
      </c>
      <c r="AK8" s="13" t="s">
        <v>109</v>
      </c>
      <c r="AL8" s="13"/>
      <c r="AM8" s="13"/>
      <c r="AN8" s="157" t="s">
        <v>140</v>
      </c>
      <c r="AO8" s="2"/>
      <c r="AP8" s="138">
        <v>0</v>
      </c>
      <c r="AQ8" s="124">
        <v>31295.87</v>
      </c>
      <c r="AR8" s="150">
        <v>146.59</v>
      </c>
      <c r="AS8" s="149">
        <v>1</v>
      </c>
      <c r="AT8" s="126">
        <v>45.877000000000002</v>
      </c>
      <c r="AU8" s="126">
        <v>45.877000000000002</v>
      </c>
      <c r="AV8" s="13"/>
      <c r="AW8" s="13"/>
      <c r="AX8" s="11" t="s">
        <v>139</v>
      </c>
      <c r="AY8" s="13" t="s">
        <v>36</v>
      </c>
      <c r="AZ8" s="148">
        <v>3.3156997941059798E-3</v>
      </c>
      <c r="BA8" s="148">
        <v>3.3196269897781599E-5</v>
      </c>
    </row>
    <row r="9" spans="1:53">
      <c r="A9" s="2">
        <v>301</v>
      </c>
      <c r="B9" s="2">
        <v>7210</v>
      </c>
      <c r="C9" s="13" t="s">
        <v>1329</v>
      </c>
      <c r="D9" s="13" t="s">
        <v>1330</v>
      </c>
      <c r="E9" s="13" t="s">
        <v>1355</v>
      </c>
      <c r="F9" s="13" t="s">
        <v>1356</v>
      </c>
      <c r="G9" s="13" t="s">
        <v>1049</v>
      </c>
      <c r="H9" s="2"/>
      <c r="I9" s="11" t="s">
        <v>30</v>
      </c>
      <c r="J9" s="11" t="s">
        <v>30</v>
      </c>
      <c r="K9" s="13" t="s">
        <v>492</v>
      </c>
      <c r="L9" s="13" t="s">
        <v>139</v>
      </c>
      <c r="M9" s="13" t="s">
        <v>347</v>
      </c>
      <c r="N9" s="13" t="s">
        <v>1329</v>
      </c>
      <c r="O9" s="156" t="s">
        <v>1357</v>
      </c>
      <c r="P9" s="13" t="s">
        <v>103</v>
      </c>
      <c r="Q9" s="13" t="s">
        <v>420</v>
      </c>
      <c r="R9" s="13" t="s">
        <v>414</v>
      </c>
      <c r="S9" s="11" t="s">
        <v>34</v>
      </c>
      <c r="T9" s="126">
        <v>1.46</v>
      </c>
      <c r="U9" s="13" t="s">
        <v>1334</v>
      </c>
      <c r="V9" s="147">
        <v>5.1700000000000003E-2</v>
      </c>
      <c r="W9" s="13" t="s">
        <v>765</v>
      </c>
      <c r="X9" s="13" t="s">
        <v>1335</v>
      </c>
      <c r="Y9" s="163">
        <v>5.1700000000000003E-2</v>
      </c>
      <c r="Z9" s="148">
        <v>2.2499999999999999E-2</v>
      </c>
      <c r="AA9" s="13" t="s">
        <v>1336</v>
      </c>
      <c r="AB9" s="11" t="s">
        <v>419</v>
      </c>
      <c r="AC9" s="13"/>
      <c r="AD9" s="13"/>
      <c r="AE9" s="148">
        <v>0</v>
      </c>
      <c r="AF9" s="13"/>
      <c r="AG9" s="13" t="s">
        <v>139</v>
      </c>
      <c r="AH9" s="13"/>
      <c r="AI9" s="2"/>
      <c r="AJ9" s="2" t="s">
        <v>139</v>
      </c>
      <c r="AK9" s="13" t="s">
        <v>109</v>
      </c>
      <c r="AL9" s="13"/>
      <c r="AM9" s="13"/>
      <c r="AN9" s="157" t="s">
        <v>140</v>
      </c>
      <c r="AO9" s="2"/>
      <c r="AP9" s="138">
        <v>0</v>
      </c>
      <c r="AQ9" s="124">
        <v>32446.09</v>
      </c>
      <c r="AR9" s="150">
        <v>147.32</v>
      </c>
      <c r="AS9" s="149">
        <v>1</v>
      </c>
      <c r="AT9" s="126">
        <v>47.8</v>
      </c>
      <c r="AU9" s="130">
        <v>47.8</v>
      </c>
      <c r="AV9" s="18"/>
      <c r="AW9" s="18"/>
      <c r="AX9" s="11" t="s">
        <v>139</v>
      </c>
      <c r="AY9" s="13" t="s">
        <v>36</v>
      </c>
      <c r="AZ9" s="148">
        <v>3.4546806468540702E-3</v>
      </c>
      <c r="BA9" s="148">
        <v>3.4587724548365599E-5</v>
      </c>
    </row>
    <row r="10" spans="1:53">
      <c r="A10" s="2">
        <v>301</v>
      </c>
      <c r="B10" s="2">
        <v>7210</v>
      </c>
      <c r="C10" s="13" t="s">
        <v>1329</v>
      </c>
      <c r="D10" s="13" t="s">
        <v>1330</v>
      </c>
      <c r="E10" s="13" t="s">
        <v>1358</v>
      </c>
      <c r="F10" s="13" t="s">
        <v>1359</v>
      </c>
      <c r="G10" s="13" t="s">
        <v>1049</v>
      </c>
      <c r="H10" s="2"/>
      <c r="I10" s="11" t="s">
        <v>30</v>
      </c>
      <c r="J10" s="11" t="s">
        <v>30</v>
      </c>
      <c r="K10" s="13" t="s">
        <v>492</v>
      </c>
      <c r="L10" s="13" t="s">
        <v>139</v>
      </c>
      <c r="M10" s="13" t="s">
        <v>347</v>
      </c>
      <c r="N10" s="13" t="s">
        <v>1329</v>
      </c>
      <c r="O10" s="156" t="s">
        <v>1360</v>
      </c>
      <c r="P10" s="13" t="s">
        <v>103</v>
      </c>
      <c r="Q10" s="13" t="s">
        <v>420</v>
      </c>
      <c r="R10" s="13" t="s">
        <v>414</v>
      </c>
      <c r="S10" s="11" t="s">
        <v>34</v>
      </c>
      <c r="T10" s="126">
        <v>1.46</v>
      </c>
      <c r="U10" s="13" t="s">
        <v>1334</v>
      </c>
      <c r="V10" s="147">
        <v>5.1700000000000003E-2</v>
      </c>
      <c r="W10" s="13" t="s">
        <v>765</v>
      </c>
      <c r="X10" s="13" t="s">
        <v>1335</v>
      </c>
      <c r="Y10" s="163">
        <v>5.1700000000000003E-2</v>
      </c>
      <c r="Z10" s="148">
        <v>2.2499999999999999E-2</v>
      </c>
      <c r="AA10" s="13" t="s">
        <v>1336</v>
      </c>
      <c r="AB10" s="11" t="s">
        <v>419</v>
      </c>
      <c r="AC10" s="13"/>
      <c r="AD10" s="13"/>
      <c r="AE10" s="148">
        <v>0</v>
      </c>
      <c r="AF10" s="13"/>
      <c r="AG10" s="13" t="s">
        <v>139</v>
      </c>
      <c r="AH10" s="13"/>
      <c r="AI10" s="2"/>
      <c r="AJ10" s="2" t="s">
        <v>139</v>
      </c>
      <c r="AK10" s="13" t="s">
        <v>109</v>
      </c>
      <c r="AL10" s="13"/>
      <c r="AM10" s="13"/>
      <c r="AN10" s="157" t="s">
        <v>140</v>
      </c>
      <c r="AO10" s="2"/>
      <c r="AP10" s="138">
        <v>0</v>
      </c>
      <c r="AQ10" s="124">
        <v>23015.93</v>
      </c>
      <c r="AR10" s="150">
        <v>148.93</v>
      </c>
      <c r="AS10" s="149">
        <v>1</v>
      </c>
      <c r="AT10" s="126">
        <v>34.277999999999999</v>
      </c>
      <c r="AU10" s="126">
        <v>34.277999999999999</v>
      </c>
      <c r="AV10" s="13"/>
      <c r="AW10" s="13"/>
      <c r="AX10" s="11" t="s">
        <v>139</v>
      </c>
      <c r="AY10" s="13" t="s">
        <v>36</v>
      </c>
      <c r="AZ10" s="148">
        <v>2.4773909451666098E-3</v>
      </c>
      <c r="BA10" s="148">
        <v>2.4803252274003201E-5</v>
      </c>
    </row>
    <row r="11" spans="1:53">
      <c r="A11" s="2">
        <v>301</v>
      </c>
      <c r="B11" s="2">
        <v>7210</v>
      </c>
      <c r="C11" s="13" t="s">
        <v>1329</v>
      </c>
      <c r="D11" s="13" t="s">
        <v>1330</v>
      </c>
      <c r="E11" s="13" t="s">
        <v>1361</v>
      </c>
      <c r="F11" s="13" t="s">
        <v>1362</v>
      </c>
      <c r="G11" s="13" t="s">
        <v>1049</v>
      </c>
      <c r="H11" s="2"/>
      <c r="I11" s="11" t="s">
        <v>30</v>
      </c>
      <c r="J11" s="11" t="s">
        <v>30</v>
      </c>
      <c r="K11" s="13" t="s">
        <v>492</v>
      </c>
      <c r="L11" s="13" t="s">
        <v>139</v>
      </c>
      <c r="M11" s="13" t="s">
        <v>347</v>
      </c>
      <c r="N11" s="13" t="s">
        <v>1329</v>
      </c>
      <c r="O11" s="156" t="s">
        <v>1363</v>
      </c>
      <c r="P11" s="13" t="s">
        <v>103</v>
      </c>
      <c r="Q11" s="13" t="s">
        <v>420</v>
      </c>
      <c r="R11" s="13" t="s">
        <v>414</v>
      </c>
      <c r="S11" s="11" t="s">
        <v>34</v>
      </c>
      <c r="T11" s="126">
        <v>1.46</v>
      </c>
      <c r="U11" s="13" t="s">
        <v>1334</v>
      </c>
      <c r="V11" s="147">
        <v>5.1700000000000003E-2</v>
      </c>
      <c r="W11" s="13" t="s">
        <v>765</v>
      </c>
      <c r="X11" s="13" t="s">
        <v>1335</v>
      </c>
      <c r="Y11" s="163">
        <v>5.1700000000000003E-2</v>
      </c>
      <c r="Z11" s="148">
        <v>2.2499999999999999E-2</v>
      </c>
      <c r="AA11" s="13" t="s">
        <v>1336</v>
      </c>
      <c r="AB11" s="11" t="s">
        <v>419</v>
      </c>
      <c r="AC11" s="13"/>
      <c r="AD11" s="13"/>
      <c r="AE11" s="148">
        <v>0</v>
      </c>
      <c r="AF11" s="13"/>
      <c r="AG11" s="13" t="s">
        <v>139</v>
      </c>
      <c r="AH11" s="13"/>
      <c r="AI11" s="2"/>
      <c r="AJ11" s="2" t="s">
        <v>139</v>
      </c>
      <c r="AK11" s="13" t="s">
        <v>109</v>
      </c>
      <c r="AL11" s="13"/>
      <c r="AM11" s="13"/>
      <c r="AN11" s="157" t="s">
        <v>140</v>
      </c>
      <c r="AO11" s="2"/>
      <c r="AP11" s="138">
        <v>0</v>
      </c>
      <c r="AQ11" s="124">
        <v>13871.29</v>
      </c>
      <c r="AR11" s="150">
        <v>149.97999999999999</v>
      </c>
      <c r="AS11" s="149">
        <v>1</v>
      </c>
      <c r="AT11" s="126">
        <v>20.803999999999998</v>
      </c>
      <c r="AU11" s="126">
        <v>20.803999999999998</v>
      </c>
      <c r="AV11" s="13"/>
      <c r="AW11" s="13"/>
      <c r="AX11" s="11" t="s">
        <v>139</v>
      </c>
      <c r="AY11" s="13" t="s">
        <v>36</v>
      </c>
      <c r="AZ11" s="148">
        <v>1.5036059272527701E-3</v>
      </c>
      <c r="BA11" s="148">
        <v>1.5053868347705901E-5</v>
      </c>
    </row>
    <row r="12" spans="1:53">
      <c r="A12" s="2">
        <v>301</v>
      </c>
      <c r="B12" s="2">
        <v>7210</v>
      </c>
      <c r="C12" s="13" t="s">
        <v>1329</v>
      </c>
      <c r="D12" s="13" t="s">
        <v>1330</v>
      </c>
      <c r="E12" s="13" t="s">
        <v>1364</v>
      </c>
      <c r="F12" s="13" t="s">
        <v>1365</v>
      </c>
      <c r="G12" s="13" t="s">
        <v>1049</v>
      </c>
      <c r="H12" s="2"/>
      <c r="I12" s="11" t="s">
        <v>30</v>
      </c>
      <c r="J12" s="11" t="s">
        <v>30</v>
      </c>
      <c r="K12" s="13" t="s">
        <v>492</v>
      </c>
      <c r="L12" s="13" t="s">
        <v>139</v>
      </c>
      <c r="M12" s="13" t="s">
        <v>347</v>
      </c>
      <c r="N12" s="13" t="s">
        <v>1329</v>
      </c>
      <c r="O12" s="156" t="s">
        <v>1366</v>
      </c>
      <c r="P12" s="13" t="s">
        <v>103</v>
      </c>
      <c r="Q12" s="13" t="s">
        <v>420</v>
      </c>
      <c r="R12" s="13" t="s">
        <v>414</v>
      </c>
      <c r="S12" s="11" t="s">
        <v>34</v>
      </c>
      <c r="T12" s="126">
        <v>1.46</v>
      </c>
      <c r="U12" s="13" t="s">
        <v>1334</v>
      </c>
      <c r="V12" s="147">
        <v>5.1700000000000003E-2</v>
      </c>
      <c r="W12" s="13" t="s">
        <v>765</v>
      </c>
      <c r="X12" s="13" t="s">
        <v>1335</v>
      </c>
      <c r="Y12" s="163">
        <v>5.1700000000000003E-2</v>
      </c>
      <c r="Z12" s="148">
        <v>2.2499999999999999E-2</v>
      </c>
      <c r="AA12" s="13" t="s">
        <v>1336</v>
      </c>
      <c r="AB12" s="11" t="s">
        <v>419</v>
      </c>
      <c r="AC12" s="13"/>
      <c r="AD12" s="13"/>
      <c r="AE12" s="148">
        <v>0</v>
      </c>
      <c r="AF12" s="13"/>
      <c r="AG12" s="13" t="s">
        <v>139</v>
      </c>
      <c r="AH12" s="13"/>
      <c r="AI12" s="2"/>
      <c r="AJ12" s="2" t="s">
        <v>139</v>
      </c>
      <c r="AK12" s="13" t="s">
        <v>109</v>
      </c>
      <c r="AL12" s="13"/>
      <c r="AM12" s="13"/>
      <c r="AN12" s="157" t="s">
        <v>140</v>
      </c>
      <c r="AO12" s="2"/>
      <c r="AP12" s="138">
        <v>0</v>
      </c>
      <c r="AQ12" s="124">
        <v>13947.98</v>
      </c>
      <c r="AR12" s="150">
        <v>150.43</v>
      </c>
      <c r="AS12" s="149">
        <v>1</v>
      </c>
      <c r="AT12" s="126">
        <v>20.981999999999999</v>
      </c>
      <c r="AU12" s="126">
        <v>20.981999999999999</v>
      </c>
      <c r="AV12" s="13"/>
      <c r="AW12" s="13"/>
      <c r="AX12" s="11" t="s">
        <v>139</v>
      </c>
      <c r="AY12" s="13" t="s">
        <v>36</v>
      </c>
      <c r="AZ12" s="148">
        <v>1.5164552530753501E-3</v>
      </c>
      <c r="BA12" s="148">
        <v>1.51825137964794E-5</v>
      </c>
    </row>
    <row r="13" spans="1:53">
      <c r="A13" s="2">
        <v>301</v>
      </c>
      <c r="B13" s="2">
        <v>7210</v>
      </c>
      <c r="C13" s="13" t="s">
        <v>1329</v>
      </c>
      <c r="D13" s="13" t="s">
        <v>1330</v>
      </c>
      <c r="E13" s="13" t="s">
        <v>1367</v>
      </c>
      <c r="F13" s="13" t="s">
        <v>1368</v>
      </c>
      <c r="G13" s="13" t="s">
        <v>1049</v>
      </c>
      <c r="H13" s="2"/>
      <c r="I13" s="11" t="s">
        <v>30</v>
      </c>
      <c r="J13" s="11" t="s">
        <v>30</v>
      </c>
      <c r="K13" s="13" t="s">
        <v>492</v>
      </c>
      <c r="L13" s="13" t="s">
        <v>139</v>
      </c>
      <c r="M13" s="13" t="s">
        <v>347</v>
      </c>
      <c r="N13" s="13" t="s">
        <v>1329</v>
      </c>
      <c r="O13" s="156" t="s">
        <v>1369</v>
      </c>
      <c r="P13" s="13" t="s">
        <v>103</v>
      </c>
      <c r="Q13" s="13" t="s">
        <v>420</v>
      </c>
      <c r="R13" s="13" t="s">
        <v>414</v>
      </c>
      <c r="S13" s="11" t="s">
        <v>34</v>
      </c>
      <c r="T13" s="126">
        <v>1.46</v>
      </c>
      <c r="U13" s="13" t="s">
        <v>1334</v>
      </c>
      <c r="V13" s="147">
        <v>5.1700000000000003E-2</v>
      </c>
      <c r="W13" s="13" t="s">
        <v>765</v>
      </c>
      <c r="X13" s="13" t="s">
        <v>1335</v>
      </c>
      <c r="Y13" s="163">
        <v>5.1700000000000003E-2</v>
      </c>
      <c r="Z13" s="148">
        <v>2.24E-2</v>
      </c>
      <c r="AA13" s="13" t="s">
        <v>1336</v>
      </c>
      <c r="AB13" s="11" t="s">
        <v>419</v>
      </c>
      <c r="AC13" s="13"/>
      <c r="AD13" s="13"/>
      <c r="AE13" s="148">
        <v>0</v>
      </c>
      <c r="AF13" s="13"/>
      <c r="AG13" s="13" t="s">
        <v>139</v>
      </c>
      <c r="AH13" s="13"/>
      <c r="AI13" s="2"/>
      <c r="AJ13" s="2" t="s">
        <v>139</v>
      </c>
      <c r="AK13" s="13" t="s">
        <v>109</v>
      </c>
      <c r="AL13" s="13"/>
      <c r="AM13" s="13"/>
      <c r="AN13" s="157" t="s">
        <v>140</v>
      </c>
      <c r="AO13" s="2"/>
      <c r="AP13" s="138">
        <v>0</v>
      </c>
      <c r="AQ13" s="124">
        <v>42636.05</v>
      </c>
      <c r="AR13" s="150">
        <v>160</v>
      </c>
      <c r="AS13" s="149">
        <v>1</v>
      </c>
      <c r="AT13" s="126">
        <v>68.218000000000004</v>
      </c>
      <c r="AU13" s="126">
        <v>68.218000000000004</v>
      </c>
      <c r="AV13" s="13"/>
      <c r="AW13" s="13"/>
      <c r="AX13" s="11" t="s">
        <v>139</v>
      </c>
      <c r="AY13" s="13" t="s">
        <v>36</v>
      </c>
      <c r="AZ13" s="148">
        <v>4.93038432376446E-3</v>
      </c>
      <c r="BA13" s="148">
        <v>4.9362239911592199E-5</v>
      </c>
    </row>
    <row r="14" spans="1:53">
      <c r="A14" s="2">
        <v>301</v>
      </c>
      <c r="B14" s="2">
        <v>7210</v>
      </c>
      <c r="C14" s="13" t="s">
        <v>1329</v>
      </c>
      <c r="D14" s="13" t="s">
        <v>1330</v>
      </c>
      <c r="E14" s="13" t="s">
        <v>1370</v>
      </c>
      <c r="F14" s="13" t="s">
        <v>1371</v>
      </c>
      <c r="G14" s="13" t="s">
        <v>1049</v>
      </c>
      <c r="H14" s="2"/>
      <c r="I14" s="11" t="s">
        <v>30</v>
      </c>
      <c r="J14" s="11" t="s">
        <v>30</v>
      </c>
      <c r="K14" s="13" t="s">
        <v>492</v>
      </c>
      <c r="L14" s="13" t="s">
        <v>139</v>
      </c>
      <c r="M14" s="13" t="s">
        <v>347</v>
      </c>
      <c r="N14" s="13" t="s">
        <v>1329</v>
      </c>
      <c r="O14" s="156" t="s">
        <v>1372</v>
      </c>
      <c r="P14" s="13" t="s">
        <v>103</v>
      </c>
      <c r="Q14" s="13" t="s">
        <v>420</v>
      </c>
      <c r="R14" s="13" t="s">
        <v>414</v>
      </c>
      <c r="S14" s="11" t="s">
        <v>34</v>
      </c>
      <c r="T14" s="126">
        <v>1.46</v>
      </c>
      <c r="U14" s="13" t="s">
        <v>1334</v>
      </c>
      <c r="V14" s="147">
        <v>5.1700000000000003E-2</v>
      </c>
      <c r="W14" s="13" t="s">
        <v>765</v>
      </c>
      <c r="X14" s="13" t="s">
        <v>1335</v>
      </c>
      <c r="Y14" s="163">
        <v>5.1700000000000003E-2</v>
      </c>
      <c r="Z14" s="148">
        <v>2.24E-2</v>
      </c>
      <c r="AA14" s="13" t="s">
        <v>1336</v>
      </c>
      <c r="AB14" s="11" t="s">
        <v>419</v>
      </c>
      <c r="AC14" s="13"/>
      <c r="AD14" s="13"/>
      <c r="AE14" s="148">
        <v>0</v>
      </c>
      <c r="AF14" s="13"/>
      <c r="AG14" s="13" t="s">
        <v>139</v>
      </c>
      <c r="AH14" s="13"/>
      <c r="AI14" s="2"/>
      <c r="AJ14" s="2" t="s">
        <v>139</v>
      </c>
      <c r="AK14" s="13" t="s">
        <v>109</v>
      </c>
      <c r="AL14" s="13"/>
      <c r="AM14" s="13"/>
      <c r="AN14" s="157" t="s">
        <v>140</v>
      </c>
      <c r="AO14" s="2"/>
      <c r="AP14" s="138">
        <v>0</v>
      </c>
      <c r="AQ14" s="124">
        <v>18458.91</v>
      </c>
      <c r="AR14" s="150">
        <v>160.76</v>
      </c>
      <c r="AS14" s="149">
        <v>1</v>
      </c>
      <c r="AT14" s="126">
        <v>29.675000000000001</v>
      </c>
      <c r="AU14" s="126">
        <v>29.675000000000001</v>
      </c>
      <c r="AV14" s="13"/>
      <c r="AW14" s="13"/>
      <c r="AX14" s="11" t="s">
        <v>139</v>
      </c>
      <c r="AY14" s="13" t="s">
        <v>36</v>
      </c>
      <c r="AZ14" s="148">
        <v>2.1447065504460101E-3</v>
      </c>
      <c r="BA14" s="148">
        <v>2.14724679317183E-5</v>
      </c>
    </row>
    <row r="15" spans="1:53">
      <c r="A15" s="2">
        <v>301</v>
      </c>
      <c r="B15" s="2">
        <v>7210</v>
      </c>
      <c r="C15" s="13" t="s">
        <v>1329</v>
      </c>
      <c r="D15" s="13" t="s">
        <v>1330</v>
      </c>
      <c r="E15" s="13" t="s">
        <v>1373</v>
      </c>
      <c r="F15" s="13" t="s">
        <v>1374</v>
      </c>
      <c r="G15" s="13" t="s">
        <v>1049</v>
      </c>
      <c r="H15" s="2"/>
      <c r="I15" s="11" t="s">
        <v>30</v>
      </c>
      <c r="J15" s="11" t="s">
        <v>30</v>
      </c>
      <c r="K15" s="13" t="s">
        <v>492</v>
      </c>
      <c r="L15" s="13" t="s">
        <v>139</v>
      </c>
      <c r="M15" s="13" t="s">
        <v>347</v>
      </c>
      <c r="N15" s="13" t="s">
        <v>1329</v>
      </c>
      <c r="O15" s="156" t="s">
        <v>1375</v>
      </c>
      <c r="P15" s="13" t="s">
        <v>103</v>
      </c>
      <c r="Q15" s="13" t="s">
        <v>420</v>
      </c>
      <c r="R15" s="13" t="s">
        <v>414</v>
      </c>
      <c r="S15" s="11" t="s">
        <v>34</v>
      </c>
      <c r="T15" s="126">
        <v>1.46</v>
      </c>
      <c r="U15" s="13" t="s">
        <v>1334</v>
      </c>
      <c r="V15" s="147">
        <v>5.1700000000000003E-2</v>
      </c>
      <c r="W15" s="13" t="s">
        <v>765</v>
      </c>
      <c r="X15" s="13" t="s">
        <v>1335</v>
      </c>
      <c r="Y15" s="163">
        <v>5.1700000000000003E-2</v>
      </c>
      <c r="Z15" s="148">
        <v>2.24E-2</v>
      </c>
      <c r="AA15" s="13" t="s">
        <v>1336</v>
      </c>
      <c r="AB15" s="11" t="s">
        <v>419</v>
      </c>
      <c r="AC15" s="13"/>
      <c r="AD15" s="13"/>
      <c r="AE15" s="148">
        <v>0</v>
      </c>
      <c r="AF15" s="13"/>
      <c r="AG15" s="13" t="s">
        <v>139</v>
      </c>
      <c r="AH15" s="13"/>
      <c r="AI15" s="2"/>
      <c r="AJ15" s="2" t="s">
        <v>139</v>
      </c>
      <c r="AK15" s="13" t="s">
        <v>109</v>
      </c>
      <c r="AL15" s="13"/>
      <c r="AM15" s="13"/>
      <c r="AN15" s="157" t="s">
        <v>140</v>
      </c>
      <c r="AO15" s="2"/>
      <c r="AP15" s="138">
        <v>0</v>
      </c>
      <c r="AQ15" s="124">
        <v>21153.33</v>
      </c>
      <c r="AR15" s="150">
        <v>159.1</v>
      </c>
      <c r="AS15" s="149">
        <v>1</v>
      </c>
      <c r="AT15" s="126">
        <v>33.655000000000001</v>
      </c>
      <c r="AU15" s="126">
        <v>33.655000000000001</v>
      </c>
      <c r="AV15" s="13"/>
      <c r="AW15" s="13"/>
      <c r="AX15" s="11" t="s">
        <v>139</v>
      </c>
      <c r="AY15" s="13" t="s">
        <v>36</v>
      </c>
      <c r="AZ15" s="148">
        <v>2.4323874424375001E-3</v>
      </c>
      <c r="BA15" s="148">
        <v>2.4352684214254E-5</v>
      </c>
    </row>
    <row r="16" spans="1:53">
      <c r="A16" s="2">
        <v>301</v>
      </c>
      <c r="B16" s="2">
        <v>7210</v>
      </c>
      <c r="C16" s="13" t="s">
        <v>1329</v>
      </c>
      <c r="D16" s="13" t="s">
        <v>1330</v>
      </c>
      <c r="E16" s="13" t="s">
        <v>1376</v>
      </c>
      <c r="F16" s="13" t="s">
        <v>1377</v>
      </c>
      <c r="G16" s="13" t="s">
        <v>1049</v>
      </c>
      <c r="H16" s="2"/>
      <c r="I16" s="11" t="s">
        <v>30</v>
      </c>
      <c r="J16" s="11" t="s">
        <v>30</v>
      </c>
      <c r="K16" s="13" t="s">
        <v>492</v>
      </c>
      <c r="L16" s="13" t="s">
        <v>139</v>
      </c>
      <c r="M16" s="13" t="s">
        <v>347</v>
      </c>
      <c r="N16" s="13" t="s">
        <v>1329</v>
      </c>
      <c r="O16" s="156" t="s">
        <v>1378</v>
      </c>
      <c r="P16" s="13" t="s">
        <v>103</v>
      </c>
      <c r="Q16" s="13" t="s">
        <v>420</v>
      </c>
      <c r="R16" s="13" t="s">
        <v>414</v>
      </c>
      <c r="S16" s="11" t="s">
        <v>34</v>
      </c>
      <c r="T16" s="126">
        <v>1.46</v>
      </c>
      <c r="U16" s="13" t="s">
        <v>1334</v>
      </c>
      <c r="V16" s="147">
        <v>5.1700000000000003E-2</v>
      </c>
      <c r="W16" s="13" t="s">
        <v>765</v>
      </c>
      <c r="X16" s="13" t="s">
        <v>1335</v>
      </c>
      <c r="Y16" s="163">
        <v>5.1700000000000003E-2</v>
      </c>
      <c r="Z16" s="148">
        <v>2.24E-2</v>
      </c>
      <c r="AA16" s="13" t="s">
        <v>1336</v>
      </c>
      <c r="AB16" s="11" t="s">
        <v>419</v>
      </c>
      <c r="AC16" s="13"/>
      <c r="AD16" s="13"/>
      <c r="AE16" s="148">
        <v>0</v>
      </c>
      <c r="AF16" s="13"/>
      <c r="AG16" s="13" t="s">
        <v>139</v>
      </c>
      <c r="AH16" s="13"/>
      <c r="AI16" s="2"/>
      <c r="AJ16" s="2" t="s">
        <v>139</v>
      </c>
      <c r="AK16" s="13" t="s">
        <v>109</v>
      </c>
      <c r="AL16" s="13"/>
      <c r="AM16" s="13"/>
      <c r="AN16" s="157" t="s">
        <v>140</v>
      </c>
      <c r="AO16" s="2"/>
      <c r="AP16" s="138">
        <v>0</v>
      </c>
      <c r="AQ16" s="124">
        <v>24685.68</v>
      </c>
      <c r="AR16" s="150">
        <v>159.1</v>
      </c>
      <c r="AS16" s="149">
        <v>1</v>
      </c>
      <c r="AT16" s="126">
        <v>39.274999999999999</v>
      </c>
      <c r="AU16" s="126">
        <v>39.274999999999999</v>
      </c>
      <c r="AV16" s="13"/>
      <c r="AW16" s="13"/>
      <c r="AX16" s="11" t="s">
        <v>139</v>
      </c>
      <c r="AY16" s="13" t="s">
        <v>36</v>
      </c>
      <c r="AZ16" s="148">
        <v>2.8385666956469999E-3</v>
      </c>
      <c r="BA16" s="148">
        <v>2.84192876324496E-5</v>
      </c>
    </row>
    <row r="17" spans="1:53">
      <c r="A17" s="2">
        <v>301</v>
      </c>
      <c r="B17" s="2">
        <v>7210</v>
      </c>
      <c r="C17" s="13" t="s">
        <v>1329</v>
      </c>
      <c r="D17" s="13" t="s">
        <v>1330</v>
      </c>
      <c r="E17" s="13" t="s">
        <v>1379</v>
      </c>
      <c r="F17" s="13" t="s">
        <v>1380</v>
      </c>
      <c r="G17" s="13" t="s">
        <v>1049</v>
      </c>
      <c r="H17" s="2"/>
      <c r="I17" s="11" t="s">
        <v>30</v>
      </c>
      <c r="J17" s="11" t="s">
        <v>30</v>
      </c>
      <c r="K17" s="13" t="s">
        <v>492</v>
      </c>
      <c r="L17" s="13" t="s">
        <v>139</v>
      </c>
      <c r="M17" s="13" t="s">
        <v>347</v>
      </c>
      <c r="N17" s="13" t="s">
        <v>1329</v>
      </c>
      <c r="O17" s="156" t="s">
        <v>1381</v>
      </c>
      <c r="P17" s="13" t="s">
        <v>103</v>
      </c>
      <c r="Q17" s="13" t="s">
        <v>420</v>
      </c>
      <c r="R17" s="13" t="s">
        <v>414</v>
      </c>
      <c r="S17" s="11" t="s">
        <v>34</v>
      </c>
      <c r="T17" s="126">
        <v>1.46</v>
      </c>
      <c r="U17" s="13" t="s">
        <v>1334</v>
      </c>
      <c r="V17" s="147">
        <v>5.1700000000000003E-2</v>
      </c>
      <c r="W17" s="13" t="s">
        <v>765</v>
      </c>
      <c r="X17" s="13" t="s">
        <v>1335</v>
      </c>
      <c r="Y17" s="163">
        <v>5.1700000000000003E-2</v>
      </c>
      <c r="Z17" s="148">
        <v>2.24E-2</v>
      </c>
      <c r="AA17" s="13" t="s">
        <v>1336</v>
      </c>
      <c r="AB17" s="11" t="s">
        <v>419</v>
      </c>
      <c r="AC17" s="13"/>
      <c r="AD17" s="13"/>
      <c r="AE17" s="148">
        <v>0</v>
      </c>
      <c r="AF17" s="13"/>
      <c r="AG17" s="13" t="s">
        <v>139</v>
      </c>
      <c r="AH17" s="13"/>
      <c r="AI17" s="2"/>
      <c r="AJ17" s="2" t="s">
        <v>139</v>
      </c>
      <c r="AK17" s="13" t="s">
        <v>109</v>
      </c>
      <c r="AL17" s="13"/>
      <c r="AM17" s="13"/>
      <c r="AN17" s="157" t="s">
        <v>140</v>
      </c>
      <c r="AO17" s="2"/>
      <c r="AP17" s="138">
        <v>0</v>
      </c>
      <c r="AQ17" s="124">
        <v>25026.54</v>
      </c>
      <c r="AR17" s="150">
        <v>159.1</v>
      </c>
      <c r="AS17" s="149">
        <v>1</v>
      </c>
      <c r="AT17" s="126">
        <v>39.817</v>
      </c>
      <c r="AU17" s="126">
        <v>39.817</v>
      </c>
      <c r="AV17" s="13"/>
      <c r="AW17" s="13"/>
      <c r="AX17" s="11" t="s">
        <v>139</v>
      </c>
      <c r="AY17" s="13" t="s">
        <v>36</v>
      </c>
      <c r="AZ17" s="148">
        <v>2.8777616395933799E-3</v>
      </c>
      <c r="BA17" s="148">
        <v>2.8811701306385099E-5</v>
      </c>
    </row>
    <row r="18" spans="1:53">
      <c r="A18" s="2">
        <v>301</v>
      </c>
      <c r="B18" s="2">
        <v>7210</v>
      </c>
      <c r="C18" s="13" t="s">
        <v>1329</v>
      </c>
      <c r="D18" s="13" t="s">
        <v>1330</v>
      </c>
      <c r="E18" s="13" t="s">
        <v>1382</v>
      </c>
      <c r="F18" s="13" t="s">
        <v>1383</v>
      </c>
      <c r="G18" s="13" t="s">
        <v>1049</v>
      </c>
      <c r="H18" s="2"/>
      <c r="I18" s="11" t="s">
        <v>30</v>
      </c>
      <c r="J18" s="11" t="s">
        <v>30</v>
      </c>
      <c r="K18" s="13" t="s">
        <v>492</v>
      </c>
      <c r="L18" s="13" t="s">
        <v>139</v>
      </c>
      <c r="M18" s="13" t="s">
        <v>347</v>
      </c>
      <c r="N18" s="13" t="s">
        <v>1329</v>
      </c>
      <c r="O18" s="156" t="s">
        <v>1384</v>
      </c>
      <c r="P18" s="13" t="s">
        <v>103</v>
      </c>
      <c r="Q18" s="13" t="s">
        <v>420</v>
      </c>
      <c r="R18" s="13" t="s">
        <v>414</v>
      </c>
      <c r="S18" s="11" t="s">
        <v>34</v>
      </c>
      <c r="T18" s="126">
        <v>1.46</v>
      </c>
      <c r="U18" s="13" t="s">
        <v>1334</v>
      </c>
      <c r="V18" s="147">
        <v>5.2121000000000001E-2</v>
      </c>
      <c r="W18" s="13" t="s">
        <v>765</v>
      </c>
      <c r="X18" s="13" t="s">
        <v>1335</v>
      </c>
      <c r="Y18" s="163">
        <v>5.2121000000000001E-2</v>
      </c>
      <c r="Z18" s="148">
        <v>2.24E-2</v>
      </c>
      <c r="AA18" s="13" t="s">
        <v>1385</v>
      </c>
      <c r="AB18" s="11" t="s">
        <v>419</v>
      </c>
      <c r="AC18" s="13"/>
      <c r="AD18" s="13"/>
      <c r="AE18" s="148">
        <v>0</v>
      </c>
      <c r="AF18" s="13"/>
      <c r="AG18" s="13" t="s">
        <v>139</v>
      </c>
      <c r="AH18" s="13"/>
      <c r="AI18" s="2"/>
      <c r="AJ18" s="2" t="s">
        <v>139</v>
      </c>
      <c r="AK18" s="13" t="s">
        <v>109</v>
      </c>
      <c r="AL18" s="13"/>
      <c r="AM18" s="13"/>
      <c r="AN18" s="157" t="s">
        <v>140</v>
      </c>
      <c r="AO18" s="2"/>
      <c r="AP18" s="138">
        <v>0</v>
      </c>
      <c r="AQ18" s="124">
        <v>23505.84</v>
      </c>
      <c r="AR18" s="150">
        <v>160.35</v>
      </c>
      <c r="AS18" s="149">
        <v>1</v>
      </c>
      <c r="AT18" s="126">
        <v>37.692</v>
      </c>
      <c r="AU18" s="126">
        <v>37.692</v>
      </c>
      <c r="AV18" s="13"/>
      <c r="AW18" s="13"/>
      <c r="AX18" s="11" t="s">
        <v>139</v>
      </c>
      <c r="AY18" s="13" t="s">
        <v>36</v>
      </c>
      <c r="AZ18" s="148">
        <v>2.7241346374187801E-3</v>
      </c>
      <c r="BA18" s="148">
        <v>2.7273611688971401E-5</v>
      </c>
    </row>
    <row r="19" spans="1:53">
      <c r="A19" s="2">
        <v>301</v>
      </c>
      <c r="B19" s="2">
        <v>7210</v>
      </c>
      <c r="C19" s="13" t="s">
        <v>1329</v>
      </c>
      <c r="D19" s="13" t="s">
        <v>1330</v>
      </c>
      <c r="E19" s="13" t="s">
        <v>1386</v>
      </c>
      <c r="F19" s="13" t="s">
        <v>1387</v>
      </c>
      <c r="G19" s="13" t="s">
        <v>1049</v>
      </c>
      <c r="H19" s="2"/>
      <c r="I19" s="11" t="s">
        <v>30</v>
      </c>
      <c r="J19" s="11" t="s">
        <v>30</v>
      </c>
      <c r="K19" s="13" t="s">
        <v>492</v>
      </c>
      <c r="L19" s="13" t="s">
        <v>139</v>
      </c>
      <c r="M19" s="13" t="s">
        <v>347</v>
      </c>
      <c r="N19" s="13" t="s">
        <v>1329</v>
      </c>
      <c r="O19" s="156" t="s">
        <v>1388</v>
      </c>
      <c r="P19" s="13" t="s">
        <v>103</v>
      </c>
      <c r="Q19" s="13" t="s">
        <v>420</v>
      </c>
      <c r="R19" s="13" t="s">
        <v>414</v>
      </c>
      <c r="S19" s="11" t="s">
        <v>34</v>
      </c>
      <c r="T19" s="126">
        <v>1.46</v>
      </c>
      <c r="U19" s="13" t="s">
        <v>1334</v>
      </c>
      <c r="V19" s="147">
        <v>5.1700000000000003E-2</v>
      </c>
      <c r="W19" s="13" t="s">
        <v>765</v>
      </c>
      <c r="X19" s="13" t="s">
        <v>1335</v>
      </c>
      <c r="Y19" s="163">
        <v>5.1700000000000003E-2</v>
      </c>
      <c r="Z19" s="148">
        <v>2.24E-2</v>
      </c>
      <c r="AA19" s="13" t="s">
        <v>1336</v>
      </c>
      <c r="AB19" s="11" t="s">
        <v>419</v>
      </c>
      <c r="AC19" s="13"/>
      <c r="AD19" s="13"/>
      <c r="AE19" s="148">
        <v>0</v>
      </c>
      <c r="AF19" s="13"/>
      <c r="AG19" s="13" t="s">
        <v>139</v>
      </c>
      <c r="AH19" s="13"/>
      <c r="AI19" s="2"/>
      <c r="AJ19" s="2" t="s">
        <v>139</v>
      </c>
      <c r="AK19" s="13" t="s">
        <v>109</v>
      </c>
      <c r="AL19" s="13"/>
      <c r="AM19" s="13"/>
      <c r="AN19" s="157" t="s">
        <v>140</v>
      </c>
      <c r="AO19" s="2"/>
      <c r="AP19" s="138">
        <v>0</v>
      </c>
      <c r="AQ19" s="124">
        <v>5969.89</v>
      </c>
      <c r="AR19" s="150">
        <v>157.97</v>
      </c>
      <c r="AS19" s="149">
        <v>1</v>
      </c>
      <c r="AT19" s="126">
        <v>9.4309999999999992</v>
      </c>
      <c r="AU19" s="126">
        <v>9.4309999999999992</v>
      </c>
      <c r="AV19" s="13"/>
      <c r="AW19" s="13"/>
      <c r="AX19" s="11" t="s">
        <v>139</v>
      </c>
      <c r="AY19" s="13" t="s">
        <v>36</v>
      </c>
      <c r="AZ19" s="148">
        <v>6.8159245691035001E-4</v>
      </c>
      <c r="BA19" s="148">
        <v>6.8239975163338996E-6</v>
      </c>
    </row>
    <row r="20" spans="1:53">
      <c r="A20" s="2">
        <v>301</v>
      </c>
      <c r="B20" s="2">
        <v>7210</v>
      </c>
      <c r="C20" s="2" t="s">
        <v>1329</v>
      </c>
      <c r="D20" s="13" t="s">
        <v>1330</v>
      </c>
      <c r="E20" s="2" t="s">
        <v>1389</v>
      </c>
      <c r="F20" s="2" t="s">
        <v>1390</v>
      </c>
      <c r="G20" s="13" t="s">
        <v>1049</v>
      </c>
      <c r="H20" s="2"/>
      <c r="I20" s="11" t="s">
        <v>30</v>
      </c>
      <c r="J20" s="11" t="s">
        <v>30</v>
      </c>
      <c r="K20" s="13" t="s">
        <v>492</v>
      </c>
      <c r="L20" s="13" t="s">
        <v>139</v>
      </c>
      <c r="M20" s="13" t="s">
        <v>347</v>
      </c>
      <c r="N20" s="2" t="s">
        <v>1329</v>
      </c>
      <c r="O20" s="157" t="s">
        <v>1391</v>
      </c>
      <c r="P20" s="2" t="s">
        <v>103</v>
      </c>
      <c r="Q20" s="13" t="s">
        <v>420</v>
      </c>
      <c r="R20" s="13" t="s">
        <v>414</v>
      </c>
      <c r="S20" s="11" t="s">
        <v>34</v>
      </c>
      <c r="T20" s="124">
        <v>1.46</v>
      </c>
      <c r="U20" s="13" t="s">
        <v>1334</v>
      </c>
      <c r="V20" s="138">
        <v>5.1700000000000003E-2</v>
      </c>
      <c r="W20" s="13" t="s">
        <v>765</v>
      </c>
      <c r="X20" s="13" t="s">
        <v>1335</v>
      </c>
      <c r="Y20" s="164">
        <v>5.1700000000000003E-2</v>
      </c>
      <c r="Z20" s="140">
        <v>2.24E-2</v>
      </c>
      <c r="AA20" s="2" t="s">
        <v>1336</v>
      </c>
      <c r="AB20" s="11" t="s">
        <v>419</v>
      </c>
      <c r="AC20" s="13"/>
      <c r="AD20" s="2"/>
      <c r="AE20" s="140">
        <v>0</v>
      </c>
      <c r="AF20" s="2"/>
      <c r="AG20" s="13" t="s">
        <v>139</v>
      </c>
      <c r="AH20" s="13"/>
      <c r="AI20" s="2"/>
      <c r="AJ20" s="2" t="s">
        <v>139</v>
      </c>
      <c r="AK20" s="13" t="s">
        <v>109</v>
      </c>
      <c r="AL20" s="2"/>
      <c r="AM20" s="13"/>
      <c r="AN20" s="157" t="s">
        <v>140</v>
      </c>
      <c r="AO20" s="2"/>
      <c r="AP20" s="138">
        <v>0</v>
      </c>
      <c r="AQ20" s="124">
        <v>77371.73</v>
      </c>
      <c r="AR20" s="151">
        <v>156.41999999999999</v>
      </c>
      <c r="AS20" s="134">
        <v>1</v>
      </c>
      <c r="AT20" s="124">
        <v>121.02500000000001</v>
      </c>
      <c r="AU20" s="124">
        <v>121.02500000000001</v>
      </c>
      <c r="AV20" s="2"/>
      <c r="AW20" s="2"/>
      <c r="AX20" s="11" t="s">
        <v>139</v>
      </c>
      <c r="AY20" s="13" t="s">
        <v>36</v>
      </c>
      <c r="AZ20" s="140">
        <v>8.7469857206400794E-3</v>
      </c>
      <c r="BA20" s="140">
        <v>8.7573458637772004E-5</v>
      </c>
    </row>
    <row r="21" spans="1:53">
      <c r="A21" s="2">
        <v>301</v>
      </c>
      <c r="B21" s="2">
        <v>7210</v>
      </c>
      <c r="C21" s="2" t="s">
        <v>1329</v>
      </c>
      <c r="D21" s="3" t="s">
        <v>1330</v>
      </c>
      <c r="E21" s="2" t="s">
        <v>1392</v>
      </c>
      <c r="F21" s="2" t="s">
        <v>1393</v>
      </c>
      <c r="G21" s="2" t="s">
        <v>1049</v>
      </c>
      <c r="H21" s="2"/>
      <c r="I21" s="2" t="s">
        <v>30</v>
      </c>
      <c r="J21" s="2" t="s">
        <v>30</v>
      </c>
      <c r="K21" s="2" t="s">
        <v>492</v>
      </c>
      <c r="L21" s="2" t="s">
        <v>139</v>
      </c>
      <c r="M21" s="2" t="s">
        <v>347</v>
      </c>
      <c r="N21" s="2" t="s">
        <v>1329</v>
      </c>
      <c r="O21" s="157" t="s">
        <v>1394</v>
      </c>
      <c r="P21" s="2" t="s">
        <v>1395</v>
      </c>
      <c r="Q21" s="2" t="s">
        <v>420</v>
      </c>
      <c r="R21" s="2" t="s">
        <v>414</v>
      </c>
      <c r="S21" s="11" t="s">
        <v>34</v>
      </c>
      <c r="T21" s="124">
        <v>0.25</v>
      </c>
      <c r="U21" s="2" t="s">
        <v>1334</v>
      </c>
      <c r="V21" s="138">
        <v>7.1499999999999994E-2</v>
      </c>
      <c r="W21" s="2" t="s">
        <v>765</v>
      </c>
      <c r="X21" s="2" t="s">
        <v>1335</v>
      </c>
      <c r="Y21" s="164">
        <v>7.1499999999999994E-2</v>
      </c>
      <c r="Z21" s="140">
        <v>1.2579999999999999E-2</v>
      </c>
      <c r="AA21" s="2" t="s">
        <v>1396</v>
      </c>
      <c r="AB21" s="3" t="s">
        <v>419</v>
      </c>
      <c r="AC21" s="2"/>
      <c r="AD21" s="2"/>
      <c r="AE21" s="140">
        <v>0</v>
      </c>
      <c r="AF21" s="2"/>
      <c r="AG21" s="2" t="s">
        <v>139</v>
      </c>
      <c r="AH21" s="2"/>
      <c r="AI21" s="2"/>
      <c r="AJ21" s="2" t="s">
        <v>139</v>
      </c>
      <c r="AK21" s="2" t="s">
        <v>109</v>
      </c>
      <c r="AL21" s="2"/>
      <c r="AM21" s="2"/>
      <c r="AN21" s="157" t="s">
        <v>140</v>
      </c>
      <c r="AO21" s="2"/>
      <c r="AP21" s="138">
        <v>0</v>
      </c>
      <c r="AQ21" s="124">
        <v>594398.65</v>
      </c>
      <c r="AR21" s="151">
        <v>125.09</v>
      </c>
      <c r="AS21" s="134">
        <v>1</v>
      </c>
      <c r="AT21" s="124">
        <v>743.53300000000002</v>
      </c>
      <c r="AU21" s="124">
        <v>743.53300000000002</v>
      </c>
      <c r="AV21" s="2"/>
      <c r="AW21" s="2"/>
      <c r="AX21" s="3" t="s">
        <v>139</v>
      </c>
      <c r="AY21" s="2" t="s">
        <v>36</v>
      </c>
      <c r="AZ21" s="140">
        <v>5.3738338579395799E-2</v>
      </c>
      <c r="BA21" s="140">
        <v>5.3801987577738197E-4</v>
      </c>
    </row>
    <row r="22" spans="1:53">
      <c r="A22" s="2">
        <v>301</v>
      </c>
      <c r="B22" s="2">
        <v>7210</v>
      </c>
      <c r="C22" s="2" t="s">
        <v>1329</v>
      </c>
      <c r="D22" s="3" t="s">
        <v>1330</v>
      </c>
      <c r="E22" s="2" t="s">
        <v>1397</v>
      </c>
      <c r="F22" s="2" t="s">
        <v>1398</v>
      </c>
      <c r="G22" s="2" t="s">
        <v>1049</v>
      </c>
      <c r="H22" s="2"/>
      <c r="I22" s="2" t="s">
        <v>30</v>
      </c>
      <c r="J22" s="2" t="s">
        <v>30</v>
      </c>
      <c r="K22" s="2" t="s">
        <v>492</v>
      </c>
      <c r="L22" s="2" t="s">
        <v>139</v>
      </c>
      <c r="M22" s="2" t="s">
        <v>347</v>
      </c>
      <c r="N22" s="2" t="s">
        <v>1329</v>
      </c>
      <c r="O22" s="157" t="s">
        <v>1351</v>
      </c>
      <c r="P22" s="2" t="s">
        <v>103</v>
      </c>
      <c r="Q22" s="2" t="s">
        <v>420</v>
      </c>
      <c r="R22" s="2" t="s">
        <v>414</v>
      </c>
      <c r="S22" s="11" t="s">
        <v>34</v>
      </c>
      <c r="T22" s="124">
        <v>1.47</v>
      </c>
      <c r="U22" s="2" t="s">
        <v>1334</v>
      </c>
      <c r="V22" s="138">
        <v>3.8399999999999997E-2</v>
      </c>
      <c r="W22" s="2" t="s">
        <v>765</v>
      </c>
      <c r="X22" s="2" t="s">
        <v>1335</v>
      </c>
      <c r="Y22" s="164">
        <v>3.8399999999999997E-2</v>
      </c>
      <c r="Z22" s="140">
        <v>2.2499999999999999E-2</v>
      </c>
      <c r="AA22" s="2" t="s">
        <v>1336</v>
      </c>
      <c r="AB22" s="3" t="s">
        <v>419</v>
      </c>
      <c r="AC22" s="2"/>
      <c r="AD22" s="2"/>
      <c r="AE22" s="140">
        <v>0</v>
      </c>
      <c r="AF22" s="2"/>
      <c r="AG22" s="2" t="s">
        <v>139</v>
      </c>
      <c r="AH22" s="2"/>
      <c r="AI22" s="2"/>
      <c r="AJ22" s="2" t="s">
        <v>139</v>
      </c>
      <c r="AK22" s="2" t="s">
        <v>109</v>
      </c>
      <c r="AL22" s="2"/>
      <c r="AM22" s="2"/>
      <c r="AN22" s="157" t="s">
        <v>140</v>
      </c>
      <c r="AO22" s="2"/>
      <c r="AP22" s="138">
        <v>0</v>
      </c>
      <c r="AQ22" s="124">
        <v>35520.080000000002</v>
      </c>
      <c r="AR22" s="151">
        <v>144.31</v>
      </c>
      <c r="AS22" s="134">
        <v>1</v>
      </c>
      <c r="AT22" s="124">
        <v>51.259</v>
      </c>
      <c r="AU22" s="124">
        <v>51.259</v>
      </c>
      <c r="AV22" s="2"/>
      <c r="AW22" s="2"/>
      <c r="AX22" s="3" t="s">
        <v>139</v>
      </c>
      <c r="AY22" s="2" t="s">
        <v>36</v>
      </c>
      <c r="AZ22" s="140">
        <v>3.7047097670432601E-3</v>
      </c>
      <c r="BA22" s="140">
        <v>3.7090977156113598E-5</v>
      </c>
    </row>
    <row r="23" spans="1:53">
      <c r="A23" s="2">
        <v>301</v>
      </c>
      <c r="B23" s="2">
        <v>7210</v>
      </c>
      <c r="C23" s="2" t="s">
        <v>1329</v>
      </c>
      <c r="D23" s="3" t="s">
        <v>1330</v>
      </c>
      <c r="E23" s="2" t="s">
        <v>1399</v>
      </c>
      <c r="F23" s="2" t="s">
        <v>1400</v>
      </c>
      <c r="G23" s="2" t="s">
        <v>1049</v>
      </c>
      <c r="H23" s="2"/>
      <c r="I23" s="2" t="s">
        <v>30</v>
      </c>
      <c r="J23" s="2" t="s">
        <v>30</v>
      </c>
      <c r="K23" s="2" t="s">
        <v>492</v>
      </c>
      <c r="L23" s="2" t="s">
        <v>139</v>
      </c>
      <c r="M23" s="2" t="s">
        <v>347</v>
      </c>
      <c r="N23" s="2" t="s">
        <v>1329</v>
      </c>
      <c r="O23" s="157" t="s">
        <v>1354</v>
      </c>
      <c r="P23" s="2" t="s">
        <v>103</v>
      </c>
      <c r="Q23" s="2" t="s">
        <v>420</v>
      </c>
      <c r="R23" s="2" t="s">
        <v>414</v>
      </c>
      <c r="S23" s="2" t="s">
        <v>34</v>
      </c>
      <c r="T23" s="124">
        <v>1.47</v>
      </c>
      <c r="U23" s="2" t="s">
        <v>1334</v>
      </c>
      <c r="V23" s="138">
        <v>3.8399999999999997E-2</v>
      </c>
      <c r="W23" s="2" t="s">
        <v>765</v>
      </c>
      <c r="X23" s="2" t="s">
        <v>1335</v>
      </c>
      <c r="Y23" s="164">
        <v>3.8399999999999997E-2</v>
      </c>
      <c r="Z23" s="140">
        <v>2.2499999999999999E-2</v>
      </c>
      <c r="AA23" s="2" t="s">
        <v>1336</v>
      </c>
      <c r="AB23" s="3" t="s">
        <v>419</v>
      </c>
      <c r="AC23" s="2"/>
      <c r="AD23" s="2"/>
      <c r="AE23" s="140">
        <v>0</v>
      </c>
      <c r="AF23" s="2"/>
      <c r="AG23" s="2" t="s">
        <v>139</v>
      </c>
      <c r="AH23" s="2"/>
      <c r="AI23" s="2"/>
      <c r="AJ23" s="2" t="s">
        <v>139</v>
      </c>
      <c r="AK23" s="2" t="s">
        <v>109</v>
      </c>
      <c r="AL23" s="2"/>
      <c r="AM23" s="2"/>
      <c r="AN23" s="157" t="s">
        <v>140</v>
      </c>
      <c r="AO23" s="2"/>
      <c r="AP23" s="138">
        <v>0</v>
      </c>
      <c r="AQ23" s="124">
        <v>31296.19</v>
      </c>
      <c r="AR23" s="151">
        <v>143.87</v>
      </c>
      <c r="AS23" s="134">
        <v>1</v>
      </c>
      <c r="AT23" s="124">
        <v>45.026000000000003</v>
      </c>
      <c r="AU23" s="124">
        <v>45.026000000000003</v>
      </c>
      <c r="AV23" s="2"/>
      <c r="AW23" s="2"/>
      <c r="AX23" s="3" t="s">
        <v>139</v>
      </c>
      <c r="AY23" s="2" t="s">
        <v>36</v>
      </c>
      <c r="AZ23" s="140">
        <v>3.25420974829718E-3</v>
      </c>
      <c r="BA23" s="140">
        <v>3.2580641136599902E-5</v>
      </c>
    </row>
    <row r="24" spans="1:53">
      <c r="A24" s="2">
        <v>301</v>
      </c>
      <c r="B24" s="2">
        <v>7210</v>
      </c>
      <c r="C24" s="2" t="s">
        <v>1329</v>
      </c>
      <c r="D24" s="2" t="s">
        <v>1330</v>
      </c>
      <c r="E24" s="2" t="s">
        <v>1401</v>
      </c>
      <c r="F24" s="2" t="s">
        <v>1402</v>
      </c>
      <c r="G24" s="2" t="s">
        <v>1049</v>
      </c>
      <c r="H24" s="2"/>
      <c r="I24" s="2" t="s">
        <v>30</v>
      </c>
      <c r="J24" s="2" t="s">
        <v>30</v>
      </c>
      <c r="K24" s="2" t="s">
        <v>492</v>
      </c>
      <c r="L24" s="2" t="s">
        <v>139</v>
      </c>
      <c r="M24" s="2" t="s">
        <v>347</v>
      </c>
      <c r="N24" s="2" t="s">
        <v>1329</v>
      </c>
      <c r="O24" s="157" t="s">
        <v>1357</v>
      </c>
      <c r="P24" s="2" t="s">
        <v>103</v>
      </c>
      <c r="Q24" s="2" t="s">
        <v>420</v>
      </c>
      <c r="R24" s="2" t="s">
        <v>414</v>
      </c>
      <c r="S24" s="2" t="s">
        <v>34</v>
      </c>
      <c r="T24" s="124">
        <v>1.47</v>
      </c>
      <c r="U24" s="2" t="s">
        <v>1334</v>
      </c>
      <c r="V24" s="138">
        <v>3.8399999999999997E-2</v>
      </c>
      <c r="W24" s="2" t="s">
        <v>765</v>
      </c>
      <c r="X24" s="2" t="s">
        <v>1335</v>
      </c>
      <c r="Y24" s="164">
        <v>3.8399999999999997E-2</v>
      </c>
      <c r="Z24" s="140">
        <v>2.2499999999999999E-2</v>
      </c>
      <c r="AA24" s="2" t="s">
        <v>1336</v>
      </c>
      <c r="AB24" s="3" t="s">
        <v>419</v>
      </c>
      <c r="AC24" s="2"/>
      <c r="AD24" s="2"/>
      <c r="AE24" s="140">
        <v>0</v>
      </c>
      <c r="AF24" s="2"/>
      <c r="AG24" s="2" t="s">
        <v>139</v>
      </c>
      <c r="AH24" s="2"/>
      <c r="AI24" s="2"/>
      <c r="AJ24" s="2" t="s">
        <v>139</v>
      </c>
      <c r="AK24" s="2" t="s">
        <v>109</v>
      </c>
      <c r="AL24" s="2"/>
      <c r="AM24" s="2"/>
      <c r="AN24" s="157" t="s">
        <v>140</v>
      </c>
      <c r="AO24" s="2"/>
      <c r="AP24" s="138">
        <v>0</v>
      </c>
      <c r="AQ24" s="124">
        <v>32446.09</v>
      </c>
      <c r="AR24" s="151">
        <v>144.58000000000001</v>
      </c>
      <c r="AS24" s="134">
        <v>1</v>
      </c>
      <c r="AT24" s="124">
        <v>46.911000000000001</v>
      </c>
      <c r="AU24" s="124">
        <v>46.911000000000001</v>
      </c>
      <c r="AV24" s="2"/>
      <c r="AW24" s="2"/>
      <c r="AX24" s="3" t="s">
        <v>139</v>
      </c>
      <c r="AY24" s="2" t="s">
        <v>36</v>
      </c>
      <c r="AZ24" s="140">
        <v>3.3904271512500798E-3</v>
      </c>
      <c r="BA24" s="140">
        <v>3.39444285582589E-5</v>
      </c>
    </row>
    <row r="25" spans="1:53">
      <c r="A25" s="2">
        <v>301</v>
      </c>
      <c r="B25" s="2">
        <v>7210</v>
      </c>
      <c r="C25" s="2" t="s">
        <v>1329</v>
      </c>
      <c r="D25" s="2" t="s">
        <v>1330</v>
      </c>
      <c r="E25" s="2" t="s">
        <v>1403</v>
      </c>
      <c r="F25" s="2" t="s">
        <v>1404</v>
      </c>
      <c r="G25" s="2" t="s">
        <v>1049</v>
      </c>
      <c r="H25" s="2"/>
      <c r="I25" s="2" t="s">
        <v>30</v>
      </c>
      <c r="J25" s="2" t="s">
        <v>30</v>
      </c>
      <c r="K25" s="2" t="s">
        <v>492</v>
      </c>
      <c r="L25" s="2" t="s">
        <v>139</v>
      </c>
      <c r="M25" s="2" t="s">
        <v>347</v>
      </c>
      <c r="N25" s="2" t="s">
        <v>1329</v>
      </c>
      <c r="O25" s="157" t="s">
        <v>1360</v>
      </c>
      <c r="P25" s="2" t="s">
        <v>103</v>
      </c>
      <c r="Q25" s="2" t="s">
        <v>420</v>
      </c>
      <c r="R25" s="2" t="s">
        <v>414</v>
      </c>
      <c r="S25" s="2" t="s">
        <v>34</v>
      </c>
      <c r="T25" s="124">
        <v>1.47</v>
      </c>
      <c r="U25" s="2" t="s">
        <v>1334</v>
      </c>
      <c r="V25" s="138">
        <v>3.8399999999999997E-2</v>
      </c>
      <c r="W25" s="2" t="s">
        <v>765</v>
      </c>
      <c r="X25" s="2" t="s">
        <v>1335</v>
      </c>
      <c r="Y25" s="164">
        <v>3.8399999999999997E-2</v>
      </c>
      <c r="Z25" s="140">
        <v>2.2499999999999999E-2</v>
      </c>
      <c r="AA25" s="2" t="s">
        <v>1336</v>
      </c>
      <c r="AB25" s="3" t="s">
        <v>419</v>
      </c>
      <c r="AC25" s="2"/>
      <c r="AD25" s="2"/>
      <c r="AE25" s="140">
        <v>0</v>
      </c>
      <c r="AF25" s="2"/>
      <c r="AG25" s="2" t="s">
        <v>139</v>
      </c>
      <c r="AH25" s="2"/>
      <c r="AI25" s="2"/>
      <c r="AJ25" s="2" t="s">
        <v>139</v>
      </c>
      <c r="AK25" s="2" t="s">
        <v>109</v>
      </c>
      <c r="AL25" s="2"/>
      <c r="AM25" s="2"/>
      <c r="AN25" s="157" t="s">
        <v>140</v>
      </c>
      <c r="AO25" s="2"/>
      <c r="AP25" s="138">
        <v>0</v>
      </c>
      <c r="AQ25" s="124">
        <v>23016.29</v>
      </c>
      <c r="AR25" s="151">
        <v>146.16999999999999</v>
      </c>
      <c r="AS25" s="134">
        <v>1</v>
      </c>
      <c r="AT25" s="124">
        <v>33.643000000000001</v>
      </c>
      <c r="AU25" s="124">
        <v>33.643000000000001</v>
      </c>
      <c r="AV25" s="2"/>
      <c r="AW25" s="2"/>
      <c r="AX25" s="3" t="s">
        <v>139</v>
      </c>
      <c r="AY25" s="2" t="s">
        <v>36</v>
      </c>
      <c r="AZ25" s="140">
        <v>2.43151748137329E-3</v>
      </c>
      <c r="BA25" s="140">
        <v>2.4343974299580901E-5</v>
      </c>
    </row>
    <row r="26" spans="1:53">
      <c r="A26" s="2">
        <v>301</v>
      </c>
      <c r="B26" s="2">
        <v>7210</v>
      </c>
      <c r="C26" s="2" t="s">
        <v>1329</v>
      </c>
      <c r="D26" s="2" t="s">
        <v>1330</v>
      </c>
      <c r="E26" s="2" t="s">
        <v>1405</v>
      </c>
      <c r="F26" s="2" t="s">
        <v>1406</v>
      </c>
      <c r="G26" s="2" t="s">
        <v>1049</v>
      </c>
      <c r="H26" s="2"/>
      <c r="I26" s="2" t="s">
        <v>30</v>
      </c>
      <c r="J26" s="2" t="s">
        <v>30</v>
      </c>
      <c r="K26" s="2" t="s">
        <v>492</v>
      </c>
      <c r="L26" s="2" t="s">
        <v>139</v>
      </c>
      <c r="M26" s="2" t="s">
        <v>347</v>
      </c>
      <c r="N26" s="2" t="s">
        <v>1329</v>
      </c>
      <c r="O26" s="157" t="s">
        <v>1363</v>
      </c>
      <c r="P26" s="2" t="s">
        <v>103</v>
      </c>
      <c r="Q26" s="2" t="s">
        <v>420</v>
      </c>
      <c r="R26" s="2" t="s">
        <v>414</v>
      </c>
      <c r="S26" s="2" t="s">
        <v>34</v>
      </c>
      <c r="T26" s="124">
        <v>1.47</v>
      </c>
      <c r="U26" s="2" t="s">
        <v>1334</v>
      </c>
      <c r="V26" s="138">
        <v>3.8399999999999997E-2</v>
      </c>
      <c r="W26" s="2" t="s">
        <v>765</v>
      </c>
      <c r="X26" s="2" t="s">
        <v>1335</v>
      </c>
      <c r="Y26" s="164">
        <v>3.8399999999999997E-2</v>
      </c>
      <c r="Z26" s="140">
        <v>2.2499999999999999E-2</v>
      </c>
      <c r="AA26" s="2" t="s">
        <v>1336</v>
      </c>
      <c r="AB26" s="3" t="s">
        <v>419</v>
      </c>
      <c r="AC26" s="2"/>
      <c r="AD26" s="2"/>
      <c r="AE26" s="140">
        <v>0</v>
      </c>
      <c r="AF26" s="2"/>
      <c r="AG26" s="2" t="s">
        <v>139</v>
      </c>
      <c r="AH26" s="2"/>
      <c r="AI26" s="2"/>
      <c r="AJ26" s="2" t="s">
        <v>139</v>
      </c>
      <c r="AK26" s="2" t="s">
        <v>109</v>
      </c>
      <c r="AL26" s="2"/>
      <c r="AM26" s="2"/>
      <c r="AN26" s="157" t="s">
        <v>140</v>
      </c>
      <c r="AO26" s="2"/>
      <c r="AP26" s="138">
        <v>0</v>
      </c>
      <c r="AQ26" s="124">
        <v>13870.96</v>
      </c>
      <c r="AR26" s="151">
        <v>147.19999999999999</v>
      </c>
      <c r="AS26" s="134">
        <v>1</v>
      </c>
      <c r="AT26" s="124">
        <v>20.417999999999999</v>
      </c>
      <c r="AU26" s="124">
        <v>20.417999999999999</v>
      </c>
      <c r="AV26" s="2"/>
      <c r="AW26" s="2"/>
      <c r="AX26" s="3" t="s">
        <v>139</v>
      </c>
      <c r="AY26" s="2" t="s">
        <v>36</v>
      </c>
      <c r="AZ26" s="140">
        <v>1.47570027336957E-3</v>
      </c>
      <c r="BA26" s="140">
        <v>1.4774481287506E-5</v>
      </c>
    </row>
    <row r="27" spans="1:53">
      <c r="A27" s="2">
        <v>301</v>
      </c>
      <c r="B27" s="2">
        <v>7210</v>
      </c>
      <c r="C27" s="2" t="s">
        <v>1329</v>
      </c>
      <c r="D27" s="2" t="s">
        <v>1330</v>
      </c>
      <c r="E27" s="2" t="s">
        <v>1407</v>
      </c>
      <c r="F27" s="2" t="s">
        <v>1408</v>
      </c>
      <c r="G27" s="2" t="s">
        <v>1049</v>
      </c>
      <c r="H27" s="2"/>
      <c r="I27" s="2" t="s">
        <v>30</v>
      </c>
      <c r="J27" s="2" t="s">
        <v>30</v>
      </c>
      <c r="K27" s="2" t="s">
        <v>492</v>
      </c>
      <c r="L27" s="2" t="s">
        <v>139</v>
      </c>
      <c r="M27" s="2" t="s">
        <v>347</v>
      </c>
      <c r="N27" s="2" t="s">
        <v>1329</v>
      </c>
      <c r="O27" s="157" t="s">
        <v>1366</v>
      </c>
      <c r="P27" s="2" t="s">
        <v>103</v>
      </c>
      <c r="Q27" s="2" t="s">
        <v>420</v>
      </c>
      <c r="R27" s="2" t="s">
        <v>414</v>
      </c>
      <c r="S27" s="2" t="s">
        <v>34</v>
      </c>
      <c r="T27" s="124">
        <v>1.47</v>
      </c>
      <c r="U27" s="2" t="s">
        <v>1334</v>
      </c>
      <c r="V27" s="138">
        <v>3.8399999999999997E-2</v>
      </c>
      <c r="W27" s="2" t="s">
        <v>765</v>
      </c>
      <c r="X27" s="2" t="s">
        <v>1335</v>
      </c>
      <c r="Y27" s="164">
        <v>3.8399999999999997E-2</v>
      </c>
      <c r="Z27" s="140">
        <v>2.2499999999999999E-2</v>
      </c>
      <c r="AA27" s="2" t="s">
        <v>1336</v>
      </c>
      <c r="AB27" s="3" t="s">
        <v>419</v>
      </c>
      <c r="AC27" s="2"/>
      <c r="AD27" s="2"/>
      <c r="AE27" s="140">
        <v>0</v>
      </c>
      <c r="AF27" s="2"/>
      <c r="AG27" s="2" t="s">
        <v>139</v>
      </c>
      <c r="AH27" s="2"/>
      <c r="AI27" s="2"/>
      <c r="AJ27" s="2" t="s">
        <v>139</v>
      </c>
      <c r="AK27" s="2" t="s">
        <v>109</v>
      </c>
      <c r="AL27" s="2"/>
      <c r="AM27" s="2"/>
      <c r="AN27" s="157" t="s">
        <v>140</v>
      </c>
      <c r="AO27" s="2"/>
      <c r="AP27" s="138">
        <v>0</v>
      </c>
      <c r="AQ27" s="124">
        <v>11560.13</v>
      </c>
      <c r="AR27" s="151">
        <v>147.63999999999999</v>
      </c>
      <c r="AS27" s="134">
        <v>1</v>
      </c>
      <c r="AT27" s="124">
        <v>17.067</v>
      </c>
      <c r="AU27" s="124">
        <v>17.067</v>
      </c>
      <c r="AV27" s="2"/>
      <c r="AW27" s="2"/>
      <c r="AX27" s="3" t="s">
        <v>139</v>
      </c>
      <c r="AY27" s="2" t="s">
        <v>36</v>
      </c>
      <c r="AZ27" s="140">
        <v>1.23353246171561E-3</v>
      </c>
      <c r="BA27" s="140">
        <v>1.23499348763652E-5</v>
      </c>
    </row>
    <row r="28" spans="1:53">
      <c r="A28" s="2">
        <v>301</v>
      </c>
      <c r="B28" s="2">
        <v>7210</v>
      </c>
      <c r="C28" s="2" t="s">
        <v>1329</v>
      </c>
      <c r="D28" s="2" t="s">
        <v>1330</v>
      </c>
      <c r="E28" s="2" t="s">
        <v>1409</v>
      </c>
      <c r="F28" s="2" t="s">
        <v>1410</v>
      </c>
      <c r="G28" s="2" t="s">
        <v>1049</v>
      </c>
      <c r="H28" s="2"/>
      <c r="I28" s="2" t="s">
        <v>30</v>
      </c>
      <c r="J28" s="2" t="s">
        <v>30</v>
      </c>
      <c r="K28" s="2" t="s">
        <v>492</v>
      </c>
      <c r="L28" s="2" t="s">
        <v>139</v>
      </c>
      <c r="M28" s="2" t="s">
        <v>347</v>
      </c>
      <c r="N28" s="2" t="s">
        <v>1329</v>
      </c>
      <c r="O28" s="157" t="s">
        <v>1369</v>
      </c>
      <c r="P28" s="2" t="s">
        <v>103</v>
      </c>
      <c r="Q28" s="2" t="s">
        <v>420</v>
      </c>
      <c r="R28" s="2" t="s">
        <v>414</v>
      </c>
      <c r="S28" s="2" t="s">
        <v>34</v>
      </c>
      <c r="T28" s="124">
        <v>1.47</v>
      </c>
      <c r="U28" s="2" t="s">
        <v>1334</v>
      </c>
      <c r="V28" s="138">
        <v>3.8399999999999997E-2</v>
      </c>
      <c r="W28" s="2" t="s">
        <v>765</v>
      </c>
      <c r="X28" s="2" t="s">
        <v>1335</v>
      </c>
      <c r="Y28" s="164">
        <v>3.8399999999999997E-2</v>
      </c>
      <c r="Z28" s="140">
        <v>2.24E-2</v>
      </c>
      <c r="AA28" s="2" t="s">
        <v>1336</v>
      </c>
      <c r="AB28" s="3" t="s">
        <v>419</v>
      </c>
      <c r="AC28" s="2"/>
      <c r="AD28" s="2"/>
      <c r="AE28" s="140">
        <v>0</v>
      </c>
      <c r="AF28" s="2"/>
      <c r="AG28" s="2" t="s">
        <v>139</v>
      </c>
      <c r="AH28" s="2"/>
      <c r="AI28" s="2"/>
      <c r="AJ28" s="2" t="s">
        <v>139</v>
      </c>
      <c r="AK28" s="2" t="s">
        <v>109</v>
      </c>
      <c r="AL28" s="2"/>
      <c r="AM28" s="2"/>
      <c r="AN28" s="157" t="s">
        <v>140</v>
      </c>
      <c r="AO28" s="2"/>
      <c r="AP28" s="138">
        <v>0</v>
      </c>
      <c r="AQ28" s="124">
        <v>42636.06</v>
      </c>
      <c r="AR28" s="151">
        <v>157.03</v>
      </c>
      <c r="AS28" s="134">
        <v>1</v>
      </c>
      <c r="AT28" s="124">
        <v>66.950999999999993</v>
      </c>
      <c r="AU28" s="124">
        <v>66.950999999999993</v>
      </c>
      <c r="AV28" s="2"/>
      <c r="AW28" s="2"/>
      <c r="AX28" s="3" t="s">
        <v>139</v>
      </c>
      <c r="AY28" s="2" t="s">
        <v>36</v>
      </c>
      <c r="AZ28" s="140">
        <v>4.8388651996777504E-3</v>
      </c>
      <c r="BA28" s="140">
        <v>4.8445964695907197E-5</v>
      </c>
    </row>
    <row r="29" spans="1:53">
      <c r="A29" s="2">
        <v>301</v>
      </c>
      <c r="B29" s="2">
        <v>7210</v>
      </c>
      <c r="C29" s="2" t="s">
        <v>1329</v>
      </c>
      <c r="D29" s="2" t="s">
        <v>1330</v>
      </c>
      <c r="E29" s="2" t="s">
        <v>1409</v>
      </c>
      <c r="F29" s="2" t="s">
        <v>1411</v>
      </c>
      <c r="G29" s="2" t="s">
        <v>1049</v>
      </c>
      <c r="H29" s="2"/>
      <c r="I29" s="2" t="s">
        <v>30</v>
      </c>
      <c r="J29" s="2" t="s">
        <v>30</v>
      </c>
      <c r="K29" s="2" t="s">
        <v>492</v>
      </c>
      <c r="L29" s="2" t="s">
        <v>139</v>
      </c>
      <c r="M29" s="2" t="s">
        <v>347</v>
      </c>
      <c r="N29" s="2" t="s">
        <v>1329</v>
      </c>
      <c r="O29" s="157" t="s">
        <v>1333</v>
      </c>
      <c r="P29" s="2" t="s">
        <v>103</v>
      </c>
      <c r="Q29" s="2" t="s">
        <v>420</v>
      </c>
      <c r="R29" s="2" t="s">
        <v>414</v>
      </c>
      <c r="S29" s="2" t="s">
        <v>34</v>
      </c>
      <c r="T29" s="124">
        <v>1.47</v>
      </c>
      <c r="U29" s="2" t="s">
        <v>1334</v>
      </c>
      <c r="V29" s="138">
        <v>3.8399999999999997E-2</v>
      </c>
      <c r="W29" s="2" t="s">
        <v>765</v>
      </c>
      <c r="X29" s="2" t="s">
        <v>1335</v>
      </c>
      <c r="Y29" s="164">
        <v>3.8399999999999997E-2</v>
      </c>
      <c r="Z29" s="140">
        <v>2.24E-2</v>
      </c>
      <c r="AA29" s="2" t="s">
        <v>1336</v>
      </c>
      <c r="AB29" s="3" t="s">
        <v>419</v>
      </c>
      <c r="AC29" s="2"/>
      <c r="AD29" s="2"/>
      <c r="AE29" s="140">
        <v>0</v>
      </c>
      <c r="AF29" s="2"/>
      <c r="AG29" s="2" t="s">
        <v>139</v>
      </c>
      <c r="AH29" s="2"/>
      <c r="AI29" s="2"/>
      <c r="AJ29" s="2" t="s">
        <v>139</v>
      </c>
      <c r="AK29" s="2" t="s">
        <v>109</v>
      </c>
      <c r="AL29" s="2"/>
      <c r="AM29" s="2"/>
      <c r="AN29" s="157" t="s">
        <v>140</v>
      </c>
      <c r="AO29" s="2"/>
      <c r="AP29" s="138">
        <v>0</v>
      </c>
      <c r="AQ29" s="124">
        <v>1640.77</v>
      </c>
      <c r="AR29" s="151">
        <v>156.29</v>
      </c>
      <c r="AS29" s="134">
        <v>1</v>
      </c>
      <c r="AT29" s="124">
        <v>2.5640000000000001</v>
      </c>
      <c r="AU29" s="124">
        <v>2.5640000000000001</v>
      </c>
      <c r="AV29" s="2"/>
      <c r="AW29" s="2"/>
      <c r="AX29" s="3" t="s">
        <v>139</v>
      </c>
      <c r="AY29" s="2" t="s">
        <v>36</v>
      </c>
      <c r="AZ29" s="140">
        <v>1.8533725493098999E-4</v>
      </c>
      <c r="BA29" s="140">
        <v>1.8555677289421199E-6</v>
      </c>
    </row>
    <row r="30" spans="1:53">
      <c r="A30" s="2">
        <v>301</v>
      </c>
      <c r="B30" s="2">
        <v>7210</v>
      </c>
      <c r="C30" s="2" t="s">
        <v>1329</v>
      </c>
      <c r="D30" s="2" t="s">
        <v>1330</v>
      </c>
      <c r="E30" s="2" t="s">
        <v>1412</v>
      </c>
      <c r="F30" s="2" t="s">
        <v>1413</v>
      </c>
      <c r="G30" s="2" t="s">
        <v>1049</v>
      </c>
      <c r="H30" s="2"/>
      <c r="I30" s="2" t="s">
        <v>30</v>
      </c>
      <c r="J30" s="2" t="s">
        <v>30</v>
      </c>
      <c r="K30" s="2" t="s">
        <v>492</v>
      </c>
      <c r="L30" s="2" t="s">
        <v>139</v>
      </c>
      <c r="M30" s="2" t="s">
        <v>347</v>
      </c>
      <c r="N30" s="2" t="s">
        <v>1329</v>
      </c>
      <c r="O30" s="157" t="s">
        <v>1339</v>
      </c>
      <c r="P30" s="2" t="s">
        <v>103</v>
      </c>
      <c r="Q30" s="2" t="s">
        <v>420</v>
      </c>
      <c r="R30" s="2" t="s">
        <v>414</v>
      </c>
      <c r="S30" s="2" t="s">
        <v>34</v>
      </c>
      <c r="T30" s="124">
        <v>1.47</v>
      </c>
      <c r="U30" s="2" t="s">
        <v>1334</v>
      </c>
      <c r="V30" s="138">
        <v>3.8399999999999997E-2</v>
      </c>
      <c r="W30" s="2" t="s">
        <v>765</v>
      </c>
      <c r="X30" s="2" t="s">
        <v>1335</v>
      </c>
      <c r="Y30" s="164">
        <v>3.8399999999999997E-2</v>
      </c>
      <c r="Z30" s="140">
        <v>2.24E-2</v>
      </c>
      <c r="AA30" s="2" t="s">
        <v>1336</v>
      </c>
      <c r="AB30" s="3" t="s">
        <v>419</v>
      </c>
      <c r="AC30" s="2"/>
      <c r="AD30" s="2"/>
      <c r="AE30" s="140">
        <v>0</v>
      </c>
      <c r="AF30" s="2"/>
      <c r="AG30" s="2" t="s">
        <v>139</v>
      </c>
      <c r="AH30" s="2"/>
      <c r="AI30" s="2"/>
      <c r="AJ30" s="2" t="s">
        <v>139</v>
      </c>
      <c r="AK30" s="2" t="s">
        <v>109</v>
      </c>
      <c r="AL30" s="2"/>
      <c r="AM30" s="2"/>
      <c r="AN30" s="157" t="s">
        <v>140</v>
      </c>
      <c r="AO30" s="2"/>
      <c r="AP30" s="138">
        <v>0</v>
      </c>
      <c r="AQ30" s="124">
        <v>51388.88</v>
      </c>
      <c r="AR30" s="151">
        <v>153.97</v>
      </c>
      <c r="AS30" s="134">
        <v>1</v>
      </c>
      <c r="AT30" s="124">
        <v>79.123000000000005</v>
      </c>
      <c r="AU30" s="124">
        <v>79.123000000000005</v>
      </c>
      <c r="AV30" s="2"/>
      <c r="AW30" s="2"/>
      <c r="AX30" s="3" t="s">
        <v>139</v>
      </c>
      <c r="AY30" s="2" t="s">
        <v>36</v>
      </c>
      <c r="AZ30" s="140">
        <v>5.71859171417031E-3</v>
      </c>
      <c r="BA30" s="140">
        <v>5.72536495361459E-5</v>
      </c>
    </row>
    <row r="31" spans="1:53">
      <c r="A31" s="2">
        <v>301</v>
      </c>
      <c r="B31" s="2">
        <v>7210</v>
      </c>
      <c r="C31" s="2" t="s">
        <v>1329</v>
      </c>
      <c r="D31" s="2" t="s">
        <v>1330</v>
      </c>
      <c r="E31" s="2" t="s">
        <v>1414</v>
      </c>
      <c r="F31" s="2" t="s">
        <v>1415</v>
      </c>
      <c r="G31" s="2" t="s">
        <v>1049</v>
      </c>
      <c r="H31" s="2"/>
      <c r="I31" s="2" t="s">
        <v>30</v>
      </c>
      <c r="J31" s="2" t="s">
        <v>30</v>
      </c>
      <c r="K31" s="2" t="s">
        <v>492</v>
      </c>
      <c r="L31" s="2" t="s">
        <v>139</v>
      </c>
      <c r="M31" s="2" t="s">
        <v>347</v>
      </c>
      <c r="N31" s="2" t="s">
        <v>1329</v>
      </c>
      <c r="O31" s="157" t="s">
        <v>1342</v>
      </c>
      <c r="P31" s="2" t="s">
        <v>103</v>
      </c>
      <c r="Q31" s="2" t="s">
        <v>420</v>
      </c>
      <c r="R31" s="2" t="s">
        <v>414</v>
      </c>
      <c r="S31" s="2" t="s">
        <v>34</v>
      </c>
      <c r="T31" s="124">
        <v>1.47</v>
      </c>
      <c r="U31" s="2" t="s">
        <v>1334</v>
      </c>
      <c r="V31" s="138">
        <v>3.8399999999999997E-2</v>
      </c>
      <c r="W31" s="2" t="s">
        <v>765</v>
      </c>
      <c r="X31" s="2" t="s">
        <v>1335</v>
      </c>
      <c r="Y31" s="164">
        <v>3.8399999999999997E-2</v>
      </c>
      <c r="Z31" s="140">
        <v>2.24E-2</v>
      </c>
      <c r="AA31" s="2" t="s">
        <v>1336</v>
      </c>
      <c r="AB31" s="3" t="s">
        <v>419</v>
      </c>
      <c r="AC31" s="2"/>
      <c r="AD31" s="2"/>
      <c r="AE31" s="140">
        <v>0</v>
      </c>
      <c r="AF31" s="2"/>
      <c r="AG31" s="2" t="s">
        <v>139</v>
      </c>
      <c r="AH31" s="2"/>
      <c r="AI31" s="2"/>
      <c r="AJ31" s="2" t="s">
        <v>139</v>
      </c>
      <c r="AK31" s="2" t="s">
        <v>109</v>
      </c>
      <c r="AL31" s="2"/>
      <c r="AM31" s="2"/>
      <c r="AN31" s="157" t="s">
        <v>140</v>
      </c>
      <c r="AO31" s="2"/>
      <c r="AP31" s="138">
        <v>0</v>
      </c>
      <c r="AQ31" s="124">
        <v>38101.31</v>
      </c>
      <c r="AR31" s="151">
        <v>151.29</v>
      </c>
      <c r="AS31" s="134">
        <v>1</v>
      </c>
      <c r="AT31" s="124">
        <v>57.643000000000001</v>
      </c>
      <c r="AU31" s="124">
        <v>57.643000000000001</v>
      </c>
      <c r="AV31" s="2"/>
      <c r="AW31" s="2"/>
      <c r="AX31" s="3" t="s">
        <v>139</v>
      </c>
      <c r="AY31" s="2" t="s">
        <v>36</v>
      </c>
      <c r="AZ31" s="140">
        <v>4.1661409508236998E-3</v>
      </c>
      <c r="BA31" s="140">
        <v>4.1710754297354597E-5</v>
      </c>
    </row>
    <row r="32" spans="1:53">
      <c r="A32" s="2">
        <v>301</v>
      </c>
      <c r="B32" s="2">
        <v>7210</v>
      </c>
      <c r="C32" s="2" t="s">
        <v>1329</v>
      </c>
      <c r="D32" s="2" t="s">
        <v>1330</v>
      </c>
      <c r="E32" s="2" t="s">
        <v>1416</v>
      </c>
      <c r="F32" s="2" t="s">
        <v>1417</v>
      </c>
      <c r="G32" s="2" t="s">
        <v>1049</v>
      </c>
      <c r="H32" s="2"/>
      <c r="I32" s="2" t="s">
        <v>30</v>
      </c>
      <c r="J32" s="2" t="s">
        <v>30</v>
      </c>
      <c r="K32" s="2" t="s">
        <v>492</v>
      </c>
      <c r="L32" s="2" t="s">
        <v>139</v>
      </c>
      <c r="M32" s="2" t="s">
        <v>347</v>
      </c>
      <c r="N32" s="2" t="s">
        <v>1329</v>
      </c>
      <c r="O32" s="157" t="s">
        <v>1345</v>
      </c>
      <c r="P32" s="2" t="s">
        <v>103</v>
      </c>
      <c r="Q32" s="2" t="s">
        <v>420</v>
      </c>
      <c r="R32" s="2" t="s">
        <v>414</v>
      </c>
      <c r="S32" s="2" t="s">
        <v>34</v>
      </c>
      <c r="T32" s="124">
        <v>1.47</v>
      </c>
      <c r="U32" s="2" t="s">
        <v>1334</v>
      </c>
      <c r="V32" s="138">
        <v>3.8399999999999997E-2</v>
      </c>
      <c r="W32" s="2" t="s">
        <v>765</v>
      </c>
      <c r="X32" s="2" t="s">
        <v>1335</v>
      </c>
      <c r="Y32" s="164">
        <v>3.8399999999999997E-2</v>
      </c>
      <c r="Z32" s="140">
        <v>2.2499999999999999E-2</v>
      </c>
      <c r="AA32" s="2" t="s">
        <v>1336</v>
      </c>
      <c r="AB32" s="3" t="s">
        <v>419</v>
      </c>
      <c r="AC32" s="2"/>
      <c r="AD32" s="2"/>
      <c r="AE32" s="140">
        <v>0</v>
      </c>
      <c r="AF32" s="2"/>
      <c r="AG32" s="2" t="s">
        <v>139</v>
      </c>
      <c r="AH32" s="2"/>
      <c r="AI32" s="2"/>
      <c r="AJ32" s="2" t="s">
        <v>139</v>
      </c>
      <c r="AK32" s="2" t="s">
        <v>109</v>
      </c>
      <c r="AL32" s="2"/>
      <c r="AM32" s="2"/>
      <c r="AN32" s="157" t="s">
        <v>140</v>
      </c>
      <c r="AO32" s="2"/>
      <c r="AP32" s="138">
        <v>0</v>
      </c>
      <c r="AQ32" s="124">
        <v>29648.32</v>
      </c>
      <c r="AR32" s="151">
        <v>146.88</v>
      </c>
      <c r="AS32" s="134">
        <v>1</v>
      </c>
      <c r="AT32" s="124">
        <v>43.546999999999997</v>
      </c>
      <c r="AU32" s="124">
        <v>43.546999999999997</v>
      </c>
      <c r="AV32" s="2"/>
      <c r="AW32" s="2"/>
      <c r="AX32" s="3" t="s">
        <v>139</v>
      </c>
      <c r="AY32" s="2" t="s">
        <v>36</v>
      </c>
      <c r="AZ32" s="140">
        <v>3.14736116402266E-3</v>
      </c>
      <c r="BA32" s="140">
        <v>3.1510889753173098E-5</v>
      </c>
    </row>
    <row r="33" spans="1:53">
      <c r="A33" s="2">
        <v>301</v>
      </c>
      <c r="B33" s="2">
        <v>7210</v>
      </c>
      <c r="C33" s="2" t="s">
        <v>1329</v>
      </c>
      <c r="D33" s="2" t="s">
        <v>1330</v>
      </c>
      <c r="E33" s="2" t="s">
        <v>1418</v>
      </c>
      <c r="F33" s="2" t="s">
        <v>1419</v>
      </c>
      <c r="G33" s="2" t="s">
        <v>1049</v>
      </c>
      <c r="H33" s="2"/>
      <c r="I33" s="2" t="s">
        <v>30</v>
      </c>
      <c r="J33" s="2" t="s">
        <v>30</v>
      </c>
      <c r="K33" s="2" t="s">
        <v>492</v>
      </c>
      <c r="L33" s="2" t="s">
        <v>139</v>
      </c>
      <c r="M33" s="2" t="s">
        <v>347</v>
      </c>
      <c r="N33" s="2" t="s">
        <v>1329</v>
      </c>
      <c r="O33" s="157" t="s">
        <v>1348</v>
      </c>
      <c r="P33" s="2" t="s">
        <v>103</v>
      </c>
      <c r="Q33" s="2" t="s">
        <v>420</v>
      </c>
      <c r="R33" s="2" t="s">
        <v>414</v>
      </c>
      <c r="S33" s="2" t="s">
        <v>34</v>
      </c>
      <c r="T33" s="124">
        <v>1.47</v>
      </c>
      <c r="U33" s="2" t="s">
        <v>1334</v>
      </c>
      <c r="V33" s="138">
        <v>3.8399999999999997E-2</v>
      </c>
      <c r="W33" s="2" t="s">
        <v>765</v>
      </c>
      <c r="X33" s="2" t="s">
        <v>1335</v>
      </c>
      <c r="Y33" s="164">
        <v>3.8399999999999997E-2</v>
      </c>
      <c r="Z33" s="140">
        <v>2.2499999999999999E-2</v>
      </c>
      <c r="AA33" s="2" t="s">
        <v>1336</v>
      </c>
      <c r="AB33" s="3" t="s">
        <v>419</v>
      </c>
      <c r="AC33" s="2"/>
      <c r="AD33" s="2"/>
      <c r="AE33" s="140">
        <v>0</v>
      </c>
      <c r="AF33" s="2"/>
      <c r="AG33" s="2" t="s">
        <v>139</v>
      </c>
      <c r="AH33" s="2"/>
      <c r="AI33" s="2"/>
      <c r="AJ33" s="2" t="s">
        <v>139</v>
      </c>
      <c r="AK33" s="2" t="s">
        <v>109</v>
      </c>
      <c r="AL33" s="2"/>
      <c r="AM33" s="2"/>
      <c r="AN33" s="157" t="s">
        <v>140</v>
      </c>
      <c r="AO33" s="2"/>
      <c r="AP33" s="138">
        <v>0</v>
      </c>
      <c r="AQ33" s="124">
        <v>36885.949999999997</v>
      </c>
      <c r="AR33" s="151">
        <v>144.57</v>
      </c>
      <c r="AS33" s="134">
        <v>1</v>
      </c>
      <c r="AT33" s="124">
        <v>53.326000000000001</v>
      </c>
      <c r="AU33" s="124">
        <v>53.326000000000001</v>
      </c>
      <c r="AV33" s="2"/>
      <c r="AW33" s="2"/>
      <c r="AX33" s="3" t="s">
        <v>139</v>
      </c>
      <c r="AY33" s="2" t="s">
        <v>36</v>
      </c>
      <c r="AZ33" s="140">
        <v>3.8541000335528702E-3</v>
      </c>
      <c r="BA33" s="140">
        <v>3.8586649235947297E-5</v>
      </c>
    </row>
    <row r="34" spans="1:53">
      <c r="A34" s="2">
        <v>301</v>
      </c>
      <c r="B34" s="2">
        <v>7210</v>
      </c>
      <c r="C34" s="2" t="s">
        <v>1329</v>
      </c>
      <c r="D34" s="2" t="s">
        <v>1330</v>
      </c>
      <c r="E34" s="2" t="s">
        <v>1420</v>
      </c>
      <c r="F34" s="2" t="s">
        <v>1421</v>
      </c>
      <c r="G34" s="2" t="s">
        <v>1049</v>
      </c>
      <c r="H34" s="2"/>
      <c r="I34" s="2" t="s">
        <v>30</v>
      </c>
      <c r="J34" s="2" t="s">
        <v>30</v>
      </c>
      <c r="K34" s="2" t="s">
        <v>492</v>
      </c>
      <c r="L34" s="2" t="s">
        <v>139</v>
      </c>
      <c r="M34" s="2" t="s">
        <v>347</v>
      </c>
      <c r="N34" s="2" t="s">
        <v>1329</v>
      </c>
      <c r="O34" s="157" t="s">
        <v>1372</v>
      </c>
      <c r="P34" s="2" t="s">
        <v>103</v>
      </c>
      <c r="Q34" s="2" t="s">
        <v>420</v>
      </c>
      <c r="R34" s="2" t="s">
        <v>414</v>
      </c>
      <c r="S34" s="2" t="s">
        <v>34</v>
      </c>
      <c r="T34" s="124">
        <v>1.47</v>
      </c>
      <c r="U34" s="2" t="s">
        <v>1334</v>
      </c>
      <c r="V34" s="138">
        <v>3.8399999999999997E-2</v>
      </c>
      <c r="W34" s="2" t="s">
        <v>765</v>
      </c>
      <c r="X34" s="2" t="s">
        <v>1335</v>
      </c>
      <c r="Y34" s="164">
        <v>3.8399999999999997E-2</v>
      </c>
      <c r="Z34" s="140">
        <v>2.2499999999999999E-2</v>
      </c>
      <c r="AA34" s="2" t="s">
        <v>1336</v>
      </c>
      <c r="AB34" s="3" t="s">
        <v>419</v>
      </c>
      <c r="AC34" s="2"/>
      <c r="AD34" s="2"/>
      <c r="AE34" s="140">
        <v>0</v>
      </c>
      <c r="AF34" s="2"/>
      <c r="AG34" s="2" t="s">
        <v>139</v>
      </c>
      <c r="AH34" s="2"/>
      <c r="AI34" s="2"/>
      <c r="AJ34" s="2" t="s">
        <v>139</v>
      </c>
      <c r="AK34" s="2" t="s">
        <v>109</v>
      </c>
      <c r="AL34" s="2"/>
      <c r="AM34" s="2"/>
      <c r="AN34" s="157" t="s">
        <v>140</v>
      </c>
      <c r="AO34" s="2"/>
      <c r="AP34" s="138">
        <v>0</v>
      </c>
      <c r="AQ34" s="124">
        <v>18458.5</v>
      </c>
      <c r="AR34" s="151">
        <v>157.77000000000001</v>
      </c>
      <c r="AS34" s="134">
        <v>1</v>
      </c>
      <c r="AT34" s="124">
        <v>29.122</v>
      </c>
      <c r="AU34" s="124">
        <v>29.122</v>
      </c>
      <c r="AV34" s="2"/>
      <c r="AW34" s="2"/>
      <c r="AX34" s="3" t="s">
        <v>139</v>
      </c>
      <c r="AY34" s="2" t="s">
        <v>36</v>
      </c>
      <c r="AZ34" s="140">
        <v>2.1047700718601599E-3</v>
      </c>
      <c r="BA34" s="140">
        <v>2.1072630128471101E-5</v>
      </c>
    </row>
    <row r="35" spans="1:53">
      <c r="A35" s="2">
        <v>301</v>
      </c>
      <c r="B35" s="2">
        <v>7210</v>
      </c>
      <c r="C35" s="2" t="s">
        <v>1329</v>
      </c>
      <c r="D35" s="2" t="s">
        <v>1330</v>
      </c>
      <c r="E35" s="2" t="s">
        <v>1422</v>
      </c>
      <c r="F35" s="2" t="s">
        <v>1423</v>
      </c>
      <c r="G35" s="2" t="s">
        <v>1049</v>
      </c>
      <c r="H35" s="2"/>
      <c r="I35" s="2" t="s">
        <v>30</v>
      </c>
      <c r="J35" s="2" t="s">
        <v>30</v>
      </c>
      <c r="K35" s="2" t="s">
        <v>492</v>
      </c>
      <c r="L35" s="2" t="s">
        <v>139</v>
      </c>
      <c r="M35" s="2" t="s">
        <v>347</v>
      </c>
      <c r="N35" s="2" t="s">
        <v>1329</v>
      </c>
      <c r="O35" s="157" t="s">
        <v>1375</v>
      </c>
      <c r="P35" s="2" t="s">
        <v>103</v>
      </c>
      <c r="Q35" s="2" t="s">
        <v>420</v>
      </c>
      <c r="R35" s="2" t="s">
        <v>414</v>
      </c>
      <c r="S35" s="2" t="s">
        <v>34</v>
      </c>
      <c r="T35" s="124">
        <v>1.47</v>
      </c>
      <c r="U35" s="2" t="s">
        <v>1334</v>
      </c>
      <c r="V35" s="138">
        <v>3.8399999999999997E-2</v>
      </c>
      <c r="W35" s="2" t="s">
        <v>765</v>
      </c>
      <c r="X35" s="2" t="s">
        <v>1335</v>
      </c>
      <c r="Y35" s="164">
        <v>3.8399999999999997E-2</v>
      </c>
      <c r="Z35" s="140">
        <v>2.24E-2</v>
      </c>
      <c r="AA35" s="2" t="s">
        <v>1336</v>
      </c>
      <c r="AB35" s="3" t="s">
        <v>419</v>
      </c>
      <c r="AC35" s="2"/>
      <c r="AD35" s="2"/>
      <c r="AE35" s="140">
        <v>0</v>
      </c>
      <c r="AF35" s="2"/>
      <c r="AG35" s="2" t="s">
        <v>139</v>
      </c>
      <c r="AH35" s="2"/>
      <c r="AI35" s="2"/>
      <c r="AJ35" s="2" t="s">
        <v>139</v>
      </c>
      <c r="AK35" s="2" t="s">
        <v>109</v>
      </c>
      <c r="AL35" s="2"/>
      <c r="AM35" s="2"/>
      <c r="AN35" s="157" t="s">
        <v>140</v>
      </c>
      <c r="AO35" s="2"/>
      <c r="AP35" s="138">
        <v>0</v>
      </c>
      <c r="AQ35" s="124">
        <v>21153.33</v>
      </c>
      <c r="AR35" s="151">
        <v>156.15</v>
      </c>
      <c r="AS35" s="134">
        <v>1</v>
      </c>
      <c r="AT35" s="124">
        <v>33.030999999999999</v>
      </c>
      <c r="AU35" s="124">
        <v>33.030999999999999</v>
      </c>
      <c r="AV35" s="2"/>
      <c r="AW35" s="2"/>
      <c r="AX35" s="3" t="s">
        <v>139</v>
      </c>
      <c r="AY35" s="2" t="s">
        <v>36</v>
      </c>
      <c r="AZ35" s="140">
        <v>2.3872866067669099E-3</v>
      </c>
      <c r="BA35" s="140">
        <v>2.3901141672254901E-5</v>
      </c>
    </row>
    <row r="36" spans="1:53">
      <c r="A36" s="2">
        <v>301</v>
      </c>
      <c r="B36" s="2">
        <v>7210</v>
      </c>
      <c r="C36" s="2" t="s">
        <v>1329</v>
      </c>
      <c r="D36" s="2" t="s">
        <v>1330</v>
      </c>
      <c r="E36" s="2" t="s">
        <v>1424</v>
      </c>
      <c r="F36" s="2" t="s">
        <v>1425</v>
      </c>
      <c r="G36" s="2" t="s">
        <v>1049</v>
      </c>
      <c r="H36" s="2"/>
      <c r="I36" s="2" t="s">
        <v>30</v>
      </c>
      <c r="J36" s="2" t="s">
        <v>30</v>
      </c>
      <c r="K36" s="2" t="s">
        <v>492</v>
      </c>
      <c r="L36" s="2" t="s">
        <v>139</v>
      </c>
      <c r="M36" s="2" t="s">
        <v>347</v>
      </c>
      <c r="N36" s="2" t="s">
        <v>1329</v>
      </c>
      <c r="O36" s="157" t="s">
        <v>1381</v>
      </c>
      <c r="P36" s="2" t="s">
        <v>103</v>
      </c>
      <c r="Q36" s="2" t="s">
        <v>420</v>
      </c>
      <c r="R36" s="2" t="s">
        <v>414</v>
      </c>
      <c r="S36" s="2" t="s">
        <v>34</v>
      </c>
      <c r="T36" s="124">
        <v>1.47</v>
      </c>
      <c r="U36" s="2" t="s">
        <v>1334</v>
      </c>
      <c r="V36" s="138">
        <v>3.8399999999999997E-2</v>
      </c>
      <c r="W36" s="2" t="s">
        <v>765</v>
      </c>
      <c r="X36" s="2" t="s">
        <v>1335</v>
      </c>
      <c r="Y36" s="164">
        <v>3.8399999999999997E-2</v>
      </c>
      <c r="Z36" s="140">
        <v>2.2499999999999999E-2</v>
      </c>
      <c r="AA36" s="2" t="s">
        <v>1336</v>
      </c>
      <c r="AB36" s="3" t="s">
        <v>419</v>
      </c>
      <c r="AC36" s="2"/>
      <c r="AD36" s="2"/>
      <c r="AE36" s="140">
        <v>0</v>
      </c>
      <c r="AF36" s="2"/>
      <c r="AG36" s="2" t="s">
        <v>139</v>
      </c>
      <c r="AH36" s="2"/>
      <c r="AI36" s="2"/>
      <c r="AJ36" s="2" t="s">
        <v>139</v>
      </c>
      <c r="AK36" s="2" t="s">
        <v>109</v>
      </c>
      <c r="AL36" s="2"/>
      <c r="AM36" s="2"/>
      <c r="AN36" s="157" t="s">
        <v>140</v>
      </c>
      <c r="AO36" s="2"/>
      <c r="AP36" s="138">
        <v>0</v>
      </c>
      <c r="AQ36" s="124">
        <v>25026.54</v>
      </c>
      <c r="AR36" s="151">
        <v>156.13999999999999</v>
      </c>
      <c r="AS36" s="134">
        <v>1</v>
      </c>
      <c r="AT36" s="124">
        <v>39.076000000000001</v>
      </c>
      <c r="AU36" s="124">
        <v>39.076000000000001</v>
      </c>
      <c r="AV36" s="2"/>
      <c r="AW36" s="2"/>
      <c r="AX36" s="3" t="s">
        <v>139</v>
      </c>
      <c r="AY36" s="2" t="s">
        <v>36</v>
      </c>
      <c r="AZ36" s="140">
        <v>2.8242218881590802E-3</v>
      </c>
      <c r="BA36" s="140">
        <v>2.8275669654173299E-5</v>
      </c>
    </row>
    <row r="37" spans="1:53">
      <c r="A37" s="2">
        <v>301</v>
      </c>
      <c r="B37" s="2">
        <v>7210</v>
      </c>
      <c r="C37" s="2" t="s">
        <v>1329</v>
      </c>
      <c r="D37" s="2" t="s">
        <v>1330</v>
      </c>
      <c r="E37" s="2" t="s">
        <v>1426</v>
      </c>
      <c r="F37" s="2" t="s">
        <v>1427</v>
      </c>
      <c r="G37" s="2" t="s">
        <v>1049</v>
      </c>
      <c r="H37" s="2"/>
      <c r="I37" s="2" t="s">
        <v>30</v>
      </c>
      <c r="J37" s="2" t="s">
        <v>30</v>
      </c>
      <c r="K37" s="2" t="s">
        <v>492</v>
      </c>
      <c r="L37" s="2" t="s">
        <v>139</v>
      </c>
      <c r="M37" s="2" t="s">
        <v>347</v>
      </c>
      <c r="N37" s="2" t="s">
        <v>1329</v>
      </c>
      <c r="O37" s="157" t="s">
        <v>1384</v>
      </c>
      <c r="P37" s="2" t="s">
        <v>103</v>
      </c>
      <c r="Q37" s="2" t="s">
        <v>420</v>
      </c>
      <c r="R37" s="2" t="s">
        <v>414</v>
      </c>
      <c r="S37" s="2" t="s">
        <v>34</v>
      </c>
      <c r="T37" s="124">
        <v>1.47</v>
      </c>
      <c r="U37" s="2" t="s">
        <v>1334</v>
      </c>
      <c r="V37" s="138">
        <v>3.8767999999999997E-2</v>
      </c>
      <c r="W37" s="2" t="s">
        <v>765</v>
      </c>
      <c r="X37" s="2" t="s">
        <v>1335</v>
      </c>
      <c r="Y37" s="164">
        <v>3.8767999999999997E-2</v>
      </c>
      <c r="Z37" s="140">
        <v>2.2499999999999999E-2</v>
      </c>
      <c r="AA37" s="2" t="s">
        <v>1385</v>
      </c>
      <c r="AB37" s="3" t="s">
        <v>419</v>
      </c>
      <c r="AC37" s="2"/>
      <c r="AD37" s="2"/>
      <c r="AE37" s="140">
        <v>0</v>
      </c>
      <c r="AF37" s="2"/>
      <c r="AG37" s="2" t="s">
        <v>139</v>
      </c>
      <c r="AH37" s="2"/>
      <c r="AI37" s="2"/>
      <c r="AJ37" s="2" t="s">
        <v>139</v>
      </c>
      <c r="AK37" s="2" t="s">
        <v>109</v>
      </c>
      <c r="AL37" s="2"/>
      <c r="AM37" s="2"/>
      <c r="AN37" s="157" t="s">
        <v>140</v>
      </c>
      <c r="AO37" s="2"/>
      <c r="AP37" s="138">
        <v>0</v>
      </c>
      <c r="AQ37" s="124">
        <v>23505.84</v>
      </c>
      <c r="AR37" s="151">
        <v>157.37</v>
      </c>
      <c r="AS37" s="134">
        <v>1</v>
      </c>
      <c r="AT37" s="124">
        <v>36.991</v>
      </c>
      <c r="AU37" s="124">
        <v>36.991</v>
      </c>
      <c r="AV37" s="2"/>
      <c r="AW37" s="2"/>
      <c r="AX37" s="3" t="s">
        <v>139</v>
      </c>
      <c r="AY37" s="2" t="s">
        <v>36</v>
      </c>
      <c r="AZ37" s="140">
        <v>2.6735083747464498E-3</v>
      </c>
      <c r="BA37" s="140">
        <v>2.6766749432450499E-5</v>
      </c>
    </row>
    <row r="38" spans="1:53">
      <c r="A38" s="2">
        <v>301</v>
      </c>
      <c r="B38" s="2">
        <v>7210</v>
      </c>
      <c r="C38" s="2" t="s">
        <v>1329</v>
      </c>
      <c r="D38" s="2" t="s">
        <v>1330</v>
      </c>
      <c r="E38" s="2" t="s">
        <v>1428</v>
      </c>
      <c r="F38" s="2" t="s">
        <v>1429</v>
      </c>
      <c r="G38" s="2" t="s">
        <v>1049</v>
      </c>
      <c r="H38" s="2"/>
      <c r="I38" s="2" t="s">
        <v>30</v>
      </c>
      <c r="J38" s="2" t="s">
        <v>30</v>
      </c>
      <c r="K38" s="2" t="s">
        <v>492</v>
      </c>
      <c r="L38" s="2" t="s">
        <v>139</v>
      </c>
      <c r="M38" s="2" t="s">
        <v>347</v>
      </c>
      <c r="N38" s="2" t="s">
        <v>1329</v>
      </c>
      <c r="O38" s="157" t="s">
        <v>1388</v>
      </c>
      <c r="P38" s="2" t="s">
        <v>103</v>
      </c>
      <c r="Q38" s="2" t="s">
        <v>420</v>
      </c>
      <c r="R38" s="2" t="s">
        <v>414</v>
      </c>
      <c r="S38" s="2" t="s">
        <v>34</v>
      </c>
      <c r="T38" s="124">
        <v>1.47</v>
      </c>
      <c r="U38" s="2" t="s">
        <v>1334</v>
      </c>
      <c r="V38" s="138">
        <v>3.8399999999999997E-2</v>
      </c>
      <c r="W38" s="2" t="s">
        <v>765</v>
      </c>
      <c r="X38" s="2" t="s">
        <v>1335</v>
      </c>
      <c r="Y38" s="164">
        <v>3.8399999999999997E-2</v>
      </c>
      <c r="Z38" s="140">
        <v>2.2499999999999999E-2</v>
      </c>
      <c r="AA38" s="2" t="s">
        <v>1336</v>
      </c>
      <c r="AB38" s="3" t="s">
        <v>419</v>
      </c>
      <c r="AC38" s="2"/>
      <c r="AD38" s="2"/>
      <c r="AE38" s="140">
        <v>0</v>
      </c>
      <c r="AF38" s="2"/>
      <c r="AG38" s="2" t="s">
        <v>139</v>
      </c>
      <c r="AH38" s="2"/>
      <c r="AI38" s="2"/>
      <c r="AJ38" s="2" t="s">
        <v>139</v>
      </c>
      <c r="AK38" s="2" t="s">
        <v>109</v>
      </c>
      <c r="AL38" s="2"/>
      <c r="AM38" s="2"/>
      <c r="AN38" s="157" t="s">
        <v>140</v>
      </c>
      <c r="AO38" s="2"/>
      <c r="AP38" s="138">
        <v>0</v>
      </c>
      <c r="AQ38" s="124">
        <v>5969.89</v>
      </c>
      <c r="AR38" s="151">
        <v>155.03</v>
      </c>
      <c r="AS38" s="134">
        <v>1</v>
      </c>
      <c r="AT38" s="124">
        <v>9.2550000000000008</v>
      </c>
      <c r="AU38" s="124">
        <v>9.2550000000000008</v>
      </c>
      <c r="AV38" s="2"/>
      <c r="AW38" s="2"/>
      <c r="AX38" s="3" t="s">
        <v>139</v>
      </c>
      <c r="AY38" s="2" t="s">
        <v>36</v>
      </c>
      <c r="AZ38" s="140">
        <v>6.6890725197703098E-4</v>
      </c>
      <c r="BA38" s="140">
        <v>6.6969952203408499E-6</v>
      </c>
    </row>
    <row r="39" spans="1:53">
      <c r="A39" s="2">
        <v>301</v>
      </c>
      <c r="B39" s="2">
        <v>7210</v>
      </c>
      <c r="C39" s="2" t="s">
        <v>1329</v>
      </c>
      <c r="D39" s="2" t="s">
        <v>1330</v>
      </c>
      <c r="E39" s="2" t="s">
        <v>1430</v>
      </c>
      <c r="F39" s="2" t="s">
        <v>1431</v>
      </c>
      <c r="G39" s="2" t="s">
        <v>1049</v>
      </c>
      <c r="H39" s="2"/>
      <c r="I39" s="2" t="s">
        <v>30</v>
      </c>
      <c r="J39" s="2" t="s">
        <v>30</v>
      </c>
      <c r="K39" s="2" t="s">
        <v>492</v>
      </c>
      <c r="L39" s="2" t="s">
        <v>139</v>
      </c>
      <c r="M39" s="2" t="s">
        <v>347</v>
      </c>
      <c r="N39" s="2" t="s">
        <v>1329</v>
      </c>
      <c r="O39" s="157" t="s">
        <v>1391</v>
      </c>
      <c r="P39" s="2" t="s">
        <v>103</v>
      </c>
      <c r="Q39" s="2" t="s">
        <v>420</v>
      </c>
      <c r="R39" s="2" t="s">
        <v>414</v>
      </c>
      <c r="S39" s="2" t="s">
        <v>34</v>
      </c>
      <c r="T39" s="124">
        <v>1.47</v>
      </c>
      <c r="U39" s="2" t="s">
        <v>1334</v>
      </c>
      <c r="V39" s="138">
        <v>3.8399999999999997E-2</v>
      </c>
      <c r="W39" s="2" t="s">
        <v>765</v>
      </c>
      <c r="X39" s="2" t="s">
        <v>1335</v>
      </c>
      <c r="Y39" s="164">
        <v>3.8399999999999997E-2</v>
      </c>
      <c r="Z39" s="140">
        <v>2.2499999999999999E-2</v>
      </c>
      <c r="AA39" s="2" t="s">
        <v>1336</v>
      </c>
      <c r="AB39" s="3" t="s">
        <v>419</v>
      </c>
      <c r="AC39" s="2"/>
      <c r="AD39" s="2"/>
      <c r="AE39" s="140">
        <v>0</v>
      </c>
      <c r="AF39" s="2"/>
      <c r="AG39" s="2" t="s">
        <v>139</v>
      </c>
      <c r="AH39" s="2"/>
      <c r="AI39" s="2"/>
      <c r="AJ39" s="2" t="s">
        <v>139</v>
      </c>
      <c r="AK39" s="2" t="s">
        <v>109</v>
      </c>
      <c r="AL39" s="2"/>
      <c r="AM39" s="2"/>
      <c r="AN39" s="157" t="s">
        <v>140</v>
      </c>
      <c r="AO39" s="2"/>
      <c r="AP39" s="138">
        <v>0</v>
      </c>
      <c r="AQ39" s="124">
        <v>77371.73</v>
      </c>
      <c r="AR39" s="151">
        <v>153.51</v>
      </c>
      <c r="AS39" s="134">
        <v>1</v>
      </c>
      <c r="AT39" s="124">
        <v>118.773</v>
      </c>
      <c r="AU39" s="124">
        <v>118.773</v>
      </c>
      <c r="AV39" s="2"/>
      <c r="AW39" s="2"/>
      <c r="AX39" s="3" t="s">
        <v>139</v>
      </c>
      <c r="AY39" s="2" t="s">
        <v>36</v>
      </c>
      <c r="AZ39" s="140">
        <v>8.5842589053539108E-3</v>
      </c>
      <c r="BA39" s="140">
        <v>8.5944263108837603E-5</v>
      </c>
    </row>
    <row r="40" spans="1:53">
      <c r="A40" s="2">
        <v>301</v>
      </c>
      <c r="B40" s="2">
        <v>7210</v>
      </c>
      <c r="C40" s="2" t="s">
        <v>1329</v>
      </c>
      <c r="D40" s="2" t="s">
        <v>1330</v>
      </c>
      <c r="E40" s="2" t="s">
        <v>1432</v>
      </c>
      <c r="F40" s="2" t="s">
        <v>1433</v>
      </c>
      <c r="G40" s="2" t="s">
        <v>1049</v>
      </c>
      <c r="H40" s="2"/>
      <c r="I40" s="2" t="s">
        <v>30</v>
      </c>
      <c r="J40" s="2" t="s">
        <v>30</v>
      </c>
      <c r="K40" s="2" t="s">
        <v>492</v>
      </c>
      <c r="L40" s="2" t="s">
        <v>139</v>
      </c>
      <c r="M40" s="2" t="s">
        <v>347</v>
      </c>
      <c r="N40" s="2" t="s">
        <v>1329</v>
      </c>
      <c r="O40" s="157" t="s">
        <v>1378</v>
      </c>
      <c r="P40" s="2" t="s">
        <v>103</v>
      </c>
      <c r="Q40" s="2" t="s">
        <v>420</v>
      </c>
      <c r="R40" s="2" t="s">
        <v>414</v>
      </c>
      <c r="S40" s="2" t="s">
        <v>34</v>
      </c>
      <c r="T40" s="124">
        <v>1.47</v>
      </c>
      <c r="U40" s="2" t="s">
        <v>1334</v>
      </c>
      <c r="V40" s="138">
        <v>3.8399999999999997E-2</v>
      </c>
      <c r="W40" s="2" t="s">
        <v>765</v>
      </c>
      <c r="X40" s="2" t="s">
        <v>1335</v>
      </c>
      <c r="Y40" s="164">
        <v>3.8399999999999997E-2</v>
      </c>
      <c r="Z40" s="140">
        <v>2.2499999999999999E-2</v>
      </c>
      <c r="AA40" s="2" t="s">
        <v>1336</v>
      </c>
      <c r="AB40" s="3" t="s">
        <v>419</v>
      </c>
      <c r="AC40" s="2"/>
      <c r="AD40" s="2"/>
      <c r="AE40" s="140">
        <v>0</v>
      </c>
      <c r="AF40" s="2"/>
      <c r="AG40" s="2" t="s">
        <v>139</v>
      </c>
      <c r="AH40" s="2"/>
      <c r="AI40" s="2"/>
      <c r="AJ40" s="2" t="s">
        <v>139</v>
      </c>
      <c r="AK40" s="2" t="s">
        <v>109</v>
      </c>
      <c r="AL40" s="2"/>
      <c r="AM40" s="2"/>
      <c r="AN40" s="157" t="s">
        <v>140</v>
      </c>
      <c r="AO40" s="2"/>
      <c r="AP40" s="138">
        <v>0</v>
      </c>
      <c r="AQ40" s="124">
        <v>24686.05</v>
      </c>
      <c r="AR40" s="151">
        <v>156.13999999999999</v>
      </c>
      <c r="AS40" s="134">
        <v>1</v>
      </c>
      <c r="AT40" s="124">
        <v>38.545000000000002</v>
      </c>
      <c r="AU40" s="124">
        <v>38.545000000000002</v>
      </c>
      <c r="AV40" s="2"/>
      <c r="AW40" s="2"/>
      <c r="AX40" s="3" t="s">
        <v>139</v>
      </c>
      <c r="AY40" s="2" t="s">
        <v>36</v>
      </c>
      <c r="AZ40" s="140">
        <v>2.7857979066299001E-3</v>
      </c>
      <c r="BA40" s="140">
        <v>2.78909747358766E-5</v>
      </c>
    </row>
    <row r="41" spans="1:53">
      <c r="A41" s="2">
        <v>301</v>
      </c>
      <c r="B41" s="2">
        <v>7210</v>
      </c>
      <c r="C41" s="2" t="s">
        <v>1329</v>
      </c>
      <c r="D41" s="2" t="s">
        <v>1330</v>
      </c>
      <c r="E41" s="2" t="s">
        <v>1434</v>
      </c>
      <c r="F41" s="2" t="s">
        <v>1435</v>
      </c>
      <c r="G41" s="2" t="s">
        <v>1049</v>
      </c>
      <c r="H41" s="2"/>
      <c r="I41" s="2" t="s">
        <v>30</v>
      </c>
      <c r="J41" s="2" t="s">
        <v>30</v>
      </c>
      <c r="K41" s="2" t="s">
        <v>492</v>
      </c>
      <c r="L41" s="2" t="s">
        <v>139</v>
      </c>
      <c r="M41" s="2" t="s">
        <v>347</v>
      </c>
      <c r="N41" s="2" t="s">
        <v>1329</v>
      </c>
      <c r="O41" s="157" t="s">
        <v>1436</v>
      </c>
      <c r="P41" s="2" t="s">
        <v>1437</v>
      </c>
      <c r="Q41" s="2" t="s">
        <v>420</v>
      </c>
      <c r="R41" s="2" t="s">
        <v>414</v>
      </c>
      <c r="S41" s="2" t="s">
        <v>34</v>
      </c>
      <c r="T41" s="124">
        <v>10.16</v>
      </c>
      <c r="U41" s="2" t="s">
        <v>837</v>
      </c>
      <c r="V41" s="138">
        <v>0.03</v>
      </c>
      <c r="W41" s="2" t="s">
        <v>765</v>
      </c>
      <c r="X41" s="2" t="s">
        <v>1335</v>
      </c>
      <c r="Y41" s="164">
        <v>0.03</v>
      </c>
      <c r="Z41" s="140">
        <v>3.5700000000000003E-2</v>
      </c>
      <c r="AA41" s="2" t="s">
        <v>1438</v>
      </c>
      <c r="AB41" s="3" t="s">
        <v>419</v>
      </c>
      <c r="AC41" s="2"/>
      <c r="AD41" s="2"/>
      <c r="AE41" s="140">
        <v>0</v>
      </c>
      <c r="AF41" s="2"/>
      <c r="AG41" s="2" t="s">
        <v>139</v>
      </c>
      <c r="AH41" s="2"/>
      <c r="AI41" s="2"/>
      <c r="AJ41" s="2" t="s">
        <v>139</v>
      </c>
      <c r="AK41" s="2" t="s">
        <v>109</v>
      </c>
      <c r="AL41" s="2"/>
      <c r="AM41" s="2"/>
      <c r="AN41" s="157" t="s">
        <v>140</v>
      </c>
      <c r="AO41" s="2"/>
      <c r="AP41" s="138">
        <v>0</v>
      </c>
      <c r="AQ41" s="124">
        <v>328123.67</v>
      </c>
      <c r="AR41" s="151">
        <v>109.1</v>
      </c>
      <c r="AS41" s="134">
        <v>1</v>
      </c>
      <c r="AT41" s="124">
        <v>357.983</v>
      </c>
      <c r="AU41" s="124">
        <v>357.983</v>
      </c>
      <c r="AV41" s="2"/>
      <c r="AW41" s="2"/>
      <c r="AX41" s="3" t="s">
        <v>139</v>
      </c>
      <c r="AY41" s="2" t="s">
        <v>36</v>
      </c>
      <c r="AZ41" s="140">
        <v>2.5872961327870599E-2</v>
      </c>
      <c r="BA41" s="140">
        <v>2.59036058940445E-4</v>
      </c>
    </row>
    <row r="42" spans="1:53">
      <c r="A42" s="2">
        <v>301</v>
      </c>
      <c r="B42" s="2">
        <v>7210</v>
      </c>
      <c r="C42" s="2" t="s">
        <v>1329</v>
      </c>
      <c r="D42" s="2" t="s">
        <v>1330</v>
      </c>
      <c r="E42" s="2" t="s">
        <v>1439</v>
      </c>
      <c r="F42" s="2" t="s">
        <v>1440</v>
      </c>
      <c r="G42" s="2" t="s">
        <v>1049</v>
      </c>
      <c r="H42" s="2"/>
      <c r="I42" s="2" t="s">
        <v>30</v>
      </c>
      <c r="J42" s="2" t="s">
        <v>30</v>
      </c>
      <c r="K42" s="2" t="s">
        <v>492</v>
      </c>
      <c r="L42" s="2" t="s">
        <v>139</v>
      </c>
      <c r="M42" s="2" t="s">
        <v>347</v>
      </c>
      <c r="N42" s="2" t="s">
        <v>1329</v>
      </c>
      <c r="O42" s="157" t="s">
        <v>1436</v>
      </c>
      <c r="P42" s="2" t="s">
        <v>1437</v>
      </c>
      <c r="Q42" s="2" t="s">
        <v>422</v>
      </c>
      <c r="R42" s="2" t="s">
        <v>414</v>
      </c>
      <c r="S42" s="2" t="s">
        <v>34</v>
      </c>
      <c r="T42" s="124">
        <v>10.16</v>
      </c>
      <c r="U42" s="2" t="s">
        <v>837</v>
      </c>
      <c r="V42" s="138">
        <v>0.03</v>
      </c>
      <c r="W42" s="2" t="s">
        <v>765</v>
      </c>
      <c r="X42" s="2" t="s">
        <v>1335</v>
      </c>
      <c r="Y42" s="164">
        <v>0.03</v>
      </c>
      <c r="Z42" s="140">
        <v>3.5700000000000003E-2</v>
      </c>
      <c r="AA42" s="2" t="s">
        <v>1438</v>
      </c>
      <c r="AB42" s="3" t="s">
        <v>419</v>
      </c>
      <c r="AC42" s="2"/>
      <c r="AD42" s="2"/>
      <c r="AE42" s="140">
        <v>0</v>
      </c>
      <c r="AF42" s="2"/>
      <c r="AG42" s="2" t="s">
        <v>139</v>
      </c>
      <c r="AH42" s="2"/>
      <c r="AI42" s="2"/>
      <c r="AJ42" s="2" t="s">
        <v>139</v>
      </c>
      <c r="AK42" s="2" t="s">
        <v>109</v>
      </c>
      <c r="AL42" s="2"/>
      <c r="AM42" s="2"/>
      <c r="AN42" s="157" t="s">
        <v>140</v>
      </c>
      <c r="AO42" s="2"/>
      <c r="AP42" s="138">
        <v>0</v>
      </c>
      <c r="AQ42" s="124">
        <v>5737208.3499999996</v>
      </c>
      <c r="AR42" s="151">
        <v>109.1</v>
      </c>
      <c r="AS42" s="134">
        <v>1</v>
      </c>
      <c r="AT42" s="124">
        <v>6259.2939999999999</v>
      </c>
      <c r="AU42" s="124">
        <v>6259.2939999999999</v>
      </c>
      <c r="AV42" s="2"/>
      <c r="AW42" s="2"/>
      <c r="AX42" s="3" t="s">
        <v>139</v>
      </c>
      <c r="AY42" s="2" t="s">
        <v>36</v>
      </c>
      <c r="AZ42" s="140">
        <v>0.45238604630225698</v>
      </c>
      <c r="BA42" s="140">
        <v>4.5292186336456999E-3</v>
      </c>
    </row>
    <row r="43" spans="1:53">
      <c r="A43" s="2">
        <v>301</v>
      </c>
      <c r="B43" s="2">
        <v>7210</v>
      </c>
      <c r="C43" s="2" t="s">
        <v>1441</v>
      </c>
      <c r="D43" s="2" t="s">
        <v>1330</v>
      </c>
      <c r="E43" s="2" t="s">
        <v>1442</v>
      </c>
      <c r="F43" s="2" t="s">
        <v>1443</v>
      </c>
      <c r="G43" s="2" t="s">
        <v>1048</v>
      </c>
      <c r="H43" s="2"/>
      <c r="I43" s="2" t="s">
        <v>30</v>
      </c>
      <c r="J43" s="2" t="s">
        <v>30</v>
      </c>
      <c r="K43" s="2" t="s">
        <v>485</v>
      </c>
      <c r="L43" s="2" t="s">
        <v>139</v>
      </c>
      <c r="M43" s="2" t="s">
        <v>139</v>
      </c>
      <c r="N43" s="2"/>
      <c r="O43" s="157" t="s">
        <v>1444</v>
      </c>
      <c r="P43" s="2" t="s">
        <v>103</v>
      </c>
      <c r="Q43" s="2" t="s">
        <v>33</v>
      </c>
      <c r="R43" s="2" t="s">
        <v>414</v>
      </c>
      <c r="S43" s="2" t="s">
        <v>34</v>
      </c>
      <c r="T43" s="124">
        <v>2.46</v>
      </c>
      <c r="U43" s="2" t="s">
        <v>109</v>
      </c>
      <c r="V43" s="138">
        <v>5.781E-2</v>
      </c>
      <c r="W43" s="2" t="s">
        <v>765</v>
      </c>
      <c r="X43" s="2" t="s">
        <v>1335</v>
      </c>
      <c r="Y43" s="164">
        <v>5.781E-2</v>
      </c>
      <c r="Z43" s="140">
        <v>5.1400000000000001E-2</v>
      </c>
      <c r="AA43" s="2" t="s">
        <v>1445</v>
      </c>
      <c r="AB43" s="3" t="s">
        <v>419</v>
      </c>
      <c r="AC43" s="2"/>
      <c r="AD43" s="2"/>
      <c r="AE43" s="140">
        <v>0</v>
      </c>
      <c r="AF43" s="2"/>
      <c r="AG43" s="2" t="s">
        <v>139</v>
      </c>
      <c r="AH43" s="2"/>
      <c r="AI43" s="2"/>
      <c r="AJ43" s="2" t="s">
        <v>139</v>
      </c>
      <c r="AK43" s="2" t="s">
        <v>109</v>
      </c>
      <c r="AL43" s="2"/>
      <c r="AM43" s="2"/>
      <c r="AN43" s="157" t="s">
        <v>140</v>
      </c>
      <c r="AO43" s="2"/>
      <c r="AP43" s="138">
        <v>0</v>
      </c>
      <c r="AQ43" s="124">
        <v>4708001.7699999996</v>
      </c>
      <c r="AR43" s="151">
        <v>102.202</v>
      </c>
      <c r="AS43" s="134">
        <v>1</v>
      </c>
      <c r="AT43" s="124">
        <v>4811.6670000000004</v>
      </c>
      <c r="AU43" s="124">
        <v>4811.6670000000004</v>
      </c>
      <c r="AV43" s="2"/>
      <c r="AW43" s="2"/>
      <c r="AX43" s="3" t="s">
        <v>139</v>
      </c>
      <c r="AY43" s="2" t="s">
        <v>36</v>
      </c>
      <c r="AZ43" s="140">
        <v>0.34775979648456601</v>
      </c>
      <c r="BA43" s="140">
        <v>3.4817169166583002E-3</v>
      </c>
    </row>
  </sheetData>
  <sheetProtection formatColumns="0"/>
  <customSheetViews>
    <customSheetView guid="{AE318230-F718-49FC-82EB-7CAC3DCD05F1}" showGridLines="0" topLeftCell="S1">
      <selection activeCell="AG2" sqref="AG2"/>
      <pageMargins left="0.7" right="0.7" top="0.75" bottom="0.75" header="0.3" footer="0.3"/>
    </customSheetView>
  </customSheetViews>
  <dataValidations count="21">
    <dataValidation type="list" allowBlank="1" showInputMessage="1" showErrorMessage="1" sqref="K2:K20" xr:uid="{00000000-0002-0000-1700-000000000000}">
      <formula1>Industry_sectors</formula1>
    </dataValidation>
    <dataValidation type="list" allowBlank="1" showInputMessage="1" showErrorMessage="1" sqref="L2:L20" xr:uid="{00000000-0002-0000-1700-000001000000}">
      <formula1>Holding_interest</formula1>
    </dataValidation>
    <dataValidation type="list" allowBlank="1" showInputMessage="1" showErrorMessage="1" sqref="Q2:Q20" xr:uid="{00000000-0002-0000-1700-000002000000}">
      <formula1>Rating_Agency</formula1>
    </dataValidation>
    <dataValidation type="list" allowBlank="1" showInputMessage="1" showErrorMessage="1" sqref="M2:M20" xr:uid="{00000000-0002-0000-1700-000003000000}">
      <formula1>Consortium</formula1>
    </dataValidation>
    <dataValidation type="list" allowBlank="1" showInputMessage="1" showErrorMessage="1" sqref="W2:W20" xr:uid="{00000000-0002-0000-1700-000004000000}">
      <formula1>Linked_Type</formula1>
    </dataValidation>
    <dataValidation type="list" allowBlank="1" showInputMessage="1" showErrorMessage="1" sqref="AC2:AC20" xr:uid="{00000000-0002-0000-1700-000005000000}">
      <formula1>Type_of_Security</formula1>
    </dataValidation>
    <dataValidation type="list" allowBlank="1" showInputMessage="1" showErrorMessage="1" sqref="AM2:AM20" xr:uid="{00000000-0002-0000-1700-000006000000}">
      <formula1>Dependence_Independence</formula1>
    </dataValidation>
    <dataValidation type="list" allowBlank="1" showInputMessage="1" showErrorMessage="1" sqref="J2:J20" xr:uid="{00000000-0002-0000-1700-000007000000}">
      <formula1>Country_list</formula1>
    </dataValidation>
    <dataValidation type="list" allowBlank="1" showInputMessage="1" showErrorMessage="1" sqref="AH2:AH20" xr:uid="{00000000-0002-0000-1700-000008000000}">
      <formula1>Amoritization</formula1>
    </dataValidation>
    <dataValidation type="list" allowBlank="1" showInputMessage="1" showErrorMessage="1" sqref="U2:U20" xr:uid="{00000000-0002-0000-1700-000009000000}">
      <formula1>Type_of_Interest_Rate</formula1>
    </dataValidation>
    <dataValidation type="list" allowBlank="1" showInputMessage="1" showErrorMessage="1" sqref="AK2:AK20" xr:uid="{00000000-0002-0000-1700-00000A000000}">
      <formula1>Valuation_Loans</formula1>
    </dataValidation>
    <dataValidation type="list" allowBlank="1" showInputMessage="1" showErrorMessage="1" sqref="X2:X20" xr:uid="{00000000-0002-0000-1700-00000B000000}">
      <formula1>Underlying_Interest_Rates</formula1>
    </dataValidation>
    <dataValidation type="list" allowBlank="1" showInputMessage="1" showErrorMessage="1" sqref="AB2:AB20" xr:uid="{00000000-0002-0000-1700-00000C000000}">
      <formula1>Subordination_Risk</formula1>
    </dataValidation>
    <dataValidation type="list" allowBlank="1" showInputMessage="1" showErrorMessage="1" sqref="AX2:AX20" xr:uid="{00000000-0002-0000-1700-00000D000000}">
      <formula1>Yes_No_Bad_Debt</formula1>
    </dataValidation>
    <dataValidation type="list" allowBlank="1" showInputMessage="1" showErrorMessage="1" sqref="AG2:AG20" xr:uid="{00000000-0002-0000-1700-00000E000000}">
      <formula1>Recourse_Nonrecourse</formula1>
    </dataValidation>
    <dataValidation type="list" allowBlank="1" showInputMessage="1" showErrorMessage="1" sqref="AJ2:AJ20" xr:uid="{00000000-0002-0000-1700-00000F000000}">
      <formula1>Repayment_Rights</formula1>
    </dataValidation>
    <dataValidation type="list" allowBlank="1" showInputMessage="1" showErrorMessage="1" sqref="D2:D20" xr:uid="{00000000-0002-0000-1700-000010000000}">
      <formula1>issuer_number_loan</formula1>
    </dataValidation>
    <dataValidation type="list" allowBlank="1" showInputMessage="1" showErrorMessage="1" sqref="H2:H20" xr:uid="{00000000-0002-0000-1700-000011000000}">
      <formula1>real_estate_loans</formula1>
    </dataValidation>
    <dataValidation type="list" allowBlank="1" showInputMessage="1" showErrorMessage="1" sqref="I2:I20" xr:uid="{00000000-0002-0000-1700-000012000000}">
      <formula1>israel_abroad</formula1>
    </dataValidation>
    <dataValidation type="list" allowBlank="1" showInputMessage="1" showErrorMessage="1" sqref="AY2:AY20" xr:uid="{00000000-0002-0000-1700-000013000000}">
      <formula1 xml:space="preserve"> In_the_books</formula1>
    </dataValidation>
    <dataValidation type="list" allowBlank="1" showInputMessage="1" showErrorMessage="1" sqref="R2:R20" xr:uid="{00000000-0002-0000-1700-000014000000}">
      <formula1>what_is_rated_loans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15000000}">
          <x14:formula1>
            <xm:f>'אפשרויות בחירה'!$C$970:$C$976</xm:f>
          </x14:formula1>
          <xm:sqref>G2:G20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Sheet25"/>
  <dimension ref="A1:AD1"/>
  <sheetViews>
    <sheetView rightToLeft="1" zoomScale="70" zoomScaleNormal="70" workbookViewId="0">
      <selection activeCell="A2" sqref="A2"/>
    </sheetView>
  </sheetViews>
  <sheetFormatPr defaultColWidth="0" defaultRowHeight="14.25" zeroHeight="1"/>
  <cols>
    <col min="1" max="16" width="11.625" customWidth="1"/>
    <col min="17" max="17" width="13.375" customWidth="1"/>
    <col min="18" max="30" width="11.625" customWidth="1"/>
  </cols>
  <sheetData>
    <row r="1" spans="1:30" ht="66.75" customHeight="1">
      <c r="A1" s="12" t="s">
        <v>0</v>
      </c>
      <c r="B1" s="12" t="s">
        <v>1</v>
      </c>
      <c r="C1" s="12" t="s">
        <v>2</v>
      </c>
      <c r="D1" s="12" t="s">
        <v>156</v>
      </c>
      <c r="E1" s="12" t="s">
        <v>157</v>
      </c>
      <c r="F1" s="12" t="s">
        <v>3</v>
      </c>
      <c r="G1" s="12" t="s">
        <v>4</v>
      </c>
      <c r="H1" s="12" t="s">
        <v>158</v>
      </c>
      <c r="I1" s="12" t="s">
        <v>5</v>
      </c>
      <c r="J1" s="12" t="s">
        <v>6</v>
      </c>
      <c r="K1" s="12" t="s">
        <v>7</v>
      </c>
      <c r="L1" s="12" t="s">
        <v>125</v>
      </c>
      <c r="M1" s="12" t="s">
        <v>182</v>
      </c>
      <c r="N1" s="12" t="s">
        <v>167</v>
      </c>
      <c r="O1" s="12" t="s">
        <v>9</v>
      </c>
      <c r="P1" s="12" t="s">
        <v>10</v>
      </c>
      <c r="Q1" s="12" t="s">
        <v>183</v>
      </c>
      <c r="R1" s="12" t="s">
        <v>11</v>
      </c>
      <c r="S1" s="12" t="s">
        <v>12</v>
      </c>
      <c r="T1" s="120" t="s">
        <v>14</v>
      </c>
      <c r="U1" s="12" t="s">
        <v>15</v>
      </c>
      <c r="V1" s="12" t="s">
        <v>160</v>
      </c>
      <c r="W1" s="12" t="s">
        <v>161</v>
      </c>
      <c r="X1" s="12" t="s">
        <v>134</v>
      </c>
      <c r="Y1" s="12" t="s">
        <v>17</v>
      </c>
      <c r="Z1" s="12" t="s">
        <v>18</v>
      </c>
      <c r="AA1" s="12" t="s">
        <v>19</v>
      </c>
      <c r="AB1" s="12" t="s">
        <v>20</v>
      </c>
      <c r="AC1" s="12" t="s">
        <v>24</v>
      </c>
      <c r="AD1" s="12" t="s">
        <v>25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pageMargins left="0.7" right="0.7" top="0.75" bottom="0.75" header="0.3" footer="0.3"/>
  <pageSetup paperSize="0" orientation="portrait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Sheet26"/>
  <dimension ref="A1:V1"/>
  <sheetViews>
    <sheetView rightToLeft="1" zoomScale="70" zoomScaleNormal="70" workbookViewId="0">
      <selection activeCell="A2" sqref="A2"/>
    </sheetView>
  </sheetViews>
  <sheetFormatPr defaultColWidth="0" defaultRowHeight="14.25" zeroHeight="1"/>
  <cols>
    <col min="1" max="22" width="11.625" customWidth="1"/>
  </cols>
  <sheetData>
    <row r="1" spans="1:22" ht="66.75" customHeight="1">
      <c r="A1" s="12" t="s">
        <v>0</v>
      </c>
      <c r="B1" s="12" t="s">
        <v>1</v>
      </c>
      <c r="C1" s="12" t="s">
        <v>176</v>
      </c>
      <c r="D1" s="12" t="s">
        <v>177</v>
      </c>
      <c r="E1" s="12" t="s">
        <v>178</v>
      </c>
      <c r="F1" s="12" t="s">
        <v>5</v>
      </c>
      <c r="G1" s="12" t="s">
        <v>179</v>
      </c>
      <c r="H1" s="12" t="s">
        <v>6</v>
      </c>
      <c r="I1" s="12" t="s">
        <v>7</v>
      </c>
      <c r="J1" s="12" t="s">
        <v>125</v>
      </c>
      <c r="K1" s="12" t="s">
        <v>180</v>
      </c>
      <c r="L1" s="12" t="s">
        <v>10</v>
      </c>
      <c r="M1" s="12" t="s">
        <v>11</v>
      </c>
      <c r="N1" s="12" t="s">
        <v>12</v>
      </c>
      <c r="O1" s="120" t="s">
        <v>14</v>
      </c>
      <c r="P1" s="12" t="s">
        <v>15</v>
      </c>
      <c r="Q1" s="12" t="s">
        <v>135</v>
      </c>
      <c r="R1" s="12" t="s">
        <v>18</v>
      </c>
      <c r="S1" s="12" t="s">
        <v>181</v>
      </c>
      <c r="T1" s="12" t="s">
        <v>20</v>
      </c>
      <c r="U1" s="12" t="s">
        <v>24</v>
      </c>
      <c r="V1" s="12" t="s">
        <v>25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  <pageSetup orientation="portrait"/>
    </customSheetView>
  </customSheetViews>
  <pageMargins left="0.7" right="0.7" top="0.75" bottom="0.75" header="0.3" footer="0.3"/>
  <pageSetup orientation="portrait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 codeName="Sheet27"/>
  <dimension ref="A1:X1"/>
  <sheetViews>
    <sheetView rightToLeft="1" zoomScale="70" zoomScaleNormal="70" workbookViewId="0"/>
  </sheetViews>
  <sheetFormatPr defaultColWidth="0" defaultRowHeight="14.25" zeroHeight="1"/>
  <cols>
    <col min="1" max="24" width="11.625" customWidth="1"/>
  </cols>
  <sheetData>
    <row r="1" spans="1:24" ht="66.75" customHeight="1">
      <c r="A1" s="12" t="s">
        <v>0</v>
      </c>
      <c r="B1" s="12" t="s">
        <v>1</v>
      </c>
      <c r="C1" s="12" t="s">
        <v>165</v>
      </c>
      <c r="D1" s="12" t="s">
        <v>5</v>
      </c>
      <c r="E1" s="12" t="s">
        <v>166</v>
      </c>
      <c r="F1" s="12" t="s">
        <v>125</v>
      </c>
      <c r="G1" s="12" t="s">
        <v>167</v>
      </c>
      <c r="H1" s="12" t="s">
        <v>168</v>
      </c>
      <c r="I1" s="12" t="s">
        <v>169</v>
      </c>
      <c r="J1" s="12" t="s">
        <v>170</v>
      </c>
      <c r="K1" s="12" t="s">
        <v>171</v>
      </c>
      <c r="L1" s="12" t="s">
        <v>172</v>
      </c>
      <c r="M1" s="12" t="s">
        <v>160</v>
      </c>
      <c r="N1" s="12" t="s">
        <v>173</v>
      </c>
      <c r="O1" s="12" t="s">
        <v>161</v>
      </c>
      <c r="P1" s="12" t="s">
        <v>134</v>
      </c>
      <c r="Q1" s="12" t="s">
        <v>11</v>
      </c>
      <c r="R1" s="12" t="s">
        <v>174</v>
      </c>
      <c r="S1" s="12" t="s">
        <v>20</v>
      </c>
      <c r="T1" s="12" t="s">
        <v>21</v>
      </c>
      <c r="U1" s="12" t="s">
        <v>175</v>
      </c>
      <c r="V1" s="12" t="s">
        <v>22</v>
      </c>
      <c r="W1" s="12" t="s">
        <v>24</v>
      </c>
      <c r="X1" s="12" t="s">
        <v>25</v>
      </c>
    </row>
  </sheetData>
  <sheetProtection formatColumns="0"/>
  <customSheetViews>
    <customSheetView guid="{AE318230-F718-49FC-82EB-7CAC3DCD05F1}" showGridLines="0" hiddenRows="1">
      <selection activeCell="A3" sqref="A3:XFD3"/>
      <pageMargins left="0.7" right="0.7" top="0.75" bottom="0.75" header="0.3" footer="0.3"/>
      <pageSetup orientation="portrait"/>
    </customSheetView>
  </customSheetViews>
  <pageMargins left="0.7" right="0.7" top="0.75" bottom="0.75" header="0.3" footer="0.3"/>
  <pageSetup orientation="portrait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 codeName="Sheet28"/>
  <dimension ref="A1:W1"/>
  <sheetViews>
    <sheetView rightToLeft="1" zoomScale="70" zoomScaleNormal="70" workbookViewId="0"/>
  </sheetViews>
  <sheetFormatPr defaultColWidth="0" defaultRowHeight="14.25" zeroHeight="1"/>
  <cols>
    <col min="1" max="23" width="11.625" customWidth="1"/>
  </cols>
  <sheetData>
    <row r="1" spans="1:23" ht="66.75" customHeight="1">
      <c r="A1" s="12" t="s">
        <v>0</v>
      </c>
      <c r="B1" s="12" t="s">
        <v>1</v>
      </c>
      <c r="C1" s="12" t="s">
        <v>2</v>
      </c>
      <c r="D1" s="12" t="s">
        <v>156</v>
      </c>
      <c r="E1" s="12" t="s">
        <v>157</v>
      </c>
      <c r="F1" s="12" t="s">
        <v>3</v>
      </c>
      <c r="G1" s="12" t="s">
        <v>4</v>
      </c>
      <c r="H1" s="12" t="s">
        <v>158</v>
      </c>
      <c r="I1" s="12" t="s">
        <v>5</v>
      </c>
      <c r="J1" s="12" t="s">
        <v>6</v>
      </c>
      <c r="K1" s="12" t="s">
        <v>7</v>
      </c>
      <c r="L1" s="12" t="s">
        <v>159</v>
      </c>
      <c r="M1" s="12" t="s">
        <v>125</v>
      </c>
      <c r="N1" s="12" t="s">
        <v>11</v>
      </c>
      <c r="O1" s="12" t="s">
        <v>160</v>
      </c>
      <c r="P1" s="12" t="s">
        <v>161</v>
      </c>
      <c r="Q1" s="12" t="s">
        <v>134</v>
      </c>
      <c r="R1" s="12" t="s">
        <v>162</v>
      </c>
      <c r="S1" s="12" t="s">
        <v>163</v>
      </c>
      <c r="T1" s="12" t="s">
        <v>164</v>
      </c>
      <c r="U1" s="12" t="s">
        <v>20</v>
      </c>
      <c r="V1" s="12" t="s">
        <v>24</v>
      </c>
      <c r="W1" s="12" t="s">
        <v>25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pageMargins left="0.7" right="0.7" top="0.75" bottom="0.75" header="0.3" footer="0.3"/>
  <pageSetup paperSize="9" orientation="portrait" verticalDpi="0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 codeName="Sheet29"/>
  <dimension ref="A1:R14"/>
  <sheetViews>
    <sheetView rightToLeft="1" zoomScale="70" zoomScaleNormal="70" workbookViewId="0"/>
  </sheetViews>
  <sheetFormatPr defaultColWidth="0" defaultRowHeight="14.25" zeroHeight="1"/>
  <cols>
    <col min="1" max="18" width="11.625" customWidth="1"/>
  </cols>
  <sheetData>
    <row r="1" spans="1:18" ht="66.75" customHeight="1">
      <c r="A1" s="12" t="s">
        <v>0</v>
      </c>
      <c r="B1" s="12" t="s">
        <v>1</v>
      </c>
      <c r="C1" s="12" t="s">
        <v>131</v>
      </c>
      <c r="D1" s="12" t="s">
        <v>132</v>
      </c>
      <c r="E1" s="12" t="s">
        <v>5</v>
      </c>
      <c r="F1" s="12" t="s">
        <v>6</v>
      </c>
      <c r="G1" s="12" t="s">
        <v>7</v>
      </c>
      <c r="H1" s="12" t="s">
        <v>125</v>
      </c>
      <c r="I1" s="155" t="s">
        <v>133</v>
      </c>
      <c r="J1" s="12" t="s">
        <v>11</v>
      </c>
      <c r="K1" s="155" t="s">
        <v>134</v>
      </c>
      <c r="L1" s="12" t="s">
        <v>135</v>
      </c>
      <c r="M1" s="133" t="s">
        <v>18</v>
      </c>
      <c r="N1" s="12" t="s">
        <v>20</v>
      </c>
      <c r="O1" s="12" t="s">
        <v>21</v>
      </c>
      <c r="P1" s="12" t="s">
        <v>22</v>
      </c>
      <c r="Q1" s="139" t="s">
        <v>24</v>
      </c>
      <c r="R1" s="139" t="s">
        <v>25</v>
      </c>
    </row>
    <row r="2" spans="1:18">
      <c r="A2" s="13">
        <v>301</v>
      </c>
      <c r="B2" s="13">
        <v>7209</v>
      </c>
      <c r="C2" s="18" t="s">
        <v>136</v>
      </c>
      <c r="D2" s="18" t="s">
        <v>137</v>
      </c>
      <c r="E2" s="18" t="s">
        <v>138</v>
      </c>
      <c r="F2" s="11" t="s">
        <v>30</v>
      </c>
      <c r="G2" s="11" t="s">
        <v>30</v>
      </c>
      <c r="H2" s="13" t="s">
        <v>139</v>
      </c>
      <c r="I2" s="13"/>
      <c r="J2" s="11" t="s">
        <v>34</v>
      </c>
      <c r="K2" s="156" t="s">
        <v>140</v>
      </c>
      <c r="L2" s="124">
        <v>-6.3209999999999997</v>
      </c>
      <c r="M2" s="149">
        <v>1</v>
      </c>
      <c r="N2" s="126">
        <v>-6.3209999999999997</v>
      </c>
      <c r="O2" s="13"/>
      <c r="P2" s="11" t="s">
        <v>36</v>
      </c>
      <c r="Q2" s="148">
        <v>0.40100470826159701</v>
      </c>
      <c r="R2" s="148">
        <v>-3.0840231720763401E-4</v>
      </c>
    </row>
    <row r="3" spans="1:18">
      <c r="A3" s="13">
        <v>301</v>
      </c>
      <c r="B3" s="13">
        <v>7209</v>
      </c>
      <c r="C3" s="18" t="s">
        <v>141</v>
      </c>
      <c r="D3" s="13" t="s">
        <v>142</v>
      </c>
      <c r="E3" s="18" t="s">
        <v>138</v>
      </c>
      <c r="F3" s="11" t="s">
        <v>30</v>
      </c>
      <c r="G3" s="11" t="s">
        <v>30</v>
      </c>
      <c r="H3" s="13" t="s">
        <v>139</v>
      </c>
      <c r="I3" s="13"/>
      <c r="J3" s="11" t="s">
        <v>34</v>
      </c>
      <c r="K3" s="156" t="s">
        <v>140</v>
      </c>
      <c r="L3" s="124">
        <v>2.34</v>
      </c>
      <c r="M3" s="149">
        <v>1</v>
      </c>
      <c r="N3" s="126">
        <v>2.34</v>
      </c>
      <c r="O3" s="13"/>
      <c r="P3" s="11" t="s">
        <v>36</v>
      </c>
      <c r="Q3" s="148">
        <v>-0.14841871683060801</v>
      </c>
      <c r="R3" s="148">
        <v>1.14144984446624E-4</v>
      </c>
    </row>
    <row r="4" spans="1:18">
      <c r="A4" s="13">
        <v>301</v>
      </c>
      <c r="B4" s="13">
        <v>7209</v>
      </c>
      <c r="C4" s="18" t="s">
        <v>143</v>
      </c>
      <c r="D4" s="13" t="s">
        <v>144</v>
      </c>
      <c r="E4" s="18" t="s">
        <v>145</v>
      </c>
      <c r="F4" s="11" t="s">
        <v>30</v>
      </c>
      <c r="G4" s="11" t="s">
        <v>30</v>
      </c>
      <c r="H4" s="13" t="s">
        <v>139</v>
      </c>
      <c r="I4" s="13"/>
      <c r="J4" s="11" t="s">
        <v>34</v>
      </c>
      <c r="K4" s="156" t="s">
        <v>140</v>
      </c>
      <c r="L4" s="124">
        <v>-11.782</v>
      </c>
      <c r="M4" s="149">
        <v>1</v>
      </c>
      <c r="N4" s="126">
        <v>-11.782</v>
      </c>
      <c r="O4" s="13"/>
      <c r="P4" s="11" t="s">
        <v>36</v>
      </c>
      <c r="Q4" s="148">
        <v>0.74741400856901097</v>
      </c>
      <c r="R4" s="148">
        <v>-5.7481672261503402E-4</v>
      </c>
    </row>
    <row r="5" spans="1:18">
      <c r="A5" s="13">
        <v>301</v>
      </c>
      <c r="B5" s="13">
        <v>7210</v>
      </c>
      <c r="C5" s="18" t="s">
        <v>136</v>
      </c>
      <c r="D5" s="13" t="s">
        <v>137</v>
      </c>
      <c r="E5" s="18" t="s">
        <v>138</v>
      </c>
      <c r="F5" s="11" t="s">
        <v>30</v>
      </c>
      <c r="G5" s="11" t="s">
        <v>30</v>
      </c>
      <c r="H5" s="13" t="s">
        <v>139</v>
      </c>
      <c r="I5" s="13"/>
      <c r="J5" s="11" t="s">
        <v>34</v>
      </c>
      <c r="K5" s="156" t="s">
        <v>140</v>
      </c>
      <c r="L5" s="124">
        <v>-23.895</v>
      </c>
      <c r="M5" s="149">
        <v>1</v>
      </c>
      <c r="N5" s="126">
        <v>-23.895</v>
      </c>
      <c r="O5" s="13"/>
      <c r="P5" s="11" t="s">
        <v>36</v>
      </c>
      <c r="Q5" s="148">
        <v>5.5689792477191698E-2</v>
      </c>
      <c r="R5" s="148">
        <v>-1.7290548267808001E-5</v>
      </c>
    </row>
    <row r="6" spans="1:18">
      <c r="A6" s="13">
        <v>301</v>
      </c>
      <c r="B6" s="13">
        <v>7210</v>
      </c>
      <c r="C6" s="18" t="s">
        <v>141</v>
      </c>
      <c r="D6" s="13" t="s">
        <v>142</v>
      </c>
      <c r="E6" s="18" t="s">
        <v>138</v>
      </c>
      <c r="F6" s="11" t="s">
        <v>30</v>
      </c>
      <c r="G6" s="11" t="s">
        <v>30</v>
      </c>
      <c r="H6" s="13" t="s">
        <v>139</v>
      </c>
      <c r="I6" s="13"/>
      <c r="J6" s="11" t="s">
        <v>34</v>
      </c>
      <c r="K6" s="156" t="s">
        <v>140</v>
      </c>
      <c r="L6" s="124">
        <v>45.51</v>
      </c>
      <c r="M6" s="149">
        <v>1</v>
      </c>
      <c r="N6" s="126">
        <v>45.51</v>
      </c>
      <c r="O6" s="13"/>
      <c r="P6" s="11" t="s">
        <v>36</v>
      </c>
      <c r="Q6" s="148">
        <v>-0.10606396581649299</v>
      </c>
      <c r="R6" s="148">
        <v>3.2930704871567003E-5</v>
      </c>
    </row>
    <row r="7" spans="1:18">
      <c r="A7" s="13">
        <v>301</v>
      </c>
      <c r="B7" s="13">
        <v>7210</v>
      </c>
      <c r="C7" s="18" t="s">
        <v>146</v>
      </c>
      <c r="D7" s="13" t="s">
        <v>147</v>
      </c>
      <c r="E7" s="18" t="s">
        <v>148</v>
      </c>
      <c r="F7" s="11" t="s">
        <v>30</v>
      </c>
      <c r="G7" s="11" t="s">
        <v>30</v>
      </c>
      <c r="H7" s="13" t="s">
        <v>139</v>
      </c>
      <c r="I7" s="13" t="s">
        <v>149</v>
      </c>
      <c r="J7" s="11" t="s">
        <v>34</v>
      </c>
      <c r="K7" s="156" t="s">
        <v>140</v>
      </c>
      <c r="L7" s="124">
        <v>90.022000000000006</v>
      </c>
      <c r="M7" s="149">
        <v>1</v>
      </c>
      <c r="N7" s="126">
        <v>0</v>
      </c>
      <c r="O7" s="13"/>
      <c r="P7" s="11" t="s">
        <v>36</v>
      </c>
      <c r="Q7" s="148">
        <v>-2.0980336060755501E-9</v>
      </c>
      <c r="R7" s="148">
        <v>6.5139677703395603E-13</v>
      </c>
    </row>
    <row r="8" spans="1:18">
      <c r="A8" s="13">
        <v>301</v>
      </c>
      <c r="B8" s="13">
        <v>7210</v>
      </c>
      <c r="C8" s="18" t="s">
        <v>150</v>
      </c>
      <c r="D8" s="13" t="s">
        <v>151</v>
      </c>
      <c r="E8" s="18" t="s">
        <v>148</v>
      </c>
      <c r="F8" s="11" t="s">
        <v>30</v>
      </c>
      <c r="G8" s="11" t="s">
        <v>30</v>
      </c>
      <c r="H8" s="13" t="s">
        <v>139</v>
      </c>
      <c r="I8" s="13" t="s">
        <v>149</v>
      </c>
      <c r="J8" s="11" t="s">
        <v>34</v>
      </c>
      <c r="K8" s="156" t="s">
        <v>140</v>
      </c>
      <c r="L8" s="124">
        <v>90.022000000000006</v>
      </c>
      <c r="M8" s="149">
        <v>1</v>
      </c>
      <c r="N8" s="126">
        <v>0</v>
      </c>
      <c r="O8" s="13"/>
      <c r="P8" s="11" t="s">
        <v>36</v>
      </c>
      <c r="Q8" s="148">
        <v>-2.09803383913394E-9</v>
      </c>
      <c r="R8" s="148">
        <v>6.5139684939384799E-13</v>
      </c>
    </row>
    <row r="9" spans="1:18">
      <c r="A9" s="13">
        <v>301</v>
      </c>
      <c r="B9" s="13">
        <v>7210</v>
      </c>
      <c r="C9" s="18" t="s">
        <v>152</v>
      </c>
      <c r="D9" s="13" t="s">
        <v>153</v>
      </c>
      <c r="E9" s="18" t="s">
        <v>148</v>
      </c>
      <c r="F9" s="11" t="s">
        <v>30</v>
      </c>
      <c r="G9" s="11" t="s">
        <v>30</v>
      </c>
      <c r="H9" s="13" t="s">
        <v>139</v>
      </c>
      <c r="I9" s="13" t="s">
        <v>149</v>
      </c>
      <c r="J9" s="11" t="s">
        <v>34</v>
      </c>
      <c r="K9" s="156" t="s">
        <v>140</v>
      </c>
      <c r="L9" s="124">
        <v>90.022000000000006</v>
      </c>
      <c r="M9" s="149">
        <v>1</v>
      </c>
      <c r="N9" s="126">
        <v>0</v>
      </c>
      <c r="O9" s="13"/>
      <c r="P9" s="11" t="s">
        <v>36</v>
      </c>
      <c r="Q9" s="148">
        <v>-2.09803383913394E-9</v>
      </c>
      <c r="R9" s="148">
        <v>6.5139684939384799E-13</v>
      </c>
    </row>
    <row r="10" spans="1:18">
      <c r="A10" s="13">
        <v>301</v>
      </c>
      <c r="B10" s="13">
        <v>7210</v>
      </c>
      <c r="C10" s="18" t="s">
        <v>154</v>
      </c>
      <c r="D10" s="13" t="s">
        <v>155</v>
      </c>
      <c r="E10" s="18" t="s">
        <v>148</v>
      </c>
      <c r="F10" s="11" t="s">
        <v>30</v>
      </c>
      <c r="G10" s="11" t="s">
        <v>30</v>
      </c>
      <c r="H10" s="13" t="s">
        <v>139</v>
      </c>
      <c r="I10" s="13" t="s">
        <v>149</v>
      </c>
      <c r="J10" s="11" t="s">
        <v>34</v>
      </c>
      <c r="K10" s="156" t="s">
        <v>140</v>
      </c>
      <c r="L10" s="124">
        <v>90.022000000000006</v>
      </c>
      <c r="M10" s="149">
        <v>1</v>
      </c>
      <c r="N10" s="126">
        <v>0</v>
      </c>
      <c r="O10" s="13"/>
      <c r="P10" s="11" t="s">
        <v>36</v>
      </c>
      <c r="Q10" s="148">
        <v>-2.09803383913394E-9</v>
      </c>
      <c r="R10" s="148">
        <v>6.5139684939384799E-13</v>
      </c>
    </row>
    <row r="11" spans="1:18">
      <c r="A11" s="13">
        <v>301</v>
      </c>
      <c r="B11" s="13">
        <v>7210</v>
      </c>
      <c r="C11" s="18" t="s">
        <v>143</v>
      </c>
      <c r="D11" s="13" t="s">
        <v>144</v>
      </c>
      <c r="E11" s="18" t="s">
        <v>145</v>
      </c>
      <c r="F11" s="11" t="s">
        <v>30</v>
      </c>
      <c r="G11" s="11" t="s">
        <v>30</v>
      </c>
      <c r="H11" s="13" t="s">
        <v>139</v>
      </c>
      <c r="I11" s="13"/>
      <c r="J11" s="11" t="s">
        <v>34</v>
      </c>
      <c r="K11" s="156" t="s">
        <v>140</v>
      </c>
      <c r="L11" s="124">
        <v>-450.69099999999997</v>
      </c>
      <c r="M11" s="149">
        <v>1</v>
      </c>
      <c r="N11" s="126">
        <v>-450.69099999999997</v>
      </c>
      <c r="O11" s="13"/>
      <c r="P11" s="11" t="s">
        <v>36</v>
      </c>
      <c r="Q11" s="148">
        <v>1.05037418173144</v>
      </c>
      <c r="R11" s="148">
        <v>-3.2611982700285599E-4</v>
      </c>
    </row>
    <row r="12" spans="1:18">
      <c r="A12" s="13">
        <v>301</v>
      </c>
      <c r="B12" s="13">
        <v>7211</v>
      </c>
      <c r="C12" s="18" t="s">
        <v>136</v>
      </c>
      <c r="D12" s="13" t="s">
        <v>137</v>
      </c>
      <c r="E12" s="18" t="s">
        <v>138</v>
      </c>
      <c r="F12" s="11" t="s">
        <v>30</v>
      </c>
      <c r="G12" s="11" t="s">
        <v>30</v>
      </c>
      <c r="H12" s="13" t="s">
        <v>139</v>
      </c>
      <c r="I12" s="13"/>
      <c r="J12" s="11" t="s">
        <v>34</v>
      </c>
      <c r="K12" s="156" t="s">
        <v>140</v>
      </c>
      <c r="L12" s="124">
        <v>2.7240000000000002</v>
      </c>
      <c r="M12" s="149">
        <v>1</v>
      </c>
      <c r="N12" s="126">
        <v>2.7240000000000002</v>
      </c>
      <c r="O12" s="13"/>
      <c r="P12" s="11" t="s">
        <v>36</v>
      </c>
      <c r="Q12" s="148">
        <v>0.39894609501548101</v>
      </c>
      <c r="R12" s="148">
        <v>1.2755666020461401E-4</v>
      </c>
    </row>
    <row r="13" spans="1:18">
      <c r="A13" s="13">
        <v>301</v>
      </c>
      <c r="B13" s="13">
        <v>7211</v>
      </c>
      <c r="C13" s="18" t="s">
        <v>141</v>
      </c>
      <c r="D13" s="13" t="s">
        <v>142</v>
      </c>
      <c r="E13" s="18" t="s">
        <v>138</v>
      </c>
      <c r="F13" s="11" t="s">
        <v>30</v>
      </c>
      <c r="G13" s="11" t="s">
        <v>30</v>
      </c>
      <c r="H13" s="13" t="s">
        <v>139</v>
      </c>
      <c r="I13" s="13"/>
      <c r="J13" s="11" t="s">
        <v>34</v>
      </c>
      <c r="K13" s="156" t="s">
        <v>140</v>
      </c>
      <c r="L13" s="124">
        <v>6.8570000000000002</v>
      </c>
      <c r="M13" s="149">
        <v>1</v>
      </c>
      <c r="N13" s="126">
        <v>6.8570000000000002</v>
      </c>
      <c r="O13" s="13"/>
      <c r="P13" s="11" t="s">
        <v>36</v>
      </c>
      <c r="Q13" s="148">
        <v>1.00424139638017</v>
      </c>
      <c r="R13" s="148">
        <v>3.2109019279033399E-4</v>
      </c>
    </row>
    <row r="14" spans="1:18">
      <c r="A14" s="13">
        <v>301</v>
      </c>
      <c r="B14" s="13">
        <v>7211</v>
      </c>
      <c r="C14" s="18" t="s">
        <v>143</v>
      </c>
      <c r="D14" s="13" t="s">
        <v>144</v>
      </c>
      <c r="E14" s="18" t="s">
        <v>145</v>
      </c>
      <c r="F14" s="11" t="s">
        <v>30</v>
      </c>
      <c r="G14" s="11" t="s">
        <v>30</v>
      </c>
      <c r="H14" s="13" t="s">
        <v>139</v>
      </c>
      <c r="I14" s="13"/>
      <c r="J14" s="11" t="s">
        <v>34</v>
      </c>
      <c r="K14" s="156" t="s">
        <v>140</v>
      </c>
      <c r="L14" s="124">
        <v>-2.7530000000000001</v>
      </c>
      <c r="M14" s="149">
        <v>1</v>
      </c>
      <c r="N14" s="126">
        <v>-2.7530000000000001</v>
      </c>
      <c r="O14" s="13"/>
      <c r="P14" s="11" t="s">
        <v>36</v>
      </c>
      <c r="Q14" s="148">
        <v>-0.40318749139564802</v>
      </c>
      <c r="R14" s="148">
        <v>-1.28912779148044E-4</v>
      </c>
    </row>
  </sheetData>
  <sheetProtection formatColumns="0"/>
  <customSheetViews>
    <customSheetView guid="{AE318230-F718-49FC-82EB-7CAC3DCD05F1}" showGridLines="0" hiddenRows="1">
      <selection activeCell="K2" sqref="K2"/>
      <pageMargins left="0.7" right="0.7" top="0.75" bottom="0.75" header="0.3" footer="0.3"/>
      <pageSetup orientation="portrait"/>
    </customSheetView>
  </customSheetViews>
  <dataValidations count="5">
    <dataValidation type="list" allowBlank="1" showInputMessage="1" showErrorMessage="1" sqref="F2:F14" xr:uid="{00000000-0002-0000-1C00-000000000000}">
      <formula1>israel_abroad</formula1>
    </dataValidation>
    <dataValidation type="list" allowBlank="1" showInputMessage="1" showErrorMessage="1" sqref="H2:H14" xr:uid="{00000000-0002-0000-1C00-000001000000}">
      <formula1>Holding_interest</formula1>
    </dataValidation>
    <dataValidation type="list" allowBlank="1" showInputMessage="1" showErrorMessage="1" sqref="P2:P14" xr:uid="{00000000-0002-0000-1C00-000002000000}">
      <formula1>In_the_books</formula1>
    </dataValidation>
    <dataValidation type="list" allowBlank="1" showInputMessage="1" showErrorMessage="1" sqref="G2:G14" xr:uid="{00000000-0002-0000-1C00-000003000000}">
      <formula1>Country_list</formula1>
    </dataValidation>
    <dataValidation type="list" allowBlank="1" showInputMessage="1" showErrorMessage="1" sqref="E2:E14" xr:uid="{00000000-0002-0000-1C00-000004000000}">
      <formula1>other_investments</formula1>
    </dataValidation>
  </dataValidations>
  <pageMargins left="0.7" right="0.7" top="0.75" bottom="0.75" header="0.3" footer="0.3"/>
  <pageSetup orientation="portrait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 codeName="Sheet30"/>
  <dimension ref="A1:T11"/>
  <sheetViews>
    <sheetView rightToLeft="1" zoomScale="70" zoomScaleNormal="70" workbookViewId="0">
      <selection activeCell="A2" sqref="A2"/>
    </sheetView>
  </sheetViews>
  <sheetFormatPr defaultColWidth="0" defaultRowHeight="14.1" customHeight="1" zeroHeight="1"/>
  <cols>
    <col min="1" max="20" width="11.625" customWidth="1"/>
    <col min="21" max="22" width="0" hidden="1" customWidth="1"/>
  </cols>
  <sheetData>
    <row r="1" spans="1:20" ht="66.75" customHeight="1">
      <c r="A1" s="12" t="s">
        <v>0</v>
      </c>
      <c r="B1" s="12" t="s">
        <v>1</v>
      </c>
      <c r="C1" s="12" t="s">
        <v>120</v>
      </c>
      <c r="D1" s="12" t="s">
        <v>121</v>
      </c>
      <c r="E1" s="12" t="s">
        <v>122</v>
      </c>
      <c r="F1" s="12" t="s">
        <v>123</v>
      </c>
      <c r="G1" s="12" t="s">
        <v>124</v>
      </c>
      <c r="H1" s="12" t="s">
        <v>6</v>
      </c>
      <c r="I1" s="12" t="s">
        <v>7</v>
      </c>
      <c r="J1" s="12" t="s">
        <v>125</v>
      </c>
      <c r="K1" s="12" t="s">
        <v>9</v>
      </c>
      <c r="L1" s="12" t="s">
        <v>10</v>
      </c>
      <c r="M1" s="12" t="s">
        <v>126</v>
      </c>
      <c r="N1" s="12" t="s">
        <v>11</v>
      </c>
      <c r="O1" s="12" t="s">
        <v>18</v>
      </c>
      <c r="P1" s="120" t="s">
        <v>14</v>
      </c>
      <c r="Q1" s="12" t="s">
        <v>127</v>
      </c>
      <c r="R1" s="12" t="s">
        <v>128</v>
      </c>
      <c r="S1" s="12" t="s">
        <v>129</v>
      </c>
      <c r="T1" s="12" t="s">
        <v>130</v>
      </c>
    </row>
    <row r="10" spans="1:20" ht="13.5" hidden="1" customHeight="1"/>
    <row r="11" spans="1:20" ht="13.5" hidden="1" customHeight="1"/>
  </sheetData>
  <sheetProtection formatColumns="0"/>
  <dataConsolidate/>
  <customSheetViews>
    <customSheetView guid="{AE318230-F718-49FC-82EB-7CAC3DCD05F1}" showGridLines="0" hiddenRows="1">
      <selection activeCell="F2" sqref="F2"/>
      <pageMargins left="0.7" right="0.7" top="0.75" bottom="0.75" header="0.3" footer="0.3"/>
    </customSheetView>
  </customSheetViews>
  <pageMargins left="0.7" right="0.7" top="0.75" bottom="0.75" header="0.3" footer="0.3"/>
  <pageSetup paperSize="9" orientation="portrait" verticalDpi="0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 codeName="Sheet34"/>
  <dimension ref="A1:Q33"/>
  <sheetViews>
    <sheetView rightToLeft="1" zoomScale="70" zoomScaleNormal="70" workbookViewId="0">
      <selection activeCell="B24" sqref="B22:B24"/>
    </sheetView>
  </sheetViews>
  <sheetFormatPr defaultColWidth="0" defaultRowHeight="14.1" customHeight="1" zeroHeight="1"/>
  <cols>
    <col min="1" max="1" width="12.25" bestFit="1" customWidth="1"/>
    <col min="2" max="2" width="10.5" bestFit="1" customWidth="1"/>
    <col min="3" max="3" width="14.75" bestFit="1" customWidth="1"/>
    <col min="4" max="4" width="48" bestFit="1" customWidth="1"/>
    <col min="5" max="5" width="15.875" bestFit="1" customWidth="1"/>
    <col min="6" max="6" width="22.75" bestFit="1" customWidth="1"/>
    <col min="7" max="7" width="32.75" bestFit="1" customWidth="1"/>
    <col min="8" max="8" width="10.875" bestFit="1" customWidth="1"/>
    <col min="9" max="9" width="12.625" customWidth="1"/>
    <col min="10" max="10" width="11.25" bestFit="1" customWidth="1"/>
    <col min="11" max="11" width="11.375" bestFit="1" customWidth="1"/>
    <col min="12" max="12" width="18.75" bestFit="1" customWidth="1"/>
    <col min="13" max="13" width="14.75" bestFit="1" customWidth="1"/>
    <col min="14" max="14" width="18.75" bestFit="1" customWidth="1"/>
    <col min="15" max="15" width="14.375" bestFit="1" customWidth="1"/>
    <col min="16" max="16" width="11.375" bestFit="1" customWidth="1"/>
    <col min="17" max="17" width="11.5" bestFit="1" customWidth="1"/>
  </cols>
  <sheetData>
    <row r="1" spans="1:17" ht="66.75" customHeight="1">
      <c r="A1" s="12" t="s">
        <v>0</v>
      </c>
      <c r="B1" s="12" t="s">
        <v>1</v>
      </c>
      <c r="C1" s="12" t="s">
        <v>5</v>
      </c>
      <c r="D1" s="12" t="s">
        <v>199</v>
      </c>
      <c r="E1" s="12" t="s">
        <v>200</v>
      </c>
      <c r="F1" s="12" t="s">
        <v>201</v>
      </c>
      <c r="G1" s="12" t="s">
        <v>202</v>
      </c>
      <c r="H1" s="12" t="s">
        <v>203</v>
      </c>
      <c r="I1" s="12" t="s">
        <v>204</v>
      </c>
      <c r="J1" s="12" t="s">
        <v>11</v>
      </c>
      <c r="K1" s="12" t="s">
        <v>205</v>
      </c>
      <c r="L1" s="12" t="s">
        <v>206</v>
      </c>
      <c r="M1" s="12" t="s">
        <v>207</v>
      </c>
      <c r="N1" s="12" t="s">
        <v>208</v>
      </c>
      <c r="O1" s="12" t="s">
        <v>209</v>
      </c>
      <c r="P1" s="12" t="s">
        <v>210</v>
      </c>
      <c r="Q1" s="12" t="s">
        <v>211</v>
      </c>
    </row>
    <row r="2" spans="1:17" ht="14.1" customHeight="1">
      <c r="A2" s="168" t="s">
        <v>1301</v>
      </c>
      <c r="B2" s="168">
        <v>7210</v>
      </c>
      <c r="C2" s="168" t="s">
        <v>1107</v>
      </c>
      <c r="D2" s="168" t="s">
        <v>2403</v>
      </c>
      <c r="E2" s="168" t="s">
        <v>2404</v>
      </c>
      <c r="F2" s="169" t="s">
        <v>320</v>
      </c>
      <c r="G2" s="168" t="s">
        <v>2405</v>
      </c>
      <c r="H2" s="168">
        <v>9005010</v>
      </c>
      <c r="I2" s="169" t="s">
        <v>33</v>
      </c>
      <c r="J2" s="176" t="s">
        <v>1183</v>
      </c>
      <c r="K2" s="170">
        <v>44470</v>
      </c>
      <c r="L2" s="171">
        <v>1100000</v>
      </c>
      <c r="M2" s="172">
        <v>4176.0400000000009</v>
      </c>
      <c r="N2" s="173">
        <v>8250</v>
      </c>
      <c r="O2" s="171">
        <v>31.3203</v>
      </c>
      <c r="P2" s="174">
        <v>7.4999999999999997E-3</v>
      </c>
      <c r="Q2" s="170">
        <v>45732</v>
      </c>
    </row>
    <row r="3" spans="1:17" ht="14.1" customHeight="1">
      <c r="A3" s="168" t="s">
        <v>1301</v>
      </c>
      <c r="B3" s="168">
        <v>7210</v>
      </c>
      <c r="C3" s="168" t="s">
        <v>1107</v>
      </c>
      <c r="D3" s="168" t="s">
        <v>2406</v>
      </c>
      <c r="E3" s="168">
        <v>6858778</v>
      </c>
      <c r="F3" s="169" t="s">
        <v>320</v>
      </c>
      <c r="G3" s="168" t="s">
        <v>2407</v>
      </c>
      <c r="H3" s="168">
        <v>29994566</v>
      </c>
      <c r="I3" s="169" t="s">
        <v>33</v>
      </c>
      <c r="J3" s="176" t="s">
        <v>105</v>
      </c>
      <c r="K3" s="175">
        <v>45057</v>
      </c>
      <c r="L3" s="171">
        <v>1500000</v>
      </c>
      <c r="M3" s="172">
        <v>5470.5</v>
      </c>
      <c r="N3" s="173">
        <v>885701.04</v>
      </c>
      <c r="O3" s="171">
        <v>3230.1516928800002</v>
      </c>
      <c r="P3" s="174">
        <v>0.59046736</v>
      </c>
      <c r="Q3" s="170">
        <v>45747</v>
      </c>
    </row>
    <row r="4" spans="1:17" ht="13.5" customHeight="1">
      <c r="A4" s="168" t="s">
        <v>1301</v>
      </c>
      <c r="B4" s="168">
        <v>7210</v>
      </c>
      <c r="C4" s="168" t="s">
        <v>1107</v>
      </c>
      <c r="D4" s="168" t="s">
        <v>2408</v>
      </c>
      <c r="E4" s="168">
        <v>34250659</v>
      </c>
      <c r="F4" s="169" t="s">
        <v>320</v>
      </c>
      <c r="G4" s="168" t="s">
        <v>2408</v>
      </c>
      <c r="H4" s="168">
        <v>9213270</v>
      </c>
      <c r="I4" s="169" t="s">
        <v>33</v>
      </c>
      <c r="J4" s="176" t="s">
        <v>105</v>
      </c>
      <c r="K4" s="170">
        <v>44470</v>
      </c>
      <c r="L4" s="171">
        <v>1100000</v>
      </c>
      <c r="M4" s="172">
        <v>4011.7</v>
      </c>
      <c r="N4" s="173">
        <v>69222</v>
      </c>
      <c r="O4" s="171">
        <v>252.45263399999999</v>
      </c>
      <c r="P4" s="174">
        <v>6.2929090909090907E-2</v>
      </c>
      <c r="Q4" s="170">
        <v>45736</v>
      </c>
    </row>
    <row r="5" spans="1:17" ht="13.5" customHeight="1">
      <c r="A5" s="168" t="s">
        <v>1301</v>
      </c>
      <c r="B5" s="168">
        <v>7210</v>
      </c>
      <c r="C5" s="168" t="s">
        <v>1107</v>
      </c>
      <c r="D5" s="168" t="s">
        <v>2409</v>
      </c>
      <c r="E5" s="168" t="s">
        <v>2410</v>
      </c>
      <c r="F5" s="169" t="s">
        <v>320</v>
      </c>
      <c r="G5" s="168" t="s">
        <v>2200</v>
      </c>
      <c r="H5" s="168">
        <v>29994474</v>
      </c>
      <c r="I5" s="169" t="s">
        <v>33</v>
      </c>
      <c r="J5" s="176" t="s">
        <v>105</v>
      </c>
      <c r="K5" s="170">
        <v>44470</v>
      </c>
      <c r="L5" s="171">
        <v>2500000</v>
      </c>
      <c r="M5" s="172">
        <v>9117.5</v>
      </c>
      <c r="N5" s="173">
        <v>918568</v>
      </c>
      <c r="O5" s="171">
        <v>3350.0174959999999</v>
      </c>
      <c r="P5" s="174">
        <v>0.36742720000000001</v>
      </c>
      <c r="Q5" s="170">
        <v>46661</v>
      </c>
    </row>
    <row r="6" spans="1:17" ht="14.1" customHeight="1">
      <c r="A6" s="168" t="s">
        <v>1301</v>
      </c>
      <c r="B6" s="168">
        <v>7210</v>
      </c>
      <c r="C6" s="168" t="s">
        <v>1107</v>
      </c>
      <c r="D6" s="168" t="s">
        <v>2411</v>
      </c>
      <c r="E6" s="168" t="s">
        <v>2412</v>
      </c>
      <c r="F6" s="169" t="s">
        <v>320</v>
      </c>
      <c r="G6" s="168" t="s">
        <v>2413</v>
      </c>
      <c r="H6" s="168">
        <v>29994325</v>
      </c>
      <c r="I6" s="169" t="s">
        <v>33</v>
      </c>
      <c r="J6" s="176" t="s">
        <v>1183</v>
      </c>
      <c r="K6" s="170">
        <v>44470</v>
      </c>
      <c r="L6" s="171">
        <v>2000000</v>
      </c>
      <c r="M6" s="172">
        <v>7592.8</v>
      </c>
      <c r="N6" s="173">
        <v>321594.13</v>
      </c>
      <c r="O6" s="171">
        <v>1220.8999551319998</v>
      </c>
      <c r="P6" s="174">
        <v>0.16079706499999999</v>
      </c>
      <c r="Q6" s="170">
        <v>46611</v>
      </c>
    </row>
    <row r="7" spans="1:17" ht="14.1" customHeight="1">
      <c r="A7" s="168" t="s">
        <v>1301</v>
      </c>
      <c r="B7" s="168">
        <v>7210</v>
      </c>
      <c r="C7" s="168" t="s">
        <v>1107</v>
      </c>
      <c r="D7" s="168" t="s">
        <v>2414</v>
      </c>
      <c r="E7" s="168">
        <v>514057074</v>
      </c>
      <c r="F7" s="169" t="s">
        <v>319</v>
      </c>
      <c r="G7" s="168" t="s">
        <v>2415</v>
      </c>
      <c r="H7" s="168">
        <v>9203620</v>
      </c>
      <c r="I7" s="169" t="s">
        <v>33</v>
      </c>
      <c r="J7" s="176" t="s">
        <v>105</v>
      </c>
      <c r="K7" s="170">
        <v>44470</v>
      </c>
      <c r="L7" s="171">
        <v>1200000</v>
      </c>
      <c r="M7" s="172">
        <v>4376.3999999999996</v>
      </c>
      <c r="N7" s="173">
        <v>220134</v>
      </c>
      <c r="O7" s="171">
        <v>802.82869800000003</v>
      </c>
      <c r="P7" s="174">
        <v>0.183445</v>
      </c>
      <c r="Q7" s="170">
        <v>46022</v>
      </c>
    </row>
    <row r="8" spans="1:17" ht="14.1" customHeight="1">
      <c r="A8" s="168" t="s">
        <v>1301</v>
      </c>
      <c r="B8" s="168">
        <v>7210</v>
      </c>
      <c r="C8" s="168" t="s">
        <v>1107</v>
      </c>
      <c r="D8" s="168" t="s">
        <v>2416</v>
      </c>
      <c r="E8" s="168">
        <v>515371482</v>
      </c>
      <c r="F8" s="169" t="s">
        <v>319</v>
      </c>
      <c r="G8" s="168" t="s">
        <v>2417</v>
      </c>
      <c r="H8" s="168">
        <v>71040</v>
      </c>
      <c r="I8" s="169" t="s">
        <v>33</v>
      </c>
      <c r="J8" s="176" t="s">
        <v>105</v>
      </c>
      <c r="K8" s="170">
        <v>44470</v>
      </c>
      <c r="L8" s="171">
        <v>1275000</v>
      </c>
      <c r="M8" s="172">
        <v>4649.9250000000002</v>
      </c>
      <c r="N8" s="173">
        <v>136775</v>
      </c>
      <c r="O8" s="171">
        <v>498.81842499999999</v>
      </c>
      <c r="P8" s="174">
        <v>0.10727450980392157</v>
      </c>
      <c r="Q8" s="170">
        <v>46022</v>
      </c>
    </row>
    <row r="9" spans="1:17" ht="14.1" customHeight="1">
      <c r="A9" s="168" t="s">
        <v>1301</v>
      </c>
      <c r="B9" s="168">
        <v>7210</v>
      </c>
      <c r="C9" s="168" t="s">
        <v>1107</v>
      </c>
      <c r="D9" s="168" t="s">
        <v>2418</v>
      </c>
      <c r="E9" s="168" t="s">
        <v>2419</v>
      </c>
      <c r="F9" s="169" t="s">
        <v>320</v>
      </c>
      <c r="G9" s="168" t="s">
        <v>2420</v>
      </c>
      <c r="H9" s="168">
        <v>7522</v>
      </c>
      <c r="I9" s="169" t="s">
        <v>33</v>
      </c>
      <c r="J9" s="176" t="s">
        <v>105</v>
      </c>
      <c r="K9" s="170">
        <v>44470</v>
      </c>
      <c r="L9" s="171">
        <v>500000</v>
      </c>
      <c r="M9" s="172">
        <v>1823.5</v>
      </c>
      <c r="N9" s="173">
        <v>11250</v>
      </c>
      <c r="O9" s="171">
        <v>41.028750000000002</v>
      </c>
      <c r="P9" s="174">
        <v>2.2499999999999999E-2</v>
      </c>
      <c r="Q9" s="170">
        <v>46111</v>
      </c>
    </row>
    <row r="10" spans="1:17" ht="14.1" customHeight="1">
      <c r="A10" s="168" t="s">
        <v>1301</v>
      </c>
      <c r="B10" s="168">
        <v>7210</v>
      </c>
      <c r="C10" s="168" t="s">
        <v>1107</v>
      </c>
      <c r="D10" s="168" t="s">
        <v>2421</v>
      </c>
      <c r="E10" s="168" t="s">
        <v>2422</v>
      </c>
      <c r="F10" s="169" t="s">
        <v>320</v>
      </c>
      <c r="G10" s="168" t="s">
        <v>2423</v>
      </c>
      <c r="H10" s="168">
        <v>29993440</v>
      </c>
      <c r="I10" s="169" t="s">
        <v>33</v>
      </c>
      <c r="J10" s="176" t="s">
        <v>105</v>
      </c>
      <c r="K10" s="170">
        <v>44470</v>
      </c>
      <c r="L10" s="171">
        <v>4000000</v>
      </c>
      <c r="M10" s="172">
        <v>14588</v>
      </c>
      <c r="N10" s="173">
        <v>853881</v>
      </c>
      <c r="O10" s="171">
        <v>3114.1040070000004</v>
      </c>
      <c r="P10" s="174">
        <v>0.21347025</v>
      </c>
      <c r="Q10" s="170">
        <v>47238</v>
      </c>
    </row>
    <row r="11" spans="1:17" ht="14.1" customHeight="1">
      <c r="A11" s="168" t="s">
        <v>1301</v>
      </c>
      <c r="B11" s="168">
        <v>7210</v>
      </c>
      <c r="C11" s="168" t="s">
        <v>1107</v>
      </c>
      <c r="D11" s="168" t="s">
        <v>2424</v>
      </c>
      <c r="E11" s="168">
        <v>6196719</v>
      </c>
      <c r="F11" s="169" t="s">
        <v>320</v>
      </c>
      <c r="G11" s="168" t="s">
        <v>2210</v>
      </c>
      <c r="H11" s="168">
        <v>29999808</v>
      </c>
      <c r="I11" s="169" t="s">
        <v>33</v>
      </c>
      <c r="J11" s="176" t="s">
        <v>105</v>
      </c>
      <c r="K11" s="170">
        <v>45119</v>
      </c>
      <c r="L11" s="171">
        <v>1500000</v>
      </c>
      <c r="M11" s="172">
        <v>5470.5</v>
      </c>
      <c r="N11" s="173">
        <v>225000</v>
      </c>
      <c r="O11" s="171">
        <v>820.57500000000005</v>
      </c>
      <c r="P11" s="174">
        <v>0.15</v>
      </c>
      <c r="Q11" s="170">
        <v>46203</v>
      </c>
    </row>
    <row r="12" spans="1:17" ht="14.1" customHeight="1">
      <c r="A12" s="168" t="s">
        <v>1301</v>
      </c>
      <c r="B12" s="168">
        <v>7210</v>
      </c>
      <c r="C12" s="168" t="s">
        <v>1107</v>
      </c>
      <c r="D12" s="168" t="s">
        <v>2425</v>
      </c>
      <c r="E12" s="168" t="s">
        <v>2426</v>
      </c>
      <c r="F12" s="169" t="s">
        <v>320</v>
      </c>
      <c r="G12" s="168" t="s">
        <v>2427</v>
      </c>
      <c r="H12" s="168">
        <v>29994342</v>
      </c>
      <c r="I12" s="169" t="s">
        <v>33</v>
      </c>
      <c r="J12" s="176" t="s">
        <v>105</v>
      </c>
      <c r="K12" s="170">
        <v>44470</v>
      </c>
      <c r="L12" s="171">
        <v>2000000</v>
      </c>
      <c r="M12" s="172">
        <v>7294</v>
      </c>
      <c r="N12" s="173">
        <v>262000</v>
      </c>
      <c r="O12" s="171">
        <v>955.51400000000001</v>
      </c>
      <c r="P12" s="174">
        <v>0.13100000000000001</v>
      </c>
      <c r="Q12" s="170">
        <v>48030</v>
      </c>
    </row>
    <row r="13" spans="1:17" ht="14.1" customHeight="1">
      <c r="A13" s="168" t="s">
        <v>1301</v>
      </c>
      <c r="B13" s="168">
        <v>7210</v>
      </c>
      <c r="C13" s="168" t="s">
        <v>1107</v>
      </c>
      <c r="D13" s="168" t="s">
        <v>2428</v>
      </c>
      <c r="E13" s="168" t="s">
        <v>2429</v>
      </c>
      <c r="F13" s="169" t="s">
        <v>320</v>
      </c>
      <c r="G13" s="168" t="s">
        <v>2430</v>
      </c>
      <c r="H13" s="168">
        <v>7530</v>
      </c>
      <c r="I13" s="169" t="s">
        <v>33</v>
      </c>
      <c r="J13" s="176" t="s">
        <v>105</v>
      </c>
      <c r="K13" s="170">
        <v>44470</v>
      </c>
      <c r="L13" s="171">
        <v>2500000</v>
      </c>
      <c r="M13" s="172">
        <v>9117.5</v>
      </c>
      <c r="N13" s="173">
        <v>423750</v>
      </c>
      <c r="O13" s="171">
        <v>1545.41625</v>
      </c>
      <c r="P13" s="174">
        <v>0.16950000000000001</v>
      </c>
      <c r="Q13" s="170">
        <v>47938</v>
      </c>
    </row>
    <row r="14" spans="1:17" ht="14.1" customHeight="1">
      <c r="A14" s="168" t="s">
        <v>1301</v>
      </c>
      <c r="B14" s="168">
        <v>7210</v>
      </c>
      <c r="C14" s="168" t="s">
        <v>1107</v>
      </c>
      <c r="D14" s="168" t="s">
        <v>2431</v>
      </c>
      <c r="E14" s="168" t="s">
        <v>2232</v>
      </c>
      <c r="F14" s="169" t="s">
        <v>320</v>
      </c>
      <c r="G14" s="168" t="s">
        <v>2432</v>
      </c>
      <c r="H14" s="168">
        <v>620019915</v>
      </c>
      <c r="I14" s="169" t="s">
        <v>33</v>
      </c>
      <c r="J14" s="176" t="s">
        <v>105</v>
      </c>
      <c r="K14" s="170">
        <v>45047</v>
      </c>
      <c r="L14" s="171">
        <v>1200000</v>
      </c>
      <c r="M14" s="172">
        <v>4376.3999999999996</v>
      </c>
      <c r="N14" s="173">
        <v>492014</v>
      </c>
      <c r="O14" s="171">
        <v>1794.3750579999999</v>
      </c>
      <c r="P14" s="174">
        <v>0.41001166666666666</v>
      </c>
      <c r="Q14" s="170">
        <v>46310</v>
      </c>
    </row>
    <row r="15" spans="1:17" ht="14.1" customHeight="1">
      <c r="A15" s="168" t="s">
        <v>1301</v>
      </c>
      <c r="B15" s="168">
        <v>7210</v>
      </c>
      <c r="C15" s="168" t="s">
        <v>1107</v>
      </c>
      <c r="D15" s="168" t="s">
        <v>2433</v>
      </c>
      <c r="E15" s="168" t="s">
        <v>2434</v>
      </c>
      <c r="F15" s="168" t="s">
        <v>320</v>
      </c>
      <c r="G15" s="168" t="s">
        <v>2435</v>
      </c>
      <c r="H15" s="168">
        <v>29994542</v>
      </c>
      <c r="I15" s="168" t="s">
        <v>33</v>
      </c>
      <c r="J15" s="176" t="s">
        <v>1185</v>
      </c>
      <c r="K15" s="170">
        <v>44470</v>
      </c>
      <c r="L15" s="171">
        <v>1800000</v>
      </c>
      <c r="M15" s="172">
        <v>8233.74</v>
      </c>
      <c r="N15" s="173">
        <v>1446236</v>
      </c>
      <c r="O15" s="171">
        <v>6615.5173348000008</v>
      </c>
      <c r="P15" s="174">
        <v>0.80346444444444443</v>
      </c>
      <c r="Q15" s="170">
        <v>45939</v>
      </c>
    </row>
    <row r="16" spans="1:17" ht="14.1" customHeight="1">
      <c r="A16" s="168" t="s">
        <v>1301</v>
      </c>
      <c r="B16" s="168">
        <v>7210</v>
      </c>
      <c r="C16" s="168" t="s">
        <v>1107</v>
      </c>
      <c r="D16" s="168" t="s">
        <v>2436</v>
      </c>
      <c r="E16" s="168">
        <v>7515244</v>
      </c>
      <c r="F16" s="168" t="s">
        <v>320</v>
      </c>
      <c r="G16" s="168" t="s">
        <v>2437</v>
      </c>
      <c r="H16" s="168">
        <v>29993617</v>
      </c>
      <c r="I16" s="168" t="s">
        <v>33</v>
      </c>
      <c r="J16" s="176" t="s">
        <v>105</v>
      </c>
      <c r="K16" s="170">
        <v>44470</v>
      </c>
      <c r="L16" s="171">
        <v>179130</v>
      </c>
      <c r="M16" s="172">
        <v>653.28710999999998</v>
      </c>
      <c r="N16" s="173">
        <v>51052</v>
      </c>
      <c r="O16" s="171">
        <v>186.186644</v>
      </c>
      <c r="P16" s="174">
        <v>0.28499972087310893</v>
      </c>
      <c r="Q16" s="170">
        <v>47118</v>
      </c>
    </row>
    <row r="17" spans="1:17" ht="14.1" customHeight="1">
      <c r="A17" s="168" t="s">
        <v>1301</v>
      </c>
      <c r="B17" s="168">
        <v>7210</v>
      </c>
      <c r="C17" s="168" t="s">
        <v>1107</v>
      </c>
      <c r="D17" s="168" t="s">
        <v>2438</v>
      </c>
      <c r="E17" s="168">
        <v>550266258</v>
      </c>
      <c r="F17" s="168" t="s">
        <v>319</v>
      </c>
      <c r="G17" s="168" t="s">
        <v>2439</v>
      </c>
      <c r="H17" s="168">
        <v>7075</v>
      </c>
      <c r="I17" s="168" t="s">
        <v>33</v>
      </c>
      <c r="J17" s="176" t="s">
        <v>105</v>
      </c>
      <c r="K17" s="170">
        <v>44470</v>
      </c>
      <c r="L17" s="171">
        <v>1074780</v>
      </c>
      <c r="M17" s="172">
        <v>3919.7226599999999</v>
      </c>
      <c r="N17" s="173">
        <v>75234</v>
      </c>
      <c r="O17" s="171">
        <v>274.378398</v>
      </c>
      <c r="P17" s="174">
        <v>6.9999441746217833E-2</v>
      </c>
      <c r="Q17" s="170">
        <v>47118</v>
      </c>
    </row>
    <row r="18" spans="1:17" ht="14.1" customHeight="1">
      <c r="A18" s="168" t="s">
        <v>1301</v>
      </c>
      <c r="B18" s="168">
        <v>7210</v>
      </c>
      <c r="C18" s="168" t="s">
        <v>1107</v>
      </c>
      <c r="D18" s="168" t="s">
        <v>2440</v>
      </c>
      <c r="E18" s="168" t="s">
        <v>2441</v>
      </c>
      <c r="F18" s="168" t="s">
        <v>320</v>
      </c>
      <c r="G18" s="168" t="s">
        <v>2442</v>
      </c>
      <c r="H18" s="168">
        <v>7538</v>
      </c>
      <c r="I18" s="168" t="s">
        <v>33</v>
      </c>
      <c r="J18" s="176" t="s">
        <v>105</v>
      </c>
      <c r="K18" s="170">
        <v>44470</v>
      </c>
      <c r="L18" s="171">
        <v>268695</v>
      </c>
      <c r="M18" s="172">
        <v>979.93066499999998</v>
      </c>
      <c r="N18" s="173">
        <v>26870</v>
      </c>
      <c r="O18" s="171">
        <v>97.994889999999998</v>
      </c>
      <c r="P18" s="174">
        <v>0.10000186084594057</v>
      </c>
      <c r="Q18" s="170">
        <v>46873</v>
      </c>
    </row>
    <row r="19" spans="1:17" ht="14.1" customHeight="1">
      <c r="A19" s="168" t="s">
        <v>1301</v>
      </c>
      <c r="B19" s="168">
        <v>7210</v>
      </c>
      <c r="C19" s="168" t="s">
        <v>1107</v>
      </c>
      <c r="D19" s="168" t="s">
        <v>2443</v>
      </c>
      <c r="E19" s="168" t="s">
        <v>2444</v>
      </c>
      <c r="F19" s="168" t="s">
        <v>320</v>
      </c>
      <c r="G19" s="168" t="s">
        <v>2445</v>
      </c>
      <c r="H19" s="168">
        <v>75741</v>
      </c>
      <c r="I19" s="168" t="s">
        <v>33</v>
      </c>
      <c r="J19" s="176" t="s">
        <v>105</v>
      </c>
      <c r="K19" s="170">
        <v>44470</v>
      </c>
      <c r="L19" s="171">
        <v>2000000</v>
      </c>
      <c r="M19" s="172">
        <v>7294</v>
      </c>
      <c r="N19" s="173">
        <v>60000</v>
      </c>
      <c r="O19" s="171">
        <v>218.82</v>
      </c>
      <c r="P19" s="174">
        <v>0.03</v>
      </c>
      <c r="Q19" s="170">
        <v>48060</v>
      </c>
    </row>
    <row r="20" spans="1:17" ht="14.1" customHeight="1">
      <c r="A20" s="168" t="s">
        <v>1301</v>
      </c>
      <c r="B20" s="168">
        <v>7210</v>
      </c>
      <c r="C20" s="168" t="s">
        <v>1107</v>
      </c>
      <c r="D20" s="168" t="s">
        <v>2446</v>
      </c>
      <c r="E20" s="168" t="s">
        <v>2447</v>
      </c>
      <c r="F20" s="168" t="s">
        <v>320</v>
      </c>
      <c r="G20" s="168" t="s">
        <v>2250</v>
      </c>
      <c r="H20" s="168">
        <v>29994470</v>
      </c>
      <c r="I20" s="168" t="s">
        <v>33</v>
      </c>
      <c r="J20" s="176" t="s">
        <v>105</v>
      </c>
      <c r="K20" s="170">
        <v>44620</v>
      </c>
      <c r="L20" s="171">
        <v>1300000</v>
      </c>
      <c r="M20" s="172">
        <v>4741.1000000000004</v>
      </c>
      <c r="N20" s="173">
        <v>744250</v>
      </c>
      <c r="O20" s="171">
        <v>2714.2797500000001</v>
      </c>
      <c r="P20" s="174">
        <v>0.57250000000000001</v>
      </c>
      <c r="Q20" s="170">
        <v>46117</v>
      </c>
    </row>
    <row r="21" spans="1:17" ht="14.1" customHeight="1">
      <c r="A21" s="168" t="s">
        <v>1301</v>
      </c>
      <c r="B21" s="168">
        <v>7210</v>
      </c>
      <c r="C21" s="168" t="s">
        <v>1107</v>
      </c>
      <c r="D21" s="168" t="s">
        <v>2448</v>
      </c>
      <c r="E21" s="168">
        <v>515750941</v>
      </c>
      <c r="F21" s="168" t="s">
        <v>318</v>
      </c>
      <c r="G21" s="168" t="s">
        <v>2449</v>
      </c>
      <c r="H21" s="168">
        <v>29993334</v>
      </c>
      <c r="I21" s="168" t="s">
        <v>33</v>
      </c>
      <c r="J21" s="176" t="s">
        <v>105</v>
      </c>
      <c r="K21" s="170">
        <v>44470</v>
      </c>
      <c r="L21" s="171">
        <v>700000</v>
      </c>
      <c r="M21" s="172">
        <v>2552.9</v>
      </c>
      <c r="N21" s="173">
        <v>26250</v>
      </c>
      <c r="O21" s="171">
        <v>95.733750000000001</v>
      </c>
      <c r="P21" s="174">
        <v>3.7499999999999999E-2</v>
      </c>
      <c r="Q21" s="170">
        <v>45291</v>
      </c>
    </row>
    <row r="22" spans="1:17" ht="14.1" customHeight="1">
      <c r="A22" s="168" t="s">
        <v>1301</v>
      </c>
      <c r="B22" s="168">
        <v>7210</v>
      </c>
      <c r="C22" s="168" t="s">
        <v>1107</v>
      </c>
      <c r="D22" s="168" t="s">
        <v>2450</v>
      </c>
      <c r="E22" s="168">
        <v>550231526</v>
      </c>
      <c r="F22" s="168" t="s">
        <v>319</v>
      </c>
      <c r="G22" s="168" t="s">
        <v>2451</v>
      </c>
      <c r="H22" s="168">
        <v>9220210</v>
      </c>
      <c r="I22" s="168" t="s">
        <v>33</v>
      </c>
      <c r="J22" s="176" t="s">
        <v>105</v>
      </c>
      <c r="K22" s="170">
        <v>44470</v>
      </c>
      <c r="L22" s="171">
        <v>691000</v>
      </c>
      <c r="M22" s="172">
        <v>2520.0770000000002</v>
      </c>
      <c r="N22" s="173">
        <v>41460</v>
      </c>
      <c r="O22" s="171">
        <v>151.20462000000001</v>
      </c>
      <c r="P22" s="174">
        <v>0.06</v>
      </c>
      <c r="Q22" s="170">
        <v>45961</v>
      </c>
    </row>
    <row r="23" spans="1:17" ht="14.1" customHeight="1">
      <c r="A23" s="168" t="s">
        <v>1301</v>
      </c>
      <c r="B23" s="168">
        <v>7210</v>
      </c>
      <c r="C23" s="168" t="s">
        <v>1107</v>
      </c>
      <c r="D23" s="168" t="s">
        <v>2452</v>
      </c>
      <c r="E23" s="168">
        <v>530243591</v>
      </c>
      <c r="F23" s="168" t="s">
        <v>318</v>
      </c>
      <c r="G23" s="168" t="s">
        <v>2453</v>
      </c>
      <c r="H23" s="168">
        <v>72351</v>
      </c>
      <c r="I23" s="168" t="s">
        <v>33</v>
      </c>
      <c r="J23" s="176" t="s">
        <v>105</v>
      </c>
      <c r="K23" s="170">
        <v>44470</v>
      </c>
      <c r="L23" s="171">
        <v>1000000</v>
      </c>
      <c r="M23" s="172">
        <v>3647</v>
      </c>
      <c r="N23" s="173">
        <v>45000</v>
      </c>
      <c r="O23" s="171">
        <v>164.11500000000001</v>
      </c>
      <c r="P23" s="174">
        <v>4.4999999999999998E-2</v>
      </c>
      <c r="Q23" s="170">
        <v>45809</v>
      </c>
    </row>
    <row r="24" spans="1:17" ht="14.1" customHeight="1">
      <c r="A24" s="168" t="s">
        <v>1301</v>
      </c>
      <c r="B24" s="168">
        <v>7210</v>
      </c>
      <c r="C24" s="168" t="s">
        <v>1107</v>
      </c>
      <c r="D24" s="168" t="s">
        <v>2454</v>
      </c>
      <c r="E24" s="168">
        <v>515527968</v>
      </c>
      <c r="F24" s="168" t="s">
        <v>318</v>
      </c>
      <c r="G24" s="168" t="s">
        <v>2455</v>
      </c>
      <c r="H24" s="168">
        <v>7371</v>
      </c>
      <c r="I24" s="168" t="s">
        <v>33</v>
      </c>
      <c r="J24" s="176" t="s">
        <v>1183</v>
      </c>
      <c r="K24" s="170">
        <v>44470</v>
      </c>
      <c r="L24" s="171">
        <v>1400000</v>
      </c>
      <c r="M24" s="172">
        <v>5314.96</v>
      </c>
      <c r="N24" s="173">
        <v>21595</v>
      </c>
      <c r="O24" s="171">
        <v>81.983258000000006</v>
      </c>
      <c r="P24" s="174">
        <v>1.5424999999999999E-2</v>
      </c>
      <c r="Q24" s="170">
        <v>45869</v>
      </c>
    </row>
    <row r="25" spans="1:17" ht="14.1" customHeight="1">
      <c r="A25" s="168" t="s">
        <v>1301</v>
      </c>
      <c r="B25" s="168">
        <v>7210</v>
      </c>
      <c r="C25" s="168" t="s">
        <v>1107</v>
      </c>
      <c r="D25" s="168" t="s">
        <v>2456</v>
      </c>
      <c r="E25" s="168">
        <v>550270912</v>
      </c>
      <c r="F25" s="168" t="s">
        <v>319</v>
      </c>
      <c r="G25" s="168" t="s">
        <v>2457</v>
      </c>
      <c r="H25" s="168">
        <v>7381</v>
      </c>
      <c r="I25" s="168" t="s">
        <v>33</v>
      </c>
      <c r="J25" s="176" t="s">
        <v>34</v>
      </c>
      <c r="K25" s="170">
        <v>44470</v>
      </c>
      <c r="L25" s="171">
        <v>2100000</v>
      </c>
      <c r="M25" s="172">
        <v>2100</v>
      </c>
      <c r="N25" s="173">
        <v>1989574</v>
      </c>
      <c r="O25" s="171">
        <v>1989.5740000000001</v>
      </c>
      <c r="P25" s="174">
        <v>0.94741619047619052</v>
      </c>
      <c r="Q25" s="170">
        <v>46996</v>
      </c>
    </row>
    <row r="26" spans="1:17" ht="14.1" customHeight="1">
      <c r="A26" s="168" t="s">
        <v>1301</v>
      </c>
      <c r="B26" s="168">
        <v>7210</v>
      </c>
      <c r="C26" s="168" t="s">
        <v>1107</v>
      </c>
      <c r="D26" s="168" t="s">
        <v>2458</v>
      </c>
      <c r="E26" s="168">
        <v>515366425</v>
      </c>
      <c r="F26" s="168" t="s">
        <v>318</v>
      </c>
      <c r="G26" s="168" t="s">
        <v>2459</v>
      </c>
      <c r="H26" s="168">
        <v>70860</v>
      </c>
      <c r="I26" s="168" t="s">
        <v>33</v>
      </c>
      <c r="J26" s="176" t="s">
        <v>34</v>
      </c>
      <c r="K26" s="170">
        <v>44470</v>
      </c>
      <c r="L26" s="171">
        <v>3900000</v>
      </c>
      <c r="M26" s="172">
        <v>3900</v>
      </c>
      <c r="N26" s="173">
        <v>1688890</v>
      </c>
      <c r="O26" s="171">
        <v>1688.89</v>
      </c>
      <c r="P26" s="174">
        <v>0.43304871794871796</v>
      </c>
      <c r="Q26" s="170">
        <v>45731</v>
      </c>
    </row>
    <row r="27" spans="1:17" ht="14.1" customHeight="1">
      <c r="A27" s="168" t="s">
        <v>1301</v>
      </c>
      <c r="B27" s="168">
        <v>7210</v>
      </c>
      <c r="C27" s="168" t="s">
        <v>1107</v>
      </c>
      <c r="D27" s="168" t="s">
        <v>2460</v>
      </c>
      <c r="E27" s="168">
        <v>122477</v>
      </c>
      <c r="F27" s="168" t="s">
        <v>319</v>
      </c>
      <c r="G27" s="168" t="s">
        <v>2460</v>
      </c>
      <c r="H27" s="168">
        <v>6302</v>
      </c>
      <c r="I27" s="168" t="s">
        <v>33</v>
      </c>
      <c r="J27" s="176" t="s">
        <v>1183</v>
      </c>
      <c r="K27" s="170">
        <v>44470</v>
      </c>
      <c r="L27" s="171">
        <v>500000</v>
      </c>
      <c r="M27" s="172">
        <v>1898.2</v>
      </c>
      <c r="N27" s="173">
        <v>45000</v>
      </c>
      <c r="O27" s="171">
        <v>170.83799999999999</v>
      </c>
      <c r="P27" s="174">
        <v>0.09</v>
      </c>
      <c r="Q27" s="170">
        <v>45992</v>
      </c>
    </row>
    <row r="28" spans="1:17" ht="14.1" customHeight="1">
      <c r="A28" s="168" t="s">
        <v>1301</v>
      </c>
      <c r="B28" s="168">
        <v>7210</v>
      </c>
      <c r="C28" s="168" t="s">
        <v>1107</v>
      </c>
      <c r="D28" s="168" t="s">
        <v>2461</v>
      </c>
      <c r="E28" s="168" t="s">
        <v>2462</v>
      </c>
      <c r="F28" s="168" t="s">
        <v>320</v>
      </c>
      <c r="G28" s="168" t="s">
        <v>2463</v>
      </c>
      <c r="H28" s="168">
        <v>29993409</v>
      </c>
      <c r="I28" s="168" t="s">
        <v>33</v>
      </c>
      <c r="J28" s="176" t="s">
        <v>1183</v>
      </c>
      <c r="K28" s="170">
        <v>44470</v>
      </c>
      <c r="L28" s="171">
        <v>2000000</v>
      </c>
      <c r="M28" s="172">
        <v>7592.8</v>
      </c>
      <c r="N28" s="173">
        <v>678299.49</v>
      </c>
      <c r="O28" s="171">
        <v>2575.0961838359999</v>
      </c>
      <c r="P28" s="174">
        <v>0.339149745</v>
      </c>
      <c r="Q28" s="170">
        <v>45961</v>
      </c>
    </row>
    <row r="29" spans="1:17" ht="14.1" customHeight="1">
      <c r="A29" s="168" t="s">
        <v>1301</v>
      </c>
      <c r="B29" s="168">
        <v>7210</v>
      </c>
      <c r="C29" s="168" t="s">
        <v>1107</v>
      </c>
      <c r="D29" s="168" t="s">
        <v>2464</v>
      </c>
      <c r="E29" s="168" t="s">
        <v>2465</v>
      </c>
      <c r="F29" s="168" t="s">
        <v>320</v>
      </c>
      <c r="G29" s="168" t="s">
        <v>2466</v>
      </c>
      <c r="H29" s="168">
        <v>75590</v>
      </c>
      <c r="I29" s="168" t="s">
        <v>33</v>
      </c>
      <c r="J29" s="176" t="s">
        <v>1183</v>
      </c>
      <c r="K29" s="170">
        <v>44470</v>
      </c>
      <c r="L29" s="171">
        <v>1350000</v>
      </c>
      <c r="M29" s="172">
        <v>5125.1400000000003</v>
      </c>
      <c r="N29" s="173">
        <v>245491.43</v>
      </c>
      <c r="O29" s="171">
        <v>931.98366485199995</v>
      </c>
      <c r="P29" s="174">
        <v>0.1818455037037037</v>
      </c>
      <c r="Q29" s="170">
        <v>46965</v>
      </c>
    </row>
    <row r="30" spans="1:17" ht="14.1" customHeight="1">
      <c r="A30" s="168" t="s">
        <v>1301</v>
      </c>
      <c r="B30" s="168">
        <v>7210</v>
      </c>
      <c r="C30" s="168" t="s">
        <v>1107</v>
      </c>
      <c r="D30" s="168" t="s">
        <v>2467</v>
      </c>
      <c r="E30" s="168">
        <v>12787</v>
      </c>
      <c r="F30" s="168" t="s">
        <v>320</v>
      </c>
      <c r="G30" s="168" t="s">
        <v>2467</v>
      </c>
      <c r="H30" s="168">
        <v>29993319</v>
      </c>
      <c r="I30" s="168" t="s">
        <v>33</v>
      </c>
      <c r="J30" s="176" t="s">
        <v>105</v>
      </c>
      <c r="K30" s="170">
        <v>44470</v>
      </c>
      <c r="L30" s="171">
        <v>1350000</v>
      </c>
      <c r="M30" s="172">
        <v>4923.45</v>
      </c>
      <c r="N30" s="173">
        <v>353390</v>
      </c>
      <c r="O30" s="171">
        <v>1288.8133300000002</v>
      </c>
      <c r="P30" s="174">
        <v>0.26177037037037038</v>
      </c>
      <c r="Q30" s="170">
        <v>47149</v>
      </c>
    </row>
    <row r="31" spans="1:17" ht="14.1" customHeight="1">
      <c r="A31" s="168" t="s">
        <v>1301</v>
      </c>
      <c r="B31" s="168">
        <v>7210</v>
      </c>
      <c r="C31" s="168" t="s">
        <v>1107</v>
      </c>
      <c r="D31" s="168" t="s">
        <v>2468</v>
      </c>
      <c r="E31" s="168" t="s">
        <v>2469</v>
      </c>
      <c r="F31" s="168" t="s">
        <v>320</v>
      </c>
      <c r="G31" s="168" t="s">
        <v>2470</v>
      </c>
      <c r="H31" s="168">
        <v>29993575</v>
      </c>
      <c r="I31" s="168" t="s">
        <v>33</v>
      </c>
      <c r="J31" s="176" t="s">
        <v>34</v>
      </c>
      <c r="K31" s="170">
        <v>44470</v>
      </c>
      <c r="L31" s="171">
        <v>10000000</v>
      </c>
      <c r="M31" s="172">
        <v>10000</v>
      </c>
      <c r="N31" s="173">
        <v>1604346</v>
      </c>
      <c r="O31" s="171">
        <v>1604.346</v>
      </c>
      <c r="P31" s="174">
        <v>0.16043460000000001</v>
      </c>
      <c r="Q31" s="170">
        <v>46691</v>
      </c>
    </row>
    <row r="32" spans="1:17" ht="14.1" customHeight="1">
      <c r="A32" s="168" t="s">
        <v>1301</v>
      </c>
      <c r="B32" s="168">
        <v>7210</v>
      </c>
      <c r="C32" s="168" t="s">
        <v>1107</v>
      </c>
      <c r="D32" s="168" t="s">
        <v>2471</v>
      </c>
      <c r="E32" s="168" t="s">
        <v>2472</v>
      </c>
      <c r="F32" s="168" t="s">
        <v>320</v>
      </c>
      <c r="G32" s="168" t="s">
        <v>2473</v>
      </c>
      <c r="H32" s="168">
        <v>29994562</v>
      </c>
      <c r="I32" s="168" t="s">
        <v>33</v>
      </c>
      <c r="J32" s="176" t="s">
        <v>34</v>
      </c>
      <c r="K32" s="170">
        <v>45039</v>
      </c>
      <c r="L32" s="171">
        <v>7700000</v>
      </c>
      <c r="M32" s="172">
        <v>7700</v>
      </c>
      <c r="N32" s="173">
        <v>5390000</v>
      </c>
      <c r="O32" s="171">
        <v>5390</v>
      </c>
      <c r="P32" s="174">
        <v>0.7</v>
      </c>
      <c r="Q32" s="170">
        <v>47923</v>
      </c>
    </row>
    <row r="33" spans="1:17" ht="14.1" customHeight="1">
      <c r="A33" s="168" t="s">
        <v>1301</v>
      </c>
      <c r="B33" s="168">
        <v>7210</v>
      </c>
      <c r="C33" s="168" t="s">
        <v>1107</v>
      </c>
      <c r="D33" s="168" t="s">
        <v>2474</v>
      </c>
      <c r="E33" s="168">
        <v>206993</v>
      </c>
      <c r="F33" s="168" t="s">
        <v>320</v>
      </c>
      <c r="G33" s="168" t="s">
        <v>2475</v>
      </c>
      <c r="H33" s="168">
        <v>29993805</v>
      </c>
      <c r="I33" s="168" t="s">
        <v>33</v>
      </c>
      <c r="J33" s="176" t="s">
        <v>1183</v>
      </c>
      <c r="K33" s="170">
        <v>44470</v>
      </c>
      <c r="L33" s="171">
        <v>2400000</v>
      </c>
      <c r="M33" s="172">
        <v>9111.36</v>
      </c>
      <c r="N33" s="173">
        <v>213334.46</v>
      </c>
      <c r="O33" s="171">
        <v>809.90294394400007</v>
      </c>
      <c r="P33" s="174">
        <v>8.8889358333333335E-2</v>
      </c>
      <c r="Q33" s="170">
        <v>46568</v>
      </c>
    </row>
  </sheetData>
  <sheetProtection formatColumns="0"/>
  <dataConsolidate/>
  <dataValidations count="2">
    <dataValidation type="list" allowBlank="1" showInputMessage="1" showErrorMessage="1" sqref="F2:F20" xr:uid="{D527C26F-BC2A-44F6-BAEF-5557E906E584}">
      <formula1>Issuer_Number_Fund</formula1>
    </dataValidation>
    <dataValidation type="list" allowBlank="1" showInputMessage="1" showErrorMessage="1" sqref="I2:I20" xr:uid="{5B06DAA3-26F7-4C80-A048-929BA9D7926D}">
      <formula1>Type_of_Security_ID_Fund</formula1>
    </dataValidation>
  </dataValidations>
  <pageMargins left="0.7" right="0.7" top="0.75" bottom="0.75" header="0.3" footer="0.3"/>
  <pageSetup paperSize="9" orientation="portrait" verticalDpi="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74134057-5687-4CC3-BC14-33D951000C40}">
          <x14:formula1>
            <xm:f>'אפשרויות בחירה'!#REF!</xm:f>
          </x14:formula1>
          <xm:sqref>C2:C19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 codeName="Sheet36"/>
  <dimension ref="A1:H1163"/>
  <sheetViews>
    <sheetView showGridLines="0" rightToLeft="1" topLeftCell="B1" zoomScale="85" zoomScaleNormal="85" workbookViewId="0">
      <pane ySplit="1" topLeftCell="A360" activePane="bottomLeft" state="frozen"/>
      <selection pane="bottomLeft" activeCell="C328" sqref="C328"/>
    </sheetView>
  </sheetViews>
  <sheetFormatPr defaultColWidth="0" defaultRowHeight="14.25" zeroHeight="1"/>
  <cols>
    <col min="1" max="1" width="29.5" customWidth="1"/>
    <col min="2" max="2" width="30.375" customWidth="1"/>
    <col min="3" max="3" width="90.875" customWidth="1"/>
    <col min="4" max="4" width="68.875" customWidth="1"/>
    <col min="5" max="5" width="17.375" hidden="1" customWidth="1"/>
    <col min="6" max="6" width="59.625" hidden="1" customWidth="1"/>
    <col min="7" max="7" width="63.5" hidden="1" customWidth="1"/>
    <col min="8" max="8" width="38.75" hidden="1" customWidth="1"/>
  </cols>
  <sheetData>
    <row r="1" spans="1:4" ht="45">
      <c r="A1" s="37" t="s">
        <v>212</v>
      </c>
      <c r="B1" s="37" t="s">
        <v>213</v>
      </c>
      <c r="C1" s="37" t="s">
        <v>214</v>
      </c>
      <c r="D1" s="37" t="s">
        <v>215</v>
      </c>
    </row>
    <row r="2" spans="1:4">
      <c r="A2" s="70"/>
      <c r="B2" s="70" t="s">
        <v>216</v>
      </c>
      <c r="C2" s="14" t="s">
        <v>30</v>
      </c>
      <c r="D2" s="14"/>
    </row>
    <row r="3" spans="1:4">
      <c r="A3" s="71"/>
      <c r="B3" s="71"/>
      <c r="C3" s="14" t="s">
        <v>100</v>
      </c>
      <c r="D3" s="14"/>
    </row>
    <row r="4" spans="1:4" ht="42.75">
      <c r="A4" s="63"/>
      <c r="B4" s="84" t="s">
        <v>217</v>
      </c>
      <c r="C4" s="15" t="s">
        <v>30</v>
      </c>
      <c r="D4" s="15"/>
    </row>
    <row r="5" spans="1:4">
      <c r="A5" s="64"/>
      <c r="B5" s="85"/>
      <c r="C5" s="15" t="s">
        <v>218</v>
      </c>
      <c r="D5" s="15"/>
    </row>
    <row r="6" spans="1:4">
      <c r="A6" s="64"/>
      <c r="B6" s="85"/>
      <c r="C6" s="15" t="s">
        <v>219</v>
      </c>
      <c r="D6" s="15"/>
    </row>
    <row r="7" spans="1:4">
      <c r="A7" s="64"/>
      <c r="B7" s="85"/>
      <c r="C7" s="15" t="s">
        <v>220</v>
      </c>
      <c r="D7" s="15"/>
    </row>
    <row r="8" spans="1:4">
      <c r="A8" s="64"/>
      <c r="B8" s="85"/>
      <c r="C8" s="15" t="s">
        <v>221</v>
      </c>
      <c r="D8" s="15"/>
    </row>
    <row r="9" spans="1:4">
      <c r="A9" s="64"/>
      <c r="B9" s="85"/>
      <c r="C9" s="15" t="s">
        <v>222</v>
      </c>
      <c r="D9" s="15"/>
    </row>
    <row r="10" spans="1:4">
      <c r="A10" s="64"/>
      <c r="B10" s="85"/>
      <c r="C10" s="15" t="s">
        <v>223</v>
      </c>
      <c r="D10" s="15"/>
    </row>
    <row r="11" spans="1:4">
      <c r="A11" s="64"/>
      <c r="B11" s="85"/>
      <c r="C11" s="15" t="s">
        <v>224</v>
      </c>
      <c r="D11" s="15"/>
    </row>
    <row r="12" spans="1:4">
      <c r="A12" s="64"/>
      <c r="B12" s="85"/>
      <c r="C12" s="15" t="s">
        <v>225</v>
      </c>
      <c r="D12" s="15"/>
    </row>
    <row r="13" spans="1:4">
      <c r="A13" s="64"/>
      <c r="B13" s="85"/>
      <c r="C13" s="15" t="s">
        <v>226</v>
      </c>
      <c r="D13" s="15"/>
    </row>
    <row r="14" spans="1:4">
      <c r="A14" s="64"/>
      <c r="B14" s="85"/>
      <c r="C14" s="15" t="s">
        <v>227</v>
      </c>
      <c r="D14" s="15"/>
    </row>
    <row r="15" spans="1:4">
      <c r="A15" s="64"/>
      <c r="B15" s="85"/>
      <c r="C15" s="15" t="s">
        <v>228</v>
      </c>
      <c r="D15" s="15"/>
    </row>
    <row r="16" spans="1:4">
      <c r="A16" s="64"/>
      <c r="B16" s="85"/>
      <c r="C16" s="15" t="s">
        <v>229</v>
      </c>
      <c r="D16" s="15"/>
    </row>
    <row r="17" spans="1:4">
      <c r="A17" s="64"/>
      <c r="B17" s="85"/>
      <c r="C17" s="15" t="s">
        <v>230</v>
      </c>
      <c r="D17" s="15"/>
    </row>
    <row r="18" spans="1:4">
      <c r="A18" s="64"/>
      <c r="B18" s="85"/>
      <c r="C18" s="15" t="s">
        <v>231</v>
      </c>
      <c r="D18" s="15"/>
    </row>
    <row r="19" spans="1:4">
      <c r="A19" s="64"/>
      <c r="B19" s="85"/>
      <c r="C19" s="15" t="s">
        <v>232</v>
      </c>
      <c r="D19" s="15"/>
    </row>
    <row r="20" spans="1:4">
      <c r="A20" s="64"/>
      <c r="B20" s="85"/>
      <c r="C20" s="15" t="s">
        <v>233</v>
      </c>
      <c r="D20" s="15"/>
    </row>
    <row r="21" spans="1:4">
      <c r="A21" s="64"/>
      <c r="B21" s="85"/>
      <c r="C21" s="15" t="s">
        <v>101</v>
      </c>
      <c r="D21" s="15"/>
    </row>
    <row r="22" spans="1:4">
      <c r="A22" s="64"/>
      <c r="B22" s="85"/>
      <c r="C22" s="15" t="s">
        <v>234</v>
      </c>
      <c r="D22" s="15"/>
    </row>
    <row r="23" spans="1:4">
      <c r="A23" s="64"/>
      <c r="B23" s="85"/>
      <c r="C23" s="15" t="s">
        <v>235</v>
      </c>
      <c r="D23" s="15"/>
    </row>
    <row r="24" spans="1:4">
      <c r="A24" s="64"/>
      <c r="B24" s="85"/>
      <c r="C24" s="15" t="s">
        <v>236</v>
      </c>
      <c r="D24" s="15"/>
    </row>
    <row r="25" spans="1:4">
      <c r="A25" s="64"/>
      <c r="B25" s="85"/>
      <c r="C25" s="15" t="s">
        <v>237</v>
      </c>
      <c r="D25" s="15"/>
    </row>
    <row r="26" spans="1:4">
      <c r="A26" s="64"/>
      <c r="B26" s="85"/>
      <c r="C26" s="15" t="s">
        <v>238</v>
      </c>
      <c r="D26" s="15"/>
    </row>
    <row r="27" spans="1:4">
      <c r="A27" s="64"/>
      <c r="B27" s="85"/>
      <c r="C27" s="15" t="s">
        <v>239</v>
      </c>
      <c r="D27" s="15"/>
    </row>
    <row r="28" spans="1:4">
      <c r="A28" s="64"/>
      <c r="B28" s="85"/>
      <c r="C28" s="15" t="s">
        <v>240</v>
      </c>
      <c r="D28" s="15"/>
    </row>
    <row r="29" spans="1:4">
      <c r="A29" s="64"/>
      <c r="B29" s="85"/>
      <c r="C29" s="15" t="s">
        <v>241</v>
      </c>
      <c r="D29" s="15"/>
    </row>
    <row r="30" spans="1:4">
      <c r="A30" s="64"/>
      <c r="B30" s="85"/>
      <c r="C30" s="15" t="s">
        <v>242</v>
      </c>
      <c r="D30" s="15"/>
    </row>
    <row r="31" spans="1:4">
      <c r="A31" s="64"/>
      <c r="B31" s="85"/>
      <c r="C31" s="15" t="s">
        <v>243</v>
      </c>
      <c r="D31" s="15"/>
    </row>
    <row r="32" spans="1:4">
      <c r="A32" s="64"/>
      <c r="B32" s="85"/>
      <c r="C32" s="15" t="s">
        <v>244</v>
      </c>
      <c r="D32" s="15"/>
    </row>
    <row r="33" spans="1:4">
      <c r="A33" s="64"/>
      <c r="B33" s="85"/>
      <c r="C33" s="15" t="s">
        <v>245</v>
      </c>
      <c r="D33" s="15"/>
    </row>
    <row r="34" spans="1:4">
      <c r="A34" s="64"/>
      <c r="B34" s="85"/>
      <c r="C34" s="15" t="s">
        <v>246</v>
      </c>
      <c r="D34" s="15"/>
    </row>
    <row r="35" spans="1:4">
      <c r="A35" s="64"/>
      <c r="B35" s="85"/>
      <c r="C35" s="15" t="s">
        <v>247</v>
      </c>
      <c r="D35" s="15"/>
    </row>
    <row r="36" spans="1:4">
      <c r="A36" s="64"/>
      <c r="B36" s="85"/>
      <c r="C36" s="15" t="s">
        <v>248</v>
      </c>
      <c r="D36" s="15"/>
    </row>
    <row r="37" spans="1:4">
      <c r="A37" s="64"/>
      <c r="B37" s="85"/>
      <c r="C37" s="4" t="s">
        <v>249</v>
      </c>
      <c r="D37" s="15"/>
    </row>
    <row r="38" spans="1:4">
      <c r="A38" s="64"/>
      <c r="B38" s="85"/>
      <c r="C38" s="15" t="s">
        <v>250</v>
      </c>
      <c r="D38" s="15"/>
    </row>
    <row r="39" spans="1:4">
      <c r="A39" s="64"/>
      <c r="B39" s="85"/>
      <c r="C39" s="15" t="s">
        <v>251</v>
      </c>
      <c r="D39" s="15"/>
    </row>
    <row r="40" spans="1:4">
      <c r="A40" s="64"/>
      <c r="B40" s="85"/>
      <c r="C40" s="15" t="s">
        <v>252</v>
      </c>
      <c r="D40" s="15"/>
    </row>
    <row r="41" spans="1:4">
      <c r="A41" s="64"/>
      <c r="B41" s="85"/>
      <c r="C41" s="15" t="s">
        <v>253</v>
      </c>
      <c r="D41" s="15"/>
    </row>
    <row r="42" spans="1:4">
      <c r="A42" s="64"/>
      <c r="B42" s="85"/>
      <c r="C42" s="15" t="s">
        <v>254</v>
      </c>
      <c r="D42" s="15"/>
    </row>
    <row r="43" spans="1:4">
      <c r="A43" s="64"/>
      <c r="B43" s="85"/>
      <c r="C43" s="15" t="s">
        <v>255</v>
      </c>
      <c r="D43" s="15"/>
    </row>
    <row r="44" spans="1:4">
      <c r="A44" s="64"/>
      <c r="B44" s="85"/>
      <c r="C44" s="15" t="s">
        <v>256</v>
      </c>
      <c r="D44" s="15"/>
    </row>
    <row r="45" spans="1:4">
      <c r="A45" s="64"/>
      <c r="B45" s="85"/>
      <c r="C45" s="15" t="s">
        <v>257</v>
      </c>
      <c r="D45" s="15"/>
    </row>
    <row r="46" spans="1:4">
      <c r="A46" s="64"/>
      <c r="B46" s="85"/>
      <c r="C46" s="15" t="s">
        <v>258</v>
      </c>
      <c r="D46" s="15"/>
    </row>
    <row r="47" spans="1:4">
      <c r="A47" s="64"/>
      <c r="B47" s="85"/>
      <c r="C47" s="15" t="s">
        <v>259</v>
      </c>
      <c r="D47" s="15"/>
    </row>
    <row r="48" spans="1:4">
      <c r="A48" s="64"/>
      <c r="B48" s="85"/>
      <c r="C48" s="15" t="s">
        <v>260</v>
      </c>
      <c r="D48" s="15"/>
    </row>
    <row r="49" spans="1:4">
      <c r="A49" s="64"/>
      <c r="B49" s="85"/>
      <c r="C49" s="15" t="s">
        <v>261</v>
      </c>
      <c r="D49" s="15"/>
    </row>
    <row r="50" spans="1:4">
      <c r="A50" s="64"/>
      <c r="B50" s="85"/>
      <c r="C50" s="15" t="s">
        <v>262</v>
      </c>
      <c r="D50" s="15"/>
    </row>
    <row r="51" spans="1:4">
      <c r="A51" s="64"/>
      <c r="B51" s="85"/>
      <c r="C51" s="15" t="s">
        <v>263</v>
      </c>
      <c r="D51" s="15"/>
    </row>
    <row r="52" spans="1:4">
      <c r="A52" s="64"/>
      <c r="B52" s="85"/>
      <c r="C52" s="15" t="s">
        <v>264</v>
      </c>
      <c r="D52" s="15"/>
    </row>
    <row r="53" spans="1:4">
      <c r="A53" s="64"/>
      <c r="B53" s="85"/>
      <c r="C53" s="15" t="s">
        <v>265</v>
      </c>
      <c r="D53" s="15"/>
    </row>
    <row r="54" spans="1:4">
      <c r="A54" s="64"/>
      <c r="B54" s="85"/>
      <c r="C54" s="15" t="s">
        <v>266</v>
      </c>
      <c r="D54" s="15"/>
    </row>
    <row r="55" spans="1:4">
      <c r="A55" s="64"/>
      <c r="B55" s="85"/>
      <c r="C55" s="15" t="s">
        <v>267</v>
      </c>
      <c r="D55" s="15"/>
    </row>
    <row r="56" spans="1:4">
      <c r="A56" s="64"/>
      <c r="B56" s="85"/>
      <c r="C56" s="15" t="s">
        <v>268</v>
      </c>
      <c r="D56" s="15"/>
    </row>
    <row r="57" spans="1:4">
      <c r="A57" s="64"/>
      <c r="B57" s="85"/>
      <c r="C57" s="15" t="s">
        <v>269</v>
      </c>
      <c r="D57" s="15"/>
    </row>
    <row r="58" spans="1:4">
      <c r="A58" s="64"/>
      <c r="B58" s="85"/>
      <c r="C58" s="15" t="s">
        <v>270</v>
      </c>
      <c r="D58" s="15"/>
    </row>
    <row r="59" spans="1:4">
      <c r="A59" s="64"/>
      <c r="B59" s="85"/>
      <c r="C59" s="15" t="s">
        <v>271</v>
      </c>
      <c r="D59" s="15"/>
    </row>
    <row r="60" spans="1:4">
      <c r="A60" s="64"/>
      <c r="B60" s="85"/>
      <c r="C60" s="15" t="s">
        <v>272</v>
      </c>
      <c r="D60" s="15"/>
    </row>
    <row r="61" spans="1:4">
      <c r="A61" s="64"/>
      <c r="B61" s="85"/>
      <c r="C61" s="15" t="s">
        <v>273</v>
      </c>
      <c r="D61" s="15"/>
    </row>
    <row r="62" spans="1:4">
      <c r="A62" s="64"/>
      <c r="B62" s="85"/>
      <c r="C62" s="15" t="s">
        <v>274</v>
      </c>
      <c r="D62" s="15"/>
    </row>
    <row r="63" spans="1:4">
      <c r="A63" s="64"/>
      <c r="B63" s="85"/>
      <c r="C63" s="15" t="s">
        <v>275</v>
      </c>
      <c r="D63" s="15"/>
    </row>
    <row r="64" spans="1:4">
      <c r="A64" s="64"/>
      <c r="B64" s="85"/>
      <c r="C64" s="15" t="s">
        <v>276</v>
      </c>
      <c r="D64" s="15"/>
    </row>
    <row r="65" spans="1:4">
      <c r="A65" s="64"/>
      <c r="B65" s="85"/>
      <c r="C65" s="15" t="s">
        <v>277</v>
      </c>
      <c r="D65" s="15"/>
    </row>
    <row r="66" spans="1:4">
      <c r="A66" s="64"/>
      <c r="B66" s="85"/>
      <c r="C66" s="15" t="s">
        <v>278</v>
      </c>
      <c r="D66" s="15"/>
    </row>
    <row r="67" spans="1:4">
      <c r="A67" s="64"/>
      <c r="B67" s="85"/>
      <c r="C67" s="15" t="s">
        <v>279</v>
      </c>
      <c r="D67" s="15"/>
    </row>
    <row r="68" spans="1:4">
      <c r="A68" s="64"/>
      <c r="B68" s="85"/>
      <c r="C68" s="15" t="s">
        <v>280</v>
      </c>
      <c r="D68" s="15"/>
    </row>
    <row r="69" spans="1:4">
      <c r="A69" s="64"/>
      <c r="B69" s="85"/>
      <c r="C69" s="15" t="s">
        <v>281</v>
      </c>
      <c r="D69" s="15"/>
    </row>
    <row r="70" spans="1:4">
      <c r="A70" s="64"/>
      <c r="B70" s="85"/>
      <c r="C70" s="15" t="s">
        <v>282</v>
      </c>
      <c r="D70" s="15"/>
    </row>
    <row r="71" spans="1:4">
      <c r="A71" s="64"/>
      <c r="B71" s="85"/>
      <c r="C71" s="15" t="s">
        <v>283</v>
      </c>
      <c r="D71" s="15"/>
    </row>
    <row r="72" spans="1:4">
      <c r="A72" s="64"/>
      <c r="B72" s="85"/>
      <c r="C72" s="15" t="s">
        <v>284</v>
      </c>
      <c r="D72" s="15"/>
    </row>
    <row r="73" spans="1:4">
      <c r="A73" s="64"/>
      <c r="B73" s="85"/>
      <c r="C73" s="15" t="s">
        <v>285</v>
      </c>
      <c r="D73" s="15"/>
    </row>
    <row r="74" spans="1:4">
      <c r="A74" s="64"/>
      <c r="B74" s="85"/>
      <c r="C74" s="15" t="s">
        <v>286</v>
      </c>
      <c r="D74" s="15"/>
    </row>
    <row r="75" spans="1:4">
      <c r="A75" s="64"/>
      <c r="B75" s="85"/>
      <c r="C75" s="15" t="s">
        <v>287</v>
      </c>
      <c r="D75" s="15"/>
    </row>
    <row r="76" spans="1:4">
      <c r="A76" s="64"/>
      <c r="B76" s="85"/>
      <c r="C76" s="15" t="s">
        <v>288</v>
      </c>
      <c r="D76" s="15"/>
    </row>
    <row r="77" spans="1:4">
      <c r="A77" s="64"/>
      <c r="B77" s="85"/>
      <c r="C77" s="15" t="s">
        <v>289</v>
      </c>
      <c r="D77" s="15"/>
    </row>
    <row r="78" spans="1:4">
      <c r="A78" s="64"/>
      <c r="B78" s="85"/>
      <c r="C78" s="15" t="s">
        <v>290</v>
      </c>
      <c r="D78" s="15"/>
    </row>
    <row r="79" spans="1:4">
      <c r="A79" s="64"/>
      <c r="B79" s="85"/>
      <c r="C79" s="15" t="s">
        <v>291</v>
      </c>
      <c r="D79" s="15"/>
    </row>
    <row r="80" spans="1:4">
      <c r="A80" s="64"/>
      <c r="B80" s="85"/>
      <c r="C80" s="15" t="s">
        <v>292</v>
      </c>
      <c r="D80" s="15"/>
    </row>
    <row r="81" spans="1:4">
      <c r="A81" s="64"/>
      <c r="B81" s="85"/>
      <c r="C81" s="15" t="s">
        <v>293</v>
      </c>
      <c r="D81" s="15"/>
    </row>
    <row r="82" spans="1:4">
      <c r="A82" s="64"/>
      <c r="B82" s="85"/>
      <c r="C82" s="15" t="s">
        <v>294</v>
      </c>
      <c r="D82" s="15"/>
    </row>
    <row r="83" spans="1:4">
      <c r="A83" s="64"/>
      <c r="B83" s="85"/>
      <c r="C83" s="15" t="s">
        <v>295</v>
      </c>
      <c r="D83" s="15"/>
    </row>
    <row r="84" spans="1:4">
      <c r="A84" s="64"/>
      <c r="B84" s="85"/>
      <c r="C84" s="15" t="s">
        <v>296</v>
      </c>
      <c r="D84" s="15"/>
    </row>
    <row r="85" spans="1:4">
      <c r="A85" s="64"/>
      <c r="B85" s="85"/>
      <c r="C85" s="15" t="s">
        <v>297</v>
      </c>
      <c r="D85" s="15"/>
    </row>
    <row r="86" spans="1:4">
      <c r="A86" s="64"/>
      <c r="B86" s="85"/>
      <c r="C86" s="15" t="s">
        <v>298</v>
      </c>
      <c r="D86" s="15"/>
    </row>
    <row r="87" spans="1:4">
      <c r="A87" s="64"/>
      <c r="B87" s="85"/>
      <c r="C87" s="15" t="s">
        <v>299</v>
      </c>
      <c r="D87" s="15"/>
    </row>
    <row r="88" spans="1:4">
      <c r="A88" s="64"/>
      <c r="B88" s="85"/>
      <c r="C88" s="15" t="s">
        <v>300</v>
      </c>
      <c r="D88" s="15"/>
    </row>
    <row r="89" spans="1:4">
      <c r="A89" s="64"/>
      <c r="B89" s="85"/>
      <c r="C89" s="15" t="s">
        <v>301</v>
      </c>
      <c r="D89" s="15"/>
    </row>
    <row r="90" spans="1:4">
      <c r="A90" s="64"/>
      <c r="B90" s="85"/>
      <c r="C90" s="15" t="s">
        <v>302</v>
      </c>
      <c r="D90" s="15"/>
    </row>
    <row r="91" spans="1:4">
      <c r="A91" s="64"/>
      <c r="B91" s="85"/>
      <c r="C91" s="15" t="s">
        <v>303</v>
      </c>
      <c r="D91" s="15"/>
    </row>
    <row r="92" spans="1:4">
      <c r="A92" s="64"/>
      <c r="B92" s="85"/>
      <c r="C92" s="15" t="s">
        <v>304</v>
      </c>
      <c r="D92" s="15"/>
    </row>
    <row r="93" spans="1:4">
      <c r="A93" s="64"/>
      <c r="B93" s="85"/>
      <c r="C93" s="15" t="s">
        <v>305</v>
      </c>
      <c r="D93" s="15"/>
    </row>
    <row r="94" spans="1:4">
      <c r="A94" s="64"/>
      <c r="B94" s="85"/>
      <c r="C94" s="15" t="s">
        <v>306</v>
      </c>
      <c r="D94" s="15" t="s">
        <v>307</v>
      </c>
    </row>
    <row r="95" spans="1:4">
      <c r="A95" s="64"/>
      <c r="B95" s="85"/>
      <c r="C95" s="15" t="s">
        <v>308</v>
      </c>
      <c r="D95" s="15" t="s">
        <v>309</v>
      </c>
    </row>
    <row r="96" spans="1:4">
      <c r="A96" s="64"/>
      <c r="B96" s="85"/>
      <c r="C96" s="15" t="s">
        <v>310</v>
      </c>
      <c r="D96" s="15" t="s">
        <v>309</v>
      </c>
    </row>
    <row r="97" spans="1:4">
      <c r="A97" s="64"/>
      <c r="B97" s="85"/>
      <c r="C97" s="15" t="s">
        <v>311</v>
      </c>
      <c r="D97" s="15" t="s">
        <v>309</v>
      </c>
    </row>
    <row r="98" spans="1:4">
      <c r="A98" s="64"/>
      <c r="B98" s="85"/>
      <c r="C98" s="15" t="s">
        <v>312</v>
      </c>
      <c r="D98" s="15" t="s">
        <v>309</v>
      </c>
    </row>
    <row r="99" spans="1:4">
      <c r="A99" s="64"/>
      <c r="B99" s="85"/>
      <c r="C99" s="15" t="s">
        <v>313</v>
      </c>
      <c r="D99" s="15" t="s">
        <v>309</v>
      </c>
    </row>
    <row r="100" spans="1:4">
      <c r="A100" s="64"/>
      <c r="B100" s="85"/>
      <c r="C100" s="15" t="s">
        <v>314</v>
      </c>
      <c r="D100" s="15" t="s">
        <v>309</v>
      </c>
    </row>
    <row r="101" spans="1:4">
      <c r="A101" s="64"/>
      <c r="B101" s="85"/>
      <c r="C101" s="15" t="s">
        <v>315</v>
      </c>
      <c r="D101" s="15" t="s">
        <v>309</v>
      </c>
    </row>
    <row r="102" spans="1:4">
      <c r="A102" s="64"/>
      <c r="B102" s="85"/>
      <c r="C102" s="15" t="s">
        <v>316</v>
      </c>
      <c r="D102" s="15" t="s">
        <v>309</v>
      </c>
    </row>
    <row r="103" spans="1:4">
      <c r="A103" s="64"/>
      <c r="B103" s="85"/>
      <c r="C103" s="15" t="s">
        <v>317</v>
      </c>
      <c r="D103" s="15" t="s">
        <v>309</v>
      </c>
    </row>
    <row r="104" spans="1:4">
      <c r="A104" s="59"/>
      <c r="B104" s="59" t="s">
        <v>157</v>
      </c>
      <c r="C104" s="14" t="s">
        <v>318</v>
      </c>
      <c r="D104" s="14"/>
    </row>
    <row r="105" spans="1:4">
      <c r="A105" s="60"/>
      <c r="B105" s="60"/>
      <c r="C105" s="14" t="s">
        <v>156</v>
      </c>
      <c r="D105" s="14"/>
    </row>
    <row r="106" spans="1:4">
      <c r="A106" s="60"/>
      <c r="B106" s="60"/>
      <c r="C106" s="14" t="s">
        <v>319</v>
      </c>
      <c r="D106" s="14"/>
    </row>
    <row r="107" spans="1:4">
      <c r="A107" s="60"/>
      <c r="B107" s="60"/>
      <c r="C107" s="14" t="s">
        <v>320</v>
      </c>
      <c r="D107" s="14"/>
    </row>
    <row r="108" spans="1:4">
      <c r="A108" s="60"/>
      <c r="B108" s="60"/>
      <c r="C108" s="14" t="s">
        <v>33</v>
      </c>
      <c r="D108" s="14"/>
    </row>
    <row r="109" spans="1:4">
      <c r="A109" s="60"/>
      <c r="B109" s="60"/>
      <c r="C109" s="14" t="s">
        <v>321</v>
      </c>
      <c r="D109" s="14"/>
    </row>
    <row r="110" spans="1:4">
      <c r="A110" s="61"/>
      <c r="B110" s="61"/>
      <c r="C110" s="14" t="s">
        <v>109</v>
      </c>
      <c r="D110" s="14"/>
    </row>
    <row r="111" spans="1:4">
      <c r="A111" s="64"/>
      <c r="B111" s="50" t="s">
        <v>178</v>
      </c>
      <c r="C111" s="15" t="s">
        <v>318</v>
      </c>
      <c r="D111" s="15"/>
    </row>
    <row r="112" spans="1:4">
      <c r="A112" s="64"/>
      <c r="B112" s="51"/>
      <c r="C112" s="15" t="s">
        <v>322</v>
      </c>
      <c r="D112" s="15"/>
    </row>
    <row r="113" spans="1:4">
      <c r="A113" s="64"/>
      <c r="B113" s="52"/>
      <c r="C113" s="15" t="s">
        <v>323</v>
      </c>
      <c r="D113" s="15"/>
    </row>
    <row r="114" spans="1:4">
      <c r="A114" s="77"/>
      <c r="B114" s="77" t="s">
        <v>324</v>
      </c>
      <c r="C114" s="14" t="s">
        <v>318</v>
      </c>
      <c r="D114" s="14"/>
    </row>
    <row r="115" spans="1:4">
      <c r="A115" s="77"/>
      <c r="B115" s="77"/>
      <c r="C115" s="14" t="s">
        <v>319</v>
      </c>
      <c r="D115" s="14"/>
    </row>
    <row r="116" spans="1:4">
      <c r="A116" s="77"/>
      <c r="B116" s="77"/>
      <c r="C116" s="14" t="s">
        <v>320</v>
      </c>
      <c r="D116" s="14"/>
    </row>
    <row r="117" spans="1:4">
      <c r="A117" s="77"/>
      <c r="B117" s="77"/>
      <c r="C117" s="14" t="s">
        <v>321</v>
      </c>
      <c r="D117" s="14"/>
    </row>
    <row r="118" spans="1:4">
      <c r="A118" s="63"/>
      <c r="B118" s="78" t="s">
        <v>121</v>
      </c>
      <c r="C118" s="15" t="s">
        <v>318</v>
      </c>
      <c r="D118" s="15"/>
    </row>
    <row r="119" spans="1:4">
      <c r="A119" s="5"/>
      <c r="B119" s="98"/>
      <c r="C119" s="15" t="s">
        <v>325</v>
      </c>
      <c r="D119" s="15"/>
    </row>
    <row r="120" spans="1:4">
      <c r="A120" s="5"/>
      <c r="B120" s="98"/>
      <c r="C120" s="15" t="s">
        <v>320</v>
      </c>
      <c r="D120" s="15"/>
    </row>
    <row r="121" spans="1:4">
      <c r="A121" s="5"/>
      <c r="B121" s="98"/>
      <c r="C121" s="15" t="s">
        <v>33</v>
      </c>
      <c r="D121" s="15"/>
    </row>
    <row r="122" spans="1:4">
      <c r="A122" s="5"/>
      <c r="B122" s="98"/>
      <c r="C122" s="15" t="s">
        <v>319</v>
      </c>
      <c r="D122" s="15"/>
    </row>
    <row r="123" spans="1:4">
      <c r="A123" s="5"/>
      <c r="B123" s="98"/>
      <c r="C123" s="15" t="s">
        <v>326</v>
      </c>
      <c r="D123" s="15"/>
    </row>
    <row r="124" spans="1:4">
      <c r="A124" s="5"/>
      <c r="B124" s="98"/>
      <c r="C124" s="15" t="s">
        <v>327</v>
      </c>
      <c r="D124" s="15"/>
    </row>
    <row r="125" spans="1:4">
      <c r="A125" s="5"/>
      <c r="B125" s="98"/>
      <c r="C125" s="15" t="s">
        <v>321</v>
      </c>
      <c r="D125" s="15"/>
    </row>
    <row r="126" spans="1:4">
      <c r="A126" s="64"/>
      <c r="B126" s="79"/>
      <c r="C126" s="15" t="s">
        <v>109</v>
      </c>
      <c r="D126" s="15"/>
    </row>
    <row r="127" spans="1:4">
      <c r="A127" s="59"/>
      <c r="B127" s="59" t="s">
        <v>158</v>
      </c>
      <c r="C127" s="14" t="s">
        <v>328</v>
      </c>
      <c r="D127" s="14"/>
    </row>
    <row r="128" spans="1:4">
      <c r="A128" s="60"/>
      <c r="B128" s="60"/>
      <c r="C128" s="14" t="s">
        <v>329</v>
      </c>
      <c r="D128" s="14"/>
    </row>
    <row r="129" spans="1:4">
      <c r="A129" s="60"/>
      <c r="B129" s="60"/>
      <c r="C129" s="14" t="s">
        <v>330</v>
      </c>
      <c r="D129" s="14"/>
    </row>
    <row r="130" spans="1:4">
      <c r="A130" s="60"/>
      <c r="B130" s="60"/>
      <c r="C130" s="14" t="s">
        <v>331</v>
      </c>
      <c r="D130" s="14"/>
    </row>
    <row r="131" spans="1:4">
      <c r="A131" s="60"/>
      <c r="B131" s="60"/>
      <c r="C131" s="14" t="s">
        <v>33</v>
      </c>
      <c r="D131" s="14"/>
    </row>
    <row r="132" spans="1:4">
      <c r="A132" s="64"/>
      <c r="B132" s="51" t="s">
        <v>332</v>
      </c>
      <c r="C132" s="15" t="s">
        <v>328</v>
      </c>
      <c r="D132" s="15"/>
    </row>
    <row r="133" spans="1:4">
      <c r="A133" s="64"/>
      <c r="B133" s="51"/>
      <c r="C133" s="15" t="s">
        <v>33</v>
      </c>
      <c r="D133" s="15"/>
    </row>
    <row r="134" spans="1:4">
      <c r="A134" s="65"/>
      <c r="B134" s="52"/>
      <c r="C134" s="15" t="s">
        <v>109</v>
      </c>
      <c r="D134" s="15"/>
    </row>
    <row r="135" spans="1:4">
      <c r="A135" s="66"/>
      <c r="B135" s="66" t="s">
        <v>333</v>
      </c>
      <c r="C135" s="14" t="s">
        <v>334</v>
      </c>
      <c r="D135" s="14"/>
    </row>
    <row r="136" spans="1:4">
      <c r="A136" s="67"/>
      <c r="B136" s="67"/>
      <c r="C136" s="14" t="s">
        <v>335</v>
      </c>
      <c r="D136" s="14"/>
    </row>
    <row r="137" spans="1:4">
      <c r="A137" s="67"/>
      <c r="B137" s="67"/>
      <c r="C137" s="14" t="s">
        <v>336</v>
      </c>
      <c r="D137" s="14" t="s">
        <v>337</v>
      </c>
    </row>
    <row r="138" spans="1:4">
      <c r="A138" s="67"/>
      <c r="B138" s="67"/>
      <c r="C138" s="14" t="s">
        <v>338</v>
      </c>
      <c r="D138" s="14" t="s">
        <v>339</v>
      </c>
    </row>
    <row r="139" spans="1:4">
      <c r="A139" s="67"/>
      <c r="B139" s="67"/>
      <c r="C139" s="14" t="s">
        <v>340</v>
      </c>
      <c r="D139" s="14"/>
    </row>
    <row r="140" spans="1:4">
      <c r="A140" s="67"/>
      <c r="B140" s="67"/>
      <c r="C140" s="14" t="s">
        <v>341</v>
      </c>
      <c r="D140" s="14"/>
    </row>
    <row r="141" spans="1:4">
      <c r="A141" s="67"/>
      <c r="B141" s="67"/>
      <c r="C141" s="14" t="s">
        <v>342</v>
      </c>
      <c r="D141" s="14"/>
    </row>
    <row r="142" spans="1:4">
      <c r="A142" s="67"/>
      <c r="B142" s="67"/>
      <c r="C142" s="14" t="s">
        <v>343</v>
      </c>
      <c r="D142" s="14"/>
    </row>
    <row r="143" spans="1:4">
      <c r="A143" s="67"/>
      <c r="B143" s="67"/>
      <c r="C143" s="14" t="s">
        <v>344</v>
      </c>
      <c r="D143" s="14"/>
    </row>
    <row r="144" spans="1:4">
      <c r="A144" s="67"/>
      <c r="B144" s="67"/>
      <c r="C144" s="14" t="s">
        <v>345</v>
      </c>
      <c r="D144" s="14"/>
    </row>
    <row r="145" spans="1:4">
      <c r="A145" s="67"/>
      <c r="B145" s="67"/>
      <c r="C145" s="14" t="s">
        <v>109</v>
      </c>
      <c r="D145" s="14"/>
    </row>
    <row r="146" spans="1:4">
      <c r="A146" s="63"/>
      <c r="B146" s="56" t="s">
        <v>346</v>
      </c>
      <c r="C146" s="15" t="s">
        <v>347</v>
      </c>
      <c r="D146" s="15"/>
    </row>
    <row r="147" spans="1:4">
      <c r="A147" s="65"/>
      <c r="B147" s="58"/>
      <c r="C147" s="15" t="s">
        <v>139</v>
      </c>
      <c r="D147" s="15"/>
    </row>
    <row r="148" spans="1:4">
      <c r="A148" s="45"/>
      <c r="B148" s="97" t="s">
        <v>8</v>
      </c>
      <c r="C148" s="14" t="s">
        <v>45</v>
      </c>
      <c r="D148" s="14" t="s">
        <v>348</v>
      </c>
    </row>
    <row r="149" spans="1:4">
      <c r="A149" s="46"/>
      <c r="B149" s="46"/>
      <c r="C149" s="14" t="s">
        <v>349</v>
      </c>
      <c r="D149" s="14" t="s">
        <v>350</v>
      </c>
    </row>
    <row r="150" spans="1:4">
      <c r="A150" s="46"/>
      <c r="B150" s="46"/>
      <c r="C150" s="14" t="s">
        <v>351</v>
      </c>
      <c r="D150" s="14" t="s">
        <v>352</v>
      </c>
    </row>
    <row r="151" spans="1:4">
      <c r="A151" s="46"/>
      <c r="B151" s="46"/>
      <c r="C151" s="14" t="s">
        <v>353</v>
      </c>
      <c r="D151" s="14" t="s">
        <v>354</v>
      </c>
    </row>
    <row r="152" spans="1:4">
      <c r="A152" s="46"/>
      <c r="B152" s="46"/>
      <c r="C152" s="14" t="s">
        <v>355</v>
      </c>
      <c r="D152" s="14" t="s">
        <v>356</v>
      </c>
    </row>
    <row r="153" spans="1:4">
      <c r="A153" s="46"/>
      <c r="B153" s="46"/>
      <c r="C153" s="14" t="s">
        <v>357</v>
      </c>
      <c r="D153" s="14" t="s">
        <v>358</v>
      </c>
    </row>
    <row r="154" spans="1:4">
      <c r="A154" s="46"/>
      <c r="B154" s="46"/>
      <c r="C154" s="14" t="s">
        <v>359</v>
      </c>
      <c r="D154" s="14" t="s">
        <v>360</v>
      </c>
    </row>
    <row r="155" spans="1:4">
      <c r="A155" s="46"/>
      <c r="B155" s="46"/>
      <c r="C155" s="14" t="s">
        <v>361</v>
      </c>
      <c r="D155" s="14" t="s">
        <v>362</v>
      </c>
    </row>
    <row r="156" spans="1:4">
      <c r="A156" s="46"/>
      <c r="B156" s="46"/>
      <c r="C156" s="14" t="s">
        <v>363</v>
      </c>
      <c r="D156" s="14" t="s">
        <v>364</v>
      </c>
    </row>
    <row r="157" spans="1:4">
      <c r="A157" s="46"/>
      <c r="B157" s="46"/>
      <c r="C157" s="14" t="s">
        <v>365</v>
      </c>
      <c r="D157" s="14" t="s">
        <v>366</v>
      </c>
    </row>
    <row r="158" spans="1:4">
      <c r="A158" s="46"/>
      <c r="B158" s="46"/>
      <c r="C158" s="14" t="s">
        <v>367</v>
      </c>
      <c r="D158" s="14" t="s">
        <v>368</v>
      </c>
    </row>
    <row r="159" spans="1:4">
      <c r="A159" s="46"/>
      <c r="B159" s="46"/>
      <c r="C159" s="14" t="s">
        <v>369</v>
      </c>
      <c r="D159" s="14" t="s">
        <v>370</v>
      </c>
    </row>
    <row r="160" spans="1:4">
      <c r="A160" s="46"/>
      <c r="B160" s="46"/>
      <c r="C160" s="14" t="s">
        <v>371</v>
      </c>
      <c r="D160" s="14" t="s">
        <v>372</v>
      </c>
    </row>
    <row r="161" spans="1:4">
      <c r="A161" s="46"/>
      <c r="B161" s="46"/>
      <c r="C161" s="14" t="s">
        <v>373</v>
      </c>
      <c r="D161" s="14" t="s">
        <v>374</v>
      </c>
    </row>
    <row r="162" spans="1:4">
      <c r="A162" s="46"/>
      <c r="B162" s="46"/>
      <c r="C162" s="14" t="s">
        <v>375</v>
      </c>
      <c r="D162" s="14" t="s">
        <v>376</v>
      </c>
    </row>
    <row r="163" spans="1:4">
      <c r="A163" s="46"/>
      <c r="B163" s="46"/>
      <c r="C163" s="14" t="s">
        <v>377</v>
      </c>
      <c r="D163" s="14" t="s">
        <v>378</v>
      </c>
    </row>
    <row r="164" spans="1:4">
      <c r="A164" s="46"/>
      <c r="B164" s="46"/>
      <c r="C164" s="14" t="s">
        <v>379</v>
      </c>
      <c r="D164" s="14" t="s">
        <v>380</v>
      </c>
    </row>
    <row r="165" spans="1:4">
      <c r="A165" s="46"/>
      <c r="B165" s="46"/>
      <c r="C165" s="14" t="s">
        <v>381</v>
      </c>
      <c r="D165" s="14" t="s">
        <v>382</v>
      </c>
    </row>
    <row r="166" spans="1:4">
      <c r="A166" s="46"/>
      <c r="B166" s="46"/>
      <c r="C166" s="14" t="s">
        <v>383</v>
      </c>
      <c r="D166" s="14" t="s">
        <v>384</v>
      </c>
    </row>
    <row r="167" spans="1:4">
      <c r="A167" s="46"/>
      <c r="B167" s="46"/>
      <c r="C167" s="14" t="s">
        <v>385</v>
      </c>
      <c r="D167" s="14" t="s">
        <v>386</v>
      </c>
    </row>
    <row r="168" spans="1:4">
      <c r="A168" s="46"/>
      <c r="B168" s="46"/>
      <c r="C168" s="14" t="s">
        <v>387</v>
      </c>
      <c r="D168" s="14" t="s">
        <v>388</v>
      </c>
    </row>
    <row r="169" spans="1:4">
      <c r="A169" s="46"/>
      <c r="B169" s="46"/>
      <c r="C169" s="14" t="s">
        <v>389</v>
      </c>
      <c r="D169" s="14" t="s">
        <v>390</v>
      </c>
    </row>
    <row r="170" spans="1:4">
      <c r="A170" s="46"/>
      <c r="B170" s="46"/>
      <c r="C170" s="14" t="s">
        <v>391</v>
      </c>
      <c r="D170" s="14" t="s">
        <v>392</v>
      </c>
    </row>
    <row r="171" spans="1:4">
      <c r="A171" s="46"/>
      <c r="B171" s="46"/>
      <c r="C171" s="14" t="s">
        <v>393</v>
      </c>
      <c r="D171" s="14" t="s">
        <v>394</v>
      </c>
    </row>
    <row r="172" spans="1:4">
      <c r="A172" s="46"/>
      <c r="B172" s="46"/>
      <c r="C172" s="14" t="s">
        <v>395</v>
      </c>
      <c r="D172" s="14" t="s">
        <v>396</v>
      </c>
    </row>
    <row r="173" spans="1:4">
      <c r="A173" s="46"/>
      <c r="B173" s="46"/>
      <c r="C173" s="14" t="s">
        <v>397</v>
      </c>
      <c r="D173" s="14" t="s">
        <v>398</v>
      </c>
    </row>
    <row r="174" spans="1:4">
      <c r="A174" s="46"/>
      <c r="B174" s="46"/>
      <c r="C174" s="14" t="s">
        <v>399</v>
      </c>
      <c r="D174" s="14" t="s">
        <v>400</v>
      </c>
    </row>
    <row r="175" spans="1:4">
      <c r="A175" s="46"/>
      <c r="B175" s="46"/>
      <c r="C175" s="14" t="s">
        <v>401</v>
      </c>
      <c r="D175" s="14" t="s">
        <v>402</v>
      </c>
    </row>
    <row r="176" spans="1:4">
      <c r="A176" s="46"/>
      <c r="B176" s="46"/>
      <c r="C176" s="14" t="s">
        <v>403</v>
      </c>
      <c r="D176" s="14" t="s">
        <v>404</v>
      </c>
    </row>
    <row r="177" spans="1:4">
      <c r="A177" s="46"/>
      <c r="B177" s="46"/>
      <c r="C177" s="14" t="s">
        <v>405</v>
      </c>
      <c r="D177" s="14" t="s">
        <v>406</v>
      </c>
    </row>
    <row r="178" spans="1:4">
      <c r="A178" s="46"/>
      <c r="B178" s="46"/>
      <c r="C178" s="14" t="s">
        <v>407</v>
      </c>
      <c r="D178" s="14" t="s">
        <v>408</v>
      </c>
    </row>
    <row r="179" spans="1:4">
      <c r="A179" s="46"/>
      <c r="B179" s="46"/>
      <c r="C179" s="14" t="s">
        <v>409</v>
      </c>
      <c r="D179" s="14" t="s">
        <v>410</v>
      </c>
    </row>
    <row r="180" spans="1:4">
      <c r="A180" s="46"/>
      <c r="B180" s="46"/>
      <c r="C180" s="14" t="s">
        <v>102</v>
      </c>
      <c r="D180" s="14" t="s">
        <v>411</v>
      </c>
    </row>
    <row r="181" spans="1:4">
      <c r="A181" s="46"/>
      <c r="B181" s="46"/>
      <c r="C181" s="14" t="s">
        <v>109</v>
      </c>
      <c r="D181" s="14" t="s">
        <v>109</v>
      </c>
    </row>
    <row r="182" spans="1:4">
      <c r="A182" s="63"/>
      <c r="B182" s="56" t="s">
        <v>412</v>
      </c>
      <c r="C182" s="39" t="s">
        <v>413</v>
      </c>
      <c r="D182" s="39"/>
    </row>
    <row r="183" spans="1:4">
      <c r="A183" s="64"/>
      <c r="B183" s="57"/>
      <c r="C183" s="39" t="s">
        <v>414</v>
      </c>
      <c r="D183" s="39"/>
    </row>
    <row r="184" spans="1:4">
      <c r="A184" s="64"/>
      <c r="B184" s="57"/>
      <c r="C184" s="39" t="s">
        <v>415</v>
      </c>
      <c r="D184" s="39"/>
    </row>
    <row r="185" spans="1:4">
      <c r="A185" s="65"/>
      <c r="B185" s="58"/>
      <c r="C185" s="40" t="s">
        <v>416</v>
      </c>
      <c r="D185" s="40"/>
    </row>
    <row r="186" spans="1:4">
      <c r="A186" s="59"/>
      <c r="B186" s="59" t="s">
        <v>417</v>
      </c>
      <c r="C186" s="38" t="s">
        <v>418</v>
      </c>
      <c r="D186" s="38"/>
    </row>
    <row r="187" spans="1:4">
      <c r="A187" s="60"/>
      <c r="B187" s="60"/>
      <c r="C187" s="38" t="s">
        <v>419</v>
      </c>
      <c r="D187" s="38"/>
    </row>
    <row r="188" spans="1:4">
      <c r="A188" s="63"/>
      <c r="B188" s="56" t="s">
        <v>10</v>
      </c>
      <c r="C188" s="40" t="s">
        <v>420</v>
      </c>
      <c r="D188" s="40" t="s">
        <v>421</v>
      </c>
    </row>
    <row r="189" spans="1:4">
      <c r="A189" s="64"/>
      <c r="B189" s="57"/>
      <c r="C189" s="40" t="s">
        <v>422</v>
      </c>
      <c r="D189" s="40" t="s">
        <v>423</v>
      </c>
    </row>
    <row r="190" spans="1:4">
      <c r="A190" s="64"/>
      <c r="B190" s="57"/>
      <c r="C190" s="40" t="s">
        <v>33</v>
      </c>
      <c r="D190" s="40" t="s">
        <v>33</v>
      </c>
    </row>
    <row r="191" spans="1:4">
      <c r="A191" s="64"/>
      <c r="B191" s="57"/>
      <c r="C191" s="40" t="s">
        <v>424</v>
      </c>
      <c r="D191" s="40" t="s">
        <v>425</v>
      </c>
    </row>
    <row r="192" spans="1:4">
      <c r="A192" s="64"/>
      <c r="B192" s="57"/>
      <c r="C192" s="40" t="s">
        <v>426</v>
      </c>
      <c r="D192" s="40" t="s">
        <v>427</v>
      </c>
    </row>
    <row r="193" spans="1:4">
      <c r="A193" s="64"/>
      <c r="B193" s="57"/>
      <c r="C193" s="40" t="s">
        <v>428</v>
      </c>
      <c r="D193" s="40" t="s">
        <v>429</v>
      </c>
    </row>
    <row r="194" spans="1:4">
      <c r="A194" s="64"/>
      <c r="B194" s="57"/>
      <c r="C194" s="40" t="s">
        <v>104</v>
      </c>
      <c r="D194" s="40" t="s">
        <v>430</v>
      </c>
    </row>
    <row r="195" spans="1:4">
      <c r="A195" s="64"/>
      <c r="B195" s="57"/>
      <c r="C195" s="40" t="s">
        <v>431</v>
      </c>
      <c r="D195" s="40" t="s">
        <v>432</v>
      </c>
    </row>
    <row r="196" spans="1:4">
      <c r="A196" s="64"/>
      <c r="B196" s="57"/>
      <c r="C196" s="40" t="s">
        <v>433</v>
      </c>
      <c r="D196" s="40" t="s">
        <v>434</v>
      </c>
    </row>
    <row r="197" spans="1:4">
      <c r="A197" s="64"/>
      <c r="B197" s="57"/>
      <c r="C197" s="40" t="s">
        <v>435</v>
      </c>
      <c r="D197" s="40" t="s">
        <v>436</v>
      </c>
    </row>
    <row r="198" spans="1:4">
      <c r="A198" s="64"/>
      <c r="B198" s="57"/>
      <c r="C198" s="40" t="s">
        <v>437</v>
      </c>
      <c r="D198" s="40" t="s">
        <v>438</v>
      </c>
    </row>
    <row r="199" spans="1:4">
      <c r="A199" s="64"/>
      <c r="B199" s="57"/>
      <c r="C199" s="40" t="s">
        <v>439</v>
      </c>
      <c r="D199" s="40" t="s">
        <v>440</v>
      </c>
    </row>
    <row r="200" spans="1:4">
      <c r="A200" s="64"/>
      <c r="B200" s="57"/>
      <c r="C200" s="40" t="s">
        <v>109</v>
      </c>
      <c r="D200" s="40" t="s">
        <v>109</v>
      </c>
    </row>
    <row r="201" spans="1:4">
      <c r="A201" s="65"/>
      <c r="B201" s="58"/>
      <c r="C201" s="40" t="s">
        <v>416</v>
      </c>
      <c r="D201" s="40" t="s">
        <v>441</v>
      </c>
    </row>
    <row r="202" spans="1:4">
      <c r="A202" s="97"/>
      <c r="B202" s="97" t="s">
        <v>159</v>
      </c>
      <c r="C202" s="14" t="s">
        <v>442</v>
      </c>
      <c r="D202" s="14"/>
    </row>
    <row r="203" spans="1:4">
      <c r="A203" s="46"/>
      <c r="B203" s="46"/>
      <c r="C203" s="14" t="s">
        <v>443</v>
      </c>
      <c r="D203" s="14"/>
    </row>
    <row r="204" spans="1:4">
      <c r="A204" s="46"/>
      <c r="B204" s="46"/>
      <c r="C204" s="14" t="s">
        <v>444</v>
      </c>
      <c r="D204" s="14"/>
    </row>
    <row r="205" spans="1:4">
      <c r="A205" s="46"/>
      <c r="B205" s="46"/>
      <c r="C205" s="14" t="s">
        <v>445</v>
      </c>
      <c r="D205" s="14"/>
    </row>
    <row r="206" spans="1:4">
      <c r="A206" s="46"/>
      <c r="B206" s="46"/>
      <c r="C206" s="14" t="s">
        <v>446</v>
      </c>
      <c r="D206" s="14"/>
    </row>
    <row r="207" spans="1:4">
      <c r="A207" s="46"/>
      <c r="B207" s="46"/>
      <c r="C207" s="14" t="s">
        <v>447</v>
      </c>
      <c r="D207" s="14"/>
    </row>
    <row r="208" spans="1:4">
      <c r="A208" s="46"/>
      <c r="B208" s="46"/>
      <c r="C208" s="14" t="s">
        <v>448</v>
      </c>
      <c r="D208" s="14"/>
    </row>
    <row r="209" spans="1:4">
      <c r="A209" s="46"/>
      <c r="B209" s="46"/>
      <c r="C209" s="14" t="s">
        <v>449</v>
      </c>
      <c r="D209" s="14"/>
    </row>
    <row r="210" spans="1:4">
      <c r="A210" s="46"/>
      <c r="B210" s="46"/>
      <c r="C210" s="14" t="s">
        <v>450</v>
      </c>
      <c r="D210" s="14"/>
    </row>
    <row r="211" spans="1:4">
      <c r="A211" s="46"/>
      <c r="B211" s="46"/>
      <c r="C211" s="14" t="s">
        <v>451</v>
      </c>
      <c r="D211" s="14"/>
    </row>
    <row r="212" spans="1:4">
      <c r="A212" s="46"/>
      <c r="B212" s="46"/>
      <c r="C212" s="14" t="s">
        <v>452</v>
      </c>
      <c r="D212" s="14"/>
    </row>
    <row r="213" spans="1:4">
      <c r="A213" s="46"/>
      <c r="B213" s="46"/>
      <c r="C213" s="14" t="s">
        <v>453</v>
      </c>
      <c r="D213" s="14"/>
    </row>
    <row r="214" spans="1:4">
      <c r="A214" s="46"/>
      <c r="B214" s="46"/>
      <c r="C214" s="14" t="s">
        <v>454</v>
      </c>
      <c r="D214" s="14"/>
    </row>
    <row r="215" spans="1:4">
      <c r="A215" s="46"/>
      <c r="B215" s="46"/>
      <c r="C215" s="14" t="s">
        <v>455</v>
      </c>
      <c r="D215" s="14"/>
    </row>
    <row r="216" spans="1:4">
      <c r="A216" s="46"/>
      <c r="B216" s="46"/>
      <c r="C216" s="14" t="s">
        <v>456</v>
      </c>
      <c r="D216" s="14"/>
    </row>
    <row r="217" spans="1:4">
      <c r="A217" s="46"/>
      <c r="B217" s="46"/>
      <c r="C217" s="14" t="s">
        <v>457</v>
      </c>
      <c r="D217" s="14"/>
    </row>
    <row r="218" spans="1:4">
      <c r="A218" s="46"/>
      <c r="B218" s="46"/>
      <c r="C218" s="14" t="s">
        <v>458</v>
      </c>
      <c r="D218" s="14" t="s">
        <v>459</v>
      </c>
    </row>
    <row r="219" spans="1:4">
      <c r="A219" s="46"/>
      <c r="B219" s="46"/>
      <c r="C219" s="14" t="s">
        <v>460</v>
      </c>
      <c r="D219" s="14"/>
    </row>
    <row r="220" spans="1:4">
      <c r="A220" s="46"/>
      <c r="B220" s="46"/>
      <c r="C220" s="14" t="s">
        <v>461</v>
      </c>
      <c r="D220" s="14"/>
    </row>
    <row r="221" spans="1:4">
      <c r="A221" s="46"/>
      <c r="B221" s="46"/>
      <c r="C221" s="14" t="s">
        <v>462</v>
      </c>
      <c r="D221" s="14"/>
    </row>
    <row r="222" spans="1:4">
      <c r="A222" s="46"/>
      <c r="B222" s="46"/>
      <c r="C222" s="14" t="s">
        <v>463</v>
      </c>
      <c r="D222" s="14"/>
    </row>
    <row r="223" spans="1:4">
      <c r="A223" s="46"/>
      <c r="B223" s="46"/>
      <c r="C223" s="14" t="s">
        <v>464</v>
      </c>
      <c r="D223" s="14"/>
    </row>
    <row r="224" spans="1:4">
      <c r="A224" s="46"/>
      <c r="B224" s="46"/>
      <c r="C224" s="14" t="s">
        <v>465</v>
      </c>
      <c r="D224" s="14"/>
    </row>
    <row r="225" spans="1:4">
      <c r="A225" s="46"/>
      <c r="B225" s="46"/>
      <c r="C225" s="14" t="s">
        <v>466</v>
      </c>
      <c r="D225" s="14"/>
    </row>
    <row r="226" spans="1:4">
      <c r="A226" s="46"/>
      <c r="B226" s="46"/>
      <c r="C226" s="14" t="s">
        <v>467</v>
      </c>
      <c r="D226" s="14"/>
    </row>
    <row r="227" spans="1:4">
      <c r="A227" s="46"/>
      <c r="B227" s="46"/>
      <c r="C227" s="14" t="s">
        <v>468</v>
      </c>
      <c r="D227" s="14"/>
    </row>
    <row r="228" spans="1:4">
      <c r="A228" s="46"/>
      <c r="B228" s="46"/>
      <c r="C228" s="14" t="s">
        <v>469</v>
      </c>
      <c r="D228" s="14"/>
    </row>
    <row r="229" spans="1:4">
      <c r="A229" s="46"/>
      <c r="B229" s="46"/>
      <c r="C229" s="14" t="s">
        <v>470</v>
      </c>
      <c r="D229" s="14"/>
    </row>
    <row r="230" spans="1:4">
      <c r="A230" s="46"/>
      <c r="B230" s="46"/>
      <c r="C230" s="14" t="s">
        <v>471</v>
      </c>
      <c r="D230" s="14"/>
    </row>
    <row r="231" spans="1:4">
      <c r="A231" s="46"/>
      <c r="B231" s="46"/>
      <c r="C231" s="14" t="s">
        <v>472</v>
      </c>
      <c r="D231" s="14"/>
    </row>
    <row r="232" spans="1:4">
      <c r="A232" s="46"/>
      <c r="B232" s="46"/>
      <c r="C232" s="14" t="s">
        <v>473</v>
      </c>
      <c r="D232" s="14"/>
    </row>
    <row r="233" spans="1:4">
      <c r="A233" s="46"/>
      <c r="B233" s="46"/>
      <c r="C233" s="14" t="s">
        <v>474</v>
      </c>
      <c r="D233" s="14"/>
    </row>
    <row r="234" spans="1:4">
      <c r="A234" s="46"/>
      <c r="B234" s="46"/>
      <c r="C234" s="14" t="s">
        <v>475</v>
      </c>
      <c r="D234" s="14"/>
    </row>
    <row r="235" spans="1:4">
      <c r="A235" s="46"/>
      <c r="B235" s="46"/>
      <c r="C235" s="14" t="s">
        <v>476</v>
      </c>
      <c r="D235" s="14"/>
    </row>
    <row r="236" spans="1:4">
      <c r="A236" s="46"/>
      <c r="B236" s="46"/>
      <c r="C236" s="14" t="s">
        <v>477</v>
      </c>
      <c r="D236" s="14"/>
    </row>
    <row r="237" spans="1:4">
      <c r="A237" s="46"/>
      <c r="B237" s="46"/>
      <c r="C237" s="14" t="s">
        <v>478</v>
      </c>
      <c r="D237" s="14"/>
    </row>
    <row r="238" spans="1:4">
      <c r="A238" s="46"/>
      <c r="B238" s="46"/>
      <c r="C238" s="14" t="s">
        <v>479</v>
      </c>
      <c r="D238" s="14"/>
    </row>
    <row r="239" spans="1:4">
      <c r="A239" s="46"/>
      <c r="B239" s="46"/>
      <c r="C239" s="14" t="s">
        <v>480</v>
      </c>
      <c r="D239" s="14"/>
    </row>
    <row r="240" spans="1:4">
      <c r="A240" s="46"/>
      <c r="B240" s="46"/>
      <c r="C240" s="14" t="s">
        <v>481</v>
      </c>
      <c r="D240" s="14"/>
    </row>
    <row r="241" spans="1:4">
      <c r="A241" s="46"/>
      <c r="B241" s="46"/>
      <c r="C241" s="14" t="s">
        <v>482</v>
      </c>
      <c r="D241" s="14"/>
    </row>
    <row r="242" spans="1:4">
      <c r="A242" s="46"/>
      <c r="B242" s="46"/>
      <c r="C242" s="14" t="s">
        <v>483</v>
      </c>
      <c r="D242" s="14"/>
    </row>
    <row r="243" spans="1:4">
      <c r="A243" s="46"/>
      <c r="B243" s="46"/>
      <c r="C243" s="14" t="s">
        <v>484</v>
      </c>
      <c r="D243" s="14"/>
    </row>
    <row r="244" spans="1:4">
      <c r="A244" s="46"/>
      <c r="B244" s="46"/>
      <c r="C244" s="14" t="s">
        <v>485</v>
      </c>
      <c r="D244" s="14"/>
    </row>
    <row r="245" spans="1:4">
      <c r="A245" s="46"/>
      <c r="B245" s="46"/>
      <c r="C245" s="14" t="s">
        <v>486</v>
      </c>
      <c r="D245" s="14"/>
    </row>
    <row r="246" spans="1:4">
      <c r="A246" s="46"/>
      <c r="B246" s="46"/>
      <c r="C246" s="14" t="s">
        <v>487</v>
      </c>
      <c r="D246" s="14"/>
    </row>
    <row r="247" spans="1:4">
      <c r="A247" s="46"/>
      <c r="B247" s="46"/>
      <c r="C247" s="14" t="s">
        <v>488</v>
      </c>
      <c r="D247" s="14"/>
    </row>
    <row r="248" spans="1:4">
      <c r="A248" s="46"/>
      <c r="B248" s="46"/>
      <c r="C248" s="14" t="s">
        <v>489</v>
      </c>
      <c r="D248" s="14"/>
    </row>
    <row r="249" spans="1:4">
      <c r="A249" s="46"/>
      <c r="B249" s="46"/>
      <c r="C249" s="14" t="s">
        <v>490</v>
      </c>
      <c r="D249" s="14"/>
    </row>
    <row r="250" spans="1:4">
      <c r="A250" s="46"/>
      <c r="B250" s="46"/>
      <c r="C250" s="14" t="s">
        <v>491</v>
      </c>
      <c r="D250" s="14"/>
    </row>
    <row r="251" spans="1:4">
      <c r="A251" s="46"/>
      <c r="B251" s="46"/>
      <c r="C251" s="14" t="s">
        <v>492</v>
      </c>
      <c r="D251" s="14"/>
    </row>
    <row r="252" spans="1:4">
      <c r="A252" s="46"/>
      <c r="B252" s="46"/>
      <c r="C252" s="14" t="s">
        <v>109</v>
      </c>
      <c r="D252" s="14"/>
    </row>
    <row r="253" spans="1:4">
      <c r="A253" s="46"/>
      <c r="B253" s="46"/>
      <c r="C253" s="14" t="s">
        <v>493</v>
      </c>
      <c r="D253" s="14"/>
    </row>
    <row r="254" spans="1:4">
      <c r="A254" s="46"/>
      <c r="B254" s="46"/>
      <c r="C254" s="14" t="s">
        <v>494</v>
      </c>
      <c r="D254" s="14"/>
    </row>
    <row r="255" spans="1:4">
      <c r="A255" s="46"/>
      <c r="B255" s="46"/>
      <c r="C255" s="14" t="s">
        <v>495</v>
      </c>
      <c r="D255" s="14"/>
    </row>
    <row r="256" spans="1:4">
      <c r="A256" s="46"/>
      <c r="B256" s="46"/>
      <c r="C256" s="14" t="s">
        <v>496</v>
      </c>
      <c r="D256" s="14"/>
    </row>
    <row r="257" spans="1:4">
      <c r="A257" s="46"/>
      <c r="B257" s="46"/>
      <c r="C257" s="14" t="s">
        <v>497</v>
      </c>
      <c r="D257" s="14"/>
    </row>
    <row r="258" spans="1:4">
      <c r="A258" s="46"/>
      <c r="B258" s="46"/>
      <c r="C258" s="14" t="s">
        <v>498</v>
      </c>
      <c r="D258" s="14"/>
    </row>
    <row r="259" spans="1:4">
      <c r="A259" s="46"/>
      <c r="B259" s="46"/>
      <c r="C259" s="14" t="s">
        <v>499</v>
      </c>
      <c r="D259" s="14"/>
    </row>
    <row r="260" spans="1:4">
      <c r="A260" s="46"/>
      <c r="B260" s="46"/>
      <c r="C260" s="14" t="s">
        <v>500</v>
      </c>
      <c r="D260" s="14"/>
    </row>
    <row r="261" spans="1:4">
      <c r="A261" s="46"/>
      <c r="B261" s="46"/>
      <c r="C261" s="14" t="s">
        <v>501</v>
      </c>
      <c r="D261" s="14"/>
    </row>
    <row r="262" spans="1:4">
      <c r="A262" s="46"/>
      <c r="B262" s="46"/>
      <c r="C262" s="14" t="s">
        <v>502</v>
      </c>
      <c r="D262" s="14"/>
    </row>
    <row r="263" spans="1:4">
      <c r="A263" s="46"/>
      <c r="B263" s="46"/>
      <c r="C263" s="14" t="s">
        <v>503</v>
      </c>
      <c r="D263" s="14"/>
    </row>
    <row r="264" spans="1:4">
      <c r="A264" s="46"/>
      <c r="B264" s="46"/>
      <c r="C264" s="14" t="s">
        <v>504</v>
      </c>
      <c r="D264" s="14"/>
    </row>
    <row r="265" spans="1:4">
      <c r="A265" s="46"/>
      <c r="B265" s="46"/>
      <c r="C265" s="14" t="s">
        <v>505</v>
      </c>
      <c r="D265" s="14"/>
    </row>
    <row r="266" spans="1:4">
      <c r="A266" s="46"/>
      <c r="B266" s="46"/>
      <c r="C266" s="14" t="s">
        <v>506</v>
      </c>
      <c r="D266" s="14"/>
    </row>
    <row r="267" spans="1:4">
      <c r="A267" s="46"/>
      <c r="B267" s="46"/>
      <c r="C267" s="14" t="s">
        <v>507</v>
      </c>
      <c r="D267" s="14"/>
    </row>
    <row r="268" spans="1:4">
      <c r="A268" s="46"/>
      <c r="B268" s="46"/>
      <c r="C268" s="14" t="s">
        <v>508</v>
      </c>
      <c r="D268" s="14"/>
    </row>
    <row r="269" spans="1:4">
      <c r="A269" s="46"/>
      <c r="B269" s="46"/>
      <c r="C269" s="14" t="s">
        <v>509</v>
      </c>
      <c r="D269" s="14"/>
    </row>
    <row r="270" spans="1:4">
      <c r="A270" s="46"/>
      <c r="B270" s="46"/>
      <c r="C270" s="14" t="s">
        <v>510</v>
      </c>
      <c r="D270" s="14" t="s">
        <v>511</v>
      </c>
    </row>
    <row r="271" spans="1:4">
      <c r="A271" s="46"/>
      <c r="B271" s="46"/>
      <c r="C271" s="14" t="s">
        <v>512</v>
      </c>
      <c r="D271" s="14" t="s">
        <v>513</v>
      </c>
    </row>
    <row r="272" spans="1:4">
      <c r="A272" s="46"/>
      <c r="B272" s="46"/>
      <c r="C272" s="14" t="s">
        <v>514</v>
      </c>
      <c r="D272" s="14" t="s">
        <v>515</v>
      </c>
    </row>
    <row r="273" spans="1:4">
      <c r="A273" s="46"/>
      <c r="B273" s="46"/>
      <c r="C273" s="14" t="s">
        <v>516</v>
      </c>
      <c r="D273" s="14"/>
    </row>
    <row r="274" spans="1:4">
      <c r="A274" s="46"/>
      <c r="B274" s="46"/>
      <c r="C274" s="14" t="s">
        <v>517</v>
      </c>
      <c r="D274" s="14" t="s">
        <v>518</v>
      </c>
    </row>
    <row r="275" spans="1:4">
      <c r="A275" s="46"/>
      <c r="B275" s="46"/>
      <c r="C275" s="14" t="s">
        <v>519</v>
      </c>
      <c r="D275" s="14"/>
    </row>
    <row r="276" spans="1:4">
      <c r="A276" s="46"/>
      <c r="B276" s="46"/>
      <c r="C276" s="14" t="s">
        <v>520</v>
      </c>
      <c r="D276" s="14"/>
    </row>
    <row r="277" spans="1:4">
      <c r="A277" s="46"/>
      <c r="B277" s="46"/>
      <c r="C277" s="14" t="s">
        <v>521</v>
      </c>
      <c r="D277" s="14"/>
    </row>
    <row r="278" spans="1:4">
      <c r="A278" s="46"/>
      <c r="B278" s="46"/>
      <c r="C278" s="14" t="s">
        <v>522</v>
      </c>
      <c r="D278" s="14"/>
    </row>
    <row r="279" spans="1:4">
      <c r="A279" s="46"/>
      <c r="B279" s="46"/>
      <c r="C279" s="14" t="s">
        <v>523</v>
      </c>
      <c r="D279" s="14"/>
    </row>
    <row r="280" spans="1:4">
      <c r="A280" s="46"/>
      <c r="B280" s="46"/>
      <c r="C280" s="14" t="s">
        <v>524</v>
      </c>
      <c r="D280" s="14"/>
    </row>
    <row r="281" spans="1:4">
      <c r="A281" s="46"/>
      <c r="B281" s="46"/>
      <c r="C281" s="14" t="s">
        <v>525</v>
      </c>
      <c r="D281" s="14"/>
    </row>
    <row r="282" spans="1:4">
      <c r="A282" s="46"/>
      <c r="B282" s="46"/>
      <c r="C282" s="14" t="s">
        <v>526</v>
      </c>
      <c r="D282" s="14" t="s">
        <v>527</v>
      </c>
    </row>
    <row r="283" spans="1:4">
      <c r="A283" s="46"/>
      <c r="B283" s="46"/>
      <c r="C283" s="14" t="s">
        <v>528</v>
      </c>
      <c r="D283" s="14"/>
    </row>
    <row r="284" spans="1:4">
      <c r="A284" s="46"/>
      <c r="B284" s="46"/>
      <c r="C284" s="14" t="s">
        <v>529</v>
      </c>
      <c r="D284" s="14" t="s">
        <v>530</v>
      </c>
    </row>
    <row r="285" spans="1:4">
      <c r="A285" s="46"/>
      <c r="B285" s="46"/>
      <c r="C285" s="14" t="s">
        <v>531</v>
      </c>
      <c r="D285" s="14"/>
    </row>
    <row r="286" spans="1:4">
      <c r="A286" s="46"/>
      <c r="B286" s="46"/>
      <c r="C286" s="14" t="s">
        <v>532</v>
      </c>
      <c r="D286" s="14"/>
    </row>
    <row r="287" spans="1:4">
      <c r="A287" s="46"/>
      <c r="B287" s="46"/>
      <c r="C287" s="14" t="s">
        <v>533</v>
      </c>
      <c r="D287" s="14"/>
    </row>
    <row r="288" spans="1:4">
      <c r="A288" s="46"/>
      <c r="B288" s="46"/>
      <c r="C288" s="14" t="s">
        <v>534</v>
      </c>
      <c r="D288" s="14"/>
    </row>
    <row r="289" spans="1:4">
      <c r="A289" s="46"/>
      <c r="B289" s="46"/>
      <c r="C289" s="14" t="s">
        <v>535</v>
      </c>
      <c r="D289" s="14" t="s">
        <v>536</v>
      </c>
    </row>
    <row r="290" spans="1:4">
      <c r="A290" s="46"/>
      <c r="B290" s="46"/>
      <c r="C290" s="14" t="s">
        <v>537</v>
      </c>
      <c r="D290" s="14"/>
    </row>
    <row r="291" spans="1:4">
      <c r="A291" s="46"/>
      <c r="B291" s="46"/>
      <c r="C291" s="14" t="s">
        <v>538</v>
      </c>
      <c r="D291" s="14"/>
    </row>
    <row r="292" spans="1:4">
      <c r="A292" s="46"/>
      <c r="B292" s="46"/>
      <c r="C292" s="14" t="s">
        <v>539</v>
      </c>
      <c r="D292" s="14"/>
    </row>
    <row r="293" spans="1:4">
      <c r="A293" s="46"/>
      <c r="B293" s="46"/>
      <c r="C293" s="14" t="s">
        <v>540</v>
      </c>
      <c r="D293" s="14"/>
    </row>
    <row r="294" spans="1:4">
      <c r="A294" s="46"/>
      <c r="B294" s="46"/>
      <c r="C294" s="14" t="s">
        <v>541</v>
      </c>
      <c r="D294" s="14"/>
    </row>
    <row r="295" spans="1:4">
      <c r="A295" s="46"/>
      <c r="B295" s="46"/>
      <c r="C295" s="14" t="s">
        <v>542</v>
      </c>
      <c r="D295" s="14"/>
    </row>
    <row r="296" spans="1:4">
      <c r="A296" s="46"/>
      <c r="B296" s="46"/>
      <c r="C296" s="14" t="s">
        <v>543</v>
      </c>
      <c r="D296" s="14"/>
    </row>
    <row r="297" spans="1:4">
      <c r="A297" s="46"/>
      <c r="B297" s="46"/>
      <c r="C297" s="14" t="s">
        <v>544</v>
      </c>
      <c r="D297" s="14" t="s">
        <v>545</v>
      </c>
    </row>
    <row r="298" spans="1:4">
      <c r="A298" s="46"/>
      <c r="B298" s="46"/>
      <c r="C298" s="14" t="s">
        <v>546</v>
      </c>
      <c r="D298" s="14"/>
    </row>
    <row r="299" spans="1:4">
      <c r="A299" s="46"/>
      <c r="B299" s="46"/>
      <c r="C299" s="14" t="s">
        <v>547</v>
      </c>
      <c r="D299" s="14"/>
    </row>
    <row r="300" spans="1:4">
      <c r="A300" s="46"/>
      <c r="B300" s="46"/>
      <c r="C300" s="113" t="s">
        <v>548</v>
      </c>
      <c r="D300" s="14"/>
    </row>
    <row r="301" spans="1:4">
      <c r="A301" s="46"/>
      <c r="B301" s="46"/>
      <c r="C301" s="14" t="s">
        <v>549</v>
      </c>
      <c r="D301" s="14"/>
    </row>
    <row r="302" spans="1:4">
      <c r="A302" s="46"/>
      <c r="B302" s="46"/>
      <c r="C302" s="14" t="s">
        <v>550</v>
      </c>
      <c r="D302" s="14"/>
    </row>
    <row r="303" spans="1:4">
      <c r="A303" s="46"/>
      <c r="B303" s="46"/>
      <c r="C303" s="14" t="s">
        <v>551</v>
      </c>
      <c r="D303" s="14"/>
    </row>
    <row r="304" spans="1:4">
      <c r="A304" s="46"/>
      <c r="B304" s="46"/>
      <c r="C304" s="14" t="s">
        <v>552</v>
      </c>
      <c r="D304" s="14"/>
    </row>
    <row r="305" spans="1:4">
      <c r="A305" s="46"/>
      <c r="B305" s="46"/>
      <c r="C305" s="14" t="s">
        <v>553</v>
      </c>
      <c r="D305" s="14"/>
    </row>
    <row r="306" spans="1:4">
      <c r="A306" s="46"/>
      <c r="B306" s="46"/>
      <c r="C306" s="14" t="s">
        <v>554</v>
      </c>
      <c r="D306" s="14"/>
    </row>
    <row r="307" spans="1:4">
      <c r="A307" s="46"/>
      <c r="B307" s="46"/>
      <c r="C307" s="14" t="s">
        <v>555</v>
      </c>
      <c r="D307" s="14"/>
    </row>
    <row r="308" spans="1:4">
      <c r="A308" s="46"/>
      <c r="B308" s="46"/>
      <c r="C308" s="14" t="s">
        <v>556</v>
      </c>
      <c r="D308" s="14"/>
    </row>
    <row r="309" spans="1:4">
      <c r="A309" s="46"/>
      <c r="B309" s="46"/>
      <c r="C309" s="14" t="s">
        <v>557</v>
      </c>
      <c r="D309" s="14"/>
    </row>
    <row r="310" spans="1:4">
      <c r="A310" s="46"/>
      <c r="B310" s="46"/>
      <c r="C310" s="113" t="s">
        <v>558</v>
      </c>
      <c r="D310" s="14"/>
    </row>
    <row r="311" spans="1:4">
      <c r="A311" s="46"/>
      <c r="B311" s="46"/>
      <c r="C311" s="113" t="s">
        <v>559</v>
      </c>
      <c r="D311" s="14"/>
    </row>
    <row r="312" spans="1:4">
      <c r="A312" s="46"/>
      <c r="B312" s="46"/>
      <c r="C312" s="113" t="s">
        <v>560</v>
      </c>
      <c r="D312" s="14"/>
    </row>
    <row r="313" spans="1:4">
      <c r="A313" s="46"/>
      <c r="B313" s="46"/>
      <c r="C313" s="14" t="s">
        <v>561</v>
      </c>
      <c r="D313" s="14"/>
    </row>
    <row r="314" spans="1:4">
      <c r="A314" s="46"/>
      <c r="B314" s="46"/>
      <c r="C314" s="14" t="s">
        <v>562</v>
      </c>
      <c r="D314" s="14"/>
    </row>
    <row r="315" spans="1:4">
      <c r="A315" s="46"/>
      <c r="B315" s="46"/>
      <c r="C315" s="14" t="s">
        <v>563</v>
      </c>
      <c r="D315" s="14"/>
    </row>
    <row r="316" spans="1:4">
      <c r="A316" s="46"/>
      <c r="B316" s="46"/>
      <c r="C316" s="14" t="s">
        <v>564</v>
      </c>
      <c r="D316" s="14"/>
    </row>
    <row r="317" spans="1:4">
      <c r="A317" s="46"/>
      <c r="B317" s="46"/>
      <c r="C317" s="14" t="s">
        <v>565</v>
      </c>
      <c r="D317" s="14"/>
    </row>
    <row r="318" spans="1:4">
      <c r="A318" s="46"/>
      <c r="B318" s="46"/>
      <c r="C318" s="14" t="s">
        <v>566</v>
      </c>
      <c r="D318" s="109" t="s">
        <v>567</v>
      </c>
    </row>
    <row r="319" spans="1:4">
      <c r="A319" s="46"/>
      <c r="B319" s="46"/>
      <c r="C319" s="14" t="s">
        <v>568</v>
      </c>
      <c r="D319" s="14"/>
    </row>
    <row r="320" spans="1:4">
      <c r="A320" s="46"/>
      <c r="B320" s="46"/>
      <c r="C320" s="14" t="s">
        <v>569</v>
      </c>
      <c r="D320" s="14"/>
    </row>
    <row r="321" spans="1:4">
      <c r="A321" s="46"/>
      <c r="B321" s="46"/>
      <c r="C321" s="14" t="s">
        <v>570</v>
      </c>
      <c r="D321" s="14"/>
    </row>
    <row r="322" spans="1:4">
      <c r="A322" s="46"/>
      <c r="B322" s="46"/>
      <c r="C322" s="14" t="s">
        <v>571</v>
      </c>
      <c r="D322" s="14"/>
    </row>
    <row r="323" spans="1:4">
      <c r="A323" s="46"/>
      <c r="B323" s="46"/>
      <c r="C323" s="14" t="s">
        <v>572</v>
      </c>
      <c r="D323" s="14"/>
    </row>
    <row r="324" spans="1:4">
      <c r="A324" s="46"/>
      <c r="B324" s="46"/>
      <c r="C324" s="14" t="s">
        <v>573</v>
      </c>
      <c r="D324" s="14"/>
    </row>
    <row r="325" spans="1:4">
      <c r="A325" s="46"/>
      <c r="B325" s="46"/>
      <c r="C325" s="14" t="s">
        <v>574</v>
      </c>
      <c r="D325" s="14"/>
    </row>
    <row r="326" spans="1:4">
      <c r="A326" s="46"/>
      <c r="B326" s="46"/>
      <c r="C326" s="14" t="s">
        <v>575</v>
      </c>
      <c r="D326" s="14"/>
    </row>
    <row r="327" spans="1:4">
      <c r="A327" s="46"/>
      <c r="B327" s="46"/>
      <c r="C327" s="14" t="s">
        <v>576</v>
      </c>
      <c r="D327" s="14"/>
    </row>
    <row r="328" spans="1:4">
      <c r="A328" s="63"/>
      <c r="B328" s="53" t="s">
        <v>577</v>
      </c>
      <c r="C328" s="40" t="s">
        <v>578</v>
      </c>
      <c r="D328" s="40"/>
    </row>
    <row r="329" spans="1:4">
      <c r="A329" s="64"/>
      <c r="B329" s="54"/>
      <c r="C329" s="40" t="s">
        <v>579</v>
      </c>
      <c r="D329" s="40"/>
    </row>
    <row r="330" spans="1:4">
      <c r="A330" s="64"/>
      <c r="B330" s="54"/>
      <c r="C330" s="111" t="s">
        <v>580</v>
      </c>
      <c r="D330" s="40"/>
    </row>
    <row r="331" spans="1:4">
      <c r="A331" s="64"/>
      <c r="B331" s="54"/>
      <c r="C331" s="110" t="s">
        <v>581</v>
      </c>
      <c r="D331" s="40"/>
    </row>
    <row r="332" spans="1:4">
      <c r="A332" s="64"/>
      <c r="B332" s="54"/>
      <c r="C332" s="110" t="s">
        <v>582</v>
      </c>
      <c r="D332" s="40"/>
    </row>
    <row r="333" spans="1:4">
      <c r="A333" s="64"/>
      <c r="B333" s="54"/>
      <c r="C333" s="110" t="s">
        <v>583</v>
      </c>
      <c r="D333" s="40"/>
    </row>
    <row r="334" spans="1:4">
      <c r="A334" s="64"/>
      <c r="B334" s="54"/>
      <c r="C334" s="110" t="s">
        <v>584</v>
      </c>
      <c r="D334" s="40"/>
    </row>
    <row r="335" spans="1:4">
      <c r="A335" s="64"/>
      <c r="B335" s="54"/>
      <c r="C335" s="40" t="s">
        <v>585</v>
      </c>
      <c r="D335" s="40"/>
    </row>
    <row r="336" spans="1:4">
      <c r="A336" s="64"/>
      <c r="B336" s="54"/>
      <c r="C336" s="40" t="s">
        <v>586</v>
      </c>
      <c r="D336" s="40"/>
    </row>
    <row r="337" spans="1:4">
      <c r="A337" s="64"/>
      <c r="B337" s="54"/>
      <c r="C337" s="40" t="s">
        <v>587</v>
      </c>
      <c r="D337" s="40"/>
    </row>
    <row r="338" spans="1:4">
      <c r="A338" s="64"/>
      <c r="B338" s="54"/>
      <c r="C338" s="40" t="s">
        <v>588</v>
      </c>
      <c r="D338" s="40"/>
    </row>
    <row r="339" spans="1:4">
      <c r="A339" s="64"/>
      <c r="B339" s="54"/>
      <c r="C339" s="40" t="s">
        <v>589</v>
      </c>
      <c r="D339" s="40"/>
    </row>
    <row r="340" spans="1:4">
      <c r="A340" s="64"/>
      <c r="B340" s="54"/>
      <c r="C340" s="40" t="s">
        <v>590</v>
      </c>
      <c r="D340" s="40"/>
    </row>
    <row r="341" spans="1:4">
      <c r="A341" s="64"/>
      <c r="B341" s="54"/>
      <c r="C341" s="40" t="s">
        <v>591</v>
      </c>
      <c r="D341" s="40"/>
    </row>
    <row r="342" spans="1:4">
      <c r="A342" s="64"/>
      <c r="B342" s="54"/>
      <c r="C342" s="40" t="s">
        <v>592</v>
      </c>
      <c r="D342" s="40"/>
    </row>
    <row r="343" spans="1:4">
      <c r="A343" s="64"/>
      <c r="B343" s="54"/>
      <c r="C343" s="40" t="s">
        <v>593</v>
      </c>
      <c r="D343" s="40"/>
    </row>
    <row r="344" spans="1:4">
      <c r="A344" s="64"/>
      <c r="B344" s="54"/>
      <c r="C344" s="40" t="s">
        <v>594</v>
      </c>
      <c r="D344" s="40"/>
    </row>
    <row r="345" spans="1:4">
      <c r="A345" s="64"/>
      <c r="B345" s="54"/>
      <c r="C345" s="40" t="s">
        <v>595</v>
      </c>
      <c r="D345" s="40"/>
    </row>
    <row r="346" spans="1:4">
      <c r="A346" s="64"/>
      <c r="B346" s="54"/>
      <c r="C346" s="40" t="s">
        <v>596</v>
      </c>
      <c r="D346" s="40"/>
    </row>
    <row r="347" spans="1:4">
      <c r="A347" s="64"/>
      <c r="B347" s="54"/>
      <c r="C347" s="40" t="s">
        <v>597</v>
      </c>
      <c r="D347" s="40"/>
    </row>
    <row r="348" spans="1:4">
      <c r="A348" s="64"/>
      <c r="B348" s="54"/>
      <c r="C348" s="40" t="s">
        <v>598</v>
      </c>
      <c r="D348" s="40"/>
    </row>
    <row r="349" spans="1:4">
      <c r="A349" s="64"/>
      <c r="B349" s="54"/>
      <c r="C349" s="40" t="s">
        <v>599</v>
      </c>
      <c r="D349" s="40"/>
    </row>
    <row r="350" spans="1:4">
      <c r="A350" s="64"/>
      <c r="B350" s="54"/>
      <c r="C350" s="40" t="s">
        <v>600</v>
      </c>
      <c r="D350" s="40"/>
    </row>
    <row r="351" spans="1:4">
      <c r="A351" s="64"/>
      <c r="B351" s="54"/>
      <c r="C351" s="40" t="s">
        <v>601</v>
      </c>
      <c r="D351" s="40"/>
    </row>
    <row r="352" spans="1:4">
      <c r="A352" s="64"/>
      <c r="B352" s="54"/>
      <c r="C352" s="40" t="s">
        <v>602</v>
      </c>
      <c r="D352" s="40"/>
    </row>
    <row r="353" spans="1:4">
      <c r="A353" s="64"/>
      <c r="B353" s="54"/>
      <c r="C353" s="40" t="s">
        <v>603</v>
      </c>
      <c r="D353" s="40"/>
    </row>
    <row r="354" spans="1:4">
      <c r="A354" s="64"/>
      <c r="B354" s="54"/>
      <c r="C354" s="40" t="s">
        <v>604</v>
      </c>
      <c r="D354" s="40"/>
    </row>
    <row r="355" spans="1:4">
      <c r="A355" s="64"/>
      <c r="B355" s="54"/>
      <c r="C355" s="40" t="s">
        <v>605</v>
      </c>
      <c r="D355" s="40"/>
    </row>
    <row r="356" spans="1:4">
      <c r="A356" s="64"/>
      <c r="B356" s="54"/>
      <c r="C356" s="40" t="s">
        <v>606</v>
      </c>
      <c r="D356" s="40"/>
    </row>
    <row r="357" spans="1:4">
      <c r="A357" s="64"/>
      <c r="B357" s="54"/>
      <c r="C357" s="40" t="s">
        <v>607</v>
      </c>
      <c r="D357" s="40"/>
    </row>
    <row r="358" spans="1:4">
      <c r="A358" s="64"/>
      <c r="B358" s="54"/>
      <c r="C358" s="40" t="s">
        <v>608</v>
      </c>
      <c r="D358" s="40"/>
    </row>
    <row r="359" spans="1:4">
      <c r="A359" s="64"/>
      <c r="B359" s="54"/>
      <c r="C359" s="40" t="s">
        <v>609</v>
      </c>
      <c r="D359" s="40"/>
    </row>
    <row r="360" spans="1:4">
      <c r="A360" s="64"/>
      <c r="B360" s="54"/>
      <c r="C360" s="40" t="s">
        <v>610</v>
      </c>
      <c r="D360" s="40"/>
    </row>
    <row r="361" spans="1:4">
      <c r="A361" s="64"/>
      <c r="B361" s="54"/>
      <c r="C361" s="40" t="s">
        <v>611</v>
      </c>
      <c r="D361" s="40"/>
    </row>
    <row r="362" spans="1:4">
      <c r="A362" s="64"/>
      <c r="B362" s="54"/>
      <c r="C362" s="40" t="s">
        <v>612</v>
      </c>
      <c r="D362" s="40"/>
    </row>
    <row r="363" spans="1:4">
      <c r="A363" s="64"/>
      <c r="B363" s="54"/>
      <c r="C363" s="40" t="s">
        <v>613</v>
      </c>
      <c r="D363" s="40"/>
    </row>
    <row r="364" spans="1:4">
      <c r="A364" s="64"/>
      <c r="B364" s="54"/>
      <c r="C364" s="40" t="s">
        <v>614</v>
      </c>
      <c r="D364" s="40"/>
    </row>
    <row r="365" spans="1:4">
      <c r="A365" s="64"/>
      <c r="B365" s="54"/>
      <c r="C365" s="40" t="s">
        <v>615</v>
      </c>
      <c r="D365" s="40"/>
    </row>
    <row r="366" spans="1:4">
      <c r="A366" s="64"/>
      <c r="B366" s="54"/>
      <c r="C366" s="40" t="s">
        <v>616</v>
      </c>
      <c r="D366" s="40"/>
    </row>
    <row r="367" spans="1:4">
      <c r="A367" s="64"/>
      <c r="B367" s="54"/>
      <c r="C367" s="40" t="s">
        <v>617</v>
      </c>
      <c r="D367" s="40"/>
    </row>
    <row r="368" spans="1:4">
      <c r="A368" s="64"/>
      <c r="B368" s="54"/>
      <c r="C368" s="40" t="s">
        <v>618</v>
      </c>
      <c r="D368" s="40"/>
    </row>
    <row r="369" spans="1:4">
      <c r="A369" s="64"/>
      <c r="B369" s="54"/>
      <c r="C369" s="40" t="s">
        <v>619</v>
      </c>
      <c r="D369" s="40"/>
    </row>
    <row r="370" spans="1:4">
      <c r="A370" s="64"/>
      <c r="B370" s="54"/>
      <c r="C370" s="40" t="s">
        <v>620</v>
      </c>
      <c r="D370" s="40"/>
    </row>
    <row r="371" spans="1:4">
      <c r="A371" s="64"/>
      <c r="B371" s="54"/>
      <c r="C371" s="40" t="s">
        <v>621</v>
      </c>
      <c r="D371" s="40"/>
    </row>
    <row r="372" spans="1:4">
      <c r="A372" s="64"/>
      <c r="B372" s="54"/>
      <c r="C372" s="40" t="s">
        <v>622</v>
      </c>
      <c r="D372" s="40"/>
    </row>
    <row r="373" spans="1:4">
      <c r="A373" s="64"/>
      <c r="B373" s="54"/>
      <c r="C373" s="40" t="s">
        <v>623</v>
      </c>
      <c r="D373" s="40"/>
    </row>
    <row r="374" spans="1:4">
      <c r="A374" s="64"/>
      <c r="B374" s="54"/>
      <c r="C374" s="40" t="s">
        <v>624</v>
      </c>
      <c r="D374" s="40"/>
    </row>
    <row r="375" spans="1:4">
      <c r="A375" s="64"/>
      <c r="B375" s="54"/>
      <c r="C375" s="40" t="s">
        <v>625</v>
      </c>
      <c r="D375" s="40"/>
    </row>
    <row r="376" spans="1:4">
      <c r="A376" s="64"/>
      <c r="B376" s="54"/>
      <c r="C376" s="40" t="s">
        <v>626</v>
      </c>
      <c r="D376" s="40"/>
    </row>
    <row r="377" spans="1:4">
      <c r="A377" s="64"/>
      <c r="B377" s="54"/>
      <c r="C377" s="40" t="s">
        <v>627</v>
      </c>
      <c r="D377" s="40"/>
    </row>
    <row r="378" spans="1:4">
      <c r="A378" s="64"/>
      <c r="B378" s="54"/>
      <c r="C378" s="40" t="s">
        <v>628</v>
      </c>
      <c r="D378" s="40"/>
    </row>
    <row r="379" spans="1:4">
      <c r="A379" s="64"/>
      <c r="B379" s="54"/>
      <c r="C379" s="40" t="s">
        <v>629</v>
      </c>
      <c r="D379" s="40"/>
    </row>
    <row r="380" spans="1:4">
      <c r="A380" s="64"/>
      <c r="B380" s="54"/>
      <c r="C380" s="40" t="s">
        <v>630</v>
      </c>
      <c r="D380" s="40"/>
    </row>
    <row r="381" spans="1:4">
      <c r="A381" s="64"/>
      <c r="B381" s="54"/>
      <c r="C381" s="40" t="s">
        <v>631</v>
      </c>
      <c r="D381" s="40"/>
    </row>
    <row r="382" spans="1:4">
      <c r="A382" s="64"/>
      <c r="B382" s="54"/>
      <c r="C382" s="40" t="s">
        <v>632</v>
      </c>
      <c r="D382" s="40"/>
    </row>
    <row r="383" spans="1:4">
      <c r="A383" s="64"/>
      <c r="B383" s="54"/>
      <c r="C383" s="40" t="s">
        <v>633</v>
      </c>
      <c r="D383" s="40"/>
    </row>
    <row r="384" spans="1:4">
      <c r="A384" s="64"/>
      <c r="B384" s="54"/>
      <c r="C384" s="40" t="s">
        <v>634</v>
      </c>
      <c r="D384" s="40"/>
    </row>
    <row r="385" spans="1:4">
      <c r="A385" s="64"/>
      <c r="B385" s="54"/>
      <c r="C385" s="40" t="s">
        <v>635</v>
      </c>
      <c r="D385" s="40"/>
    </row>
    <row r="386" spans="1:4">
      <c r="A386" s="64"/>
      <c r="B386" s="54"/>
      <c r="C386" s="40" t="s">
        <v>636</v>
      </c>
      <c r="D386" s="40"/>
    </row>
    <row r="387" spans="1:4">
      <c r="A387" s="64"/>
      <c r="B387" s="54"/>
      <c r="C387" s="40" t="s">
        <v>637</v>
      </c>
      <c r="D387" s="40"/>
    </row>
    <row r="388" spans="1:4">
      <c r="A388" s="64"/>
      <c r="B388" s="54"/>
      <c r="C388" s="40" t="s">
        <v>638</v>
      </c>
      <c r="D388" s="40"/>
    </row>
    <row r="389" spans="1:4">
      <c r="A389" s="64"/>
      <c r="B389" s="54"/>
      <c r="C389" s="40" t="s">
        <v>639</v>
      </c>
      <c r="D389" s="40"/>
    </row>
    <row r="390" spans="1:4">
      <c r="A390" s="64"/>
      <c r="B390" s="54"/>
      <c r="C390" s="40" t="s">
        <v>640</v>
      </c>
      <c r="D390" s="40"/>
    </row>
    <row r="391" spans="1:4">
      <c r="A391" s="64"/>
      <c r="B391" s="54"/>
      <c r="C391" s="40" t="s">
        <v>641</v>
      </c>
      <c r="D391" s="40"/>
    </row>
    <row r="392" spans="1:4">
      <c r="A392" s="64"/>
      <c r="B392" s="54"/>
      <c r="C392" s="40" t="s">
        <v>642</v>
      </c>
      <c r="D392" s="40"/>
    </row>
    <row r="393" spans="1:4">
      <c r="A393" s="64"/>
      <c r="B393" s="54"/>
      <c r="C393" s="40" t="s">
        <v>643</v>
      </c>
      <c r="D393" s="40"/>
    </row>
    <row r="394" spans="1:4">
      <c r="A394" s="64"/>
      <c r="B394" s="54"/>
      <c r="C394" s="40" t="s">
        <v>644</v>
      </c>
      <c r="D394" s="40"/>
    </row>
    <row r="395" spans="1:4">
      <c r="A395" s="64"/>
      <c r="B395" s="54"/>
      <c r="C395" s="40" t="s">
        <v>645</v>
      </c>
      <c r="D395" s="40"/>
    </row>
    <row r="396" spans="1:4">
      <c r="A396" s="64"/>
      <c r="B396" s="54"/>
      <c r="C396" s="40" t="s">
        <v>646</v>
      </c>
      <c r="D396" s="40"/>
    </row>
    <row r="397" spans="1:4">
      <c r="A397" s="64"/>
      <c r="B397" s="54"/>
      <c r="C397" s="40" t="s">
        <v>647</v>
      </c>
      <c r="D397" s="40"/>
    </row>
    <row r="398" spans="1:4">
      <c r="A398" s="64"/>
      <c r="B398" s="54"/>
      <c r="C398" s="40" t="s">
        <v>648</v>
      </c>
      <c r="D398" s="40"/>
    </row>
    <row r="399" spans="1:4">
      <c r="A399" s="64"/>
      <c r="B399" s="54"/>
      <c r="C399" s="40" t="s">
        <v>649</v>
      </c>
      <c r="D399" s="40"/>
    </row>
    <row r="400" spans="1:4">
      <c r="A400" s="64"/>
      <c r="B400" s="54"/>
      <c r="C400" s="40" t="s">
        <v>650</v>
      </c>
      <c r="D400" s="40"/>
    </row>
    <row r="401" spans="1:4">
      <c r="A401" s="64"/>
      <c r="B401" s="54"/>
      <c r="C401" s="40" t="s">
        <v>651</v>
      </c>
      <c r="D401" s="40"/>
    </row>
    <row r="402" spans="1:4">
      <c r="A402" s="64"/>
      <c r="B402" s="54"/>
      <c r="C402" s="40" t="s">
        <v>652</v>
      </c>
      <c r="D402" s="40"/>
    </row>
    <row r="403" spans="1:4">
      <c r="A403" s="64"/>
      <c r="B403" s="54"/>
      <c r="C403" s="40" t="s">
        <v>653</v>
      </c>
      <c r="D403" s="40"/>
    </row>
    <row r="404" spans="1:4">
      <c r="A404" s="64"/>
      <c r="B404" s="54"/>
      <c r="C404" s="40" t="s">
        <v>654</v>
      </c>
      <c r="D404" s="40"/>
    </row>
    <row r="405" spans="1:4">
      <c r="A405" s="64"/>
      <c r="B405" s="54"/>
      <c r="C405" s="40" t="s">
        <v>655</v>
      </c>
      <c r="D405" s="40"/>
    </row>
    <row r="406" spans="1:4">
      <c r="A406" s="64"/>
      <c r="B406" s="54"/>
      <c r="C406" s="40" t="s">
        <v>656</v>
      </c>
      <c r="D406" s="40"/>
    </row>
    <row r="407" spans="1:4">
      <c r="A407" s="64"/>
      <c r="B407" s="54"/>
      <c r="C407" s="40" t="s">
        <v>657</v>
      </c>
      <c r="D407" s="40"/>
    </row>
    <row r="408" spans="1:4">
      <c r="A408" s="64"/>
      <c r="B408" s="54"/>
      <c r="C408" s="40" t="s">
        <v>658</v>
      </c>
      <c r="D408" s="40"/>
    </row>
    <row r="409" spans="1:4">
      <c r="A409" s="64"/>
      <c r="B409" s="54"/>
      <c r="C409" s="40" t="s">
        <v>659</v>
      </c>
      <c r="D409" s="40"/>
    </row>
    <row r="410" spans="1:4">
      <c r="A410" s="64"/>
      <c r="B410" s="54"/>
      <c r="C410" s="40" t="s">
        <v>660</v>
      </c>
      <c r="D410" s="40"/>
    </row>
    <row r="411" spans="1:4">
      <c r="A411" s="64"/>
      <c r="B411" s="54"/>
      <c r="C411" s="40" t="s">
        <v>661</v>
      </c>
      <c r="D411" s="40"/>
    </row>
    <row r="412" spans="1:4">
      <c r="A412" s="64"/>
      <c r="B412" s="54"/>
      <c r="C412" s="40" t="s">
        <v>662</v>
      </c>
      <c r="D412" s="40"/>
    </row>
    <row r="413" spans="1:4">
      <c r="A413" s="64"/>
      <c r="B413" s="54"/>
      <c r="C413" s="40" t="s">
        <v>663</v>
      </c>
      <c r="D413" s="40"/>
    </row>
    <row r="414" spans="1:4">
      <c r="A414" s="64"/>
      <c r="B414" s="54"/>
      <c r="C414" s="40" t="s">
        <v>664</v>
      </c>
      <c r="D414" s="40"/>
    </row>
    <row r="415" spans="1:4">
      <c r="A415" s="64"/>
      <c r="B415" s="54"/>
      <c r="C415" s="40" t="s">
        <v>665</v>
      </c>
      <c r="D415" s="40"/>
    </row>
    <row r="416" spans="1:4">
      <c r="A416" s="64"/>
      <c r="B416" s="54"/>
      <c r="C416" s="40" t="s">
        <v>666</v>
      </c>
      <c r="D416" s="40"/>
    </row>
    <row r="417" spans="1:4">
      <c r="A417" s="64"/>
      <c r="B417" s="54"/>
      <c r="C417" s="40" t="s">
        <v>667</v>
      </c>
      <c r="D417" s="40"/>
    </row>
    <row r="418" spans="1:4">
      <c r="A418" s="64"/>
      <c r="B418" s="54"/>
      <c r="C418" s="40" t="s">
        <v>668</v>
      </c>
      <c r="D418" s="40"/>
    </row>
    <row r="419" spans="1:4">
      <c r="A419" s="64"/>
      <c r="B419" s="54"/>
      <c r="C419" s="40" t="s">
        <v>669</v>
      </c>
      <c r="D419" s="40"/>
    </row>
    <row r="420" spans="1:4">
      <c r="A420" s="64"/>
      <c r="B420" s="54"/>
      <c r="C420" s="40" t="s">
        <v>670</v>
      </c>
      <c r="D420" s="40"/>
    </row>
    <row r="421" spans="1:4">
      <c r="A421" s="64"/>
      <c r="B421" s="54"/>
      <c r="C421" s="40" t="s">
        <v>671</v>
      </c>
      <c r="D421" s="40"/>
    </row>
    <row r="422" spans="1:4">
      <c r="A422" s="64"/>
      <c r="B422" s="54"/>
      <c r="C422" s="40" t="s">
        <v>672</v>
      </c>
      <c r="D422" s="40"/>
    </row>
    <row r="423" spans="1:4">
      <c r="A423" s="64"/>
      <c r="B423" s="54"/>
      <c r="C423" s="40" t="s">
        <v>673</v>
      </c>
      <c r="D423" s="40"/>
    </row>
    <row r="424" spans="1:4">
      <c r="A424" s="64"/>
      <c r="B424" s="54"/>
      <c r="C424" s="40" t="s">
        <v>674</v>
      </c>
      <c r="D424" s="40"/>
    </row>
    <row r="425" spans="1:4">
      <c r="A425" s="64"/>
      <c r="B425" s="54"/>
      <c r="C425" s="40" t="s">
        <v>675</v>
      </c>
      <c r="D425" s="40"/>
    </row>
    <row r="426" spans="1:4">
      <c r="A426" s="64"/>
      <c r="B426" s="54"/>
      <c r="C426" s="40" t="s">
        <v>676</v>
      </c>
      <c r="D426" s="40"/>
    </row>
    <row r="427" spans="1:4">
      <c r="A427" s="64"/>
      <c r="B427" s="54"/>
      <c r="C427" s="40" t="s">
        <v>677</v>
      </c>
      <c r="D427" s="40"/>
    </row>
    <row r="428" spans="1:4">
      <c r="A428" s="64"/>
      <c r="B428" s="54"/>
      <c r="C428" s="40" t="s">
        <v>678</v>
      </c>
      <c r="D428" s="40"/>
    </row>
    <row r="429" spans="1:4">
      <c r="A429" s="64"/>
      <c r="B429" s="54"/>
      <c r="C429" s="40" t="s">
        <v>679</v>
      </c>
      <c r="D429" s="40"/>
    </row>
    <row r="430" spans="1:4">
      <c r="A430" s="64"/>
      <c r="B430" s="54"/>
      <c r="C430" s="40" t="s">
        <v>680</v>
      </c>
      <c r="D430" s="40"/>
    </row>
    <row r="431" spans="1:4">
      <c r="A431" s="64"/>
      <c r="B431" s="54"/>
      <c r="C431" s="40" t="s">
        <v>681</v>
      </c>
      <c r="D431" s="40"/>
    </row>
    <row r="432" spans="1:4">
      <c r="A432" s="64"/>
      <c r="B432" s="54"/>
      <c r="C432" s="40" t="s">
        <v>682</v>
      </c>
      <c r="D432" s="40"/>
    </row>
    <row r="433" spans="1:4">
      <c r="A433" s="64"/>
      <c r="B433" s="54"/>
      <c r="C433" s="40" t="s">
        <v>683</v>
      </c>
      <c r="D433" s="40"/>
    </row>
    <row r="434" spans="1:4">
      <c r="A434" s="64"/>
      <c r="B434" s="54"/>
      <c r="C434" s="40" t="s">
        <v>684</v>
      </c>
      <c r="D434" s="40"/>
    </row>
    <row r="435" spans="1:4">
      <c r="A435" s="64"/>
      <c r="B435" s="54"/>
      <c r="C435" s="40" t="s">
        <v>685</v>
      </c>
      <c r="D435" s="40"/>
    </row>
    <row r="436" spans="1:4">
      <c r="A436" s="64"/>
      <c r="B436" s="54"/>
      <c r="C436" s="40" t="s">
        <v>686</v>
      </c>
      <c r="D436" s="40"/>
    </row>
    <row r="437" spans="1:4">
      <c r="A437" s="64"/>
      <c r="B437" s="54"/>
      <c r="C437" s="40" t="s">
        <v>687</v>
      </c>
      <c r="D437" s="40"/>
    </row>
    <row r="438" spans="1:4">
      <c r="A438" s="64"/>
      <c r="B438" s="54"/>
      <c r="C438" s="40" t="s">
        <v>688</v>
      </c>
      <c r="D438" s="40"/>
    </row>
    <row r="439" spans="1:4">
      <c r="A439" s="64"/>
      <c r="B439" s="54"/>
      <c r="C439" s="40" t="s">
        <v>689</v>
      </c>
      <c r="D439" s="40"/>
    </row>
    <row r="440" spans="1:4">
      <c r="A440" s="64"/>
      <c r="B440" s="54"/>
      <c r="C440" s="40" t="s">
        <v>690</v>
      </c>
      <c r="D440" s="40"/>
    </row>
    <row r="441" spans="1:4">
      <c r="A441" s="64"/>
      <c r="B441" s="54"/>
      <c r="C441" s="40" t="s">
        <v>691</v>
      </c>
      <c r="D441" s="40"/>
    </row>
    <row r="442" spans="1:4">
      <c r="A442" s="64"/>
      <c r="B442" s="54"/>
      <c r="C442" s="40" t="s">
        <v>692</v>
      </c>
      <c r="D442" s="40"/>
    </row>
    <row r="443" spans="1:4">
      <c r="A443" s="64"/>
      <c r="B443" s="54"/>
      <c r="C443" s="40" t="s">
        <v>693</v>
      </c>
      <c r="D443" s="40"/>
    </row>
    <row r="444" spans="1:4">
      <c r="A444" s="64"/>
      <c r="B444" s="54"/>
      <c r="C444" s="40" t="s">
        <v>694</v>
      </c>
      <c r="D444" s="40"/>
    </row>
    <row r="445" spans="1:4">
      <c r="A445" s="64"/>
      <c r="B445" s="54"/>
      <c r="C445" s="40" t="s">
        <v>695</v>
      </c>
      <c r="D445" s="40"/>
    </row>
    <row r="446" spans="1:4">
      <c r="A446" s="64"/>
      <c r="B446" s="54"/>
      <c r="C446" s="40" t="s">
        <v>696</v>
      </c>
      <c r="D446" s="40"/>
    </row>
    <row r="447" spans="1:4">
      <c r="A447" s="64"/>
      <c r="B447" s="54"/>
      <c r="C447" s="40" t="s">
        <v>697</v>
      </c>
      <c r="D447" s="40"/>
    </row>
    <row r="448" spans="1:4">
      <c r="A448" s="64"/>
      <c r="B448" s="54"/>
      <c r="C448" s="40" t="s">
        <v>698</v>
      </c>
      <c r="D448" s="40"/>
    </row>
    <row r="449" spans="1:4">
      <c r="A449" s="64"/>
      <c r="B449" s="54"/>
      <c r="C449" s="40" t="s">
        <v>699</v>
      </c>
      <c r="D449" s="40"/>
    </row>
    <row r="450" spans="1:4">
      <c r="A450" s="64"/>
      <c r="B450" s="54"/>
      <c r="C450" s="40" t="s">
        <v>700</v>
      </c>
      <c r="D450" s="40"/>
    </row>
    <row r="451" spans="1:4">
      <c r="A451" s="64"/>
      <c r="B451" s="54"/>
      <c r="C451" s="40" t="s">
        <v>701</v>
      </c>
      <c r="D451" s="40"/>
    </row>
    <row r="452" spans="1:4">
      <c r="A452" s="64"/>
      <c r="B452" s="54"/>
      <c r="C452" s="40" t="s">
        <v>702</v>
      </c>
      <c r="D452" s="40"/>
    </row>
    <row r="453" spans="1:4">
      <c r="A453" s="64"/>
      <c r="B453" s="54"/>
      <c r="C453" s="40" t="s">
        <v>703</v>
      </c>
      <c r="D453" s="40"/>
    </row>
    <row r="454" spans="1:4">
      <c r="A454" s="64"/>
      <c r="B454" s="54"/>
      <c r="C454" s="40" t="s">
        <v>704</v>
      </c>
      <c r="D454" s="40"/>
    </row>
    <row r="455" spans="1:4">
      <c r="A455" s="64"/>
      <c r="B455" s="54"/>
      <c r="C455" s="40" t="s">
        <v>705</v>
      </c>
      <c r="D455" s="40"/>
    </row>
    <row r="456" spans="1:4">
      <c r="A456" s="64"/>
      <c r="B456" s="54"/>
      <c r="C456" s="40" t="s">
        <v>706</v>
      </c>
      <c r="D456" s="40"/>
    </row>
    <row r="457" spans="1:4">
      <c r="A457" s="64"/>
      <c r="B457" s="54"/>
      <c r="C457" s="40" t="s">
        <v>707</v>
      </c>
      <c r="D457" s="40"/>
    </row>
    <row r="458" spans="1:4">
      <c r="A458" s="64"/>
      <c r="B458" s="54"/>
      <c r="C458" s="40" t="s">
        <v>708</v>
      </c>
      <c r="D458" s="40"/>
    </row>
    <row r="459" spans="1:4">
      <c r="A459" s="64"/>
      <c r="B459" s="54"/>
      <c r="C459" s="40" t="s">
        <v>709</v>
      </c>
      <c r="D459" s="40"/>
    </row>
    <row r="460" spans="1:4">
      <c r="A460" s="64"/>
      <c r="B460" s="54"/>
      <c r="C460" s="40" t="s">
        <v>710</v>
      </c>
      <c r="D460" s="40"/>
    </row>
    <row r="461" spans="1:4">
      <c r="A461" s="64"/>
      <c r="B461" s="54"/>
      <c r="C461" s="40" t="s">
        <v>711</v>
      </c>
      <c r="D461" s="40"/>
    </row>
    <row r="462" spans="1:4">
      <c r="A462" s="64"/>
      <c r="B462" s="54"/>
      <c r="C462" s="40" t="s">
        <v>712</v>
      </c>
      <c r="D462" s="40"/>
    </row>
    <row r="463" spans="1:4">
      <c r="A463" s="64"/>
      <c r="B463" s="54"/>
      <c r="C463" s="40" t="s">
        <v>713</v>
      </c>
      <c r="D463" s="40"/>
    </row>
    <row r="464" spans="1:4">
      <c r="A464" s="64"/>
      <c r="B464" s="54"/>
      <c r="C464" s="40" t="s">
        <v>714</v>
      </c>
      <c r="D464" s="40"/>
    </row>
    <row r="465" spans="1:4">
      <c r="A465" s="64"/>
      <c r="B465" s="54"/>
      <c r="C465" s="40" t="s">
        <v>715</v>
      </c>
      <c r="D465" s="40"/>
    </row>
    <row r="466" spans="1:4">
      <c r="A466" s="64"/>
      <c r="B466" s="54"/>
      <c r="C466" s="40" t="s">
        <v>716</v>
      </c>
      <c r="D466" s="40"/>
    </row>
    <row r="467" spans="1:4">
      <c r="A467" s="64"/>
      <c r="B467" s="54"/>
      <c r="C467" s="40" t="s">
        <v>717</v>
      </c>
      <c r="D467" s="40"/>
    </row>
    <row r="468" spans="1:4">
      <c r="A468" s="64"/>
      <c r="B468" s="54"/>
      <c r="C468" s="40" t="s">
        <v>718</v>
      </c>
      <c r="D468" s="40"/>
    </row>
    <row r="469" spans="1:4">
      <c r="A469" s="64"/>
      <c r="B469" s="54"/>
      <c r="C469" s="40" t="s">
        <v>719</v>
      </c>
      <c r="D469" s="40"/>
    </row>
    <row r="470" spans="1:4">
      <c r="A470" s="64"/>
      <c r="B470" s="54"/>
      <c r="C470" s="40" t="s">
        <v>720</v>
      </c>
      <c r="D470" s="40"/>
    </row>
    <row r="471" spans="1:4">
      <c r="A471" s="64"/>
      <c r="B471" s="54"/>
      <c r="C471" s="40" t="s">
        <v>721</v>
      </c>
      <c r="D471" s="40"/>
    </row>
    <row r="472" spans="1:4">
      <c r="A472" s="64"/>
      <c r="B472" s="54"/>
      <c r="C472" s="40" t="s">
        <v>722</v>
      </c>
      <c r="D472" s="40"/>
    </row>
    <row r="473" spans="1:4">
      <c r="A473" s="64"/>
      <c r="B473" s="54"/>
      <c r="C473" s="40" t="s">
        <v>723</v>
      </c>
      <c r="D473" s="40"/>
    </row>
    <row r="474" spans="1:4">
      <c r="A474" s="64"/>
      <c r="B474" s="54"/>
      <c r="C474" s="40" t="s">
        <v>724</v>
      </c>
      <c r="D474" s="40"/>
    </row>
    <row r="475" spans="1:4">
      <c r="A475" s="64"/>
      <c r="B475" s="54"/>
      <c r="C475" s="40" t="s">
        <v>725</v>
      </c>
      <c r="D475" s="40"/>
    </row>
    <row r="476" spans="1:4">
      <c r="A476" s="64"/>
      <c r="B476" s="54"/>
      <c r="C476" s="40" t="s">
        <v>726</v>
      </c>
      <c r="D476" s="40"/>
    </row>
    <row r="477" spans="1:4">
      <c r="A477" s="64"/>
      <c r="B477" s="54"/>
      <c r="C477" s="40" t="s">
        <v>727</v>
      </c>
      <c r="D477" s="40"/>
    </row>
    <row r="478" spans="1:4">
      <c r="A478" s="64"/>
      <c r="B478" s="54"/>
      <c r="C478" s="40" t="s">
        <v>728</v>
      </c>
      <c r="D478" s="40"/>
    </row>
    <row r="479" spans="1:4">
      <c r="A479" s="64"/>
      <c r="B479" s="54"/>
      <c r="C479" s="40" t="s">
        <v>729</v>
      </c>
      <c r="D479" s="40"/>
    </row>
    <row r="480" spans="1:4">
      <c r="A480" s="64"/>
      <c r="B480" s="54"/>
      <c r="C480" s="40" t="s">
        <v>730</v>
      </c>
      <c r="D480" s="40"/>
    </row>
    <row r="481" spans="1:4">
      <c r="A481" s="64"/>
      <c r="B481" s="54"/>
      <c r="C481" s="40" t="s">
        <v>731</v>
      </c>
      <c r="D481" s="40"/>
    </row>
    <row r="482" spans="1:4">
      <c r="A482" s="64"/>
      <c r="B482" s="54"/>
      <c r="C482" s="40" t="s">
        <v>732</v>
      </c>
      <c r="D482" s="40"/>
    </row>
    <row r="483" spans="1:4">
      <c r="A483" s="64"/>
      <c r="B483" s="54"/>
      <c r="C483" s="40" t="s">
        <v>733</v>
      </c>
      <c r="D483" s="40"/>
    </row>
    <row r="484" spans="1:4">
      <c r="A484" s="64"/>
      <c r="B484" s="54"/>
      <c r="C484" s="40" t="s">
        <v>734</v>
      </c>
      <c r="D484" s="40"/>
    </row>
    <row r="485" spans="1:4">
      <c r="A485" s="64"/>
      <c r="B485" s="54"/>
      <c r="C485" s="40" t="s">
        <v>735</v>
      </c>
      <c r="D485" s="40"/>
    </row>
    <row r="486" spans="1:4">
      <c r="A486" s="64"/>
      <c r="B486" s="54"/>
      <c r="C486" s="40" t="s">
        <v>736</v>
      </c>
      <c r="D486" s="40"/>
    </row>
    <row r="487" spans="1:4">
      <c r="A487" s="64"/>
      <c r="B487" s="54"/>
      <c r="C487" s="40" t="s">
        <v>737</v>
      </c>
      <c r="D487" s="40"/>
    </row>
    <row r="488" spans="1:4">
      <c r="A488" s="64"/>
      <c r="B488" s="54"/>
      <c r="C488" s="40" t="s">
        <v>738</v>
      </c>
      <c r="D488" s="40"/>
    </row>
    <row r="489" spans="1:4">
      <c r="A489" s="64"/>
      <c r="B489" s="54"/>
      <c r="C489" s="40" t="s">
        <v>109</v>
      </c>
      <c r="D489" s="40"/>
    </row>
    <row r="490" spans="1:4">
      <c r="A490" s="64"/>
      <c r="B490" s="54"/>
      <c r="C490" s="40" t="s">
        <v>739</v>
      </c>
      <c r="D490" s="40"/>
    </row>
    <row r="491" spans="1:4">
      <c r="A491" s="64"/>
      <c r="B491" s="54"/>
      <c r="C491" s="40" t="s">
        <v>740</v>
      </c>
      <c r="D491" s="40"/>
    </row>
    <row r="492" spans="1:4">
      <c r="A492" s="64"/>
      <c r="B492" s="54"/>
      <c r="C492" s="40" t="s">
        <v>741</v>
      </c>
      <c r="D492" s="40"/>
    </row>
    <row r="493" spans="1:4">
      <c r="A493" s="64"/>
      <c r="B493" s="54"/>
      <c r="C493" s="40" t="s">
        <v>742</v>
      </c>
      <c r="D493" s="40"/>
    </row>
    <row r="494" spans="1:4">
      <c r="A494" s="64"/>
      <c r="B494" s="54"/>
      <c r="C494" s="40" t="s">
        <v>743</v>
      </c>
      <c r="D494" s="40"/>
    </row>
    <row r="495" spans="1:4">
      <c r="A495" s="64"/>
      <c r="B495" s="54"/>
      <c r="C495" s="40" t="s">
        <v>744</v>
      </c>
      <c r="D495" s="40"/>
    </row>
    <row r="496" spans="1:4">
      <c r="A496" s="64"/>
      <c r="B496" s="54"/>
      <c r="C496" s="40" t="s">
        <v>745</v>
      </c>
      <c r="D496" s="40"/>
    </row>
    <row r="497" spans="1:4">
      <c r="A497" s="64"/>
      <c r="B497" s="54"/>
      <c r="C497" s="40" t="s">
        <v>746</v>
      </c>
      <c r="D497" s="40"/>
    </row>
    <row r="498" spans="1:4">
      <c r="A498" s="65"/>
      <c r="B498" s="55"/>
      <c r="C498" s="40" t="s">
        <v>576</v>
      </c>
      <c r="D498" s="40"/>
    </row>
    <row r="499" spans="1:4">
      <c r="A499" s="97"/>
      <c r="B499" s="101" t="s">
        <v>747</v>
      </c>
      <c r="C499" s="38" t="s">
        <v>446</v>
      </c>
      <c r="D499" s="38"/>
    </row>
    <row r="500" spans="1:4">
      <c r="A500" s="46"/>
      <c r="B500" s="101"/>
      <c r="C500" s="38" t="s">
        <v>748</v>
      </c>
      <c r="D500" s="38"/>
    </row>
    <row r="501" spans="1:4">
      <c r="A501" s="46"/>
      <c r="B501" s="101"/>
      <c r="C501" s="38" t="s">
        <v>749</v>
      </c>
      <c r="D501" s="38"/>
    </row>
    <row r="502" spans="1:4">
      <c r="A502" s="46"/>
      <c r="B502" s="101"/>
      <c r="C502" s="38" t="s">
        <v>750</v>
      </c>
      <c r="D502" s="38"/>
    </row>
    <row r="503" spans="1:4">
      <c r="A503" s="46"/>
      <c r="B503" s="101"/>
      <c r="C503" s="38" t="s">
        <v>751</v>
      </c>
      <c r="D503" s="38"/>
    </row>
    <row r="504" spans="1:4">
      <c r="A504" s="46"/>
      <c r="B504" s="101"/>
      <c r="C504" s="38" t="s">
        <v>752</v>
      </c>
      <c r="D504" s="38"/>
    </row>
    <row r="505" spans="1:4">
      <c r="A505" s="46"/>
      <c r="B505" s="101"/>
      <c r="C505" s="38" t="s">
        <v>753</v>
      </c>
      <c r="D505" s="38"/>
    </row>
    <row r="506" spans="1:4">
      <c r="A506" s="46"/>
      <c r="B506" s="101"/>
      <c r="C506" s="38" t="s">
        <v>754</v>
      </c>
      <c r="D506" s="38"/>
    </row>
    <row r="507" spans="1:4">
      <c r="A507" s="46"/>
      <c r="B507" s="101"/>
      <c r="C507" s="38" t="s">
        <v>755</v>
      </c>
      <c r="D507" s="38"/>
    </row>
    <row r="508" spans="1:4">
      <c r="A508" s="46"/>
      <c r="B508" s="101"/>
      <c r="C508" s="38" t="s">
        <v>756</v>
      </c>
      <c r="D508" s="38"/>
    </row>
    <row r="509" spans="1:4">
      <c r="A509" s="46"/>
      <c r="B509" s="101"/>
      <c r="C509" s="38" t="s">
        <v>757</v>
      </c>
      <c r="D509" s="38"/>
    </row>
    <row r="510" spans="1:4">
      <c r="A510" s="46"/>
      <c r="B510" s="101"/>
      <c r="C510" s="38" t="s">
        <v>758</v>
      </c>
      <c r="D510" s="38"/>
    </row>
    <row r="511" spans="1:4">
      <c r="A511" s="46"/>
      <c r="B511" s="101"/>
      <c r="C511" s="38" t="s">
        <v>759</v>
      </c>
      <c r="D511" s="38"/>
    </row>
    <row r="512" spans="1:4">
      <c r="A512" s="46"/>
      <c r="B512" s="101"/>
      <c r="C512" s="38" t="s">
        <v>492</v>
      </c>
      <c r="D512" s="38"/>
    </row>
    <row r="513" spans="1:4">
      <c r="A513" s="46"/>
      <c r="B513" s="101"/>
      <c r="C513" s="38" t="s">
        <v>109</v>
      </c>
      <c r="D513" s="38"/>
    </row>
    <row r="514" spans="1:4">
      <c r="A514" s="64"/>
      <c r="B514" s="50" t="s">
        <v>760</v>
      </c>
      <c r="C514" s="40" t="s">
        <v>347</v>
      </c>
      <c r="D514" s="40"/>
    </row>
    <row r="515" spans="1:4">
      <c r="A515" s="65"/>
      <c r="B515" s="52"/>
      <c r="C515" s="40" t="s">
        <v>139</v>
      </c>
      <c r="D515" s="40"/>
    </row>
    <row r="516" spans="1:4">
      <c r="A516" s="46"/>
      <c r="B516" s="101" t="s">
        <v>761</v>
      </c>
      <c r="C516" s="38" t="s">
        <v>762</v>
      </c>
      <c r="D516" s="38"/>
    </row>
    <row r="517" spans="1:4">
      <c r="A517" s="46"/>
      <c r="B517" s="101"/>
      <c r="C517" s="38" t="s">
        <v>763</v>
      </c>
      <c r="D517" s="38"/>
    </row>
    <row r="518" spans="1:4">
      <c r="A518" s="46"/>
      <c r="B518" s="101"/>
      <c r="C518" s="38" t="s">
        <v>764</v>
      </c>
      <c r="D518" s="38"/>
    </row>
    <row r="519" spans="1:4">
      <c r="A519" s="46"/>
      <c r="B519" s="101"/>
      <c r="C519" s="38" t="s">
        <v>765</v>
      </c>
      <c r="D519" s="38"/>
    </row>
    <row r="520" spans="1:4">
      <c r="A520" s="99"/>
      <c r="B520" s="50" t="s">
        <v>766</v>
      </c>
      <c r="C520" s="40" t="s">
        <v>767</v>
      </c>
      <c r="D520" s="40"/>
    </row>
    <row r="521" spans="1:4">
      <c r="A521" s="62"/>
      <c r="B521" s="51"/>
      <c r="C521" s="40" t="s">
        <v>768</v>
      </c>
      <c r="D521" s="40"/>
    </row>
    <row r="522" spans="1:4">
      <c r="A522" s="62"/>
      <c r="B522" s="51"/>
      <c r="C522" s="40" t="s">
        <v>769</v>
      </c>
      <c r="D522" s="40"/>
    </row>
    <row r="523" spans="1:4">
      <c r="A523" s="62"/>
      <c r="B523" s="51"/>
      <c r="C523" s="40" t="s">
        <v>770</v>
      </c>
      <c r="D523" s="40"/>
    </row>
    <row r="524" spans="1:4">
      <c r="A524" s="62"/>
      <c r="B524" s="51"/>
      <c r="C524" s="40" t="s">
        <v>771</v>
      </c>
      <c r="D524" s="40"/>
    </row>
    <row r="525" spans="1:4">
      <c r="A525" s="62"/>
      <c r="B525" s="51"/>
      <c r="C525" s="40" t="s">
        <v>772</v>
      </c>
      <c r="D525" s="40"/>
    </row>
    <row r="526" spans="1:4">
      <c r="A526" s="62"/>
      <c r="B526" s="51"/>
      <c r="C526" s="40" t="s">
        <v>773</v>
      </c>
      <c r="D526" s="40"/>
    </row>
    <row r="527" spans="1:4">
      <c r="A527" s="62"/>
      <c r="B527" s="51"/>
      <c r="C527" s="40" t="s">
        <v>774</v>
      </c>
      <c r="D527" s="40"/>
    </row>
    <row r="528" spans="1:4">
      <c r="A528" s="62"/>
      <c r="B528" s="51"/>
      <c r="C528" s="40" t="s">
        <v>775</v>
      </c>
      <c r="D528" s="40"/>
    </row>
    <row r="529" spans="1:4">
      <c r="A529" s="62"/>
      <c r="B529" s="51"/>
      <c r="C529" s="40" t="s">
        <v>756</v>
      </c>
      <c r="D529" s="40"/>
    </row>
    <row r="530" spans="1:4">
      <c r="A530" s="4"/>
      <c r="B530" s="51"/>
      <c r="C530" s="40" t="s">
        <v>776</v>
      </c>
      <c r="D530" s="40"/>
    </row>
    <row r="531" spans="1:4" ht="15">
      <c r="A531" s="62"/>
      <c r="B531" s="51"/>
      <c r="C531" s="40" t="s">
        <v>777</v>
      </c>
      <c r="D531" s="40" t="s">
        <v>778</v>
      </c>
    </row>
    <row r="532" spans="1:4" ht="15">
      <c r="A532" s="62"/>
      <c r="B532" s="51"/>
      <c r="C532" s="40" t="s">
        <v>779</v>
      </c>
      <c r="D532" s="40" t="s">
        <v>778</v>
      </c>
    </row>
    <row r="533" spans="1:4" ht="15">
      <c r="A533" s="62"/>
      <c r="B533" s="51"/>
      <c r="C533" s="40" t="s">
        <v>780</v>
      </c>
      <c r="D533" s="40" t="s">
        <v>778</v>
      </c>
    </row>
    <row r="534" spans="1:4">
      <c r="A534" s="62"/>
      <c r="B534" s="51"/>
      <c r="C534" s="40" t="s">
        <v>781</v>
      </c>
      <c r="D534" s="40"/>
    </row>
    <row r="535" spans="1:4">
      <c r="A535" s="62"/>
      <c r="B535" s="51"/>
      <c r="C535" s="40" t="s">
        <v>782</v>
      </c>
      <c r="D535" s="40"/>
    </row>
    <row r="536" spans="1:4">
      <c r="A536" s="62"/>
      <c r="B536" s="51"/>
      <c r="C536" s="40" t="s">
        <v>783</v>
      </c>
      <c r="D536" s="40"/>
    </row>
    <row r="537" spans="1:4">
      <c r="A537" s="62"/>
      <c r="B537" s="51"/>
      <c r="C537" s="40" t="s">
        <v>784</v>
      </c>
      <c r="D537" s="40"/>
    </row>
    <row r="538" spans="1:4">
      <c r="A538" s="62"/>
      <c r="B538" s="51"/>
      <c r="C538" s="40" t="s">
        <v>785</v>
      </c>
      <c r="D538" s="40"/>
    </row>
    <row r="539" spans="1:4">
      <c r="A539" s="62"/>
      <c r="B539" s="51"/>
      <c r="C539" s="40" t="s">
        <v>786</v>
      </c>
      <c r="D539" s="40"/>
    </row>
    <row r="540" spans="1:4">
      <c r="A540" s="62"/>
      <c r="B540" s="51"/>
      <c r="C540" s="40" t="s">
        <v>787</v>
      </c>
      <c r="D540" s="40"/>
    </row>
    <row r="541" spans="1:4">
      <c r="A541" s="62"/>
      <c r="B541" s="51"/>
      <c r="C541" s="40" t="s">
        <v>788</v>
      </c>
      <c r="D541" s="40"/>
    </row>
    <row r="542" spans="1:4">
      <c r="A542" s="62"/>
      <c r="B542" s="51"/>
      <c r="C542" s="40" t="s">
        <v>492</v>
      </c>
      <c r="D542" s="40"/>
    </row>
    <row r="543" spans="1:4">
      <c r="A543" s="62"/>
      <c r="B543" s="51"/>
      <c r="C543" s="40" t="s">
        <v>109</v>
      </c>
      <c r="D543" s="41"/>
    </row>
    <row r="544" spans="1:4">
      <c r="A544" s="68"/>
      <c r="B544" s="42" t="s">
        <v>789</v>
      </c>
      <c r="C544" s="38" t="s">
        <v>347</v>
      </c>
      <c r="D544" s="38"/>
    </row>
    <row r="545" spans="1:4">
      <c r="A545" s="69"/>
      <c r="B545" s="100"/>
      <c r="C545" s="38" t="s">
        <v>139</v>
      </c>
      <c r="D545" s="38"/>
    </row>
    <row r="546" spans="1:4">
      <c r="A546" s="62"/>
      <c r="B546" s="50" t="s">
        <v>790</v>
      </c>
      <c r="C546" s="40" t="s">
        <v>791</v>
      </c>
      <c r="D546" s="40"/>
    </row>
    <row r="547" spans="1:4">
      <c r="A547" s="62"/>
      <c r="B547" s="51"/>
      <c r="C547" s="40" t="s">
        <v>792</v>
      </c>
      <c r="D547" s="40"/>
    </row>
    <row r="548" spans="1:4">
      <c r="A548" s="62"/>
      <c r="B548" s="51"/>
      <c r="C548" s="40" t="s">
        <v>793</v>
      </c>
      <c r="D548" s="40"/>
    </row>
    <row r="549" spans="1:4">
      <c r="A549" s="62"/>
      <c r="B549" s="51"/>
      <c r="C549" s="40" t="s">
        <v>794</v>
      </c>
      <c r="D549" s="40"/>
    </row>
    <row r="550" spans="1:4">
      <c r="A550" s="62"/>
      <c r="B550" s="51"/>
      <c r="C550" s="40" t="s">
        <v>795</v>
      </c>
      <c r="D550" s="40"/>
    </row>
    <row r="551" spans="1:4">
      <c r="A551" s="68"/>
      <c r="B551" s="42" t="s">
        <v>796</v>
      </c>
      <c r="C551" s="38" t="s">
        <v>347</v>
      </c>
      <c r="D551" s="38"/>
    </row>
    <row r="552" spans="1:4">
      <c r="A552" s="69"/>
      <c r="B552" s="100"/>
      <c r="C552" s="38" t="s">
        <v>139</v>
      </c>
      <c r="D552" s="38"/>
    </row>
    <row r="553" spans="1:4">
      <c r="A553" s="47"/>
      <c r="B553" s="50" t="s">
        <v>797</v>
      </c>
      <c r="C553" s="40" t="s">
        <v>798</v>
      </c>
      <c r="D553" s="40"/>
    </row>
    <row r="554" spans="1:4">
      <c r="A554" s="48"/>
      <c r="B554" s="48"/>
      <c r="C554" s="40" t="s">
        <v>799</v>
      </c>
      <c r="D554" s="40"/>
    </row>
    <row r="555" spans="1:4">
      <c r="A555" s="48"/>
      <c r="B555" s="48"/>
      <c r="C555" s="40" t="s">
        <v>800</v>
      </c>
      <c r="D555" s="40"/>
    </row>
    <row r="556" spans="1:4">
      <c r="A556" s="48"/>
      <c r="B556" s="48"/>
      <c r="C556" s="40" t="s">
        <v>801</v>
      </c>
      <c r="D556" s="40"/>
    </row>
    <row r="557" spans="1:4">
      <c r="A557" s="48"/>
      <c r="B557" s="48"/>
      <c r="C557" s="40" t="s">
        <v>802</v>
      </c>
      <c r="D557" s="40"/>
    </row>
    <row r="558" spans="1:4">
      <c r="A558" s="48"/>
      <c r="B558" s="48"/>
      <c r="C558" s="40" t="s">
        <v>803</v>
      </c>
      <c r="D558" s="40"/>
    </row>
    <row r="559" spans="1:4">
      <c r="A559" s="48"/>
      <c r="B559" s="48"/>
      <c r="C559" s="40" t="s">
        <v>804</v>
      </c>
      <c r="D559" s="40"/>
    </row>
    <row r="560" spans="1:4">
      <c r="A560" s="48"/>
      <c r="B560" s="48"/>
      <c r="C560" s="40" t="s">
        <v>805</v>
      </c>
      <c r="D560" s="40"/>
    </row>
    <row r="561" spans="1:4">
      <c r="A561" s="48"/>
      <c r="B561" s="48"/>
      <c r="C561" s="40" t="s">
        <v>806</v>
      </c>
      <c r="D561" s="40"/>
    </row>
    <row r="562" spans="1:4">
      <c r="A562" s="48"/>
      <c r="B562" s="48"/>
      <c r="C562" s="40" t="s">
        <v>807</v>
      </c>
      <c r="D562" s="40"/>
    </row>
    <row r="563" spans="1:4">
      <c r="A563" s="48"/>
      <c r="B563" s="48"/>
      <c r="C563" s="40" t="s">
        <v>808</v>
      </c>
      <c r="D563" s="40"/>
    </row>
    <row r="564" spans="1:4">
      <c r="A564" s="48"/>
      <c r="B564" s="48"/>
      <c r="C564" s="40" t="s">
        <v>809</v>
      </c>
      <c r="D564" s="40"/>
    </row>
    <row r="565" spans="1:4">
      <c r="A565" s="48"/>
      <c r="B565" s="48"/>
      <c r="C565" s="40" t="s">
        <v>810</v>
      </c>
      <c r="D565" s="40"/>
    </row>
    <row r="566" spans="1:4">
      <c r="A566" s="48"/>
      <c r="B566" s="48"/>
      <c r="C566" s="40" t="s">
        <v>811</v>
      </c>
      <c r="D566" s="40"/>
    </row>
    <row r="567" spans="1:4">
      <c r="A567" s="48"/>
      <c r="B567" s="48"/>
      <c r="C567" s="40" t="s">
        <v>812</v>
      </c>
      <c r="D567" s="40"/>
    </row>
    <row r="568" spans="1:4">
      <c r="A568" s="48"/>
      <c r="B568" s="48"/>
      <c r="C568" s="40" t="s">
        <v>813</v>
      </c>
      <c r="D568" s="40"/>
    </row>
    <row r="569" spans="1:4">
      <c r="A569" s="48"/>
      <c r="B569" s="48"/>
      <c r="C569" s="40" t="s">
        <v>814</v>
      </c>
      <c r="D569" s="40"/>
    </row>
    <row r="570" spans="1:4">
      <c r="A570" s="48"/>
      <c r="B570" s="48"/>
      <c r="C570" s="40" t="s">
        <v>815</v>
      </c>
      <c r="D570" s="40"/>
    </row>
    <row r="571" spans="1:4">
      <c r="A571" s="48"/>
      <c r="B571" s="48"/>
      <c r="C571" s="40" t="s">
        <v>816</v>
      </c>
      <c r="D571" s="40"/>
    </row>
    <row r="572" spans="1:4">
      <c r="A572" s="48"/>
      <c r="B572" s="48"/>
      <c r="C572" s="40" t="s">
        <v>817</v>
      </c>
      <c r="D572" s="40"/>
    </row>
    <row r="573" spans="1:4">
      <c r="A573" s="48"/>
      <c r="B573" s="48"/>
      <c r="C573" s="40" t="s">
        <v>818</v>
      </c>
      <c r="D573" s="40"/>
    </row>
    <row r="574" spans="1:4">
      <c r="A574" s="48"/>
      <c r="B574" s="48"/>
      <c r="C574" s="40" t="s">
        <v>819</v>
      </c>
      <c r="D574" s="40"/>
    </row>
    <row r="575" spans="1:4">
      <c r="A575" s="48"/>
      <c r="B575" s="48"/>
      <c r="C575" s="40" t="s">
        <v>820</v>
      </c>
      <c r="D575" s="40"/>
    </row>
    <row r="576" spans="1:4">
      <c r="A576" s="48"/>
      <c r="B576" s="48"/>
      <c r="C576" s="40" t="s">
        <v>821</v>
      </c>
      <c r="D576" s="40"/>
    </row>
    <row r="577" spans="1:4">
      <c r="A577" s="48"/>
      <c r="B577" s="48"/>
      <c r="C577" s="40" t="s">
        <v>822</v>
      </c>
      <c r="D577" s="40"/>
    </row>
    <row r="578" spans="1:4">
      <c r="A578" s="48"/>
      <c r="B578" s="48"/>
      <c r="C578" s="40" t="s">
        <v>823</v>
      </c>
      <c r="D578" s="40"/>
    </row>
    <row r="579" spans="1:4">
      <c r="A579" s="48"/>
      <c r="B579" s="48"/>
      <c r="C579" s="40" t="s">
        <v>824</v>
      </c>
      <c r="D579" s="40"/>
    </row>
    <row r="580" spans="1:4">
      <c r="A580" s="48"/>
      <c r="B580" s="48"/>
      <c r="C580" s="40" t="s">
        <v>825</v>
      </c>
      <c r="D580" s="40"/>
    </row>
    <row r="581" spans="1:4">
      <c r="A581" s="48"/>
      <c r="B581" s="48"/>
      <c r="C581" s="40" t="s">
        <v>826</v>
      </c>
      <c r="D581" s="40"/>
    </row>
    <row r="582" spans="1:4">
      <c r="A582" s="48"/>
      <c r="B582" s="48"/>
      <c r="C582" s="40" t="s">
        <v>827</v>
      </c>
      <c r="D582" s="40"/>
    </row>
    <row r="583" spans="1:4">
      <c r="A583" s="48"/>
      <c r="B583" s="48"/>
      <c r="C583" s="40" t="s">
        <v>828</v>
      </c>
      <c r="D583" s="40"/>
    </row>
    <row r="584" spans="1:4">
      <c r="A584" s="48"/>
      <c r="B584" s="48"/>
      <c r="C584" s="40" t="s">
        <v>829</v>
      </c>
      <c r="D584" s="40"/>
    </row>
    <row r="585" spans="1:4">
      <c r="A585" s="48"/>
      <c r="B585" s="48"/>
      <c r="C585" s="40" t="s">
        <v>830</v>
      </c>
      <c r="D585" s="40"/>
    </row>
    <row r="586" spans="1:4">
      <c r="A586" s="48"/>
      <c r="B586" s="48"/>
      <c r="C586" s="40" t="s">
        <v>831</v>
      </c>
      <c r="D586" s="40"/>
    </row>
    <row r="587" spans="1:4">
      <c r="A587" s="48"/>
      <c r="B587" s="48"/>
      <c r="C587" s="40" t="s">
        <v>832</v>
      </c>
      <c r="D587" s="40"/>
    </row>
    <row r="588" spans="1:4">
      <c r="A588" s="48"/>
      <c r="B588" s="48"/>
      <c r="C588" s="40" t="s">
        <v>833</v>
      </c>
      <c r="D588" s="40"/>
    </row>
    <row r="589" spans="1:4">
      <c r="A589" s="48"/>
      <c r="B589" s="48"/>
      <c r="C589" s="40" t="s">
        <v>834</v>
      </c>
      <c r="D589" s="40"/>
    </row>
    <row r="590" spans="1:4">
      <c r="A590" s="48"/>
      <c r="B590" s="48"/>
      <c r="C590" s="40" t="s">
        <v>835</v>
      </c>
      <c r="D590" s="40"/>
    </row>
    <row r="591" spans="1:4">
      <c r="A591" s="49"/>
      <c r="B591" s="49"/>
      <c r="C591" s="40" t="s">
        <v>836</v>
      </c>
      <c r="D591" s="40"/>
    </row>
    <row r="592" spans="1:4">
      <c r="A592" s="46"/>
      <c r="B592" s="101" t="s">
        <v>127</v>
      </c>
      <c r="C592" s="38" t="s">
        <v>837</v>
      </c>
      <c r="D592" s="38"/>
    </row>
    <row r="593" spans="1:4">
      <c r="A593" s="46"/>
      <c r="B593" s="101"/>
      <c r="C593" s="38" t="s">
        <v>838</v>
      </c>
      <c r="D593" s="38"/>
    </row>
    <row r="594" spans="1:4">
      <c r="A594" s="46"/>
      <c r="B594" s="101"/>
      <c r="C594" s="38" t="s">
        <v>109</v>
      </c>
      <c r="D594" s="38"/>
    </row>
    <row r="595" spans="1:4">
      <c r="A595" s="50"/>
      <c r="B595" s="56" t="s">
        <v>839</v>
      </c>
      <c r="C595" s="40" t="s">
        <v>347</v>
      </c>
      <c r="D595" s="40"/>
    </row>
    <row r="596" spans="1:4">
      <c r="A596" s="102"/>
      <c r="B596" s="104"/>
      <c r="C596" s="103" t="s">
        <v>139</v>
      </c>
      <c r="D596" s="40"/>
    </row>
    <row r="597" spans="1:4">
      <c r="A597" s="97"/>
      <c r="B597" s="97" t="s">
        <v>840</v>
      </c>
      <c r="C597" s="38" t="s">
        <v>841</v>
      </c>
      <c r="D597" s="38"/>
    </row>
    <row r="598" spans="1:4">
      <c r="A598" s="46"/>
      <c r="B598" s="46"/>
      <c r="C598" s="38" t="s">
        <v>842</v>
      </c>
      <c r="D598" s="38"/>
    </row>
    <row r="599" spans="1:4">
      <c r="A599" s="46"/>
      <c r="B599" s="46"/>
      <c r="C599" s="38" t="s">
        <v>843</v>
      </c>
      <c r="D599" s="38"/>
    </row>
    <row r="600" spans="1:4">
      <c r="A600" s="46"/>
      <c r="B600" s="46"/>
      <c r="C600" s="38" t="s">
        <v>844</v>
      </c>
      <c r="D600" s="38"/>
    </row>
    <row r="601" spans="1:4">
      <c r="A601" s="46"/>
      <c r="B601" s="46"/>
      <c r="C601" s="38" t="s">
        <v>845</v>
      </c>
      <c r="D601" s="38"/>
    </row>
    <row r="602" spans="1:4">
      <c r="A602" s="46"/>
      <c r="B602" s="46"/>
      <c r="C602" s="38" t="s">
        <v>846</v>
      </c>
      <c r="D602" s="38"/>
    </row>
    <row r="603" spans="1:4">
      <c r="A603" s="46"/>
      <c r="B603" s="46"/>
      <c r="C603" s="38" t="s">
        <v>847</v>
      </c>
      <c r="D603" s="38"/>
    </row>
    <row r="604" spans="1:4">
      <c r="A604" s="46"/>
      <c r="B604" s="46"/>
      <c r="C604" s="38" t="s">
        <v>848</v>
      </c>
      <c r="D604" s="38"/>
    </row>
    <row r="605" spans="1:4">
      <c r="A605" s="46"/>
      <c r="B605" s="46"/>
      <c r="C605" s="38" t="s">
        <v>849</v>
      </c>
      <c r="D605" s="38"/>
    </row>
    <row r="606" spans="1:4">
      <c r="A606" s="46"/>
      <c r="B606" s="46"/>
      <c r="C606" s="38" t="s">
        <v>850</v>
      </c>
      <c r="D606" s="38"/>
    </row>
    <row r="607" spans="1:4">
      <c r="A607" s="46"/>
      <c r="B607" s="46"/>
      <c r="C607" s="38" t="s">
        <v>851</v>
      </c>
      <c r="D607" s="38"/>
    </row>
    <row r="608" spans="1:4">
      <c r="A608" s="46"/>
      <c r="B608" s="46"/>
      <c r="C608" s="38" t="s">
        <v>852</v>
      </c>
      <c r="D608" s="38"/>
    </row>
    <row r="609" spans="1:4">
      <c r="A609" s="46"/>
      <c r="B609" s="46"/>
      <c r="C609" s="38" t="s">
        <v>853</v>
      </c>
      <c r="D609" s="38"/>
    </row>
    <row r="610" spans="1:4">
      <c r="A610" s="46"/>
      <c r="B610" s="46"/>
      <c r="C610" s="38" t="s">
        <v>854</v>
      </c>
      <c r="D610" s="38"/>
    </row>
    <row r="611" spans="1:4">
      <c r="A611" s="46"/>
      <c r="B611" s="46"/>
      <c r="C611" s="38" t="s">
        <v>855</v>
      </c>
      <c r="D611" s="38"/>
    </row>
    <row r="612" spans="1:4">
      <c r="A612" s="46"/>
      <c r="B612" s="46"/>
      <c r="C612" s="38" t="s">
        <v>856</v>
      </c>
      <c r="D612" s="38"/>
    </row>
    <row r="613" spans="1:4">
      <c r="A613" s="46"/>
      <c r="B613" s="46"/>
      <c r="C613" s="38" t="s">
        <v>857</v>
      </c>
      <c r="D613" s="38"/>
    </row>
    <row r="614" spans="1:4">
      <c r="A614" s="46"/>
      <c r="B614" s="46"/>
      <c r="C614" s="38" t="s">
        <v>858</v>
      </c>
      <c r="D614" s="38"/>
    </row>
    <row r="615" spans="1:4">
      <c r="A615" s="46"/>
      <c r="B615" s="46"/>
      <c r="C615" s="38" t="s">
        <v>859</v>
      </c>
      <c r="D615" s="38"/>
    </row>
    <row r="616" spans="1:4">
      <c r="A616" s="46"/>
      <c r="B616" s="46"/>
      <c r="C616" s="38" t="s">
        <v>860</v>
      </c>
      <c r="D616" s="38"/>
    </row>
    <row r="617" spans="1:4">
      <c r="A617" s="46"/>
      <c r="B617" s="46"/>
      <c r="C617" s="38" t="s">
        <v>861</v>
      </c>
      <c r="D617" s="38"/>
    </row>
    <row r="618" spans="1:4">
      <c r="A618" s="46"/>
      <c r="B618" s="46"/>
      <c r="C618" s="38" t="s">
        <v>862</v>
      </c>
      <c r="D618" s="38"/>
    </row>
    <row r="619" spans="1:4">
      <c r="A619" s="46"/>
      <c r="B619" s="46"/>
      <c r="C619" s="38" t="s">
        <v>863</v>
      </c>
      <c r="D619" s="38"/>
    </row>
    <row r="620" spans="1:4">
      <c r="A620" s="46"/>
      <c r="B620" s="46"/>
      <c r="C620" s="38" t="s">
        <v>576</v>
      </c>
      <c r="D620" s="38"/>
    </row>
    <row r="621" spans="1:4">
      <c r="A621" s="46"/>
      <c r="B621" s="46"/>
      <c r="C621" s="38" t="s">
        <v>864</v>
      </c>
      <c r="D621" s="38"/>
    </row>
    <row r="622" spans="1:4">
      <c r="A622" s="50"/>
      <c r="B622" s="50" t="s">
        <v>168</v>
      </c>
      <c r="C622" s="40" t="s">
        <v>865</v>
      </c>
      <c r="D622" s="40"/>
    </row>
    <row r="623" spans="1:4">
      <c r="A623" s="51"/>
      <c r="B623" s="51"/>
      <c r="C623" s="40" t="s">
        <v>866</v>
      </c>
      <c r="D623" s="40"/>
    </row>
    <row r="624" spans="1:4">
      <c r="A624" s="51"/>
      <c r="B624" s="51"/>
      <c r="C624" s="40" t="s">
        <v>867</v>
      </c>
      <c r="D624" s="40"/>
    </row>
    <row r="625" spans="1:4">
      <c r="A625" s="51"/>
      <c r="B625" s="51"/>
      <c r="C625" s="40" t="s">
        <v>868</v>
      </c>
      <c r="D625" s="40"/>
    </row>
    <row r="626" spans="1:4">
      <c r="A626" s="51"/>
      <c r="B626" s="51"/>
      <c r="C626" s="40" t="s">
        <v>869</v>
      </c>
      <c r="D626" s="40"/>
    </row>
    <row r="627" spans="1:4">
      <c r="A627" s="51"/>
      <c r="B627" s="51"/>
      <c r="C627" s="40" t="s">
        <v>870</v>
      </c>
      <c r="D627" s="40"/>
    </row>
    <row r="628" spans="1:4">
      <c r="A628" s="51"/>
      <c r="B628" s="51"/>
      <c r="C628" s="40" t="s">
        <v>871</v>
      </c>
      <c r="D628" s="40"/>
    </row>
    <row r="629" spans="1:4">
      <c r="A629" s="51"/>
      <c r="B629" s="51"/>
      <c r="C629" s="40" t="s">
        <v>468</v>
      </c>
      <c r="D629" s="40"/>
    </row>
    <row r="630" spans="1:4">
      <c r="A630" s="51"/>
      <c r="B630" s="51"/>
      <c r="C630" s="40" t="s">
        <v>872</v>
      </c>
      <c r="D630" s="40"/>
    </row>
    <row r="631" spans="1:4">
      <c r="A631" s="51"/>
      <c r="B631" s="51"/>
      <c r="C631" s="40" t="s">
        <v>873</v>
      </c>
      <c r="D631" s="40"/>
    </row>
    <row r="632" spans="1:4">
      <c r="A632" s="51"/>
      <c r="B632" s="51"/>
      <c r="C632" s="40" t="s">
        <v>874</v>
      </c>
      <c r="D632" s="40"/>
    </row>
    <row r="633" spans="1:4">
      <c r="A633" s="52"/>
      <c r="B633" s="52"/>
      <c r="C633" s="40" t="s">
        <v>109</v>
      </c>
      <c r="D633" s="40"/>
    </row>
    <row r="634" spans="1:4">
      <c r="A634" s="46"/>
      <c r="B634" s="101" t="s">
        <v>169</v>
      </c>
      <c r="C634" s="38" t="s">
        <v>875</v>
      </c>
      <c r="D634" s="38" t="s">
        <v>876</v>
      </c>
    </row>
    <row r="635" spans="1:4">
      <c r="A635" s="46"/>
      <c r="B635" s="101"/>
      <c r="C635" s="38" t="s">
        <v>877</v>
      </c>
      <c r="D635" s="38" t="s">
        <v>878</v>
      </c>
    </row>
    <row r="636" spans="1:4">
      <c r="A636" s="46"/>
      <c r="B636" s="101"/>
      <c r="C636" s="38" t="s">
        <v>879</v>
      </c>
      <c r="D636" s="38" t="s">
        <v>880</v>
      </c>
    </row>
    <row r="637" spans="1:4">
      <c r="A637" s="46"/>
      <c r="B637" s="101"/>
      <c r="C637" s="38" t="s">
        <v>881</v>
      </c>
      <c r="D637" s="38" t="s">
        <v>882</v>
      </c>
    </row>
    <row r="638" spans="1:4">
      <c r="A638" s="46"/>
      <c r="B638" s="101"/>
      <c r="C638" s="38" t="s">
        <v>883</v>
      </c>
      <c r="D638" s="38" t="s">
        <v>884</v>
      </c>
    </row>
    <row r="639" spans="1:4">
      <c r="A639" s="46"/>
      <c r="B639" s="101"/>
      <c r="C639" s="38" t="s">
        <v>885</v>
      </c>
      <c r="D639" s="38" t="s">
        <v>886</v>
      </c>
    </row>
    <row r="640" spans="1:4">
      <c r="A640" s="46"/>
      <c r="B640" s="101"/>
      <c r="C640" s="38" t="s">
        <v>887</v>
      </c>
      <c r="D640" s="38" t="s">
        <v>888</v>
      </c>
    </row>
    <row r="641" spans="1:4">
      <c r="A641" s="46"/>
      <c r="B641" s="101"/>
      <c r="C641" s="38" t="s">
        <v>889</v>
      </c>
      <c r="D641" s="38" t="s">
        <v>889</v>
      </c>
    </row>
    <row r="642" spans="1:4">
      <c r="A642" s="46"/>
      <c r="B642" s="101"/>
      <c r="C642" s="38" t="s">
        <v>109</v>
      </c>
      <c r="D642" s="38"/>
    </row>
    <row r="643" spans="1:4">
      <c r="A643" s="53"/>
      <c r="B643" s="53" t="s">
        <v>890</v>
      </c>
      <c r="C643" s="40" t="s">
        <v>891</v>
      </c>
      <c r="D643" s="40" t="s">
        <v>892</v>
      </c>
    </row>
    <row r="644" spans="1:4">
      <c r="A644" s="54"/>
      <c r="B644" s="54"/>
      <c r="C644" s="40" t="s">
        <v>893</v>
      </c>
      <c r="D644" s="40" t="s">
        <v>894</v>
      </c>
    </row>
    <row r="645" spans="1:4">
      <c r="A645" s="54"/>
      <c r="B645" s="54"/>
      <c r="C645" s="40" t="s">
        <v>895</v>
      </c>
      <c r="D645" s="40" t="s">
        <v>896</v>
      </c>
    </row>
    <row r="646" spans="1:4">
      <c r="A646" s="54"/>
      <c r="B646" s="54"/>
      <c r="C646" s="40" t="s">
        <v>897</v>
      </c>
      <c r="D646" s="40" t="s">
        <v>898</v>
      </c>
    </row>
    <row r="647" spans="1:4">
      <c r="A647" s="54"/>
      <c r="B647" s="54"/>
      <c r="C647" s="40" t="s">
        <v>899</v>
      </c>
      <c r="D647" s="40"/>
    </row>
    <row r="648" spans="1:4">
      <c r="A648" s="55"/>
      <c r="B648" s="55"/>
      <c r="C648" s="40" t="s">
        <v>109</v>
      </c>
      <c r="D648" s="40"/>
    </row>
    <row r="649" spans="1:4">
      <c r="A649" s="46"/>
      <c r="B649" s="101" t="s">
        <v>160</v>
      </c>
      <c r="C649" s="38" t="s">
        <v>900</v>
      </c>
      <c r="D649" s="38"/>
    </row>
    <row r="650" spans="1:4">
      <c r="A650" s="46"/>
      <c r="B650" s="101"/>
      <c r="C650" s="38" t="s">
        <v>901</v>
      </c>
      <c r="D650" s="38"/>
    </row>
    <row r="651" spans="1:4">
      <c r="A651" s="46"/>
      <c r="B651" s="101"/>
      <c r="C651" s="38" t="s">
        <v>902</v>
      </c>
      <c r="D651" s="38"/>
    </row>
    <row r="652" spans="1:4">
      <c r="A652" s="46"/>
      <c r="B652" s="101"/>
      <c r="C652" s="38" t="s">
        <v>903</v>
      </c>
      <c r="D652" s="38"/>
    </row>
    <row r="653" spans="1:4">
      <c r="A653" s="46"/>
      <c r="B653" s="101"/>
      <c r="C653" s="38" t="s">
        <v>109</v>
      </c>
      <c r="D653" s="38"/>
    </row>
    <row r="654" spans="1:4">
      <c r="A654" s="53"/>
      <c r="B654" s="53" t="s">
        <v>161</v>
      </c>
      <c r="C654" s="40" t="s">
        <v>904</v>
      </c>
      <c r="D654" s="40"/>
    </row>
    <row r="655" spans="1:4">
      <c r="A655" s="54"/>
      <c r="B655" s="54"/>
      <c r="C655" s="40" t="s">
        <v>905</v>
      </c>
      <c r="D655" s="40"/>
    </row>
    <row r="656" spans="1:4">
      <c r="A656" s="46"/>
      <c r="B656" s="101" t="s">
        <v>22</v>
      </c>
      <c r="C656" s="38" t="s">
        <v>36</v>
      </c>
      <c r="D656" s="38"/>
    </row>
    <row r="657" spans="1:4">
      <c r="A657" s="46"/>
      <c r="B657" s="101"/>
      <c r="C657" s="38" t="s">
        <v>906</v>
      </c>
      <c r="D657" s="38"/>
    </row>
    <row r="658" spans="1:4">
      <c r="A658" s="53"/>
      <c r="B658" s="53" t="s">
        <v>907</v>
      </c>
      <c r="C658" s="40" t="s">
        <v>908</v>
      </c>
      <c r="D658" s="40"/>
    </row>
    <row r="659" spans="1:4">
      <c r="A659" s="54"/>
      <c r="B659" s="54"/>
      <c r="C659" s="40" t="s">
        <v>909</v>
      </c>
      <c r="D659" s="40"/>
    </row>
    <row r="660" spans="1:4">
      <c r="A660" s="54"/>
      <c r="B660" s="54"/>
      <c r="C660" s="40" t="s">
        <v>910</v>
      </c>
      <c r="D660" s="40"/>
    </row>
    <row r="661" spans="1:4">
      <c r="A661" s="54"/>
      <c r="B661" s="54"/>
      <c r="C661" s="40" t="s">
        <v>911</v>
      </c>
      <c r="D661" s="40"/>
    </row>
    <row r="662" spans="1:4">
      <c r="A662" s="54"/>
      <c r="B662" s="54"/>
      <c r="C662" s="40" t="s">
        <v>912</v>
      </c>
      <c r="D662" s="40"/>
    </row>
    <row r="663" spans="1:4">
      <c r="A663" s="54"/>
      <c r="B663" s="54"/>
      <c r="C663" s="40" t="s">
        <v>913</v>
      </c>
      <c r="D663" s="40"/>
    </row>
    <row r="664" spans="1:4">
      <c r="A664" s="54"/>
      <c r="B664" s="54"/>
      <c r="C664" s="40" t="s">
        <v>109</v>
      </c>
      <c r="D664" s="40"/>
    </row>
    <row r="665" spans="1:4">
      <c r="A665" s="55"/>
      <c r="B665" s="55"/>
      <c r="C665" s="40" t="s">
        <v>914</v>
      </c>
      <c r="D665" s="40"/>
    </row>
    <row r="666" spans="1:4">
      <c r="A666" s="46"/>
      <c r="B666" s="101" t="s">
        <v>915</v>
      </c>
      <c r="C666" s="38" t="s">
        <v>916</v>
      </c>
      <c r="D666" s="38"/>
    </row>
    <row r="667" spans="1:4">
      <c r="A667" s="46"/>
      <c r="B667" s="101"/>
      <c r="C667" s="38" t="s">
        <v>917</v>
      </c>
      <c r="D667" s="38"/>
    </row>
    <row r="668" spans="1:4">
      <c r="A668" s="53"/>
      <c r="B668" s="53" t="s">
        <v>918</v>
      </c>
      <c r="C668" s="40" t="s">
        <v>919</v>
      </c>
      <c r="D668" s="40"/>
    </row>
    <row r="669" spans="1:4">
      <c r="A669" s="54"/>
      <c r="B669" s="54"/>
      <c r="C669" s="40" t="s">
        <v>920</v>
      </c>
      <c r="D669" s="40"/>
    </row>
    <row r="670" spans="1:4">
      <c r="A670" s="54"/>
      <c r="B670" s="54"/>
      <c r="C670" s="40" t="s">
        <v>921</v>
      </c>
      <c r="D670" s="40"/>
    </row>
    <row r="671" spans="1:4">
      <c r="A671" s="54"/>
      <c r="B671" s="54"/>
      <c r="C671" s="40" t="s">
        <v>922</v>
      </c>
      <c r="D671" s="40"/>
    </row>
    <row r="672" spans="1:4">
      <c r="A672" s="54"/>
      <c r="B672" s="54"/>
      <c r="C672" s="40" t="s">
        <v>923</v>
      </c>
      <c r="D672" s="40"/>
    </row>
    <row r="673" spans="1:4">
      <c r="A673" s="54"/>
      <c r="B673" s="54"/>
      <c r="C673" s="40" t="s">
        <v>924</v>
      </c>
      <c r="D673" s="40"/>
    </row>
    <row r="674" spans="1:4">
      <c r="A674" s="54"/>
      <c r="B674" s="54"/>
      <c r="C674" s="40" t="s">
        <v>925</v>
      </c>
      <c r="D674" s="40"/>
    </row>
    <row r="675" spans="1:4">
      <c r="A675" s="54"/>
      <c r="B675" s="54"/>
      <c r="C675" s="40" t="s">
        <v>926</v>
      </c>
      <c r="D675" s="40"/>
    </row>
    <row r="676" spans="1:4">
      <c r="A676" s="54"/>
      <c r="B676" s="54"/>
      <c r="C676" s="40" t="s">
        <v>927</v>
      </c>
      <c r="D676" s="40"/>
    </row>
    <row r="677" spans="1:4">
      <c r="A677" s="54"/>
      <c r="B677" s="54"/>
      <c r="C677" s="40" t="s">
        <v>928</v>
      </c>
      <c r="D677" s="40"/>
    </row>
    <row r="678" spans="1:4">
      <c r="A678" s="54"/>
      <c r="B678" s="54"/>
      <c r="C678" s="40" t="s">
        <v>576</v>
      </c>
      <c r="D678" s="40"/>
    </row>
    <row r="679" spans="1:4">
      <c r="A679" s="55"/>
      <c r="B679" s="55"/>
      <c r="C679" s="40" t="s">
        <v>914</v>
      </c>
      <c r="D679" s="40"/>
    </row>
    <row r="680" spans="1:4">
      <c r="A680" s="75"/>
      <c r="B680" s="75" t="s">
        <v>929</v>
      </c>
      <c r="C680" s="38" t="s">
        <v>908</v>
      </c>
      <c r="D680" s="38"/>
    </row>
    <row r="681" spans="1:4">
      <c r="A681" s="77"/>
      <c r="B681" s="77"/>
      <c r="C681" s="38" t="s">
        <v>909</v>
      </c>
      <c r="D681" s="38"/>
    </row>
    <row r="682" spans="1:4">
      <c r="A682" s="77"/>
      <c r="B682" s="77"/>
      <c r="C682" s="38" t="s">
        <v>910</v>
      </c>
      <c r="D682" s="38"/>
    </row>
    <row r="683" spans="1:4">
      <c r="A683" s="77"/>
      <c r="B683" s="77"/>
      <c r="C683" s="38" t="s">
        <v>911</v>
      </c>
      <c r="D683" s="38"/>
    </row>
    <row r="684" spans="1:4">
      <c r="A684" s="77"/>
      <c r="B684" s="77"/>
      <c r="C684" s="38" t="s">
        <v>912</v>
      </c>
      <c r="D684" s="38"/>
    </row>
    <row r="685" spans="1:4">
      <c r="A685" s="77"/>
      <c r="B685" s="77"/>
      <c r="C685" s="38" t="s">
        <v>913</v>
      </c>
      <c r="D685" s="38"/>
    </row>
    <row r="686" spans="1:4">
      <c r="A686" s="77"/>
      <c r="B686" s="77"/>
      <c r="C686" s="38" t="s">
        <v>109</v>
      </c>
      <c r="D686" s="38"/>
    </row>
    <row r="687" spans="1:4">
      <c r="A687" s="77"/>
      <c r="B687" s="77"/>
      <c r="C687" s="38" t="s">
        <v>914</v>
      </c>
      <c r="D687" s="38"/>
    </row>
    <row r="688" spans="1:4">
      <c r="A688" s="53"/>
      <c r="B688" s="50" t="s">
        <v>930</v>
      </c>
      <c r="C688" s="40" t="s">
        <v>931</v>
      </c>
      <c r="D688" s="40"/>
    </row>
    <row r="689" spans="1:4">
      <c r="A689" s="54"/>
      <c r="B689" s="52"/>
      <c r="C689" s="40" t="s">
        <v>932</v>
      </c>
      <c r="D689" s="40"/>
    </row>
    <row r="690" spans="1:4">
      <c r="A690" s="75"/>
      <c r="B690" s="75" t="s">
        <v>933</v>
      </c>
      <c r="C690" s="38" t="s">
        <v>934</v>
      </c>
      <c r="D690" s="38"/>
    </row>
    <row r="691" spans="1:4">
      <c r="A691" s="77"/>
      <c r="B691" s="77"/>
      <c r="C691" s="38" t="s">
        <v>935</v>
      </c>
      <c r="D691" s="38"/>
    </row>
    <row r="692" spans="1:4">
      <c r="A692" s="53"/>
      <c r="B692" s="53" t="s">
        <v>936</v>
      </c>
      <c r="C692" s="40" t="s">
        <v>937</v>
      </c>
      <c r="D692" s="40"/>
    </row>
    <row r="693" spans="1:4">
      <c r="A693" s="54"/>
      <c r="B693" s="54"/>
      <c r="C693" s="40" t="s">
        <v>753</v>
      </c>
      <c r="D693" s="40"/>
    </row>
    <row r="694" spans="1:4">
      <c r="A694" s="54"/>
      <c r="B694" s="54"/>
      <c r="C694" s="40" t="s">
        <v>938</v>
      </c>
      <c r="D694" s="40"/>
    </row>
    <row r="695" spans="1:4">
      <c r="A695" s="54"/>
      <c r="B695" s="54"/>
      <c r="C695" s="40" t="s">
        <v>939</v>
      </c>
      <c r="D695" s="40"/>
    </row>
    <row r="696" spans="1:4">
      <c r="A696" s="54"/>
      <c r="B696" s="54"/>
      <c r="C696" s="40" t="s">
        <v>940</v>
      </c>
      <c r="D696" s="40"/>
    </row>
    <row r="697" spans="1:4">
      <c r="A697" s="54"/>
      <c r="B697" s="54"/>
      <c r="C697" s="40" t="s">
        <v>159</v>
      </c>
      <c r="D697" s="40"/>
    </row>
    <row r="698" spans="1:4">
      <c r="A698" s="54"/>
      <c r="B698" s="54"/>
      <c r="C698" s="40" t="s">
        <v>941</v>
      </c>
      <c r="D698" s="40"/>
    </row>
    <row r="699" spans="1:4">
      <c r="A699" s="54"/>
      <c r="B699" s="54"/>
      <c r="C699" s="40" t="s">
        <v>942</v>
      </c>
      <c r="D699" s="40"/>
    </row>
    <row r="700" spans="1:4">
      <c r="A700" s="54"/>
      <c r="B700" s="54"/>
      <c r="C700" s="40" t="s">
        <v>109</v>
      </c>
      <c r="D700" s="40"/>
    </row>
    <row r="701" spans="1:4">
      <c r="A701" s="75"/>
      <c r="B701" s="75" t="s">
        <v>943</v>
      </c>
      <c r="C701" s="38" t="s">
        <v>442</v>
      </c>
      <c r="D701" s="38"/>
    </row>
    <row r="702" spans="1:4">
      <c r="A702" s="77"/>
      <c r="B702" s="77"/>
      <c r="C702" s="38" t="s">
        <v>443</v>
      </c>
      <c r="D702" s="38"/>
    </row>
    <row r="703" spans="1:4">
      <c r="A703" s="77"/>
      <c r="B703" s="77"/>
      <c r="C703" s="38" t="s">
        <v>444</v>
      </c>
      <c r="D703" s="38"/>
    </row>
    <row r="704" spans="1:4">
      <c r="A704" s="77"/>
      <c r="B704" s="77"/>
      <c r="C704" s="38" t="s">
        <v>445</v>
      </c>
      <c r="D704" s="38"/>
    </row>
    <row r="705" spans="1:4">
      <c r="A705" s="77"/>
      <c r="B705" s="77"/>
      <c r="C705" s="38" t="s">
        <v>446</v>
      </c>
      <c r="D705" s="38"/>
    </row>
    <row r="706" spans="1:4">
      <c r="A706" s="77"/>
      <c r="B706" s="77"/>
      <c r="C706" s="38" t="s">
        <v>447</v>
      </c>
      <c r="D706" s="38"/>
    </row>
    <row r="707" spans="1:4">
      <c r="A707" s="77"/>
      <c r="B707" s="77"/>
      <c r="C707" s="38" t="s">
        <v>449</v>
      </c>
      <c r="D707" s="38"/>
    </row>
    <row r="708" spans="1:4">
      <c r="A708" s="77"/>
      <c r="B708" s="77"/>
      <c r="C708" s="38" t="s">
        <v>450</v>
      </c>
      <c r="D708" s="38"/>
    </row>
    <row r="709" spans="1:4">
      <c r="A709" s="77"/>
      <c r="B709" s="77"/>
      <c r="C709" s="38" t="s">
        <v>451</v>
      </c>
      <c r="D709" s="38"/>
    </row>
    <row r="710" spans="1:4">
      <c r="A710" s="77"/>
      <c r="B710" s="77"/>
      <c r="C710" s="38" t="s">
        <v>452</v>
      </c>
      <c r="D710" s="38"/>
    </row>
    <row r="711" spans="1:4">
      <c r="A711" s="77"/>
      <c r="B711" s="77"/>
      <c r="C711" s="38" t="s">
        <v>453</v>
      </c>
      <c r="D711" s="38"/>
    </row>
    <row r="712" spans="1:4">
      <c r="A712" s="77"/>
      <c r="B712" s="77"/>
      <c r="C712" s="38" t="s">
        <v>454</v>
      </c>
      <c r="D712" s="38"/>
    </row>
    <row r="713" spans="1:4">
      <c r="A713" s="77"/>
      <c r="B713" s="77"/>
      <c r="C713" s="38" t="s">
        <v>455</v>
      </c>
      <c r="D713" s="38"/>
    </row>
    <row r="714" spans="1:4">
      <c r="A714" s="77"/>
      <c r="B714" s="77"/>
      <c r="C714" s="38" t="s">
        <v>456</v>
      </c>
      <c r="D714" s="38"/>
    </row>
    <row r="715" spans="1:4">
      <c r="A715" s="77"/>
      <c r="B715" s="77"/>
      <c r="C715" s="38" t="s">
        <v>457</v>
      </c>
      <c r="D715" s="38"/>
    </row>
    <row r="716" spans="1:4">
      <c r="A716" s="77"/>
      <c r="B716" s="77"/>
      <c r="C716" s="38" t="s">
        <v>458</v>
      </c>
      <c r="D716" s="38" t="s">
        <v>459</v>
      </c>
    </row>
    <row r="717" spans="1:4">
      <c r="A717" s="77"/>
      <c r="B717" s="77"/>
      <c r="C717" s="38" t="s">
        <v>460</v>
      </c>
      <c r="D717" s="38"/>
    </row>
    <row r="718" spans="1:4">
      <c r="A718" s="77"/>
      <c r="B718" s="77"/>
      <c r="C718" s="38" t="s">
        <v>461</v>
      </c>
      <c r="D718" s="38"/>
    </row>
    <row r="719" spans="1:4">
      <c r="A719" s="77"/>
      <c r="B719" s="77"/>
      <c r="C719" s="38" t="s">
        <v>462</v>
      </c>
      <c r="D719" s="38"/>
    </row>
    <row r="720" spans="1:4">
      <c r="A720" s="77"/>
      <c r="B720" s="77"/>
      <c r="C720" s="38" t="s">
        <v>463</v>
      </c>
      <c r="D720" s="38"/>
    </row>
    <row r="721" spans="1:4">
      <c r="A721" s="77"/>
      <c r="B721" s="77"/>
      <c r="C721" s="38" t="s">
        <v>464</v>
      </c>
      <c r="D721" s="38"/>
    </row>
    <row r="722" spans="1:4">
      <c r="A722" s="77"/>
      <c r="B722" s="77"/>
      <c r="C722" s="38" t="s">
        <v>465</v>
      </c>
      <c r="D722" s="38"/>
    </row>
    <row r="723" spans="1:4">
      <c r="A723" s="77"/>
      <c r="B723" s="77"/>
      <c r="C723" s="38" t="s">
        <v>466</v>
      </c>
      <c r="D723" s="38"/>
    </row>
    <row r="724" spans="1:4">
      <c r="A724" s="77"/>
      <c r="B724" s="77"/>
      <c r="C724" s="38" t="s">
        <v>467</v>
      </c>
      <c r="D724" s="38"/>
    </row>
    <row r="725" spans="1:4">
      <c r="A725" s="77"/>
      <c r="B725" s="77"/>
      <c r="C725" s="38" t="s">
        <v>468</v>
      </c>
      <c r="D725" s="38"/>
    </row>
    <row r="726" spans="1:4">
      <c r="A726" s="77"/>
      <c r="B726" s="77"/>
      <c r="C726" s="38" t="s">
        <v>469</v>
      </c>
      <c r="D726" s="38"/>
    </row>
    <row r="727" spans="1:4">
      <c r="A727" s="77"/>
      <c r="B727" s="77"/>
      <c r="C727" s="38" t="s">
        <v>470</v>
      </c>
      <c r="D727" s="38"/>
    </row>
    <row r="728" spans="1:4">
      <c r="A728" s="77"/>
      <c r="B728" s="77"/>
      <c r="C728" s="38" t="s">
        <v>471</v>
      </c>
      <c r="D728" s="38"/>
    </row>
    <row r="729" spans="1:4">
      <c r="A729" s="77"/>
      <c r="B729" s="77"/>
      <c r="C729" s="38" t="s">
        <v>472</v>
      </c>
      <c r="D729" s="38"/>
    </row>
    <row r="730" spans="1:4">
      <c r="A730" s="77"/>
      <c r="B730" s="77"/>
      <c r="C730" s="38" t="s">
        <v>473</v>
      </c>
      <c r="D730" s="38"/>
    </row>
    <row r="731" spans="1:4">
      <c r="A731" s="77"/>
      <c r="B731" s="77"/>
      <c r="C731" s="38" t="s">
        <v>474</v>
      </c>
      <c r="D731" s="38"/>
    </row>
    <row r="732" spans="1:4">
      <c r="A732" s="77"/>
      <c r="B732" s="77"/>
      <c r="C732" s="38" t="s">
        <v>475</v>
      </c>
      <c r="D732" s="38"/>
    </row>
    <row r="733" spans="1:4">
      <c r="A733" s="77"/>
      <c r="B733" s="77"/>
      <c r="C733" s="38" t="s">
        <v>476</v>
      </c>
      <c r="D733" s="38"/>
    </row>
    <row r="734" spans="1:4">
      <c r="A734" s="77"/>
      <c r="B734" s="77"/>
      <c r="C734" s="38" t="s">
        <v>477</v>
      </c>
      <c r="D734" s="38"/>
    </row>
    <row r="735" spans="1:4">
      <c r="A735" s="77"/>
      <c r="B735" s="77"/>
      <c r="C735" s="38" t="s">
        <v>478</v>
      </c>
      <c r="D735" s="38"/>
    </row>
    <row r="736" spans="1:4">
      <c r="A736" s="77"/>
      <c r="B736" s="77"/>
      <c r="C736" s="38" t="s">
        <v>479</v>
      </c>
      <c r="D736" s="38"/>
    </row>
    <row r="737" spans="1:4">
      <c r="A737" s="77"/>
      <c r="B737" s="77"/>
      <c r="C737" s="38" t="s">
        <v>480</v>
      </c>
      <c r="D737" s="38"/>
    </row>
    <row r="738" spans="1:4">
      <c r="A738" s="77"/>
      <c r="B738" s="77"/>
      <c r="C738" s="38" t="s">
        <v>481</v>
      </c>
      <c r="D738" s="38"/>
    </row>
    <row r="739" spans="1:4">
      <c r="A739" s="77"/>
      <c r="B739" s="77"/>
      <c r="C739" s="38" t="s">
        <v>482</v>
      </c>
      <c r="D739" s="38"/>
    </row>
    <row r="740" spans="1:4">
      <c r="A740" s="77"/>
      <c r="B740" s="77"/>
      <c r="C740" s="38" t="s">
        <v>483</v>
      </c>
      <c r="D740" s="38"/>
    </row>
    <row r="741" spans="1:4">
      <c r="A741" s="77"/>
      <c r="B741" s="77"/>
      <c r="C741" s="38" t="s">
        <v>484</v>
      </c>
      <c r="D741" s="38"/>
    </row>
    <row r="742" spans="1:4">
      <c r="A742" s="77"/>
      <c r="B742" s="77"/>
      <c r="C742" s="38" t="s">
        <v>485</v>
      </c>
      <c r="D742" s="38"/>
    </row>
    <row r="743" spans="1:4">
      <c r="A743" s="77"/>
      <c r="B743" s="77"/>
      <c r="C743" s="38" t="s">
        <v>486</v>
      </c>
      <c r="D743" s="38"/>
    </row>
    <row r="744" spans="1:4">
      <c r="A744" s="77"/>
      <c r="B744" s="77"/>
      <c r="C744" s="38" t="s">
        <v>487</v>
      </c>
      <c r="D744" s="38"/>
    </row>
    <row r="745" spans="1:4">
      <c r="A745" s="77"/>
      <c r="B745" s="77"/>
      <c r="C745" s="38" t="s">
        <v>488</v>
      </c>
      <c r="D745" s="38"/>
    </row>
    <row r="746" spans="1:4">
      <c r="A746" s="77"/>
      <c r="B746" s="77"/>
      <c r="C746" s="38" t="s">
        <v>489</v>
      </c>
      <c r="D746" s="38"/>
    </row>
    <row r="747" spans="1:4">
      <c r="A747" s="77"/>
      <c r="B747" s="77"/>
      <c r="C747" s="38" t="s">
        <v>490</v>
      </c>
      <c r="D747" s="38"/>
    </row>
    <row r="748" spans="1:4">
      <c r="A748" s="77"/>
      <c r="B748" s="77"/>
      <c r="C748" s="38" t="s">
        <v>491</v>
      </c>
      <c r="D748" s="38"/>
    </row>
    <row r="749" spans="1:4">
      <c r="A749" s="77"/>
      <c r="B749" s="77"/>
      <c r="C749" s="38" t="s">
        <v>492</v>
      </c>
      <c r="D749" s="38"/>
    </row>
    <row r="750" spans="1:4">
      <c r="A750" s="77"/>
      <c r="B750" s="77"/>
      <c r="C750" s="38" t="s">
        <v>30</v>
      </c>
      <c r="D750" s="38"/>
    </row>
    <row r="751" spans="1:4">
      <c r="A751" s="77"/>
      <c r="B751" s="77"/>
      <c r="C751" s="38" t="s">
        <v>218</v>
      </c>
      <c r="D751" s="38"/>
    </row>
    <row r="752" spans="1:4">
      <c r="A752" s="77"/>
      <c r="B752" s="77"/>
      <c r="C752" s="38" t="s">
        <v>219</v>
      </c>
      <c r="D752" s="38"/>
    </row>
    <row r="753" spans="1:4">
      <c r="A753" s="77"/>
      <c r="B753" s="77"/>
      <c r="C753" s="38" t="s">
        <v>220</v>
      </c>
      <c r="D753" s="38"/>
    </row>
    <row r="754" spans="1:4">
      <c r="A754" s="77"/>
      <c r="B754" s="77"/>
      <c r="C754" s="38" t="s">
        <v>221</v>
      </c>
      <c r="D754" s="38"/>
    </row>
    <row r="755" spans="1:4">
      <c r="A755" s="77"/>
      <c r="B755" s="77"/>
      <c r="C755" s="38" t="s">
        <v>222</v>
      </c>
      <c r="D755" s="38"/>
    </row>
    <row r="756" spans="1:4">
      <c r="A756" s="77"/>
      <c r="B756" s="77"/>
      <c r="C756" s="38" t="s">
        <v>223</v>
      </c>
      <c r="D756" s="38"/>
    </row>
    <row r="757" spans="1:4">
      <c r="A757" s="77"/>
      <c r="B757" s="77"/>
      <c r="C757" s="38" t="s">
        <v>224</v>
      </c>
      <c r="D757" s="38"/>
    </row>
    <row r="758" spans="1:4">
      <c r="A758" s="77"/>
      <c r="B758" s="77"/>
      <c r="C758" s="38" t="s">
        <v>225</v>
      </c>
      <c r="D758" s="38"/>
    </row>
    <row r="759" spans="1:4">
      <c r="A759" s="77"/>
      <c r="B759" s="77"/>
      <c r="C759" s="38" t="s">
        <v>226</v>
      </c>
      <c r="D759" s="38"/>
    </row>
    <row r="760" spans="1:4">
      <c r="A760" s="77"/>
      <c r="B760" s="77"/>
      <c r="C760" s="38" t="s">
        <v>227</v>
      </c>
      <c r="D760" s="38"/>
    </row>
    <row r="761" spans="1:4">
      <c r="A761" s="77"/>
      <c r="B761" s="77"/>
      <c r="C761" s="38" t="s">
        <v>228</v>
      </c>
      <c r="D761" s="38"/>
    </row>
    <row r="762" spans="1:4">
      <c r="A762" s="77"/>
      <c r="B762" s="77"/>
      <c r="C762" s="38" t="s">
        <v>229</v>
      </c>
      <c r="D762" s="38"/>
    </row>
    <row r="763" spans="1:4">
      <c r="A763" s="77"/>
      <c r="B763" s="77"/>
      <c r="C763" s="38" t="s">
        <v>230</v>
      </c>
      <c r="D763" s="38"/>
    </row>
    <row r="764" spans="1:4">
      <c r="A764" s="77"/>
      <c r="B764" s="77"/>
      <c r="C764" s="38" t="s">
        <v>231</v>
      </c>
      <c r="D764" s="38"/>
    </row>
    <row r="765" spans="1:4">
      <c r="A765" s="77"/>
      <c r="B765" s="77"/>
      <c r="C765" s="38" t="s">
        <v>232</v>
      </c>
      <c r="D765" s="38"/>
    </row>
    <row r="766" spans="1:4">
      <c r="A766" s="77"/>
      <c r="B766" s="77"/>
      <c r="C766" s="38" t="s">
        <v>233</v>
      </c>
      <c r="D766" s="38"/>
    </row>
    <row r="767" spans="1:4">
      <c r="A767" s="77"/>
      <c r="B767" s="77"/>
      <c r="C767" s="38" t="s">
        <v>101</v>
      </c>
      <c r="D767" s="38"/>
    </row>
    <row r="768" spans="1:4">
      <c r="A768" s="77"/>
      <c r="B768" s="77"/>
      <c r="C768" s="38" t="s">
        <v>234</v>
      </c>
      <c r="D768" s="38"/>
    </row>
    <row r="769" spans="1:4">
      <c r="A769" s="77"/>
      <c r="B769" s="77"/>
      <c r="C769" s="38" t="s">
        <v>235</v>
      </c>
      <c r="D769" s="38"/>
    </row>
    <row r="770" spans="1:4">
      <c r="A770" s="77"/>
      <c r="B770" s="77"/>
      <c r="C770" s="38" t="s">
        <v>236</v>
      </c>
      <c r="D770" s="38"/>
    </row>
    <row r="771" spans="1:4">
      <c r="A771" s="77"/>
      <c r="B771" s="77"/>
      <c r="C771" s="38" t="s">
        <v>237</v>
      </c>
      <c r="D771" s="38"/>
    </row>
    <row r="772" spans="1:4">
      <c r="A772" s="77"/>
      <c r="B772" s="77"/>
      <c r="C772" s="38" t="s">
        <v>238</v>
      </c>
      <c r="D772" s="38"/>
    </row>
    <row r="773" spans="1:4">
      <c r="A773" s="77"/>
      <c r="B773" s="77"/>
      <c r="C773" s="38" t="s">
        <v>239</v>
      </c>
      <c r="D773" s="38"/>
    </row>
    <row r="774" spans="1:4">
      <c r="A774" s="77"/>
      <c r="B774" s="77"/>
      <c r="C774" s="38" t="s">
        <v>240</v>
      </c>
      <c r="D774" s="38"/>
    </row>
    <row r="775" spans="1:4">
      <c r="A775" s="77"/>
      <c r="B775" s="77"/>
      <c r="C775" s="38" t="s">
        <v>241</v>
      </c>
      <c r="D775" s="38"/>
    </row>
    <row r="776" spans="1:4">
      <c r="A776" s="77"/>
      <c r="B776" s="77"/>
      <c r="C776" s="38" t="s">
        <v>242</v>
      </c>
      <c r="D776" s="38"/>
    </row>
    <row r="777" spans="1:4">
      <c r="A777" s="77"/>
      <c r="B777" s="77"/>
      <c r="C777" s="38" t="s">
        <v>243</v>
      </c>
      <c r="D777" s="38"/>
    </row>
    <row r="778" spans="1:4">
      <c r="A778" s="77"/>
      <c r="B778" s="77"/>
      <c r="C778" s="38" t="s">
        <v>244</v>
      </c>
      <c r="D778" s="38"/>
    </row>
    <row r="779" spans="1:4">
      <c r="A779" s="77"/>
      <c r="B779" s="77"/>
      <c r="C779" s="38" t="s">
        <v>245</v>
      </c>
      <c r="D779" s="38"/>
    </row>
    <row r="780" spans="1:4">
      <c r="A780" s="77"/>
      <c r="B780" s="77"/>
      <c r="C780" s="38" t="s">
        <v>246</v>
      </c>
      <c r="D780" s="38"/>
    </row>
    <row r="781" spans="1:4">
      <c r="A781" s="77"/>
      <c r="B781" s="77"/>
      <c r="C781" s="38" t="s">
        <v>247</v>
      </c>
      <c r="D781" s="38"/>
    </row>
    <row r="782" spans="1:4">
      <c r="A782" s="77"/>
      <c r="B782" s="77"/>
      <c r="C782" s="38" t="s">
        <v>248</v>
      </c>
      <c r="D782" s="38"/>
    </row>
    <row r="783" spans="1:4">
      <c r="A783" s="77"/>
      <c r="B783" s="77"/>
      <c r="C783" s="38" t="s">
        <v>249</v>
      </c>
      <c r="D783" s="38"/>
    </row>
    <row r="784" spans="1:4">
      <c r="A784" s="77"/>
      <c r="B784" s="77"/>
      <c r="C784" s="38" t="s">
        <v>252</v>
      </c>
      <c r="D784" s="38"/>
    </row>
    <row r="785" spans="1:4">
      <c r="A785" s="77"/>
      <c r="B785" s="77"/>
      <c r="C785" s="38" t="s">
        <v>253</v>
      </c>
      <c r="D785" s="38"/>
    </row>
    <row r="786" spans="1:4">
      <c r="A786" s="77"/>
      <c r="B786" s="77"/>
      <c r="C786" s="38" t="s">
        <v>254</v>
      </c>
      <c r="D786" s="38"/>
    </row>
    <row r="787" spans="1:4">
      <c r="A787" s="77"/>
      <c r="B787" s="77"/>
      <c r="C787" s="38" t="s">
        <v>255</v>
      </c>
      <c r="D787" s="38"/>
    </row>
    <row r="788" spans="1:4">
      <c r="A788" s="77"/>
      <c r="B788" s="77"/>
      <c r="C788" s="38" t="s">
        <v>256</v>
      </c>
      <c r="D788" s="38"/>
    </row>
    <row r="789" spans="1:4">
      <c r="A789" s="77"/>
      <c r="B789" s="77"/>
      <c r="C789" s="38" t="s">
        <v>257</v>
      </c>
      <c r="D789" s="38"/>
    </row>
    <row r="790" spans="1:4">
      <c r="A790" s="77"/>
      <c r="B790" s="77"/>
      <c r="C790" s="38" t="s">
        <v>258</v>
      </c>
      <c r="D790" s="38"/>
    </row>
    <row r="791" spans="1:4">
      <c r="A791" s="77"/>
      <c r="B791" s="77"/>
      <c r="C791" s="38" t="s">
        <v>259</v>
      </c>
      <c r="D791" s="38"/>
    </row>
    <row r="792" spans="1:4">
      <c r="A792" s="77"/>
      <c r="B792" s="77"/>
      <c r="C792" s="38" t="s">
        <v>260</v>
      </c>
      <c r="D792" s="38"/>
    </row>
    <row r="793" spans="1:4">
      <c r="A793" s="77"/>
      <c r="B793" s="77"/>
      <c r="C793" s="38" t="s">
        <v>261</v>
      </c>
      <c r="D793" s="38"/>
    </row>
    <row r="794" spans="1:4">
      <c r="A794" s="77"/>
      <c r="B794" s="77"/>
      <c r="C794" s="38" t="s">
        <v>944</v>
      </c>
      <c r="D794" s="38"/>
    </row>
    <row r="795" spans="1:4">
      <c r="A795" s="77"/>
      <c r="B795" s="77"/>
      <c r="C795" s="38" t="s">
        <v>262</v>
      </c>
      <c r="D795" s="38"/>
    </row>
    <row r="796" spans="1:4">
      <c r="A796" s="77"/>
      <c r="B796" s="77"/>
      <c r="C796" s="38" t="s">
        <v>263</v>
      </c>
      <c r="D796" s="38"/>
    </row>
    <row r="797" spans="1:4">
      <c r="A797" s="77"/>
      <c r="B797" s="77"/>
      <c r="C797" s="38" t="s">
        <v>264</v>
      </c>
      <c r="D797" s="38"/>
    </row>
    <row r="798" spans="1:4">
      <c r="A798" s="77"/>
      <c r="B798" s="77"/>
      <c r="C798" s="38" t="s">
        <v>265</v>
      </c>
      <c r="D798" s="38"/>
    </row>
    <row r="799" spans="1:4">
      <c r="A799" s="77"/>
      <c r="B799" s="77"/>
      <c r="C799" s="38" t="s">
        <v>266</v>
      </c>
      <c r="D799" s="38"/>
    </row>
    <row r="800" spans="1:4">
      <c r="A800" s="77"/>
      <c r="B800" s="77"/>
      <c r="C800" s="38" t="s">
        <v>267</v>
      </c>
      <c r="D800" s="38"/>
    </row>
    <row r="801" spans="1:4">
      <c r="A801" s="77"/>
      <c r="B801" s="77"/>
      <c r="C801" s="38" t="s">
        <v>268</v>
      </c>
      <c r="D801" s="38"/>
    </row>
    <row r="802" spans="1:4">
      <c r="A802" s="77"/>
      <c r="B802" s="77"/>
      <c r="C802" s="38" t="s">
        <v>269</v>
      </c>
      <c r="D802" s="38"/>
    </row>
    <row r="803" spans="1:4">
      <c r="A803" s="77"/>
      <c r="B803" s="77"/>
      <c r="C803" s="38" t="s">
        <v>270</v>
      </c>
      <c r="D803" s="38"/>
    </row>
    <row r="804" spans="1:4">
      <c r="A804" s="77"/>
      <c r="B804" s="77"/>
      <c r="C804" s="38" t="s">
        <v>271</v>
      </c>
      <c r="D804" s="38"/>
    </row>
    <row r="805" spans="1:4">
      <c r="A805" s="77"/>
      <c r="B805" s="77"/>
      <c r="C805" s="38" t="s">
        <v>272</v>
      </c>
      <c r="D805" s="38"/>
    </row>
    <row r="806" spans="1:4">
      <c r="A806" s="77"/>
      <c r="B806" s="77"/>
      <c r="C806" s="38" t="s">
        <v>273</v>
      </c>
      <c r="D806" s="38"/>
    </row>
    <row r="807" spans="1:4">
      <c r="A807" s="77"/>
      <c r="B807" s="77"/>
      <c r="C807" s="38" t="s">
        <v>274</v>
      </c>
      <c r="D807" s="38"/>
    </row>
    <row r="808" spans="1:4">
      <c r="A808" s="77"/>
      <c r="B808" s="77"/>
      <c r="C808" s="38" t="s">
        <v>276</v>
      </c>
      <c r="D808" s="38"/>
    </row>
    <row r="809" spans="1:4">
      <c r="A809" s="77"/>
      <c r="B809" s="77"/>
      <c r="C809" s="38" t="s">
        <v>275</v>
      </c>
      <c r="D809" s="38"/>
    </row>
    <row r="810" spans="1:4">
      <c r="A810" s="77"/>
      <c r="B810" s="77"/>
      <c r="C810" s="38" t="s">
        <v>277</v>
      </c>
      <c r="D810" s="38"/>
    </row>
    <row r="811" spans="1:4">
      <c r="A811" s="77"/>
      <c r="B811" s="77"/>
      <c r="C811" s="38" t="s">
        <v>278</v>
      </c>
      <c r="D811" s="38"/>
    </row>
    <row r="812" spans="1:4">
      <c r="A812" s="77"/>
      <c r="B812" s="77"/>
      <c r="C812" s="38" t="s">
        <v>279</v>
      </c>
      <c r="D812" s="38"/>
    </row>
    <row r="813" spans="1:4">
      <c r="A813" s="77"/>
      <c r="B813" s="77"/>
      <c r="C813" s="38" t="s">
        <v>280</v>
      </c>
      <c r="D813" s="38"/>
    </row>
    <row r="814" spans="1:4">
      <c r="A814" s="77"/>
      <c r="B814" s="77"/>
      <c r="C814" s="38" t="s">
        <v>281</v>
      </c>
      <c r="D814" s="38"/>
    </row>
    <row r="815" spans="1:4">
      <c r="A815" s="77"/>
      <c r="B815" s="77"/>
      <c r="C815" s="38" t="s">
        <v>282</v>
      </c>
      <c r="D815" s="38"/>
    </row>
    <row r="816" spans="1:4">
      <c r="A816" s="77"/>
      <c r="B816" s="77"/>
      <c r="C816" s="38" t="s">
        <v>283</v>
      </c>
      <c r="D816" s="38"/>
    </row>
    <row r="817" spans="1:4">
      <c r="A817" s="77"/>
      <c r="B817" s="77"/>
      <c r="C817" s="38" t="s">
        <v>284</v>
      </c>
      <c r="D817" s="38"/>
    </row>
    <row r="818" spans="1:4">
      <c r="A818" s="77"/>
      <c r="B818" s="77"/>
      <c r="C818" s="38" t="s">
        <v>285</v>
      </c>
      <c r="D818" s="38"/>
    </row>
    <row r="819" spans="1:4">
      <c r="A819" s="77"/>
      <c r="B819" s="77"/>
      <c r="C819" s="38" t="s">
        <v>286</v>
      </c>
      <c r="D819" s="38"/>
    </row>
    <row r="820" spans="1:4">
      <c r="A820" s="77"/>
      <c r="B820" s="77"/>
      <c r="C820" s="38" t="s">
        <v>287</v>
      </c>
      <c r="D820" s="38"/>
    </row>
    <row r="821" spans="1:4">
      <c r="A821" s="77"/>
      <c r="B821" s="77"/>
      <c r="C821" s="38" t="s">
        <v>288</v>
      </c>
      <c r="D821" s="38"/>
    </row>
    <row r="822" spans="1:4">
      <c r="A822" s="77"/>
      <c r="B822" s="77"/>
      <c r="C822" s="38" t="s">
        <v>289</v>
      </c>
      <c r="D822" s="38"/>
    </row>
    <row r="823" spans="1:4">
      <c r="A823" s="77"/>
      <c r="B823" s="77"/>
      <c r="C823" s="38" t="s">
        <v>290</v>
      </c>
      <c r="D823" s="38"/>
    </row>
    <row r="824" spans="1:4">
      <c r="A824" s="77"/>
      <c r="B824" s="77"/>
      <c r="C824" s="38" t="s">
        <v>291</v>
      </c>
      <c r="D824" s="38"/>
    </row>
    <row r="825" spans="1:4">
      <c r="A825" s="77"/>
      <c r="B825" s="77"/>
      <c r="C825" s="38" t="s">
        <v>292</v>
      </c>
      <c r="D825" s="38"/>
    </row>
    <row r="826" spans="1:4">
      <c r="A826" s="77"/>
      <c r="B826" s="77"/>
      <c r="C826" s="38" t="s">
        <v>293</v>
      </c>
      <c r="D826" s="38"/>
    </row>
    <row r="827" spans="1:4">
      <c r="A827" s="77"/>
      <c r="B827" s="77"/>
      <c r="C827" s="38" t="s">
        <v>294</v>
      </c>
      <c r="D827" s="38"/>
    </row>
    <row r="828" spans="1:4">
      <c r="A828" s="77"/>
      <c r="B828" s="77"/>
      <c r="C828" s="38" t="s">
        <v>295</v>
      </c>
      <c r="D828" s="38"/>
    </row>
    <row r="829" spans="1:4">
      <c r="A829" s="77"/>
      <c r="B829" s="77"/>
      <c r="C829" s="38" t="s">
        <v>296</v>
      </c>
      <c r="D829" s="38"/>
    </row>
    <row r="830" spans="1:4">
      <c r="A830" s="77"/>
      <c r="B830" s="77"/>
      <c r="C830" s="38" t="s">
        <v>297</v>
      </c>
      <c r="D830" s="38"/>
    </row>
    <row r="831" spans="1:4">
      <c r="A831" s="77"/>
      <c r="B831" s="77"/>
      <c r="C831" s="38" t="s">
        <v>945</v>
      </c>
      <c r="D831" s="108" t="s">
        <v>946</v>
      </c>
    </row>
    <row r="832" spans="1:4">
      <c r="A832" s="77"/>
      <c r="B832" s="77"/>
      <c r="C832" s="38" t="s">
        <v>947</v>
      </c>
      <c r="D832" s="108" t="s">
        <v>309</v>
      </c>
    </row>
    <row r="833" spans="1:4">
      <c r="A833" s="77"/>
      <c r="B833" s="77"/>
      <c r="C833" s="38" t="s">
        <v>948</v>
      </c>
      <c r="D833" s="108" t="s">
        <v>309</v>
      </c>
    </row>
    <row r="834" spans="1:4" ht="15">
      <c r="A834" s="77"/>
      <c r="B834" s="77"/>
      <c r="C834" s="38" t="s">
        <v>949</v>
      </c>
      <c r="D834" s="107"/>
    </row>
    <row r="835" spans="1:4">
      <c r="A835" s="77"/>
      <c r="B835" s="77"/>
      <c r="C835" s="38" t="s">
        <v>305</v>
      </c>
      <c r="D835" s="38"/>
    </row>
    <row r="836" spans="1:4">
      <c r="A836" s="77"/>
      <c r="B836" s="77"/>
      <c r="C836" s="38" t="s">
        <v>300</v>
      </c>
      <c r="D836" s="38"/>
    </row>
    <row r="837" spans="1:4">
      <c r="A837" s="77"/>
      <c r="B837" s="77"/>
      <c r="C837" s="38" t="s">
        <v>301</v>
      </c>
      <c r="D837" s="38"/>
    </row>
    <row r="838" spans="1:4">
      <c r="A838" s="77"/>
      <c r="B838" s="77"/>
      <c r="C838" s="38" t="s">
        <v>298</v>
      </c>
      <c r="D838" s="38"/>
    </row>
    <row r="839" spans="1:4">
      <c r="A839" s="77"/>
      <c r="B839" s="77"/>
      <c r="C839" s="38" t="s">
        <v>302</v>
      </c>
      <c r="D839" s="38"/>
    </row>
    <row r="840" spans="1:4">
      <c r="A840" s="77"/>
      <c r="B840" s="77"/>
      <c r="C840" s="38" t="s">
        <v>299</v>
      </c>
      <c r="D840" s="38"/>
    </row>
    <row r="841" spans="1:4">
      <c r="A841" s="77"/>
      <c r="B841" s="77"/>
      <c r="C841" s="38" t="s">
        <v>303</v>
      </c>
      <c r="D841" s="38"/>
    </row>
    <row r="842" spans="1:4">
      <c r="A842" s="77"/>
      <c r="B842" s="77"/>
      <c r="C842" s="38" t="s">
        <v>950</v>
      </c>
      <c r="D842" s="38"/>
    </row>
    <row r="843" spans="1:4">
      <c r="A843" s="77"/>
      <c r="B843" s="77"/>
      <c r="C843" s="38" t="s">
        <v>951</v>
      </c>
      <c r="D843" s="38"/>
    </row>
    <row r="844" spans="1:4">
      <c r="A844" s="77"/>
      <c r="B844" s="77"/>
      <c r="C844" s="38" t="s">
        <v>952</v>
      </c>
      <c r="D844" s="38"/>
    </row>
    <row r="845" spans="1:4">
      <c r="A845" s="77"/>
      <c r="B845" s="77"/>
      <c r="C845" s="38" t="s">
        <v>953</v>
      </c>
      <c r="D845" s="38"/>
    </row>
    <row r="846" spans="1:4">
      <c r="A846" s="77"/>
      <c r="B846" s="77"/>
      <c r="C846" s="38" t="s">
        <v>954</v>
      </c>
      <c r="D846" s="38"/>
    </row>
    <row r="847" spans="1:4">
      <c r="A847" s="77"/>
      <c r="B847" s="77"/>
      <c r="C847" s="38" t="s">
        <v>955</v>
      </c>
      <c r="D847" s="38"/>
    </row>
    <row r="848" spans="1:4">
      <c r="A848" s="77"/>
      <c r="B848" s="77"/>
      <c r="C848" s="38" t="s">
        <v>956</v>
      </c>
      <c r="D848" s="38"/>
    </row>
    <row r="849" spans="1:4">
      <c r="A849" s="77"/>
      <c r="B849" s="77"/>
      <c r="C849" s="38" t="s">
        <v>957</v>
      </c>
      <c r="D849" s="38"/>
    </row>
    <row r="850" spans="1:4">
      <c r="A850" s="77"/>
      <c r="B850" s="77"/>
      <c r="C850" s="38" t="s">
        <v>109</v>
      </c>
      <c r="D850" s="38"/>
    </row>
    <row r="851" spans="1:4">
      <c r="A851" s="50" t="s">
        <v>958</v>
      </c>
      <c r="B851" s="50"/>
      <c r="C851" s="40" t="s">
        <v>347</v>
      </c>
      <c r="D851" s="40"/>
    </row>
    <row r="852" spans="1:4">
      <c r="A852" s="51"/>
      <c r="B852" s="51"/>
      <c r="C852" s="40" t="s">
        <v>139</v>
      </c>
      <c r="D852" s="40"/>
    </row>
    <row r="853" spans="1:4">
      <c r="A853" s="77" t="s">
        <v>959</v>
      </c>
      <c r="B853" s="77" t="s">
        <v>5</v>
      </c>
      <c r="C853" s="38" t="s">
        <v>960</v>
      </c>
      <c r="D853" s="38"/>
    </row>
    <row r="854" spans="1:4">
      <c r="A854" s="77"/>
      <c r="B854" s="77"/>
      <c r="C854" s="38" t="s">
        <v>961</v>
      </c>
      <c r="D854" s="38"/>
    </row>
    <row r="855" spans="1:4">
      <c r="A855" s="77"/>
      <c r="B855" s="77"/>
      <c r="C855" s="38" t="s">
        <v>962</v>
      </c>
      <c r="D855" s="38"/>
    </row>
    <row r="856" spans="1:4">
      <c r="A856" s="77"/>
      <c r="B856" s="77"/>
      <c r="C856" s="38" t="s">
        <v>963</v>
      </c>
      <c r="D856" s="38"/>
    </row>
    <row r="857" spans="1:4">
      <c r="A857" s="77"/>
      <c r="B857" s="77"/>
      <c r="C857" s="38" t="s">
        <v>964</v>
      </c>
      <c r="D857" s="38"/>
    </row>
    <row r="858" spans="1:4">
      <c r="A858" s="77"/>
      <c r="B858" s="77"/>
      <c r="C858" s="38" t="s">
        <v>965</v>
      </c>
      <c r="D858" s="38"/>
    </row>
    <row r="859" spans="1:4">
      <c r="A859" s="77"/>
      <c r="B859" s="77"/>
      <c r="C859" s="38" t="s">
        <v>966</v>
      </c>
      <c r="D859" s="38"/>
    </row>
    <row r="860" spans="1:4">
      <c r="A860" s="77"/>
      <c r="B860" s="77"/>
      <c r="C860" s="38" t="s">
        <v>967</v>
      </c>
      <c r="D860" s="38"/>
    </row>
    <row r="861" spans="1:4">
      <c r="A861" s="77"/>
      <c r="B861" s="77"/>
      <c r="C861" s="38" t="s">
        <v>968</v>
      </c>
      <c r="D861" s="38"/>
    </row>
    <row r="862" spans="1:4">
      <c r="A862" s="50" t="s">
        <v>969</v>
      </c>
      <c r="B862" s="50" t="s">
        <v>5</v>
      </c>
      <c r="C862" s="40" t="s">
        <v>56</v>
      </c>
      <c r="D862" s="40"/>
    </row>
    <row r="863" spans="1:4">
      <c r="A863" s="51"/>
      <c r="B863" s="51"/>
      <c r="C863" s="40" t="s">
        <v>970</v>
      </c>
      <c r="D863" s="40"/>
    </row>
    <row r="864" spans="1:4">
      <c r="A864" s="51"/>
      <c r="B864" s="51"/>
      <c r="C864" s="40" t="s">
        <v>64</v>
      </c>
      <c r="D864" s="40"/>
    </row>
    <row r="865" spans="1:4">
      <c r="A865" s="51"/>
      <c r="B865" s="51"/>
      <c r="C865" s="40" t="s">
        <v>971</v>
      </c>
      <c r="D865" s="40"/>
    </row>
    <row r="866" spans="1:4">
      <c r="A866" s="51"/>
      <c r="B866" s="51"/>
      <c r="C866" s="40" t="s">
        <v>99</v>
      </c>
      <c r="D866" s="40"/>
    </row>
    <row r="867" spans="1:4">
      <c r="A867" s="51"/>
      <c r="B867" s="51"/>
      <c r="C867" s="40" t="s">
        <v>972</v>
      </c>
      <c r="D867" s="40"/>
    </row>
    <row r="868" spans="1:4">
      <c r="A868" s="51"/>
      <c r="B868" s="51"/>
      <c r="C868" s="40" t="s">
        <v>29</v>
      </c>
      <c r="D868" s="40"/>
    </row>
    <row r="869" spans="1:4">
      <c r="A869" s="51"/>
      <c r="B869" s="51"/>
      <c r="C869" s="40" t="s">
        <v>973</v>
      </c>
      <c r="D869" s="40"/>
    </row>
    <row r="870" spans="1:4">
      <c r="A870" s="77" t="s">
        <v>974</v>
      </c>
      <c r="B870" s="77" t="s">
        <v>5</v>
      </c>
      <c r="C870" s="38" t="s">
        <v>56</v>
      </c>
      <c r="D870" s="38"/>
    </row>
    <row r="871" spans="1:4">
      <c r="A871" s="77"/>
      <c r="B871" s="77"/>
      <c r="C871" s="38" t="s">
        <v>64</v>
      </c>
      <c r="D871" s="38"/>
    </row>
    <row r="872" spans="1:4">
      <c r="A872" s="77"/>
      <c r="B872" s="77"/>
      <c r="C872" s="38" t="s">
        <v>99</v>
      </c>
      <c r="D872" s="38"/>
    </row>
    <row r="873" spans="1:4">
      <c r="A873" s="77"/>
      <c r="B873" s="77"/>
      <c r="C873" s="38" t="s">
        <v>109</v>
      </c>
      <c r="D873" s="38"/>
    </row>
    <row r="874" spans="1:4">
      <c r="A874" s="50" t="s">
        <v>975</v>
      </c>
      <c r="B874" s="50" t="s">
        <v>5</v>
      </c>
      <c r="C874" s="40" t="s">
        <v>976</v>
      </c>
      <c r="D874" s="40"/>
    </row>
    <row r="875" spans="1:4">
      <c r="A875" s="51"/>
      <c r="B875" s="51"/>
      <c r="C875" s="40" t="s">
        <v>763</v>
      </c>
      <c r="D875" s="40"/>
    </row>
    <row r="876" spans="1:4">
      <c r="A876" s="51"/>
      <c r="B876" s="51"/>
      <c r="C876" s="40" t="s">
        <v>764</v>
      </c>
      <c r="D876" s="40"/>
    </row>
    <row r="877" spans="1:4">
      <c r="A877" s="51"/>
      <c r="B877" s="51"/>
      <c r="C877" s="40" t="s">
        <v>765</v>
      </c>
      <c r="D877" s="40"/>
    </row>
    <row r="878" spans="1:4">
      <c r="A878" s="51"/>
      <c r="B878" s="51"/>
      <c r="C878" s="40" t="s">
        <v>977</v>
      </c>
      <c r="D878" s="40"/>
    </row>
    <row r="879" spans="1:4">
      <c r="A879" s="51"/>
      <c r="B879" s="51"/>
      <c r="C879" s="40" t="s">
        <v>978</v>
      </c>
      <c r="D879" s="40"/>
    </row>
    <row r="880" spans="1:4">
      <c r="A880" s="51"/>
      <c r="B880" s="51"/>
      <c r="C880" s="40" t="s">
        <v>979</v>
      </c>
      <c r="D880" s="40"/>
    </row>
    <row r="881" spans="1:4">
      <c r="A881" s="51"/>
      <c r="B881" s="51"/>
      <c r="C881" s="40" t="s">
        <v>980</v>
      </c>
      <c r="D881" s="40"/>
    </row>
    <row r="882" spans="1:4">
      <c r="A882" s="51"/>
      <c r="B882" s="51"/>
      <c r="C882" s="40" t="s">
        <v>981</v>
      </c>
      <c r="D882" s="40" t="s">
        <v>981</v>
      </c>
    </row>
    <row r="883" spans="1:4">
      <c r="A883" s="52"/>
      <c r="B883" s="52"/>
      <c r="C883" s="40" t="s">
        <v>109</v>
      </c>
      <c r="D883" s="40"/>
    </row>
    <row r="884" spans="1:4">
      <c r="A884" s="66" t="s">
        <v>982</v>
      </c>
      <c r="B884" s="66" t="s">
        <v>5</v>
      </c>
      <c r="C884" s="38" t="s">
        <v>940</v>
      </c>
      <c r="D884" s="38"/>
    </row>
    <row r="885" spans="1:4">
      <c r="A885" s="67"/>
      <c r="B885" s="67"/>
      <c r="C885" s="38" t="s">
        <v>983</v>
      </c>
      <c r="D885" s="38"/>
    </row>
    <row r="886" spans="1:4">
      <c r="A886" s="67"/>
      <c r="B886" s="67"/>
      <c r="C886" s="38" t="s">
        <v>984</v>
      </c>
      <c r="D886" s="38"/>
    </row>
    <row r="887" spans="1:4">
      <c r="A887" s="67"/>
      <c r="B887" s="67"/>
      <c r="C887" s="38" t="s">
        <v>985</v>
      </c>
      <c r="D887" s="38"/>
    </row>
    <row r="888" spans="1:4">
      <c r="A888" s="67"/>
      <c r="B888" s="67"/>
      <c r="C888" s="38" t="s">
        <v>986</v>
      </c>
      <c r="D888" s="38"/>
    </row>
    <row r="889" spans="1:4">
      <c r="A889" s="67"/>
      <c r="B889" s="67"/>
      <c r="C889" s="38" t="s">
        <v>987</v>
      </c>
      <c r="D889" s="38" t="s">
        <v>988</v>
      </c>
    </row>
    <row r="890" spans="1:4">
      <c r="A890" s="67"/>
      <c r="B890" s="67"/>
      <c r="C890" s="38" t="s">
        <v>989</v>
      </c>
      <c r="D890" s="38"/>
    </row>
    <row r="891" spans="1:4">
      <c r="A891" s="50" t="s">
        <v>479</v>
      </c>
      <c r="B891" s="50" t="s">
        <v>5</v>
      </c>
      <c r="C891" s="40" t="s">
        <v>990</v>
      </c>
      <c r="D891" s="40"/>
    </row>
    <row r="892" spans="1:4">
      <c r="A892" s="51"/>
      <c r="B892" s="51"/>
      <c r="C892" s="40" t="s">
        <v>991</v>
      </c>
      <c r="D892" s="40"/>
    </row>
    <row r="893" spans="1:4">
      <c r="A893" s="51"/>
      <c r="B893" s="51"/>
      <c r="C893" s="40" t="s">
        <v>992</v>
      </c>
      <c r="D893" s="40"/>
    </row>
    <row r="894" spans="1:4">
      <c r="A894" s="51"/>
      <c r="B894" s="51"/>
      <c r="C894" s="40" t="s">
        <v>993</v>
      </c>
      <c r="D894" s="40"/>
    </row>
    <row r="895" spans="1:4">
      <c r="A895" s="51"/>
      <c r="B895" s="51"/>
      <c r="C895" s="40" t="s">
        <v>994</v>
      </c>
      <c r="D895" s="40"/>
    </row>
    <row r="896" spans="1:4">
      <c r="A896" s="51"/>
      <c r="B896" s="51"/>
      <c r="C896" s="40" t="s">
        <v>109</v>
      </c>
      <c r="D896" s="40"/>
    </row>
    <row r="897" spans="1:4">
      <c r="A897" s="66" t="s">
        <v>995</v>
      </c>
      <c r="B897" s="66" t="s">
        <v>5</v>
      </c>
      <c r="C897" s="38" t="s">
        <v>996</v>
      </c>
      <c r="D897" s="38"/>
    </row>
    <row r="898" spans="1:4">
      <c r="A898" s="67"/>
      <c r="B898" s="67"/>
      <c r="C898" s="38" t="s">
        <v>997</v>
      </c>
      <c r="D898" s="38"/>
    </row>
    <row r="899" spans="1:4">
      <c r="A899" s="67"/>
      <c r="B899" s="67"/>
      <c r="C899" s="38" t="s">
        <v>940</v>
      </c>
      <c r="D899" s="38"/>
    </row>
    <row r="900" spans="1:4">
      <c r="A900" s="67"/>
      <c r="B900" s="67"/>
      <c r="C900" s="38" t="s">
        <v>109</v>
      </c>
      <c r="D900" s="38"/>
    </row>
    <row r="901" spans="1:4">
      <c r="A901" s="50" t="s">
        <v>998</v>
      </c>
      <c r="B901" s="50" t="s">
        <v>5</v>
      </c>
      <c r="C901" s="40" t="s">
        <v>999</v>
      </c>
      <c r="D901" s="40"/>
    </row>
    <row r="902" spans="1:4">
      <c r="A902" s="51"/>
      <c r="B902" s="51"/>
      <c r="C902" s="40" t="s">
        <v>1000</v>
      </c>
      <c r="D902" s="40"/>
    </row>
    <row r="903" spans="1:4">
      <c r="A903" s="51"/>
      <c r="B903" s="51"/>
      <c r="C903" s="40" t="s">
        <v>754</v>
      </c>
      <c r="D903" s="40"/>
    </row>
    <row r="904" spans="1:4">
      <c r="A904" s="51"/>
      <c r="B904" s="51"/>
      <c r="C904" s="40" t="s">
        <v>1001</v>
      </c>
      <c r="D904" s="40"/>
    </row>
    <row r="905" spans="1:4">
      <c r="A905" s="51"/>
      <c r="B905" s="51"/>
      <c r="C905" s="40" t="s">
        <v>1002</v>
      </c>
      <c r="D905" s="40"/>
    </row>
    <row r="906" spans="1:4">
      <c r="A906" s="76" t="s">
        <v>1003</v>
      </c>
      <c r="B906" s="76" t="s">
        <v>5</v>
      </c>
      <c r="C906" s="43" t="s">
        <v>1004</v>
      </c>
      <c r="D906" s="43"/>
    </row>
    <row r="907" spans="1:4">
      <c r="A907" s="77"/>
      <c r="B907" s="77"/>
      <c r="C907" s="43" t="s">
        <v>1005</v>
      </c>
      <c r="D907" s="43"/>
    </row>
    <row r="908" spans="1:4">
      <c r="A908" s="77"/>
      <c r="B908" s="77"/>
      <c r="C908" s="38" t="s">
        <v>1006</v>
      </c>
      <c r="D908" s="38"/>
    </row>
    <row r="909" spans="1:4">
      <c r="A909" s="77"/>
      <c r="B909" s="77"/>
      <c r="C909" s="38" t="s">
        <v>1007</v>
      </c>
      <c r="D909" s="38"/>
    </row>
    <row r="910" spans="1:4">
      <c r="A910" s="77"/>
      <c r="B910" s="77"/>
      <c r="C910" s="38" t="s">
        <v>1008</v>
      </c>
      <c r="D910" s="38"/>
    </row>
    <row r="911" spans="1:4">
      <c r="A911" s="77"/>
      <c r="B911" s="77"/>
      <c r="C911" s="38" t="s">
        <v>1009</v>
      </c>
      <c r="D911" s="38"/>
    </row>
    <row r="912" spans="1:4">
      <c r="A912" s="72" t="s">
        <v>1010</v>
      </c>
      <c r="B912" s="72" t="s">
        <v>5</v>
      </c>
      <c r="C912" s="44" t="s">
        <v>56</v>
      </c>
      <c r="D912" s="44"/>
    </row>
    <row r="913" spans="1:4">
      <c r="A913" s="54"/>
      <c r="B913" s="54"/>
      <c r="C913" s="44" t="s">
        <v>970</v>
      </c>
      <c r="D913" s="44"/>
    </row>
    <row r="914" spans="1:4">
      <c r="A914" s="54"/>
      <c r="B914" s="54"/>
      <c r="C914" s="40" t="s">
        <v>64</v>
      </c>
      <c r="D914" s="40"/>
    </row>
    <row r="915" spans="1:4">
      <c r="A915" s="54"/>
      <c r="B915" s="54"/>
      <c r="C915" s="40" t="s">
        <v>971</v>
      </c>
      <c r="D915" s="40"/>
    </row>
    <row r="916" spans="1:4">
      <c r="A916" s="54"/>
      <c r="B916" s="54"/>
      <c r="C916" s="40" t="s">
        <v>99</v>
      </c>
      <c r="D916" s="40"/>
    </row>
    <row r="917" spans="1:4">
      <c r="A917" s="54"/>
      <c r="B917" s="54"/>
      <c r="C917" s="40" t="s">
        <v>972</v>
      </c>
      <c r="D917" s="40"/>
    </row>
    <row r="918" spans="1:4">
      <c r="A918" s="54"/>
      <c r="B918" s="54"/>
      <c r="C918" s="44" t="s">
        <v>29</v>
      </c>
      <c r="D918" s="44"/>
    </row>
    <row r="919" spans="1:4">
      <c r="A919" s="54"/>
      <c r="B919" s="54"/>
      <c r="C919" s="44" t="s">
        <v>973</v>
      </c>
      <c r="D919" s="44"/>
    </row>
    <row r="920" spans="1:4">
      <c r="A920" s="76" t="s">
        <v>1011</v>
      </c>
      <c r="B920" s="76" t="s">
        <v>5</v>
      </c>
      <c r="C920" s="43" t="s">
        <v>1012</v>
      </c>
      <c r="D920" s="43"/>
    </row>
    <row r="921" spans="1:4">
      <c r="A921" s="77"/>
      <c r="B921" s="77"/>
      <c r="C921" s="43" t="s">
        <v>1013</v>
      </c>
      <c r="D921" s="43"/>
    </row>
    <row r="922" spans="1:4">
      <c r="A922" s="77"/>
      <c r="B922" s="77"/>
      <c r="C922" s="38" t="s">
        <v>1014</v>
      </c>
      <c r="D922" s="38"/>
    </row>
    <row r="923" spans="1:4">
      <c r="A923" s="77"/>
      <c r="B923" s="77"/>
      <c r="C923" s="38" t="s">
        <v>1015</v>
      </c>
      <c r="D923" s="38"/>
    </row>
    <row r="924" spans="1:4">
      <c r="A924" s="77"/>
      <c r="B924" s="77"/>
      <c r="C924" s="38" t="s">
        <v>1016</v>
      </c>
      <c r="D924" s="38"/>
    </row>
    <row r="925" spans="1:4">
      <c r="A925" s="77"/>
      <c r="B925" s="77"/>
      <c r="C925" s="38" t="s">
        <v>109</v>
      </c>
      <c r="D925" s="38"/>
    </row>
    <row r="926" spans="1:4">
      <c r="A926" s="72" t="s">
        <v>1017</v>
      </c>
      <c r="B926" s="72" t="s">
        <v>5</v>
      </c>
      <c r="C926" s="40" t="s">
        <v>1018</v>
      </c>
      <c r="D926" s="40"/>
    </row>
    <row r="927" spans="1:4">
      <c r="A927" s="54"/>
      <c r="B927" s="54"/>
      <c r="C927" s="40" t="s">
        <v>1019</v>
      </c>
      <c r="D927" s="40"/>
    </row>
    <row r="928" spans="1:4">
      <c r="A928" s="54"/>
      <c r="B928" s="54"/>
      <c r="C928" s="40" t="s">
        <v>1020</v>
      </c>
      <c r="D928" s="40"/>
    </row>
    <row r="929" spans="1:4">
      <c r="A929" s="73" t="s">
        <v>1021</v>
      </c>
      <c r="B929" s="73" t="s">
        <v>5</v>
      </c>
      <c r="C929" s="43" t="s">
        <v>1022</v>
      </c>
      <c r="D929" s="43"/>
    </row>
    <row r="930" spans="1:4">
      <c r="A930" s="74"/>
      <c r="B930" s="74"/>
      <c r="C930" s="43" t="s">
        <v>763</v>
      </c>
      <c r="D930" s="43"/>
    </row>
    <row r="931" spans="1:4">
      <c r="A931" s="74"/>
      <c r="B931" s="74"/>
      <c r="C931" s="38" t="s">
        <v>976</v>
      </c>
      <c r="D931" s="38"/>
    </row>
    <row r="932" spans="1:4">
      <c r="A932" s="74"/>
      <c r="B932" s="74"/>
      <c r="C932" s="38" t="s">
        <v>764</v>
      </c>
      <c r="D932" s="38"/>
    </row>
    <row r="933" spans="1:4">
      <c r="A933" s="74"/>
      <c r="B933" s="74"/>
      <c r="C933" s="38" t="s">
        <v>109</v>
      </c>
      <c r="D933" s="38"/>
    </row>
    <row r="934" spans="1:4">
      <c r="A934" s="80" t="s">
        <v>1023</v>
      </c>
      <c r="B934" s="80" t="s">
        <v>5</v>
      </c>
      <c r="C934" s="44" t="s">
        <v>976</v>
      </c>
      <c r="D934" s="44"/>
    </row>
    <row r="935" spans="1:4">
      <c r="A935" s="81"/>
      <c r="B935" s="81"/>
      <c r="C935" s="44" t="s">
        <v>763</v>
      </c>
      <c r="D935" s="44"/>
    </row>
    <row r="936" spans="1:4">
      <c r="A936" s="81"/>
      <c r="B936" s="81"/>
      <c r="C936" s="40" t="s">
        <v>764</v>
      </c>
      <c r="D936" s="40"/>
    </row>
    <row r="937" spans="1:4">
      <c r="A937" s="81"/>
      <c r="B937" s="81"/>
      <c r="C937" s="40" t="s">
        <v>765</v>
      </c>
      <c r="D937" s="40"/>
    </row>
    <row r="938" spans="1:4">
      <c r="A938" s="81"/>
      <c r="B938" s="81"/>
      <c r="C938" s="40" t="s">
        <v>1024</v>
      </c>
      <c r="D938" s="40"/>
    </row>
    <row r="939" spans="1:4">
      <c r="A939" s="81"/>
      <c r="B939" s="81"/>
      <c r="C939" s="44" t="s">
        <v>1024</v>
      </c>
      <c r="D939" s="44"/>
    </row>
    <row r="940" spans="1:4">
      <c r="A940" s="81"/>
      <c r="B940" s="81"/>
      <c r="C940" s="44" t="s">
        <v>978</v>
      </c>
      <c r="D940" s="44"/>
    </row>
    <row r="941" spans="1:4">
      <c r="A941" s="81"/>
      <c r="B941" s="81"/>
      <c r="C941" s="40" t="s">
        <v>979</v>
      </c>
      <c r="D941" s="40"/>
    </row>
    <row r="942" spans="1:4">
      <c r="A942" s="81"/>
      <c r="B942" s="81"/>
      <c r="C942" s="44" t="s">
        <v>980</v>
      </c>
      <c r="D942" s="44"/>
    </row>
    <row r="943" spans="1:4">
      <c r="A943" s="81"/>
      <c r="B943" s="81"/>
      <c r="C943" s="44" t="s">
        <v>1022</v>
      </c>
      <c r="D943" s="44"/>
    </row>
    <row r="944" spans="1:4">
      <c r="A944" s="81"/>
      <c r="B944" s="81"/>
      <c r="C944" s="40" t="s">
        <v>1025</v>
      </c>
      <c r="D944" s="40" t="s">
        <v>1025</v>
      </c>
    </row>
    <row r="945" spans="1:4">
      <c r="A945" s="105"/>
      <c r="B945" s="105"/>
      <c r="C945" s="40" t="s">
        <v>109</v>
      </c>
      <c r="D945" s="40"/>
    </row>
    <row r="946" spans="1:4" ht="14.25" customHeight="1">
      <c r="A946" s="73" t="s">
        <v>1026</v>
      </c>
      <c r="B946" s="73" t="s">
        <v>5</v>
      </c>
      <c r="C946" s="43" t="s">
        <v>1027</v>
      </c>
      <c r="D946" s="43"/>
    </row>
    <row r="947" spans="1:4">
      <c r="A947" s="74"/>
      <c r="B947" s="74"/>
      <c r="C947" s="43" t="s">
        <v>1028</v>
      </c>
      <c r="D947" s="43"/>
    </row>
    <row r="948" spans="1:4">
      <c r="A948" s="74"/>
      <c r="B948" s="74"/>
      <c r="C948" s="38" t="s">
        <v>1029</v>
      </c>
      <c r="D948" s="38"/>
    </row>
    <row r="949" spans="1:4">
      <c r="A949" s="74"/>
      <c r="B949" s="74"/>
      <c r="C949" s="38" t="s">
        <v>1030</v>
      </c>
      <c r="D949" s="38"/>
    </row>
    <row r="950" spans="1:4">
      <c r="A950" s="74"/>
      <c r="B950" s="74"/>
      <c r="C950" s="38" t="s">
        <v>1031</v>
      </c>
      <c r="D950" s="38"/>
    </row>
    <row r="951" spans="1:4">
      <c r="A951" s="74"/>
      <c r="B951" s="74"/>
      <c r="C951" s="43" t="s">
        <v>775</v>
      </c>
      <c r="D951" s="43"/>
    </row>
    <row r="952" spans="1:4">
      <c r="A952" s="74"/>
      <c r="B952" s="74"/>
      <c r="C952" s="43" t="s">
        <v>1022</v>
      </c>
      <c r="D952" s="43"/>
    </row>
    <row r="953" spans="1:4">
      <c r="A953" s="74"/>
      <c r="B953" s="74"/>
      <c r="C953" s="38" t="s">
        <v>1032</v>
      </c>
      <c r="D953" s="38" t="s">
        <v>1033</v>
      </c>
    </row>
    <row r="954" spans="1:4">
      <c r="A954" s="74"/>
      <c r="B954" s="74"/>
      <c r="C954" s="38" t="s">
        <v>987</v>
      </c>
      <c r="D954" s="38" t="s">
        <v>988</v>
      </c>
    </row>
    <row r="955" spans="1:4">
      <c r="A955" s="74"/>
      <c r="B955" s="74"/>
      <c r="C955" s="38" t="s">
        <v>109</v>
      </c>
      <c r="D955" s="38"/>
    </row>
    <row r="956" spans="1:4">
      <c r="A956" s="80" t="s">
        <v>783</v>
      </c>
      <c r="B956" s="80" t="s">
        <v>5</v>
      </c>
      <c r="C956" s="40" t="s">
        <v>1034</v>
      </c>
      <c r="D956" s="40"/>
    </row>
    <row r="957" spans="1:4">
      <c r="A957" s="81"/>
      <c r="B957" s="81"/>
      <c r="C957" s="40" t="s">
        <v>1035</v>
      </c>
      <c r="D957" s="40"/>
    </row>
    <row r="958" spans="1:4">
      <c r="A958" s="81"/>
      <c r="B958" s="81"/>
      <c r="C958" s="40" t="s">
        <v>1036</v>
      </c>
      <c r="D958" s="40"/>
    </row>
    <row r="959" spans="1:4">
      <c r="A959" s="81"/>
      <c r="B959" s="81"/>
      <c r="C959" s="40" t="s">
        <v>1037</v>
      </c>
      <c r="D959" s="40"/>
    </row>
    <row r="960" spans="1:4">
      <c r="A960" s="81"/>
      <c r="B960" s="81"/>
      <c r="C960" s="40" t="s">
        <v>1038</v>
      </c>
      <c r="D960" s="40"/>
    </row>
    <row r="961" spans="1:4">
      <c r="A961" s="81"/>
      <c r="B961" s="81"/>
      <c r="C961" s="40" t="s">
        <v>1039</v>
      </c>
      <c r="D961" s="40"/>
    </row>
    <row r="962" spans="1:4">
      <c r="A962" s="81"/>
      <c r="B962" s="81"/>
      <c r="C962" s="40" t="s">
        <v>1040</v>
      </c>
      <c r="D962" s="40"/>
    </row>
    <row r="963" spans="1:4">
      <c r="A963" s="81"/>
      <c r="B963" s="81"/>
      <c r="C963" s="40" t="s">
        <v>864</v>
      </c>
      <c r="D963" s="40"/>
    </row>
    <row r="964" spans="1:4">
      <c r="A964" s="82" t="s">
        <v>1041</v>
      </c>
      <c r="B964" s="73" t="s">
        <v>5</v>
      </c>
      <c r="C964" s="38" t="s">
        <v>999</v>
      </c>
      <c r="D964" s="38"/>
    </row>
    <row r="965" spans="1:4">
      <c r="A965" s="83"/>
      <c r="B965" s="74"/>
      <c r="C965" s="38" t="s">
        <v>1000</v>
      </c>
      <c r="D965" s="38"/>
    </row>
    <row r="966" spans="1:4">
      <c r="A966" s="83"/>
      <c r="B966" s="74"/>
      <c r="C966" s="38" t="s">
        <v>754</v>
      </c>
      <c r="D966" s="38"/>
    </row>
    <row r="967" spans="1:4">
      <c r="A967" s="83"/>
      <c r="B967" s="74"/>
      <c r="C967" s="38" t="s">
        <v>1001</v>
      </c>
      <c r="D967" s="38"/>
    </row>
    <row r="968" spans="1:4">
      <c r="A968" s="83"/>
      <c r="B968" s="74"/>
      <c r="C968" s="38" t="s">
        <v>1002</v>
      </c>
      <c r="D968" s="38"/>
    </row>
    <row r="969" spans="1:4">
      <c r="A969" s="83"/>
      <c r="B969" s="74"/>
      <c r="C969" s="38" t="s">
        <v>1042</v>
      </c>
      <c r="D969" s="38"/>
    </row>
    <row r="970" spans="1:4">
      <c r="A970" s="84" t="s">
        <v>1043</v>
      </c>
      <c r="B970" s="80" t="s">
        <v>5</v>
      </c>
      <c r="C970" s="40" t="s">
        <v>1044</v>
      </c>
      <c r="D970" s="40"/>
    </row>
    <row r="971" spans="1:4">
      <c r="A971" s="85"/>
      <c r="B971" s="81"/>
      <c r="C971" s="40" t="s">
        <v>1045</v>
      </c>
      <c r="D971" s="40"/>
    </row>
    <row r="972" spans="1:4">
      <c r="A972" s="85"/>
      <c r="B972" s="81"/>
      <c r="C972" s="40" t="s">
        <v>1046</v>
      </c>
      <c r="D972" s="40"/>
    </row>
    <row r="973" spans="1:4">
      <c r="A973" s="85"/>
      <c r="B973" s="81"/>
      <c r="C973" s="40" t="s">
        <v>1047</v>
      </c>
      <c r="D973" s="40"/>
    </row>
    <row r="974" spans="1:4">
      <c r="A974" s="85"/>
      <c r="B974" s="81"/>
      <c r="C974" s="40" t="s">
        <v>1048</v>
      </c>
      <c r="D974" s="40"/>
    </row>
    <row r="975" spans="1:4">
      <c r="A975" s="85"/>
      <c r="B975" s="81"/>
      <c r="C975" s="40" t="s">
        <v>1049</v>
      </c>
      <c r="D975" s="40"/>
    </row>
    <row r="976" spans="1:4">
      <c r="A976" s="106"/>
      <c r="B976" s="105"/>
      <c r="C976" s="40" t="s">
        <v>109</v>
      </c>
      <c r="D976" s="40"/>
    </row>
    <row r="977" spans="1:4">
      <c r="A977" s="73" t="s">
        <v>1050</v>
      </c>
      <c r="B977" s="73" t="s">
        <v>5</v>
      </c>
      <c r="C977" s="38" t="s">
        <v>1051</v>
      </c>
      <c r="D977" s="38"/>
    </row>
    <row r="978" spans="1:4">
      <c r="A978" s="74"/>
      <c r="B978" s="74"/>
      <c r="C978" s="38" t="s">
        <v>1052</v>
      </c>
      <c r="D978" s="38"/>
    </row>
    <row r="979" spans="1:4">
      <c r="A979" s="74"/>
      <c r="B979" s="74"/>
      <c r="C979" s="38" t="s">
        <v>1053</v>
      </c>
      <c r="D979" s="38"/>
    </row>
    <row r="980" spans="1:4">
      <c r="A980" s="74"/>
      <c r="B980" s="74"/>
      <c r="C980" s="38" t="s">
        <v>1054</v>
      </c>
      <c r="D980" s="38"/>
    </row>
    <row r="981" spans="1:4">
      <c r="A981" s="74"/>
      <c r="B981" s="74"/>
      <c r="C981" s="38" t="s">
        <v>1055</v>
      </c>
      <c r="D981" s="38"/>
    </row>
    <row r="982" spans="1:4">
      <c r="A982" s="74"/>
      <c r="B982" s="74"/>
      <c r="C982" s="38" t="s">
        <v>1056</v>
      </c>
      <c r="D982" s="38"/>
    </row>
    <row r="983" spans="1:4">
      <c r="A983" s="74"/>
      <c r="B983" s="74"/>
      <c r="C983" s="38" t="s">
        <v>1057</v>
      </c>
      <c r="D983" s="38"/>
    </row>
    <row r="984" spans="1:4">
      <c r="A984" s="74"/>
      <c r="B984" s="74"/>
      <c r="C984" s="38" t="s">
        <v>1058</v>
      </c>
      <c r="D984" s="38"/>
    </row>
    <row r="985" spans="1:4">
      <c r="A985" s="74"/>
      <c r="B985" s="74"/>
      <c r="C985" s="38" t="s">
        <v>1059</v>
      </c>
      <c r="D985" s="38" t="s">
        <v>1060</v>
      </c>
    </row>
    <row r="986" spans="1:4">
      <c r="A986" s="84" t="s">
        <v>1061</v>
      </c>
      <c r="B986" s="80" t="s">
        <v>5</v>
      </c>
      <c r="C986" s="40" t="s">
        <v>1004</v>
      </c>
      <c r="D986" s="40"/>
    </row>
    <row r="987" spans="1:4">
      <c r="A987" s="85"/>
      <c r="B987" s="81"/>
      <c r="C987" s="40" t="s">
        <v>1005</v>
      </c>
      <c r="D987" s="40"/>
    </row>
    <row r="988" spans="1:4">
      <c r="A988" s="85"/>
      <c r="B988" s="81"/>
      <c r="C988" s="40" t="s">
        <v>1062</v>
      </c>
      <c r="D988" s="40"/>
    </row>
    <row r="989" spans="1:4">
      <c r="A989" s="85"/>
      <c r="B989" s="81"/>
      <c r="C989" s="40" t="s">
        <v>1063</v>
      </c>
      <c r="D989" s="40"/>
    </row>
    <row r="990" spans="1:4">
      <c r="A990" s="85"/>
      <c r="B990" s="81"/>
      <c r="C990" s="40" t="s">
        <v>1064</v>
      </c>
      <c r="D990" s="40"/>
    </row>
    <row r="991" spans="1:4">
      <c r="A991" s="85"/>
      <c r="B991" s="81"/>
      <c r="C991" s="40" t="s">
        <v>1065</v>
      </c>
      <c r="D991" s="40"/>
    </row>
    <row r="992" spans="1:4">
      <c r="A992" s="73" t="s">
        <v>1066</v>
      </c>
      <c r="B992" s="73" t="s">
        <v>5</v>
      </c>
      <c r="C992" s="38" t="s">
        <v>763</v>
      </c>
      <c r="D992" s="38"/>
    </row>
    <row r="993" spans="1:4">
      <c r="A993" s="74"/>
      <c r="B993" s="74"/>
      <c r="C993" s="38" t="s">
        <v>976</v>
      </c>
      <c r="D993" s="38"/>
    </row>
    <row r="994" spans="1:4">
      <c r="A994" s="74"/>
      <c r="B994" s="74"/>
      <c r="C994" s="38" t="s">
        <v>973</v>
      </c>
      <c r="D994" s="38"/>
    </row>
    <row r="995" spans="1:4">
      <c r="A995" s="74"/>
      <c r="B995" s="74"/>
      <c r="C995" s="38" t="s">
        <v>764</v>
      </c>
      <c r="D995" s="38"/>
    </row>
    <row r="996" spans="1:4">
      <c r="A996" s="74"/>
      <c r="B996" s="74"/>
      <c r="C996" s="38" t="s">
        <v>1067</v>
      </c>
      <c r="D996" s="38" t="s">
        <v>1068</v>
      </c>
    </row>
    <row r="997" spans="1:4">
      <c r="A997" s="74"/>
      <c r="B997" s="74"/>
      <c r="C997" s="38" t="s">
        <v>109</v>
      </c>
      <c r="D997" s="38"/>
    </row>
    <row r="998" spans="1:4">
      <c r="A998" s="80" t="s">
        <v>1069</v>
      </c>
      <c r="B998" s="80" t="s">
        <v>5</v>
      </c>
      <c r="C998" s="40" t="s">
        <v>1070</v>
      </c>
      <c r="D998" s="40"/>
    </row>
    <row r="999" spans="1:4">
      <c r="A999" s="81"/>
      <c r="B999" s="81"/>
      <c r="C999" s="40" t="s">
        <v>1071</v>
      </c>
      <c r="D999" s="40"/>
    </row>
    <row r="1000" spans="1:4">
      <c r="A1000" s="73" t="s">
        <v>1072</v>
      </c>
      <c r="B1000" s="73" t="s">
        <v>5</v>
      </c>
      <c r="C1000" s="38" t="s">
        <v>1073</v>
      </c>
      <c r="D1000" s="38"/>
    </row>
    <row r="1001" spans="1:4">
      <c r="A1001" s="74"/>
      <c r="B1001" s="74"/>
      <c r="C1001" s="38" t="s">
        <v>1074</v>
      </c>
      <c r="D1001" s="38"/>
    </row>
    <row r="1002" spans="1:4">
      <c r="A1002" s="74"/>
      <c r="B1002" s="74"/>
      <c r="C1002" s="38" t="s">
        <v>1075</v>
      </c>
      <c r="D1002" s="38"/>
    </row>
    <row r="1003" spans="1:4">
      <c r="A1003" s="74"/>
      <c r="B1003" s="74"/>
      <c r="C1003" s="38" t="s">
        <v>1076</v>
      </c>
      <c r="D1003" s="38"/>
    </row>
    <row r="1004" spans="1:4">
      <c r="A1004" s="74"/>
      <c r="B1004" s="74"/>
      <c r="C1004" s="38" t="s">
        <v>1077</v>
      </c>
      <c r="D1004" s="38"/>
    </row>
    <row r="1005" spans="1:4">
      <c r="A1005" s="74"/>
      <c r="B1005" s="74"/>
      <c r="C1005" s="38" t="s">
        <v>1078</v>
      </c>
      <c r="D1005" s="38"/>
    </row>
    <row r="1006" spans="1:4">
      <c r="A1006" s="74"/>
      <c r="B1006" s="74"/>
      <c r="C1006" s="38" t="s">
        <v>1079</v>
      </c>
      <c r="D1006" s="38"/>
    </row>
    <row r="1007" spans="1:4">
      <c r="A1007" s="74"/>
      <c r="B1007" s="74"/>
      <c r="C1007" s="38" t="s">
        <v>1080</v>
      </c>
      <c r="D1007" s="38"/>
    </row>
    <row r="1008" spans="1:4">
      <c r="A1008" s="74"/>
      <c r="B1008" s="74"/>
      <c r="C1008" s="38" t="s">
        <v>1081</v>
      </c>
      <c r="D1008" s="38"/>
    </row>
    <row r="1009" spans="1:4">
      <c r="A1009" s="74"/>
      <c r="B1009" s="74"/>
      <c r="C1009" s="38" t="s">
        <v>1082</v>
      </c>
      <c r="D1009" s="38"/>
    </row>
    <row r="1010" spans="1:4">
      <c r="A1010" s="74"/>
      <c r="B1010" s="74"/>
      <c r="C1010" s="38" t="s">
        <v>148</v>
      </c>
      <c r="D1010" s="38"/>
    </row>
    <row r="1011" spans="1:4">
      <c r="A1011" s="74"/>
      <c r="B1011" s="74"/>
      <c r="C1011" s="38" t="s">
        <v>1083</v>
      </c>
      <c r="D1011" s="38"/>
    </row>
    <row r="1012" spans="1:4">
      <c r="A1012" s="74"/>
      <c r="B1012" s="74"/>
      <c r="C1012" s="38" t="s">
        <v>1084</v>
      </c>
      <c r="D1012" s="38"/>
    </row>
    <row r="1013" spans="1:4">
      <c r="A1013" s="74"/>
      <c r="B1013" s="74"/>
      <c r="C1013" s="38" t="s">
        <v>1085</v>
      </c>
      <c r="D1013" s="38"/>
    </row>
    <row r="1014" spans="1:4">
      <c r="A1014" s="74"/>
      <c r="B1014" s="74"/>
      <c r="C1014" s="38" t="s">
        <v>1086</v>
      </c>
      <c r="D1014" s="38"/>
    </row>
    <row r="1015" spans="1:4">
      <c r="A1015" s="74"/>
      <c r="B1015" s="74"/>
      <c r="C1015" s="38" t="s">
        <v>138</v>
      </c>
      <c r="D1015" s="38"/>
    </row>
    <row r="1016" spans="1:4">
      <c r="A1016" s="74"/>
      <c r="B1016" s="74"/>
      <c r="C1016" s="38" t="s">
        <v>1087</v>
      </c>
      <c r="D1016" s="38"/>
    </row>
    <row r="1017" spans="1:4">
      <c r="A1017" s="74"/>
      <c r="B1017" s="74"/>
      <c r="C1017" s="38" t="s">
        <v>145</v>
      </c>
      <c r="D1017" s="38"/>
    </row>
    <row r="1018" spans="1:4">
      <c r="A1018" s="74"/>
      <c r="B1018" s="74"/>
      <c r="C1018" s="38" t="s">
        <v>1088</v>
      </c>
      <c r="D1018" s="38"/>
    </row>
    <row r="1019" spans="1:4">
      <c r="A1019" s="74"/>
      <c r="B1019" s="74"/>
      <c r="C1019" s="38" t="s">
        <v>1089</v>
      </c>
      <c r="D1019" s="38"/>
    </row>
    <row r="1020" spans="1:4">
      <c r="A1020" s="74"/>
      <c r="B1020" s="74"/>
      <c r="C1020" s="38" t="s">
        <v>1090</v>
      </c>
      <c r="D1020" s="38"/>
    </row>
    <row r="1021" spans="1:4">
      <c r="A1021" s="74"/>
      <c r="B1021" s="74"/>
      <c r="C1021" s="38" t="s">
        <v>1091</v>
      </c>
      <c r="D1021" s="38"/>
    </row>
    <row r="1022" spans="1:4">
      <c r="A1022" s="74"/>
      <c r="B1022" s="74"/>
      <c r="C1022" s="38" t="s">
        <v>1092</v>
      </c>
      <c r="D1022" s="38"/>
    </row>
    <row r="1023" spans="1:4">
      <c r="A1023" s="74"/>
      <c r="B1023" s="74"/>
      <c r="C1023" s="38" t="s">
        <v>1093</v>
      </c>
      <c r="D1023" s="38"/>
    </row>
    <row r="1024" spans="1:4">
      <c r="A1024" s="74"/>
      <c r="B1024" s="74"/>
      <c r="C1024" s="38" t="s">
        <v>1094</v>
      </c>
      <c r="D1024" s="38"/>
    </row>
    <row r="1025" spans="1:4">
      <c r="A1025" s="74"/>
      <c r="B1025" s="74"/>
      <c r="C1025" s="38" t="s">
        <v>1095</v>
      </c>
      <c r="D1025" s="38"/>
    </row>
    <row r="1026" spans="1:4">
      <c r="A1026" s="74"/>
      <c r="B1026" s="74"/>
      <c r="C1026" s="38" t="s">
        <v>1096</v>
      </c>
      <c r="D1026" s="38"/>
    </row>
    <row r="1027" spans="1:4">
      <c r="A1027" s="74"/>
      <c r="B1027" s="74"/>
      <c r="C1027" s="38" t="s">
        <v>1097</v>
      </c>
      <c r="D1027" s="38"/>
    </row>
    <row r="1028" spans="1:4">
      <c r="A1028" s="74"/>
      <c r="B1028" s="74"/>
      <c r="C1028" s="38" t="s">
        <v>1098</v>
      </c>
      <c r="D1028" s="38"/>
    </row>
    <row r="1029" spans="1:4">
      <c r="A1029" s="74"/>
      <c r="B1029" s="74"/>
      <c r="C1029" s="38" t="s">
        <v>1099</v>
      </c>
      <c r="D1029" s="38"/>
    </row>
    <row r="1030" spans="1:4">
      <c r="A1030" s="74"/>
      <c r="B1030" s="74"/>
      <c r="C1030" s="38" t="s">
        <v>1100</v>
      </c>
      <c r="D1030" s="38"/>
    </row>
    <row r="1031" spans="1:4">
      <c r="A1031" s="74"/>
      <c r="B1031" s="74"/>
      <c r="C1031" s="112" t="s">
        <v>1101</v>
      </c>
      <c r="D1031" s="38"/>
    </row>
    <row r="1032" spans="1:4">
      <c r="A1032" s="74"/>
      <c r="B1032" s="74"/>
      <c r="C1032" s="38" t="s">
        <v>1102</v>
      </c>
      <c r="D1032" s="38"/>
    </row>
    <row r="1033" spans="1:4">
      <c r="A1033" s="74"/>
      <c r="B1033" s="74"/>
      <c r="C1033" s="38" t="s">
        <v>109</v>
      </c>
      <c r="D1033" s="38"/>
    </row>
    <row r="1034" spans="1:4">
      <c r="A1034" s="50" t="s">
        <v>1103</v>
      </c>
      <c r="B1034" s="50" t="s">
        <v>5</v>
      </c>
      <c r="C1034" s="40" t="s">
        <v>1104</v>
      </c>
      <c r="D1034" s="40"/>
    </row>
    <row r="1035" spans="1:4">
      <c r="A1035" s="51"/>
      <c r="B1035" s="51"/>
      <c r="C1035" s="40" t="s">
        <v>1105</v>
      </c>
      <c r="D1035" s="40"/>
    </row>
    <row r="1036" spans="1:4">
      <c r="A1036" s="51"/>
      <c r="B1036" s="51"/>
      <c r="C1036" s="40" t="s">
        <v>109</v>
      </c>
      <c r="D1036" s="40"/>
    </row>
    <row r="1037" spans="1:4">
      <c r="A1037" s="73" t="s">
        <v>1106</v>
      </c>
      <c r="B1037" s="73" t="s">
        <v>5</v>
      </c>
      <c r="C1037" s="38" t="s">
        <v>1107</v>
      </c>
      <c r="D1037" s="38"/>
    </row>
    <row r="1163" ht="14.45" hidden="1" customHeight="1"/>
  </sheetData>
  <autoFilter ref="A1:D1040" xr:uid="{00000000-0009-0000-0000-00001F000000}"/>
  <sortState xmlns:xlrd2="http://schemas.microsoft.com/office/spreadsheetml/2017/richdata2" ref="C81:C84">
    <sortCondition ref="C81"/>
  </sortState>
  <pageMargins left="0.70866141732283472" right="0.70866141732283472" top="0.74803149606299213" bottom="0.74803149606299213" header="0.31496062992125984" footer="0.31496062992125984"/>
  <pageSetup paperSize="9" scale="60" orientation="landscape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 codeName="Sheet32"/>
  <dimension ref="A1:E795"/>
  <sheetViews>
    <sheetView showGridLines="0" rightToLeft="1" workbookViewId="0">
      <pane ySplit="1" topLeftCell="A2" activePane="bottomLeft" state="frozen"/>
      <selection pane="bottomLeft"/>
    </sheetView>
  </sheetViews>
  <sheetFormatPr defaultColWidth="0" defaultRowHeight="14.25" zeroHeight="1" outlineLevelRow="1"/>
  <cols>
    <col min="1" max="1" width="25.625" customWidth="1"/>
    <col min="2" max="2" width="48.75" customWidth="1"/>
    <col min="3" max="3" width="12" customWidth="1"/>
    <col min="4" max="4" width="23.5" customWidth="1"/>
    <col min="5" max="5" width="14.25" hidden="1" customWidth="1"/>
  </cols>
  <sheetData>
    <row r="1" spans="1:4" ht="15.75">
      <c r="A1" s="92" t="s">
        <v>1108</v>
      </c>
      <c r="B1" s="93" t="s">
        <v>1109</v>
      </c>
      <c r="C1" s="93" t="s">
        <v>1110</v>
      </c>
      <c r="D1" s="94" t="s">
        <v>1111</v>
      </c>
    </row>
    <row r="2" spans="1:4" ht="15.75" outlineLevel="1">
      <c r="A2" s="25" t="s">
        <v>959</v>
      </c>
      <c r="B2" s="26" t="s">
        <v>0</v>
      </c>
      <c r="C2" s="25">
        <v>5.0999999999999996</v>
      </c>
      <c r="D2" s="96"/>
    </row>
    <row r="3" spans="1:4" ht="15.75" outlineLevel="1">
      <c r="A3" s="25" t="s">
        <v>959</v>
      </c>
      <c r="B3" s="26" t="s">
        <v>1</v>
      </c>
      <c r="C3" s="25">
        <v>5.2</v>
      </c>
      <c r="D3" s="96"/>
    </row>
    <row r="4" spans="1:4" ht="15.75" outlineLevel="1">
      <c r="A4" s="25" t="s">
        <v>959</v>
      </c>
      <c r="B4" s="26" t="s">
        <v>176</v>
      </c>
      <c r="C4" s="25">
        <v>5.4</v>
      </c>
      <c r="D4" s="96"/>
    </row>
    <row r="5" spans="1:4" ht="15.75" outlineLevel="1">
      <c r="A5" s="25" t="s">
        <v>959</v>
      </c>
      <c r="B5" s="26" t="s">
        <v>177</v>
      </c>
      <c r="C5" s="25">
        <v>5.7</v>
      </c>
      <c r="D5" s="96"/>
    </row>
    <row r="6" spans="1:4" ht="15.75" outlineLevel="1">
      <c r="A6" s="25" t="s">
        <v>959</v>
      </c>
      <c r="B6" s="26" t="s">
        <v>178</v>
      </c>
      <c r="C6" s="25">
        <v>5.1100000000000003</v>
      </c>
      <c r="D6" s="96"/>
    </row>
    <row r="7" spans="1:4" ht="15.75" outlineLevel="1">
      <c r="A7" s="25" t="s">
        <v>959</v>
      </c>
      <c r="B7" s="26" t="s">
        <v>5</v>
      </c>
      <c r="C7" s="25">
        <v>5.26</v>
      </c>
      <c r="D7" s="96"/>
    </row>
    <row r="8" spans="1:4" ht="15.75" outlineLevel="1">
      <c r="A8" s="25" t="s">
        <v>959</v>
      </c>
      <c r="B8" s="26" t="s">
        <v>6</v>
      </c>
      <c r="C8" s="25">
        <v>5.27</v>
      </c>
      <c r="D8" s="96"/>
    </row>
    <row r="9" spans="1:4" ht="15.75" outlineLevel="1">
      <c r="A9" s="25" t="s">
        <v>959</v>
      </c>
      <c r="B9" s="26" t="s">
        <v>125</v>
      </c>
      <c r="C9" s="25">
        <v>5.36</v>
      </c>
      <c r="D9" s="96"/>
    </row>
    <row r="10" spans="1:4" ht="15.75" outlineLevel="1">
      <c r="A10" s="25" t="s">
        <v>959</v>
      </c>
      <c r="B10" s="26" t="s">
        <v>180</v>
      </c>
      <c r="C10" s="27">
        <v>5.5</v>
      </c>
      <c r="D10" s="96"/>
    </row>
    <row r="11" spans="1:4" ht="15.75" outlineLevel="1">
      <c r="A11" s="25" t="s">
        <v>959</v>
      </c>
      <c r="B11" s="26" t="s">
        <v>10</v>
      </c>
      <c r="C11" s="25">
        <v>5.51</v>
      </c>
      <c r="D11" s="96"/>
    </row>
    <row r="12" spans="1:4" ht="15.75" outlineLevel="1">
      <c r="A12" s="25" t="s">
        <v>959</v>
      </c>
      <c r="B12" s="26" t="s">
        <v>11</v>
      </c>
      <c r="C12" s="25">
        <v>5.53</v>
      </c>
      <c r="D12" s="96"/>
    </row>
    <row r="13" spans="1:4" ht="15.75" outlineLevel="1">
      <c r="A13" s="25" t="s">
        <v>959</v>
      </c>
      <c r="B13" s="26" t="s">
        <v>135</v>
      </c>
      <c r="C13" s="25">
        <v>5.59</v>
      </c>
      <c r="D13" s="96"/>
    </row>
    <row r="14" spans="1:4" ht="15.75" outlineLevel="1">
      <c r="A14" s="25" t="s">
        <v>959</v>
      </c>
      <c r="B14" s="26" t="s">
        <v>18</v>
      </c>
      <c r="C14" s="25">
        <v>5.54</v>
      </c>
      <c r="D14" s="96"/>
    </row>
    <row r="15" spans="1:4" ht="15.75" outlineLevel="1">
      <c r="A15" s="25" t="s">
        <v>959</v>
      </c>
      <c r="B15" s="26" t="s">
        <v>14</v>
      </c>
      <c r="C15" s="27">
        <v>5.7</v>
      </c>
      <c r="D15" s="95" t="s">
        <v>1112</v>
      </c>
    </row>
    <row r="16" spans="1:4" ht="15.75" outlineLevel="1">
      <c r="A16" s="25" t="s">
        <v>959</v>
      </c>
      <c r="B16" s="26" t="s">
        <v>20</v>
      </c>
      <c r="C16" s="25">
        <v>5.63</v>
      </c>
      <c r="D16" s="96"/>
    </row>
    <row r="17" spans="1:4" ht="15.75" outlineLevel="1">
      <c r="A17" s="25" t="s">
        <v>959</v>
      </c>
      <c r="B17" s="26" t="s">
        <v>24</v>
      </c>
      <c r="C17" s="25">
        <v>5.47</v>
      </c>
      <c r="D17" s="96"/>
    </row>
    <row r="18" spans="1:4" ht="15.75" outlineLevel="1">
      <c r="A18" s="25" t="s">
        <v>959</v>
      </c>
      <c r="B18" s="26" t="s">
        <v>25</v>
      </c>
      <c r="C18" s="25">
        <v>5.48</v>
      </c>
      <c r="D18" s="96"/>
    </row>
    <row r="19" spans="1:4" ht="15.75">
      <c r="A19" s="30" t="s">
        <v>959</v>
      </c>
      <c r="B19" s="26"/>
      <c r="C19" s="25"/>
      <c r="D19" s="96"/>
    </row>
    <row r="20" spans="1:4" ht="15.75" outlineLevel="1">
      <c r="A20" s="25" t="s">
        <v>969</v>
      </c>
      <c r="B20" s="26" t="s">
        <v>0</v>
      </c>
      <c r="C20" s="25">
        <v>5.0999999999999996</v>
      </c>
      <c r="D20" s="96"/>
    </row>
    <row r="21" spans="1:4" ht="15.75" outlineLevel="1">
      <c r="A21" s="25" t="s">
        <v>969</v>
      </c>
      <c r="B21" s="26" t="s">
        <v>1</v>
      </c>
      <c r="C21" s="25">
        <v>5.2</v>
      </c>
      <c r="D21" s="96"/>
    </row>
    <row r="22" spans="1:4" ht="15.75" outlineLevel="1">
      <c r="A22" s="25" t="s">
        <v>969</v>
      </c>
      <c r="B22" s="26" t="s">
        <v>2</v>
      </c>
      <c r="C22" s="25">
        <v>5.3</v>
      </c>
      <c r="D22" s="96"/>
    </row>
    <row r="23" spans="1:4" ht="15.75" outlineLevel="1">
      <c r="A23" s="25" t="s">
        <v>969</v>
      </c>
      <c r="B23" s="26" t="s">
        <v>1113</v>
      </c>
      <c r="C23" s="25">
        <v>5.14</v>
      </c>
      <c r="D23" s="96"/>
    </row>
    <row r="24" spans="1:4" ht="15.75" outlineLevel="1">
      <c r="A24" s="25" t="s">
        <v>969</v>
      </c>
      <c r="B24" s="26" t="s">
        <v>4</v>
      </c>
      <c r="C24" s="25">
        <v>5.19</v>
      </c>
      <c r="D24" s="96"/>
    </row>
    <row r="25" spans="1:4" ht="15.75" outlineLevel="1">
      <c r="A25" s="25" t="s">
        <v>969</v>
      </c>
      <c r="B25" s="26" t="s">
        <v>5</v>
      </c>
      <c r="C25" s="25">
        <v>5.26</v>
      </c>
      <c r="D25" s="96"/>
    </row>
    <row r="26" spans="1:4" ht="15.75" outlineLevel="1">
      <c r="A26" s="25" t="s">
        <v>969</v>
      </c>
      <c r="B26" s="26" t="s">
        <v>6</v>
      </c>
      <c r="C26" s="25">
        <v>5.27</v>
      </c>
      <c r="D26" s="96"/>
    </row>
    <row r="27" spans="1:4" ht="15.75" outlineLevel="1">
      <c r="A27" s="25" t="s">
        <v>969</v>
      </c>
      <c r="B27" s="26" t="s">
        <v>7</v>
      </c>
      <c r="C27" s="25">
        <v>5.28</v>
      </c>
      <c r="D27" s="96"/>
    </row>
    <row r="28" spans="1:4" ht="15.75" outlineLevel="1">
      <c r="A28" s="25" t="s">
        <v>969</v>
      </c>
      <c r="B28" s="26" t="s">
        <v>8</v>
      </c>
      <c r="C28" s="27">
        <v>5.3</v>
      </c>
      <c r="D28" s="96"/>
    </row>
    <row r="29" spans="1:4" ht="15.75" outlineLevel="1">
      <c r="A29" s="25" t="s">
        <v>969</v>
      </c>
      <c r="B29" s="26" t="s">
        <v>9</v>
      </c>
      <c r="C29" s="25">
        <v>5.49</v>
      </c>
      <c r="D29" s="96"/>
    </row>
    <row r="30" spans="1:4" ht="15.75" outlineLevel="1">
      <c r="A30" s="25" t="s">
        <v>969</v>
      </c>
      <c r="B30" s="26" t="s">
        <v>10</v>
      </c>
      <c r="C30" s="25">
        <v>5.51</v>
      </c>
      <c r="D30" s="96"/>
    </row>
    <row r="31" spans="1:4" ht="15.75" outlineLevel="1">
      <c r="A31" s="25" t="s">
        <v>969</v>
      </c>
      <c r="B31" s="26" t="s">
        <v>11</v>
      </c>
      <c r="C31" s="25">
        <v>5.53</v>
      </c>
      <c r="D31" s="96"/>
    </row>
    <row r="32" spans="1:4" ht="15.75" outlineLevel="1">
      <c r="A32" s="25" t="s">
        <v>969</v>
      </c>
      <c r="B32" s="26" t="s">
        <v>12</v>
      </c>
      <c r="C32" s="25">
        <v>5.69</v>
      </c>
      <c r="D32" s="96"/>
    </row>
    <row r="33" spans="1:4" ht="15.75" outlineLevel="1">
      <c r="A33" s="25" t="s">
        <v>969</v>
      </c>
      <c r="B33" s="26" t="s">
        <v>13</v>
      </c>
      <c r="C33" s="25">
        <v>5.75</v>
      </c>
      <c r="D33" s="96"/>
    </row>
    <row r="34" spans="1:4" ht="15.75" outlineLevel="1">
      <c r="A34" s="25" t="s">
        <v>969</v>
      </c>
      <c r="B34" s="26" t="s">
        <v>14</v>
      </c>
      <c r="C34" s="27">
        <v>5.7</v>
      </c>
      <c r="D34" s="96"/>
    </row>
    <row r="35" spans="1:4" ht="15.75" outlineLevel="1">
      <c r="A35" s="25" t="s">
        <v>969</v>
      </c>
      <c r="B35" s="26" t="s">
        <v>15</v>
      </c>
      <c r="C35" s="25">
        <v>5.74</v>
      </c>
      <c r="D35" s="96"/>
    </row>
    <row r="36" spans="1:4" ht="15.75" outlineLevel="1">
      <c r="A36" s="25" t="s">
        <v>969</v>
      </c>
      <c r="B36" s="26" t="s">
        <v>16</v>
      </c>
      <c r="C36" s="25">
        <v>5.62</v>
      </c>
      <c r="D36" s="96"/>
    </row>
    <row r="37" spans="1:4" ht="15.75" outlineLevel="1">
      <c r="A37" s="25" t="s">
        <v>969</v>
      </c>
      <c r="B37" s="26" t="s">
        <v>17</v>
      </c>
      <c r="C37" s="25">
        <v>5.58</v>
      </c>
      <c r="D37" s="96"/>
    </row>
    <row r="38" spans="1:4" ht="15.75" outlineLevel="1">
      <c r="A38" s="25" t="s">
        <v>969</v>
      </c>
      <c r="B38" s="26" t="s">
        <v>18</v>
      </c>
      <c r="C38" s="25">
        <v>5.54</v>
      </c>
      <c r="D38" s="96"/>
    </row>
    <row r="39" spans="1:4" ht="15.75" outlineLevel="1">
      <c r="A39" s="25" t="s">
        <v>969</v>
      </c>
      <c r="B39" s="26" t="s">
        <v>19</v>
      </c>
      <c r="C39" s="25">
        <v>5.55</v>
      </c>
      <c r="D39" s="96"/>
    </row>
    <row r="40" spans="1:4" ht="15.75" outlineLevel="1">
      <c r="A40" s="25" t="s">
        <v>969</v>
      </c>
      <c r="B40" s="26" t="s">
        <v>20</v>
      </c>
      <c r="C40" s="25">
        <v>5.63</v>
      </c>
      <c r="D40" s="96"/>
    </row>
    <row r="41" spans="1:4" ht="15.75" outlineLevel="1">
      <c r="A41" s="25" t="s">
        <v>969</v>
      </c>
      <c r="B41" s="26" t="s">
        <v>21</v>
      </c>
      <c r="C41" s="25">
        <v>5.65</v>
      </c>
      <c r="D41" s="96"/>
    </row>
    <row r="42" spans="1:4" ht="15.75" outlineLevel="1">
      <c r="A42" s="25" t="s">
        <v>969</v>
      </c>
      <c r="B42" s="26" t="s">
        <v>22</v>
      </c>
      <c r="C42" s="25">
        <v>5.68</v>
      </c>
      <c r="D42" s="96"/>
    </row>
    <row r="43" spans="1:4" ht="15.75" outlineLevel="1">
      <c r="A43" s="25" t="s">
        <v>969</v>
      </c>
      <c r="B43" s="26" t="s">
        <v>23</v>
      </c>
      <c r="C43" s="25">
        <v>5.45</v>
      </c>
      <c r="D43" s="96"/>
    </row>
    <row r="44" spans="1:4" ht="15.75" outlineLevel="1">
      <c r="A44" s="25" t="s">
        <v>969</v>
      </c>
      <c r="B44" s="26" t="s">
        <v>24</v>
      </c>
      <c r="C44" s="25">
        <v>5.47</v>
      </c>
      <c r="D44" s="96"/>
    </row>
    <row r="45" spans="1:4" ht="15.75" outlineLevel="1">
      <c r="A45" s="25" t="s">
        <v>969</v>
      </c>
      <c r="B45" s="26" t="s">
        <v>25</v>
      </c>
      <c r="C45" s="25">
        <v>5.48</v>
      </c>
      <c r="D45" s="96"/>
    </row>
    <row r="46" spans="1:4" ht="15.75">
      <c r="A46" s="30" t="s">
        <v>969</v>
      </c>
      <c r="B46" s="26"/>
      <c r="C46" s="25"/>
      <c r="D46" s="96"/>
    </row>
    <row r="47" spans="1:4" ht="15.75" outlineLevel="1">
      <c r="A47" s="25" t="s">
        <v>974</v>
      </c>
      <c r="B47" s="26" t="s">
        <v>0</v>
      </c>
      <c r="C47" s="25">
        <v>5.0999999999999996</v>
      </c>
      <c r="D47" s="96"/>
    </row>
    <row r="48" spans="1:4" ht="15.75" outlineLevel="1">
      <c r="A48" s="25" t="s">
        <v>974</v>
      </c>
      <c r="B48" s="26" t="s">
        <v>1</v>
      </c>
      <c r="C48" s="25">
        <v>5.2</v>
      </c>
      <c r="D48" s="96"/>
    </row>
    <row r="49" spans="1:4" ht="15.75" outlineLevel="1">
      <c r="A49" s="25" t="s">
        <v>974</v>
      </c>
      <c r="B49" s="26" t="s">
        <v>2</v>
      </c>
      <c r="C49" s="25">
        <v>5.3</v>
      </c>
      <c r="D49" s="96"/>
    </row>
    <row r="50" spans="1:4" ht="15.75" outlineLevel="1">
      <c r="A50" s="25" t="s">
        <v>974</v>
      </c>
      <c r="B50" s="26" t="s">
        <v>156</v>
      </c>
      <c r="C50" s="25">
        <v>5.6</v>
      </c>
      <c r="D50" s="96"/>
    </row>
    <row r="51" spans="1:4" ht="15.75" outlineLevel="1">
      <c r="A51" s="25" t="s">
        <v>974</v>
      </c>
      <c r="B51" s="26" t="s">
        <v>1114</v>
      </c>
      <c r="C51" s="27">
        <v>5.0999999999999996</v>
      </c>
      <c r="D51" s="96"/>
    </row>
    <row r="52" spans="1:4" ht="15.75" outlineLevel="1">
      <c r="A52" s="25" t="s">
        <v>974</v>
      </c>
      <c r="B52" s="26" t="s">
        <v>1113</v>
      </c>
      <c r="C52" s="25">
        <v>5.14</v>
      </c>
      <c r="D52" s="96"/>
    </row>
    <row r="53" spans="1:4" ht="15.75" outlineLevel="1">
      <c r="A53" s="25" t="s">
        <v>974</v>
      </c>
      <c r="B53" s="26" t="s">
        <v>4</v>
      </c>
      <c r="C53" s="25">
        <v>5.19</v>
      </c>
      <c r="D53" s="96"/>
    </row>
    <row r="54" spans="1:4" ht="15.75" outlineLevel="1">
      <c r="A54" s="25" t="s">
        <v>974</v>
      </c>
      <c r="B54" s="26" t="s">
        <v>158</v>
      </c>
      <c r="C54" s="25">
        <v>5.24</v>
      </c>
      <c r="D54" s="96"/>
    </row>
    <row r="55" spans="1:4" ht="15.75" outlineLevel="1">
      <c r="A55" s="25" t="s">
        <v>974</v>
      </c>
      <c r="B55" s="26" t="s">
        <v>5</v>
      </c>
      <c r="C55" s="25">
        <v>5.26</v>
      </c>
      <c r="D55" s="96"/>
    </row>
    <row r="56" spans="1:4" ht="15.75" outlineLevel="1">
      <c r="A56" s="25" t="s">
        <v>974</v>
      </c>
      <c r="B56" s="26" t="s">
        <v>6</v>
      </c>
      <c r="C56" s="25">
        <v>5.27</v>
      </c>
      <c r="D56" s="96"/>
    </row>
    <row r="57" spans="1:4" ht="15.75" outlineLevel="1">
      <c r="A57" s="25" t="s">
        <v>974</v>
      </c>
      <c r="B57" s="26" t="s">
        <v>7</v>
      </c>
      <c r="C57" s="25">
        <v>5.28</v>
      </c>
      <c r="D57" s="96"/>
    </row>
    <row r="58" spans="1:4" ht="15.75" outlineLevel="1">
      <c r="A58" s="25" t="s">
        <v>974</v>
      </c>
      <c r="B58" s="26" t="s">
        <v>8</v>
      </c>
      <c r="C58" s="27">
        <v>5.3</v>
      </c>
      <c r="D58" s="96"/>
    </row>
    <row r="59" spans="1:4" ht="15.75" outlineLevel="1">
      <c r="A59" s="25" t="s">
        <v>974</v>
      </c>
      <c r="B59" s="26" t="s">
        <v>159</v>
      </c>
      <c r="C59" s="25">
        <v>5.31</v>
      </c>
      <c r="D59" s="96"/>
    </row>
    <row r="60" spans="1:4" ht="15.75" outlineLevel="1">
      <c r="A60" s="25" t="s">
        <v>974</v>
      </c>
      <c r="B60" s="26" t="s">
        <v>125</v>
      </c>
      <c r="C60" s="25">
        <v>5.36</v>
      </c>
      <c r="D60" s="96"/>
    </row>
    <row r="61" spans="1:4" ht="15.75" outlineLevel="1">
      <c r="A61" s="25" t="s">
        <v>974</v>
      </c>
      <c r="B61" s="26" t="s">
        <v>9</v>
      </c>
      <c r="C61" s="25">
        <v>5.49</v>
      </c>
      <c r="D61" s="96"/>
    </row>
    <row r="62" spans="1:4" ht="15.75" outlineLevel="1">
      <c r="A62" s="25" t="s">
        <v>974</v>
      </c>
      <c r="B62" s="26" t="s">
        <v>10</v>
      </c>
      <c r="C62" s="25">
        <v>5.51</v>
      </c>
      <c r="D62" s="96"/>
    </row>
    <row r="63" spans="1:4" ht="15.75" outlineLevel="1">
      <c r="A63" s="25" t="s">
        <v>974</v>
      </c>
      <c r="B63" s="26" t="s">
        <v>1115</v>
      </c>
      <c r="C63" s="25">
        <v>5.52</v>
      </c>
      <c r="D63" s="96"/>
    </row>
    <row r="64" spans="1:4" ht="15.75" outlineLevel="1">
      <c r="A64" s="25" t="s">
        <v>974</v>
      </c>
      <c r="B64" s="26" t="s">
        <v>11</v>
      </c>
      <c r="C64" s="25">
        <v>5.53</v>
      </c>
      <c r="D64" s="96"/>
    </row>
    <row r="65" spans="1:4" ht="15.75" outlineLevel="1">
      <c r="A65" s="25" t="s">
        <v>974</v>
      </c>
      <c r="B65" s="26" t="s">
        <v>12</v>
      </c>
      <c r="C65" s="25">
        <v>5.69</v>
      </c>
      <c r="D65" s="96"/>
    </row>
    <row r="66" spans="1:4" ht="15.75" outlineLevel="1">
      <c r="A66" s="25" t="s">
        <v>974</v>
      </c>
      <c r="B66" s="26" t="s">
        <v>918</v>
      </c>
      <c r="C66" s="27">
        <v>5.72</v>
      </c>
      <c r="D66" s="96"/>
    </row>
    <row r="67" spans="1:4" ht="15.75" outlineLevel="1">
      <c r="A67" s="25" t="s">
        <v>974</v>
      </c>
      <c r="B67" s="26" t="s">
        <v>13</v>
      </c>
      <c r="C67" s="25">
        <v>5.75</v>
      </c>
      <c r="D67" s="96"/>
    </row>
    <row r="68" spans="1:4" ht="15.75" outlineLevel="1">
      <c r="A68" s="25" t="s">
        <v>974</v>
      </c>
      <c r="B68" s="26" t="s">
        <v>14</v>
      </c>
      <c r="C68" s="27">
        <v>5.7</v>
      </c>
      <c r="D68" s="96"/>
    </row>
    <row r="69" spans="1:4" ht="15.75" outlineLevel="1">
      <c r="A69" s="25" t="s">
        <v>974</v>
      </c>
      <c r="B69" s="26" t="s">
        <v>15</v>
      </c>
      <c r="C69" s="25">
        <v>5.74</v>
      </c>
      <c r="D69" s="96"/>
    </row>
    <row r="70" spans="1:4" ht="15.75" outlineLevel="1">
      <c r="A70" s="25" t="s">
        <v>974</v>
      </c>
      <c r="B70" s="26" t="s">
        <v>417</v>
      </c>
      <c r="C70" s="25">
        <v>5.76</v>
      </c>
      <c r="D70" s="96"/>
    </row>
    <row r="71" spans="1:4" ht="15.75" outlineLevel="1">
      <c r="A71" s="25" t="s">
        <v>974</v>
      </c>
      <c r="B71" s="26" t="s">
        <v>839</v>
      </c>
      <c r="C71" s="25">
        <v>5.89</v>
      </c>
      <c r="D71" s="95" t="s">
        <v>1112</v>
      </c>
    </row>
    <row r="72" spans="1:4" ht="15.75" outlineLevel="1">
      <c r="A72" s="25" t="s">
        <v>974</v>
      </c>
      <c r="B72" s="26" t="s">
        <v>17</v>
      </c>
      <c r="C72" s="25">
        <v>5.58</v>
      </c>
      <c r="D72" s="96"/>
    </row>
    <row r="73" spans="1:4" ht="15.75" outlineLevel="1">
      <c r="A73" s="25" t="s">
        <v>974</v>
      </c>
      <c r="B73" s="26" t="s">
        <v>16</v>
      </c>
      <c r="C73" s="25">
        <v>5.62</v>
      </c>
      <c r="D73" s="96"/>
    </row>
    <row r="74" spans="1:4" ht="15.75" outlineLevel="1">
      <c r="A74" s="25" t="s">
        <v>974</v>
      </c>
      <c r="B74" s="26" t="s">
        <v>18</v>
      </c>
      <c r="C74" s="25">
        <v>5.54</v>
      </c>
      <c r="D74" s="96"/>
    </row>
    <row r="75" spans="1:4" ht="15.75" outlineLevel="1">
      <c r="A75" s="25" t="s">
        <v>974</v>
      </c>
      <c r="B75" s="26" t="s">
        <v>19</v>
      </c>
      <c r="C75" s="25">
        <v>5.55</v>
      </c>
      <c r="D75" s="96"/>
    </row>
    <row r="76" spans="1:4" ht="15.75" outlineLevel="1">
      <c r="A76" s="25" t="s">
        <v>974</v>
      </c>
      <c r="B76" s="26" t="s">
        <v>20</v>
      </c>
      <c r="C76" s="25">
        <v>5.63</v>
      </c>
      <c r="D76" s="96"/>
    </row>
    <row r="77" spans="1:4" ht="15.75" outlineLevel="1">
      <c r="A77" s="25" t="s">
        <v>974</v>
      </c>
      <c r="B77" s="26" t="s">
        <v>21</v>
      </c>
      <c r="C77" s="25">
        <v>5.65</v>
      </c>
      <c r="D77" s="96"/>
    </row>
    <row r="78" spans="1:4" ht="15.75" outlineLevel="1">
      <c r="A78" s="25" t="s">
        <v>974</v>
      </c>
      <c r="B78" s="26" t="s">
        <v>175</v>
      </c>
      <c r="C78" s="25">
        <v>5.66</v>
      </c>
      <c r="D78" s="96"/>
    </row>
    <row r="79" spans="1:4" ht="15.75" outlineLevel="1">
      <c r="A79" s="25" t="s">
        <v>974</v>
      </c>
      <c r="B79" s="26" t="s">
        <v>22</v>
      </c>
      <c r="C79" s="25">
        <v>5.68</v>
      </c>
      <c r="D79" s="96"/>
    </row>
    <row r="80" spans="1:4" ht="15.75" outlineLevel="1">
      <c r="A80" s="25" t="s">
        <v>974</v>
      </c>
      <c r="B80" s="26" t="s">
        <v>23</v>
      </c>
      <c r="C80" s="25">
        <v>5.45</v>
      </c>
      <c r="D80" s="96"/>
    </row>
    <row r="81" spans="1:4" ht="15.75" outlineLevel="1">
      <c r="A81" s="25" t="s">
        <v>974</v>
      </c>
      <c r="B81" s="26" t="s">
        <v>24</v>
      </c>
      <c r="C81" s="25">
        <v>5.47</v>
      </c>
      <c r="D81" s="96"/>
    </row>
    <row r="82" spans="1:4" ht="15.75" outlineLevel="1">
      <c r="A82" s="25" t="s">
        <v>974</v>
      </c>
      <c r="B82" s="26" t="s">
        <v>25</v>
      </c>
      <c r="C82" s="25">
        <v>5.48</v>
      </c>
      <c r="D82" s="96"/>
    </row>
    <row r="83" spans="1:4" ht="15.75">
      <c r="A83" s="30" t="s">
        <v>974</v>
      </c>
      <c r="B83" s="26"/>
      <c r="C83" s="25"/>
      <c r="D83" s="96"/>
    </row>
    <row r="84" spans="1:4" ht="15.75" outlineLevel="1">
      <c r="A84" s="25" t="s">
        <v>975</v>
      </c>
      <c r="B84" s="26" t="s">
        <v>0</v>
      </c>
      <c r="C84" s="25">
        <v>5.0999999999999996</v>
      </c>
      <c r="D84" s="96"/>
    </row>
    <row r="85" spans="1:4" ht="15.75" outlineLevel="1">
      <c r="A85" s="25" t="s">
        <v>975</v>
      </c>
      <c r="B85" s="26" t="s">
        <v>1</v>
      </c>
      <c r="C85" s="25">
        <v>5.2</v>
      </c>
      <c r="D85" s="96"/>
    </row>
    <row r="86" spans="1:4" ht="15.75" outlineLevel="1">
      <c r="A86" s="25" t="s">
        <v>975</v>
      </c>
      <c r="B86" s="26" t="s">
        <v>2</v>
      </c>
      <c r="C86" s="25">
        <v>5.3</v>
      </c>
      <c r="D86" s="96"/>
    </row>
    <row r="87" spans="1:4" ht="15.75" outlineLevel="1">
      <c r="A87" s="25" t="s">
        <v>975</v>
      </c>
      <c r="B87" s="26" t="s">
        <v>156</v>
      </c>
      <c r="C87" s="25">
        <v>5.6</v>
      </c>
      <c r="D87" s="96"/>
    </row>
    <row r="88" spans="1:4" ht="15.75" outlineLevel="1">
      <c r="A88" s="25" t="s">
        <v>975</v>
      </c>
      <c r="B88" s="26" t="s">
        <v>1114</v>
      </c>
      <c r="C88" s="27">
        <v>5.0999999999999996</v>
      </c>
      <c r="D88" s="96"/>
    </row>
    <row r="89" spans="1:4" ht="15.75" outlineLevel="1">
      <c r="A89" s="25" t="s">
        <v>975</v>
      </c>
      <c r="B89" s="26" t="s">
        <v>1113</v>
      </c>
      <c r="C89" s="25">
        <v>5.14</v>
      </c>
      <c r="D89" s="96"/>
    </row>
    <row r="90" spans="1:4" ht="15.75" outlineLevel="1">
      <c r="A90" s="25" t="s">
        <v>975</v>
      </c>
      <c r="B90" s="26" t="s">
        <v>4</v>
      </c>
      <c r="C90" s="25">
        <v>5.19</v>
      </c>
      <c r="D90" s="96"/>
    </row>
    <row r="91" spans="1:4" ht="15.75" outlineLevel="1">
      <c r="A91" s="25" t="s">
        <v>975</v>
      </c>
      <c r="B91" s="26" t="s">
        <v>158</v>
      </c>
      <c r="C91" s="25">
        <v>5.24</v>
      </c>
      <c r="D91" s="96"/>
    </row>
    <row r="92" spans="1:4" ht="15.75" outlineLevel="1">
      <c r="A92" s="25" t="s">
        <v>975</v>
      </c>
      <c r="B92" s="26" t="s">
        <v>5</v>
      </c>
      <c r="C92" s="25">
        <v>5.26</v>
      </c>
      <c r="D92" s="96"/>
    </row>
    <row r="93" spans="1:4" ht="15.75" outlineLevel="1">
      <c r="A93" s="25" t="s">
        <v>975</v>
      </c>
      <c r="B93" s="26" t="s">
        <v>6</v>
      </c>
      <c r="C93" s="25">
        <v>5.27</v>
      </c>
      <c r="D93" s="96"/>
    </row>
    <row r="94" spans="1:4" ht="15.75" outlineLevel="1">
      <c r="A94" s="25" t="s">
        <v>975</v>
      </c>
      <c r="B94" s="26" t="s">
        <v>7</v>
      </c>
      <c r="C94" s="25">
        <v>5.28</v>
      </c>
      <c r="D94" s="96"/>
    </row>
    <row r="95" spans="1:4" ht="15.75" outlineLevel="1">
      <c r="A95" s="25" t="s">
        <v>975</v>
      </c>
      <c r="B95" s="26" t="s">
        <v>333</v>
      </c>
      <c r="C95" s="25">
        <v>5.29</v>
      </c>
      <c r="D95" s="96"/>
    </row>
    <row r="96" spans="1:4" ht="15.75" outlineLevel="1">
      <c r="A96" s="25" t="s">
        <v>975</v>
      </c>
      <c r="B96" s="26" t="s">
        <v>8</v>
      </c>
      <c r="C96" s="27">
        <v>5.3</v>
      </c>
      <c r="D96" s="96"/>
    </row>
    <row r="97" spans="1:4" ht="15.75" outlineLevel="1">
      <c r="A97" s="25" t="s">
        <v>975</v>
      </c>
      <c r="B97" s="26" t="s">
        <v>159</v>
      </c>
      <c r="C97" s="25">
        <v>5.31</v>
      </c>
      <c r="D97" s="96"/>
    </row>
    <row r="98" spans="1:4" ht="15.75" outlineLevel="1">
      <c r="A98" s="25" t="s">
        <v>975</v>
      </c>
      <c r="B98" s="26" t="s">
        <v>125</v>
      </c>
      <c r="C98" s="25">
        <v>5.36</v>
      </c>
      <c r="D98" s="96"/>
    </row>
    <row r="99" spans="1:4" ht="15.75" outlineLevel="1">
      <c r="A99" s="25" t="s">
        <v>975</v>
      </c>
      <c r="B99" s="26" t="s">
        <v>9</v>
      </c>
      <c r="C99" s="25">
        <v>5.49</v>
      </c>
      <c r="D99" s="96"/>
    </row>
    <row r="100" spans="1:4" ht="15.75" outlineLevel="1">
      <c r="A100" s="25" t="s">
        <v>975</v>
      </c>
      <c r="B100" s="26" t="s">
        <v>10</v>
      </c>
      <c r="C100" s="25">
        <v>5.51</v>
      </c>
      <c r="D100" s="96"/>
    </row>
    <row r="101" spans="1:4" ht="15.75" outlineLevel="1">
      <c r="A101" s="25" t="s">
        <v>975</v>
      </c>
      <c r="B101" s="26" t="s">
        <v>1115</v>
      </c>
      <c r="C101" s="25">
        <v>5.52</v>
      </c>
      <c r="D101" s="96"/>
    </row>
    <row r="102" spans="1:4" ht="15.75" outlineLevel="1">
      <c r="A102" s="25" t="s">
        <v>975</v>
      </c>
      <c r="B102" s="26" t="s">
        <v>11</v>
      </c>
      <c r="C102" s="25">
        <v>5.53</v>
      </c>
      <c r="D102" s="96"/>
    </row>
    <row r="103" spans="1:4" ht="15.75" outlineLevel="1">
      <c r="A103" s="25" t="s">
        <v>975</v>
      </c>
      <c r="B103" s="26" t="s">
        <v>12</v>
      </c>
      <c r="C103" s="25">
        <v>5.69</v>
      </c>
      <c r="D103" s="96"/>
    </row>
    <row r="104" spans="1:4" ht="15.75" outlineLevel="1">
      <c r="A104" s="25" t="s">
        <v>975</v>
      </c>
      <c r="B104" s="26" t="s">
        <v>13</v>
      </c>
      <c r="C104" s="25">
        <v>5.75</v>
      </c>
      <c r="D104" s="96"/>
    </row>
    <row r="105" spans="1:4" ht="15.75" outlineLevel="1">
      <c r="A105" s="25" t="s">
        <v>975</v>
      </c>
      <c r="B105" s="26" t="s">
        <v>14</v>
      </c>
      <c r="C105" s="27">
        <v>5.7</v>
      </c>
      <c r="D105" s="96"/>
    </row>
    <row r="106" spans="1:4" ht="15.75" outlineLevel="1">
      <c r="A106" s="25" t="s">
        <v>975</v>
      </c>
      <c r="B106" s="26" t="s">
        <v>15</v>
      </c>
      <c r="C106" s="25">
        <v>5.74</v>
      </c>
      <c r="D106" s="96"/>
    </row>
    <row r="107" spans="1:4" ht="15.75" outlineLevel="1">
      <c r="A107" s="25" t="s">
        <v>975</v>
      </c>
      <c r="B107" s="26" t="s">
        <v>417</v>
      </c>
      <c r="C107" s="25">
        <v>5.76</v>
      </c>
      <c r="D107" s="96"/>
    </row>
    <row r="108" spans="1:4" ht="15.75" outlineLevel="1">
      <c r="A108" s="25" t="s">
        <v>975</v>
      </c>
      <c r="B108" s="26" t="s">
        <v>839</v>
      </c>
      <c r="C108" s="25">
        <v>5.89</v>
      </c>
      <c r="D108" s="95" t="s">
        <v>1112</v>
      </c>
    </row>
    <row r="109" spans="1:4" ht="15.75" outlineLevel="1">
      <c r="A109" s="25" t="s">
        <v>975</v>
      </c>
      <c r="B109" s="26" t="s">
        <v>17</v>
      </c>
      <c r="C109" s="25">
        <v>5.58</v>
      </c>
      <c r="D109" s="96"/>
    </row>
    <row r="110" spans="1:4" ht="15.75" outlineLevel="1">
      <c r="A110" s="25" t="s">
        <v>975</v>
      </c>
      <c r="B110" s="26" t="s">
        <v>16</v>
      </c>
      <c r="C110" s="25">
        <v>5.62</v>
      </c>
      <c r="D110" s="96"/>
    </row>
    <row r="111" spans="1:4" ht="15.75" outlineLevel="1">
      <c r="A111" s="25" t="s">
        <v>975</v>
      </c>
      <c r="B111" s="26" t="s">
        <v>18</v>
      </c>
      <c r="C111" s="25">
        <v>5.54</v>
      </c>
      <c r="D111" s="96"/>
    </row>
    <row r="112" spans="1:4" ht="15.75" outlineLevel="1">
      <c r="A112" s="25" t="s">
        <v>975</v>
      </c>
      <c r="B112" s="26" t="s">
        <v>19</v>
      </c>
      <c r="C112" s="25">
        <v>5.55</v>
      </c>
      <c r="D112" s="96"/>
    </row>
    <row r="113" spans="1:4" ht="15.75" outlineLevel="1">
      <c r="A113" s="25" t="s">
        <v>975</v>
      </c>
      <c r="B113" s="26" t="s">
        <v>21</v>
      </c>
      <c r="C113" s="25">
        <v>5.65</v>
      </c>
      <c r="D113" s="96"/>
    </row>
    <row r="114" spans="1:4" ht="15.75" outlineLevel="1">
      <c r="A114" s="25" t="s">
        <v>975</v>
      </c>
      <c r="B114" s="26" t="s">
        <v>175</v>
      </c>
      <c r="C114" s="25">
        <v>5.66</v>
      </c>
      <c r="D114" s="96"/>
    </row>
    <row r="115" spans="1:4" ht="15.75" outlineLevel="1">
      <c r="A115" s="25" t="s">
        <v>975</v>
      </c>
      <c r="B115" s="26" t="s">
        <v>22</v>
      </c>
      <c r="C115" s="25">
        <v>5.68</v>
      </c>
      <c r="D115" s="96"/>
    </row>
    <row r="116" spans="1:4" ht="15.75" outlineLevel="1">
      <c r="A116" s="25" t="s">
        <v>975</v>
      </c>
      <c r="B116" s="26" t="s">
        <v>23</v>
      </c>
      <c r="C116" s="25">
        <v>5.45</v>
      </c>
      <c r="D116" s="96"/>
    </row>
    <row r="117" spans="1:4" ht="15.75" outlineLevel="1">
      <c r="A117" s="25" t="s">
        <v>975</v>
      </c>
      <c r="B117" s="26" t="s">
        <v>24</v>
      </c>
      <c r="C117" s="25">
        <v>5.47</v>
      </c>
      <c r="D117" s="96"/>
    </row>
    <row r="118" spans="1:4" ht="15.75" outlineLevel="1">
      <c r="A118" s="25" t="s">
        <v>975</v>
      </c>
      <c r="B118" s="26" t="s">
        <v>25</v>
      </c>
      <c r="C118" s="25">
        <v>5.48</v>
      </c>
      <c r="D118" s="96"/>
    </row>
    <row r="119" spans="1:4" ht="15.75">
      <c r="A119" s="30" t="s">
        <v>975</v>
      </c>
      <c r="B119" s="26"/>
      <c r="C119" s="25"/>
      <c r="D119" s="96"/>
    </row>
    <row r="120" spans="1:4" ht="15.75" outlineLevel="1">
      <c r="A120" s="25" t="s">
        <v>1116</v>
      </c>
      <c r="B120" s="26" t="s">
        <v>0</v>
      </c>
      <c r="C120" s="25">
        <v>5.0999999999999996</v>
      </c>
      <c r="D120" s="96"/>
    </row>
    <row r="121" spans="1:4" ht="15.75" outlineLevel="1">
      <c r="A121" s="25" t="s">
        <v>1116</v>
      </c>
      <c r="B121" s="26" t="s">
        <v>1</v>
      </c>
      <c r="C121" s="25">
        <v>5.2</v>
      </c>
      <c r="D121" s="96"/>
    </row>
    <row r="122" spans="1:4" ht="15.75" outlineLevel="1">
      <c r="A122" s="25" t="s">
        <v>1116</v>
      </c>
      <c r="B122" s="26" t="s">
        <v>2</v>
      </c>
      <c r="C122" s="25">
        <v>5.3</v>
      </c>
      <c r="D122" s="96"/>
    </row>
    <row r="123" spans="1:4" ht="15.75" outlineLevel="1">
      <c r="A123" s="25" t="s">
        <v>1116</v>
      </c>
      <c r="B123" s="26" t="s">
        <v>156</v>
      </c>
      <c r="C123" s="25">
        <v>5.6</v>
      </c>
      <c r="D123" s="96"/>
    </row>
    <row r="124" spans="1:4" ht="15.75" outlineLevel="1">
      <c r="A124" s="25" t="s">
        <v>1116</v>
      </c>
      <c r="B124" s="26" t="s">
        <v>1114</v>
      </c>
      <c r="C124" s="27">
        <v>5.0999999999999996</v>
      </c>
      <c r="D124" s="96"/>
    </row>
    <row r="125" spans="1:4" ht="15.75" outlineLevel="1">
      <c r="A125" s="25" t="s">
        <v>1116</v>
      </c>
      <c r="B125" s="26" t="s">
        <v>1113</v>
      </c>
      <c r="C125" s="25">
        <v>5.14</v>
      </c>
      <c r="D125" s="96"/>
    </row>
    <row r="126" spans="1:4" ht="15.75" outlineLevel="1">
      <c r="A126" s="25" t="s">
        <v>1116</v>
      </c>
      <c r="B126" s="26" t="s">
        <v>4</v>
      </c>
      <c r="C126" s="25">
        <v>5.19</v>
      </c>
      <c r="D126" s="96"/>
    </row>
    <row r="127" spans="1:4" ht="15.75" outlineLevel="1">
      <c r="A127" s="25" t="s">
        <v>1116</v>
      </c>
      <c r="B127" s="26" t="s">
        <v>158</v>
      </c>
      <c r="C127" s="25">
        <v>5.24</v>
      </c>
      <c r="D127" s="96"/>
    </row>
    <row r="128" spans="1:4" ht="15.75" outlineLevel="1">
      <c r="A128" s="25" t="s">
        <v>1116</v>
      </c>
      <c r="B128" s="26" t="s">
        <v>5</v>
      </c>
      <c r="C128" s="25">
        <v>5.26</v>
      </c>
      <c r="D128" s="96"/>
    </row>
    <row r="129" spans="1:4" ht="15.75" outlineLevel="1">
      <c r="A129" s="25" t="s">
        <v>1116</v>
      </c>
      <c r="B129" s="26" t="s">
        <v>6</v>
      </c>
      <c r="C129" s="25">
        <v>5.27</v>
      </c>
      <c r="D129" s="96"/>
    </row>
    <row r="130" spans="1:4" ht="15.75" outlineLevel="1">
      <c r="A130" s="25" t="s">
        <v>1116</v>
      </c>
      <c r="B130" s="26" t="s">
        <v>7</v>
      </c>
      <c r="C130" s="25">
        <v>5.28</v>
      </c>
      <c r="D130" s="96"/>
    </row>
    <row r="131" spans="1:4" ht="15.75" outlineLevel="1">
      <c r="A131" s="25" t="s">
        <v>1116</v>
      </c>
      <c r="B131" s="26" t="s">
        <v>333</v>
      </c>
      <c r="C131" s="25">
        <v>5.29</v>
      </c>
      <c r="D131" s="96"/>
    </row>
    <row r="132" spans="1:4" ht="15.75" outlineLevel="1">
      <c r="A132" s="25" t="s">
        <v>1116</v>
      </c>
      <c r="B132" s="26" t="s">
        <v>8</v>
      </c>
      <c r="C132" s="27">
        <v>5.3</v>
      </c>
      <c r="D132" s="96"/>
    </row>
    <row r="133" spans="1:4" ht="15.75" outlineLevel="1">
      <c r="A133" s="25" t="s">
        <v>1116</v>
      </c>
      <c r="B133" s="26" t="s">
        <v>159</v>
      </c>
      <c r="C133" s="25">
        <v>5.31</v>
      </c>
      <c r="D133" s="96"/>
    </row>
    <row r="134" spans="1:4" ht="15.75" outlineLevel="1">
      <c r="A134" s="25" t="s">
        <v>1116</v>
      </c>
      <c r="B134" s="26" t="s">
        <v>125</v>
      </c>
      <c r="C134" s="25">
        <v>5.36</v>
      </c>
      <c r="D134" s="96"/>
    </row>
    <row r="135" spans="1:4" ht="15.75" outlineLevel="1">
      <c r="A135" s="25" t="s">
        <v>1116</v>
      </c>
      <c r="B135" s="26" t="s">
        <v>11</v>
      </c>
      <c r="C135" s="25">
        <v>5.53</v>
      </c>
      <c r="D135" s="96"/>
    </row>
    <row r="136" spans="1:4" ht="15.75" outlineLevel="1">
      <c r="A136" s="25" t="s">
        <v>1116</v>
      </c>
      <c r="B136" s="26" t="s">
        <v>17</v>
      </c>
      <c r="C136" s="25">
        <v>5.58</v>
      </c>
      <c r="D136" s="96"/>
    </row>
    <row r="137" spans="1:4" ht="15.75" outlineLevel="1">
      <c r="A137" s="25" t="s">
        <v>1116</v>
      </c>
      <c r="B137" s="26" t="s">
        <v>16</v>
      </c>
      <c r="C137" s="25">
        <v>5.62</v>
      </c>
      <c r="D137" s="96"/>
    </row>
    <row r="138" spans="1:4" ht="15.75" outlineLevel="1">
      <c r="A138" s="25" t="s">
        <v>1116</v>
      </c>
      <c r="B138" s="26" t="s">
        <v>18</v>
      </c>
      <c r="C138" s="25">
        <v>5.54</v>
      </c>
      <c r="D138" s="96"/>
    </row>
    <row r="139" spans="1:4" ht="15.75" outlineLevel="1">
      <c r="A139" s="25" t="s">
        <v>1116</v>
      </c>
      <c r="B139" s="26" t="s">
        <v>19</v>
      </c>
      <c r="C139" s="25">
        <v>5.55</v>
      </c>
      <c r="D139" s="96"/>
    </row>
    <row r="140" spans="1:4" ht="15.75" outlineLevel="1">
      <c r="A140" s="25" t="s">
        <v>1116</v>
      </c>
      <c r="B140" s="26" t="s">
        <v>20</v>
      </c>
      <c r="C140" s="25">
        <v>5.63</v>
      </c>
      <c r="D140" s="96"/>
    </row>
    <row r="141" spans="1:4" ht="15.75" outlineLevel="1">
      <c r="A141" s="25" t="s">
        <v>1116</v>
      </c>
      <c r="B141" s="26" t="s">
        <v>23</v>
      </c>
      <c r="C141" s="25">
        <v>5.45</v>
      </c>
      <c r="D141" s="96"/>
    </row>
    <row r="142" spans="1:4" ht="15.75" outlineLevel="1">
      <c r="A142" s="25" t="s">
        <v>1116</v>
      </c>
      <c r="B142" s="26" t="s">
        <v>24</v>
      </c>
      <c r="C142" s="25">
        <v>5.47</v>
      </c>
      <c r="D142" s="96"/>
    </row>
    <row r="143" spans="1:4" ht="15.75" outlineLevel="1">
      <c r="A143" s="25" t="s">
        <v>1116</v>
      </c>
      <c r="B143" s="26" t="s">
        <v>25</v>
      </c>
      <c r="C143" s="25">
        <v>5.48</v>
      </c>
      <c r="D143" s="96"/>
    </row>
    <row r="144" spans="1:4" ht="15.75">
      <c r="A144" s="30" t="s">
        <v>1116</v>
      </c>
      <c r="B144" s="26"/>
      <c r="C144" s="25"/>
      <c r="D144" s="96"/>
    </row>
    <row r="145" spans="1:4" ht="15.75" outlineLevel="1">
      <c r="A145" s="25" t="s">
        <v>479</v>
      </c>
      <c r="B145" s="26" t="s">
        <v>0</v>
      </c>
      <c r="C145" s="25">
        <v>5.0999999999999996</v>
      </c>
      <c r="D145" s="96"/>
    </row>
    <row r="146" spans="1:4" ht="15.75" outlineLevel="1">
      <c r="A146" s="25" t="s">
        <v>479</v>
      </c>
      <c r="B146" s="26" t="s">
        <v>1</v>
      </c>
      <c r="C146" s="25">
        <v>5.2</v>
      </c>
      <c r="D146" s="96"/>
    </row>
    <row r="147" spans="1:4" ht="15.75" outlineLevel="1">
      <c r="A147" s="25" t="s">
        <v>479</v>
      </c>
      <c r="B147" s="26" t="s">
        <v>2</v>
      </c>
      <c r="C147" s="25">
        <v>5.3</v>
      </c>
      <c r="D147" s="96"/>
    </row>
    <row r="148" spans="1:4" ht="15.75" outlineLevel="1">
      <c r="A148" s="25" t="s">
        <v>479</v>
      </c>
      <c r="B148" s="26" t="s">
        <v>156</v>
      </c>
      <c r="C148" s="25">
        <v>5.6</v>
      </c>
      <c r="D148" s="96"/>
    </row>
    <row r="149" spans="1:4" ht="15.75" outlineLevel="1">
      <c r="A149" s="25" t="s">
        <v>479</v>
      </c>
      <c r="B149" s="26" t="s">
        <v>1114</v>
      </c>
      <c r="C149" s="27">
        <v>5.0999999999999996</v>
      </c>
      <c r="D149" s="96"/>
    </row>
    <row r="150" spans="1:4" ht="15.75" outlineLevel="1">
      <c r="A150" s="25" t="s">
        <v>479</v>
      </c>
      <c r="B150" s="26" t="s">
        <v>1113</v>
      </c>
      <c r="C150" s="25">
        <v>5.14</v>
      </c>
      <c r="D150" s="96"/>
    </row>
    <row r="151" spans="1:4" ht="15.75" outlineLevel="1">
      <c r="A151" s="25" t="s">
        <v>479</v>
      </c>
      <c r="B151" s="26" t="s">
        <v>4</v>
      </c>
      <c r="C151" s="25">
        <v>5.19</v>
      </c>
      <c r="D151" s="96"/>
    </row>
    <row r="152" spans="1:4" ht="15.75" outlineLevel="1">
      <c r="A152" s="25" t="s">
        <v>479</v>
      </c>
      <c r="B152" s="26" t="s">
        <v>158</v>
      </c>
      <c r="C152" s="25">
        <v>5.24</v>
      </c>
      <c r="D152" s="96"/>
    </row>
    <row r="153" spans="1:4" ht="15.75" outlineLevel="1">
      <c r="A153" s="25" t="s">
        <v>479</v>
      </c>
      <c r="B153" s="26" t="s">
        <v>5</v>
      </c>
      <c r="C153" s="25">
        <v>5.26</v>
      </c>
      <c r="D153" s="96"/>
    </row>
    <row r="154" spans="1:4" ht="15.75" outlineLevel="1">
      <c r="A154" s="25" t="s">
        <v>479</v>
      </c>
      <c r="B154" s="26" t="s">
        <v>6</v>
      </c>
      <c r="C154" s="25">
        <v>5.27</v>
      </c>
      <c r="D154" s="96"/>
    </row>
    <row r="155" spans="1:4" ht="15.75" outlineLevel="1">
      <c r="A155" s="25" t="s">
        <v>479</v>
      </c>
      <c r="B155" s="26" t="s">
        <v>7</v>
      </c>
      <c r="C155" s="25">
        <v>5.28</v>
      </c>
      <c r="D155" s="96"/>
    </row>
    <row r="156" spans="1:4" ht="15.75" outlineLevel="1">
      <c r="A156" s="25" t="s">
        <v>479</v>
      </c>
      <c r="B156" s="26" t="s">
        <v>8</v>
      </c>
      <c r="C156" s="27">
        <v>5.3</v>
      </c>
      <c r="D156" s="96"/>
    </row>
    <row r="157" spans="1:4" ht="15.75" outlineLevel="1">
      <c r="A157" s="25" t="s">
        <v>479</v>
      </c>
      <c r="B157" s="26" t="s">
        <v>577</v>
      </c>
      <c r="C157" s="25">
        <v>5.32</v>
      </c>
      <c r="D157" s="96"/>
    </row>
    <row r="158" spans="1:4" ht="15.75" outlineLevel="1">
      <c r="A158" s="25" t="s">
        <v>479</v>
      </c>
      <c r="B158" s="26" t="s">
        <v>125</v>
      </c>
      <c r="C158" s="25">
        <v>5.36</v>
      </c>
      <c r="D158" s="96"/>
    </row>
    <row r="159" spans="1:4" ht="15.75" outlineLevel="1">
      <c r="A159" s="25" t="s">
        <v>479</v>
      </c>
      <c r="B159" s="26" t="s">
        <v>11</v>
      </c>
      <c r="C159" s="25">
        <v>5.53</v>
      </c>
      <c r="D159" s="96"/>
    </row>
    <row r="160" spans="1:4" ht="15.75" outlineLevel="1">
      <c r="A160" s="25" t="s">
        <v>479</v>
      </c>
      <c r="B160" s="26" t="s">
        <v>17</v>
      </c>
      <c r="C160" s="25">
        <v>5.58</v>
      </c>
      <c r="D160" s="96"/>
    </row>
    <row r="161" spans="1:4" ht="15.75" outlineLevel="1">
      <c r="A161" s="25" t="s">
        <v>479</v>
      </c>
      <c r="B161" s="26" t="s">
        <v>18</v>
      </c>
      <c r="C161" s="25">
        <v>5.54</v>
      </c>
      <c r="D161" s="96"/>
    </row>
    <row r="162" spans="1:4" ht="15.75" outlineLevel="1">
      <c r="A162" s="25" t="s">
        <v>479</v>
      </c>
      <c r="B162" s="26" t="s">
        <v>19</v>
      </c>
      <c r="C162" s="25">
        <v>5.55</v>
      </c>
      <c r="D162" s="96"/>
    </row>
    <row r="163" spans="1:4" ht="15.75" outlineLevel="1">
      <c r="A163" s="25" t="s">
        <v>479</v>
      </c>
      <c r="B163" s="26" t="s">
        <v>16</v>
      </c>
      <c r="C163" s="25">
        <v>5.62</v>
      </c>
      <c r="D163" s="96"/>
    </row>
    <row r="164" spans="1:4" ht="15.75" outlineLevel="1">
      <c r="A164" s="25" t="s">
        <v>479</v>
      </c>
      <c r="B164" s="26" t="s">
        <v>20</v>
      </c>
      <c r="C164" s="25">
        <v>5.63</v>
      </c>
      <c r="D164" s="96"/>
    </row>
    <row r="165" spans="1:4" ht="15.75" outlineLevel="1">
      <c r="A165" s="25" t="s">
        <v>479</v>
      </c>
      <c r="B165" s="26" t="s">
        <v>23</v>
      </c>
      <c r="C165" s="25">
        <v>5.45</v>
      </c>
      <c r="D165" s="96"/>
    </row>
    <row r="166" spans="1:4" ht="15.75" outlineLevel="1">
      <c r="A166" s="25" t="s">
        <v>479</v>
      </c>
      <c r="B166" s="26" t="s">
        <v>24</v>
      </c>
      <c r="C166" s="25">
        <v>5.47</v>
      </c>
      <c r="D166" s="96"/>
    </row>
    <row r="167" spans="1:4" ht="15.75" outlineLevel="1">
      <c r="A167" s="25" t="s">
        <v>479</v>
      </c>
      <c r="B167" s="26" t="s">
        <v>25</v>
      </c>
      <c r="C167" s="25">
        <v>5.48</v>
      </c>
      <c r="D167" s="96"/>
    </row>
    <row r="168" spans="1:4" ht="15.75">
      <c r="A168" s="30" t="s">
        <v>479</v>
      </c>
      <c r="B168" s="26"/>
      <c r="C168" s="25"/>
      <c r="D168" s="96"/>
    </row>
    <row r="169" spans="1:4" ht="15.75" outlineLevel="1">
      <c r="A169" s="25" t="s">
        <v>995</v>
      </c>
      <c r="B169" s="26" t="s">
        <v>0</v>
      </c>
      <c r="C169" s="25">
        <v>5.0999999999999996</v>
      </c>
      <c r="D169" s="96"/>
    </row>
    <row r="170" spans="1:4" ht="15.75" outlineLevel="1">
      <c r="A170" s="25" t="s">
        <v>995</v>
      </c>
      <c r="B170" s="26" t="s">
        <v>1</v>
      </c>
      <c r="C170" s="25">
        <v>5.2</v>
      </c>
      <c r="D170" s="96"/>
    </row>
    <row r="171" spans="1:4" ht="15.75" outlineLevel="1">
      <c r="A171" s="25" t="s">
        <v>995</v>
      </c>
      <c r="B171" s="26" t="s">
        <v>2</v>
      </c>
      <c r="C171" s="25">
        <v>5.3</v>
      </c>
      <c r="D171" s="96"/>
    </row>
    <row r="172" spans="1:4" ht="15.75" outlineLevel="1">
      <c r="A172" s="25" t="s">
        <v>995</v>
      </c>
      <c r="B172" s="26" t="s">
        <v>156</v>
      </c>
      <c r="C172" s="25">
        <v>5.6</v>
      </c>
      <c r="D172" s="96"/>
    </row>
    <row r="173" spans="1:4" ht="15.75" outlineLevel="1">
      <c r="A173" s="25" t="s">
        <v>995</v>
      </c>
      <c r="B173" s="26" t="s">
        <v>1114</v>
      </c>
      <c r="C173" s="27">
        <v>5.0999999999999996</v>
      </c>
      <c r="D173" s="96"/>
    </row>
    <row r="174" spans="1:4" ht="15.75" outlineLevel="1">
      <c r="A174" s="25" t="s">
        <v>995</v>
      </c>
      <c r="B174" s="26" t="s">
        <v>1113</v>
      </c>
      <c r="C174" s="25">
        <v>5.14</v>
      </c>
      <c r="D174" s="96"/>
    </row>
    <row r="175" spans="1:4" ht="15.75" outlineLevel="1">
      <c r="A175" s="25" t="s">
        <v>995</v>
      </c>
      <c r="B175" s="26" t="s">
        <v>4</v>
      </c>
      <c r="C175" s="25">
        <v>5.19</v>
      </c>
      <c r="D175" s="96"/>
    </row>
    <row r="176" spans="1:4" ht="15.75" outlineLevel="1">
      <c r="A176" s="25" t="s">
        <v>995</v>
      </c>
      <c r="B176" s="26" t="s">
        <v>158</v>
      </c>
      <c r="C176" s="25">
        <v>5.24</v>
      </c>
      <c r="D176" s="96"/>
    </row>
    <row r="177" spans="1:4" ht="15.75" outlineLevel="1">
      <c r="A177" s="25" t="s">
        <v>995</v>
      </c>
      <c r="B177" s="26" t="s">
        <v>5</v>
      </c>
      <c r="C177" s="25">
        <v>5.26</v>
      </c>
      <c r="D177" s="96"/>
    </row>
    <row r="178" spans="1:4" ht="15.75" outlineLevel="1">
      <c r="A178" s="25" t="s">
        <v>995</v>
      </c>
      <c r="B178" s="26" t="s">
        <v>6</v>
      </c>
      <c r="C178" s="25">
        <v>5.27</v>
      </c>
      <c r="D178" s="96"/>
    </row>
    <row r="179" spans="1:4" ht="15.75" outlineLevel="1">
      <c r="A179" s="25" t="s">
        <v>995</v>
      </c>
      <c r="B179" s="26" t="s">
        <v>7</v>
      </c>
      <c r="C179" s="25">
        <v>5.28</v>
      </c>
      <c r="D179" s="96"/>
    </row>
    <row r="180" spans="1:4" ht="15.75" outlineLevel="1">
      <c r="A180" s="25" t="s">
        <v>995</v>
      </c>
      <c r="B180" s="26" t="s">
        <v>333</v>
      </c>
      <c r="C180" s="25">
        <v>5.29</v>
      </c>
      <c r="D180" s="96"/>
    </row>
    <row r="181" spans="1:4" ht="15.75" outlineLevel="1">
      <c r="A181" s="25" t="s">
        <v>995</v>
      </c>
      <c r="B181" s="26" t="s">
        <v>8</v>
      </c>
      <c r="C181" s="27">
        <v>5.3</v>
      </c>
      <c r="D181" s="96"/>
    </row>
    <row r="182" spans="1:4" ht="15.75" outlineLevel="1">
      <c r="A182" s="25" t="s">
        <v>995</v>
      </c>
      <c r="B182" s="26" t="s">
        <v>577</v>
      </c>
      <c r="C182" s="25">
        <v>5.32</v>
      </c>
      <c r="D182" s="96"/>
    </row>
    <row r="183" spans="1:4" ht="15.75" outlineLevel="1">
      <c r="A183" s="25" t="s">
        <v>995</v>
      </c>
      <c r="B183" s="26" t="s">
        <v>125</v>
      </c>
      <c r="C183" s="25">
        <v>5.36</v>
      </c>
      <c r="D183" s="96"/>
    </row>
    <row r="184" spans="1:4" ht="15.75" outlineLevel="1">
      <c r="A184" s="25" t="s">
        <v>995</v>
      </c>
      <c r="B184" s="26" t="s">
        <v>11</v>
      </c>
      <c r="C184" s="25">
        <v>5.53</v>
      </c>
      <c r="D184" s="96"/>
    </row>
    <row r="185" spans="1:4" ht="15.75" outlineLevel="1">
      <c r="A185" s="25" t="s">
        <v>995</v>
      </c>
      <c r="B185" s="26" t="s">
        <v>17</v>
      </c>
      <c r="C185" s="25">
        <v>5.58</v>
      </c>
      <c r="D185" s="96"/>
    </row>
    <row r="186" spans="1:4" ht="15.75" outlineLevel="1">
      <c r="A186" s="25" t="s">
        <v>995</v>
      </c>
      <c r="B186" s="26" t="s">
        <v>18</v>
      </c>
      <c r="C186" s="25">
        <v>5.54</v>
      </c>
      <c r="D186" s="96"/>
    </row>
    <row r="187" spans="1:4" ht="15.75" outlineLevel="1">
      <c r="A187" s="25" t="s">
        <v>995</v>
      </c>
      <c r="B187" s="26" t="s">
        <v>19</v>
      </c>
      <c r="C187" s="25">
        <v>5.55</v>
      </c>
      <c r="D187" s="96"/>
    </row>
    <row r="188" spans="1:4" ht="15.75" outlineLevel="1">
      <c r="A188" s="25" t="s">
        <v>995</v>
      </c>
      <c r="B188" s="26" t="s">
        <v>20</v>
      </c>
      <c r="C188" s="25">
        <v>5.63</v>
      </c>
      <c r="D188" s="96"/>
    </row>
    <row r="189" spans="1:4" ht="15.75" outlineLevel="1">
      <c r="A189" s="25" t="s">
        <v>995</v>
      </c>
      <c r="B189" s="26" t="s">
        <v>23</v>
      </c>
      <c r="C189" s="25">
        <v>5.45</v>
      </c>
      <c r="D189" s="96"/>
    </row>
    <row r="190" spans="1:4" ht="15.75" outlineLevel="1">
      <c r="A190" s="25" t="s">
        <v>995</v>
      </c>
      <c r="B190" s="26" t="s">
        <v>24</v>
      </c>
      <c r="C190" s="25">
        <v>5.47</v>
      </c>
      <c r="D190" s="96"/>
    </row>
    <row r="191" spans="1:4" ht="15.75" outlineLevel="1">
      <c r="A191" s="25" t="s">
        <v>995</v>
      </c>
      <c r="B191" s="26" t="s">
        <v>25</v>
      </c>
      <c r="C191" s="25">
        <v>5.48</v>
      </c>
      <c r="D191" s="96"/>
    </row>
    <row r="192" spans="1:4" ht="15.75">
      <c r="A192" s="30" t="s">
        <v>995</v>
      </c>
      <c r="B192" s="26"/>
      <c r="C192" s="25"/>
      <c r="D192" s="96"/>
    </row>
    <row r="193" spans="1:4" ht="15.75" outlineLevel="1">
      <c r="A193" s="25" t="s">
        <v>1117</v>
      </c>
      <c r="B193" s="26" t="s">
        <v>0</v>
      </c>
      <c r="C193" s="25">
        <v>5.0999999999999996</v>
      </c>
      <c r="D193" s="96"/>
    </row>
    <row r="194" spans="1:4" ht="15.75" outlineLevel="1">
      <c r="A194" s="25" t="s">
        <v>1117</v>
      </c>
      <c r="B194" s="26" t="s">
        <v>1</v>
      </c>
      <c r="C194" s="25">
        <v>5.2</v>
      </c>
      <c r="D194" s="96"/>
    </row>
    <row r="195" spans="1:4" ht="15.75" outlineLevel="1">
      <c r="A195" s="25" t="s">
        <v>1117</v>
      </c>
      <c r="B195" s="26" t="s">
        <v>2</v>
      </c>
      <c r="C195" s="25">
        <v>5.3</v>
      </c>
      <c r="D195" s="96"/>
    </row>
    <row r="196" spans="1:4" ht="15.75" outlineLevel="1">
      <c r="A196" s="25" t="s">
        <v>1117</v>
      </c>
      <c r="B196" s="26" t="s">
        <v>156</v>
      </c>
      <c r="C196" s="25">
        <v>5.6</v>
      </c>
      <c r="D196" s="96"/>
    </row>
    <row r="197" spans="1:4" ht="15.75" outlineLevel="1">
      <c r="A197" s="25" t="s">
        <v>1117</v>
      </c>
      <c r="B197" s="26" t="s">
        <v>1114</v>
      </c>
      <c r="C197" s="27">
        <v>5.0999999999999996</v>
      </c>
      <c r="D197" s="96"/>
    </row>
    <row r="198" spans="1:4" ht="15.75" outlineLevel="1">
      <c r="A198" s="25" t="s">
        <v>1117</v>
      </c>
      <c r="B198" s="26" t="s">
        <v>1113</v>
      </c>
      <c r="C198" s="25">
        <v>5.14</v>
      </c>
      <c r="D198" s="96"/>
    </row>
    <row r="199" spans="1:4" ht="15.75" outlineLevel="1">
      <c r="A199" s="25" t="s">
        <v>1117</v>
      </c>
      <c r="B199" s="26" t="s">
        <v>4</v>
      </c>
      <c r="C199" s="25">
        <v>5.19</v>
      </c>
      <c r="D199" s="96"/>
    </row>
    <row r="200" spans="1:4" ht="15.75" outlineLevel="1">
      <c r="A200" s="25" t="s">
        <v>1117</v>
      </c>
      <c r="B200" s="26" t="s">
        <v>158</v>
      </c>
      <c r="C200" s="25">
        <v>5.24</v>
      </c>
      <c r="D200" s="96"/>
    </row>
    <row r="201" spans="1:4" ht="15.75" outlineLevel="1">
      <c r="A201" s="25" t="s">
        <v>1117</v>
      </c>
      <c r="B201" s="26" t="s">
        <v>6</v>
      </c>
      <c r="C201" s="25">
        <v>5.27</v>
      </c>
      <c r="D201" s="96"/>
    </row>
    <row r="202" spans="1:4" ht="15.75" outlineLevel="1">
      <c r="A202" s="25" t="s">
        <v>1117</v>
      </c>
      <c r="B202" s="26" t="s">
        <v>7</v>
      </c>
      <c r="C202" s="25">
        <v>5.28</v>
      </c>
      <c r="D202" s="96"/>
    </row>
    <row r="203" spans="1:4" ht="15.75" outlineLevel="1">
      <c r="A203" s="25" t="s">
        <v>1117</v>
      </c>
      <c r="B203" s="26" t="s">
        <v>333</v>
      </c>
      <c r="C203" s="25">
        <v>5.29</v>
      </c>
      <c r="D203" s="96"/>
    </row>
    <row r="204" spans="1:4" ht="15.75" outlineLevel="1">
      <c r="A204" s="25" t="s">
        <v>1117</v>
      </c>
      <c r="B204" s="26" t="s">
        <v>8</v>
      </c>
      <c r="C204" s="27">
        <v>5.3</v>
      </c>
      <c r="D204" s="96"/>
    </row>
    <row r="205" spans="1:4" ht="15.75" outlineLevel="1">
      <c r="A205" s="25" t="s">
        <v>1117</v>
      </c>
      <c r="B205" s="26" t="s">
        <v>1118</v>
      </c>
      <c r="C205" s="25">
        <v>5.34</v>
      </c>
      <c r="D205" s="96"/>
    </row>
    <row r="206" spans="1:4" ht="15.75" outlineLevel="1">
      <c r="A206" s="25" t="s">
        <v>1117</v>
      </c>
      <c r="B206" s="26" t="s">
        <v>159</v>
      </c>
      <c r="C206" s="25">
        <v>5.31</v>
      </c>
      <c r="D206" s="96"/>
    </row>
    <row r="207" spans="1:4" ht="15.75" outlineLevel="1">
      <c r="A207" s="25" t="s">
        <v>1117</v>
      </c>
      <c r="B207" s="26" t="s">
        <v>1119</v>
      </c>
      <c r="C207" s="25">
        <v>5.101</v>
      </c>
      <c r="D207" s="96"/>
    </row>
    <row r="208" spans="1:4" ht="15.75" outlineLevel="1">
      <c r="A208" s="25" t="s">
        <v>1117</v>
      </c>
      <c r="B208" s="26" t="s">
        <v>125</v>
      </c>
      <c r="C208" s="25">
        <v>5.36</v>
      </c>
      <c r="D208" s="96"/>
    </row>
    <row r="209" spans="1:4" ht="15.75" outlineLevel="1">
      <c r="A209" s="25" t="s">
        <v>1117</v>
      </c>
      <c r="B209" s="26" t="s">
        <v>11</v>
      </c>
      <c r="C209" s="25">
        <v>5.53</v>
      </c>
      <c r="D209" s="96"/>
    </row>
    <row r="210" spans="1:4" ht="15.75" outlineLevel="1">
      <c r="A210" s="25" t="s">
        <v>1117</v>
      </c>
      <c r="B210" s="26" t="s">
        <v>1120</v>
      </c>
      <c r="C210" s="25">
        <v>5.1020000000000003</v>
      </c>
      <c r="D210" s="96"/>
    </row>
    <row r="211" spans="1:4" ht="15.75" outlineLevel="1">
      <c r="A211" s="25" t="s">
        <v>1117</v>
      </c>
      <c r="B211" s="26" t="s">
        <v>1121</v>
      </c>
      <c r="C211" s="28">
        <v>5.0999999999999996</v>
      </c>
      <c r="D211" s="96"/>
    </row>
    <row r="212" spans="1:4" ht="15.75" outlineLevel="1">
      <c r="A212" s="25" t="s">
        <v>1117</v>
      </c>
      <c r="B212" s="26" t="s">
        <v>17</v>
      </c>
      <c r="C212" s="25">
        <v>5.58</v>
      </c>
      <c r="D212" s="96"/>
    </row>
    <row r="213" spans="1:4" ht="15.75" outlineLevel="1">
      <c r="A213" s="25" t="s">
        <v>1117</v>
      </c>
      <c r="B213" s="26" t="s">
        <v>18</v>
      </c>
      <c r="C213" s="25">
        <v>5.54</v>
      </c>
      <c r="D213" s="96"/>
    </row>
    <row r="214" spans="1:4" ht="15.75" outlineLevel="1">
      <c r="A214" s="25" t="s">
        <v>1117</v>
      </c>
      <c r="B214" s="26" t="s">
        <v>19</v>
      </c>
      <c r="C214" s="25">
        <v>5.55</v>
      </c>
      <c r="D214" s="96"/>
    </row>
    <row r="215" spans="1:4" ht="15.75" outlineLevel="1">
      <c r="A215" s="25" t="s">
        <v>1117</v>
      </c>
      <c r="B215" s="26" t="s">
        <v>20</v>
      </c>
      <c r="C215" s="25">
        <v>5.63</v>
      </c>
      <c r="D215" s="96"/>
    </row>
    <row r="216" spans="1:4" ht="15.75" outlineLevel="1">
      <c r="A216" s="25" t="s">
        <v>1117</v>
      </c>
      <c r="B216" s="26" t="s">
        <v>24</v>
      </c>
      <c r="C216" s="25">
        <v>5.47</v>
      </c>
      <c r="D216" s="96"/>
    </row>
    <row r="217" spans="1:4" ht="15.75" outlineLevel="1">
      <c r="A217" s="25" t="s">
        <v>1117</v>
      </c>
      <c r="B217" s="26" t="s">
        <v>25</v>
      </c>
      <c r="C217" s="25">
        <v>5.48</v>
      </c>
      <c r="D217" s="96"/>
    </row>
    <row r="218" spans="1:4" ht="15.75">
      <c r="A218" s="30" t="s">
        <v>1117</v>
      </c>
      <c r="B218" s="26"/>
      <c r="C218" s="25"/>
      <c r="D218" s="96"/>
    </row>
    <row r="219" spans="1:4" ht="15.75" outlineLevel="1">
      <c r="A219" s="25" t="s">
        <v>998</v>
      </c>
      <c r="B219" s="26" t="s">
        <v>0</v>
      </c>
      <c r="C219" s="25">
        <v>5.0999999999999996</v>
      </c>
      <c r="D219" s="96"/>
    </row>
    <row r="220" spans="1:4" ht="15.75" outlineLevel="1">
      <c r="A220" s="25" t="s">
        <v>998</v>
      </c>
      <c r="B220" s="26" t="s">
        <v>1</v>
      </c>
      <c r="C220" s="25">
        <v>5.2</v>
      </c>
      <c r="D220" s="96"/>
    </row>
    <row r="221" spans="1:4" ht="15.75" outlineLevel="1">
      <c r="A221" s="25" t="s">
        <v>998</v>
      </c>
      <c r="B221" s="26" t="s">
        <v>2</v>
      </c>
      <c r="C221" s="25">
        <v>5.3</v>
      </c>
      <c r="D221" s="96"/>
    </row>
    <row r="222" spans="1:4" ht="15.75" outlineLevel="1">
      <c r="A222" s="25" t="s">
        <v>998</v>
      </c>
      <c r="B222" s="26" t="s">
        <v>156</v>
      </c>
      <c r="C222" s="25">
        <v>5.6</v>
      </c>
      <c r="D222" s="96"/>
    </row>
    <row r="223" spans="1:4" ht="15.75" outlineLevel="1">
      <c r="A223" s="25" t="s">
        <v>998</v>
      </c>
      <c r="B223" s="26" t="s">
        <v>1114</v>
      </c>
      <c r="C223" s="27">
        <v>5.0999999999999996</v>
      </c>
      <c r="D223" s="96"/>
    </row>
    <row r="224" spans="1:4" ht="15.75" outlineLevel="1">
      <c r="A224" s="25" t="s">
        <v>998</v>
      </c>
      <c r="B224" s="26" t="s">
        <v>1113</v>
      </c>
      <c r="C224" s="25">
        <v>5.14</v>
      </c>
      <c r="D224" s="96"/>
    </row>
    <row r="225" spans="1:4" ht="15.75" outlineLevel="1">
      <c r="A225" s="25" t="s">
        <v>998</v>
      </c>
      <c r="B225" s="26" t="s">
        <v>4</v>
      </c>
      <c r="C225" s="25">
        <v>5.19</v>
      </c>
      <c r="D225" s="96"/>
    </row>
    <row r="226" spans="1:4" ht="15.75" outlineLevel="1">
      <c r="A226" s="25" t="s">
        <v>998</v>
      </c>
      <c r="B226" s="26" t="s">
        <v>158</v>
      </c>
      <c r="C226" s="25">
        <v>5.24</v>
      </c>
      <c r="D226" s="96"/>
    </row>
    <row r="227" spans="1:4" ht="15.75" outlineLevel="1">
      <c r="A227" s="25" t="s">
        <v>998</v>
      </c>
      <c r="B227" s="26" t="s">
        <v>5</v>
      </c>
      <c r="C227" s="25">
        <v>5.26</v>
      </c>
      <c r="D227" s="96"/>
    </row>
    <row r="228" spans="1:4" ht="15.75" outlineLevel="1">
      <c r="A228" s="25" t="s">
        <v>998</v>
      </c>
      <c r="B228" s="26" t="s">
        <v>6</v>
      </c>
      <c r="C228" s="25">
        <v>5.27</v>
      </c>
      <c r="D228" s="96"/>
    </row>
    <row r="229" spans="1:4" ht="15.75" outlineLevel="1">
      <c r="A229" s="25" t="s">
        <v>998</v>
      </c>
      <c r="B229" s="26" t="s">
        <v>7</v>
      </c>
      <c r="C229" s="25">
        <v>5.28</v>
      </c>
      <c r="D229" s="96"/>
    </row>
    <row r="230" spans="1:4" ht="15.75" outlineLevel="1">
      <c r="A230" s="25" t="s">
        <v>998</v>
      </c>
      <c r="B230" s="26" t="s">
        <v>333</v>
      </c>
      <c r="C230" s="25">
        <v>5.29</v>
      </c>
      <c r="D230" s="96"/>
    </row>
    <row r="231" spans="1:4" ht="15.75" outlineLevel="1">
      <c r="A231" s="25" t="s">
        <v>998</v>
      </c>
      <c r="B231" s="26" t="s">
        <v>8</v>
      </c>
      <c r="C231" s="27">
        <v>5.3</v>
      </c>
      <c r="D231" s="96"/>
    </row>
    <row r="232" spans="1:4" ht="15.75" outlineLevel="1">
      <c r="A232" s="25" t="s">
        <v>998</v>
      </c>
      <c r="B232" s="26" t="s">
        <v>159</v>
      </c>
      <c r="C232" s="25">
        <v>5.31</v>
      </c>
      <c r="D232" s="96"/>
    </row>
    <row r="233" spans="1:4" ht="15.75" outlineLevel="1">
      <c r="A233" s="25" t="s">
        <v>998</v>
      </c>
      <c r="B233" s="26" t="s">
        <v>182</v>
      </c>
      <c r="C233" s="25">
        <v>5.33</v>
      </c>
      <c r="D233" s="96"/>
    </row>
    <row r="234" spans="1:4" ht="15.75" outlineLevel="1">
      <c r="A234" s="25" t="s">
        <v>998</v>
      </c>
      <c r="B234" s="26" t="s">
        <v>1119</v>
      </c>
      <c r="C234" s="25">
        <v>5.101</v>
      </c>
      <c r="D234" s="96"/>
    </row>
    <row r="235" spans="1:4" ht="15.75" outlineLevel="1">
      <c r="A235" s="25" t="s">
        <v>998</v>
      </c>
      <c r="B235" s="26" t="s">
        <v>125</v>
      </c>
      <c r="C235" s="25">
        <v>5.36</v>
      </c>
      <c r="D235" s="96"/>
    </row>
    <row r="236" spans="1:4" ht="15.75" outlineLevel="1">
      <c r="A236" s="25" t="s">
        <v>998</v>
      </c>
      <c r="B236" s="26" t="s">
        <v>11</v>
      </c>
      <c r="C236" s="25">
        <v>5.53</v>
      </c>
      <c r="D236" s="96"/>
    </row>
    <row r="237" spans="1:4" ht="15.75" outlineLevel="1">
      <c r="A237" s="25" t="s">
        <v>998</v>
      </c>
      <c r="B237" s="26" t="s">
        <v>1120</v>
      </c>
      <c r="C237" s="25">
        <v>5.1020000000000003</v>
      </c>
      <c r="D237" s="96"/>
    </row>
    <row r="238" spans="1:4" ht="15.75" outlineLevel="1">
      <c r="A238" s="25" t="s">
        <v>998</v>
      </c>
      <c r="B238" s="26" t="s">
        <v>17</v>
      </c>
      <c r="C238" s="25">
        <v>5.58</v>
      </c>
      <c r="D238" s="96"/>
    </row>
    <row r="239" spans="1:4" ht="15.75" outlineLevel="1">
      <c r="A239" s="25" t="s">
        <v>998</v>
      </c>
      <c r="B239" s="26" t="s">
        <v>18</v>
      </c>
      <c r="C239" s="25">
        <v>5.54</v>
      </c>
      <c r="D239" s="96"/>
    </row>
    <row r="240" spans="1:4" ht="15.75" outlineLevel="1">
      <c r="A240" s="25" t="s">
        <v>998</v>
      </c>
      <c r="B240" s="26" t="s">
        <v>19</v>
      </c>
      <c r="C240" s="25">
        <v>5.55</v>
      </c>
      <c r="D240" s="96"/>
    </row>
    <row r="241" spans="1:4" ht="15.75" outlineLevel="1">
      <c r="A241" s="25" t="s">
        <v>998</v>
      </c>
      <c r="B241" s="26" t="s">
        <v>20</v>
      </c>
      <c r="C241" s="25">
        <v>5.63</v>
      </c>
      <c r="D241" s="96"/>
    </row>
    <row r="242" spans="1:4" ht="15.75" outlineLevel="1">
      <c r="A242" s="25" t="s">
        <v>998</v>
      </c>
      <c r="B242" s="26" t="s">
        <v>24</v>
      </c>
      <c r="C242" s="25">
        <v>5.47</v>
      </c>
      <c r="D242" s="96"/>
    </row>
    <row r="243" spans="1:4" ht="15.75" outlineLevel="1">
      <c r="A243" s="25" t="s">
        <v>998</v>
      </c>
      <c r="B243" s="26" t="s">
        <v>25</v>
      </c>
      <c r="C243" s="25">
        <v>5.48</v>
      </c>
      <c r="D243" s="96"/>
    </row>
    <row r="244" spans="1:4" ht="15.75">
      <c r="A244" s="30" t="s">
        <v>998</v>
      </c>
      <c r="B244" s="26"/>
      <c r="C244" s="25"/>
      <c r="D244" s="96"/>
    </row>
    <row r="245" spans="1:4" ht="15.75" outlineLevel="1">
      <c r="A245" s="25" t="s">
        <v>1122</v>
      </c>
      <c r="B245" s="26" t="s">
        <v>0</v>
      </c>
      <c r="C245" s="25">
        <v>5.0999999999999996</v>
      </c>
      <c r="D245" s="96"/>
    </row>
    <row r="246" spans="1:4" ht="15.75" outlineLevel="1">
      <c r="A246" s="25" t="s">
        <v>1122</v>
      </c>
      <c r="B246" s="26" t="s">
        <v>1</v>
      </c>
      <c r="C246" s="25">
        <v>5.2</v>
      </c>
      <c r="D246" s="96"/>
    </row>
    <row r="247" spans="1:4" ht="15.75" outlineLevel="1">
      <c r="A247" s="25" t="s">
        <v>1122</v>
      </c>
      <c r="B247" s="26" t="s">
        <v>2</v>
      </c>
      <c r="C247" s="25">
        <v>5.3</v>
      </c>
      <c r="D247" s="96"/>
    </row>
    <row r="248" spans="1:4" ht="15.75" outlineLevel="1">
      <c r="A248" s="25" t="s">
        <v>1122</v>
      </c>
      <c r="B248" s="26" t="s">
        <v>156</v>
      </c>
      <c r="C248" s="25">
        <v>5.6</v>
      </c>
      <c r="D248" s="96"/>
    </row>
    <row r="249" spans="1:4" ht="15.75" outlineLevel="1">
      <c r="A249" s="25" t="s">
        <v>1122</v>
      </c>
      <c r="B249" s="26" t="s">
        <v>1114</v>
      </c>
      <c r="C249" s="27">
        <v>5.0999999999999996</v>
      </c>
      <c r="D249" s="96"/>
    </row>
    <row r="250" spans="1:4" ht="15.75" outlineLevel="1">
      <c r="A250" s="25" t="s">
        <v>1122</v>
      </c>
      <c r="B250" s="26" t="s">
        <v>1113</v>
      </c>
      <c r="C250" s="25">
        <v>5.14</v>
      </c>
      <c r="D250" s="96"/>
    </row>
    <row r="251" spans="1:4" ht="15.75" outlineLevel="1">
      <c r="A251" s="25" t="s">
        <v>1122</v>
      </c>
      <c r="B251" s="26" t="s">
        <v>4</v>
      </c>
      <c r="C251" s="25">
        <v>5.19</v>
      </c>
      <c r="D251" s="96"/>
    </row>
    <row r="252" spans="1:4" ht="15.75" outlineLevel="1">
      <c r="A252" s="25" t="s">
        <v>1122</v>
      </c>
      <c r="B252" s="26" t="s">
        <v>158</v>
      </c>
      <c r="C252" s="25">
        <v>5.24</v>
      </c>
      <c r="D252" s="96"/>
    </row>
    <row r="253" spans="1:4" ht="15.75" outlineLevel="1">
      <c r="A253" s="25" t="s">
        <v>1122</v>
      </c>
      <c r="B253" s="26" t="s">
        <v>6</v>
      </c>
      <c r="C253" s="25">
        <v>5.27</v>
      </c>
      <c r="D253" s="96"/>
    </row>
    <row r="254" spans="1:4" ht="15.75" outlineLevel="1">
      <c r="A254" s="25" t="s">
        <v>1122</v>
      </c>
      <c r="B254" s="26" t="s">
        <v>7</v>
      </c>
      <c r="C254" s="25">
        <v>5.28</v>
      </c>
      <c r="D254" s="96"/>
    </row>
    <row r="255" spans="1:4" ht="15.75" outlineLevel="1">
      <c r="A255" s="25" t="s">
        <v>1122</v>
      </c>
      <c r="B255" s="26" t="s">
        <v>8</v>
      </c>
      <c r="C255" s="27">
        <v>5.3</v>
      </c>
      <c r="D255" s="96"/>
    </row>
    <row r="256" spans="1:4" ht="15.75" outlineLevel="1">
      <c r="A256" s="25" t="s">
        <v>1122</v>
      </c>
      <c r="B256" s="26" t="s">
        <v>182</v>
      </c>
      <c r="C256" s="25">
        <v>5.33</v>
      </c>
      <c r="D256" s="96"/>
    </row>
    <row r="257" spans="1:4" ht="15.75" outlineLevel="1">
      <c r="A257" s="25" t="s">
        <v>1122</v>
      </c>
      <c r="B257" s="26" t="s">
        <v>125</v>
      </c>
      <c r="C257" s="25">
        <v>5.36</v>
      </c>
      <c r="D257" s="96"/>
    </row>
    <row r="258" spans="1:4" ht="15.75" outlineLevel="1">
      <c r="A258" s="25" t="s">
        <v>1122</v>
      </c>
      <c r="B258" s="26" t="s">
        <v>11</v>
      </c>
      <c r="C258" s="25">
        <v>5.53</v>
      </c>
      <c r="D258" s="96"/>
    </row>
    <row r="259" spans="1:4" ht="15.75" outlineLevel="1">
      <c r="A259" s="25" t="s">
        <v>1122</v>
      </c>
      <c r="B259" s="26" t="s">
        <v>17</v>
      </c>
      <c r="C259" s="25">
        <v>5.58</v>
      </c>
      <c r="D259" s="96"/>
    </row>
    <row r="260" spans="1:4" ht="15.75" outlineLevel="1">
      <c r="A260" s="25" t="s">
        <v>1122</v>
      </c>
      <c r="B260" s="26" t="s">
        <v>18</v>
      </c>
      <c r="C260" s="25">
        <v>5.54</v>
      </c>
      <c r="D260" s="96"/>
    </row>
    <row r="261" spans="1:4" ht="15.75" outlineLevel="1">
      <c r="A261" s="25" t="s">
        <v>1122</v>
      </c>
      <c r="B261" s="26" t="s">
        <v>19</v>
      </c>
      <c r="C261" s="25">
        <v>5.55</v>
      </c>
      <c r="D261" s="96"/>
    </row>
    <row r="262" spans="1:4" ht="15.75" outlineLevel="1">
      <c r="A262" s="25" t="s">
        <v>1122</v>
      </c>
      <c r="B262" s="26" t="s">
        <v>20</v>
      </c>
      <c r="C262" s="25">
        <v>5.63</v>
      </c>
      <c r="D262" s="96"/>
    </row>
    <row r="263" spans="1:4" ht="15.75" outlineLevel="1">
      <c r="A263" s="25" t="s">
        <v>1122</v>
      </c>
      <c r="B263" s="26" t="s">
        <v>24</v>
      </c>
      <c r="C263" s="25">
        <v>5.47</v>
      </c>
      <c r="D263" s="96"/>
    </row>
    <row r="264" spans="1:4" ht="15.75" outlineLevel="1">
      <c r="A264" s="25" t="s">
        <v>1122</v>
      </c>
      <c r="B264" s="26" t="s">
        <v>25</v>
      </c>
      <c r="C264" s="25">
        <v>5.48</v>
      </c>
      <c r="D264" s="96"/>
    </row>
    <row r="265" spans="1:4" ht="15.75">
      <c r="A265" s="30" t="s">
        <v>1122</v>
      </c>
      <c r="B265" s="26"/>
      <c r="C265" s="25"/>
      <c r="D265" s="96"/>
    </row>
    <row r="266" spans="1:4" ht="15.75" outlineLevel="1">
      <c r="A266" s="25" t="s">
        <v>1003</v>
      </c>
      <c r="B266" s="26" t="s">
        <v>0</v>
      </c>
      <c r="C266" s="25">
        <v>5.0999999999999996</v>
      </c>
      <c r="D266" s="96"/>
    </row>
    <row r="267" spans="1:4" ht="15.75" outlineLevel="1">
      <c r="A267" s="25" t="s">
        <v>1003</v>
      </c>
      <c r="B267" s="26" t="s">
        <v>1</v>
      </c>
      <c r="C267" s="25">
        <v>5.2</v>
      </c>
      <c r="D267" s="96"/>
    </row>
    <row r="268" spans="1:4" ht="15.75" outlineLevel="1">
      <c r="A268" s="25" t="s">
        <v>1003</v>
      </c>
      <c r="B268" s="26" t="s">
        <v>2</v>
      </c>
      <c r="C268" s="25">
        <v>5.3</v>
      </c>
      <c r="D268" s="96"/>
    </row>
    <row r="269" spans="1:4" ht="15.75" outlineLevel="1">
      <c r="A269" s="25" t="s">
        <v>1003</v>
      </c>
      <c r="B269" s="26" t="s">
        <v>156</v>
      </c>
      <c r="C269" s="25">
        <v>5.6</v>
      </c>
      <c r="D269" s="96"/>
    </row>
    <row r="270" spans="1:4" ht="15.75" outlineLevel="1">
      <c r="A270" s="25" t="s">
        <v>1003</v>
      </c>
      <c r="B270" s="26" t="s">
        <v>1114</v>
      </c>
      <c r="C270" s="27">
        <v>5.0999999999999996</v>
      </c>
      <c r="D270" s="96"/>
    </row>
    <row r="271" spans="1:4" ht="15.75" outlineLevel="1">
      <c r="A271" s="25" t="s">
        <v>1003</v>
      </c>
      <c r="B271" s="26" t="s">
        <v>1113</v>
      </c>
      <c r="C271" s="25">
        <v>5.14</v>
      </c>
      <c r="D271" s="96"/>
    </row>
    <row r="272" spans="1:4" ht="15.75" outlineLevel="1">
      <c r="A272" s="25" t="s">
        <v>1003</v>
      </c>
      <c r="B272" s="26" t="s">
        <v>4</v>
      </c>
      <c r="C272" s="25">
        <v>5.19</v>
      </c>
      <c r="D272" s="96"/>
    </row>
    <row r="273" spans="1:4" ht="15.75" outlineLevel="1">
      <c r="A273" s="25" t="s">
        <v>1003</v>
      </c>
      <c r="B273" s="26" t="s">
        <v>158</v>
      </c>
      <c r="C273" s="25">
        <v>5.24</v>
      </c>
      <c r="D273" s="96"/>
    </row>
    <row r="274" spans="1:4" ht="15.75" outlineLevel="1">
      <c r="A274" s="25" t="s">
        <v>1003</v>
      </c>
      <c r="B274" s="26" t="s">
        <v>5</v>
      </c>
      <c r="C274" s="25">
        <v>5.26</v>
      </c>
      <c r="D274" s="96"/>
    </row>
    <row r="275" spans="1:4" ht="15.75" outlineLevel="1">
      <c r="A275" s="25" t="s">
        <v>1003</v>
      </c>
      <c r="B275" s="26" t="s">
        <v>6</v>
      </c>
      <c r="C275" s="25">
        <v>5.27</v>
      </c>
      <c r="D275" s="96"/>
    </row>
    <row r="276" spans="1:4" ht="15.75" outlineLevel="1">
      <c r="A276" s="25" t="s">
        <v>1003</v>
      </c>
      <c r="B276" s="26" t="s">
        <v>7</v>
      </c>
      <c r="C276" s="25">
        <v>5.28</v>
      </c>
      <c r="D276" s="96"/>
    </row>
    <row r="277" spans="1:4" ht="15.75" outlineLevel="1">
      <c r="A277" s="25" t="s">
        <v>1003</v>
      </c>
      <c r="B277" s="26" t="s">
        <v>333</v>
      </c>
      <c r="C277" s="25">
        <v>5.29</v>
      </c>
      <c r="D277" s="96"/>
    </row>
    <row r="278" spans="1:4" ht="15.75" outlineLevel="1">
      <c r="A278" s="25" t="s">
        <v>1003</v>
      </c>
      <c r="B278" s="26" t="s">
        <v>8</v>
      </c>
      <c r="C278" s="27">
        <v>5.3</v>
      </c>
      <c r="D278" s="96"/>
    </row>
    <row r="279" spans="1:4" ht="15.75" outlineLevel="1">
      <c r="A279" s="25" t="s">
        <v>1003</v>
      </c>
      <c r="B279" s="26" t="s">
        <v>182</v>
      </c>
      <c r="C279" s="25">
        <v>5.33</v>
      </c>
      <c r="D279" s="96"/>
    </row>
    <row r="280" spans="1:4" ht="15.75" outlineLevel="1">
      <c r="A280" s="25" t="s">
        <v>1003</v>
      </c>
      <c r="B280" s="26" t="s">
        <v>125</v>
      </c>
      <c r="C280" s="25">
        <v>5.36</v>
      </c>
      <c r="D280" s="96"/>
    </row>
    <row r="281" spans="1:4" ht="15.75" outlineLevel="1">
      <c r="A281" s="25" t="s">
        <v>1003</v>
      </c>
      <c r="B281" s="26" t="s">
        <v>12</v>
      </c>
      <c r="C281" s="25">
        <v>5.69</v>
      </c>
      <c r="D281" s="96"/>
    </row>
    <row r="282" spans="1:4" ht="15.75" outlineLevel="1">
      <c r="A282" s="25" t="s">
        <v>1003</v>
      </c>
      <c r="B282" s="26" t="s">
        <v>14</v>
      </c>
      <c r="C282" s="27">
        <v>5.7</v>
      </c>
      <c r="D282" s="96"/>
    </row>
    <row r="283" spans="1:4" ht="15.75" outlineLevel="1">
      <c r="A283" s="25" t="s">
        <v>1003</v>
      </c>
      <c r="B283" s="26" t="s">
        <v>15</v>
      </c>
      <c r="C283" s="25">
        <v>5.74</v>
      </c>
      <c r="D283" s="96"/>
    </row>
    <row r="284" spans="1:4" ht="15.75" outlineLevel="1">
      <c r="A284" s="25" t="s">
        <v>1003</v>
      </c>
      <c r="B284" s="26" t="s">
        <v>9</v>
      </c>
      <c r="C284" s="25">
        <v>5.49</v>
      </c>
      <c r="D284" s="96"/>
    </row>
    <row r="285" spans="1:4" ht="15.75" outlineLevel="1">
      <c r="A285" s="25" t="s">
        <v>1003</v>
      </c>
      <c r="B285" s="26" t="s">
        <v>10</v>
      </c>
      <c r="C285" s="25">
        <v>5.51</v>
      </c>
      <c r="D285" s="96"/>
    </row>
    <row r="286" spans="1:4" ht="15.75" outlineLevel="1">
      <c r="A286" s="25" t="s">
        <v>1003</v>
      </c>
      <c r="B286" s="26" t="s">
        <v>1115</v>
      </c>
      <c r="C286" s="25">
        <v>5.52</v>
      </c>
      <c r="D286" s="96"/>
    </row>
    <row r="287" spans="1:4" ht="15.75" outlineLevel="1">
      <c r="A287" s="25" t="s">
        <v>1003</v>
      </c>
      <c r="B287" s="26" t="s">
        <v>11</v>
      </c>
      <c r="C287" s="25">
        <v>5.53</v>
      </c>
      <c r="D287" s="96"/>
    </row>
    <row r="288" spans="1:4" ht="15.75" outlineLevel="1">
      <c r="A288" s="25" t="s">
        <v>1003</v>
      </c>
      <c r="B288" s="26" t="s">
        <v>17</v>
      </c>
      <c r="C288" s="25">
        <v>5.58</v>
      </c>
      <c r="D288" s="96"/>
    </row>
    <row r="289" spans="1:4" ht="15.75" outlineLevel="1">
      <c r="A289" s="25" t="s">
        <v>1003</v>
      </c>
      <c r="B289" s="26" t="s">
        <v>18</v>
      </c>
      <c r="C289" s="25">
        <v>5.54</v>
      </c>
      <c r="D289" s="96"/>
    </row>
    <row r="290" spans="1:4" ht="15.75" outlineLevel="1">
      <c r="A290" s="25" t="s">
        <v>1003</v>
      </c>
      <c r="B290" s="26" t="s">
        <v>19</v>
      </c>
      <c r="C290" s="25">
        <v>5.55</v>
      </c>
      <c r="D290" s="96"/>
    </row>
    <row r="291" spans="1:4" ht="15.75" outlineLevel="1">
      <c r="A291" s="25" t="s">
        <v>1003</v>
      </c>
      <c r="B291" s="26" t="s">
        <v>20</v>
      </c>
      <c r="C291" s="25">
        <v>5.63</v>
      </c>
      <c r="D291" s="96"/>
    </row>
    <row r="292" spans="1:4" ht="15.75" outlineLevel="1">
      <c r="A292" s="25" t="s">
        <v>1003</v>
      </c>
      <c r="B292" s="26" t="s">
        <v>24</v>
      </c>
      <c r="C292" s="25">
        <v>5.47</v>
      </c>
      <c r="D292" s="96"/>
    </row>
    <row r="293" spans="1:4" ht="15.75" outlineLevel="1">
      <c r="A293" s="25" t="s">
        <v>1003</v>
      </c>
      <c r="B293" s="26" t="s">
        <v>25</v>
      </c>
      <c r="C293" s="25">
        <v>5.48</v>
      </c>
      <c r="D293" s="96"/>
    </row>
    <row r="294" spans="1:4" ht="15.75">
      <c r="A294" s="30" t="s">
        <v>1003</v>
      </c>
      <c r="B294" s="26"/>
      <c r="C294" s="25"/>
      <c r="D294" s="96"/>
    </row>
    <row r="295" spans="1:4" ht="31.5" outlineLevel="1">
      <c r="A295" s="25" t="s">
        <v>1010</v>
      </c>
      <c r="B295" s="26" t="s">
        <v>0</v>
      </c>
      <c r="C295" s="25">
        <v>5.0999999999999996</v>
      </c>
      <c r="D295" s="96"/>
    </row>
    <row r="296" spans="1:4" ht="31.5" outlineLevel="1">
      <c r="A296" s="25" t="s">
        <v>1010</v>
      </c>
      <c r="B296" s="26" t="s">
        <v>1</v>
      </c>
      <c r="C296" s="25">
        <v>5.2</v>
      </c>
      <c r="D296" s="96"/>
    </row>
    <row r="297" spans="1:4" ht="31.5" outlineLevel="1">
      <c r="A297" s="25" t="s">
        <v>1010</v>
      </c>
      <c r="B297" s="26" t="s">
        <v>2</v>
      </c>
      <c r="C297" s="25">
        <v>5.3</v>
      </c>
      <c r="D297" s="96"/>
    </row>
    <row r="298" spans="1:4" ht="31.5" outlineLevel="1">
      <c r="A298" s="25" t="s">
        <v>1010</v>
      </c>
      <c r="B298" s="26" t="s">
        <v>1113</v>
      </c>
      <c r="C298" s="25">
        <v>5.14</v>
      </c>
      <c r="D298" s="96"/>
    </row>
    <row r="299" spans="1:4" ht="31.5" outlineLevel="1">
      <c r="A299" s="25" t="s">
        <v>1010</v>
      </c>
      <c r="B299" s="26" t="s">
        <v>4</v>
      </c>
      <c r="C299" s="25">
        <v>5.19</v>
      </c>
      <c r="D299" s="96"/>
    </row>
    <row r="300" spans="1:4" ht="31.5" outlineLevel="1">
      <c r="A300" s="25" t="s">
        <v>1010</v>
      </c>
      <c r="B300" s="26" t="s">
        <v>158</v>
      </c>
      <c r="C300" s="25">
        <v>5.24</v>
      </c>
      <c r="D300" s="96"/>
    </row>
    <row r="301" spans="1:4" ht="31.5" outlineLevel="1">
      <c r="A301" s="25" t="s">
        <v>1010</v>
      </c>
      <c r="B301" s="26" t="s">
        <v>5</v>
      </c>
      <c r="C301" s="25">
        <v>5.26</v>
      </c>
      <c r="D301" s="96"/>
    </row>
    <row r="302" spans="1:4" ht="31.5" outlineLevel="1">
      <c r="A302" s="25" t="s">
        <v>1010</v>
      </c>
      <c r="B302" s="26" t="s">
        <v>6</v>
      </c>
      <c r="C302" s="25">
        <v>5.27</v>
      </c>
      <c r="D302" s="96"/>
    </row>
    <row r="303" spans="1:4" ht="31.5" outlineLevel="1">
      <c r="A303" s="25" t="s">
        <v>1010</v>
      </c>
      <c r="B303" s="26" t="s">
        <v>7</v>
      </c>
      <c r="C303" s="25">
        <v>5.28</v>
      </c>
      <c r="D303" s="96"/>
    </row>
    <row r="304" spans="1:4" ht="31.5" outlineLevel="1">
      <c r="A304" s="25" t="s">
        <v>1010</v>
      </c>
      <c r="B304" s="26" t="s">
        <v>167</v>
      </c>
      <c r="C304" s="25">
        <v>5.37</v>
      </c>
      <c r="D304" s="96"/>
    </row>
    <row r="305" spans="1:4" ht="31.5" outlineLevel="1">
      <c r="A305" s="25" t="s">
        <v>1010</v>
      </c>
      <c r="B305" s="26" t="s">
        <v>9</v>
      </c>
      <c r="C305" s="25">
        <v>5.49</v>
      </c>
      <c r="D305" s="96"/>
    </row>
    <row r="306" spans="1:4" ht="31.5" outlineLevel="1">
      <c r="A306" s="25" t="s">
        <v>1010</v>
      </c>
      <c r="B306" s="26" t="s">
        <v>10</v>
      </c>
      <c r="C306" s="25">
        <v>5.51</v>
      </c>
      <c r="D306" s="96"/>
    </row>
    <row r="307" spans="1:4" ht="31.5" outlineLevel="1">
      <c r="A307" s="25" t="s">
        <v>1010</v>
      </c>
      <c r="B307" s="26" t="s">
        <v>11</v>
      </c>
      <c r="C307" s="25">
        <v>5.53</v>
      </c>
      <c r="D307" s="96"/>
    </row>
    <row r="308" spans="1:4" ht="31.5" outlineLevel="1">
      <c r="A308" s="25" t="s">
        <v>1010</v>
      </c>
      <c r="B308" s="26" t="s">
        <v>12</v>
      </c>
      <c r="C308" s="25">
        <v>5.69</v>
      </c>
      <c r="D308" s="96"/>
    </row>
    <row r="309" spans="1:4" ht="31.5" outlineLevel="1">
      <c r="A309" s="25" t="s">
        <v>1010</v>
      </c>
      <c r="B309" s="26" t="s">
        <v>13</v>
      </c>
      <c r="C309" s="25">
        <v>5.75</v>
      </c>
      <c r="D309" s="96"/>
    </row>
    <row r="310" spans="1:4" ht="31.5" outlineLevel="1">
      <c r="A310" s="25" t="s">
        <v>1010</v>
      </c>
      <c r="B310" s="26" t="s">
        <v>14</v>
      </c>
      <c r="C310" s="27">
        <v>5.7</v>
      </c>
      <c r="D310" s="96"/>
    </row>
    <row r="311" spans="1:4" ht="31.5" outlineLevel="1">
      <c r="A311" s="25" t="s">
        <v>1010</v>
      </c>
      <c r="B311" s="26" t="s">
        <v>15</v>
      </c>
      <c r="C311" s="25">
        <v>5.74</v>
      </c>
      <c r="D311" s="96"/>
    </row>
    <row r="312" spans="1:4" ht="31.5" outlineLevel="1">
      <c r="A312" s="25" t="s">
        <v>1010</v>
      </c>
      <c r="B312" s="26" t="s">
        <v>17</v>
      </c>
      <c r="C312" s="25">
        <v>5.58</v>
      </c>
      <c r="D312" s="96"/>
    </row>
    <row r="313" spans="1:4" ht="31.5" outlineLevel="1">
      <c r="A313" s="25" t="s">
        <v>1010</v>
      </c>
      <c r="B313" s="26" t="s">
        <v>18</v>
      </c>
      <c r="C313" s="25">
        <v>5.54</v>
      </c>
      <c r="D313" s="96"/>
    </row>
    <row r="314" spans="1:4" ht="31.5" outlineLevel="1">
      <c r="A314" s="25" t="s">
        <v>1010</v>
      </c>
      <c r="B314" s="26" t="s">
        <v>19</v>
      </c>
      <c r="C314" s="25">
        <v>5.55</v>
      </c>
      <c r="D314" s="96"/>
    </row>
    <row r="315" spans="1:4" ht="31.5" outlineLevel="1">
      <c r="A315" s="25" t="s">
        <v>1010</v>
      </c>
      <c r="B315" s="26" t="s">
        <v>20</v>
      </c>
      <c r="C315" s="25">
        <v>5.63</v>
      </c>
      <c r="D315" s="96"/>
    </row>
    <row r="316" spans="1:4" ht="31.5" outlineLevel="1">
      <c r="A316" s="25" t="s">
        <v>1010</v>
      </c>
      <c r="B316" s="26" t="s">
        <v>21</v>
      </c>
      <c r="C316" s="25">
        <v>5.65</v>
      </c>
      <c r="D316" s="96"/>
    </row>
    <row r="317" spans="1:4" ht="31.5" outlineLevel="1">
      <c r="A317" s="25" t="s">
        <v>1010</v>
      </c>
      <c r="B317" s="26" t="s">
        <v>22</v>
      </c>
      <c r="C317" s="25">
        <v>5.68</v>
      </c>
      <c r="D317" s="96"/>
    </row>
    <row r="318" spans="1:4" ht="31.5" outlineLevel="1">
      <c r="A318" s="25" t="s">
        <v>1010</v>
      </c>
      <c r="B318" s="26" t="s">
        <v>24</v>
      </c>
      <c r="C318" s="25">
        <v>5.47</v>
      </c>
      <c r="D318" s="96"/>
    </row>
    <row r="319" spans="1:4" ht="31.5" outlineLevel="1">
      <c r="A319" s="25" t="s">
        <v>1010</v>
      </c>
      <c r="B319" s="26" t="s">
        <v>25</v>
      </c>
      <c r="C319" s="25">
        <v>5.48</v>
      </c>
      <c r="D319" s="96"/>
    </row>
    <row r="320" spans="1:4" ht="31.5">
      <c r="A320" s="30" t="s">
        <v>1010</v>
      </c>
      <c r="B320" s="26"/>
      <c r="C320" s="25"/>
      <c r="D320" s="96"/>
    </row>
    <row r="321" spans="1:4" ht="31.5" outlineLevel="1">
      <c r="A321" s="25" t="s">
        <v>1011</v>
      </c>
      <c r="B321" s="26" t="s">
        <v>0</v>
      </c>
      <c r="C321" s="25">
        <v>5.0999999999999996</v>
      </c>
      <c r="D321" s="96"/>
    </row>
    <row r="322" spans="1:4" ht="31.5" outlineLevel="1">
      <c r="A322" s="25" t="s">
        <v>1011</v>
      </c>
      <c r="B322" s="26" t="s">
        <v>1</v>
      </c>
      <c r="C322" s="25">
        <v>5.2</v>
      </c>
      <c r="D322" s="96"/>
    </row>
    <row r="323" spans="1:4" ht="31.5" outlineLevel="1">
      <c r="A323" s="25" t="s">
        <v>1011</v>
      </c>
      <c r="B323" s="26" t="s">
        <v>5</v>
      </c>
      <c r="C323" s="25">
        <v>5.26</v>
      </c>
      <c r="D323" s="96"/>
    </row>
    <row r="324" spans="1:4" ht="31.5" outlineLevel="1">
      <c r="A324" s="25" t="s">
        <v>1011</v>
      </c>
      <c r="B324" s="26" t="s">
        <v>1113</v>
      </c>
      <c r="C324" s="25">
        <v>5.14</v>
      </c>
      <c r="D324" s="96"/>
    </row>
    <row r="325" spans="1:4" ht="31.5" outlineLevel="1">
      <c r="A325" s="25" t="s">
        <v>1011</v>
      </c>
      <c r="B325" s="26" t="s">
        <v>4</v>
      </c>
      <c r="C325" s="25">
        <v>5.19</v>
      </c>
      <c r="D325" s="96"/>
    </row>
    <row r="326" spans="1:4" ht="31.5" outlineLevel="1">
      <c r="A326" s="25" t="s">
        <v>1011</v>
      </c>
      <c r="B326" s="26" t="s">
        <v>167</v>
      </c>
      <c r="C326" s="25">
        <v>5.37</v>
      </c>
      <c r="D326" s="96"/>
    </row>
    <row r="327" spans="1:4" ht="31.5" outlineLevel="1">
      <c r="A327" s="25" t="s">
        <v>1011</v>
      </c>
      <c r="B327" s="26" t="s">
        <v>12</v>
      </c>
      <c r="C327" s="25">
        <v>5.69</v>
      </c>
      <c r="D327" s="96"/>
    </row>
    <row r="328" spans="1:4" ht="31.5" outlineLevel="1">
      <c r="A328" s="25" t="s">
        <v>1011</v>
      </c>
      <c r="B328" s="26" t="s">
        <v>761</v>
      </c>
      <c r="C328" s="27">
        <v>5.8</v>
      </c>
      <c r="D328" s="96"/>
    </row>
    <row r="329" spans="1:4" ht="31.5" outlineLevel="1">
      <c r="A329" s="25" t="s">
        <v>1011</v>
      </c>
      <c r="B329" s="26" t="s">
        <v>13</v>
      </c>
      <c r="C329" s="25">
        <v>5.75</v>
      </c>
      <c r="D329" s="96"/>
    </row>
    <row r="330" spans="1:4" ht="31.5" outlineLevel="1">
      <c r="A330" s="25" t="s">
        <v>1011</v>
      </c>
      <c r="B330" s="26" t="s">
        <v>14</v>
      </c>
      <c r="C330" s="27">
        <v>5.7</v>
      </c>
      <c r="D330" s="96"/>
    </row>
    <row r="331" spans="1:4" ht="31.5" outlineLevel="1">
      <c r="A331" s="25" t="s">
        <v>1011</v>
      </c>
      <c r="B331" s="26" t="s">
        <v>15</v>
      </c>
      <c r="C331" s="25">
        <v>5.74</v>
      </c>
      <c r="D331" s="96"/>
    </row>
    <row r="332" spans="1:4" ht="31.5" outlineLevel="1">
      <c r="A332" s="25" t="s">
        <v>1011</v>
      </c>
      <c r="B332" s="26" t="s">
        <v>17</v>
      </c>
      <c r="C332" s="25">
        <v>5.58</v>
      </c>
      <c r="D332" s="96"/>
    </row>
    <row r="333" spans="1:4" ht="31.5" outlineLevel="1">
      <c r="A333" s="25" t="s">
        <v>1011</v>
      </c>
      <c r="B333" s="26" t="s">
        <v>19</v>
      </c>
      <c r="C333" s="25">
        <v>5.55</v>
      </c>
      <c r="D333" s="96"/>
    </row>
    <row r="334" spans="1:4" ht="31.5" outlineLevel="1">
      <c r="A334" s="25" t="s">
        <v>1011</v>
      </c>
      <c r="B334" s="26" t="s">
        <v>20</v>
      </c>
      <c r="C334" s="25">
        <v>5.63</v>
      </c>
      <c r="D334" s="96"/>
    </row>
    <row r="335" spans="1:4" ht="31.5" outlineLevel="1">
      <c r="A335" s="25" t="s">
        <v>1011</v>
      </c>
      <c r="B335" s="26" t="s">
        <v>21</v>
      </c>
      <c r="C335" s="25">
        <v>5.65</v>
      </c>
      <c r="D335" s="96"/>
    </row>
    <row r="336" spans="1:4" ht="31.5" outlineLevel="1">
      <c r="A336" s="25" t="s">
        <v>1011</v>
      </c>
      <c r="B336" s="26" t="s">
        <v>22</v>
      </c>
      <c r="C336" s="25">
        <v>5.68</v>
      </c>
      <c r="D336" s="96"/>
    </row>
    <row r="337" spans="1:4" ht="31.5" outlineLevel="1">
      <c r="A337" s="25" t="s">
        <v>1011</v>
      </c>
      <c r="B337" s="26" t="s">
        <v>24</v>
      </c>
      <c r="C337" s="25">
        <v>5.47</v>
      </c>
      <c r="D337" s="96"/>
    </row>
    <row r="338" spans="1:4" ht="31.5" outlineLevel="1">
      <c r="A338" s="25" t="s">
        <v>1011</v>
      </c>
      <c r="B338" s="26" t="s">
        <v>25</v>
      </c>
      <c r="C338" s="25">
        <v>5.48</v>
      </c>
      <c r="D338" s="96"/>
    </row>
    <row r="339" spans="1:4" ht="31.5">
      <c r="A339" s="30" t="s">
        <v>1011</v>
      </c>
      <c r="B339" s="26"/>
      <c r="C339" s="25"/>
      <c r="D339" s="96"/>
    </row>
    <row r="340" spans="1:4" ht="31.5" outlineLevel="1">
      <c r="A340" s="25" t="s">
        <v>1017</v>
      </c>
      <c r="B340" s="26" t="s">
        <v>1123</v>
      </c>
      <c r="C340" s="25">
        <v>5.0999999999999996</v>
      </c>
      <c r="D340" s="96"/>
    </row>
    <row r="341" spans="1:4" ht="31.5" outlineLevel="1">
      <c r="A341" s="25" t="s">
        <v>1017</v>
      </c>
      <c r="B341" s="26" t="s">
        <v>1</v>
      </c>
      <c r="C341" s="25">
        <v>5.2</v>
      </c>
      <c r="D341" s="96"/>
    </row>
    <row r="342" spans="1:4" ht="31.5" outlineLevel="1">
      <c r="A342" s="25" t="s">
        <v>1017</v>
      </c>
      <c r="B342" s="26" t="s">
        <v>5</v>
      </c>
      <c r="C342" s="25">
        <v>5.26</v>
      </c>
      <c r="D342" s="96"/>
    </row>
    <row r="343" spans="1:4" ht="31.5" outlineLevel="1">
      <c r="A343" s="25" t="s">
        <v>1017</v>
      </c>
      <c r="B343" s="26" t="s">
        <v>1124</v>
      </c>
      <c r="C343" s="25">
        <v>5.38</v>
      </c>
      <c r="D343" s="96"/>
    </row>
    <row r="344" spans="1:4" ht="31.5" outlineLevel="1">
      <c r="A344" s="25" t="s">
        <v>1017</v>
      </c>
      <c r="B344" s="26" t="s">
        <v>1125</v>
      </c>
      <c r="C344" s="25">
        <v>5.39</v>
      </c>
      <c r="D344" s="96"/>
    </row>
    <row r="345" spans="1:4" ht="31.5" outlineLevel="1">
      <c r="A345" s="25" t="s">
        <v>1017</v>
      </c>
      <c r="B345" s="26" t="s">
        <v>1126</v>
      </c>
      <c r="C345" s="27">
        <v>5.6</v>
      </c>
      <c r="D345" s="96"/>
    </row>
    <row r="346" spans="1:4" ht="31.5" outlineLevel="1">
      <c r="A346" s="25" t="s">
        <v>1017</v>
      </c>
      <c r="B346" s="26" t="s">
        <v>25</v>
      </c>
      <c r="C346" s="25">
        <v>5.48</v>
      </c>
      <c r="D346" s="96"/>
    </row>
    <row r="347" spans="1:4" ht="31.5">
      <c r="A347" s="30" t="s">
        <v>1017</v>
      </c>
      <c r="B347" s="26"/>
      <c r="C347" s="25"/>
      <c r="D347" s="96"/>
    </row>
    <row r="348" spans="1:4" ht="31.5" outlineLevel="1">
      <c r="A348" s="25" t="s">
        <v>1021</v>
      </c>
      <c r="B348" s="26" t="s">
        <v>0</v>
      </c>
      <c r="C348" s="25">
        <v>5.0999999999999996</v>
      </c>
      <c r="D348" s="96"/>
    </row>
    <row r="349" spans="1:4" ht="31.5" outlineLevel="1">
      <c r="A349" s="25" t="s">
        <v>1021</v>
      </c>
      <c r="B349" s="26" t="s">
        <v>1</v>
      </c>
      <c r="C349" s="25">
        <v>5.2</v>
      </c>
      <c r="D349" s="96"/>
    </row>
    <row r="350" spans="1:4" ht="31.5" outlineLevel="1">
      <c r="A350" s="25" t="s">
        <v>1021</v>
      </c>
      <c r="B350" s="26" t="s">
        <v>2</v>
      </c>
      <c r="C350" s="25">
        <v>5.3</v>
      </c>
      <c r="D350" s="96"/>
    </row>
    <row r="351" spans="1:4" ht="31.5" outlineLevel="1">
      <c r="A351" s="25" t="s">
        <v>1021</v>
      </c>
      <c r="B351" s="26" t="s">
        <v>156</v>
      </c>
      <c r="C351" s="25">
        <v>5.6</v>
      </c>
      <c r="D351" s="96"/>
    </row>
    <row r="352" spans="1:4" ht="31.5" outlineLevel="1">
      <c r="A352" s="25" t="s">
        <v>1021</v>
      </c>
      <c r="B352" s="26" t="s">
        <v>1114</v>
      </c>
      <c r="C352" s="27">
        <v>5.0999999999999996</v>
      </c>
      <c r="D352" s="96"/>
    </row>
    <row r="353" spans="1:4" ht="31.5" outlineLevel="1">
      <c r="A353" s="25" t="s">
        <v>1021</v>
      </c>
      <c r="B353" s="26" t="s">
        <v>1113</v>
      </c>
      <c r="C353" s="25">
        <v>5.14</v>
      </c>
      <c r="D353" s="96"/>
    </row>
    <row r="354" spans="1:4" ht="31.5" outlineLevel="1">
      <c r="A354" s="25" t="s">
        <v>1021</v>
      </c>
      <c r="B354" s="26" t="s">
        <v>4</v>
      </c>
      <c r="C354" s="25">
        <v>5.19</v>
      </c>
      <c r="D354" s="96"/>
    </row>
    <row r="355" spans="1:4" ht="31.5" outlineLevel="1">
      <c r="A355" s="25" t="s">
        <v>1021</v>
      </c>
      <c r="B355" s="26" t="s">
        <v>158</v>
      </c>
      <c r="C355" s="25">
        <v>5.24</v>
      </c>
      <c r="D355" s="96"/>
    </row>
    <row r="356" spans="1:4" ht="31.5" outlineLevel="1">
      <c r="A356" s="25" t="s">
        <v>1021</v>
      </c>
      <c r="B356" s="26" t="s">
        <v>5</v>
      </c>
      <c r="C356" s="25">
        <v>5.26</v>
      </c>
      <c r="D356" s="96"/>
    </row>
    <row r="357" spans="1:4" ht="31.5" outlineLevel="1">
      <c r="A357" s="25" t="s">
        <v>1021</v>
      </c>
      <c r="B357" s="26" t="s">
        <v>6</v>
      </c>
      <c r="C357" s="25">
        <v>5.27</v>
      </c>
      <c r="D357" s="96"/>
    </row>
    <row r="358" spans="1:4" ht="31.5" outlineLevel="1">
      <c r="A358" s="25" t="s">
        <v>1021</v>
      </c>
      <c r="B358" s="26" t="s">
        <v>7</v>
      </c>
      <c r="C358" s="25">
        <v>5.28</v>
      </c>
      <c r="D358" s="96"/>
    </row>
    <row r="359" spans="1:4" ht="31.5" outlineLevel="1">
      <c r="A359" s="25" t="s">
        <v>1021</v>
      </c>
      <c r="B359" s="26" t="s">
        <v>159</v>
      </c>
      <c r="C359" s="25">
        <v>5.31</v>
      </c>
      <c r="D359" s="96"/>
    </row>
    <row r="360" spans="1:4" ht="31.5" outlineLevel="1">
      <c r="A360" s="25" t="s">
        <v>1021</v>
      </c>
      <c r="B360" s="26" t="s">
        <v>125</v>
      </c>
      <c r="C360" s="25">
        <v>5.36</v>
      </c>
      <c r="D360" s="96"/>
    </row>
    <row r="361" spans="1:4" ht="31.5" outlineLevel="1">
      <c r="A361" s="25" t="s">
        <v>1021</v>
      </c>
      <c r="B361" s="26" t="s">
        <v>167</v>
      </c>
      <c r="C361" s="25">
        <v>5.37</v>
      </c>
      <c r="D361" s="96"/>
    </row>
    <row r="362" spans="1:4" ht="31.5" outlineLevel="1">
      <c r="A362" s="25" t="s">
        <v>1021</v>
      </c>
      <c r="B362" s="26" t="s">
        <v>9</v>
      </c>
      <c r="C362" s="25">
        <v>5.49</v>
      </c>
      <c r="D362" s="96"/>
    </row>
    <row r="363" spans="1:4" ht="31.5" outlineLevel="1">
      <c r="A363" s="25" t="s">
        <v>1021</v>
      </c>
      <c r="B363" s="26" t="s">
        <v>10</v>
      </c>
      <c r="C363" s="25">
        <v>5.51</v>
      </c>
      <c r="D363" s="96"/>
    </row>
    <row r="364" spans="1:4" ht="31.5" outlineLevel="1">
      <c r="A364" s="25" t="s">
        <v>1021</v>
      </c>
      <c r="B364" s="26" t="s">
        <v>1115</v>
      </c>
      <c r="C364" s="25">
        <v>5.52</v>
      </c>
      <c r="D364" s="96"/>
    </row>
    <row r="365" spans="1:4" ht="31.5" outlineLevel="1">
      <c r="A365" s="25" t="s">
        <v>1021</v>
      </c>
      <c r="B365" s="26" t="s">
        <v>11</v>
      </c>
      <c r="C365" s="25">
        <v>5.53</v>
      </c>
      <c r="D365" s="96"/>
    </row>
    <row r="366" spans="1:4" ht="31.5" outlineLevel="1">
      <c r="A366" s="25" t="s">
        <v>1021</v>
      </c>
      <c r="B366" s="26" t="s">
        <v>12</v>
      </c>
      <c r="C366" s="25">
        <v>5.69</v>
      </c>
      <c r="D366" s="96"/>
    </row>
    <row r="367" spans="1:4" ht="31.5" outlineLevel="1">
      <c r="A367" s="25" t="s">
        <v>1021</v>
      </c>
      <c r="B367" s="26" t="s">
        <v>761</v>
      </c>
      <c r="C367" s="27">
        <v>5.8</v>
      </c>
      <c r="D367" s="96"/>
    </row>
    <row r="368" spans="1:4" ht="31.5" outlineLevel="1">
      <c r="A368" s="25" t="s">
        <v>1021</v>
      </c>
      <c r="B368" s="26" t="s">
        <v>918</v>
      </c>
      <c r="C368" s="27">
        <v>5.72</v>
      </c>
      <c r="D368" s="96"/>
    </row>
    <row r="369" spans="1:4" ht="31.5" outlineLevel="1">
      <c r="A369" s="25" t="s">
        <v>1021</v>
      </c>
      <c r="B369" s="26" t="s">
        <v>13</v>
      </c>
      <c r="C369" s="25">
        <v>5.75</v>
      </c>
      <c r="D369" s="96"/>
    </row>
    <row r="370" spans="1:4" ht="31.5" outlineLevel="1">
      <c r="A370" s="25" t="s">
        <v>1021</v>
      </c>
      <c r="B370" s="26" t="s">
        <v>14</v>
      </c>
      <c r="C370" s="27">
        <v>5.7</v>
      </c>
      <c r="D370" s="96"/>
    </row>
    <row r="371" spans="1:4" ht="31.5" outlineLevel="1">
      <c r="A371" s="25" t="s">
        <v>1021</v>
      </c>
      <c r="B371" s="26" t="s">
        <v>15</v>
      </c>
      <c r="C371" s="25">
        <v>5.74</v>
      </c>
      <c r="D371" s="96"/>
    </row>
    <row r="372" spans="1:4" ht="31.5" outlineLevel="1">
      <c r="A372" s="25" t="s">
        <v>1021</v>
      </c>
      <c r="B372" s="26" t="s">
        <v>417</v>
      </c>
      <c r="C372" s="25">
        <v>5.76</v>
      </c>
      <c r="D372" s="96"/>
    </row>
    <row r="373" spans="1:4" ht="31.5" outlineLevel="1">
      <c r="A373" s="25" t="s">
        <v>1021</v>
      </c>
      <c r="B373" s="26" t="s">
        <v>839</v>
      </c>
      <c r="C373" s="25">
        <v>5.89</v>
      </c>
      <c r="D373" s="95" t="s">
        <v>1112</v>
      </c>
    </row>
    <row r="374" spans="1:4" ht="31.5" outlineLevel="1">
      <c r="A374" s="25" t="s">
        <v>1021</v>
      </c>
      <c r="B374" s="26" t="s">
        <v>160</v>
      </c>
      <c r="C374" s="25">
        <v>5.109</v>
      </c>
      <c r="D374" s="95"/>
    </row>
    <row r="375" spans="1:4" ht="31.5" outlineLevel="1">
      <c r="A375" s="25" t="s">
        <v>1021</v>
      </c>
      <c r="B375" s="26" t="s">
        <v>161</v>
      </c>
      <c r="C375" s="25">
        <v>5.1109999999999998</v>
      </c>
      <c r="D375" s="96"/>
    </row>
    <row r="376" spans="1:4" ht="31.5" outlineLevel="1">
      <c r="A376" s="25" t="s">
        <v>1021</v>
      </c>
      <c r="B376" s="26" t="s">
        <v>134</v>
      </c>
      <c r="C376" s="25">
        <v>5.1120000000000001</v>
      </c>
      <c r="D376" s="96"/>
    </row>
    <row r="377" spans="1:4" ht="31.5" outlineLevel="1">
      <c r="A377" s="25" t="s">
        <v>1021</v>
      </c>
      <c r="B377" s="26" t="s">
        <v>1127</v>
      </c>
      <c r="C377" s="25">
        <v>5.1130000000000004</v>
      </c>
      <c r="D377" s="96"/>
    </row>
    <row r="378" spans="1:4" ht="31.5" outlineLevel="1">
      <c r="A378" s="25" t="s">
        <v>1021</v>
      </c>
      <c r="B378" s="26" t="s">
        <v>17</v>
      </c>
      <c r="C378" s="25">
        <v>5.58</v>
      </c>
      <c r="D378" s="96"/>
    </row>
    <row r="379" spans="1:4" ht="31.5" outlineLevel="1">
      <c r="A379" s="25" t="s">
        <v>1021</v>
      </c>
      <c r="B379" s="26" t="s">
        <v>18</v>
      </c>
      <c r="C379" s="25">
        <v>5.54</v>
      </c>
      <c r="D379" s="96"/>
    </row>
    <row r="380" spans="1:4" ht="31.5" outlineLevel="1">
      <c r="A380" s="25" t="s">
        <v>1021</v>
      </c>
      <c r="B380" s="26" t="s">
        <v>19</v>
      </c>
      <c r="C380" s="25">
        <v>5.55</v>
      </c>
      <c r="D380" s="96"/>
    </row>
    <row r="381" spans="1:4" ht="31.5" outlineLevel="1">
      <c r="A381" s="25" t="s">
        <v>1021</v>
      </c>
      <c r="B381" s="26" t="s">
        <v>20</v>
      </c>
      <c r="C381" s="25">
        <v>5.63</v>
      </c>
      <c r="D381" s="96"/>
    </row>
    <row r="382" spans="1:4" ht="31.5" outlineLevel="1">
      <c r="A382" s="25" t="s">
        <v>1021</v>
      </c>
      <c r="B382" s="26" t="s">
        <v>21</v>
      </c>
      <c r="C382" s="25">
        <v>5.65</v>
      </c>
      <c r="D382" s="96"/>
    </row>
    <row r="383" spans="1:4" ht="31.5" outlineLevel="1">
      <c r="A383" s="25" t="s">
        <v>1021</v>
      </c>
      <c r="B383" s="26" t="s">
        <v>175</v>
      </c>
      <c r="C383" s="25">
        <v>5.66</v>
      </c>
      <c r="D383" s="96"/>
    </row>
    <row r="384" spans="1:4" ht="31.5" outlineLevel="1">
      <c r="A384" s="25" t="s">
        <v>1021</v>
      </c>
      <c r="B384" s="26" t="s">
        <v>22</v>
      </c>
      <c r="C384" s="25">
        <v>5.68</v>
      </c>
      <c r="D384" s="96"/>
    </row>
    <row r="385" spans="1:4" ht="31.5" outlineLevel="1">
      <c r="A385" s="25" t="s">
        <v>1021</v>
      </c>
      <c r="B385" s="26" t="s">
        <v>24</v>
      </c>
      <c r="C385" s="25">
        <v>5.47</v>
      </c>
      <c r="D385" s="96"/>
    </row>
    <row r="386" spans="1:4" ht="31.5" outlineLevel="1">
      <c r="A386" s="25" t="s">
        <v>1021</v>
      </c>
      <c r="B386" s="26" t="s">
        <v>25</v>
      </c>
      <c r="C386" s="25">
        <v>5.48</v>
      </c>
      <c r="D386" s="96"/>
    </row>
    <row r="387" spans="1:4" ht="31.5">
      <c r="A387" s="30" t="s">
        <v>1021</v>
      </c>
      <c r="B387" s="26"/>
      <c r="C387" s="25"/>
      <c r="D387" s="96"/>
    </row>
    <row r="388" spans="1:4" ht="15.75" outlineLevel="1">
      <c r="A388" s="25" t="s">
        <v>1023</v>
      </c>
      <c r="B388" s="26" t="s">
        <v>0</v>
      </c>
      <c r="C388" s="25">
        <v>5.0999999999999996</v>
      </c>
      <c r="D388" s="96"/>
    </row>
    <row r="389" spans="1:4" ht="15.75" outlineLevel="1">
      <c r="A389" s="25" t="s">
        <v>1023</v>
      </c>
      <c r="B389" s="26" t="s">
        <v>1</v>
      </c>
      <c r="C389" s="25">
        <v>5.2</v>
      </c>
      <c r="D389" s="96"/>
    </row>
    <row r="390" spans="1:4" ht="15.75" outlineLevel="1">
      <c r="A390" s="25" t="s">
        <v>1023</v>
      </c>
      <c r="B390" s="26" t="s">
        <v>2</v>
      </c>
      <c r="C390" s="25">
        <v>5.3</v>
      </c>
      <c r="D390" s="96"/>
    </row>
    <row r="391" spans="1:4" ht="15.75" outlineLevel="1">
      <c r="A391" s="25" t="s">
        <v>1023</v>
      </c>
      <c r="B391" s="26" t="s">
        <v>156</v>
      </c>
      <c r="C391" s="25">
        <v>5.6</v>
      </c>
      <c r="D391" s="96"/>
    </row>
    <row r="392" spans="1:4" ht="15.75" outlineLevel="1">
      <c r="A392" s="25" t="s">
        <v>1023</v>
      </c>
      <c r="B392" s="26" t="s">
        <v>1114</v>
      </c>
      <c r="C392" s="27">
        <v>5.0999999999999996</v>
      </c>
      <c r="D392" s="96"/>
    </row>
    <row r="393" spans="1:4" ht="15.75" outlineLevel="1">
      <c r="A393" s="25" t="s">
        <v>1023</v>
      </c>
      <c r="B393" s="26" t="s">
        <v>1113</v>
      </c>
      <c r="C393" s="25">
        <v>5.14</v>
      </c>
      <c r="D393" s="96"/>
    </row>
    <row r="394" spans="1:4" ht="15.75" outlineLevel="1">
      <c r="A394" s="25" t="s">
        <v>1023</v>
      </c>
      <c r="B394" s="26" t="s">
        <v>4</v>
      </c>
      <c r="C394" s="25">
        <v>5.19</v>
      </c>
      <c r="D394" s="96"/>
    </row>
    <row r="395" spans="1:4" ht="15.75" outlineLevel="1">
      <c r="A395" s="25" t="s">
        <v>1023</v>
      </c>
      <c r="B395" s="26" t="s">
        <v>158</v>
      </c>
      <c r="C395" s="25">
        <v>5.24</v>
      </c>
      <c r="D395" s="96"/>
    </row>
    <row r="396" spans="1:4" ht="15.75" outlineLevel="1">
      <c r="A396" s="25" t="s">
        <v>1023</v>
      </c>
      <c r="B396" s="26" t="s">
        <v>5</v>
      </c>
      <c r="C396" s="25">
        <v>5.26</v>
      </c>
      <c r="D396" s="96"/>
    </row>
    <row r="397" spans="1:4" ht="15.75" outlineLevel="1">
      <c r="A397" s="25" t="s">
        <v>1023</v>
      </c>
      <c r="B397" s="26" t="s">
        <v>6</v>
      </c>
      <c r="C397" s="25">
        <v>5.27</v>
      </c>
      <c r="D397" s="96"/>
    </row>
    <row r="398" spans="1:4" ht="15.75" outlineLevel="1">
      <c r="A398" s="25" t="s">
        <v>1023</v>
      </c>
      <c r="B398" s="26" t="s">
        <v>7</v>
      </c>
      <c r="C398" s="25">
        <v>5.28</v>
      </c>
      <c r="D398" s="96"/>
    </row>
    <row r="399" spans="1:4" ht="15.75" outlineLevel="1">
      <c r="A399" s="25" t="s">
        <v>1023</v>
      </c>
      <c r="B399" s="26" t="s">
        <v>333</v>
      </c>
      <c r="C399" s="25">
        <v>5.29</v>
      </c>
      <c r="D399" s="96"/>
    </row>
    <row r="400" spans="1:4" ht="15.75" outlineLevel="1">
      <c r="A400" s="25" t="s">
        <v>1023</v>
      </c>
      <c r="B400" s="26" t="s">
        <v>159</v>
      </c>
      <c r="C400" s="25">
        <v>5.31</v>
      </c>
      <c r="D400" s="96"/>
    </row>
    <row r="401" spans="1:4" ht="15.75" outlineLevel="1">
      <c r="A401" s="25" t="s">
        <v>1023</v>
      </c>
      <c r="B401" s="26" t="s">
        <v>125</v>
      </c>
      <c r="C401" s="25">
        <v>5.36</v>
      </c>
      <c r="D401" s="96"/>
    </row>
    <row r="402" spans="1:4" ht="15.75" outlineLevel="1">
      <c r="A402" s="25" t="s">
        <v>1023</v>
      </c>
      <c r="B402" s="26" t="s">
        <v>167</v>
      </c>
      <c r="C402" s="25">
        <v>5.37</v>
      </c>
      <c r="D402" s="96"/>
    </row>
    <row r="403" spans="1:4" ht="15.75" outlineLevel="1">
      <c r="A403" s="25" t="s">
        <v>1023</v>
      </c>
      <c r="B403" s="26" t="s">
        <v>9</v>
      </c>
      <c r="C403" s="25">
        <v>5.49</v>
      </c>
      <c r="D403" s="96"/>
    </row>
    <row r="404" spans="1:4" ht="15.75" outlineLevel="1">
      <c r="A404" s="25" t="s">
        <v>1023</v>
      </c>
      <c r="B404" s="26" t="s">
        <v>10</v>
      </c>
      <c r="C404" s="25">
        <v>5.51</v>
      </c>
      <c r="D404" s="96"/>
    </row>
    <row r="405" spans="1:4" ht="15.75" outlineLevel="1">
      <c r="A405" s="25" t="s">
        <v>1023</v>
      </c>
      <c r="B405" s="26" t="s">
        <v>1115</v>
      </c>
      <c r="C405" s="25">
        <v>5.52</v>
      </c>
      <c r="D405" s="96"/>
    </row>
    <row r="406" spans="1:4" ht="15.75" outlineLevel="1">
      <c r="A406" s="25" t="s">
        <v>1023</v>
      </c>
      <c r="B406" s="26" t="s">
        <v>11</v>
      </c>
      <c r="C406" s="25">
        <v>5.53</v>
      </c>
      <c r="D406" s="96"/>
    </row>
    <row r="407" spans="1:4" ht="15.75" outlineLevel="1">
      <c r="A407" s="25" t="s">
        <v>1023</v>
      </c>
      <c r="B407" s="26" t="s">
        <v>12</v>
      </c>
      <c r="C407" s="25">
        <v>5.69</v>
      </c>
      <c r="D407" s="96"/>
    </row>
    <row r="408" spans="1:4" ht="15.75" outlineLevel="1">
      <c r="A408" s="25" t="s">
        <v>1023</v>
      </c>
      <c r="B408" s="26" t="s">
        <v>13</v>
      </c>
      <c r="C408" s="25">
        <v>5.75</v>
      </c>
      <c r="D408" s="96"/>
    </row>
    <row r="409" spans="1:4" ht="15.75" outlineLevel="1">
      <c r="A409" s="25" t="s">
        <v>1023</v>
      </c>
      <c r="B409" s="26" t="s">
        <v>15</v>
      </c>
      <c r="C409" s="25">
        <v>5.74</v>
      </c>
      <c r="D409" s="96"/>
    </row>
    <row r="410" spans="1:4" ht="15.75" outlineLevel="1">
      <c r="A410" s="25" t="s">
        <v>1023</v>
      </c>
      <c r="B410" s="26" t="s">
        <v>14</v>
      </c>
      <c r="C410" s="27">
        <v>5.7</v>
      </c>
      <c r="D410" s="96"/>
    </row>
    <row r="411" spans="1:4" ht="15.75" outlineLevel="1">
      <c r="A411" s="25" t="s">
        <v>1023</v>
      </c>
      <c r="B411" s="26" t="s">
        <v>417</v>
      </c>
      <c r="C411" s="25">
        <v>5.76</v>
      </c>
      <c r="D411" s="96"/>
    </row>
    <row r="412" spans="1:4" ht="15.75" outlineLevel="1">
      <c r="A412" s="25" t="s">
        <v>1023</v>
      </c>
      <c r="B412" s="26" t="s">
        <v>839</v>
      </c>
      <c r="C412" s="25">
        <v>5.89</v>
      </c>
      <c r="D412" s="95" t="s">
        <v>1112</v>
      </c>
    </row>
    <row r="413" spans="1:4" ht="15.75" outlineLevel="1">
      <c r="A413" s="25" t="s">
        <v>1023</v>
      </c>
      <c r="B413" s="26" t="s">
        <v>160</v>
      </c>
      <c r="C413" s="25">
        <v>5.109</v>
      </c>
      <c r="D413" s="96"/>
    </row>
    <row r="414" spans="1:4" ht="15.75" outlineLevel="1">
      <c r="A414" s="25" t="s">
        <v>1023</v>
      </c>
      <c r="B414" s="26" t="s">
        <v>161</v>
      </c>
      <c r="C414" s="25">
        <v>5.1109999999999998</v>
      </c>
      <c r="D414" s="96"/>
    </row>
    <row r="415" spans="1:4" ht="15.75" outlineLevel="1">
      <c r="A415" s="25" t="s">
        <v>1023</v>
      </c>
      <c r="B415" s="26" t="s">
        <v>134</v>
      </c>
      <c r="C415" s="25">
        <v>5.1120000000000001</v>
      </c>
      <c r="D415" s="96"/>
    </row>
    <row r="416" spans="1:4" ht="15.75" outlineLevel="1">
      <c r="A416" s="25" t="s">
        <v>1023</v>
      </c>
      <c r="B416" s="26" t="s">
        <v>1127</v>
      </c>
      <c r="C416" s="25">
        <v>5.1130000000000004</v>
      </c>
      <c r="D416" s="96"/>
    </row>
    <row r="417" spans="1:4" ht="15.75" outlineLevel="1">
      <c r="A417" s="25" t="s">
        <v>1023</v>
      </c>
      <c r="B417" s="26" t="s">
        <v>17</v>
      </c>
      <c r="C417" s="25">
        <v>5.58</v>
      </c>
      <c r="D417" s="96"/>
    </row>
    <row r="418" spans="1:4" ht="15.75" outlineLevel="1">
      <c r="A418" s="25" t="s">
        <v>1023</v>
      </c>
      <c r="B418" s="26" t="s">
        <v>18</v>
      </c>
      <c r="C418" s="25">
        <v>5.54</v>
      </c>
      <c r="D418" s="96"/>
    </row>
    <row r="419" spans="1:4" ht="15.75" outlineLevel="1">
      <c r="A419" s="25" t="s">
        <v>1023</v>
      </c>
      <c r="B419" s="26" t="s">
        <v>19</v>
      </c>
      <c r="C419" s="25">
        <v>5.55</v>
      </c>
      <c r="D419" s="96"/>
    </row>
    <row r="420" spans="1:4" ht="15.75" outlineLevel="1">
      <c r="A420" s="25" t="s">
        <v>1023</v>
      </c>
      <c r="B420" s="26" t="s">
        <v>20</v>
      </c>
      <c r="C420" s="25">
        <v>5.63</v>
      </c>
      <c r="D420" s="96"/>
    </row>
    <row r="421" spans="1:4" ht="15.75" outlineLevel="1">
      <c r="A421" s="25" t="s">
        <v>1023</v>
      </c>
      <c r="B421" s="26" t="s">
        <v>21</v>
      </c>
      <c r="C421" s="25">
        <v>5.65</v>
      </c>
      <c r="D421" s="96"/>
    </row>
    <row r="422" spans="1:4" ht="15.75" outlineLevel="1">
      <c r="A422" s="25" t="s">
        <v>1023</v>
      </c>
      <c r="B422" s="26" t="s">
        <v>175</v>
      </c>
      <c r="C422" s="25">
        <v>5.66</v>
      </c>
      <c r="D422" s="96"/>
    </row>
    <row r="423" spans="1:4" ht="15.75" outlineLevel="1">
      <c r="A423" s="25" t="s">
        <v>1023</v>
      </c>
      <c r="B423" s="26" t="s">
        <v>22</v>
      </c>
      <c r="C423" s="25">
        <v>5.68</v>
      </c>
      <c r="D423" s="96"/>
    </row>
    <row r="424" spans="1:4" ht="15.75" outlineLevel="1">
      <c r="A424" s="25" t="s">
        <v>1023</v>
      </c>
      <c r="B424" s="26" t="s">
        <v>24</v>
      </c>
      <c r="C424" s="25">
        <v>5.47</v>
      </c>
      <c r="D424" s="96"/>
    </row>
    <row r="425" spans="1:4" ht="15.75" outlineLevel="1">
      <c r="A425" s="25" t="s">
        <v>1023</v>
      </c>
      <c r="B425" s="26" t="s">
        <v>25</v>
      </c>
      <c r="C425" s="25">
        <v>5.48</v>
      </c>
      <c r="D425" s="96"/>
    </row>
    <row r="426" spans="1:4" ht="15.75">
      <c r="A426" s="30" t="s">
        <v>1023</v>
      </c>
      <c r="B426" s="26"/>
      <c r="C426" s="25"/>
      <c r="D426" s="96"/>
    </row>
    <row r="427" spans="1:4" ht="31.5" outlineLevel="1">
      <c r="A427" s="25" t="s">
        <v>1128</v>
      </c>
      <c r="B427" s="26" t="s">
        <v>0</v>
      </c>
      <c r="C427" s="25">
        <v>5.0999999999999996</v>
      </c>
      <c r="D427" s="96"/>
    </row>
    <row r="428" spans="1:4" ht="31.5" outlineLevel="1">
      <c r="A428" s="25" t="s">
        <v>1128</v>
      </c>
      <c r="B428" s="26" t="s">
        <v>1</v>
      </c>
      <c r="C428" s="25">
        <v>5.2</v>
      </c>
      <c r="D428" s="96"/>
    </row>
    <row r="429" spans="1:4" ht="31.5" outlineLevel="1">
      <c r="A429" s="25" t="s">
        <v>1128</v>
      </c>
      <c r="B429" s="26" t="s">
        <v>2</v>
      </c>
      <c r="C429" s="25">
        <v>5.3</v>
      </c>
      <c r="D429" s="96"/>
    </row>
    <row r="430" spans="1:4" ht="31.5" outlineLevel="1">
      <c r="A430" s="25" t="s">
        <v>1128</v>
      </c>
      <c r="B430" s="26" t="s">
        <v>156</v>
      </c>
      <c r="C430" s="25">
        <v>5.6</v>
      </c>
      <c r="D430" s="96"/>
    </row>
    <row r="431" spans="1:4" ht="31.5" outlineLevel="1">
      <c r="A431" s="25" t="s">
        <v>1128</v>
      </c>
      <c r="B431" s="26" t="s">
        <v>1114</v>
      </c>
      <c r="C431" s="27">
        <v>5.0999999999999996</v>
      </c>
      <c r="D431" s="96"/>
    </row>
    <row r="432" spans="1:4" ht="31.5" outlineLevel="1">
      <c r="A432" s="25" t="s">
        <v>1128</v>
      </c>
      <c r="B432" s="26" t="s">
        <v>1113</v>
      </c>
      <c r="C432" s="25">
        <v>5.14</v>
      </c>
      <c r="D432" s="96"/>
    </row>
    <row r="433" spans="1:4" ht="31.5" outlineLevel="1">
      <c r="A433" s="25" t="s">
        <v>1128</v>
      </c>
      <c r="B433" s="26" t="s">
        <v>4</v>
      </c>
      <c r="C433" s="25">
        <v>5.19</v>
      </c>
      <c r="D433" s="96"/>
    </row>
    <row r="434" spans="1:4" ht="31.5" outlineLevel="1">
      <c r="A434" s="25" t="s">
        <v>1128</v>
      </c>
      <c r="B434" s="26" t="s">
        <v>158</v>
      </c>
      <c r="C434" s="25">
        <v>5.24</v>
      </c>
      <c r="D434" s="96"/>
    </row>
    <row r="435" spans="1:4" ht="31.5" outlineLevel="1">
      <c r="A435" s="25" t="s">
        <v>1128</v>
      </c>
      <c r="B435" s="26" t="s">
        <v>5</v>
      </c>
      <c r="C435" s="25">
        <v>5.26</v>
      </c>
      <c r="D435" s="96"/>
    </row>
    <row r="436" spans="1:4" ht="31.5" outlineLevel="1">
      <c r="A436" s="25" t="s">
        <v>1128</v>
      </c>
      <c r="B436" s="26" t="s">
        <v>6</v>
      </c>
      <c r="C436" s="25">
        <v>5.27</v>
      </c>
      <c r="D436" s="96"/>
    </row>
    <row r="437" spans="1:4" ht="31.5" outlineLevel="1">
      <c r="A437" s="25" t="s">
        <v>1128</v>
      </c>
      <c r="B437" s="26" t="s">
        <v>7</v>
      </c>
      <c r="C437" s="25">
        <v>5.28</v>
      </c>
      <c r="D437" s="96"/>
    </row>
    <row r="438" spans="1:4" ht="31.5" outlineLevel="1">
      <c r="A438" s="25" t="s">
        <v>1128</v>
      </c>
      <c r="B438" s="26" t="s">
        <v>333</v>
      </c>
      <c r="C438" s="25">
        <v>5.29</v>
      </c>
      <c r="D438" s="96"/>
    </row>
    <row r="439" spans="1:4" ht="31.5" outlineLevel="1">
      <c r="A439" s="25" t="s">
        <v>1128</v>
      </c>
      <c r="B439" s="26" t="s">
        <v>159</v>
      </c>
      <c r="C439" s="25">
        <v>5.31</v>
      </c>
      <c r="D439" s="96"/>
    </row>
    <row r="440" spans="1:4" ht="31.5" outlineLevel="1">
      <c r="A440" s="25" t="s">
        <v>1128</v>
      </c>
      <c r="B440" s="26" t="s">
        <v>125</v>
      </c>
      <c r="C440" s="25">
        <v>5.36</v>
      </c>
      <c r="D440" s="96"/>
    </row>
    <row r="441" spans="1:4" ht="31.5" outlineLevel="1">
      <c r="A441" s="25" t="s">
        <v>1128</v>
      </c>
      <c r="B441" s="26" t="s">
        <v>167</v>
      </c>
      <c r="C441" s="25">
        <v>5.37</v>
      </c>
      <c r="D441" s="96"/>
    </row>
    <row r="442" spans="1:4" ht="31.5" outlineLevel="1">
      <c r="A442" s="25" t="s">
        <v>1128</v>
      </c>
      <c r="B442" s="26" t="s">
        <v>11</v>
      </c>
      <c r="C442" s="25">
        <v>5.53</v>
      </c>
      <c r="D442" s="96"/>
    </row>
    <row r="443" spans="1:4" ht="31.5" outlineLevel="1">
      <c r="A443" s="25" t="s">
        <v>1128</v>
      </c>
      <c r="B443" s="26" t="s">
        <v>160</v>
      </c>
      <c r="C443" s="25">
        <v>5.109</v>
      </c>
      <c r="D443" s="96"/>
    </row>
    <row r="444" spans="1:4" ht="31.5" outlineLevel="1">
      <c r="A444" s="25" t="s">
        <v>1128</v>
      </c>
      <c r="B444" s="26" t="s">
        <v>161</v>
      </c>
      <c r="C444" s="25">
        <v>5.1109999999999998</v>
      </c>
      <c r="D444" s="96"/>
    </row>
    <row r="445" spans="1:4" ht="31.5" outlineLevel="1">
      <c r="A445" s="25" t="s">
        <v>1128</v>
      </c>
      <c r="B445" s="26" t="s">
        <v>134</v>
      </c>
      <c r="C445" s="25">
        <v>5.1120000000000001</v>
      </c>
      <c r="D445" s="96"/>
    </row>
    <row r="446" spans="1:4" ht="31.5" outlineLevel="1">
      <c r="A446" s="25" t="s">
        <v>1128</v>
      </c>
      <c r="B446" s="26" t="s">
        <v>1127</v>
      </c>
      <c r="C446" s="25">
        <v>5.1130000000000004</v>
      </c>
      <c r="D446" s="96"/>
    </row>
    <row r="447" spans="1:4" ht="31.5" outlineLevel="1">
      <c r="A447" s="25" t="s">
        <v>1128</v>
      </c>
      <c r="B447" s="26" t="s">
        <v>17</v>
      </c>
      <c r="C447" s="25">
        <v>5.58</v>
      </c>
      <c r="D447" s="96"/>
    </row>
    <row r="448" spans="1:4" ht="31.5" outlineLevel="1">
      <c r="A448" s="25" t="s">
        <v>1128</v>
      </c>
      <c r="B448" s="26" t="s">
        <v>18</v>
      </c>
      <c r="C448" s="25">
        <v>5.54</v>
      </c>
      <c r="D448" s="96"/>
    </row>
    <row r="449" spans="1:4" ht="31.5" outlineLevel="1">
      <c r="A449" s="25" t="s">
        <v>1128</v>
      </c>
      <c r="B449" s="26" t="s">
        <v>19</v>
      </c>
      <c r="C449" s="25">
        <v>5.55</v>
      </c>
      <c r="D449" s="96"/>
    </row>
    <row r="450" spans="1:4" ht="31.5" outlineLevel="1">
      <c r="A450" s="25" t="s">
        <v>1128</v>
      </c>
      <c r="B450" s="26" t="s">
        <v>20</v>
      </c>
      <c r="C450" s="25">
        <v>5.63</v>
      </c>
      <c r="D450" s="96"/>
    </row>
    <row r="451" spans="1:4" ht="31.5" outlineLevel="1">
      <c r="A451" s="25" t="s">
        <v>1128</v>
      </c>
      <c r="B451" s="26" t="s">
        <v>24</v>
      </c>
      <c r="C451" s="25">
        <v>5.47</v>
      </c>
      <c r="D451" s="96"/>
    </row>
    <row r="452" spans="1:4" ht="31.5" outlineLevel="1">
      <c r="A452" s="25" t="s">
        <v>1128</v>
      </c>
      <c r="B452" s="26" t="s">
        <v>25</v>
      </c>
      <c r="C452" s="25">
        <v>5.48</v>
      </c>
      <c r="D452" s="96"/>
    </row>
    <row r="453" spans="1:4" ht="31.5">
      <c r="A453" s="30" t="s">
        <v>1128</v>
      </c>
      <c r="B453" s="26"/>
      <c r="C453" s="25"/>
      <c r="D453" s="96"/>
    </row>
    <row r="454" spans="1:4" ht="15.75" outlineLevel="1">
      <c r="A454" s="25" t="s">
        <v>783</v>
      </c>
      <c r="B454" s="26" t="s">
        <v>0</v>
      </c>
      <c r="C454" s="25">
        <v>5.0999999999999996</v>
      </c>
      <c r="D454" s="96"/>
    </row>
    <row r="455" spans="1:4" ht="15.75" outlineLevel="1">
      <c r="A455" s="25" t="s">
        <v>783</v>
      </c>
      <c r="B455" s="26" t="s">
        <v>1</v>
      </c>
      <c r="C455" s="25">
        <v>5.2</v>
      </c>
      <c r="D455" s="96"/>
    </row>
    <row r="456" spans="1:4" ht="15.75" outlineLevel="1">
      <c r="A456" s="25" t="s">
        <v>783</v>
      </c>
      <c r="B456" s="26" t="s">
        <v>199</v>
      </c>
      <c r="C456" s="25">
        <v>5.5</v>
      </c>
      <c r="D456" s="96"/>
    </row>
    <row r="457" spans="1:4" ht="15.75" outlineLevel="1">
      <c r="A457" s="25" t="s">
        <v>783</v>
      </c>
      <c r="B457" s="26" t="s">
        <v>200</v>
      </c>
      <c r="C457" s="25">
        <v>5.8</v>
      </c>
      <c r="D457" s="95" t="s">
        <v>1112</v>
      </c>
    </row>
    <row r="458" spans="1:4" ht="15.75" outlineLevel="1">
      <c r="A458" s="25" t="s">
        <v>783</v>
      </c>
      <c r="B458" s="26" t="s">
        <v>201</v>
      </c>
      <c r="C458" s="25">
        <v>5.12</v>
      </c>
      <c r="D458" s="95" t="s">
        <v>1112</v>
      </c>
    </row>
    <row r="459" spans="1:4" ht="15.75" outlineLevel="1">
      <c r="A459" s="25" t="s">
        <v>783</v>
      </c>
      <c r="B459" s="26" t="s">
        <v>202</v>
      </c>
      <c r="C459" s="25">
        <v>5.15</v>
      </c>
      <c r="D459" s="96"/>
    </row>
    <row r="460" spans="1:4" ht="15.75" outlineLevel="1">
      <c r="A460" s="25" t="s">
        <v>783</v>
      </c>
      <c r="B460" s="26" t="s">
        <v>203</v>
      </c>
      <c r="C460" s="27">
        <v>5.2</v>
      </c>
      <c r="D460" s="95"/>
    </row>
    <row r="461" spans="1:4" ht="15.75" outlineLevel="1">
      <c r="A461" s="25" t="s">
        <v>783</v>
      </c>
      <c r="B461" s="26" t="s">
        <v>204</v>
      </c>
      <c r="C461" s="25">
        <v>5.25</v>
      </c>
      <c r="D461" s="96"/>
    </row>
    <row r="462" spans="1:4" ht="15.75" outlineLevel="1">
      <c r="A462" s="25" t="s">
        <v>783</v>
      </c>
      <c r="B462" s="26" t="s">
        <v>5</v>
      </c>
      <c r="C462" s="25">
        <v>5.26</v>
      </c>
      <c r="D462" s="96"/>
    </row>
    <row r="463" spans="1:4" ht="15.75" outlineLevel="1">
      <c r="A463" s="25" t="s">
        <v>783</v>
      </c>
      <c r="B463" s="26" t="s">
        <v>840</v>
      </c>
      <c r="C463" s="25">
        <v>5.1139999999999999</v>
      </c>
      <c r="D463" s="95" t="s">
        <v>1112</v>
      </c>
    </row>
    <row r="464" spans="1:4" ht="15.75" outlineLevel="1">
      <c r="A464" s="25" t="s">
        <v>783</v>
      </c>
      <c r="B464" s="26" t="s">
        <v>6</v>
      </c>
      <c r="C464" s="25">
        <v>5.27</v>
      </c>
      <c r="D464" s="96"/>
    </row>
    <row r="465" spans="1:4" ht="15.75" outlineLevel="1">
      <c r="A465" s="25" t="s">
        <v>783</v>
      </c>
      <c r="B465" s="26" t="s">
        <v>1129</v>
      </c>
      <c r="C465" s="25">
        <v>5.1150000000000002</v>
      </c>
      <c r="D465" s="95" t="s">
        <v>1112</v>
      </c>
    </row>
    <row r="466" spans="1:4" ht="15.75" outlineLevel="1">
      <c r="A466" s="25" t="s">
        <v>783</v>
      </c>
      <c r="B466" s="26" t="s">
        <v>1130</v>
      </c>
      <c r="C466" s="25">
        <v>5.1159999999999997</v>
      </c>
      <c r="D466" s="95" t="s">
        <v>1112</v>
      </c>
    </row>
    <row r="467" spans="1:4" ht="15.75" outlineLevel="1">
      <c r="A467" s="25" t="s">
        <v>783</v>
      </c>
      <c r="B467" s="26" t="s">
        <v>7</v>
      </c>
      <c r="C467" s="25">
        <v>5.28</v>
      </c>
      <c r="D467" s="96"/>
    </row>
    <row r="468" spans="1:4" ht="15.75" outlineLevel="1">
      <c r="A468" s="25" t="s">
        <v>783</v>
      </c>
      <c r="B468" s="26" t="s">
        <v>125</v>
      </c>
      <c r="C468" s="25">
        <v>5.36</v>
      </c>
      <c r="D468" s="96"/>
    </row>
    <row r="469" spans="1:4" ht="15.75" outlineLevel="1">
      <c r="A469" s="25" t="s">
        <v>783</v>
      </c>
      <c r="B469" s="26" t="s">
        <v>167</v>
      </c>
      <c r="C469" s="25">
        <v>5.37</v>
      </c>
      <c r="D469" s="96"/>
    </row>
    <row r="470" spans="1:4" ht="15.75" outlineLevel="1">
      <c r="A470" s="25" t="s">
        <v>783</v>
      </c>
      <c r="B470" s="26" t="s">
        <v>11</v>
      </c>
      <c r="C470" s="25">
        <v>5.53</v>
      </c>
      <c r="D470" s="96"/>
    </row>
    <row r="471" spans="1:4" ht="15.75" outlineLevel="1">
      <c r="A471" s="25" t="s">
        <v>783</v>
      </c>
      <c r="B471" s="26" t="s">
        <v>160</v>
      </c>
      <c r="C471" s="25">
        <v>5.109</v>
      </c>
      <c r="D471" s="96"/>
    </row>
    <row r="472" spans="1:4" ht="15.75" outlineLevel="1">
      <c r="A472" s="25" t="s">
        <v>783</v>
      </c>
      <c r="B472" s="26" t="s">
        <v>161</v>
      </c>
      <c r="C472" s="25">
        <v>5.1109999999999998</v>
      </c>
      <c r="D472" s="96"/>
    </row>
    <row r="473" spans="1:4" ht="15.75" outlineLevel="1">
      <c r="A473" s="25" t="s">
        <v>783</v>
      </c>
      <c r="B473" s="26" t="s">
        <v>134</v>
      </c>
      <c r="C473" s="25">
        <v>5.1120000000000001</v>
      </c>
      <c r="D473" s="96"/>
    </row>
    <row r="474" spans="1:4" ht="15.75" outlineLevel="1">
      <c r="A474" s="25" t="s">
        <v>783</v>
      </c>
      <c r="B474" s="26" t="s">
        <v>18</v>
      </c>
      <c r="C474" s="25">
        <v>5.54</v>
      </c>
      <c r="D474" s="96"/>
    </row>
    <row r="475" spans="1:4" ht="15.75" outlineLevel="1">
      <c r="A475" s="25" t="s">
        <v>783</v>
      </c>
      <c r="B475" s="26" t="s">
        <v>1131</v>
      </c>
      <c r="C475" s="25">
        <v>5.61</v>
      </c>
      <c r="D475" s="96"/>
    </row>
    <row r="476" spans="1:4" ht="15.75" outlineLevel="1">
      <c r="A476" s="25" t="s">
        <v>783</v>
      </c>
      <c r="B476" s="26" t="s">
        <v>20</v>
      </c>
      <c r="C476" s="25">
        <v>5.63</v>
      </c>
      <c r="D476" s="96"/>
    </row>
    <row r="477" spans="1:4" ht="15.75" outlineLevel="1">
      <c r="A477" s="25" t="s">
        <v>783</v>
      </c>
      <c r="B477" s="26" t="s">
        <v>1132</v>
      </c>
      <c r="C477" s="25">
        <v>5.46</v>
      </c>
      <c r="D477" s="96"/>
    </row>
    <row r="478" spans="1:4" ht="15.75" outlineLevel="1">
      <c r="A478" s="25" t="s">
        <v>783</v>
      </c>
      <c r="B478" s="26" t="s">
        <v>24</v>
      </c>
      <c r="C478" s="25">
        <v>5.47</v>
      </c>
      <c r="D478" s="96"/>
    </row>
    <row r="479" spans="1:4" ht="15.75" outlineLevel="1">
      <c r="A479" s="25" t="s">
        <v>783</v>
      </c>
      <c r="B479" s="26" t="s">
        <v>25</v>
      </c>
      <c r="C479" s="25">
        <v>5.48</v>
      </c>
      <c r="D479" s="96"/>
    </row>
    <row r="480" spans="1:4" ht="15.75">
      <c r="A480" s="30" t="s">
        <v>783</v>
      </c>
      <c r="B480" s="26"/>
      <c r="C480" s="25"/>
      <c r="D480" s="96"/>
    </row>
    <row r="481" spans="1:4" ht="15.75" outlineLevel="1">
      <c r="A481" s="25" t="s">
        <v>1133</v>
      </c>
      <c r="B481" s="26" t="s">
        <v>0</v>
      </c>
      <c r="C481" s="25">
        <v>5.0999999999999996</v>
      </c>
      <c r="D481" s="96"/>
    </row>
    <row r="482" spans="1:4" ht="15.75" outlineLevel="1">
      <c r="A482" s="25" t="s">
        <v>1133</v>
      </c>
      <c r="B482" s="26" t="s">
        <v>1</v>
      </c>
      <c r="C482" s="25">
        <v>5.2</v>
      </c>
      <c r="D482" s="96"/>
    </row>
    <row r="483" spans="1:4" ht="15.75" outlineLevel="1">
      <c r="A483" s="25" t="s">
        <v>1133</v>
      </c>
      <c r="B483" s="26" t="s">
        <v>2</v>
      </c>
      <c r="C483" s="25">
        <v>5.3</v>
      </c>
      <c r="D483" s="96"/>
    </row>
    <row r="484" spans="1:4" ht="15.75" outlineLevel="1">
      <c r="A484" s="25" t="s">
        <v>1133</v>
      </c>
      <c r="B484" s="26" t="s">
        <v>156</v>
      </c>
      <c r="C484" s="25">
        <v>5.6</v>
      </c>
      <c r="D484" s="96"/>
    </row>
    <row r="485" spans="1:4" ht="15.75" outlineLevel="1">
      <c r="A485" s="25" t="s">
        <v>1133</v>
      </c>
      <c r="B485" s="26" t="s">
        <v>1114</v>
      </c>
      <c r="C485" s="27">
        <v>5.0999999999999996</v>
      </c>
      <c r="D485" s="96"/>
    </row>
    <row r="486" spans="1:4" ht="15.75" outlineLevel="1">
      <c r="A486" s="25" t="s">
        <v>1133</v>
      </c>
      <c r="B486" s="26" t="s">
        <v>1113</v>
      </c>
      <c r="C486" s="25">
        <v>5.14</v>
      </c>
      <c r="D486" s="96"/>
    </row>
    <row r="487" spans="1:4" ht="15.75" outlineLevel="1">
      <c r="A487" s="25" t="s">
        <v>1133</v>
      </c>
      <c r="B487" s="26" t="s">
        <v>4</v>
      </c>
      <c r="C487" s="25">
        <v>5.19</v>
      </c>
      <c r="D487" s="96"/>
    </row>
    <row r="488" spans="1:4" ht="15.75" outlineLevel="1">
      <c r="A488" s="25" t="s">
        <v>1133</v>
      </c>
      <c r="B488" s="26" t="s">
        <v>158</v>
      </c>
      <c r="C488" s="25">
        <v>5.24</v>
      </c>
      <c r="D488" s="96"/>
    </row>
    <row r="489" spans="1:4" ht="15.75" outlineLevel="1">
      <c r="A489" s="25" t="s">
        <v>1133</v>
      </c>
      <c r="B489" s="26" t="s">
        <v>6</v>
      </c>
      <c r="C489" s="25">
        <v>5.27</v>
      </c>
      <c r="D489" s="96"/>
    </row>
    <row r="490" spans="1:4" ht="15.75" outlineLevel="1">
      <c r="A490" s="25" t="s">
        <v>1133</v>
      </c>
      <c r="B490" s="26" t="s">
        <v>7</v>
      </c>
      <c r="C490" s="25">
        <v>5.28</v>
      </c>
      <c r="D490" s="96"/>
    </row>
    <row r="491" spans="1:4" ht="15.75" outlineLevel="1">
      <c r="A491" s="25" t="s">
        <v>1133</v>
      </c>
      <c r="B491" s="26" t="s">
        <v>333</v>
      </c>
      <c r="C491" s="25">
        <v>5.29</v>
      </c>
      <c r="D491" s="96"/>
    </row>
    <row r="492" spans="1:4" ht="15.75" outlineLevel="1">
      <c r="A492" s="25" t="s">
        <v>1133</v>
      </c>
      <c r="B492" s="26" t="s">
        <v>1118</v>
      </c>
      <c r="C492" s="25">
        <v>5.34</v>
      </c>
      <c r="D492" s="96"/>
    </row>
    <row r="493" spans="1:4" ht="15.75" outlineLevel="1">
      <c r="A493" s="25" t="s">
        <v>1133</v>
      </c>
      <c r="B493" s="26" t="s">
        <v>159</v>
      </c>
      <c r="C493" s="25">
        <v>5.31</v>
      </c>
      <c r="D493" s="96"/>
    </row>
    <row r="494" spans="1:4" ht="15.75" outlineLevel="1">
      <c r="A494" s="25" t="s">
        <v>1133</v>
      </c>
      <c r="B494" s="26" t="s">
        <v>1119</v>
      </c>
      <c r="C494" s="25">
        <v>5.101</v>
      </c>
      <c r="D494" s="96"/>
    </row>
    <row r="495" spans="1:4" ht="15.75" outlineLevel="1">
      <c r="A495" s="25" t="s">
        <v>1133</v>
      </c>
      <c r="B495" s="26" t="s">
        <v>125</v>
      </c>
      <c r="C495" s="25">
        <v>5.36</v>
      </c>
      <c r="D495" s="96"/>
    </row>
    <row r="496" spans="1:4" ht="15.75" outlineLevel="1">
      <c r="A496" s="25" t="s">
        <v>1133</v>
      </c>
      <c r="B496" s="26" t="s">
        <v>167</v>
      </c>
      <c r="C496" s="25">
        <v>5.37</v>
      </c>
      <c r="D496" s="96"/>
    </row>
    <row r="497" spans="1:4" ht="15.75" outlineLevel="1">
      <c r="A497" s="25" t="s">
        <v>1133</v>
      </c>
      <c r="B497" s="26" t="s">
        <v>11</v>
      </c>
      <c r="C497" s="25">
        <v>5.53</v>
      </c>
      <c r="D497" s="96"/>
    </row>
    <row r="498" spans="1:4" ht="15.75" outlineLevel="1">
      <c r="A498" s="25" t="s">
        <v>1133</v>
      </c>
      <c r="B498" s="26" t="s">
        <v>160</v>
      </c>
      <c r="C498" s="25">
        <v>5.109</v>
      </c>
      <c r="D498" s="96"/>
    </row>
    <row r="499" spans="1:4" ht="15.75" outlineLevel="1">
      <c r="A499" s="25" t="s">
        <v>1133</v>
      </c>
      <c r="B499" s="26" t="s">
        <v>161</v>
      </c>
      <c r="C499" s="25">
        <v>5.1109999999999998</v>
      </c>
      <c r="D499" s="96"/>
    </row>
    <row r="500" spans="1:4" ht="15.75" outlineLevel="1">
      <c r="A500" s="25" t="s">
        <v>1133</v>
      </c>
      <c r="B500" s="26" t="s">
        <v>134</v>
      </c>
      <c r="C500" s="25">
        <v>5.1120000000000001</v>
      </c>
      <c r="D500" s="96"/>
    </row>
    <row r="501" spans="1:4" ht="15.75" outlineLevel="1">
      <c r="A501" s="25" t="s">
        <v>1133</v>
      </c>
      <c r="B501" s="26" t="s">
        <v>1120</v>
      </c>
      <c r="C501" s="25">
        <v>5.1020000000000003</v>
      </c>
      <c r="D501" s="96"/>
    </row>
    <row r="502" spans="1:4" ht="15.75" outlineLevel="1">
      <c r="A502" s="25" t="s">
        <v>1133</v>
      </c>
      <c r="B502" s="26" t="s">
        <v>1121</v>
      </c>
      <c r="C502" s="28">
        <v>5.0999999999999996</v>
      </c>
      <c r="D502" s="96"/>
    </row>
    <row r="503" spans="1:4" ht="15.75" outlineLevel="1">
      <c r="A503" s="25" t="s">
        <v>1133</v>
      </c>
      <c r="B503" s="26" t="s">
        <v>17</v>
      </c>
      <c r="C503" s="25">
        <v>5.58</v>
      </c>
      <c r="D503" s="96"/>
    </row>
    <row r="504" spans="1:4" ht="15.75" outlineLevel="1">
      <c r="A504" s="25" t="s">
        <v>1133</v>
      </c>
      <c r="B504" s="26" t="s">
        <v>19</v>
      </c>
      <c r="C504" s="25">
        <v>5.55</v>
      </c>
      <c r="D504" s="96"/>
    </row>
    <row r="505" spans="1:4" ht="15.75" outlineLevel="1">
      <c r="A505" s="25" t="s">
        <v>1133</v>
      </c>
      <c r="B505" s="26" t="s">
        <v>18</v>
      </c>
      <c r="C505" s="25">
        <v>5.54</v>
      </c>
      <c r="D505" s="96"/>
    </row>
    <row r="506" spans="1:4" ht="15.75" outlineLevel="1">
      <c r="A506" s="25" t="s">
        <v>1133</v>
      </c>
      <c r="B506" s="26" t="s">
        <v>20</v>
      </c>
      <c r="C506" s="25">
        <v>5.63</v>
      </c>
      <c r="D506" s="96"/>
    </row>
    <row r="507" spans="1:4" ht="15.75" outlineLevel="1">
      <c r="A507" s="25" t="s">
        <v>1133</v>
      </c>
      <c r="B507" s="26" t="s">
        <v>24</v>
      </c>
      <c r="C507" s="25">
        <v>5.47</v>
      </c>
      <c r="D507" s="96"/>
    </row>
    <row r="508" spans="1:4" ht="15.75" outlineLevel="1">
      <c r="A508" s="25" t="s">
        <v>1133</v>
      </c>
      <c r="B508" s="26" t="s">
        <v>25</v>
      </c>
      <c r="C508" s="25">
        <v>5.48</v>
      </c>
      <c r="D508" s="96"/>
    </row>
    <row r="509" spans="1:4" ht="15.75">
      <c r="A509" s="30" t="s">
        <v>1133</v>
      </c>
      <c r="B509" s="26"/>
      <c r="C509" s="25"/>
      <c r="D509" s="96"/>
    </row>
    <row r="510" spans="1:4" ht="15.75" outlineLevel="1">
      <c r="A510" s="25" t="s">
        <v>1041</v>
      </c>
      <c r="B510" s="26" t="s">
        <v>0</v>
      </c>
      <c r="C510" s="25">
        <v>5.0999999999999996</v>
      </c>
      <c r="D510" s="96"/>
    </row>
    <row r="511" spans="1:4" ht="15.75" outlineLevel="1">
      <c r="A511" s="25" t="s">
        <v>1041</v>
      </c>
      <c r="B511" s="26" t="s">
        <v>1</v>
      </c>
      <c r="C511" s="25">
        <v>5.2</v>
      </c>
      <c r="D511" s="96"/>
    </row>
    <row r="512" spans="1:4" ht="15.75" outlineLevel="1">
      <c r="A512" s="25" t="s">
        <v>1041</v>
      </c>
      <c r="B512" s="26" t="s">
        <v>2</v>
      </c>
      <c r="C512" s="25">
        <v>5.3</v>
      </c>
      <c r="D512" s="96"/>
    </row>
    <row r="513" spans="1:4" ht="15.75" outlineLevel="1">
      <c r="A513" s="25" t="s">
        <v>1041</v>
      </c>
      <c r="B513" s="26" t="s">
        <v>156</v>
      </c>
      <c r="C513" s="25">
        <v>5.6</v>
      </c>
      <c r="D513" s="96"/>
    </row>
    <row r="514" spans="1:4" ht="15.75" outlineLevel="1">
      <c r="A514" s="25" t="s">
        <v>1041</v>
      </c>
      <c r="B514" s="26" t="s">
        <v>1114</v>
      </c>
      <c r="C514" s="27">
        <v>5.0999999999999996</v>
      </c>
      <c r="D514" s="96"/>
    </row>
    <row r="515" spans="1:4" ht="15.75" outlineLevel="1">
      <c r="A515" s="25" t="s">
        <v>1041</v>
      </c>
      <c r="B515" s="26" t="s">
        <v>1113</v>
      </c>
      <c r="C515" s="25">
        <v>5.14</v>
      </c>
      <c r="D515" s="96"/>
    </row>
    <row r="516" spans="1:4" ht="15.75" outlineLevel="1">
      <c r="A516" s="25" t="s">
        <v>1041</v>
      </c>
      <c r="B516" s="26" t="s">
        <v>4</v>
      </c>
      <c r="C516" s="25">
        <v>5.19</v>
      </c>
      <c r="D516" s="96"/>
    </row>
    <row r="517" spans="1:4" ht="15.75" outlineLevel="1">
      <c r="A517" s="25" t="s">
        <v>1041</v>
      </c>
      <c r="B517" s="26" t="s">
        <v>158</v>
      </c>
      <c r="C517" s="25">
        <v>5.24</v>
      </c>
      <c r="D517" s="96"/>
    </row>
    <row r="518" spans="1:4" ht="15.75" outlineLevel="1">
      <c r="A518" s="25" t="s">
        <v>1041</v>
      </c>
      <c r="B518" s="26" t="s">
        <v>5</v>
      </c>
      <c r="C518" s="25">
        <v>5.26</v>
      </c>
      <c r="D518" s="96"/>
    </row>
    <row r="519" spans="1:4" ht="15.75" outlineLevel="1">
      <c r="A519" s="25" t="s">
        <v>1041</v>
      </c>
      <c r="B519" s="26" t="s">
        <v>6</v>
      </c>
      <c r="C519" s="25">
        <v>5.27</v>
      </c>
      <c r="D519" s="96"/>
    </row>
    <row r="520" spans="1:4" ht="15.75" outlineLevel="1">
      <c r="A520" s="25" t="s">
        <v>1041</v>
      </c>
      <c r="B520" s="26" t="s">
        <v>7</v>
      </c>
      <c r="C520" s="25">
        <v>5.28</v>
      </c>
      <c r="D520" s="96"/>
    </row>
    <row r="521" spans="1:4" ht="15.75" outlineLevel="1">
      <c r="A521" s="25" t="s">
        <v>1041</v>
      </c>
      <c r="B521" s="26" t="s">
        <v>159</v>
      </c>
      <c r="C521" s="25">
        <v>5.31</v>
      </c>
      <c r="D521" s="96"/>
    </row>
    <row r="522" spans="1:4" ht="15.75" outlineLevel="1">
      <c r="A522" s="25" t="s">
        <v>1041</v>
      </c>
      <c r="B522" s="26" t="s">
        <v>182</v>
      </c>
      <c r="C522" s="25">
        <v>5.33</v>
      </c>
      <c r="D522" s="96"/>
    </row>
    <row r="523" spans="1:4" ht="15.75" outlineLevel="1">
      <c r="A523" s="25" t="s">
        <v>1041</v>
      </c>
      <c r="B523" s="26" t="s">
        <v>1119</v>
      </c>
      <c r="C523" s="25">
        <v>5.101</v>
      </c>
      <c r="D523" s="96"/>
    </row>
    <row r="524" spans="1:4" ht="15.75" outlineLevel="1">
      <c r="A524" s="25" t="s">
        <v>1041</v>
      </c>
      <c r="B524" s="26" t="s">
        <v>125</v>
      </c>
      <c r="C524" s="25">
        <v>5.36</v>
      </c>
      <c r="D524" s="96"/>
    </row>
    <row r="525" spans="1:4" ht="15.75" outlineLevel="1">
      <c r="A525" s="25" t="s">
        <v>1041</v>
      </c>
      <c r="B525" s="26" t="s">
        <v>167</v>
      </c>
      <c r="C525" s="25">
        <v>5.37</v>
      </c>
      <c r="D525" s="96"/>
    </row>
    <row r="526" spans="1:4" ht="15.75" outlineLevel="1">
      <c r="A526" s="25" t="s">
        <v>1041</v>
      </c>
      <c r="B526" s="26" t="s">
        <v>11</v>
      </c>
      <c r="C526" s="25">
        <v>5.53</v>
      </c>
      <c r="D526" s="96"/>
    </row>
    <row r="527" spans="1:4" ht="15.75" outlineLevel="1">
      <c r="A527" s="25" t="s">
        <v>1041</v>
      </c>
      <c r="B527" s="26" t="s">
        <v>160</v>
      </c>
      <c r="C527" s="25">
        <v>5.109</v>
      </c>
      <c r="D527" s="96"/>
    </row>
    <row r="528" spans="1:4" ht="15.75" outlineLevel="1">
      <c r="A528" s="25" t="s">
        <v>1041</v>
      </c>
      <c r="B528" s="26" t="s">
        <v>161</v>
      </c>
      <c r="C528" s="25">
        <v>5.1109999999999998</v>
      </c>
      <c r="D528" s="96"/>
    </row>
    <row r="529" spans="1:4" ht="15.75" outlineLevel="1">
      <c r="A529" s="25" t="s">
        <v>1041</v>
      </c>
      <c r="B529" s="26" t="s">
        <v>134</v>
      </c>
      <c r="C529" s="25">
        <v>5.1120000000000001</v>
      </c>
      <c r="D529" s="96"/>
    </row>
    <row r="530" spans="1:4" ht="15.75" outlineLevel="1">
      <c r="A530" s="25" t="s">
        <v>1041</v>
      </c>
      <c r="B530" s="26" t="s">
        <v>1120</v>
      </c>
      <c r="C530" s="25">
        <v>5.1020000000000003</v>
      </c>
      <c r="D530" s="96"/>
    </row>
    <row r="531" spans="1:4" ht="15.75" outlineLevel="1">
      <c r="A531" s="25" t="s">
        <v>1041</v>
      </c>
      <c r="B531" s="26" t="s">
        <v>1121</v>
      </c>
      <c r="C531" s="28">
        <v>5.0999999999999996</v>
      </c>
      <c r="D531" s="96"/>
    </row>
    <row r="532" spans="1:4" ht="15.75" outlineLevel="1">
      <c r="A532" s="25" t="s">
        <v>1041</v>
      </c>
      <c r="B532" s="26" t="s">
        <v>17</v>
      </c>
      <c r="C532" s="25">
        <v>5.58</v>
      </c>
      <c r="D532" s="96"/>
    </row>
    <row r="533" spans="1:4" ht="15.75" outlineLevel="1">
      <c r="A533" s="25" t="s">
        <v>1041</v>
      </c>
      <c r="B533" s="26" t="s">
        <v>19</v>
      </c>
      <c r="C533" s="25">
        <v>5.55</v>
      </c>
      <c r="D533" s="96"/>
    </row>
    <row r="534" spans="1:4" ht="15.75" outlineLevel="1">
      <c r="A534" s="25" t="s">
        <v>1041</v>
      </c>
      <c r="B534" s="26" t="s">
        <v>18</v>
      </c>
      <c r="C534" s="25">
        <v>5.54</v>
      </c>
      <c r="D534" s="96"/>
    </row>
    <row r="535" spans="1:4" ht="15.75" outlineLevel="1">
      <c r="A535" s="25" t="s">
        <v>1041</v>
      </c>
      <c r="B535" s="26" t="s">
        <v>20</v>
      </c>
      <c r="C535" s="25">
        <v>5.63</v>
      </c>
      <c r="D535" s="96"/>
    </row>
    <row r="536" spans="1:4" ht="15.75" outlineLevel="1">
      <c r="A536" s="25" t="s">
        <v>1041</v>
      </c>
      <c r="B536" s="26" t="s">
        <v>24</v>
      </c>
      <c r="C536" s="25">
        <v>5.47</v>
      </c>
      <c r="D536" s="96"/>
    </row>
    <row r="537" spans="1:4" ht="15.75" outlineLevel="1">
      <c r="A537" s="25" t="s">
        <v>1041</v>
      </c>
      <c r="B537" s="26" t="s">
        <v>25</v>
      </c>
      <c r="C537" s="25">
        <v>5.48</v>
      </c>
      <c r="D537" s="96"/>
    </row>
    <row r="538" spans="1:4" ht="15.75">
      <c r="A538" s="30" t="s">
        <v>1041</v>
      </c>
      <c r="B538" s="26"/>
      <c r="C538" s="25"/>
      <c r="D538" s="96"/>
    </row>
    <row r="539" spans="1:4" ht="15.75" outlineLevel="1">
      <c r="A539" s="25" t="s">
        <v>1050</v>
      </c>
      <c r="B539" s="26" t="s">
        <v>0</v>
      </c>
      <c r="C539" s="25">
        <v>5.0999999999999996</v>
      </c>
      <c r="D539" s="96"/>
    </row>
    <row r="540" spans="1:4" ht="15.75" outlineLevel="1">
      <c r="A540" s="25" t="s">
        <v>1050</v>
      </c>
      <c r="B540" s="26" t="s">
        <v>1</v>
      </c>
      <c r="C540" s="25">
        <v>5.2</v>
      </c>
      <c r="D540" s="96"/>
    </row>
    <row r="541" spans="1:4" ht="15.75" outlineLevel="1">
      <c r="A541" s="25" t="s">
        <v>1050</v>
      </c>
      <c r="B541" s="26" t="s">
        <v>5</v>
      </c>
      <c r="C541" s="25">
        <v>5.26</v>
      </c>
      <c r="D541" s="96"/>
    </row>
    <row r="542" spans="1:4" ht="15.75" outlineLevel="1">
      <c r="A542" s="25" t="s">
        <v>1050</v>
      </c>
      <c r="B542" s="26" t="s">
        <v>1134</v>
      </c>
      <c r="C542" s="25">
        <v>5.21</v>
      </c>
      <c r="D542" s="96"/>
    </row>
    <row r="543" spans="1:4" ht="15.75" outlineLevel="1">
      <c r="A543" s="25" t="s">
        <v>1050</v>
      </c>
      <c r="B543" s="26" t="s">
        <v>1135</v>
      </c>
      <c r="C543" s="25">
        <v>5.53</v>
      </c>
      <c r="D543" s="96"/>
    </row>
    <row r="544" spans="1:4" ht="15.75" outlineLevel="1">
      <c r="A544" s="25" t="s">
        <v>1050</v>
      </c>
      <c r="B544" s="26" t="s">
        <v>18</v>
      </c>
      <c r="C544" s="25">
        <v>5.54</v>
      </c>
      <c r="D544" s="96"/>
    </row>
    <row r="545" spans="1:4" ht="15.75" outlineLevel="1">
      <c r="A545" s="25" t="s">
        <v>1050</v>
      </c>
      <c r="B545" s="26" t="s">
        <v>1136</v>
      </c>
      <c r="C545" s="25">
        <v>5.58</v>
      </c>
      <c r="D545" s="96"/>
    </row>
    <row r="546" spans="1:4" ht="15.75" outlineLevel="1">
      <c r="A546" s="25" t="s">
        <v>1050</v>
      </c>
      <c r="B546" s="26" t="s">
        <v>1137</v>
      </c>
      <c r="C546" s="25">
        <v>5.1180000000000003</v>
      </c>
      <c r="D546" s="96"/>
    </row>
    <row r="547" spans="1:4" ht="15.75" outlineLevel="1">
      <c r="A547" s="25" t="s">
        <v>1050</v>
      </c>
      <c r="B547" s="26" t="s">
        <v>1138</v>
      </c>
      <c r="C547" s="25">
        <v>5.47</v>
      </c>
      <c r="D547" s="96"/>
    </row>
    <row r="548" spans="1:4" ht="15.75" outlineLevel="1">
      <c r="A548" s="25" t="s">
        <v>1050</v>
      </c>
      <c r="B548" s="26" t="s">
        <v>1139</v>
      </c>
      <c r="C548" s="25">
        <v>5.48</v>
      </c>
      <c r="D548" s="96"/>
    </row>
    <row r="549" spans="1:4" ht="15.75" outlineLevel="1">
      <c r="A549" s="25" t="s">
        <v>1050</v>
      </c>
      <c r="B549" s="26" t="s">
        <v>1140</v>
      </c>
      <c r="C549" s="25">
        <v>5.21</v>
      </c>
      <c r="D549" s="96"/>
    </row>
    <row r="550" spans="1:4" ht="15.75" outlineLevel="1">
      <c r="A550" s="25" t="s">
        <v>1050</v>
      </c>
      <c r="B550" s="26" t="s">
        <v>1141</v>
      </c>
      <c r="C550" s="25">
        <v>5.53</v>
      </c>
      <c r="D550" s="96"/>
    </row>
    <row r="551" spans="1:4" ht="15.75" outlineLevel="1">
      <c r="A551" s="25" t="s">
        <v>1050</v>
      </c>
      <c r="B551" s="26" t="s">
        <v>18</v>
      </c>
      <c r="C551" s="25">
        <v>5.54</v>
      </c>
      <c r="D551" s="96"/>
    </row>
    <row r="552" spans="1:4" ht="15.75" outlineLevel="1">
      <c r="A552" s="25" t="s">
        <v>1050</v>
      </c>
      <c r="B552" s="26" t="s">
        <v>1142</v>
      </c>
      <c r="C552" s="25">
        <v>5.58</v>
      </c>
      <c r="D552" s="96"/>
    </row>
    <row r="553" spans="1:4" ht="15.75" outlineLevel="1">
      <c r="A553" s="25" t="s">
        <v>1050</v>
      </c>
      <c r="B553" s="26" t="s">
        <v>1143</v>
      </c>
      <c r="C553" s="25">
        <v>5.1180000000000003</v>
      </c>
      <c r="D553" s="96"/>
    </row>
    <row r="554" spans="1:4" ht="15.75" outlineLevel="1">
      <c r="A554" s="25" t="s">
        <v>1050</v>
      </c>
      <c r="B554" s="26" t="s">
        <v>1144</v>
      </c>
      <c r="C554" s="25">
        <v>5.47</v>
      </c>
      <c r="D554" s="96"/>
    </row>
    <row r="555" spans="1:4" ht="15.75" outlineLevel="1">
      <c r="A555" s="25" t="s">
        <v>1050</v>
      </c>
      <c r="B555" s="26" t="s">
        <v>1145</v>
      </c>
      <c r="C555" s="25">
        <v>5.48</v>
      </c>
      <c r="D555" s="96"/>
    </row>
    <row r="556" spans="1:4" ht="15.75" outlineLevel="1">
      <c r="A556" s="25" t="s">
        <v>1050</v>
      </c>
      <c r="B556" s="26" t="s">
        <v>1146</v>
      </c>
      <c r="C556" s="25">
        <v>5.63</v>
      </c>
      <c r="D556" s="96"/>
    </row>
    <row r="557" spans="1:4" ht="15.75" outlineLevel="1">
      <c r="A557" s="25" t="s">
        <v>1050</v>
      </c>
      <c r="B557" s="26" t="s">
        <v>6</v>
      </c>
      <c r="C557" s="25">
        <v>5.27</v>
      </c>
      <c r="D557" s="96"/>
    </row>
    <row r="558" spans="1:4" ht="15.75" outlineLevel="1">
      <c r="A558" s="25" t="s">
        <v>1050</v>
      </c>
      <c r="B558" s="26" t="s">
        <v>7</v>
      </c>
      <c r="C558" s="25">
        <v>5.28</v>
      </c>
      <c r="D558" s="96"/>
    </row>
    <row r="559" spans="1:4" ht="15.75" outlineLevel="1">
      <c r="A559" s="25" t="s">
        <v>1050</v>
      </c>
      <c r="B559" s="26" t="s">
        <v>1147</v>
      </c>
      <c r="C559" s="25">
        <v>5.35</v>
      </c>
      <c r="D559" s="96"/>
    </row>
    <row r="560" spans="1:4" ht="15.75" outlineLevel="1">
      <c r="A560" s="25" t="s">
        <v>1050</v>
      </c>
      <c r="B560" s="26" t="s">
        <v>936</v>
      </c>
      <c r="C560" s="25">
        <v>5.1189999999999998</v>
      </c>
      <c r="D560" s="96"/>
    </row>
    <row r="561" spans="1:4" ht="15.75" outlineLevel="1">
      <c r="A561" s="25" t="s">
        <v>1050</v>
      </c>
      <c r="B561" s="26" t="s">
        <v>943</v>
      </c>
      <c r="C561" s="28">
        <v>5.12</v>
      </c>
      <c r="D561" s="96"/>
    </row>
    <row r="562" spans="1:4" ht="15.75" outlineLevel="1">
      <c r="A562" s="25" t="s">
        <v>1050</v>
      </c>
      <c r="B562" s="26" t="s">
        <v>331</v>
      </c>
      <c r="C562" s="25">
        <v>5.1210000000000004</v>
      </c>
      <c r="D562" s="96"/>
    </row>
    <row r="563" spans="1:4" ht="15.75" outlineLevel="1">
      <c r="A563" s="25" t="s">
        <v>1050</v>
      </c>
      <c r="B563" s="26" t="s">
        <v>125</v>
      </c>
      <c r="C563" s="25">
        <v>5.36</v>
      </c>
      <c r="D563" s="96"/>
    </row>
    <row r="564" spans="1:4" ht="15.75" outlineLevel="1">
      <c r="A564" s="25" t="s">
        <v>1050</v>
      </c>
      <c r="B564" s="26" t="s">
        <v>1148</v>
      </c>
      <c r="C564" s="25">
        <v>5.1219999999999999</v>
      </c>
      <c r="D564" s="96"/>
    </row>
    <row r="565" spans="1:4" ht="15.75" outlineLevel="1">
      <c r="A565" s="25" t="s">
        <v>1050</v>
      </c>
      <c r="B565" s="26" t="s">
        <v>1149</v>
      </c>
      <c r="C565" s="25">
        <v>5.1230000000000002</v>
      </c>
      <c r="D565" s="96"/>
    </row>
    <row r="566" spans="1:4" ht="15.75" outlineLevel="1">
      <c r="A566" s="25" t="s">
        <v>1050</v>
      </c>
      <c r="B566" s="26" t="s">
        <v>907</v>
      </c>
      <c r="C566" s="25">
        <v>5.1239999999999997</v>
      </c>
      <c r="D566" s="96"/>
    </row>
    <row r="567" spans="1:4" ht="15.75" outlineLevel="1">
      <c r="A567" s="25" t="s">
        <v>1050</v>
      </c>
      <c r="B567" s="26" t="s">
        <v>915</v>
      </c>
      <c r="C567" s="25">
        <v>5.125</v>
      </c>
      <c r="D567" s="96"/>
    </row>
    <row r="568" spans="1:4" ht="15.75" outlineLevel="1">
      <c r="A568" s="25" t="s">
        <v>1050</v>
      </c>
      <c r="B568" s="26" t="s">
        <v>1150</v>
      </c>
      <c r="C568" s="25">
        <v>5.1260000000000003</v>
      </c>
      <c r="D568" s="96"/>
    </row>
    <row r="569" spans="1:4" ht="15.75" outlineLevel="1">
      <c r="A569" s="25" t="s">
        <v>1050</v>
      </c>
      <c r="B569" s="26" t="s">
        <v>933</v>
      </c>
      <c r="C569" s="25">
        <v>5.1269999999999998</v>
      </c>
      <c r="D569" s="96"/>
    </row>
    <row r="570" spans="1:4" ht="15.75" outlineLevel="1">
      <c r="A570" s="25" t="s">
        <v>1050</v>
      </c>
      <c r="B570" s="26" t="s">
        <v>918</v>
      </c>
      <c r="C570" s="27">
        <v>5.72</v>
      </c>
      <c r="D570" s="96"/>
    </row>
    <row r="571" spans="1:4" ht="15.75" outlineLevel="1">
      <c r="A571" s="25" t="s">
        <v>1050</v>
      </c>
      <c r="B571" s="26" t="s">
        <v>929</v>
      </c>
      <c r="C571" s="25">
        <v>5.1280000000000001</v>
      </c>
      <c r="D571" s="96"/>
    </row>
    <row r="572" spans="1:4" ht="15.75" outlineLevel="1">
      <c r="A572" s="25" t="s">
        <v>1050</v>
      </c>
      <c r="B572" s="26" t="s">
        <v>1151</v>
      </c>
      <c r="C572" s="25">
        <v>5.1289999999999996</v>
      </c>
      <c r="D572" s="95" t="s">
        <v>1112</v>
      </c>
    </row>
    <row r="573" spans="1:4" ht="15.75" outlineLevel="1">
      <c r="A573" s="25" t="s">
        <v>1050</v>
      </c>
      <c r="B573" s="26" t="s">
        <v>1152</v>
      </c>
      <c r="C573" s="25">
        <v>5.1310000000000002</v>
      </c>
      <c r="D573" s="96"/>
    </row>
    <row r="574" spans="1:4" ht="15.75" outlineLevel="1">
      <c r="A574" s="25" t="s">
        <v>1050</v>
      </c>
      <c r="B574" s="26" t="s">
        <v>1153</v>
      </c>
      <c r="C574" s="25">
        <v>5.1319999999999997</v>
      </c>
      <c r="D574" s="95" t="s">
        <v>1112</v>
      </c>
    </row>
    <row r="575" spans="1:4" ht="15.75" outlineLevel="1">
      <c r="A575" s="25" t="s">
        <v>1050</v>
      </c>
      <c r="B575" s="26" t="s">
        <v>958</v>
      </c>
      <c r="C575" s="25">
        <v>5.133</v>
      </c>
      <c r="D575" s="95" t="s">
        <v>1112</v>
      </c>
    </row>
    <row r="576" spans="1:4" ht="15.75" outlineLevel="1">
      <c r="A576" s="25" t="s">
        <v>1050</v>
      </c>
      <c r="B576" s="26" t="s">
        <v>1154</v>
      </c>
      <c r="C576" s="25">
        <v>5.1340000000000003</v>
      </c>
      <c r="D576" s="95" t="s">
        <v>1112</v>
      </c>
    </row>
    <row r="577" spans="1:4" ht="15.75" outlineLevel="1">
      <c r="A577" s="25" t="s">
        <v>1050</v>
      </c>
      <c r="B577" s="26" t="s">
        <v>1155</v>
      </c>
      <c r="C577" s="28">
        <v>5.13</v>
      </c>
      <c r="D577" s="96"/>
    </row>
    <row r="578" spans="1:4" ht="15.75" outlineLevel="1">
      <c r="A578" s="25" t="s">
        <v>1050</v>
      </c>
      <c r="B578" s="26" t="s">
        <v>24</v>
      </c>
      <c r="C578" s="25">
        <v>5.47</v>
      </c>
      <c r="D578" s="96"/>
    </row>
    <row r="579" spans="1:4" ht="15.75" outlineLevel="1">
      <c r="A579" s="25" t="s">
        <v>1050</v>
      </c>
      <c r="B579" s="26" t="s">
        <v>25</v>
      </c>
      <c r="C579" s="25">
        <v>5.48</v>
      </c>
      <c r="D579" s="96"/>
    </row>
    <row r="580" spans="1:4" ht="15.75">
      <c r="A580" s="30" t="s">
        <v>1050</v>
      </c>
      <c r="B580" s="26"/>
      <c r="C580" s="25"/>
      <c r="D580" s="96"/>
    </row>
    <row r="581" spans="1:4" ht="15.75" outlineLevel="1">
      <c r="A581" s="25" t="s">
        <v>1043</v>
      </c>
      <c r="B581" s="26" t="s">
        <v>0</v>
      </c>
      <c r="C581" s="25">
        <v>5.0999999999999996</v>
      </c>
      <c r="D581" s="96"/>
    </row>
    <row r="582" spans="1:4" ht="15.75" outlineLevel="1">
      <c r="A582" s="25" t="s">
        <v>1043</v>
      </c>
      <c r="B582" s="26" t="s">
        <v>1</v>
      </c>
      <c r="C582" s="25">
        <v>5.2</v>
      </c>
      <c r="D582" s="96"/>
    </row>
    <row r="583" spans="1:4" ht="15.75" outlineLevel="1">
      <c r="A583" s="25" t="s">
        <v>1043</v>
      </c>
      <c r="B583" s="26" t="s">
        <v>120</v>
      </c>
      <c r="C583" s="25">
        <v>5.9</v>
      </c>
      <c r="D583" s="95" t="s">
        <v>1112</v>
      </c>
    </row>
    <row r="584" spans="1:4" ht="15.75" outlineLevel="1">
      <c r="A584" s="25" t="s">
        <v>1043</v>
      </c>
      <c r="B584" s="26" t="s">
        <v>121</v>
      </c>
      <c r="C584" s="25">
        <v>5.13</v>
      </c>
      <c r="D584" s="95" t="s">
        <v>1112</v>
      </c>
    </row>
    <row r="585" spans="1:4" ht="15.75" outlineLevel="1">
      <c r="A585" s="25" t="s">
        <v>1043</v>
      </c>
      <c r="B585" s="26" t="s">
        <v>122</v>
      </c>
      <c r="C585" s="25">
        <v>5.16</v>
      </c>
      <c r="D585" s="95" t="s">
        <v>1112</v>
      </c>
    </row>
    <row r="586" spans="1:4" ht="15.75" outlineLevel="1">
      <c r="A586" s="25" t="s">
        <v>1043</v>
      </c>
      <c r="B586" s="26" t="s">
        <v>123</v>
      </c>
      <c r="C586" s="25">
        <v>5.22</v>
      </c>
      <c r="D586" s="95"/>
    </row>
    <row r="587" spans="1:4" ht="15.75" outlineLevel="1">
      <c r="A587" s="25" t="s">
        <v>1043</v>
      </c>
      <c r="B587" s="26" t="s">
        <v>5</v>
      </c>
      <c r="C587" s="25">
        <v>5.26</v>
      </c>
      <c r="D587" s="96"/>
    </row>
    <row r="588" spans="1:4" ht="15.75" outlineLevel="1">
      <c r="A588" s="25" t="s">
        <v>1043</v>
      </c>
      <c r="B588" s="26" t="s">
        <v>1156</v>
      </c>
      <c r="C588" s="25">
        <v>5.77</v>
      </c>
      <c r="D588" s="96"/>
    </row>
    <row r="589" spans="1:4" ht="15.75" outlineLevel="1">
      <c r="A589" s="25" t="s">
        <v>1043</v>
      </c>
      <c r="B589" s="26" t="s">
        <v>6</v>
      </c>
      <c r="C589" s="25">
        <v>5.27</v>
      </c>
      <c r="D589" s="96"/>
    </row>
    <row r="590" spans="1:4" ht="15.75" outlineLevel="1">
      <c r="A590" s="25" t="s">
        <v>1043</v>
      </c>
      <c r="B590" s="26" t="s">
        <v>7</v>
      </c>
      <c r="C590" s="25">
        <v>5.28</v>
      </c>
      <c r="D590" s="95" t="s">
        <v>1112</v>
      </c>
    </row>
    <row r="591" spans="1:4" ht="15.75" outlineLevel="1">
      <c r="A591" s="25" t="s">
        <v>1043</v>
      </c>
      <c r="B591" s="26" t="s">
        <v>159</v>
      </c>
      <c r="C591" s="25">
        <v>5.31</v>
      </c>
      <c r="D591" s="96"/>
    </row>
    <row r="592" spans="1:4" ht="15.75" outlineLevel="1">
      <c r="A592" s="25" t="s">
        <v>1043</v>
      </c>
      <c r="B592" s="26" t="s">
        <v>125</v>
      </c>
      <c r="C592" s="25">
        <v>5.36</v>
      </c>
      <c r="D592" s="96"/>
    </row>
    <row r="593" spans="1:4" ht="15.75" outlineLevel="1">
      <c r="A593" s="25" t="s">
        <v>1043</v>
      </c>
      <c r="B593" s="26" t="s">
        <v>1157</v>
      </c>
      <c r="C593" s="25">
        <v>5.78</v>
      </c>
      <c r="D593" s="96"/>
    </row>
    <row r="594" spans="1:4" ht="15.75" outlineLevel="1">
      <c r="A594" s="25" t="s">
        <v>1043</v>
      </c>
      <c r="B594" s="26" t="s">
        <v>1158</v>
      </c>
      <c r="C594" s="25">
        <v>5.79</v>
      </c>
      <c r="D594" s="95" t="s">
        <v>1112</v>
      </c>
    </row>
    <row r="595" spans="1:4" ht="15.75" outlineLevel="1">
      <c r="A595" s="25" t="s">
        <v>1043</v>
      </c>
      <c r="B595" s="26" t="s">
        <v>1159</v>
      </c>
      <c r="C595" s="25">
        <v>5.41</v>
      </c>
      <c r="D595" s="96"/>
    </row>
    <row r="596" spans="1:4" ht="15.75" outlineLevel="1">
      <c r="A596" s="25" t="s">
        <v>1043</v>
      </c>
      <c r="B596" s="26" t="s">
        <v>9</v>
      </c>
      <c r="C596" s="25">
        <v>5.49</v>
      </c>
      <c r="D596" s="96"/>
    </row>
    <row r="597" spans="1:4" ht="15.75" outlineLevel="1">
      <c r="A597" s="25" t="s">
        <v>1043</v>
      </c>
      <c r="B597" s="26" t="s">
        <v>10</v>
      </c>
      <c r="C597" s="25">
        <v>5.51</v>
      </c>
      <c r="D597" s="96"/>
    </row>
    <row r="598" spans="1:4" ht="15.75" outlineLevel="1">
      <c r="A598" s="25" t="s">
        <v>1043</v>
      </c>
      <c r="B598" s="26" t="s">
        <v>1160</v>
      </c>
      <c r="C598" s="25">
        <v>5.52</v>
      </c>
      <c r="D598" s="96"/>
    </row>
    <row r="599" spans="1:4" ht="15.75" outlineLevel="1">
      <c r="A599" s="25" t="s">
        <v>1043</v>
      </c>
      <c r="B599" s="26" t="s">
        <v>11</v>
      </c>
      <c r="C599" s="25">
        <v>5.53</v>
      </c>
      <c r="D599" s="96"/>
    </row>
    <row r="600" spans="1:4" ht="15.75" outlineLevel="1">
      <c r="A600" s="25" t="s">
        <v>1043</v>
      </c>
      <c r="B600" s="26" t="s">
        <v>12</v>
      </c>
      <c r="C600" s="25">
        <v>5.69</v>
      </c>
      <c r="D600" s="96"/>
    </row>
    <row r="601" spans="1:4" ht="15.75" outlineLevel="1">
      <c r="A601" s="25" t="s">
        <v>1043</v>
      </c>
      <c r="B601" s="26" t="s">
        <v>127</v>
      </c>
      <c r="C601" s="25">
        <v>5.71</v>
      </c>
      <c r="D601" s="96"/>
    </row>
    <row r="602" spans="1:4" ht="15.75" outlineLevel="1">
      <c r="A602" s="25" t="s">
        <v>1043</v>
      </c>
      <c r="B602" s="26" t="s">
        <v>14</v>
      </c>
      <c r="C602" s="27">
        <v>5.7</v>
      </c>
      <c r="D602" s="96"/>
    </row>
    <row r="603" spans="1:4" ht="15.75" outlineLevel="1">
      <c r="A603" s="25" t="s">
        <v>1043</v>
      </c>
      <c r="B603" s="26" t="s">
        <v>761</v>
      </c>
      <c r="C603" s="27">
        <v>5.8</v>
      </c>
      <c r="D603" s="95" t="s">
        <v>1112</v>
      </c>
    </row>
    <row r="604" spans="1:4" ht="15.75" outlineLevel="1">
      <c r="A604" s="25" t="s">
        <v>1043</v>
      </c>
      <c r="B604" s="26" t="s">
        <v>918</v>
      </c>
      <c r="C604" s="27">
        <v>5.72</v>
      </c>
      <c r="D604" s="95" t="s">
        <v>1112</v>
      </c>
    </row>
    <row r="605" spans="1:4" ht="15.75" outlineLevel="1">
      <c r="A605" s="25" t="s">
        <v>1043</v>
      </c>
      <c r="B605" s="26" t="s">
        <v>1161</v>
      </c>
      <c r="C605" s="25">
        <v>5.73</v>
      </c>
      <c r="D605" s="95" t="s">
        <v>1112</v>
      </c>
    </row>
    <row r="606" spans="1:4" ht="15.75" outlineLevel="1">
      <c r="A606" s="25" t="s">
        <v>1043</v>
      </c>
      <c r="B606" s="26" t="s">
        <v>15</v>
      </c>
      <c r="C606" s="25">
        <v>5.74</v>
      </c>
      <c r="D606" s="96"/>
    </row>
    <row r="607" spans="1:4" ht="15.75" outlineLevel="1">
      <c r="A607" s="25" t="s">
        <v>1043</v>
      </c>
      <c r="B607" s="26" t="s">
        <v>13</v>
      </c>
      <c r="C607" s="25">
        <v>5.75</v>
      </c>
      <c r="D607" s="96"/>
    </row>
    <row r="608" spans="1:4" ht="15.75" outlineLevel="1">
      <c r="A608" s="25" t="s">
        <v>1043</v>
      </c>
      <c r="B608" s="26" t="s">
        <v>417</v>
      </c>
      <c r="C608" s="25">
        <v>5.76</v>
      </c>
      <c r="D608" s="96"/>
    </row>
    <row r="609" spans="1:4" ht="15.75" outlineLevel="1">
      <c r="A609" s="25" t="s">
        <v>1043</v>
      </c>
      <c r="B609" s="26" t="s">
        <v>766</v>
      </c>
      <c r="C609" s="25">
        <v>5.81</v>
      </c>
      <c r="D609" s="95" t="s">
        <v>1112</v>
      </c>
    </row>
    <row r="610" spans="1:4" ht="15.75" outlineLevel="1">
      <c r="A610" s="25" t="s">
        <v>1043</v>
      </c>
      <c r="B610" s="26" t="s">
        <v>1162</v>
      </c>
      <c r="C610" s="25">
        <v>5.82</v>
      </c>
      <c r="D610" s="95" t="s">
        <v>1112</v>
      </c>
    </row>
    <row r="611" spans="1:4" ht="15.75" outlineLevel="1">
      <c r="A611" s="25" t="s">
        <v>1043</v>
      </c>
      <c r="B611" s="26" t="s">
        <v>1163</v>
      </c>
      <c r="C611" s="25">
        <v>5.83</v>
      </c>
      <c r="D611" s="95" t="s">
        <v>1112</v>
      </c>
    </row>
    <row r="612" spans="1:4" ht="15.75" outlineLevel="1">
      <c r="A612" s="25" t="s">
        <v>1043</v>
      </c>
      <c r="B612" s="26" t="s">
        <v>1164</v>
      </c>
      <c r="C612" s="25">
        <v>5.84</v>
      </c>
      <c r="D612" s="96"/>
    </row>
    <row r="613" spans="1:4" ht="15.75" outlineLevel="1">
      <c r="A613" s="25" t="s">
        <v>1043</v>
      </c>
      <c r="B613" s="26" t="s">
        <v>789</v>
      </c>
      <c r="C613" s="25">
        <v>5.85</v>
      </c>
      <c r="D613" s="95" t="s">
        <v>1112</v>
      </c>
    </row>
    <row r="614" spans="1:4" ht="15.75" outlineLevel="1">
      <c r="A614" s="25" t="s">
        <v>1043</v>
      </c>
      <c r="B614" s="26" t="s">
        <v>790</v>
      </c>
      <c r="C614" s="25">
        <v>5.86</v>
      </c>
      <c r="D614" s="95" t="s">
        <v>1112</v>
      </c>
    </row>
    <row r="615" spans="1:4" ht="15.75" outlineLevel="1">
      <c r="A615" s="25" t="s">
        <v>1043</v>
      </c>
      <c r="B615" s="26" t="s">
        <v>1165</v>
      </c>
      <c r="C615" s="25">
        <v>5.88</v>
      </c>
      <c r="D615" s="95" t="s">
        <v>1112</v>
      </c>
    </row>
    <row r="616" spans="1:4" ht="15.75" outlineLevel="1">
      <c r="A616" s="25" t="s">
        <v>1043</v>
      </c>
      <c r="B616" s="26" t="s">
        <v>796</v>
      </c>
      <c r="C616" s="25">
        <v>5.87</v>
      </c>
      <c r="D616" s="96"/>
    </row>
    <row r="617" spans="1:4" ht="15.75" outlineLevel="1">
      <c r="A617" s="25" t="s">
        <v>1043</v>
      </c>
      <c r="B617" s="26" t="s">
        <v>160</v>
      </c>
      <c r="C617" s="25">
        <v>5.109</v>
      </c>
      <c r="D617" s="96"/>
    </row>
    <row r="618" spans="1:4" ht="15.75" outlineLevel="1">
      <c r="A618" s="25" t="s">
        <v>1043</v>
      </c>
      <c r="B618" s="26" t="s">
        <v>173</v>
      </c>
      <c r="C618" s="28">
        <v>5.1100000000000003</v>
      </c>
      <c r="D618" s="95" t="s">
        <v>1112</v>
      </c>
    </row>
    <row r="619" spans="1:4" ht="15.75" outlineLevel="1">
      <c r="A619" s="25" t="s">
        <v>1043</v>
      </c>
      <c r="B619" s="26" t="s">
        <v>161</v>
      </c>
      <c r="C619" s="25">
        <v>5.1109999999999998</v>
      </c>
      <c r="D619" s="96"/>
    </row>
    <row r="620" spans="1:4" ht="15.75" outlineLevel="1">
      <c r="A620" s="25" t="s">
        <v>1043</v>
      </c>
      <c r="B620" s="26" t="s">
        <v>134</v>
      </c>
      <c r="C620" s="25">
        <v>5.1120000000000001</v>
      </c>
      <c r="D620" s="96"/>
    </row>
    <row r="621" spans="1:4" ht="15.75" outlineLevel="1">
      <c r="A621" s="25" t="s">
        <v>1043</v>
      </c>
      <c r="B621" s="26" t="s">
        <v>1127</v>
      </c>
      <c r="C621" s="25">
        <v>5.1130000000000004</v>
      </c>
      <c r="D621" s="96"/>
    </row>
    <row r="622" spans="1:4" ht="15.75" outlineLevel="1">
      <c r="A622" s="25" t="s">
        <v>1043</v>
      </c>
      <c r="B622" s="26" t="s">
        <v>1166</v>
      </c>
      <c r="C622" s="25">
        <v>5.99</v>
      </c>
      <c r="D622" s="95" t="s">
        <v>1112</v>
      </c>
    </row>
    <row r="623" spans="1:4" ht="15.75" outlineLevel="1">
      <c r="A623" s="25" t="s">
        <v>1043</v>
      </c>
      <c r="B623" s="26" t="s">
        <v>1167</v>
      </c>
      <c r="C623" s="25">
        <v>5.58</v>
      </c>
      <c r="D623" s="95"/>
    </row>
    <row r="624" spans="1:4" ht="15.75" outlineLevel="1">
      <c r="A624" s="25" t="s">
        <v>1043</v>
      </c>
      <c r="B624" s="26" t="s">
        <v>18</v>
      </c>
      <c r="C624" s="25">
        <v>5.54</v>
      </c>
      <c r="D624" s="96"/>
    </row>
    <row r="625" spans="1:4" ht="15.75" outlineLevel="1">
      <c r="A625" s="25" t="s">
        <v>1043</v>
      </c>
      <c r="B625" s="26" t="s">
        <v>1168</v>
      </c>
      <c r="C625" s="25">
        <v>5.56</v>
      </c>
      <c r="D625" s="96"/>
    </row>
    <row r="626" spans="1:4" ht="15.75" outlineLevel="1">
      <c r="A626" s="25" t="s">
        <v>1043</v>
      </c>
      <c r="B626" s="26" t="s">
        <v>20</v>
      </c>
      <c r="C626" s="25">
        <v>5.63</v>
      </c>
      <c r="D626" s="96"/>
    </row>
    <row r="627" spans="1:4" ht="15.75" outlineLevel="1">
      <c r="A627" s="25" t="s">
        <v>1043</v>
      </c>
      <c r="B627" s="26" t="s">
        <v>174</v>
      </c>
      <c r="C627" s="25">
        <v>5.64</v>
      </c>
      <c r="D627" s="96"/>
    </row>
    <row r="628" spans="1:4" ht="15.75" outlineLevel="1">
      <c r="A628" s="25" t="s">
        <v>1043</v>
      </c>
      <c r="B628" s="26" t="s">
        <v>21</v>
      </c>
      <c r="C628" s="25">
        <v>5.65</v>
      </c>
      <c r="D628" s="96"/>
    </row>
    <row r="629" spans="1:4" ht="15.75" outlineLevel="1">
      <c r="A629" s="25" t="s">
        <v>1043</v>
      </c>
      <c r="B629" s="26" t="s">
        <v>175</v>
      </c>
      <c r="C629" s="25">
        <v>5.66</v>
      </c>
      <c r="D629" s="96"/>
    </row>
    <row r="630" spans="1:4" ht="15.75" outlineLevel="1">
      <c r="A630" s="25" t="s">
        <v>1043</v>
      </c>
      <c r="B630" s="26" t="s">
        <v>839</v>
      </c>
      <c r="C630" s="25">
        <v>5.89</v>
      </c>
      <c r="D630" s="95" t="s">
        <v>1112</v>
      </c>
    </row>
    <row r="631" spans="1:4" ht="15.75" outlineLevel="1">
      <c r="A631" s="25" t="s">
        <v>1043</v>
      </c>
      <c r="B631" s="26" t="s">
        <v>22</v>
      </c>
      <c r="C631" s="25">
        <v>5.68</v>
      </c>
      <c r="D631" s="96"/>
    </row>
    <row r="632" spans="1:4" ht="15.75" outlineLevel="1">
      <c r="A632" s="25" t="s">
        <v>1043</v>
      </c>
      <c r="B632" s="26" t="s">
        <v>24</v>
      </c>
      <c r="C632" s="25">
        <v>5.47</v>
      </c>
      <c r="D632" s="96"/>
    </row>
    <row r="633" spans="1:4" ht="15.75" outlineLevel="1">
      <c r="A633" s="25" t="s">
        <v>1043</v>
      </c>
      <c r="B633" s="26" t="s">
        <v>25</v>
      </c>
      <c r="C633" s="25">
        <v>5.48</v>
      </c>
      <c r="D633" s="96"/>
    </row>
    <row r="634" spans="1:4" ht="15.75">
      <c r="A634" s="30" t="s">
        <v>1043</v>
      </c>
      <c r="B634" s="26"/>
      <c r="C634" s="25"/>
      <c r="D634" s="96"/>
    </row>
    <row r="635" spans="1:4" ht="15.75" outlineLevel="1">
      <c r="A635" s="25" t="s">
        <v>1061</v>
      </c>
      <c r="B635" s="26" t="s">
        <v>0</v>
      </c>
      <c r="C635" s="25">
        <v>5.0999999999999996</v>
      </c>
      <c r="D635" s="96"/>
    </row>
    <row r="636" spans="1:4" ht="15.75" outlineLevel="1">
      <c r="A636" s="25" t="s">
        <v>1061</v>
      </c>
      <c r="B636" s="26" t="s">
        <v>1</v>
      </c>
      <c r="C636" s="25">
        <v>5.2</v>
      </c>
      <c r="D636" s="96"/>
    </row>
    <row r="637" spans="1:4" ht="15.75" outlineLevel="1">
      <c r="A637" s="25" t="s">
        <v>1061</v>
      </c>
      <c r="B637" s="26" t="s">
        <v>2</v>
      </c>
      <c r="C637" s="25">
        <v>5.3</v>
      </c>
      <c r="D637" s="96"/>
    </row>
    <row r="638" spans="1:4" ht="15.75" outlineLevel="1">
      <c r="A638" s="25" t="s">
        <v>1061</v>
      </c>
      <c r="B638" s="26" t="s">
        <v>156</v>
      </c>
      <c r="C638" s="25">
        <v>5.6</v>
      </c>
      <c r="D638" s="96"/>
    </row>
    <row r="639" spans="1:4" ht="15.75" outlineLevel="1">
      <c r="A639" s="25" t="s">
        <v>1061</v>
      </c>
      <c r="B639" s="26" t="s">
        <v>1114</v>
      </c>
      <c r="C639" s="27">
        <v>5.0999999999999996</v>
      </c>
      <c r="D639" s="96"/>
    </row>
    <row r="640" spans="1:4" ht="15.75" outlineLevel="1">
      <c r="A640" s="25" t="s">
        <v>1061</v>
      </c>
      <c r="B640" s="26" t="s">
        <v>1113</v>
      </c>
      <c r="C640" s="25">
        <v>5.14</v>
      </c>
      <c r="D640" s="96"/>
    </row>
    <row r="641" spans="1:4" ht="15.75" outlineLevel="1">
      <c r="A641" s="25" t="s">
        <v>1061</v>
      </c>
      <c r="B641" s="26" t="s">
        <v>4</v>
      </c>
      <c r="C641" s="25">
        <v>5.19</v>
      </c>
      <c r="D641" s="96"/>
    </row>
    <row r="642" spans="1:4" ht="15.75" outlineLevel="1">
      <c r="A642" s="25" t="s">
        <v>1061</v>
      </c>
      <c r="B642" s="26" t="s">
        <v>158</v>
      </c>
      <c r="C642" s="25">
        <v>5.24</v>
      </c>
      <c r="D642" s="96"/>
    </row>
    <row r="643" spans="1:4" ht="15.75" outlineLevel="1">
      <c r="A643" s="25" t="s">
        <v>1061</v>
      </c>
      <c r="B643" s="26" t="s">
        <v>5</v>
      </c>
      <c r="C643" s="25">
        <v>5.26</v>
      </c>
      <c r="D643" s="96"/>
    </row>
    <row r="644" spans="1:4" ht="15.75" outlineLevel="1">
      <c r="A644" s="25" t="s">
        <v>1061</v>
      </c>
      <c r="B644" s="26" t="s">
        <v>6</v>
      </c>
      <c r="C644" s="25">
        <v>5.27</v>
      </c>
      <c r="D644" s="96"/>
    </row>
    <row r="645" spans="1:4" ht="15.75" outlineLevel="1">
      <c r="A645" s="25" t="s">
        <v>1061</v>
      </c>
      <c r="B645" s="26" t="s">
        <v>7</v>
      </c>
      <c r="C645" s="25">
        <v>5.28</v>
      </c>
      <c r="D645" s="96"/>
    </row>
    <row r="646" spans="1:4" ht="15.75" outlineLevel="1">
      <c r="A646" s="25" t="s">
        <v>1061</v>
      </c>
      <c r="B646" s="26" t="s">
        <v>125</v>
      </c>
      <c r="C646" s="25">
        <v>5.36</v>
      </c>
      <c r="D646" s="96"/>
    </row>
    <row r="647" spans="1:4" ht="15.75" outlineLevel="1">
      <c r="A647" s="25" t="s">
        <v>1061</v>
      </c>
      <c r="B647" s="26" t="s">
        <v>182</v>
      </c>
      <c r="C647" s="25">
        <v>5.33</v>
      </c>
      <c r="D647" s="96"/>
    </row>
    <row r="648" spans="1:4" ht="15.75" outlineLevel="1">
      <c r="A648" s="25" t="s">
        <v>1061</v>
      </c>
      <c r="B648" s="26" t="s">
        <v>167</v>
      </c>
      <c r="C648" s="25">
        <v>5.37</v>
      </c>
      <c r="D648" s="96"/>
    </row>
    <row r="649" spans="1:4" ht="15.75" outlineLevel="1">
      <c r="A649" s="25" t="s">
        <v>1061</v>
      </c>
      <c r="B649" s="26" t="s">
        <v>9</v>
      </c>
      <c r="C649" s="25">
        <v>5.49</v>
      </c>
      <c r="D649" s="96"/>
    </row>
    <row r="650" spans="1:4" ht="15.75" outlineLevel="1">
      <c r="A650" s="25" t="s">
        <v>1061</v>
      </c>
      <c r="B650" s="26" t="s">
        <v>10</v>
      </c>
      <c r="C650" s="25">
        <v>5.51</v>
      </c>
      <c r="D650" s="96"/>
    </row>
    <row r="651" spans="1:4" ht="15.75" outlineLevel="1">
      <c r="A651" s="25" t="s">
        <v>1061</v>
      </c>
      <c r="B651" s="26" t="s">
        <v>1115</v>
      </c>
      <c r="C651" s="25">
        <v>5.52</v>
      </c>
      <c r="D651" s="96"/>
    </row>
    <row r="652" spans="1:4" ht="15.75" outlineLevel="1">
      <c r="A652" s="25" t="s">
        <v>1061</v>
      </c>
      <c r="B652" s="26" t="s">
        <v>11</v>
      </c>
      <c r="C652" s="25">
        <v>5.53</v>
      </c>
      <c r="D652" s="96"/>
    </row>
    <row r="653" spans="1:4" ht="15.75" outlineLevel="1">
      <c r="A653" s="25" t="s">
        <v>1061</v>
      </c>
      <c r="B653" s="26" t="s">
        <v>12</v>
      </c>
      <c r="C653" s="25">
        <v>5.69</v>
      </c>
      <c r="D653" s="96"/>
    </row>
    <row r="654" spans="1:4" ht="15.75" outlineLevel="1">
      <c r="A654" s="25" t="s">
        <v>1061</v>
      </c>
      <c r="B654" s="26" t="s">
        <v>14</v>
      </c>
      <c r="C654" s="27">
        <v>5.7</v>
      </c>
      <c r="D654" s="96"/>
    </row>
    <row r="655" spans="1:4" ht="15.75" outlineLevel="1">
      <c r="A655" s="25" t="s">
        <v>1061</v>
      </c>
      <c r="B655" s="26" t="s">
        <v>15</v>
      </c>
      <c r="C655" s="25">
        <v>5.74</v>
      </c>
      <c r="D655" s="96"/>
    </row>
    <row r="656" spans="1:4" ht="15.75" outlineLevel="1">
      <c r="A656" s="25" t="s">
        <v>1061</v>
      </c>
      <c r="B656" s="26" t="s">
        <v>160</v>
      </c>
      <c r="C656" s="25">
        <v>5.109</v>
      </c>
      <c r="D656" s="96"/>
    </row>
    <row r="657" spans="1:4" ht="15.75" outlineLevel="1">
      <c r="A657" s="25" t="s">
        <v>1061</v>
      </c>
      <c r="B657" s="26" t="s">
        <v>161</v>
      </c>
      <c r="C657" s="25">
        <v>5.1109999999999998</v>
      </c>
      <c r="D657" s="96"/>
    </row>
    <row r="658" spans="1:4" ht="15.75" outlineLevel="1">
      <c r="A658" s="25" t="s">
        <v>1061</v>
      </c>
      <c r="B658" s="26" t="s">
        <v>134</v>
      </c>
      <c r="C658" s="25">
        <v>5.1120000000000001</v>
      </c>
      <c r="D658" s="96"/>
    </row>
    <row r="659" spans="1:4" ht="15.75" outlineLevel="1">
      <c r="A659" s="25" t="s">
        <v>1061</v>
      </c>
      <c r="B659" s="26" t="s">
        <v>17</v>
      </c>
      <c r="C659" s="25">
        <v>5.58</v>
      </c>
      <c r="D659" s="96"/>
    </row>
    <row r="660" spans="1:4" ht="15.75" outlineLevel="1">
      <c r="A660" s="25" t="s">
        <v>1061</v>
      </c>
      <c r="B660" s="26" t="s">
        <v>18</v>
      </c>
      <c r="C660" s="25">
        <v>5.54</v>
      </c>
      <c r="D660" s="96"/>
    </row>
    <row r="661" spans="1:4" ht="15.75" outlineLevel="1">
      <c r="A661" s="25" t="s">
        <v>1061</v>
      </c>
      <c r="B661" s="26" t="s">
        <v>19</v>
      </c>
      <c r="C661" s="25">
        <v>5.55</v>
      </c>
      <c r="D661" s="96"/>
    </row>
    <row r="662" spans="1:4" ht="15.75" outlineLevel="1">
      <c r="A662" s="25" t="s">
        <v>1061</v>
      </c>
      <c r="B662" s="26" t="s">
        <v>20</v>
      </c>
      <c r="C662" s="25">
        <v>5.63</v>
      </c>
      <c r="D662" s="96"/>
    </row>
    <row r="663" spans="1:4" ht="15.75" outlineLevel="1">
      <c r="A663" s="25" t="s">
        <v>1061</v>
      </c>
      <c r="B663" s="26" t="s">
        <v>24</v>
      </c>
      <c r="C663" s="25">
        <v>5.47</v>
      </c>
      <c r="D663" s="96"/>
    </row>
    <row r="664" spans="1:4" ht="15.75" outlineLevel="1">
      <c r="A664" s="25" t="s">
        <v>1061</v>
      </c>
      <c r="B664" s="26" t="s">
        <v>25</v>
      </c>
      <c r="C664" s="25">
        <v>5.48</v>
      </c>
      <c r="D664" s="96"/>
    </row>
    <row r="665" spans="1:4" ht="15.75">
      <c r="A665" s="30" t="s">
        <v>1061</v>
      </c>
      <c r="B665" s="26"/>
      <c r="C665" s="25"/>
      <c r="D665" s="96"/>
    </row>
    <row r="666" spans="1:4" ht="15.75" outlineLevel="1">
      <c r="A666" s="25" t="s">
        <v>1066</v>
      </c>
      <c r="B666" s="26" t="s">
        <v>0</v>
      </c>
      <c r="C666" s="25">
        <v>5.0999999999999996</v>
      </c>
      <c r="D666" s="96"/>
    </row>
    <row r="667" spans="1:4" ht="15.75" outlineLevel="1">
      <c r="A667" s="25" t="s">
        <v>1066</v>
      </c>
      <c r="B667" s="26" t="s">
        <v>1</v>
      </c>
      <c r="C667" s="25">
        <v>5.2</v>
      </c>
      <c r="D667" s="96"/>
    </row>
    <row r="668" spans="1:4" ht="15.75" outlineLevel="1">
      <c r="A668" s="25" t="s">
        <v>1066</v>
      </c>
      <c r="B668" s="26" t="s">
        <v>176</v>
      </c>
      <c r="C668" s="25">
        <v>5.4</v>
      </c>
      <c r="D668" s="96"/>
    </row>
    <row r="669" spans="1:4" ht="15.75" outlineLevel="1">
      <c r="A669" s="25" t="s">
        <v>1066</v>
      </c>
      <c r="B669" s="26" t="s">
        <v>177</v>
      </c>
      <c r="C669" s="25">
        <v>5.7</v>
      </c>
      <c r="D669" s="96"/>
    </row>
    <row r="670" spans="1:4" ht="15.75" outlineLevel="1">
      <c r="A670" s="25" t="s">
        <v>1066</v>
      </c>
      <c r="B670" s="26" t="s">
        <v>178</v>
      </c>
      <c r="C670" s="25">
        <v>5.1100000000000003</v>
      </c>
      <c r="D670" s="96"/>
    </row>
    <row r="671" spans="1:4" ht="15.75" outlineLevel="1">
      <c r="A671" s="25" t="s">
        <v>1066</v>
      </c>
      <c r="B671" s="26" t="s">
        <v>5</v>
      </c>
      <c r="C671" s="25">
        <v>5.26</v>
      </c>
      <c r="D671" s="96"/>
    </row>
    <row r="672" spans="1:4" ht="15.75" outlineLevel="1">
      <c r="A672" s="25" t="s">
        <v>1066</v>
      </c>
      <c r="B672" s="26" t="s">
        <v>179</v>
      </c>
      <c r="C672" s="25">
        <v>5.43</v>
      </c>
      <c r="D672" s="96"/>
    </row>
    <row r="673" spans="1:4" ht="15.75" outlineLevel="1">
      <c r="A673" s="25" t="s">
        <v>1066</v>
      </c>
      <c r="B673" s="26" t="s">
        <v>6</v>
      </c>
      <c r="C673" s="25">
        <v>5.27</v>
      </c>
      <c r="D673" s="96"/>
    </row>
    <row r="674" spans="1:4" ht="15.75" outlineLevel="1">
      <c r="A674" s="25" t="s">
        <v>1066</v>
      </c>
      <c r="B674" s="26" t="s">
        <v>7</v>
      </c>
      <c r="C674" s="25">
        <v>5.28</v>
      </c>
      <c r="D674" s="96"/>
    </row>
    <row r="675" spans="1:4" ht="15.75" outlineLevel="1">
      <c r="A675" s="25" t="s">
        <v>1066</v>
      </c>
      <c r="B675" s="26" t="s">
        <v>125</v>
      </c>
      <c r="C675" s="25">
        <v>5.36</v>
      </c>
      <c r="D675" s="96"/>
    </row>
    <row r="676" spans="1:4" ht="15.75" outlineLevel="1">
      <c r="A676" s="25" t="s">
        <v>1066</v>
      </c>
      <c r="B676" s="26" t="s">
        <v>180</v>
      </c>
      <c r="C676" s="27">
        <v>5.5</v>
      </c>
      <c r="D676" s="96"/>
    </row>
    <row r="677" spans="1:4" ht="15.75" outlineLevel="1">
      <c r="A677" s="25" t="s">
        <v>1066</v>
      </c>
      <c r="B677" s="26" t="s">
        <v>10</v>
      </c>
      <c r="C677" s="25">
        <v>5.51</v>
      </c>
      <c r="D677" s="96"/>
    </row>
    <row r="678" spans="1:4" ht="15.75" outlineLevel="1">
      <c r="A678" s="25" t="s">
        <v>1066</v>
      </c>
      <c r="B678" s="26" t="s">
        <v>11</v>
      </c>
      <c r="C678" s="25">
        <v>5.53</v>
      </c>
      <c r="D678" s="96"/>
    </row>
    <row r="679" spans="1:4" ht="15.75" outlineLevel="1">
      <c r="A679" s="25" t="s">
        <v>1066</v>
      </c>
      <c r="B679" s="26" t="s">
        <v>12</v>
      </c>
      <c r="C679" s="25">
        <v>5.69</v>
      </c>
      <c r="D679" s="96"/>
    </row>
    <row r="680" spans="1:4" ht="15.75" outlineLevel="1">
      <c r="A680" s="25" t="s">
        <v>1066</v>
      </c>
      <c r="B680" s="26" t="s">
        <v>14</v>
      </c>
      <c r="C680" s="27">
        <v>5.7</v>
      </c>
      <c r="D680" s="95" t="s">
        <v>1112</v>
      </c>
    </row>
    <row r="681" spans="1:4" ht="15.75" outlineLevel="1">
      <c r="A681" s="25" t="s">
        <v>1066</v>
      </c>
      <c r="B681" s="26" t="s">
        <v>15</v>
      </c>
      <c r="C681" s="25">
        <v>5.74</v>
      </c>
      <c r="D681" s="96"/>
    </row>
    <row r="682" spans="1:4" ht="15.75" outlineLevel="1">
      <c r="A682" s="25" t="s">
        <v>1066</v>
      </c>
      <c r="B682" s="26" t="s">
        <v>135</v>
      </c>
      <c r="C682" s="25">
        <v>5.59</v>
      </c>
      <c r="D682" s="96"/>
    </row>
    <row r="683" spans="1:4" ht="15.75" outlineLevel="1">
      <c r="A683" s="25" t="s">
        <v>1066</v>
      </c>
      <c r="B683" s="26" t="s">
        <v>18</v>
      </c>
      <c r="C683" s="25">
        <v>5.54</v>
      </c>
      <c r="D683" s="96"/>
    </row>
    <row r="684" spans="1:4" ht="15.75" outlineLevel="1">
      <c r="A684" s="25" t="s">
        <v>1066</v>
      </c>
      <c r="B684" s="26" t="s">
        <v>181</v>
      </c>
      <c r="C684" s="25">
        <v>5.57</v>
      </c>
      <c r="D684" s="96"/>
    </row>
    <row r="685" spans="1:4" ht="15.75" outlineLevel="1">
      <c r="A685" s="25" t="s">
        <v>1066</v>
      </c>
      <c r="B685" s="26" t="s">
        <v>20</v>
      </c>
      <c r="C685" s="25">
        <v>5.63</v>
      </c>
      <c r="D685" s="96"/>
    </row>
    <row r="686" spans="1:4" ht="15.75" outlineLevel="1">
      <c r="A686" s="25" t="s">
        <v>1066</v>
      </c>
      <c r="B686" s="26" t="s">
        <v>24</v>
      </c>
      <c r="C686" s="25">
        <v>5.47</v>
      </c>
      <c r="D686" s="96"/>
    </row>
    <row r="687" spans="1:4" ht="15.75" outlineLevel="1">
      <c r="A687" s="25" t="s">
        <v>1066</v>
      </c>
      <c r="B687" s="26" t="s">
        <v>25</v>
      </c>
      <c r="C687" s="25">
        <v>5.48</v>
      </c>
      <c r="D687" s="96"/>
    </row>
    <row r="688" spans="1:4" ht="15.75">
      <c r="A688" s="30" t="s">
        <v>1066</v>
      </c>
      <c r="B688" s="26"/>
      <c r="C688" s="25"/>
      <c r="D688" s="96"/>
    </row>
    <row r="689" spans="1:4" ht="15.75" outlineLevel="1">
      <c r="A689" s="25" t="s">
        <v>1069</v>
      </c>
      <c r="B689" s="26" t="s">
        <v>0</v>
      </c>
      <c r="C689" s="25">
        <v>5.0999999999999996</v>
      </c>
      <c r="D689" s="96"/>
    </row>
    <row r="690" spans="1:4" ht="15.75" outlineLevel="1">
      <c r="A690" s="25" t="s">
        <v>1069</v>
      </c>
      <c r="B690" s="26" t="s">
        <v>1</v>
      </c>
      <c r="C690" s="25">
        <v>5.2</v>
      </c>
      <c r="D690" s="96"/>
    </row>
    <row r="691" spans="1:4" ht="15.75" outlineLevel="1">
      <c r="A691" s="25" t="s">
        <v>1069</v>
      </c>
      <c r="B691" s="26" t="s">
        <v>165</v>
      </c>
      <c r="C691" s="25">
        <v>5.17</v>
      </c>
      <c r="D691" s="96"/>
    </row>
    <row r="692" spans="1:4" ht="15.75" outlineLevel="1">
      <c r="A692" s="25" t="s">
        <v>1069</v>
      </c>
      <c r="B692" s="26" t="s">
        <v>5</v>
      </c>
      <c r="C692" s="25">
        <v>5.26</v>
      </c>
      <c r="D692" s="96"/>
    </row>
    <row r="693" spans="1:4" ht="15.75" outlineLevel="1">
      <c r="A693" s="25" t="s">
        <v>1069</v>
      </c>
      <c r="B693" s="26" t="s">
        <v>166</v>
      </c>
      <c r="C693" s="25">
        <v>5.1029999999999998</v>
      </c>
      <c r="D693" s="96"/>
    </row>
    <row r="694" spans="1:4" ht="15.75" outlineLevel="1">
      <c r="A694" s="25" t="s">
        <v>1069</v>
      </c>
      <c r="B694" s="26" t="s">
        <v>125</v>
      </c>
      <c r="C694" s="25">
        <v>5.36</v>
      </c>
      <c r="D694" s="96"/>
    </row>
    <row r="695" spans="1:4" ht="15.75" outlineLevel="1">
      <c r="A695" s="25" t="s">
        <v>1069</v>
      </c>
      <c r="B695" s="26" t="s">
        <v>167</v>
      </c>
      <c r="C695" s="25">
        <v>5.37</v>
      </c>
      <c r="D695" s="96"/>
    </row>
    <row r="696" spans="1:4" ht="15.75" outlineLevel="1">
      <c r="A696" s="25" t="s">
        <v>1069</v>
      </c>
      <c r="B696" s="26" t="s">
        <v>168</v>
      </c>
      <c r="C696" s="25">
        <v>5.1040000000000001</v>
      </c>
      <c r="D696" s="96"/>
    </row>
    <row r="697" spans="1:4" ht="15.75" outlineLevel="1">
      <c r="A697" s="25" t="s">
        <v>1069</v>
      </c>
      <c r="B697" s="26" t="s">
        <v>169</v>
      </c>
      <c r="C697" s="25">
        <v>5.1050000000000004</v>
      </c>
      <c r="D697" s="96"/>
    </row>
    <row r="698" spans="1:4" ht="15.75" outlineLevel="1">
      <c r="A698" s="25" t="s">
        <v>1069</v>
      </c>
      <c r="B698" s="26" t="s">
        <v>170</v>
      </c>
      <c r="C698" s="25">
        <v>5.1059999999999999</v>
      </c>
      <c r="D698" s="96"/>
    </row>
    <row r="699" spans="1:4" ht="15.75" outlineLevel="1">
      <c r="A699" s="25" t="s">
        <v>1069</v>
      </c>
      <c r="B699" s="26" t="s">
        <v>171</v>
      </c>
      <c r="C699" s="25">
        <v>5.1070000000000002</v>
      </c>
      <c r="D699" s="96"/>
    </row>
    <row r="700" spans="1:4" ht="15.75" outlineLevel="1">
      <c r="A700" s="25" t="s">
        <v>1069</v>
      </c>
      <c r="B700" s="26" t="s">
        <v>890</v>
      </c>
      <c r="C700" s="25">
        <v>5.1079999999999997</v>
      </c>
      <c r="D700" s="95" t="s">
        <v>1112</v>
      </c>
    </row>
    <row r="701" spans="1:4" ht="15.75" outlineLevel="1">
      <c r="A701" s="25" t="s">
        <v>1069</v>
      </c>
      <c r="B701" s="26" t="s">
        <v>160</v>
      </c>
      <c r="C701" s="25">
        <v>5.109</v>
      </c>
      <c r="D701" s="96"/>
    </row>
    <row r="702" spans="1:4" ht="15.75" outlineLevel="1">
      <c r="A702" s="25" t="s">
        <v>1069</v>
      </c>
      <c r="B702" s="26" t="s">
        <v>173</v>
      </c>
      <c r="C702" s="28">
        <v>5.1100000000000003</v>
      </c>
      <c r="D702" s="95" t="s">
        <v>1112</v>
      </c>
    </row>
    <row r="703" spans="1:4" ht="15.75" outlineLevel="1">
      <c r="A703" s="25" t="s">
        <v>1069</v>
      </c>
      <c r="B703" s="26" t="s">
        <v>161</v>
      </c>
      <c r="C703" s="25">
        <v>5.1109999999999998</v>
      </c>
      <c r="D703" s="96"/>
    </row>
    <row r="704" spans="1:4" ht="15.75" outlineLevel="1">
      <c r="A704" s="25" t="s">
        <v>1069</v>
      </c>
      <c r="B704" s="26" t="s">
        <v>134</v>
      </c>
      <c r="C704" s="25">
        <v>5.1120000000000001</v>
      </c>
      <c r="D704" s="96"/>
    </row>
    <row r="705" spans="1:4" ht="15.75" outlineLevel="1">
      <c r="A705" s="25" t="s">
        <v>1069</v>
      </c>
      <c r="B705" s="26" t="s">
        <v>11</v>
      </c>
      <c r="C705" s="25">
        <v>5.53</v>
      </c>
      <c r="D705" s="96"/>
    </row>
    <row r="706" spans="1:4" ht="15.75" outlineLevel="1">
      <c r="A706" s="25" t="s">
        <v>1069</v>
      </c>
      <c r="B706" s="26" t="s">
        <v>174</v>
      </c>
      <c r="C706" s="25">
        <v>5.64</v>
      </c>
      <c r="D706" s="96"/>
    </row>
    <row r="707" spans="1:4" ht="15.75" outlineLevel="1">
      <c r="A707" s="25" t="s">
        <v>1069</v>
      </c>
      <c r="B707" s="26" t="s">
        <v>20</v>
      </c>
      <c r="C707" s="25">
        <v>5.63</v>
      </c>
      <c r="D707" s="96"/>
    </row>
    <row r="708" spans="1:4" ht="15.75" outlineLevel="1">
      <c r="A708" s="25" t="s">
        <v>1069</v>
      </c>
      <c r="B708" s="26" t="s">
        <v>21</v>
      </c>
      <c r="C708" s="25">
        <v>5.65</v>
      </c>
      <c r="D708" s="96"/>
    </row>
    <row r="709" spans="1:4" ht="15.75" outlineLevel="1">
      <c r="A709" s="25" t="s">
        <v>1069</v>
      </c>
      <c r="B709" s="26" t="s">
        <v>175</v>
      </c>
      <c r="C709" s="25">
        <v>5.66</v>
      </c>
      <c r="D709" s="96"/>
    </row>
    <row r="710" spans="1:4" ht="15.75" outlineLevel="1">
      <c r="A710" s="25" t="s">
        <v>1069</v>
      </c>
      <c r="B710" s="26" t="s">
        <v>22</v>
      </c>
      <c r="C710" s="25">
        <v>5.68</v>
      </c>
      <c r="D710" s="96"/>
    </row>
    <row r="711" spans="1:4" ht="15.75" outlineLevel="1">
      <c r="A711" s="25" t="s">
        <v>1069</v>
      </c>
      <c r="B711" s="26" t="s">
        <v>24</v>
      </c>
      <c r="C711" s="25">
        <v>5.47</v>
      </c>
      <c r="D711" s="96"/>
    </row>
    <row r="712" spans="1:4" ht="15.75" outlineLevel="1">
      <c r="A712" s="25" t="s">
        <v>1069</v>
      </c>
      <c r="B712" s="26" t="s">
        <v>25</v>
      </c>
      <c r="C712" s="25">
        <v>5.48</v>
      </c>
      <c r="D712" s="96"/>
    </row>
    <row r="713" spans="1:4" ht="15.75">
      <c r="A713" s="30" t="s">
        <v>1069</v>
      </c>
      <c r="B713" s="26"/>
      <c r="C713" s="25"/>
      <c r="D713" s="96"/>
    </row>
    <row r="714" spans="1:4" ht="15.75" outlineLevel="1">
      <c r="A714" s="25" t="s">
        <v>1169</v>
      </c>
      <c r="B714" s="26" t="s">
        <v>0</v>
      </c>
      <c r="C714" s="25">
        <v>5.0999999999999996</v>
      </c>
      <c r="D714" s="96"/>
    </row>
    <row r="715" spans="1:4" ht="15.75" outlineLevel="1">
      <c r="A715" s="25" t="s">
        <v>1169</v>
      </c>
      <c r="B715" s="26" t="s">
        <v>1</v>
      </c>
      <c r="C715" s="25">
        <v>5.2</v>
      </c>
      <c r="D715" s="96"/>
    </row>
    <row r="716" spans="1:4" ht="15.75" outlineLevel="1">
      <c r="A716" s="25" t="s">
        <v>1169</v>
      </c>
      <c r="B716" s="26" t="s">
        <v>2</v>
      </c>
      <c r="C716" s="25">
        <v>5.3</v>
      </c>
      <c r="D716" s="96"/>
    </row>
    <row r="717" spans="1:4" ht="15.75" outlineLevel="1">
      <c r="A717" s="25" t="s">
        <v>1169</v>
      </c>
      <c r="B717" s="26" t="s">
        <v>156</v>
      </c>
      <c r="C717" s="25">
        <v>5.6</v>
      </c>
      <c r="D717" s="96"/>
    </row>
    <row r="718" spans="1:4" ht="15.75" outlineLevel="1">
      <c r="A718" s="25" t="s">
        <v>1169</v>
      </c>
      <c r="B718" s="26" t="s">
        <v>1114</v>
      </c>
      <c r="C718" s="27">
        <v>5.0999999999999996</v>
      </c>
      <c r="D718" s="96"/>
    </row>
    <row r="719" spans="1:4" ht="15.75" outlineLevel="1">
      <c r="A719" s="25" t="s">
        <v>1169</v>
      </c>
      <c r="B719" s="26" t="s">
        <v>1113</v>
      </c>
      <c r="C719" s="25">
        <v>5.14</v>
      </c>
      <c r="D719" s="96"/>
    </row>
    <row r="720" spans="1:4" ht="15.75" outlineLevel="1">
      <c r="A720" s="25" t="s">
        <v>1169</v>
      </c>
      <c r="B720" s="26" t="s">
        <v>4</v>
      </c>
      <c r="C720" s="25">
        <v>5.19</v>
      </c>
      <c r="D720" s="96"/>
    </row>
    <row r="721" spans="1:4" ht="15.75" outlineLevel="1">
      <c r="A721" s="25" t="s">
        <v>1169</v>
      </c>
      <c r="B721" s="26" t="s">
        <v>158</v>
      </c>
      <c r="C721" s="25">
        <v>5.24</v>
      </c>
      <c r="D721" s="96"/>
    </row>
    <row r="722" spans="1:4" ht="15.75" outlineLevel="1">
      <c r="A722" s="25" t="s">
        <v>1169</v>
      </c>
      <c r="B722" s="26" t="s">
        <v>5</v>
      </c>
      <c r="C722" s="25">
        <v>5.26</v>
      </c>
      <c r="D722" s="96"/>
    </row>
    <row r="723" spans="1:4" ht="15.75" outlineLevel="1">
      <c r="A723" s="25" t="s">
        <v>1169</v>
      </c>
      <c r="B723" s="26" t="s">
        <v>6</v>
      </c>
      <c r="C723" s="25">
        <v>5.27</v>
      </c>
      <c r="D723" s="96"/>
    </row>
    <row r="724" spans="1:4" ht="15.75" outlineLevel="1">
      <c r="A724" s="25" t="s">
        <v>1169</v>
      </c>
      <c r="B724" s="26" t="s">
        <v>7</v>
      </c>
      <c r="C724" s="25">
        <v>5.28</v>
      </c>
      <c r="D724" s="96"/>
    </row>
    <row r="725" spans="1:4" ht="15.75" outlineLevel="1">
      <c r="A725" s="25" t="s">
        <v>1169</v>
      </c>
      <c r="B725" s="26" t="s">
        <v>159</v>
      </c>
      <c r="C725" s="25">
        <v>5.31</v>
      </c>
      <c r="D725" s="96"/>
    </row>
    <row r="726" spans="1:4" ht="15.75" outlineLevel="1">
      <c r="A726" s="25" t="s">
        <v>1169</v>
      </c>
      <c r="B726" s="26" t="s">
        <v>125</v>
      </c>
      <c r="C726" s="25">
        <v>5.36</v>
      </c>
      <c r="D726" s="96"/>
    </row>
    <row r="727" spans="1:4" ht="15.75" outlineLevel="1">
      <c r="A727" s="25" t="s">
        <v>1169</v>
      </c>
      <c r="B727" s="26" t="s">
        <v>11</v>
      </c>
      <c r="C727" s="25">
        <v>5.53</v>
      </c>
      <c r="D727" s="96"/>
    </row>
    <row r="728" spans="1:4" ht="15.75" outlineLevel="1">
      <c r="A728" s="25" t="s">
        <v>1169</v>
      </c>
      <c r="B728" s="26" t="s">
        <v>160</v>
      </c>
      <c r="C728" s="25">
        <v>5.109</v>
      </c>
      <c r="D728" s="96"/>
    </row>
    <row r="729" spans="1:4" ht="15.75" outlineLevel="1">
      <c r="A729" s="25" t="s">
        <v>1169</v>
      </c>
      <c r="B729" s="26" t="s">
        <v>161</v>
      </c>
      <c r="C729" s="25">
        <v>5.1109999999999998</v>
      </c>
      <c r="D729" s="96"/>
    </row>
    <row r="730" spans="1:4" ht="15.75" outlineLevel="1">
      <c r="A730" s="25" t="s">
        <v>1169</v>
      </c>
      <c r="B730" s="26" t="s">
        <v>134</v>
      </c>
      <c r="C730" s="25">
        <v>5.1120000000000001</v>
      </c>
      <c r="D730" s="96"/>
    </row>
    <row r="731" spans="1:4" ht="15.75" outlineLevel="1">
      <c r="A731" s="25" t="s">
        <v>1169</v>
      </c>
      <c r="B731" s="26" t="s">
        <v>1127</v>
      </c>
      <c r="C731" s="25">
        <v>5.1130000000000004</v>
      </c>
      <c r="D731" s="96"/>
    </row>
    <row r="732" spans="1:4" ht="15.75" outlineLevel="1">
      <c r="A732" s="25" t="s">
        <v>1169</v>
      </c>
      <c r="B732" s="26" t="s">
        <v>163</v>
      </c>
      <c r="C732" s="25">
        <v>5.117</v>
      </c>
      <c r="D732" s="96"/>
    </row>
    <row r="733" spans="1:4" ht="15.75" outlineLevel="1">
      <c r="A733" s="25" t="s">
        <v>1169</v>
      </c>
      <c r="B733" s="26" t="s">
        <v>164</v>
      </c>
      <c r="C733" s="25">
        <v>5.67</v>
      </c>
      <c r="D733" s="96"/>
    </row>
    <row r="734" spans="1:4" ht="15.75" outlineLevel="1">
      <c r="A734" s="25" t="s">
        <v>1169</v>
      </c>
      <c r="B734" s="26" t="s">
        <v>20</v>
      </c>
      <c r="C734" s="25">
        <v>5.63</v>
      </c>
      <c r="D734" s="96"/>
    </row>
    <row r="735" spans="1:4" ht="15.75" outlineLevel="1">
      <c r="A735" s="25" t="s">
        <v>1169</v>
      </c>
      <c r="B735" s="26" t="s">
        <v>24</v>
      </c>
      <c r="C735" s="25">
        <v>5.47</v>
      </c>
      <c r="D735" s="96"/>
    </row>
    <row r="736" spans="1:4" ht="15.75" outlineLevel="1">
      <c r="A736" s="25" t="s">
        <v>1169</v>
      </c>
      <c r="B736" s="26" t="s">
        <v>25</v>
      </c>
      <c r="C736" s="25">
        <v>5.48</v>
      </c>
      <c r="D736" s="96"/>
    </row>
    <row r="737" spans="1:4" ht="15.75">
      <c r="A737" s="30" t="s">
        <v>1170</v>
      </c>
      <c r="B737" s="26"/>
      <c r="C737" s="25"/>
      <c r="D737" s="96"/>
    </row>
    <row r="738" spans="1:4" ht="15.75" outlineLevel="1">
      <c r="A738" s="25" t="s">
        <v>1072</v>
      </c>
      <c r="B738" s="26" t="s">
        <v>0</v>
      </c>
      <c r="C738" s="25">
        <v>5.0999999999999996</v>
      </c>
      <c r="D738" s="96"/>
    </row>
    <row r="739" spans="1:4" ht="15.75" outlineLevel="1">
      <c r="A739" s="25" t="s">
        <v>1072</v>
      </c>
      <c r="B739" s="26" t="s">
        <v>1</v>
      </c>
      <c r="C739" s="25">
        <v>5.2</v>
      </c>
      <c r="D739" s="96"/>
    </row>
    <row r="740" spans="1:4" ht="15.75" outlineLevel="1">
      <c r="A740" s="25" t="s">
        <v>1072</v>
      </c>
      <c r="B740" s="26" t="s">
        <v>131</v>
      </c>
      <c r="C740" s="25">
        <v>5.18</v>
      </c>
      <c r="D740" s="96"/>
    </row>
    <row r="741" spans="1:4" ht="15.75" outlineLevel="1">
      <c r="A741" s="25" t="s">
        <v>1072</v>
      </c>
      <c r="B741" s="26" t="s">
        <v>132</v>
      </c>
      <c r="C741" s="25">
        <v>5.23</v>
      </c>
      <c r="D741" s="96"/>
    </row>
    <row r="742" spans="1:4" ht="15.75" outlineLevel="1">
      <c r="A742" s="25" t="s">
        <v>1072</v>
      </c>
      <c r="B742" s="26" t="s">
        <v>5</v>
      </c>
      <c r="C742" s="25">
        <v>5.26</v>
      </c>
      <c r="D742" s="96"/>
    </row>
    <row r="743" spans="1:4" ht="15.75" outlineLevel="1">
      <c r="A743" s="25" t="s">
        <v>1072</v>
      </c>
      <c r="B743" s="26" t="s">
        <v>6</v>
      </c>
      <c r="C743" s="25">
        <v>5.27</v>
      </c>
      <c r="D743" s="96"/>
    </row>
    <row r="744" spans="1:4" ht="15.75" outlineLevel="1">
      <c r="A744" s="25" t="s">
        <v>1072</v>
      </c>
      <c r="B744" s="26" t="s">
        <v>7</v>
      </c>
      <c r="C744" s="25">
        <v>5.28</v>
      </c>
      <c r="D744" s="96"/>
    </row>
    <row r="745" spans="1:4" ht="15.75" outlineLevel="1">
      <c r="A745" s="25" t="s">
        <v>1072</v>
      </c>
      <c r="B745" s="26" t="s">
        <v>125</v>
      </c>
      <c r="C745" s="25">
        <v>5.36</v>
      </c>
      <c r="D745" s="96"/>
    </row>
    <row r="746" spans="1:4" ht="15.75" outlineLevel="1">
      <c r="A746" s="25" t="s">
        <v>1072</v>
      </c>
      <c r="B746" s="26" t="s">
        <v>133</v>
      </c>
      <c r="C746" s="25">
        <v>5.44</v>
      </c>
      <c r="D746" s="96"/>
    </row>
    <row r="747" spans="1:4" ht="15.75" outlineLevel="1">
      <c r="A747" s="25" t="s">
        <v>1072</v>
      </c>
      <c r="B747" s="26" t="s">
        <v>11</v>
      </c>
      <c r="C747" s="25">
        <v>5.53</v>
      </c>
      <c r="D747" s="96"/>
    </row>
    <row r="748" spans="1:4" ht="15.75" outlineLevel="1">
      <c r="A748" s="25" t="s">
        <v>1072</v>
      </c>
      <c r="B748" s="26" t="s">
        <v>134</v>
      </c>
      <c r="C748" s="25">
        <v>5.1120000000000001</v>
      </c>
      <c r="D748" s="96"/>
    </row>
    <row r="749" spans="1:4" ht="15.75" outlineLevel="1">
      <c r="A749" s="25" t="s">
        <v>1072</v>
      </c>
      <c r="B749" s="26" t="s">
        <v>135</v>
      </c>
      <c r="C749" s="25">
        <v>5.59</v>
      </c>
      <c r="D749" s="96"/>
    </row>
    <row r="750" spans="1:4" ht="15.75" outlineLevel="1">
      <c r="A750" s="25" t="s">
        <v>1072</v>
      </c>
      <c r="B750" s="26" t="s">
        <v>18</v>
      </c>
      <c r="C750" s="25">
        <v>5.54</v>
      </c>
      <c r="D750" s="96"/>
    </row>
    <row r="751" spans="1:4" ht="15.75" outlineLevel="1">
      <c r="A751" s="25" t="s">
        <v>1072</v>
      </c>
      <c r="B751" s="26" t="s">
        <v>20</v>
      </c>
      <c r="C751" s="25">
        <v>5.63</v>
      </c>
      <c r="D751" s="96"/>
    </row>
    <row r="752" spans="1:4" ht="15.75" outlineLevel="1">
      <c r="A752" s="25" t="s">
        <v>1072</v>
      </c>
      <c r="B752" s="26" t="s">
        <v>21</v>
      </c>
      <c r="C752" s="25">
        <v>5.65</v>
      </c>
      <c r="D752" s="96"/>
    </row>
    <row r="753" spans="1:4" ht="15.75" outlineLevel="1">
      <c r="A753" s="25" t="s">
        <v>1072</v>
      </c>
      <c r="B753" s="26" t="s">
        <v>22</v>
      </c>
      <c r="C753" s="25">
        <v>5.68</v>
      </c>
      <c r="D753" s="96"/>
    </row>
    <row r="754" spans="1:4" ht="15.75" outlineLevel="1">
      <c r="A754" s="25" t="s">
        <v>1072</v>
      </c>
      <c r="B754" s="26" t="s">
        <v>24</v>
      </c>
      <c r="C754" s="25">
        <v>5.47</v>
      </c>
      <c r="D754" s="96"/>
    </row>
    <row r="755" spans="1:4" ht="15.75" outlineLevel="1">
      <c r="A755" s="25" t="s">
        <v>1072</v>
      </c>
      <c r="B755" s="26" t="s">
        <v>25</v>
      </c>
      <c r="C755" s="25">
        <v>5.48</v>
      </c>
      <c r="D755" s="96"/>
    </row>
    <row r="756" spans="1:4" ht="15.75">
      <c r="A756" s="30" t="s">
        <v>1072</v>
      </c>
      <c r="B756" s="26"/>
      <c r="C756" s="25"/>
      <c r="D756" s="96"/>
    </row>
    <row r="757" spans="1:4" ht="15.75" outlineLevel="1">
      <c r="A757" s="25" t="s">
        <v>1171</v>
      </c>
      <c r="B757" s="26" t="s">
        <v>0</v>
      </c>
      <c r="C757" s="25">
        <v>5.0999999999999996</v>
      </c>
      <c r="D757" s="96"/>
    </row>
    <row r="758" spans="1:4" ht="15.75" outlineLevel="1">
      <c r="A758" s="25" t="s">
        <v>1171</v>
      </c>
      <c r="B758" s="26" t="s">
        <v>1</v>
      </c>
      <c r="C758" s="25">
        <v>5.2</v>
      </c>
      <c r="D758" s="96"/>
    </row>
    <row r="759" spans="1:4" ht="15.75" outlineLevel="1">
      <c r="A759" s="25" t="s">
        <v>1171</v>
      </c>
      <c r="B759" s="26" t="s">
        <v>120</v>
      </c>
      <c r="C759" s="25">
        <v>5.9</v>
      </c>
      <c r="D759" s="95" t="s">
        <v>1112</v>
      </c>
    </row>
    <row r="760" spans="1:4" ht="15.75" outlineLevel="1">
      <c r="A760" s="25" t="s">
        <v>1171</v>
      </c>
      <c r="B760" s="26" t="s">
        <v>121</v>
      </c>
      <c r="C760" s="25">
        <v>5.13</v>
      </c>
      <c r="D760" s="96"/>
    </row>
    <row r="761" spans="1:4" ht="15.75" outlineLevel="1">
      <c r="A761" s="25" t="s">
        <v>1171</v>
      </c>
      <c r="B761" s="26" t="s">
        <v>122</v>
      </c>
      <c r="C761" s="25">
        <v>5.16</v>
      </c>
      <c r="D761" s="95" t="s">
        <v>1112</v>
      </c>
    </row>
    <row r="762" spans="1:4" ht="15.75" outlineLevel="1">
      <c r="A762" s="25" t="s">
        <v>1171</v>
      </c>
      <c r="B762" s="26" t="s">
        <v>123</v>
      </c>
      <c r="C762" s="25">
        <v>5.22</v>
      </c>
      <c r="D762" s="95"/>
    </row>
    <row r="763" spans="1:4" ht="15.75" outlineLevel="1">
      <c r="A763" s="25" t="s">
        <v>1171</v>
      </c>
      <c r="B763" s="26" t="s">
        <v>124</v>
      </c>
      <c r="C763" s="25">
        <v>5.42</v>
      </c>
      <c r="D763" s="96"/>
    </row>
    <row r="764" spans="1:4" ht="15.75" outlineLevel="1">
      <c r="A764" s="25" t="s">
        <v>1171</v>
      </c>
      <c r="B764" s="26" t="s">
        <v>6</v>
      </c>
      <c r="C764" s="25">
        <v>5.27</v>
      </c>
      <c r="D764" s="96"/>
    </row>
    <row r="765" spans="1:4" ht="15.75" outlineLevel="1">
      <c r="A765" s="25" t="s">
        <v>1171</v>
      </c>
      <c r="B765" s="26" t="s">
        <v>7</v>
      </c>
      <c r="C765" s="25">
        <v>5.28</v>
      </c>
      <c r="D765" s="95" t="s">
        <v>1112</v>
      </c>
    </row>
    <row r="766" spans="1:4" ht="15.75" outlineLevel="1">
      <c r="A766" s="25" t="s">
        <v>1171</v>
      </c>
      <c r="B766" s="26" t="s">
        <v>125</v>
      </c>
      <c r="C766" s="25">
        <v>5.36</v>
      </c>
      <c r="D766" s="96"/>
    </row>
    <row r="767" spans="1:4" ht="15.75" outlineLevel="1">
      <c r="A767" s="25" t="s">
        <v>1171</v>
      </c>
      <c r="B767" s="26" t="s">
        <v>9</v>
      </c>
      <c r="C767" s="25">
        <v>5.49</v>
      </c>
      <c r="D767" s="96"/>
    </row>
    <row r="768" spans="1:4" ht="15.75" outlineLevel="1">
      <c r="A768" s="25" t="s">
        <v>1171</v>
      </c>
      <c r="B768" s="26" t="s">
        <v>10</v>
      </c>
      <c r="C768" s="25">
        <v>5.51</v>
      </c>
      <c r="D768" s="96"/>
    </row>
    <row r="769" spans="1:4" ht="15.75" outlineLevel="1">
      <c r="A769" s="25" t="s">
        <v>1171</v>
      </c>
      <c r="B769" s="26" t="s">
        <v>1160</v>
      </c>
      <c r="C769" s="25">
        <v>5.52</v>
      </c>
      <c r="D769" s="96"/>
    </row>
    <row r="770" spans="1:4" ht="15.75" outlineLevel="1">
      <c r="A770" s="25" t="s">
        <v>1171</v>
      </c>
      <c r="B770" s="26" t="s">
        <v>11</v>
      </c>
      <c r="C770" s="25">
        <v>5.53</v>
      </c>
      <c r="D770" s="96"/>
    </row>
    <row r="771" spans="1:4" ht="15.75" outlineLevel="1">
      <c r="A771" s="25" t="s">
        <v>1171</v>
      </c>
      <c r="B771" s="26" t="s">
        <v>18</v>
      </c>
      <c r="C771" s="25">
        <v>5.54</v>
      </c>
      <c r="D771" s="96"/>
    </row>
    <row r="772" spans="1:4" ht="15.75" outlineLevel="1">
      <c r="A772" s="25" t="s">
        <v>1171</v>
      </c>
      <c r="B772" s="26" t="s">
        <v>14</v>
      </c>
      <c r="C772" s="27">
        <v>5.7</v>
      </c>
      <c r="D772" s="96"/>
    </row>
    <row r="773" spans="1:4" ht="15.75" outlineLevel="1">
      <c r="A773" s="25" t="s">
        <v>1171</v>
      </c>
      <c r="B773" s="26" t="s">
        <v>127</v>
      </c>
      <c r="C773" s="25">
        <v>5.71</v>
      </c>
      <c r="D773" s="96"/>
    </row>
    <row r="774" spans="1:4" ht="15.75" outlineLevel="1">
      <c r="A774" s="25" t="s">
        <v>1171</v>
      </c>
      <c r="B774" s="26" t="s">
        <v>128</v>
      </c>
      <c r="C774" s="27">
        <v>5.9</v>
      </c>
      <c r="D774" s="96"/>
    </row>
    <row r="775" spans="1:4" ht="15.75" outlineLevel="1">
      <c r="A775" s="25" t="s">
        <v>1171</v>
      </c>
      <c r="B775" s="26" t="s">
        <v>129</v>
      </c>
      <c r="C775" s="25">
        <v>5.91</v>
      </c>
      <c r="D775" s="96"/>
    </row>
    <row r="776" spans="1:4" ht="15.75" outlineLevel="1">
      <c r="A776" s="25" t="s">
        <v>1171</v>
      </c>
      <c r="B776" s="26" t="s">
        <v>130</v>
      </c>
      <c r="C776" s="25">
        <v>5.97</v>
      </c>
      <c r="D776" s="96"/>
    </row>
    <row r="777" spans="1:4" ht="15.75">
      <c r="A777" s="30" t="s">
        <v>1171</v>
      </c>
      <c r="B777" s="26"/>
      <c r="C777" s="25"/>
      <c r="D777" s="96"/>
    </row>
    <row r="778" spans="1:4" ht="31.5" outlineLevel="1">
      <c r="A778" s="25" t="s">
        <v>1106</v>
      </c>
      <c r="B778" s="26" t="s">
        <v>0</v>
      </c>
      <c r="C778" s="25">
        <v>5.0999999999999996</v>
      </c>
      <c r="D778" s="96"/>
    </row>
    <row r="779" spans="1:4" ht="31.5" outlineLevel="1">
      <c r="A779" s="25" t="s">
        <v>1106</v>
      </c>
      <c r="B779" s="26" t="s">
        <v>1</v>
      </c>
      <c r="C779" s="25">
        <v>5.2</v>
      </c>
      <c r="D779" s="96"/>
    </row>
    <row r="780" spans="1:4" ht="31.5" outlineLevel="1">
      <c r="A780" s="25" t="s">
        <v>1106</v>
      </c>
      <c r="B780" s="26" t="s">
        <v>5</v>
      </c>
      <c r="C780" s="25">
        <v>5.26</v>
      </c>
      <c r="D780" s="96"/>
    </row>
    <row r="781" spans="1:4" ht="31.5" outlineLevel="1">
      <c r="A781" s="25" t="s">
        <v>1106</v>
      </c>
      <c r="B781" s="26" t="s">
        <v>199</v>
      </c>
      <c r="C781" s="25">
        <v>5.5</v>
      </c>
      <c r="D781" s="96"/>
    </row>
    <row r="782" spans="1:4" ht="31.5" outlineLevel="1">
      <c r="A782" s="25" t="s">
        <v>1106</v>
      </c>
      <c r="B782" s="26" t="s">
        <v>200</v>
      </c>
      <c r="C782" s="25">
        <v>5.8</v>
      </c>
      <c r="D782" s="95" t="s">
        <v>1112</v>
      </c>
    </row>
    <row r="783" spans="1:4" ht="31.5" outlineLevel="1">
      <c r="A783" s="25" t="s">
        <v>1106</v>
      </c>
      <c r="B783" s="26" t="s">
        <v>201</v>
      </c>
      <c r="C783" s="25">
        <v>5.12</v>
      </c>
      <c r="D783" s="25"/>
    </row>
    <row r="784" spans="1:4" ht="31.5" outlineLevel="1">
      <c r="A784" s="25" t="s">
        <v>1106</v>
      </c>
      <c r="B784" s="26" t="s">
        <v>202</v>
      </c>
      <c r="C784" s="25">
        <v>5.15</v>
      </c>
      <c r="D784" s="25"/>
    </row>
    <row r="785" spans="1:4" ht="31.5" outlineLevel="1">
      <c r="A785" s="25" t="s">
        <v>1106</v>
      </c>
      <c r="B785" s="26" t="s">
        <v>203</v>
      </c>
      <c r="C785" s="27">
        <v>5.2</v>
      </c>
      <c r="D785" s="95"/>
    </row>
    <row r="786" spans="1:4" ht="31.5" outlineLevel="1">
      <c r="A786" s="25" t="s">
        <v>1106</v>
      </c>
      <c r="B786" s="26" t="s">
        <v>204</v>
      </c>
      <c r="C786" s="25">
        <v>5.25</v>
      </c>
      <c r="D786" s="25"/>
    </row>
    <row r="787" spans="1:4" ht="31.5" outlineLevel="1">
      <c r="A787" s="25" t="s">
        <v>1106</v>
      </c>
      <c r="B787" s="26" t="s">
        <v>11</v>
      </c>
      <c r="C787" s="25">
        <v>5.53</v>
      </c>
      <c r="D787" s="25"/>
    </row>
    <row r="788" spans="1:4" ht="31.5" outlineLevel="1">
      <c r="A788" s="25" t="s">
        <v>1106</v>
      </c>
      <c r="B788" s="26" t="s">
        <v>205</v>
      </c>
      <c r="C788" s="27">
        <v>5.4</v>
      </c>
      <c r="D788" s="25"/>
    </row>
    <row r="789" spans="1:4" ht="31.5" outlineLevel="1">
      <c r="A789" s="25" t="s">
        <v>1106</v>
      </c>
      <c r="B789" s="26" t="s">
        <v>206</v>
      </c>
      <c r="C789" s="25">
        <v>5.92</v>
      </c>
      <c r="D789" s="25"/>
    </row>
    <row r="790" spans="1:4" ht="31.5" outlineLevel="1">
      <c r="A790" s="25" t="s">
        <v>1106</v>
      </c>
      <c r="B790" s="26" t="s">
        <v>207</v>
      </c>
      <c r="C790" s="25">
        <v>5.93</v>
      </c>
      <c r="D790" s="25"/>
    </row>
    <row r="791" spans="1:4" ht="31.5" outlineLevel="1">
      <c r="A791" s="25" t="s">
        <v>1106</v>
      </c>
      <c r="B791" s="26" t="s">
        <v>208</v>
      </c>
      <c r="C791" s="25">
        <v>5.94</v>
      </c>
      <c r="D791" s="25"/>
    </row>
    <row r="792" spans="1:4" ht="31.5" outlineLevel="1">
      <c r="A792" s="25" t="s">
        <v>1106</v>
      </c>
      <c r="B792" s="26" t="s">
        <v>209</v>
      </c>
      <c r="C792" s="25">
        <v>5.95</v>
      </c>
      <c r="D792" s="25"/>
    </row>
    <row r="793" spans="1:4" ht="31.5" outlineLevel="1">
      <c r="A793" s="25" t="s">
        <v>1106</v>
      </c>
      <c r="B793" s="26" t="s">
        <v>210</v>
      </c>
      <c r="C793" s="25">
        <v>5.98</v>
      </c>
      <c r="D793" s="25"/>
    </row>
    <row r="794" spans="1:4" ht="31.5" outlineLevel="1">
      <c r="A794" s="25" t="s">
        <v>1106</v>
      </c>
      <c r="B794" s="26" t="s">
        <v>211</v>
      </c>
      <c r="C794" s="25">
        <v>5.96</v>
      </c>
      <c r="D794" s="25"/>
    </row>
    <row r="795" spans="1:4" ht="31.5">
      <c r="A795" s="30" t="s">
        <v>1106</v>
      </c>
      <c r="B795" s="26"/>
      <c r="C795" s="25"/>
      <c r="D795" s="25"/>
    </row>
  </sheetData>
  <autoFilter ref="A1:D795" xr:uid="{00000000-0009-0000-0000-000020000000}"/>
  <pageMargins left="0.7" right="0.7" top="0.75" bottom="0.75" header="0.3" footer="0.3"/>
  <pageSetup paperSize="9" orientation="portrait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 codeName="Sheet38"/>
  <dimension ref="A2:B121"/>
  <sheetViews>
    <sheetView rightToLeft="1" workbookViewId="0"/>
  </sheetViews>
  <sheetFormatPr defaultRowHeight="14.25"/>
  <cols>
    <col min="1" max="1" width="63.25" bestFit="1" customWidth="1"/>
    <col min="2" max="2" width="13.75" customWidth="1"/>
  </cols>
  <sheetData>
    <row r="2" spans="1:2" ht="15">
      <c r="A2" s="16" t="s">
        <v>1188</v>
      </c>
    </row>
    <row r="3" spans="1:2">
      <c r="A3" t="s">
        <v>1189</v>
      </c>
      <c r="B3" t="s">
        <v>1190</v>
      </c>
    </row>
    <row r="4" spans="1:2">
      <c r="A4" t="s">
        <v>186</v>
      </c>
      <c r="B4" t="s">
        <v>1191</v>
      </c>
    </row>
    <row r="5" spans="1:2">
      <c r="A5" t="s">
        <v>1192</v>
      </c>
      <c r="B5" t="s">
        <v>1193</v>
      </c>
    </row>
    <row r="6" spans="1:2">
      <c r="A6" t="s">
        <v>1194</v>
      </c>
      <c r="B6" t="s">
        <v>1195</v>
      </c>
    </row>
    <row r="7" spans="1:2">
      <c r="A7" t="s">
        <v>1196</v>
      </c>
      <c r="B7" t="s">
        <v>1197</v>
      </c>
    </row>
    <row r="8" spans="1:2">
      <c r="A8" t="s">
        <v>1198</v>
      </c>
      <c r="B8" t="s">
        <v>1199</v>
      </c>
    </row>
    <row r="10" spans="1:2" ht="15">
      <c r="A10" s="16" t="s">
        <v>1200</v>
      </c>
    </row>
    <row r="11" spans="1:2">
      <c r="A11" t="s">
        <v>1201</v>
      </c>
    </row>
    <row r="12" spans="1:2">
      <c r="A12" t="s">
        <v>1202</v>
      </c>
      <c r="B12" t="s">
        <v>1203</v>
      </c>
    </row>
    <row r="14" spans="1:2">
      <c r="A14" s="24"/>
    </row>
    <row r="15" spans="1:2" ht="15">
      <c r="A15" s="16" t="s">
        <v>1204</v>
      </c>
    </row>
    <row r="16" spans="1:2">
      <c r="A16" s="22" t="s">
        <v>1205</v>
      </c>
    </row>
    <row r="17" spans="1:2">
      <c r="A17" s="22" t="s">
        <v>1206</v>
      </c>
    </row>
    <row r="18" spans="1:2">
      <c r="A18" s="22" t="s">
        <v>1207</v>
      </c>
    </row>
    <row r="19" spans="1:2">
      <c r="A19" s="22" t="s">
        <v>1208</v>
      </c>
    </row>
    <row r="21" spans="1:2" ht="15">
      <c r="A21" s="23" t="s">
        <v>1209</v>
      </c>
    </row>
    <row r="22" spans="1:2">
      <c r="A22">
        <v>2022</v>
      </c>
      <c r="B22">
        <v>22</v>
      </c>
    </row>
    <row r="23" spans="1:2">
      <c r="A23">
        <v>2023</v>
      </c>
      <c r="B23">
        <v>23</v>
      </c>
    </row>
    <row r="24" spans="1:2">
      <c r="A24">
        <v>2024</v>
      </c>
      <c r="B24">
        <v>24</v>
      </c>
    </row>
    <row r="25" spans="1:2">
      <c r="A25">
        <v>2025</v>
      </c>
      <c r="B25">
        <v>25</v>
      </c>
    </row>
    <row r="26" spans="1:2">
      <c r="A26">
        <v>2026</v>
      </c>
      <c r="B26">
        <v>26</v>
      </c>
    </row>
    <row r="27" spans="1:2">
      <c r="A27">
        <v>2027</v>
      </c>
      <c r="B27">
        <v>27</v>
      </c>
    </row>
    <row r="28" spans="1:2">
      <c r="A28">
        <v>2028</v>
      </c>
      <c r="B28">
        <v>28</v>
      </c>
    </row>
    <row r="29" spans="1:2">
      <c r="A29">
        <v>2029</v>
      </c>
      <c r="B29">
        <v>29</v>
      </c>
    </row>
    <row r="30" spans="1:2">
      <c r="A30">
        <v>2030</v>
      </c>
      <c r="B30">
        <v>30</v>
      </c>
    </row>
    <row r="31" spans="1:2">
      <c r="A31">
        <v>2031</v>
      </c>
      <c r="B31">
        <v>31</v>
      </c>
    </row>
    <row r="34" spans="1:2" ht="15">
      <c r="A34" s="16" t="s">
        <v>1210</v>
      </c>
      <c r="B34" s="16" t="s">
        <v>318</v>
      </c>
    </row>
    <row r="35" spans="1:2">
      <c r="A35" s="8" t="s">
        <v>1211</v>
      </c>
      <c r="B35" s="29">
        <v>512310509</v>
      </c>
    </row>
    <row r="36" spans="1:2">
      <c r="A36" t="s">
        <v>1212</v>
      </c>
      <c r="B36" s="29">
        <v>513910703</v>
      </c>
    </row>
    <row r="37" spans="1:2">
      <c r="A37" t="s">
        <v>1213</v>
      </c>
      <c r="B37" s="29">
        <v>512304882</v>
      </c>
    </row>
    <row r="38" spans="1:2">
      <c r="A38" t="s">
        <v>1214</v>
      </c>
      <c r="B38" s="29">
        <v>520030677</v>
      </c>
    </row>
    <row r="39" spans="1:2">
      <c r="A39" t="s">
        <v>1215</v>
      </c>
      <c r="B39" s="29">
        <v>513621110</v>
      </c>
    </row>
    <row r="40" spans="1:2">
      <c r="A40" t="s">
        <v>1216</v>
      </c>
      <c r="B40" s="8">
        <v>513173393</v>
      </c>
    </row>
    <row r="41" spans="1:2">
      <c r="A41" t="s">
        <v>1217</v>
      </c>
      <c r="B41" s="8">
        <v>511880460</v>
      </c>
    </row>
    <row r="42" spans="1:2">
      <c r="A42" t="s">
        <v>1218</v>
      </c>
      <c r="B42" s="8">
        <v>510773922</v>
      </c>
    </row>
    <row r="43" spans="1:2">
      <c r="A43" t="s">
        <v>1219</v>
      </c>
      <c r="B43">
        <v>520021916</v>
      </c>
    </row>
    <row r="44" spans="1:2">
      <c r="A44" t="s">
        <v>1220</v>
      </c>
      <c r="B44">
        <v>520044025</v>
      </c>
    </row>
    <row r="45" spans="1:2">
      <c r="A45" t="s">
        <v>1221</v>
      </c>
      <c r="B45">
        <v>570003152</v>
      </c>
    </row>
    <row r="46" spans="1:2">
      <c r="A46" t="s">
        <v>1222</v>
      </c>
      <c r="B46" s="8">
        <v>520023094</v>
      </c>
    </row>
    <row r="47" spans="1:2">
      <c r="A47" t="s">
        <v>1223</v>
      </c>
      <c r="B47" s="8">
        <v>512711409</v>
      </c>
    </row>
    <row r="48" spans="1:2">
      <c r="A48" t="s">
        <v>1224</v>
      </c>
      <c r="B48">
        <v>515859379</v>
      </c>
    </row>
    <row r="49" spans="1:2">
      <c r="A49" t="s">
        <v>1225</v>
      </c>
      <c r="B49" s="8">
        <v>520030990</v>
      </c>
    </row>
    <row r="50" spans="1:2">
      <c r="A50" t="s">
        <v>1226</v>
      </c>
      <c r="B50" s="8">
        <v>520028812</v>
      </c>
    </row>
    <row r="51" spans="1:2">
      <c r="A51" t="s">
        <v>1227</v>
      </c>
      <c r="B51" s="8">
        <v>520034968</v>
      </c>
    </row>
    <row r="52" spans="1:2">
      <c r="A52" t="s">
        <v>1228</v>
      </c>
      <c r="B52" s="8">
        <v>520031824</v>
      </c>
    </row>
    <row r="53" spans="1:2">
      <c r="A53" t="s">
        <v>1229</v>
      </c>
      <c r="B53" s="8">
        <v>520005497</v>
      </c>
    </row>
    <row r="54" spans="1:2">
      <c r="A54" t="s">
        <v>1230</v>
      </c>
      <c r="B54" s="8">
        <v>520022518</v>
      </c>
    </row>
    <row r="55" spans="1:2">
      <c r="A55" t="s">
        <v>1231</v>
      </c>
      <c r="B55" s="8">
        <v>520028556</v>
      </c>
    </row>
    <row r="56" spans="1:2">
      <c r="A56" t="s">
        <v>1232</v>
      </c>
      <c r="B56" s="8">
        <v>520032269</v>
      </c>
    </row>
    <row r="57" spans="1:2">
      <c r="A57" t="s">
        <v>1233</v>
      </c>
      <c r="B57" s="8">
        <v>520027954</v>
      </c>
    </row>
    <row r="58" spans="1:2">
      <c r="A58" t="s">
        <v>1234</v>
      </c>
      <c r="B58">
        <v>520029620</v>
      </c>
    </row>
    <row r="59" spans="1:2">
      <c r="A59" t="s">
        <v>1235</v>
      </c>
      <c r="B59" s="8">
        <v>520028861</v>
      </c>
    </row>
    <row r="60" spans="1:2">
      <c r="A60" t="s">
        <v>1236</v>
      </c>
      <c r="B60" s="8">
        <v>520030743</v>
      </c>
    </row>
    <row r="61" spans="1:2">
      <c r="A61" t="s">
        <v>1237</v>
      </c>
      <c r="B61">
        <v>520042177</v>
      </c>
    </row>
    <row r="62" spans="1:2">
      <c r="A62" t="s">
        <v>1238</v>
      </c>
      <c r="B62" s="8">
        <v>515447035</v>
      </c>
    </row>
    <row r="63" spans="1:2">
      <c r="A63" t="s">
        <v>1239</v>
      </c>
      <c r="B63" s="8">
        <v>520042607</v>
      </c>
    </row>
    <row r="64" spans="1:2">
      <c r="A64" t="s">
        <v>1240</v>
      </c>
      <c r="B64" s="8">
        <v>513026484</v>
      </c>
    </row>
    <row r="65" spans="1:2">
      <c r="A65" t="s">
        <v>1241</v>
      </c>
      <c r="B65">
        <v>520023185</v>
      </c>
    </row>
    <row r="66" spans="1:2">
      <c r="A66" t="s">
        <v>1242</v>
      </c>
      <c r="B66">
        <v>520004078</v>
      </c>
    </row>
    <row r="67" spans="1:2">
      <c r="A67" t="s">
        <v>1243</v>
      </c>
      <c r="B67" s="8">
        <v>512267592</v>
      </c>
    </row>
    <row r="68" spans="1:2">
      <c r="A68" t="s">
        <v>1244</v>
      </c>
      <c r="B68">
        <v>515764868</v>
      </c>
    </row>
    <row r="69" spans="1:2">
      <c r="A69" t="s">
        <v>1245</v>
      </c>
      <c r="B69" s="8">
        <v>513452003</v>
      </c>
    </row>
    <row r="70" spans="1:2">
      <c r="A70" t="s">
        <v>1246</v>
      </c>
      <c r="B70" s="8">
        <v>510142789</v>
      </c>
    </row>
    <row r="71" spans="1:2">
      <c r="A71" t="s">
        <v>1247</v>
      </c>
      <c r="B71" s="8">
        <v>510960586</v>
      </c>
    </row>
    <row r="72" spans="1:2">
      <c r="A72" t="s">
        <v>1248</v>
      </c>
      <c r="B72" s="8">
        <v>510930670</v>
      </c>
    </row>
    <row r="73" spans="1:2">
      <c r="A73" t="s">
        <v>1249</v>
      </c>
      <c r="B73" s="8">
        <v>510927536</v>
      </c>
    </row>
    <row r="74" spans="1:2">
      <c r="A74" t="s">
        <v>1250</v>
      </c>
      <c r="B74" s="8">
        <v>510930654</v>
      </c>
    </row>
    <row r="75" spans="1:2">
      <c r="A75" t="s">
        <v>1251</v>
      </c>
      <c r="B75" s="8">
        <v>520032566</v>
      </c>
    </row>
    <row r="76" spans="1:2">
      <c r="A76" t="s">
        <v>1252</v>
      </c>
      <c r="B76" s="8">
        <v>513611509</v>
      </c>
    </row>
    <row r="77" spans="1:2">
      <c r="A77" t="s">
        <v>1253</v>
      </c>
      <c r="B77">
        <v>510888985</v>
      </c>
    </row>
    <row r="78" spans="1:2">
      <c r="A78" t="s">
        <v>1254</v>
      </c>
      <c r="B78">
        <v>520024647</v>
      </c>
    </row>
    <row r="79" spans="1:2">
      <c r="A79" t="s">
        <v>1255</v>
      </c>
      <c r="B79" s="8">
        <v>512244146</v>
      </c>
    </row>
    <row r="80" spans="1:2">
      <c r="A80" t="s">
        <v>1256</v>
      </c>
      <c r="B80" s="8">
        <v>510694821</v>
      </c>
    </row>
    <row r="81" spans="1:2">
      <c r="A81" t="s">
        <v>1257</v>
      </c>
      <c r="B81">
        <v>515761625</v>
      </c>
    </row>
    <row r="82" spans="1:2">
      <c r="A82" t="s">
        <v>1258</v>
      </c>
      <c r="B82" s="8">
        <v>511423048</v>
      </c>
    </row>
    <row r="83" spans="1:2">
      <c r="A83" t="s">
        <v>1259</v>
      </c>
      <c r="B83" s="8">
        <v>520019688</v>
      </c>
    </row>
    <row r="84" spans="1:2">
      <c r="A84" t="s">
        <v>1260</v>
      </c>
      <c r="B84">
        <v>520004896</v>
      </c>
    </row>
    <row r="85" spans="1:2">
      <c r="A85" t="s">
        <v>1261</v>
      </c>
      <c r="B85" s="8">
        <v>512237744</v>
      </c>
    </row>
    <row r="86" spans="1:2">
      <c r="A86" t="s">
        <v>1262</v>
      </c>
      <c r="B86" s="8">
        <v>514956465</v>
      </c>
    </row>
    <row r="87" spans="1:2">
      <c r="A87" t="s">
        <v>1263</v>
      </c>
      <c r="B87" s="8">
        <v>512362914</v>
      </c>
    </row>
    <row r="88" spans="1:2">
      <c r="A88" t="s">
        <v>1264</v>
      </c>
      <c r="B88" s="8">
        <v>520042615</v>
      </c>
    </row>
    <row r="89" spans="1:2">
      <c r="A89" t="s">
        <v>1265</v>
      </c>
      <c r="B89" s="8">
        <v>512065202</v>
      </c>
    </row>
    <row r="90" spans="1:2">
      <c r="A90" t="s">
        <v>1266</v>
      </c>
      <c r="B90">
        <v>520042540</v>
      </c>
    </row>
    <row r="91" spans="1:2">
      <c r="A91" t="s">
        <v>1267</v>
      </c>
      <c r="B91" s="8">
        <v>520027715</v>
      </c>
    </row>
    <row r="92" spans="1:2">
      <c r="A92" t="s">
        <v>1268</v>
      </c>
      <c r="B92" s="8">
        <v>512245812</v>
      </c>
    </row>
    <row r="93" spans="1:2">
      <c r="A93" t="s">
        <v>1269</v>
      </c>
      <c r="B93" s="8">
        <v>520022351</v>
      </c>
    </row>
    <row r="94" spans="1:2">
      <c r="A94" t="s">
        <v>1270</v>
      </c>
      <c r="B94" s="8">
        <v>514767490</v>
      </c>
    </row>
    <row r="95" spans="1:2">
      <c r="A95" t="s">
        <v>1271</v>
      </c>
      <c r="B95" s="8">
        <v>520024985</v>
      </c>
    </row>
    <row r="96" spans="1:2">
      <c r="A96" t="s">
        <v>1272</v>
      </c>
      <c r="B96" s="8">
        <v>520042573</v>
      </c>
    </row>
    <row r="97" spans="1:2">
      <c r="A97" t="s">
        <v>1273</v>
      </c>
      <c r="B97" s="8">
        <v>570009449</v>
      </c>
    </row>
    <row r="98" spans="1:2">
      <c r="A98" t="s">
        <v>1274</v>
      </c>
      <c r="B98" s="8">
        <v>520031659</v>
      </c>
    </row>
    <row r="99" spans="1:2">
      <c r="A99" t="s">
        <v>1275</v>
      </c>
      <c r="B99" s="8">
        <v>520042581</v>
      </c>
    </row>
    <row r="100" spans="1:2">
      <c r="A100" t="s">
        <v>1276</v>
      </c>
      <c r="B100">
        <v>520031030</v>
      </c>
    </row>
    <row r="101" spans="1:2">
      <c r="A101" t="s">
        <v>1277</v>
      </c>
      <c r="B101" s="8">
        <v>520030941</v>
      </c>
    </row>
    <row r="102" spans="1:2">
      <c r="A102" t="s">
        <v>1278</v>
      </c>
      <c r="B102" s="8">
        <v>512008335</v>
      </c>
    </row>
    <row r="103" spans="1:2">
      <c r="A103" t="s">
        <v>1279</v>
      </c>
      <c r="B103" s="8">
        <v>520022963</v>
      </c>
    </row>
    <row r="104" spans="1:2">
      <c r="A104" t="s">
        <v>1280</v>
      </c>
      <c r="B104" s="8">
        <v>570011767</v>
      </c>
    </row>
    <row r="105" spans="1:2">
      <c r="A105" t="s">
        <v>1281</v>
      </c>
      <c r="B105" s="8">
        <v>570014928</v>
      </c>
    </row>
    <row r="106" spans="1:2">
      <c r="A106" t="s">
        <v>1282</v>
      </c>
      <c r="B106" s="8">
        <v>570005959</v>
      </c>
    </row>
    <row r="107" spans="1:2">
      <c r="A107" t="s">
        <v>1283</v>
      </c>
      <c r="B107" s="8">
        <v>510800402</v>
      </c>
    </row>
    <row r="108" spans="1:2">
      <c r="A108" t="s">
        <v>1284</v>
      </c>
      <c r="B108" s="8">
        <v>570007476</v>
      </c>
    </row>
    <row r="109" spans="1:2">
      <c r="A109" t="s">
        <v>1285</v>
      </c>
      <c r="B109" s="8">
        <v>570005850</v>
      </c>
    </row>
    <row r="110" spans="1:2">
      <c r="A110" t="s">
        <v>1286</v>
      </c>
      <c r="B110" s="8">
        <v>520020504</v>
      </c>
    </row>
    <row r="111" spans="1:2">
      <c r="A111" t="s">
        <v>1287</v>
      </c>
      <c r="B111" s="8">
        <v>520020447</v>
      </c>
    </row>
    <row r="112" spans="1:2">
      <c r="A112" t="s">
        <v>1288</v>
      </c>
      <c r="B112" s="8">
        <v>511033060</v>
      </c>
    </row>
    <row r="113" spans="1:2">
      <c r="A113" t="s">
        <v>1289</v>
      </c>
      <c r="B113">
        <v>520027848</v>
      </c>
    </row>
    <row r="114" spans="1:2">
      <c r="A114" t="s">
        <v>1290</v>
      </c>
      <c r="B114" s="8">
        <v>570009852</v>
      </c>
    </row>
    <row r="115" spans="1:2">
      <c r="A115" t="s">
        <v>1291</v>
      </c>
      <c r="B115" s="8">
        <v>520027251</v>
      </c>
    </row>
    <row r="116" spans="1:2">
      <c r="A116" t="s">
        <v>1292</v>
      </c>
      <c r="B116" s="8">
        <v>520028390</v>
      </c>
    </row>
    <row r="117" spans="1:2">
      <c r="A117" t="s">
        <v>1293</v>
      </c>
      <c r="B117" s="8">
        <v>510806870</v>
      </c>
    </row>
    <row r="118" spans="1:2">
      <c r="A118" t="s">
        <v>1294</v>
      </c>
      <c r="B118">
        <v>513879189</v>
      </c>
    </row>
    <row r="119" spans="1:2">
      <c r="A119" t="s">
        <v>1295</v>
      </c>
      <c r="B119">
        <v>510015951</v>
      </c>
    </row>
    <row r="120" spans="1:2">
      <c r="A120" t="s">
        <v>1296</v>
      </c>
      <c r="B120" s="8">
        <v>520030693</v>
      </c>
    </row>
    <row r="121" spans="1:2">
      <c r="A121" t="s">
        <v>1297</v>
      </c>
      <c r="B121" s="8">
        <v>570002618</v>
      </c>
    </row>
  </sheetData>
  <sortState xmlns:xlrd2="http://schemas.microsoft.com/office/spreadsheetml/2017/richdata2" ref="A34:B124">
    <sortCondition ref="A34:A124"/>
  </sortState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34</vt:i4>
      </vt:variant>
      <vt:variant>
        <vt:lpstr>טווחים בעלי שם</vt:lpstr>
      </vt:variant>
      <vt:variant>
        <vt:i4>77</vt:i4>
      </vt:variant>
    </vt:vector>
  </HeadingPairs>
  <TitlesOfParts>
    <vt:vector size="111" baseType="lpstr">
      <vt:lpstr>עמוד פתיחה</vt:lpstr>
      <vt:lpstr>סכום נכסים</vt:lpstr>
      <vt:lpstr>מזומנים ושווי מזומנים</vt:lpstr>
      <vt:lpstr>איגרות חוב ממשלתיות</vt:lpstr>
      <vt:lpstr>ניירות ערך מסחריים</vt:lpstr>
      <vt:lpstr>איגרות חוב</vt:lpstr>
      <vt:lpstr>מניות מבכ ויהש</vt:lpstr>
      <vt:lpstr>קרנות סל</vt:lpstr>
      <vt:lpstr>קרנות נאמנות</vt:lpstr>
      <vt:lpstr>כתבי אופציה</vt:lpstr>
      <vt:lpstr>אופציות</vt:lpstr>
      <vt:lpstr>חוזים עתידיים</vt:lpstr>
      <vt:lpstr>מוצרים מובנים</vt:lpstr>
      <vt:lpstr>לא סחיר איגרות חוב ממשלתיות</vt:lpstr>
      <vt:lpstr>לא סחיר איגרות חוב מיועדות</vt:lpstr>
      <vt:lpstr>אפיק השקעה מובטח תשואה</vt:lpstr>
      <vt:lpstr>לא סחיר ניירות ערך מסחריים</vt:lpstr>
      <vt:lpstr>לא סחיר איגרות חוב</vt:lpstr>
      <vt:lpstr>לא סחיר מניות מבכ ויהש</vt:lpstr>
      <vt:lpstr>קרנות השקעה</vt:lpstr>
      <vt:lpstr>לא סחיר כתבי אופציה</vt:lpstr>
      <vt:lpstr>לא סחיר אופציות</vt:lpstr>
      <vt:lpstr>לא סחיר נגזרים אחרים</vt:lpstr>
      <vt:lpstr>הלוואות</vt:lpstr>
      <vt:lpstr>לא סחיר מוצרים מובנים</vt:lpstr>
      <vt:lpstr>פיקדונות מעל 3 חודשים</vt:lpstr>
      <vt:lpstr>זכויות מקרקעין</vt:lpstr>
      <vt:lpstr>השקעה בחברות מוחזקות</vt:lpstr>
      <vt:lpstr>נכסים אחרים</vt:lpstr>
      <vt:lpstr>מסגרות אשראי</vt:lpstr>
      <vt:lpstr>יתרות התחייבות להשקעה</vt:lpstr>
      <vt:lpstr>אפשרויות בחירה</vt:lpstr>
      <vt:lpstr>מיפוי סעיפים</vt:lpstr>
      <vt:lpstr>File Name Info</vt:lpstr>
      <vt:lpstr>Additional_Factor</vt:lpstr>
      <vt:lpstr>Amoritization</vt:lpstr>
      <vt:lpstr>Capsule</vt:lpstr>
      <vt:lpstr>Company_Name</vt:lpstr>
      <vt:lpstr>Company_Name_ID</vt:lpstr>
      <vt:lpstr>Consortium</vt:lpstr>
      <vt:lpstr>Country_list</vt:lpstr>
      <vt:lpstr>Country_list_funds</vt:lpstr>
      <vt:lpstr>CSA</vt:lpstr>
      <vt:lpstr>Delivery</vt:lpstr>
      <vt:lpstr>Dependence_Independence</vt:lpstr>
      <vt:lpstr>Duration_Underlying_Interest_Rate</vt:lpstr>
      <vt:lpstr>File_Type</vt:lpstr>
      <vt:lpstr>Full_File_Type</vt:lpstr>
      <vt:lpstr>Full_Type</vt:lpstr>
      <vt:lpstr>Full_Type_Nostro</vt:lpstr>
      <vt:lpstr>Full_Year</vt:lpstr>
      <vt:lpstr>Fund_Strategy</vt:lpstr>
      <vt:lpstr>Fund_type</vt:lpstr>
      <vt:lpstr>Holding_interest</vt:lpstr>
      <vt:lpstr>In_the_books</vt:lpstr>
      <vt:lpstr>Industry_Sector</vt:lpstr>
      <vt:lpstr>Industry_sector_all</vt:lpstr>
      <vt:lpstr>Industry_sectors</vt:lpstr>
      <vt:lpstr>israel_abroad</vt:lpstr>
      <vt:lpstr>Issuer_Number_Banks</vt:lpstr>
      <vt:lpstr>Issuer_Number_Fund</vt:lpstr>
      <vt:lpstr>issuer_number_loan</vt:lpstr>
      <vt:lpstr>Issuer_Number_Type</vt:lpstr>
      <vt:lpstr>Issuer_Number_Type_2</vt:lpstr>
      <vt:lpstr>Issuer_Number_Type_3</vt:lpstr>
      <vt:lpstr>'אפשרויות בחירה'!Issuer_Number_Type_V2</vt:lpstr>
      <vt:lpstr>Issuer_Type_TFunds</vt:lpstr>
      <vt:lpstr>Leading_factor</vt:lpstr>
      <vt:lpstr>Linked_Type</vt:lpstr>
      <vt:lpstr>other_investments</vt:lpstr>
      <vt:lpstr>Penalty</vt:lpstr>
      <vt:lpstr>QTR</vt:lpstr>
      <vt:lpstr>Rating_Agency</vt:lpstr>
      <vt:lpstr>real_estate_lifestage</vt:lpstr>
      <vt:lpstr>real_estate_loans</vt:lpstr>
      <vt:lpstr>Real_Estate_Main_Use</vt:lpstr>
      <vt:lpstr>Recourse_Nonrecourse</vt:lpstr>
      <vt:lpstr>Repayment_Rights</vt:lpstr>
      <vt:lpstr>Reset_frequency</vt:lpstr>
      <vt:lpstr>Security_ID_Number_Type</vt:lpstr>
      <vt:lpstr>'אפשרויות בחירה'!Security_Number_Loans</vt:lpstr>
      <vt:lpstr>Stock_Exchange</vt:lpstr>
      <vt:lpstr>Stock_Exchange_Gov_Bonds</vt:lpstr>
      <vt:lpstr>Subordination_Risk</vt:lpstr>
      <vt:lpstr>Tradeable_Status</vt:lpstr>
      <vt:lpstr>Tradeable_Status_All</vt:lpstr>
      <vt:lpstr>tradeable_status_bonds</vt:lpstr>
      <vt:lpstr>tradeable_status_funds</vt:lpstr>
      <vt:lpstr>tradeable_status_stock</vt:lpstr>
      <vt:lpstr>Tradeable_Status_v2</vt:lpstr>
      <vt:lpstr>tradeable_status_warrants</vt:lpstr>
      <vt:lpstr>tradeable_status_warrants_v2</vt:lpstr>
      <vt:lpstr>'אפשרויות בחירה'!Transaction</vt:lpstr>
      <vt:lpstr>Type</vt:lpstr>
      <vt:lpstr>Type_of_Interest_Rate</vt:lpstr>
      <vt:lpstr>Type_of_Security</vt:lpstr>
      <vt:lpstr>Type_of_Security_ID</vt:lpstr>
      <vt:lpstr>Type_of_Security_ID_Fund</vt:lpstr>
      <vt:lpstr>'אפשרויות בחירה'!Type_of_Security_ID_V2</vt:lpstr>
      <vt:lpstr>Underlying_Asset</vt:lpstr>
      <vt:lpstr>Underlying_Asset_Structured</vt:lpstr>
      <vt:lpstr>Underlying_Interest_Rates</vt:lpstr>
      <vt:lpstr>'אפשרויות בחירה'!Underlying_Interest_Rates_Der</vt:lpstr>
      <vt:lpstr>Valuation</vt:lpstr>
      <vt:lpstr>Valuation_Loans</vt:lpstr>
      <vt:lpstr>Valuation_Method</vt:lpstr>
      <vt:lpstr>Valuation_Realestate</vt:lpstr>
      <vt:lpstr>What_is_rated</vt:lpstr>
      <vt:lpstr>what_is_rated_loans</vt:lpstr>
      <vt:lpstr>YEAR</vt:lpstr>
      <vt:lpstr>Yes_No_Bad_Debt</vt:lpstr>
    </vt:vector>
  </TitlesOfParts>
  <Company>MOF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עדכון 4.12.2023</dc:title>
  <dc:creator>נירית שימרון</dc:creator>
  <cp:lastModifiedBy>Porat Yaniv</cp:lastModifiedBy>
  <cp:lastPrinted>2022-08-08T09:16:18Z</cp:lastPrinted>
  <dcterms:created xsi:type="dcterms:W3CDTF">2021-05-03T04:41:48Z</dcterms:created>
  <dcterms:modified xsi:type="dcterms:W3CDTF">2025-09-17T11:10:33Z</dcterms:modified>
</cp:coreProperties>
</file>