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I:\EXCEL\account\Name\Osnat\שידור\רשימות נכסים 17.09.25\עובדי מדינה\"/>
    </mc:Choice>
  </mc:AlternateContent>
  <xr:revisionPtr revIDLastSave="0" documentId="8_{1EFCDD49-BE2E-41CA-9BAC-4FD50A0D7865}" xr6:coauthVersionLast="47" xr6:coauthVersionMax="47" xr10:uidLastSave="{00000000-0000-0000-0000-000000000000}"/>
  <bookViews>
    <workbookView xWindow="19080" yWindow="-120" windowWidth="19440" windowHeight="1500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definedNames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2" i="2" l="1"/>
  <c r="C30" i="2"/>
  <c r="B29" i="2"/>
  <c r="D29" i="2" s="1"/>
  <c r="B28" i="2"/>
  <c r="D28" i="2" s="1"/>
  <c r="B27" i="2"/>
  <c r="D27" i="2" s="1"/>
  <c r="B26" i="2"/>
  <c r="D26" i="2" s="1"/>
  <c r="B25" i="2"/>
  <c r="D25" i="2" s="1"/>
  <c r="B24" i="2"/>
  <c r="D24" i="2" s="1"/>
  <c r="B23" i="2"/>
  <c r="D23" i="2" s="1"/>
  <c r="B22" i="2"/>
  <c r="D22" i="2" s="1"/>
  <c r="B21" i="2"/>
  <c r="D21" i="2" s="1"/>
  <c r="B20" i="2"/>
  <c r="D20" i="2" s="1"/>
  <c r="B19" i="2"/>
  <c r="D19" i="2" s="1"/>
  <c r="B18" i="2"/>
  <c r="D18" i="2" s="1"/>
  <c r="B17" i="2"/>
  <c r="D17" i="2" s="1"/>
  <c r="B16" i="2"/>
  <c r="D16" i="2" s="1"/>
  <c r="B15" i="2"/>
  <c r="D15" i="2" s="1"/>
  <c r="B14" i="2"/>
  <c r="D14" i="2" s="1"/>
  <c r="B13" i="2"/>
  <c r="D13" i="2" s="1"/>
  <c r="B12" i="2"/>
  <c r="D12" i="2" s="1"/>
  <c r="B11" i="2"/>
  <c r="D11" i="2" s="1"/>
  <c r="B10" i="2"/>
  <c r="D10" i="2" s="1"/>
  <c r="B9" i="2"/>
  <c r="D9" i="2" s="1"/>
  <c r="B8" i="2"/>
  <c r="D8" i="2" s="1"/>
  <c r="B7" i="2"/>
  <c r="D7" i="2" s="1"/>
  <c r="D6" i="2"/>
  <c r="B6" i="2"/>
  <c r="B5" i="2"/>
  <c r="D5" i="2" s="1"/>
  <c r="B4" i="2"/>
  <c r="D4" i="2" s="1"/>
  <c r="D3" i="2"/>
  <c r="B3" i="2"/>
  <c r="D13" i="38"/>
  <c r="D15" i="38" s="1"/>
  <c r="B30" i="2" l="1"/>
  <c r="D30" i="2"/>
</calcChain>
</file>

<file path=xl/sharedStrings.xml><?xml version="1.0" encoding="utf-8"?>
<sst xmlns="http://schemas.openxmlformats.org/spreadsheetml/2006/main" count="14876" uniqueCount="2519">
  <si>
    <t>מספר קופה/קרן/ח.פ. עבור חברת ביטוח</t>
  </si>
  <si>
    <t>מספר מסלול</t>
  </si>
  <si>
    <t>שם מנפיק</t>
  </si>
  <si>
    <t>שם נייר ערך</t>
  </si>
  <si>
    <t>מספר נייר ערך</t>
  </si>
  <si>
    <t>מאפיין עיקרי</t>
  </si>
  <si>
    <t>ישראל/חו"ל</t>
  </si>
  <si>
    <t>מדינה לפי חשיפה כלכלית</t>
  </si>
  <si>
    <t>זירת מסחר</t>
  </si>
  <si>
    <t>דירוג</t>
  </si>
  <si>
    <t>שם מדרג</t>
  </si>
  <si>
    <t>מטבע פעילות</t>
  </si>
  <si>
    <t>מח"מ</t>
  </si>
  <si>
    <t>מועד פדיון</t>
  </si>
  <si>
    <t>שיעור ריבית</t>
  </si>
  <si>
    <t>תשואה לפדיון</t>
  </si>
  <si>
    <t>סכום לקבל (במטבע הפעילות)</t>
  </si>
  <si>
    <t>ערך נקוב (יחידות)</t>
  </si>
  <si>
    <t>שער חליפין</t>
  </si>
  <si>
    <t>שער נייר הערך</t>
  </si>
  <si>
    <t>שווי הוגן (באלפי ש"ח)</t>
  </si>
  <si>
    <t>עלות מופחתת (באלפי ש"ח)</t>
  </si>
  <si>
    <t>השיטה שיושמה בדוח הכספי</t>
  </si>
  <si>
    <t>שיעור מערך נקוב מונפק</t>
  </si>
  <si>
    <t>שיעור מנכסי אפיק ההשקעה</t>
  </si>
  <si>
    <t>שיעור מסך נכסי ההשקעה</t>
  </si>
  <si>
    <t>בנק ישראל- מק"מ</t>
  </si>
  <si>
    <t>מלווה קצר מועד 1015</t>
  </si>
  <si>
    <t>IL0082510194</t>
  </si>
  <si>
    <t>מק"מ קצר משנים עשר חודשים</t>
  </si>
  <si>
    <t>ישראל</t>
  </si>
  <si>
    <t>TASE </t>
  </si>
  <si>
    <t>RF</t>
  </si>
  <si>
    <t>פנימי</t>
  </si>
  <si>
    <t>ILS</t>
  </si>
  <si>
    <t>01/10/2025</t>
  </si>
  <si>
    <t>שווי הוגן</t>
  </si>
  <si>
    <t>מלווה קצר מועד 515</t>
  </si>
  <si>
    <t>IL0082505160</t>
  </si>
  <si>
    <t>07/05/2025</t>
  </si>
  <si>
    <t>גליל</t>
  </si>
  <si>
    <t>ממשל צמודה 0527</t>
  </si>
  <si>
    <t>IL0011408478</t>
  </si>
  <si>
    <t>צמוד למדד המחירים לצרכן בריבית קבועה</t>
  </si>
  <si>
    <t>TASE</t>
  </si>
  <si>
    <t>31/05/2027</t>
  </si>
  <si>
    <t>ממשל צמודה 1131</t>
  </si>
  <si>
    <t>IL0011722209</t>
  </si>
  <si>
    <t>30/11/2031</t>
  </si>
  <si>
    <t>שחר</t>
  </si>
  <si>
    <t>ממשל שיקלית 0928</t>
  </si>
  <si>
    <t>IL0011508798</t>
  </si>
  <si>
    <t>לא צמוד למדד המחירים לצרכן ריבית קבועה</t>
  </si>
  <si>
    <t>28/09/2028</t>
  </si>
  <si>
    <t>ממשל שקלית 0226</t>
  </si>
  <si>
    <t>IL0011746976</t>
  </si>
  <si>
    <t>27/02/2026</t>
  </si>
  <si>
    <t>ממשל שקלית 0335</t>
  </si>
  <si>
    <t>IL0012023326</t>
  </si>
  <si>
    <t>30/03/2035</t>
  </si>
  <si>
    <t>ממשל שקלית 0347</t>
  </si>
  <si>
    <t>IL0011401937</t>
  </si>
  <si>
    <t>31/03/2047</t>
  </si>
  <si>
    <t>ממשלתי שקלית 0142</t>
  </si>
  <si>
    <t>IL0011254005</t>
  </si>
  <si>
    <t>31/01/2042</t>
  </si>
  <si>
    <t>ממשלתית צמודה 0.5% 0529</t>
  </si>
  <si>
    <t>IL0011570236</t>
  </si>
  <si>
    <t>31/05/2029</t>
  </si>
  <si>
    <t>ממשלתית צמודה 0726</t>
  </si>
  <si>
    <t>IL0011695645</t>
  </si>
  <si>
    <t>31/07/2026</t>
  </si>
  <si>
    <t>ממשלתית צמודה 1.10% 1028</t>
  </si>
  <si>
    <t>IL0011973265</t>
  </si>
  <si>
    <t>31/10/2028</t>
  </si>
  <si>
    <t>ממשלתית שקלית 1.00% 03/30</t>
  </si>
  <si>
    <t>IL0011609851</t>
  </si>
  <si>
    <t>31/03/2030</t>
  </si>
  <si>
    <t>ממשלתית שקלית 1.3% 04/32</t>
  </si>
  <si>
    <t>IL0011806606</t>
  </si>
  <si>
    <t>30/04/2032</t>
  </si>
  <si>
    <t>מדינת ישראל</t>
  </si>
  <si>
    <t>ISRAEL 5 1/2 03/12/34</t>
  </si>
  <si>
    <t>US46514BRL35</t>
  </si>
  <si>
    <t>צמוד מט"ח בריבית קבועה</t>
  </si>
  <si>
    <t>חו"ל</t>
  </si>
  <si>
    <t>אחר</t>
  </si>
  <si>
    <t>BBB+</t>
  </si>
  <si>
    <t>Moodys</t>
  </si>
  <si>
    <t>USD</t>
  </si>
  <si>
    <t>12/03/2034</t>
  </si>
  <si>
    <t>US TREASURY Bills</t>
  </si>
  <si>
    <t>T 3 7/8 08/15/34</t>
  </si>
  <si>
    <t>US91282CLF67</t>
  </si>
  <si>
    <t>ארה"ב</t>
  </si>
  <si>
    <t>AA+</t>
  </si>
  <si>
    <t>Fitch</t>
  </si>
  <si>
    <t>15/08/2034</t>
  </si>
  <si>
    <t>מ.ק.מ. 315</t>
  </si>
  <si>
    <t>IL0082503181</t>
  </si>
  <si>
    <t>05/03/2025</t>
  </si>
  <si>
    <t>ממשל צמודה 1025</t>
  </si>
  <si>
    <t>IL0011359127</t>
  </si>
  <si>
    <t>31/10/2025</t>
  </si>
  <si>
    <t>T 3 3/4 05/31/30</t>
  </si>
  <si>
    <t>US91282CHF14</t>
  </si>
  <si>
    <t>31/05/2030</t>
  </si>
  <si>
    <t>מ.ק.מ. 415</t>
  </si>
  <si>
    <t>IL0082504171</t>
  </si>
  <si>
    <t>02/04/2025</t>
  </si>
  <si>
    <t>מלווה קצר מועד 615</t>
  </si>
  <si>
    <t>IL0082506150</t>
  </si>
  <si>
    <t>04/06/2025</t>
  </si>
  <si>
    <t>מ.ק.מ. 915</t>
  </si>
  <si>
    <t>IL0082509121</t>
  </si>
  <si>
    <t>03/09/2025</t>
  </si>
  <si>
    <t>מלווה קצר מועד 1115</t>
  </si>
  <si>
    <t>IL0082511184</t>
  </si>
  <si>
    <t>05/11/2025</t>
  </si>
  <si>
    <t>ממשל צמודה 0545</t>
  </si>
  <si>
    <t>IL0011348658</t>
  </si>
  <si>
    <t>31/05/2045</t>
  </si>
  <si>
    <t>ממשלתי שקלי  1026</t>
  </si>
  <si>
    <t>IL0010994569</t>
  </si>
  <si>
    <t>30/10/2026</t>
  </si>
  <si>
    <t>מספר מזהה לווה</t>
  </si>
  <si>
    <t>סוג מספר מזהה לווה</t>
  </si>
  <si>
    <t>שם הלוואה</t>
  </si>
  <si>
    <t>מספר הלוואה</t>
  </si>
  <si>
    <t>תאריך העמדת מסגרת אשראי</t>
  </si>
  <si>
    <t>בעל עניין/צד קשור</t>
  </si>
  <si>
    <t>דירוג הלוואה/המנפיק</t>
  </si>
  <si>
    <t>סוג הריבית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</si>
  <si>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</si>
  <si>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</si>
  <si>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</si>
  <si>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שם הנכס האחר</t>
  </si>
  <si>
    <t>מספר הנכס האחר</t>
  </si>
  <si>
    <t>תאריך עסקה</t>
  </si>
  <si>
    <t>תאריך שערוך אחרון</t>
  </si>
  <si>
    <t>שווי מטבעי</t>
  </si>
  <si>
    <t>זכאים</t>
  </si>
  <si>
    <t>28080000</t>
  </si>
  <si>
    <t>חייבים וזכאים</t>
  </si>
  <si>
    <t>לא</t>
  </si>
  <si>
    <t>31/12/2024</t>
  </si>
  <si>
    <t>זכאים מס עמיתים</t>
  </si>
  <si>
    <t>28200000</t>
  </si>
  <si>
    <t>חייבים וזכאים מס</t>
  </si>
  <si>
    <t>חייבים</t>
  </si>
  <si>
    <t>27960000</t>
  </si>
  <si>
    <t>מספר מנפיק</t>
  </si>
  <si>
    <t>סוג מספר מזהה מנפיק</t>
  </si>
  <si>
    <t>סוג מספר נייר ערך</t>
  </si>
  <si>
    <t>ענף מסחר</t>
  </si>
  <si>
    <t>סוג גורם משערך</t>
  </si>
  <si>
    <t>תלות/אי-תלות המשערך</t>
  </si>
  <si>
    <t>תאריך אחרון בו נבחנה בפועל ירידת ערך</t>
  </si>
  <si>
    <t>שיעור אחזקה באמצעי שליטה</t>
  </si>
  <si>
    <t>שווי מאזני (באלפי ש"ח)</t>
  </si>
  <si>
    <t>שם הנכס</t>
  </si>
  <si>
    <t>מדינת מיקום נדל"ן</t>
  </si>
  <si>
    <t>תאריך רכישה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</si>
  <si>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</si>
  <si>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</si>
  <si>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</si>
  <si>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</si>
  <si>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</si>
  <si>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שם גורם משערך</t>
  </si>
  <si>
    <t>שווי הוגן (במטבע הפעילות)</t>
  </si>
  <si>
    <t>עלות מופחתת (במטבע הפעילות)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</si>
  <si>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</si>
  <si>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</si>
  <si>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</si>
  <si>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</si>
  <si>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</si>
  <si>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שער פיקדון</t>
  </si>
  <si>
    <t>נכס בסיס</t>
  </si>
  <si>
    <t>דירוג נייר הערך/המנפיק</t>
  </si>
  <si>
    <t>ALESCO PREF FUNDING IX</t>
  </si>
  <si>
    <t>549300FP1ZNOHOUNLV32</t>
  </si>
  <si>
    <t>LEI</t>
  </si>
  <si>
    <t>ALESCO PFD VI</t>
  </si>
  <si>
    <t>KYG015912085</t>
  </si>
  <si>
    <t>ISIN</t>
  </si>
  <si>
    <t>06/08/2019</t>
  </si>
  <si>
    <t>NR</t>
  </si>
  <si>
    <t>אי-תלות</t>
  </si>
  <si>
    <t>08/08/2019</t>
  </si>
  <si>
    <t>קובץ דיווח עבור רשימת נכסים ברמת הנכס הבודד (חוזר גופים מוסדיים 2015-9-14)</t>
  </si>
  <si>
    <t>יש לבחור תחום:</t>
  </si>
  <si>
    <t>נכסי עמיתים - קופות גמל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</si>
  <si>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</si>
  <si>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</si>
  <si>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</si>
  <si>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</si>
  <si>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</si>
  <si>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</si>
  <si>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</si>
  <si>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</si>
  <si>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</si>
  <si>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</si>
  <si>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</si>
  <si>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</si>
  <si>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</si>
  <si>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</si>
  <si>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</si>
  <si>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</si>
  <si>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</si>
  <si>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</si>
  <si>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</si>
  <si>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</si>
  <si>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</si>
  <si>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</si>
  <si>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</si>
  <si>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</si>
  <si>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</si>
  <si>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</si>
  <si>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</si>
  <si>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</si>
  <si>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</si>
  <si>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</si>
  <si>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</si>
  <si>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</si>
  <si>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</si>
  <si>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</si>
  <si>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</si>
  <si>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</si>
  <si>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</si>
  <si>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</si>
  <si>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</si>
  <si>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</si>
  <si>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</si>
  <si>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</si>
  <si>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</si>
  <si>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</si>
  <si>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</si>
  <si>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</si>
  <si>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</si>
  <si>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</si>
  <si>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</si>
  <si>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</si>
  <si>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</si>
  <si>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</si>
  <si>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</si>
  <si>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</si>
  <si>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</si>
  <si>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</si>
  <si>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</si>
  <si>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</si>
  <si>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</si>
  <si>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</si>
  <si>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</si>
  <si>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</si>
  <si>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</si>
  <si>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</si>
  <si>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</si>
  <si>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</si>
  <si>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</si>
  <si>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</si>
  <si>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</si>
  <si>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</si>
  <si>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</si>
  <si>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</si>
  <si>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</si>
  <si>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</si>
  <si>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</si>
  <si>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</si>
  <si>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</si>
  <si>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</si>
  <si>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</si>
  <si>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</si>
  <si>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</si>
  <si>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</si>
  <si>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</si>
  <si>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</si>
  <si>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</si>
  <si>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</si>
  <si>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</si>
  <si>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</si>
  <si>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</si>
  <si>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</si>
  <si>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</si>
  <si>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</si>
  <si>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</si>
  <si>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</si>
  <si>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</si>
  <si>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</si>
  <si>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</si>
  <si>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</si>
  <si>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</si>
  <si>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</si>
  <si>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</si>
  <si>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</si>
  <si>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</si>
  <si>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</si>
  <si>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</si>
  <si>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</si>
  <si>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</si>
  <si>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</si>
  <si>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</si>
  <si>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</si>
  <si>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</si>
  <si>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</si>
  <si>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</si>
  <si>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</si>
  <si>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</si>
  <si>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</si>
  <si>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</si>
  <si>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</si>
  <si>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</si>
  <si>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</si>
  <si>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</si>
  <si>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</si>
  <si>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</si>
  <si>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</si>
  <si>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</si>
  <si>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</si>
  <si>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</si>
  <si>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</si>
  <si>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</si>
  <si>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</si>
  <si>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</si>
  <si>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</si>
  <si>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</si>
  <si>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</si>
  <si>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</si>
  <si>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</si>
  <si>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</si>
  <si>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</si>
  <si>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</si>
  <si>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</si>
  <si>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</si>
  <si>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</si>
  <si>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טיקר</t>
  </si>
  <si>
    <t>סוג מספר קרן השקעה</t>
  </si>
  <si>
    <t>סטאטוס סחירות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</si>
  <si>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</si>
  <si>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</si>
  <si>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</si>
  <si>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</si>
  <si>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</si>
  <si>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</si>
  <si>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</si>
  <si>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</si>
  <si>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</si>
  <si>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</si>
  <si>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</si>
  <si>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</si>
  <si>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</si>
  <si>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</si>
  <si>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</si>
  <si>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</si>
  <si>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</si>
  <si>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</si>
  <si>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</si>
  <si>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</si>
  <si>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</si>
  <si>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</si>
  <si>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</si>
  <si>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</si>
  <si>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</si>
  <si>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</si>
  <si>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</si>
  <si>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</si>
  <si>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</si>
  <si>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</si>
  <si>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</si>
  <si>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</si>
  <si>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</si>
  <si>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</si>
  <si>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</si>
  <si>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</si>
  <si>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</si>
  <si>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</si>
  <si>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</si>
  <si>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</si>
  <si>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</si>
  <si>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</si>
  <si>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</si>
  <si>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</si>
  <si>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</si>
  <si>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</si>
  <si>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</si>
  <si>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</si>
  <si>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</si>
  <si>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</si>
  <si>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</si>
  <si>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</si>
  <si>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</si>
  <si>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</si>
  <si>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</si>
  <si>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</si>
  <si>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</si>
  <si>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</si>
  <si>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</si>
  <si>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</si>
  <si>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</si>
  <si>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</si>
  <si>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</si>
  <si>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</si>
  <si>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</si>
  <si>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</si>
  <si>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</si>
  <si>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</si>
  <si>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</si>
  <si>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</si>
  <si>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</si>
  <si>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</si>
  <si>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</si>
  <si>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</si>
  <si>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</si>
  <si>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</si>
  <si>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</si>
  <si>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</si>
  <si>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</si>
  <si>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</si>
  <si>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</si>
  <si>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</si>
  <si>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</si>
  <si>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נחיתות חוזית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</si>
  <si>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</si>
  <si>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</si>
  <si>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</si>
  <si>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</si>
  <si>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</si>
  <si>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</si>
  <si>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</si>
  <si>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</si>
  <si>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</si>
  <si>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</si>
  <si>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</si>
  <si>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</si>
  <si>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</si>
  <si>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</si>
  <si>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</si>
  <si>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</si>
  <si>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</si>
  <si>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</si>
  <si>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</si>
  <si>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</si>
  <si>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</si>
  <si>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</si>
  <si>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</si>
  <si>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</si>
  <si>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</si>
  <si>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</si>
  <si>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</si>
  <si>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</si>
  <si>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</si>
  <si>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</si>
  <si>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</si>
  <si>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</si>
  <si>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</si>
  <si>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</si>
  <si>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</si>
  <si>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</si>
  <si>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</si>
  <si>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</si>
  <si>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</si>
  <si>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</si>
  <si>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</si>
  <si>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</si>
  <si>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</si>
  <si>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</si>
  <si>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</si>
  <si>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</si>
  <si>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</si>
  <si>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</si>
  <si>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</si>
  <si>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</si>
  <si>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</si>
  <si>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</si>
  <si>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</si>
  <si>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</si>
  <si>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</si>
  <si>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</si>
  <si>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</si>
  <si>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</si>
  <si>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</si>
  <si>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</si>
  <si>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קרנות סל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</si>
  <si>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</si>
  <si>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</si>
  <si>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</si>
  <si>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</si>
  <si>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</si>
  <si>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</si>
  <si>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</si>
  <si>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</si>
  <si>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</si>
  <si>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</si>
  <si>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</si>
  <si>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</si>
  <si>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</si>
  <si>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</si>
  <si>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</si>
  <si>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</si>
  <si>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</si>
  <si>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</si>
  <si>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</si>
  <si>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</si>
  <si>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</si>
  <si>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</si>
  <si>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</si>
  <si>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</si>
  <si>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</si>
  <si>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</si>
  <si>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</si>
  <si>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</si>
  <si>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</si>
  <si>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</si>
  <si>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</si>
  <si>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</si>
  <si>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</si>
  <si>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</si>
  <si>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</si>
  <si>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</si>
  <si>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</si>
  <si>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</si>
  <si>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</si>
  <si>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</si>
  <si>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</si>
  <si>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</si>
  <si>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</si>
  <si>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</si>
  <si>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</si>
  <si>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</si>
  <si>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</si>
  <si>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</si>
  <si>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</si>
  <si>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</si>
  <si>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</si>
  <si>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</si>
  <si>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</si>
  <si>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</si>
  <si>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</si>
  <si>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</si>
  <si>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</si>
  <si>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</si>
  <si>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</si>
  <si>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</si>
  <si>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</si>
  <si>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</si>
  <si>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</si>
  <si>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</si>
  <si>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</si>
  <si>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</si>
  <si>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</si>
  <si>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</si>
  <si>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</si>
  <si>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</si>
  <si>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</si>
  <si>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</si>
  <si>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</si>
  <si>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</si>
  <si>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</si>
  <si>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</si>
  <si>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</si>
  <si>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</si>
  <si>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</si>
  <si>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</si>
  <si>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</si>
  <si>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</si>
  <si>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</si>
  <si>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</si>
  <si>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</si>
  <si>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</si>
  <si>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</si>
  <si>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</si>
  <si>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</si>
  <si>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</si>
  <si>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</si>
  <si>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</si>
  <si>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</si>
  <si>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</si>
  <si>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</si>
  <si>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</si>
  <si>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</si>
  <si>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סיווג הקרן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</si>
  <si>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</si>
  <si>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</si>
  <si>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</si>
  <si>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</si>
  <si>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</si>
  <si>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</si>
  <si>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</si>
  <si>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</si>
  <si>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</si>
  <si>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</si>
  <si>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</si>
  <si>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</si>
  <si>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</si>
  <si>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</si>
  <si>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</si>
  <si>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</si>
  <si>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</si>
  <si>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</si>
  <si>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</si>
  <si>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</si>
  <si>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</si>
  <si>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</si>
  <si>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</si>
  <si>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</si>
  <si>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</si>
  <si>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</si>
  <si>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</si>
  <si>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</si>
  <si>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</si>
  <si>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</si>
  <si>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</si>
  <si>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</si>
  <si>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</si>
  <si>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</si>
  <si>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</si>
  <si>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</si>
  <si>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</si>
  <si>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</si>
  <si>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</si>
  <si>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</si>
  <si>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</si>
  <si>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</si>
  <si>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</si>
  <si>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</si>
  <si>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</si>
  <si>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</si>
  <si>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</si>
  <si>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</si>
  <si>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</si>
  <si>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</si>
  <si>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</si>
  <si>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</si>
  <si>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</si>
  <si>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</si>
  <si>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</si>
  <si>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</si>
  <si>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</si>
  <si>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</si>
  <si>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</si>
  <si>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</si>
  <si>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</si>
  <si>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</si>
  <si>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</si>
  <si>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</si>
  <si>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</si>
  <si>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</si>
  <si>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</si>
  <si>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</si>
  <si>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</si>
  <si>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</si>
  <si>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</si>
  <si>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</si>
  <si>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</si>
  <si>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</si>
  <si>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</si>
  <si>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</si>
  <si>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</si>
  <si>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</si>
  <si>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</si>
  <si>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</si>
  <si>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</si>
  <si>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</si>
  <si>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</si>
  <si>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</si>
  <si>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</si>
  <si>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</si>
  <si>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</si>
  <si>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</si>
  <si>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</si>
  <si>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</si>
  <si>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</si>
  <si>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</si>
  <si>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</si>
  <si>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</si>
  <si>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</si>
  <si>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</si>
  <si>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</si>
  <si>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</si>
  <si>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</si>
  <si>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</si>
  <si>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</si>
  <si>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</si>
  <si>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</si>
  <si>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</si>
  <si>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</si>
  <si>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</si>
  <si>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</si>
  <si>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</si>
  <si>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</si>
  <si>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</si>
  <si>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</si>
  <si>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</si>
  <si>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</si>
  <si>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</si>
  <si>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</si>
  <si>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</si>
  <si>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</si>
  <si>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</si>
  <si>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</si>
  <si>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</si>
  <si>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</si>
  <si>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</si>
  <si>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</si>
  <si>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</si>
  <si>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</si>
  <si>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</si>
  <si>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</si>
  <si>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</si>
  <si>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</si>
  <si>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</si>
  <si>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</si>
  <si>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</si>
  <si>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</si>
  <si>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</si>
  <si>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</si>
  <si>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</si>
  <si>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</si>
  <si>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</si>
  <si>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</si>
  <si>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</si>
  <si>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</si>
  <si>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</si>
  <si>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</si>
  <si>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</si>
  <si>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</si>
  <si>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</si>
  <si>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</si>
  <si>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</si>
  <si>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</si>
  <si>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</si>
  <si>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</si>
  <si>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</si>
  <si>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</si>
  <si>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</si>
  <si>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</si>
  <si>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</si>
  <si>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</si>
  <si>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</si>
  <si>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</si>
  <si>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</si>
  <si>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</si>
  <si>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</si>
  <si>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</si>
  <si>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</si>
  <si>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</si>
  <si>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</si>
  <si>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</si>
  <si>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</si>
  <si>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</si>
  <si>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</si>
  <si>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</si>
  <si>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</si>
  <si>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</si>
  <si>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</si>
  <si>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</si>
  <si>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</si>
  <si>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</si>
  <si>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</si>
  <si>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</si>
  <si>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</si>
  <si>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</si>
  <si>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</si>
  <si>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</si>
  <si>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סוג הצמדה</t>
  </si>
  <si>
    <t>לא צמוד</t>
  </si>
  <si>
    <t>צמוד למדד המחירים לצרכן</t>
  </si>
  <si>
    <t>צמוד למט"ח</t>
  </si>
  <si>
    <t>צמוד למדד אחר</t>
  </si>
  <si>
    <t>סוג בטוחה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</si>
  <si>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</si>
  <si>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</si>
  <si>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</si>
  <si>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</si>
  <si>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</si>
  <si>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</si>
  <si>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</si>
  <si>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</si>
  <si>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</si>
  <si>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</si>
  <si>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</si>
  <si>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</si>
  <si>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</si>
  <si>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</si>
  <si>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</si>
  <si>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</si>
  <si>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קרנות השקעה</t>
  </si>
  <si>
    <t>שעבוד שוטף</t>
  </si>
  <si>
    <t>שעבוד שלילי</t>
  </si>
  <si>
    <t>תזרים עמלות</t>
  </si>
  <si>
    <t>תזרים מזומנים</t>
  </si>
  <si>
    <t>תזרים מפרויקטים</t>
  </si>
  <si>
    <t>זכות חזרה</t>
  </si>
  <si>
    <t>מבנה לוח סילוקין</t>
  </si>
  <si>
    <t>בולט (Bullet)</t>
  </si>
  <si>
    <t>בלון</t>
  </si>
  <si>
    <t>קרן שווה</t>
  </si>
  <si>
    <t>שפיצר</t>
  </si>
  <si>
    <t xml:space="preserve">אחר </t>
  </si>
  <si>
    <t>זכות פירעון מוקדם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</si>
  <si>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</si>
  <si>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</si>
  <si>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</si>
  <si>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</si>
  <si>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</si>
  <si>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</si>
  <si>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</si>
  <si>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</si>
  <si>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</si>
  <si>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</si>
  <si>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</si>
  <si>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</si>
  <si>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</si>
  <si>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</si>
  <si>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</si>
  <si>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</si>
  <si>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</si>
  <si>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</si>
  <si>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</si>
  <si>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</si>
  <si>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</si>
  <si>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</si>
  <si>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</si>
  <si>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</si>
  <si>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</si>
  <si>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</si>
  <si>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</si>
  <si>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</si>
  <si>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</si>
  <si>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</si>
  <si>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</si>
  <si>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</si>
  <si>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</si>
  <si>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</si>
  <si>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</si>
  <si>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</si>
  <si>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</si>
  <si>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</si>
  <si>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</si>
  <si>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</si>
  <si>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</si>
  <si>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</si>
  <si>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האם סווג כחוב בעייתי</t>
  </si>
  <si>
    <t>אסטרטגיית קרן ההשקעה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</si>
  <si>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</si>
  <si>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</si>
  <si>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</si>
  <si>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</si>
  <si>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</si>
  <si>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</si>
  <si>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</si>
  <si>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</si>
  <si>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</si>
  <si>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</si>
  <si>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</si>
  <si>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</si>
  <si>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</si>
  <si>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</si>
  <si>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</si>
  <si>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</si>
  <si>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</si>
  <si>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</si>
  <si>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</si>
  <si>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</si>
  <si>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</si>
  <si>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</si>
  <si>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</si>
  <si>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</si>
  <si>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</si>
  <si>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</si>
  <si>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</si>
  <si>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</si>
  <si>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</si>
  <si>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</si>
  <si>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</si>
  <si>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</si>
  <si>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</si>
  <si>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</si>
  <si>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</si>
  <si>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</si>
  <si>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</si>
  <si>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</si>
  <si>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</si>
  <si>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</si>
  <si>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</si>
  <si>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</si>
  <si>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</si>
  <si>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</si>
  <si>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</si>
  <si>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</si>
  <si>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</si>
  <si>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</si>
  <si>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</si>
  <si>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</si>
  <si>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</si>
  <si>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</si>
  <si>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</si>
  <si>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</si>
  <si>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</si>
  <si>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</si>
  <si>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</si>
  <si>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</si>
  <si>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</si>
  <si>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</si>
  <si>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</si>
  <si>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</si>
  <si>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</si>
  <si>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</si>
  <si>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עלות מופחתת</t>
  </si>
  <si>
    <t>תדירות Reset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</si>
  <si>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</si>
  <si>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</si>
  <si>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</si>
  <si>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</si>
  <si>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</si>
  <si>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</si>
  <si>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</si>
  <si>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סוג הסליקה</t>
  </si>
  <si>
    <t>Delivery</t>
  </si>
  <si>
    <t>No-delivery</t>
  </si>
  <si>
    <t>ריבית עוגן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</si>
  <si>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</si>
  <si>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</si>
  <si>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</si>
  <si>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</si>
  <si>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</si>
  <si>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</si>
  <si>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</si>
  <si>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</si>
  <si>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</si>
  <si>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</si>
  <si>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תקופת ריבית עוגן</t>
  </si>
  <si>
    <t>נספח התחשבנות בטחונות (CSA)</t>
  </si>
  <si>
    <t>קיים חוזה</t>
  </si>
  <si>
    <t>לא קיים חוזה</t>
  </si>
  <si>
    <t>גורם מצטט</t>
  </si>
  <si>
    <t>הצד הנגדי</t>
  </si>
  <si>
    <t>גורם אחר</t>
  </si>
  <si>
    <t>פקטור מוביל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</si>
  <si>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</si>
  <si>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</si>
  <si>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</si>
  <si>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</si>
  <si>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</si>
  <si>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</si>
  <si>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פקטור נוסף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</si>
  <si>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</si>
  <si>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</si>
  <si>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</si>
  <si>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</si>
  <si>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</si>
  <si>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</si>
  <si>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</si>
  <si>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</si>
  <si>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</si>
  <si>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</si>
  <si>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</si>
  <si>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</si>
  <si>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</si>
  <si>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</si>
  <si>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האם קיים קנס בגין יציאה מוקדמת</t>
  </si>
  <si>
    <t>מזומנים ושווי מזומנים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</si>
  <si>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</si>
  <si>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</si>
  <si>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</si>
  <si>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</si>
  <si>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</si>
  <si>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</si>
  <si>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</si>
  <si>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</si>
  <si>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</si>
  <si>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איגרות חוב ממשלתיות</t>
  </si>
  <si>
    <t>צמוד למדד המחירים לצרכן בריבית משתנה</t>
  </si>
  <si>
    <t>לא צמוד למדד המחירים לצרכן ריבית משתנה</t>
  </si>
  <si>
    <t>צמוד מט"ח בריבית משתנה</t>
  </si>
  <si>
    <t>נקוב במט"ח</t>
  </si>
  <si>
    <t>ניירות ערך מסחריים</t>
  </si>
  <si>
    <t>איגרות חוב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</si>
  <si>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</si>
  <si>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</si>
  <si>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</si>
  <si>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</si>
  <si>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</si>
  <si>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</si>
  <si>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מניות, מניות בכורה ויחידות השתתפות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</si>
  <si>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</si>
  <si>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</si>
  <si>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</si>
  <si>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</si>
  <si>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</si>
  <si>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</si>
  <si>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</si>
  <si>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</si>
  <si>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</si>
  <si>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</si>
  <si>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</si>
  <si>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</si>
  <si>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קרנות נאמנות</t>
  </si>
  <si>
    <t>אג"ח קונצרני</t>
  </si>
  <si>
    <t>אג"ח ממשלתי</t>
  </si>
  <si>
    <t>אופציות</t>
  </si>
  <si>
    <t>מניה</t>
  </si>
  <si>
    <t>מדד</t>
  </si>
  <si>
    <t>קרן סל</t>
  </si>
  <si>
    <t>סחורה</t>
  </si>
  <si>
    <t>מוצרים מובנים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</si>
  <si>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</si>
  <si>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</si>
  <si>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</si>
  <si>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</si>
  <si>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</si>
  <si>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</si>
  <si>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לא סחיר איגרות חוב ממשלתיות</t>
  </si>
  <si>
    <t>לא סחיר איגרות חוב מיועדות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</si>
  <si>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</si>
  <si>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</si>
  <si>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</si>
  <si>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</si>
  <si>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</si>
  <si>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אפיק השקעה מובטח תשואה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</si>
  <si>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</si>
  <si>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</si>
  <si>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</si>
  <si>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לא סחיר ניירות ערך מסחריים</t>
  </si>
  <si>
    <t>נש"ר</t>
  </si>
  <si>
    <t>לא סחיר איגרות חוב</t>
  </si>
  <si>
    <t>אג"ח להמרה לא צמוד למדד</t>
  </si>
  <si>
    <t>אג"ח לא סחיר שנרכש בין 04/11/2008 ועד 31/03/2015 ונמדד לפי עלות מופחתת</t>
  </si>
  <si>
    <t>לא סחיר מניות, מניות בכורה ויחידות השתתפות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</si>
  <si>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</si>
  <si>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</si>
  <si>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</si>
  <si>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</si>
  <si>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</si>
  <si>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</si>
  <si>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</si>
  <si>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</si>
  <si>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</si>
  <si>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</si>
  <si>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</si>
  <si>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</si>
  <si>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</si>
  <si>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</si>
  <si>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לא סחיר אופציות</t>
  </si>
  <si>
    <t>ריבית</t>
  </si>
  <si>
    <t>הלוואות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</si>
  <si>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</si>
  <si>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</si>
  <si>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</si>
  <si>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</si>
  <si>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</si>
  <si>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</si>
  <si>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לא סחיר נגזרים אחרים</t>
  </si>
  <si>
    <t>Unfunded Swap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</si>
  <si>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</si>
  <si>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</si>
  <si>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</si>
  <si>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</si>
  <si>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</si>
  <si>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</si>
  <si>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</si>
  <si>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</si>
  <si>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</si>
  <si>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לא סחיר מוצרים מובנים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</si>
  <si>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</si>
  <si>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</si>
  <si>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</si>
  <si>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</si>
  <si>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פיקדונות מעל 3 חודשים</t>
  </si>
  <si>
    <t>בטחונות לא שוטפים</t>
  </si>
  <si>
    <t>בטחונות לתקופה של מעל 3 חודשים</t>
  </si>
  <si>
    <t>זכויות מקרקעין</t>
  </si>
  <si>
    <t>נדל"ן מניב</t>
  </si>
  <si>
    <t>נדל"ן לא מניב</t>
  </si>
  <si>
    <t>נכסים אחרים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</si>
  <si>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</si>
  <si>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</si>
  <si>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</si>
  <si>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</si>
  <si>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</si>
  <si>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</si>
  <si>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</si>
  <si>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</si>
  <si>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</si>
  <si>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</si>
  <si>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</si>
  <si>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</si>
  <si>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</si>
  <si>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</si>
  <si>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</si>
  <si>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</si>
  <si>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</si>
  <si>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</si>
  <si>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</si>
  <si>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</si>
  <si>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</si>
  <si>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</si>
  <si>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</si>
  <si>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</si>
  <si>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</si>
  <si>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</si>
  <si>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</si>
  <si>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</si>
  <si>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</si>
  <si>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</si>
  <si>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</si>
  <si>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השקעה בחברות מוחזקות</t>
  </si>
  <si>
    <t>חברת בת</t>
  </si>
  <si>
    <t>חברה כלולה</t>
  </si>
  <si>
    <t>יתרות התחייבות להשקעה</t>
  </si>
  <si>
    <t>התחייבות להשקעה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</si>
  <si>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</si>
  <si>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</si>
  <si>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</si>
  <si>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</si>
  <si>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</si>
  <si>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</si>
  <si>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</si>
  <si>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</si>
  <si>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</si>
  <si>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>כתבי אופציה</t>
  </si>
  <si>
    <t>נכס בסיס (כתב אופציה)</t>
  </si>
  <si>
    <t>תאריך פקיעה</t>
  </si>
  <si>
    <t>שער מימוש</t>
  </si>
  <si>
    <t>יחס המרה</t>
  </si>
  <si>
    <t>חוזים עתידיים</t>
  </si>
  <si>
    <t>מספר קרן</t>
  </si>
  <si>
    <t>חודש הנפקת שכבה</t>
  </si>
  <si>
    <t>חודש הבדיקה</t>
  </si>
  <si>
    <t>שווי הנכסים באפיק (באלפי ש"ח)</t>
  </si>
  <si>
    <t xml:space="preserve">תאריך אחרון בו נבחנה בפועל ירידת ערך </t>
  </si>
  <si>
    <t>לא סחיר מניות, מב"כ ויה"ש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</si>
  <si>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</si>
  <si>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</si>
  <si>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</si>
  <si>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</si>
  <si>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לא סחיר כתבי אופציה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</si>
  <si>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</si>
  <si>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</si>
  <si>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</si>
  <si>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</si>
  <si>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</si>
  <si>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</si>
  <si>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</si>
  <si>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</si>
  <si>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</si>
  <si>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</si>
  <si>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אפיק ההשקעה (רגל 2)</t>
  </si>
  <si>
    <t>שיעור מסך נכסי אפיק ההשקעה (רגל 2)</t>
  </si>
  <si>
    <t>שווי הוגן (נטו באלפי ש"ח)</t>
  </si>
  <si>
    <t>סוג הנכס</t>
  </si>
  <si>
    <t>מועד ההתקשרות בעסקה</t>
  </si>
  <si>
    <t>מועד סיום חוזי</t>
  </si>
  <si>
    <t>נספח התחשבנות בטחונות - CSA</t>
  </si>
  <si>
    <t>שיעור ריבית עוגן</t>
  </si>
  <si>
    <t>שער נכס הבסיס במועד ההתקשרות בעסקה</t>
  </si>
  <si>
    <t>שער הנגזר במועד ההתקשרות בעסקה</t>
  </si>
  <si>
    <t>שיעור הקנס בגין יציאה מוקדמת</t>
  </si>
  <si>
    <t>צד נגדי - Counterparty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</si>
  <si>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</si>
  <si>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</si>
  <si>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</si>
  <si>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</si>
  <si>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 xml:space="preserve">דירוג הלוואה/המנפיק </t>
  </si>
  <si>
    <t>שיעור תוספת/הפחתה לריבית העוגן</t>
  </si>
  <si>
    <t>שווי הבטוחות העומדות כנגד ההלוואה</t>
  </si>
  <si>
    <t>שיעור הבטוחות מהחוב</t>
  </si>
  <si>
    <t>מועד עדכון אחרון לשווי הבטוחות</t>
  </si>
  <si>
    <t>יעוד הלוואה</t>
  </si>
  <si>
    <t>שיעור ריבית בגין אי-ניצול מסגרת האשראי</t>
  </si>
  <si>
    <t>ערך נקוב</t>
  </si>
  <si>
    <t>שער הלוואה</t>
  </si>
  <si>
    <t>השקעה בחברה מוחזקת</t>
  </si>
  <si>
    <t>השקעה בחברות מוחזקת</t>
  </si>
  <si>
    <t>מסגרות אשראי</t>
  </si>
  <si>
    <t>ידווח בקבצי נכסי הנוסטרו בלבד</t>
  </si>
  <si>
    <t>סך הכל נכסים</t>
  </si>
  <si>
    <t>יתרות התחייבויות להשקעה</t>
  </si>
  <si>
    <t>בנק לאומי לישראל בע"מ</t>
  </si>
  <si>
    <t>10-800</t>
  </si>
  <si>
    <t>AAA</t>
  </si>
  <si>
    <t>HKD</t>
  </si>
  <si>
    <t>EUR</t>
  </si>
  <si>
    <t>JPY</t>
  </si>
  <si>
    <t>GBP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</si>
  <si>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</si>
  <si>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</si>
  <si>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</si>
  <si>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</si>
  <si>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</si>
  <si>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</si>
  <si>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</si>
  <si>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</si>
  <si>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</si>
  <si>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</si>
  <si>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</si>
  <si>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</si>
  <si>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</si>
  <si>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</si>
  <si>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</si>
  <si>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</si>
  <si>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</si>
  <si>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</si>
  <si>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</si>
  <si>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</si>
  <si>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</si>
  <si>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</si>
  <si>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</si>
  <si>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</si>
  <si>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</si>
  <si>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</si>
  <si>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</si>
  <si>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</si>
  <si>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</si>
  <si>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</si>
  <si>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</si>
  <si>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</si>
  <si>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</si>
  <si>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</si>
  <si>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</si>
  <si>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</si>
  <si>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</si>
  <si>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</si>
  <si>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</si>
  <si>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</si>
  <si>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</si>
  <si>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</si>
  <si>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</si>
  <si>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</si>
  <si>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</si>
  <si>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</si>
  <si>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</si>
  <si>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</si>
  <si>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</si>
  <si>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</si>
  <si>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</si>
  <si>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</si>
  <si>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</si>
  <si>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</si>
  <si>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</si>
  <si>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</si>
  <si>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</si>
  <si>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</si>
  <si>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</si>
  <si>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</si>
  <si>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</si>
  <si>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</si>
  <si>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</si>
  <si>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</si>
  <si>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</si>
  <si>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</si>
  <si>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</si>
  <si>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</si>
  <si>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</si>
  <si>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</si>
  <si>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</si>
  <si>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</si>
  <si>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</si>
  <si>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</si>
  <si>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</si>
  <si>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</si>
  <si>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</si>
  <si>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</si>
  <si>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</si>
  <si>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</si>
  <si>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</si>
  <si>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</si>
  <si>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</si>
  <si>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</si>
  <si>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</si>
  <si>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</si>
  <si>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</si>
  <si>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</si>
  <si>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</si>
  <si>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</si>
  <si>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</si>
  <si>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</si>
  <si>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</si>
  <si>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</si>
  <si>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</si>
  <si>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</si>
  <si>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</si>
  <si>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</si>
  <si>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</si>
  <si>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</si>
  <si>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</si>
  <si>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</si>
  <si>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</si>
  <si>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</si>
  <si>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</si>
  <si>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</si>
  <si>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</si>
  <si>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</si>
  <si>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</si>
  <si>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</si>
  <si>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שיעור מנכסי ההשקעה (רגל 2)</t>
  </si>
  <si>
    <t>שיעור מסך אפיק ההשקעה (רגל 2)</t>
  </si>
  <si>
    <t>שווי הוגן (נטו  באלפי ש"ח)</t>
  </si>
  <si>
    <t>382</t>
  </si>
  <si>
    <t>610528570002</t>
  </si>
  <si>
    <t>17/09/2024</t>
  </si>
  <si>
    <t>17/09/2025</t>
  </si>
  <si>
    <t>0</t>
  </si>
  <si>
    <t>לאומי</t>
  </si>
  <si>
    <t>624445300002</t>
  </si>
  <si>
    <t>13/11/2024</t>
  </si>
  <si>
    <t>21/01/2025</t>
  </si>
  <si>
    <t>624454230002</t>
  </si>
  <si>
    <t>62587352</t>
  </si>
  <si>
    <t>19/11/2024</t>
  </si>
  <si>
    <t>631296650002</t>
  </si>
  <si>
    <t>11/12/2024</t>
  </si>
  <si>
    <t>632239260002</t>
  </si>
  <si>
    <t>16/12/2024</t>
  </si>
  <si>
    <t>7635</t>
  </si>
  <si>
    <t>610528620002</t>
  </si>
  <si>
    <t>624445310002</t>
  </si>
  <si>
    <t>9479</t>
  </si>
  <si>
    <t>610528580002</t>
  </si>
  <si>
    <t>624445290002</t>
  </si>
  <si>
    <t>624454240002</t>
  </si>
  <si>
    <t>631296670002</t>
  </si>
  <si>
    <t>510960586</t>
  </si>
  <si>
    <t>ח.פ</t>
  </si>
  <si>
    <t>הלוואות לחברים עובדי מדינה (ריבית צמוד פריים)</t>
  </si>
  <si>
    <t>29994014</t>
  </si>
  <si>
    <t>21/02/2017</t>
  </si>
  <si>
    <t>30/12/2100</t>
  </si>
  <si>
    <t>פריים</t>
  </si>
  <si>
    <t>אי תלות</t>
  </si>
  <si>
    <t>מסלקת הבורסה</t>
  </si>
  <si>
    <t>520027152</t>
  </si>
  <si>
    <t>תC002400M501-35</t>
  </si>
  <si>
    <t>IL0852655518</t>
  </si>
  <si>
    <t>נגזרים</t>
  </si>
  <si>
    <t>31/01/2025</t>
  </si>
  <si>
    <t>תP002400M501-35</t>
  </si>
  <si>
    <t>IL0852664270</t>
  </si>
  <si>
    <t>שווי הוגן (בש"ח)</t>
  </si>
  <si>
    <t>Nomura asset management</t>
  </si>
  <si>
    <t>549300LNIUIPKJOPIK90</t>
  </si>
  <si>
    <t>NOMURA-US HIGH YLD BD-I USD</t>
  </si>
  <si>
    <t>IE00B3RW8498</t>
  </si>
  <si>
    <t>אי בי אי ניהול קרנות נאמנות בע"מ</t>
  </si>
  <si>
    <t>510791031</t>
  </si>
  <si>
    <t>איביאי טכנולגיית עילית</t>
  </si>
  <si>
    <t>IL0011425381</t>
  </si>
  <si>
    <t>מניות בישראל</t>
  </si>
  <si>
    <t>APS Fund SICAV - APS China A S</t>
  </si>
  <si>
    <t>549300045D2ZRM2NYN79</t>
  </si>
  <si>
    <t>$APS-CHINA A S-F</t>
  </si>
  <si>
    <t>LU1987754873</t>
  </si>
  <si>
    <t>CIFC Senior Secured Corporate</t>
  </si>
  <si>
    <t>3912000TN89ESDWHS93</t>
  </si>
  <si>
    <t>CIFC SEN.SEC.COR</t>
  </si>
  <si>
    <t>KYG2139S1194</t>
  </si>
  <si>
    <t>Fidelity Fund Management</t>
  </si>
  <si>
    <t>549300JFYFTF85QAQR28</t>
  </si>
  <si>
    <t>FIDELITY US HIGH</t>
  </si>
  <si>
    <t>LU0891474172</t>
  </si>
  <si>
    <t>Invesco investment management limited</t>
  </si>
  <si>
    <t>ECPGFXU8A2SHKVVGJI15</t>
  </si>
  <si>
    <t>INV-US SEN-G</t>
  </si>
  <si>
    <t>LU0564079282</t>
  </si>
  <si>
    <t>מגדל קרנות נאמנות בע"מ</t>
  </si>
  <si>
    <t>511303661</t>
  </si>
  <si>
    <t>MTF סל Nasdaq 100 (4D)</t>
  </si>
  <si>
    <t>IL0011813875</t>
  </si>
  <si>
    <t>מניות בחו"ל חשופות מט"ח</t>
  </si>
  <si>
    <t>MTF סל תא 125</t>
  </si>
  <si>
    <t>IL0011502833</t>
  </si>
  <si>
    <t>MTF סל תא 90</t>
  </si>
  <si>
    <t>IL0011502593</t>
  </si>
  <si>
    <t>הראל קרנות נאמנות בע"מ</t>
  </si>
  <si>
    <t>511776783</t>
  </si>
  <si>
    <t>הראל סל תא 90</t>
  </si>
  <si>
    <t>IL0011489312</t>
  </si>
  <si>
    <t>הראל סל תל בונד שקלי</t>
  </si>
  <si>
    <t>IL0011505232</t>
  </si>
  <si>
    <t xml:space="preserve">אג"ח בישראל - חברות והמרה  </t>
  </si>
  <si>
    <t>הראל קרן סל תא 125</t>
  </si>
  <si>
    <t>IL0011488991</t>
  </si>
  <si>
    <t>מור ניהול קרנות נאמנות בע"מ</t>
  </si>
  <si>
    <t>514884485</t>
  </si>
  <si>
    <t>מור סל (A4) ת"א -125</t>
  </si>
  <si>
    <t>IL0011961534</t>
  </si>
  <si>
    <t>קסם קרנות נאמנות בע"מ</t>
  </si>
  <si>
    <t>510938608</t>
  </si>
  <si>
    <t>קסם 50 EURO PR STOXX</t>
  </si>
  <si>
    <t>IL0011464067</t>
  </si>
  <si>
    <t>קסם S&amp;P 500 (4D) ETF</t>
  </si>
  <si>
    <t>IL0011464711</t>
  </si>
  <si>
    <t>קסם קרן סל תא 125</t>
  </si>
  <si>
    <t>IL0011463564</t>
  </si>
  <si>
    <t>קסם תא 90</t>
  </si>
  <si>
    <t>IL0011463317</t>
  </si>
  <si>
    <t>קסם תא נדלן</t>
  </si>
  <si>
    <t>IL0011465478</t>
  </si>
  <si>
    <t>מיטב קרנות נאמנות בע"מ</t>
  </si>
  <si>
    <t>513534974</t>
  </si>
  <si>
    <t>תכלית סל תא 90</t>
  </si>
  <si>
    <t>IL0011437832</t>
  </si>
  <si>
    <t>Amundi Asset Management</t>
  </si>
  <si>
    <t>213800VZW861M5FHMD50</t>
  </si>
  <si>
    <t>AMUNDI S&amp;P 500</t>
  </si>
  <si>
    <t>LU1681049018</t>
  </si>
  <si>
    <t xml:space="preserve">BlackRock  Asset Managment </t>
  </si>
  <si>
    <t>254900UWHMJRRODS3Z64</t>
  </si>
  <si>
    <t>CEF ishares russell</t>
  </si>
  <si>
    <t>US4642876555</t>
  </si>
  <si>
    <t>HSBC Holdings PLC</t>
  </si>
  <si>
    <t>MLU0ZO3ML4LN2LL2TL39</t>
  </si>
  <si>
    <t>HANG SENG</t>
  </si>
  <si>
    <t>HK2828013055</t>
  </si>
  <si>
    <t>ISH $ CORP BD $A</t>
  </si>
  <si>
    <t>IE00BYXYYJ35</t>
  </si>
  <si>
    <t>ISH CORE ERSTX50</t>
  </si>
  <si>
    <t>DE0005933956</t>
  </si>
  <si>
    <t>ISH S&amp;P US BANKS</t>
  </si>
  <si>
    <t>IE00BD3V0B10</t>
  </si>
  <si>
    <t>ISH S&amp;P500</t>
  </si>
  <si>
    <t>IE00B4LN9N13</t>
  </si>
  <si>
    <t>Ishares $ Short Duration Corp Bond</t>
  </si>
  <si>
    <t>IE00BYXYYP94</t>
  </si>
  <si>
    <t>Ishares dax</t>
  </si>
  <si>
    <t>DE0005933931</t>
  </si>
  <si>
    <t>Ishares DJ construction</t>
  </si>
  <si>
    <t>US4642887529</t>
  </si>
  <si>
    <t>ISHARES NASDAQ100 ETF USD</t>
  </si>
  <si>
    <t>IE00B53SZB19</t>
  </si>
  <si>
    <t>LYXOR ETF</t>
  </si>
  <si>
    <t>LYXETF S&amp;P500</t>
  </si>
  <si>
    <t>LU1135865084</t>
  </si>
  <si>
    <t>NOMURA ETF</t>
  </si>
  <si>
    <t>JP3027630007</t>
  </si>
  <si>
    <t>SOURCE S&amp;P 500 UCITS ETF</t>
  </si>
  <si>
    <t>IE00B3YCGJ38</t>
  </si>
  <si>
    <t>State Street Corp</t>
  </si>
  <si>
    <t>07F5H7W3ET8ZLWNMFP29</t>
  </si>
  <si>
    <t>SPDR BLOOMBERG SASB</t>
  </si>
  <si>
    <t>IE0004TYCC17</t>
  </si>
  <si>
    <t>EUREX </t>
  </si>
  <si>
    <t>SPDR PORT SP 500</t>
  </si>
  <si>
    <t>US78464A8541</t>
  </si>
  <si>
    <t>SPDR S&amp;P 500 UCITS</t>
  </si>
  <si>
    <t>IE000XZSV718</t>
  </si>
  <si>
    <t>SPDR SASB US CORP</t>
  </si>
  <si>
    <t>IE00BLF7VX27</t>
  </si>
  <si>
    <t>SPDR US ENERGY</t>
  </si>
  <si>
    <t>IE00BWBXM492</t>
  </si>
  <si>
    <t>SPDR US FINCLS</t>
  </si>
  <si>
    <t>IE00BWBXM500</t>
  </si>
  <si>
    <t>SPDR US TECH</t>
  </si>
  <si>
    <t>IE00BWBXM948</t>
  </si>
  <si>
    <t>Vanguard Group</t>
  </si>
  <si>
    <t>549300Y88GQ3VLJIBX57</t>
  </si>
  <si>
    <t>VANG $CORPBD $A</t>
  </si>
  <si>
    <t>IE00BGYWFK87</t>
  </si>
  <si>
    <t>VANG FTSE EM $A</t>
  </si>
  <si>
    <t>IE00BK5BR733</t>
  </si>
  <si>
    <t>שווקים מתעוררים</t>
  </si>
  <si>
    <t>Vanguard S&amp;P 500 etf</t>
  </si>
  <si>
    <t>US9229083632</t>
  </si>
  <si>
    <t>WisdomTree Europe ltd</t>
  </si>
  <si>
    <t>213800B789JS6Y4H8936</t>
  </si>
  <si>
    <t>Wisdomtree Japan</t>
  </si>
  <si>
    <t>US97717W8516</t>
  </si>
  <si>
    <t>WSDMTR JP USD H</t>
  </si>
  <si>
    <t>IE00BYQCZD50</t>
  </si>
  <si>
    <t>INVESCO S&amp;P 500 UCITS ETF</t>
  </si>
  <si>
    <t>הראל סל 4DMSCI AC World</t>
  </si>
  <si>
    <t>IL0011493355</t>
  </si>
  <si>
    <t>קסם 500 P&amp;S PR מנוטרלת מטבע</t>
  </si>
  <si>
    <t>IL0011466047</t>
  </si>
  <si>
    <t xml:space="preserve">מניות בחו"ל משולבת </t>
  </si>
  <si>
    <t>קסם.תלבונד ש 50</t>
  </si>
  <si>
    <t>IL0011507626</t>
  </si>
  <si>
    <t>תכלית סל תל בונד שקלי 50</t>
  </si>
  <si>
    <t>IL0011693335</t>
  </si>
  <si>
    <t>תכלית קרן סל תא 125</t>
  </si>
  <si>
    <t>IL0011437188</t>
  </si>
  <si>
    <t>תכלית תל בונד 60</t>
  </si>
  <si>
    <t>IL0011451015</t>
  </si>
  <si>
    <t>Invesco QQQ  trust NAS1</t>
  </si>
  <si>
    <t>US46090E1038</t>
  </si>
  <si>
    <t>Ishares core s&amp;p 500 etf</t>
  </si>
  <si>
    <t>US4642872000</t>
  </si>
  <si>
    <t>MTF500SP ממ</t>
  </si>
  <si>
    <t>IL0011505729</t>
  </si>
  <si>
    <t>הראל סל 4A S&amp;P 500 מנוטרלת</t>
  </si>
  <si>
    <t>IL0011491375</t>
  </si>
  <si>
    <t>מור סל )4A(י NASDAQ 100 מנוטרל</t>
  </si>
  <si>
    <t>IL0011658445</t>
  </si>
  <si>
    <t>מור סל S&amp;P 500 ממ</t>
  </si>
  <si>
    <t>IL0011658288</t>
  </si>
  <si>
    <t>Global X Management Co LLc</t>
  </si>
  <si>
    <t>213800R3E823B1UBIA81</t>
  </si>
  <si>
    <t>Global X Cybersecurity</t>
  </si>
  <si>
    <t>US37954Y3844</t>
  </si>
  <si>
    <t>Ishares Msci  Asia ex Japn</t>
  </si>
  <si>
    <t>US4642881829</t>
  </si>
  <si>
    <t>LYX CORE EURSTX</t>
  </si>
  <si>
    <t>LU0908500753</t>
  </si>
  <si>
    <t>SPDR S&amp;P CHINA ETF</t>
  </si>
  <si>
    <t>US78463X4007</t>
  </si>
  <si>
    <t>הראל סל NDX 100</t>
  </si>
  <si>
    <t>IL0011490385</t>
  </si>
  <si>
    <t>הראל סל SP500</t>
  </si>
  <si>
    <t>IL0011490203</t>
  </si>
  <si>
    <t>הראל סל גרמניה DAX 30</t>
  </si>
  <si>
    <t>IL0011490534</t>
  </si>
  <si>
    <t>אלביט מערכות בע"מ</t>
  </si>
  <si>
    <t>520043027</t>
  </si>
  <si>
    <t>אלביט מערכות</t>
  </si>
  <si>
    <t>IL0010811243</t>
  </si>
  <si>
    <t>אלוני-חץ נכסים והשקעות בע"מ</t>
  </si>
  <si>
    <t>520038506</t>
  </si>
  <si>
    <t>אלוני חץ</t>
  </si>
  <si>
    <t>IL0003900136</t>
  </si>
  <si>
    <t>אמות השקעות בע"מ</t>
  </si>
  <si>
    <t>520026683</t>
  </si>
  <si>
    <t>אמות</t>
  </si>
  <si>
    <t>IL0010972789</t>
  </si>
  <si>
    <t>אנלייט אנרגיה מתחדשת בע"מ</t>
  </si>
  <si>
    <t>520041146</t>
  </si>
  <si>
    <t>אנלייט אנרגיה</t>
  </si>
  <si>
    <t>IL0007200111</t>
  </si>
  <si>
    <t>אנרג'יקס אנרגיות מתחדשות בע"מ</t>
  </si>
  <si>
    <t>513901371</t>
  </si>
  <si>
    <t>אנרג'יקס</t>
  </si>
  <si>
    <t>IL0011233553</t>
  </si>
  <si>
    <t>אפריקה ישראל מגורים בע"מ</t>
  </si>
  <si>
    <t>520034760</t>
  </si>
  <si>
    <t>אפריקה מגורים</t>
  </si>
  <si>
    <t>IL0010979487</t>
  </si>
  <si>
    <t>בזק החברה הישראלית לתקשורת בע"מ</t>
  </si>
  <si>
    <t>520031931</t>
  </si>
  <si>
    <t>בזק</t>
  </si>
  <si>
    <t>IL0002300114</t>
  </si>
  <si>
    <t>בית וגג יזמות ונדל"ן בע"מ</t>
  </si>
  <si>
    <t>516501640</t>
  </si>
  <si>
    <t>בית וגג - חסום עובדי מדינה</t>
  </si>
  <si>
    <t>IL0011853624</t>
  </si>
  <si>
    <t>בנק דיסקונט לישראל בע"מ</t>
  </si>
  <si>
    <t>520007030</t>
  </si>
  <si>
    <t>דיסקונט</t>
  </si>
  <si>
    <t>IL0006912120</t>
  </si>
  <si>
    <t>י.ח.דמרי בניה ופיתוח בע"מ</t>
  </si>
  <si>
    <t>511399388</t>
  </si>
  <si>
    <t>דמרי</t>
  </si>
  <si>
    <t>IL0010903156</t>
  </si>
  <si>
    <t>הפניקס אחזקות בע"מ</t>
  </si>
  <si>
    <t>520017450</t>
  </si>
  <si>
    <t>הפניקס</t>
  </si>
  <si>
    <t>IL0007670123</t>
  </si>
  <si>
    <t>טבע תעשיות פרמצבטיות בע"מ</t>
  </si>
  <si>
    <t>520013954</t>
  </si>
  <si>
    <t>טבע</t>
  </si>
  <si>
    <t>IL0006290147</t>
  </si>
  <si>
    <t>טרמינל איקס אונליין בע"מ</t>
  </si>
  <si>
    <t>515722536</t>
  </si>
  <si>
    <t>טרמינל איקס אונליין בעמ</t>
  </si>
  <si>
    <t>IL0011787145</t>
  </si>
  <si>
    <t>ישראל קנדה (ט.ר) בעמ</t>
  </si>
  <si>
    <t>520039298</t>
  </si>
  <si>
    <t>ישראל קנדה</t>
  </si>
  <si>
    <t>IL0004340191</t>
  </si>
  <si>
    <t>כלל החזקות עסקי ביטוח בע"מ</t>
  </si>
  <si>
    <t>520036120</t>
  </si>
  <si>
    <t>כלל ביטוח</t>
  </si>
  <si>
    <t>IL0002240146</t>
  </si>
  <si>
    <t>520018078</t>
  </si>
  <si>
    <t>IL0006046119</t>
  </si>
  <si>
    <t>י.ד. מור השקעות בע"מ</t>
  </si>
  <si>
    <t>513834606</t>
  </si>
  <si>
    <t>מור השקעות</t>
  </si>
  <si>
    <t>IL0011414641</t>
  </si>
  <si>
    <t>בנק מזרחי טפחות בע"מ</t>
  </si>
  <si>
    <t>520000522</t>
  </si>
  <si>
    <t>מזרחי טפחות</t>
  </si>
  <si>
    <t>IL0006954379</t>
  </si>
  <si>
    <t>מטריקס אי.טי בע"מ</t>
  </si>
  <si>
    <t>520039413</t>
  </si>
  <si>
    <t>מטריקס</t>
  </si>
  <si>
    <t>IL0004450156</t>
  </si>
  <si>
    <t>מליסרון בע"מ</t>
  </si>
  <si>
    <t>520037789</t>
  </si>
  <si>
    <t>מליסרון</t>
  </si>
  <si>
    <t>IL0003230146</t>
  </si>
  <si>
    <t>מניבים קרן הריט החדשה בע"מ</t>
  </si>
  <si>
    <t>515327120</t>
  </si>
  <si>
    <t>מניבים ריט</t>
  </si>
  <si>
    <t>IL0011405730</t>
  </si>
  <si>
    <t>נאוויטס פטרוליום, שותפות מוגבלת</t>
  </si>
  <si>
    <t>550263107</t>
  </si>
  <si>
    <t>נאוויטס פט יהש</t>
  </si>
  <si>
    <t>IL0011419699</t>
  </si>
  <si>
    <t>ניו-מד אנרג'י- שותפות מוגבלת</t>
  </si>
  <si>
    <t>550013098</t>
  </si>
  <si>
    <t>ניו-מד אנרג'י יהש</t>
  </si>
  <si>
    <t>IL0004750209</t>
  </si>
  <si>
    <t>נייס מערכות בע"מ</t>
  </si>
  <si>
    <t>520036872</t>
  </si>
  <si>
    <t>נייס</t>
  </si>
  <si>
    <t>IL0002730112</t>
  </si>
  <si>
    <t>נקסט ויז'ן</t>
  </si>
  <si>
    <t>514259019</t>
  </si>
  <si>
    <t>IL0011765935</t>
  </si>
  <si>
    <t>קבוצת עזריאלי בע"מ (לשעבר קנית מימון)</t>
  </si>
  <si>
    <t>510960719</t>
  </si>
  <si>
    <t>עזריאלי קבוצה</t>
  </si>
  <si>
    <t>IL0011194789</t>
  </si>
  <si>
    <t>בנק הפועלים בע"מ</t>
  </si>
  <si>
    <t>520000118</t>
  </si>
  <si>
    <t>פועלים</t>
  </si>
  <si>
    <t>IL0006625771</t>
  </si>
  <si>
    <t>פוקס-ויזל בע"מ</t>
  </si>
  <si>
    <t>512157603</t>
  </si>
  <si>
    <t>פוקס- ויזל</t>
  </si>
  <si>
    <t>IL0010870223</t>
  </si>
  <si>
    <t>פורמולה מערכות (1985)בע"מ</t>
  </si>
  <si>
    <t>520036690</t>
  </si>
  <si>
    <t>פורמולה מערכות</t>
  </si>
  <si>
    <t>IL0002560162</t>
  </si>
  <si>
    <t>שופר-סל בע"מ</t>
  </si>
  <si>
    <t>520022732</t>
  </si>
  <si>
    <t>שופרסל</t>
  </si>
  <si>
    <t>IL0007770378</t>
  </si>
  <si>
    <t>Advanced Micro Devices inc</t>
  </si>
  <si>
    <t>R2I72C950HOYXII45366</t>
  </si>
  <si>
    <t>Advanced Micro Devices</t>
  </si>
  <si>
    <t>US0079031078</t>
  </si>
  <si>
    <t>ALPHABET INC</t>
  </si>
  <si>
    <t>5493006MHB84DD0ZWV18</t>
  </si>
  <si>
    <t>ALPHABET INC-A</t>
  </si>
  <si>
    <t>US02079K3059</t>
  </si>
  <si>
    <t>amazon.com</t>
  </si>
  <si>
    <t>ZXTILKJKG63JELOEG630</t>
  </si>
  <si>
    <t>Amazon inc</t>
  </si>
  <si>
    <t>US0231351067</t>
  </si>
  <si>
    <t>ASML HOLDING NV-NY</t>
  </si>
  <si>
    <t>724500Y6DUVHQD6OXN27</t>
  </si>
  <si>
    <t>asml holding nv-ny</t>
  </si>
  <si>
    <t>USN070592100</t>
  </si>
  <si>
    <t>Broadcom Inc</t>
  </si>
  <si>
    <t>549300WV6GIDOZJTV909</t>
  </si>
  <si>
    <t>BROADCOM INC</t>
  </si>
  <si>
    <t>US11135F1012</t>
  </si>
  <si>
    <t>קמטק בע"מ</t>
  </si>
  <si>
    <t>511235434</t>
  </si>
  <si>
    <t>Camtek Ltd</t>
  </si>
  <si>
    <t>IL0010952641</t>
  </si>
  <si>
    <t>COSTCO WHOLESAL</t>
  </si>
  <si>
    <t>29DX7H14B9S6O3FD6V18</t>
  </si>
  <si>
    <t>COSTCO WHOLESALE CORP</t>
  </si>
  <si>
    <t>US22160K1051</t>
  </si>
  <si>
    <t>Food &amp; Staples Retailing Consumer Staples Distribution &amp; Retail</t>
  </si>
  <si>
    <t>פייבר אינטרנשיונל בע"מ</t>
  </si>
  <si>
    <t>514440874</t>
  </si>
  <si>
    <t>FIVERR INTERNATI</t>
  </si>
  <si>
    <t>IL0011582033</t>
  </si>
  <si>
    <t>JD.com Inc</t>
  </si>
  <si>
    <t>549300HVTWB0GJZ16V92</t>
  </si>
  <si>
    <t>JD.COM INC-CL A</t>
  </si>
  <si>
    <t>KYG8208B1014</t>
  </si>
  <si>
    <t>MASTERCARD INC</t>
  </si>
  <si>
    <t>AR5L2ODV9HN37376R084</t>
  </si>
  <si>
    <t>Mastercard inc-cla</t>
  </si>
  <si>
    <t>US57636Q1040</t>
  </si>
  <si>
    <t>Diversified Financial Services Financial Services</t>
  </si>
  <si>
    <t>MICROSOFT CORP</t>
  </si>
  <si>
    <t>INR2EJN1ERAN0W5ZP974</t>
  </si>
  <si>
    <t>Microsoft corp</t>
  </si>
  <si>
    <t>US5949181045</t>
  </si>
  <si>
    <t>נובה מכשירי מדידה בע"מ</t>
  </si>
  <si>
    <t>511812463</t>
  </si>
  <si>
    <t>Nova measuring inst</t>
  </si>
  <si>
    <t>IL0010845571</t>
  </si>
  <si>
    <t>NVIDIA CORP</t>
  </si>
  <si>
    <t>549300S4KLFTLO7GSQ80</t>
  </si>
  <si>
    <t>Nvidia crop</t>
  </si>
  <si>
    <t>US67066G1040</t>
  </si>
  <si>
    <t xml:space="preserve">אורמת טכנולגיות אינק </t>
  </si>
  <si>
    <t>5493000TSHHWY24VHM09</t>
  </si>
  <si>
    <t>Ormat Technologies</t>
  </si>
  <si>
    <t>US6866881021</t>
  </si>
  <si>
    <t>Samsung Electronics co ltd</t>
  </si>
  <si>
    <t>9884007ER46L6N7EI764</t>
  </si>
  <si>
    <t>Samsung electronics</t>
  </si>
  <si>
    <t>US7960508882</t>
  </si>
  <si>
    <t>TESLA MOTORS INC</t>
  </si>
  <si>
    <t>54930043XZGB27CTOV49</t>
  </si>
  <si>
    <t>US88160R1014</t>
  </si>
  <si>
    <t>VISA  Inc - CLASS  A</t>
  </si>
  <si>
    <t>549300JZ4OKEHW3DPJ59</t>
  </si>
  <si>
    <t>VISA inc-class a</t>
  </si>
  <si>
    <t>US92826C8394</t>
  </si>
  <si>
    <t>נובה</t>
  </si>
  <si>
    <t>Bank of America</t>
  </si>
  <si>
    <t>254900ARY41P4V1JL861</t>
  </si>
  <si>
    <t>BANK OF AMERICA</t>
  </si>
  <si>
    <t>US0605051046</t>
  </si>
  <si>
    <t>JP MORGAN ASSET MANAGEMENT</t>
  </si>
  <si>
    <t>8I5DZWZKVSZI1NUHU748</t>
  </si>
  <si>
    <t>JPmorgan Chase</t>
  </si>
  <si>
    <t>US46625H1005</t>
  </si>
  <si>
    <t>lockheed martin corp</t>
  </si>
  <si>
    <t>DPRBOZP0K5RM2YE8UU08</t>
  </si>
  <si>
    <t>Lockhid martin corp</t>
  </si>
  <si>
    <t>US5398301094</t>
  </si>
  <si>
    <t>Wal-Mart Stores</t>
  </si>
  <si>
    <t>Y87794H0US1R65VBXU25</t>
  </si>
  <si>
    <t>Wal  mart stores</t>
  </si>
  <si>
    <t>US9311421039</t>
  </si>
  <si>
    <t>איירפורט סיטי בע"מ</t>
  </si>
  <si>
    <t>511659401</t>
  </si>
  <si>
    <t>איירפורט אגח ה</t>
  </si>
  <si>
    <t>IL0011334872</t>
  </si>
  <si>
    <t>AA</t>
  </si>
  <si>
    <t>28/02/2029</t>
  </si>
  <si>
    <t>אלוני חץ אגח טו</t>
  </si>
  <si>
    <t>IL0011894149</t>
  </si>
  <si>
    <t>AA-</t>
  </si>
  <si>
    <t>01/03/2037</t>
  </si>
  <si>
    <t>אלוני חץ אגח יב</t>
  </si>
  <si>
    <t>IL0039004952</t>
  </si>
  <si>
    <t>28/02/2031</t>
  </si>
  <si>
    <t>אלקטרה בע"מ</t>
  </si>
  <si>
    <t>520028911</t>
  </si>
  <si>
    <t>אלקטרה    אגח ד</t>
  </si>
  <si>
    <t>IL0073901493</t>
  </si>
  <si>
    <t>A+</t>
  </si>
  <si>
    <t>30/06/2026</t>
  </si>
  <si>
    <t>אלקטרה אגח ה</t>
  </si>
  <si>
    <t>IL0073902228</t>
  </si>
  <si>
    <t>10/01/2031</t>
  </si>
  <si>
    <t>אמות אגח ד</t>
  </si>
  <si>
    <t>IL0011331498</t>
  </si>
  <si>
    <t>02/07/2028</t>
  </si>
  <si>
    <t>אנלייט אנר אגח ו</t>
  </si>
  <si>
    <t>IL0072001733</t>
  </si>
  <si>
    <t>A</t>
  </si>
  <si>
    <t>01/09/2026</t>
  </si>
  <si>
    <t>בתי זקוק לנפט בע"מ</t>
  </si>
  <si>
    <t>520036658</t>
  </si>
  <si>
    <t>בזן  אגח ט</t>
  </si>
  <si>
    <t>IL0025904611</t>
  </si>
  <si>
    <t>30/09/2025</t>
  </si>
  <si>
    <t>ביג מרכזי קניות (2004) בע"מ</t>
  </si>
  <si>
    <t>513623314</t>
  </si>
  <si>
    <t>ביג  ח</t>
  </si>
  <si>
    <t>IL0011389249</t>
  </si>
  <si>
    <t>12/04/2026</t>
  </si>
  <si>
    <t>ביג אגח ז</t>
  </si>
  <si>
    <t>IL0011360844</t>
  </si>
  <si>
    <t>11/05/2025</t>
  </si>
  <si>
    <t>ביג אגח כ</t>
  </si>
  <si>
    <t>IL0011861882</t>
  </si>
  <si>
    <t>01/05/2033</t>
  </si>
  <si>
    <t>הבינלאומי הראשון הנפקות בע"מ</t>
  </si>
  <si>
    <t>513141879</t>
  </si>
  <si>
    <t>בינל הנפק אגח י</t>
  </si>
  <si>
    <t>IL0011602906</t>
  </si>
  <si>
    <t>10/09/2025</t>
  </si>
  <si>
    <t>פז בית זיקוק לנפט-אשדוד בע"מ</t>
  </si>
  <si>
    <t>513775163</t>
  </si>
  <si>
    <t>בית זיקוק אשדוד אגח 2</t>
  </si>
  <si>
    <t>IL0011994881</t>
  </si>
  <si>
    <t>A-</t>
  </si>
  <si>
    <t>30/04/2029</t>
  </si>
  <si>
    <t>חברת גב-ים לקרקעות בע"מ</t>
  </si>
  <si>
    <t>520001736</t>
  </si>
  <si>
    <t>גב ים סד' ו'</t>
  </si>
  <si>
    <t>IL0075901285</t>
  </si>
  <si>
    <t>31/03/2026</t>
  </si>
  <si>
    <t>ג'י סיטי בע"מ</t>
  </si>
  <si>
    <t>520033234</t>
  </si>
  <si>
    <t>ג'י סיטי אגח יב</t>
  </si>
  <si>
    <t>IL0012606039</t>
  </si>
  <si>
    <t>30/06/2027</t>
  </si>
  <si>
    <t>דיסקונט מנפיקים בע"מ</t>
  </si>
  <si>
    <t>520029935</t>
  </si>
  <si>
    <t>דיסק מנ אגח טו</t>
  </si>
  <si>
    <t>IL0074803045</t>
  </si>
  <si>
    <t>15/08/2032</t>
  </si>
  <si>
    <t>דיסק מנ אגח טז</t>
  </si>
  <si>
    <t>IL0012031576</t>
  </si>
  <si>
    <t>20/03/2035</t>
  </si>
  <si>
    <t>דיסקונט אגח יד</t>
  </si>
  <si>
    <t>IL0074801635</t>
  </si>
  <si>
    <t>05/12/2030</t>
  </si>
  <si>
    <t>דיסקונט מנ נד ט</t>
  </si>
  <si>
    <t>IL0011912461</t>
  </si>
  <si>
    <t>30/11/2028</t>
  </si>
  <si>
    <t>הראל ביטוח מימון והנפקות בע"מ</t>
  </si>
  <si>
    <t>513834200</t>
  </si>
  <si>
    <t>הראל הנפ אגח טז</t>
  </si>
  <si>
    <t>IL0011576019</t>
  </si>
  <si>
    <t>הראל השקעות בביטוח ושרותים פיננסים בע"מ</t>
  </si>
  <si>
    <t>520033986</t>
  </si>
  <si>
    <t>הראל השקעות אגח א</t>
  </si>
  <si>
    <t>IL0058501102</t>
  </si>
  <si>
    <t>31/12/2035</t>
  </si>
  <si>
    <t>וילאר אינטרנשיונל בע"מ</t>
  </si>
  <si>
    <t>520038910</t>
  </si>
  <si>
    <t>וילאר אינטרנ' ח'</t>
  </si>
  <si>
    <t>IL0041601563</t>
  </si>
  <si>
    <t>27/06/2025</t>
  </si>
  <si>
    <t>חברת החשמל לישראל בע"מ</t>
  </si>
  <si>
    <t>520000472</t>
  </si>
  <si>
    <t>חשמל אגח 27</t>
  </si>
  <si>
    <t>IL0060002107</t>
  </si>
  <si>
    <t>12/04/2029</t>
  </si>
  <si>
    <t>חשמל אגח 33</t>
  </si>
  <si>
    <t>IL0060003923</t>
  </si>
  <si>
    <t>30/05/2036</t>
  </si>
  <si>
    <t>חשמל אגח 34</t>
  </si>
  <si>
    <t>IL0011967812</t>
  </si>
  <si>
    <t>12/06/2033</t>
  </si>
  <si>
    <t>יוניברסל מוטורס  ישראל בע"מ</t>
  </si>
  <si>
    <t>511809071</t>
  </si>
  <si>
    <t>יוניברסל אגח ד</t>
  </si>
  <si>
    <t>IL0011722530</t>
  </si>
  <si>
    <t>11/02/2029</t>
  </si>
  <si>
    <t>לאומי   אגח 179</t>
  </si>
  <si>
    <t>IL0060403727</t>
  </si>
  <si>
    <t>לאומי   אגח 180</t>
  </si>
  <si>
    <t>IL0060404220</t>
  </si>
  <si>
    <t>28/02/2025</t>
  </si>
  <si>
    <t>לאומי אגח 184</t>
  </si>
  <si>
    <t>IL0060406043</t>
  </si>
  <si>
    <t>05/05/2030</t>
  </si>
  <si>
    <t>לאומי אגח 186</t>
  </si>
  <si>
    <t>IL0012018391</t>
  </si>
  <si>
    <t>30/11/2033</t>
  </si>
  <si>
    <t>לאומי התח נד 403</t>
  </si>
  <si>
    <t>IL0060404303</t>
  </si>
  <si>
    <t>מבנה נדל"ן (כ.ד)  בע"מ</t>
  </si>
  <si>
    <t>520024126</t>
  </si>
  <si>
    <t>מבני תעש אגח כג</t>
  </si>
  <si>
    <t>IL0022605450</t>
  </si>
  <si>
    <t>30/09/2026</t>
  </si>
  <si>
    <t>מבני תעשיה אגח יז</t>
  </si>
  <si>
    <t>IL0022604461</t>
  </si>
  <si>
    <t>30/06/2028</t>
  </si>
  <si>
    <t>מגדל ביטוח גיוס הון בע"מ</t>
  </si>
  <si>
    <t>513230029</t>
  </si>
  <si>
    <t>מגדל ביטוח הון אגח יד</t>
  </si>
  <si>
    <t>IL0012075219</t>
  </si>
  <si>
    <t>01/01/2034</t>
  </si>
  <si>
    <t>מגדל הון אגח יג 31/12/2032</t>
  </si>
  <si>
    <t>IL0012075136</t>
  </si>
  <si>
    <t>31/12/2032</t>
  </si>
  <si>
    <t>מגה אור החזקות בע"מ</t>
  </si>
  <si>
    <t>513257873</t>
  </si>
  <si>
    <t>מגה אור אגח ז</t>
  </si>
  <si>
    <t>IL0011416968</t>
  </si>
  <si>
    <t>30/08/2027</t>
  </si>
  <si>
    <t>מזרחי טפחות חברה להנפקות בע"מ</t>
  </si>
  <si>
    <t>520032046</t>
  </si>
  <si>
    <t>מז טפ הנ אגח 62</t>
  </si>
  <si>
    <t>IL0023104982</t>
  </si>
  <si>
    <t>22/10/2028</t>
  </si>
  <si>
    <t>מז טפ הנ אגח 67</t>
  </si>
  <si>
    <t>IL0011968075</t>
  </si>
  <si>
    <t>מז טפ הנ אגח 68</t>
  </si>
  <si>
    <t>IL0012021429</t>
  </si>
  <si>
    <t>25/12/2033</t>
  </si>
  <si>
    <t>מזרחי טפחות הנפק 49</t>
  </si>
  <si>
    <t>IL0023102820</t>
  </si>
  <si>
    <t>23/06/2026</t>
  </si>
  <si>
    <t>מזרחי טפחות הנפק אגח 64</t>
  </si>
  <si>
    <t>IL0023105559</t>
  </si>
  <si>
    <t>13/04/2031</t>
  </si>
  <si>
    <t xml:space="preserve">מימון ישיר מקבוצת ישיר 2006 בע"מ </t>
  </si>
  <si>
    <t>513893123</t>
  </si>
  <si>
    <t>מימון ישיר אגח ו - חסום עד 13/09/25</t>
  </si>
  <si>
    <t>IL0011916595</t>
  </si>
  <si>
    <t>31/03/2027</t>
  </si>
  <si>
    <t>מליסרון  אגח יח</t>
  </si>
  <si>
    <t>IL0032303724</t>
  </si>
  <si>
    <t>מליסרון  אגח כא</t>
  </si>
  <si>
    <t>IL0011946386</t>
  </si>
  <si>
    <t>01/01/2037</t>
  </si>
  <si>
    <t>מליסרון אגח יא</t>
  </si>
  <si>
    <t>IL0032302080</t>
  </si>
  <si>
    <t>10/07/2025</t>
  </si>
  <si>
    <t>מליסרון אגח יז</t>
  </si>
  <si>
    <t>IL0032302734</t>
  </si>
  <si>
    <t>01/01/2032</t>
  </si>
  <si>
    <t>מליסרון אגח כ</t>
  </si>
  <si>
    <t>IL0032304227</t>
  </si>
  <si>
    <t>01/07/2030</t>
  </si>
  <si>
    <t>חברה לנכסים ולבנין בע"מ</t>
  </si>
  <si>
    <t>520025438</t>
  </si>
  <si>
    <t>נכסים ובנין ד</t>
  </si>
  <si>
    <t>IL0069901549</t>
  </si>
  <si>
    <t>31/12/2025</t>
  </si>
  <si>
    <t>עזריאלי אגח ד</t>
  </si>
  <si>
    <t>IL0011386500</t>
  </si>
  <si>
    <t>05/07/2030</t>
  </si>
  <si>
    <t>פועלים  י קוקו צמוד</t>
  </si>
  <si>
    <t>IL0011998924</t>
  </si>
  <si>
    <t>17/05/2026</t>
  </si>
  <si>
    <t>פועלים אגח 200</t>
  </si>
  <si>
    <t>IL0066204962</t>
  </si>
  <si>
    <t>09/12/2031</t>
  </si>
  <si>
    <t>פועלים אגח 202</t>
  </si>
  <si>
    <t>IL0011998502</t>
  </si>
  <si>
    <t>30/04/2028</t>
  </si>
  <si>
    <t>פועלים אגח 203</t>
  </si>
  <si>
    <t>IL0011998684</t>
  </si>
  <si>
    <t>02/12/2030</t>
  </si>
  <si>
    <t>פועלים התח נד יב</t>
  </si>
  <si>
    <t>IL0012141219</t>
  </si>
  <si>
    <t>28/11/2032</t>
  </si>
  <si>
    <t>פועלים התחייבות נדחים ה'</t>
  </si>
  <si>
    <t>IL0066204624</t>
  </si>
  <si>
    <t>17/08/2026</t>
  </si>
  <si>
    <t>פועלים ט' קוקו צמוד</t>
  </si>
  <si>
    <t>IL0011998841</t>
  </si>
  <si>
    <t>03/04/2025</t>
  </si>
  <si>
    <t>פז חברת הנפט בע"מ</t>
  </si>
  <si>
    <t>510216054</t>
  </si>
  <si>
    <t>פז נפט  ו</t>
  </si>
  <si>
    <t>IL0011395428</t>
  </si>
  <si>
    <t>הפניקס גיוסי הון (2009) בע"מ</t>
  </si>
  <si>
    <t>514290345</t>
  </si>
  <si>
    <t>פניקס הון אגח טו</t>
  </si>
  <si>
    <t>IL0012019530</t>
  </si>
  <si>
    <t>30/06/2030</t>
  </si>
  <si>
    <t>שופרסל אגח ו</t>
  </si>
  <si>
    <t>IL0077702178</t>
  </si>
  <si>
    <t>08/10/2028</t>
  </si>
  <si>
    <t>שיכון ובינוי בע"מ</t>
  </si>
  <si>
    <t>520036104</t>
  </si>
  <si>
    <t>שיכון ובינוי אגח 6</t>
  </si>
  <si>
    <t>IL0011297335</t>
  </si>
  <si>
    <t>01/04/2025</t>
  </si>
  <si>
    <t>שיכון ובינוי אנרגיה בע"מ</t>
  </si>
  <si>
    <t>510459928</t>
  </si>
  <si>
    <t>שיכון ובינוי אנרגיה אגח א'</t>
  </si>
  <si>
    <t>IL0011985715</t>
  </si>
  <si>
    <t>30/06/2034</t>
  </si>
  <si>
    <t>תומר תמלוגי אנרגיה (2012)  בע"מ</t>
  </si>
  <si>
    <t>514837111</t>
  </si>
  <si>
    <t>תומר אנרגיה אגח א</t>
  </si>
  <si>
    <t>IL0011474793</t>
  </si>
  <si>
    <t>30/08/2028</t>
  </si>
  <si>
    <t>תמר פטרוליום בעמ</t>
  </si>
  <si>
    <t>515334662</t>
  </si>
  <si>
    <t>תמר פטרוליום אגח א</t>
  </si>
  <si>
    <t>IL0011413320</t>
  </si>
  <si>
    <t>HAPOAL 3.255 01/21/32</t>
  </si>
  <si>
    <t>IL0066204707</t>
  </si>
  <si>
    <t>BBB-</t>
  </si>
  <si>
    <t>21/01/2032</t>
  </si>
  <si>
    <t>LUMIIT 3.275 01/29/3</t>
  </si>
  <si>
    <t>IL0060404899</t>
  </si>
  <si>
    <t>29/01/2031</t>
  </si>
  <si>
    <t>איירפורט אגח י</t>
  </si>
  <si>
    <t>IL0011959819</t>
  </si>
  <si>
    <t>אלביט מערכות ב' 1.08%</t>
  </si>
  <si>
    <t>IL0011782351</t>
  </si>
  <si>
    <t>01/07/2029</t>
  </si>
  <si>
    <t>אלוני חץ  אגח ט</t>
  </si>
  <si>
    <t>IL0039003541</t>
  </si>
  <si>
    <t>28/02/2027</t>
  </si>
  <si>
    <t>גב ים אגח ח</t>
  </si>
  <si>
    <t>IL0075901517</t>
  </si>
  <si>
    <t>הראל הנפקות אגח יט</t>
  </si>
  <si>
    <t>IL0011927725</t>
  </si>
  <si>
    <t>31/12/2029</t>
  </si>
  <si>
    <t>חשמל     אגח 29</t>
  </si>
  <si>
    <t>IL0060002362</t>
  </si>
  <si>
    <t>01/03/2026</t>
  </si>
  <si>
    <t>לאומי אגח 182</t>
  </si>
  <si>
    <t>IL0060405391</t>
  </si>
  <si>
    <t>25/11/2027</t>
  </si>
  <si>
    <t>מנורה מבטחים גיוס הון בע"מ</t>
  </si>
  <si>
    <t>513937714</t>
  </si>
  <si>
    <t>מנורה הון התח 5</t>
  </si>
  <si>
    <t>IL0011434110</t>
  </si>
  <si>
    <t>חברת נמלי ישראל - פיתוח נכסים בע"מ</t>
  </si>
  <si>
    <t>513569780</t>
  </si>
  <si>
    <t>נמלי ישראל אג ב</t>
  </si>
  <si>
    <t>IL0011455727</t>
  </si>
  <si>
    <t>31/12/2031</t>
  </si>
  <si>
    <t>עזריאלי אגח ז</t>
  </si>
  <si>
    <t>IL0011786725</t>
  </si>
  <si>
    <t>02/07/2036</t>
  </si>
  <si>
    <t>עזריאלי קבוצה אגח ב סחיר</t>
  </si>
  <si>
    <t>IL0011344368</t>
  </si>
  <si>
    <t>קרסו מוטורס בע"מ</t>
  </si>
  <si>
    <t>514065283</t>
  </si>
  <si>
    <t>קרסו מוטורס   אגח ג</t>
  </si>
  <si>
    <t>IL0011418295</t>
  </si>
  <si>
    <t>01/09/2027</t>
  </si>
  <si>
    <t>רבוע כחול נדל"ן בע"מ</t>
  </si>
  <si>
    <t>513765859</t>
  </si>
  <si>
    <t>רבוע נדלן אגח ו</t>
  </si>
  <si>
    <t>IL0011406076</t>
  </si>
  <si>
    <t>30/11/2026</t>
  </si>
  <si>
    <t>ש.שלמה החזקות בע"מ</t>
  </si>
  <si>
    <t>520034372</t>
  </si>
  <si>
    <t>שלמה החז אגח כ</t>
  </si>
  <si>
    <t>IL0011927493</t>
  </si>
  <si>
    <t>21/12/2031</t>
  </si>
  <si>
    <t>אלבר שירותי מימונית בע"מ</t>
  </si>
  <si>
    <t>512025891</t>
  </si>
  <si>
    <t>אלבר אג"ח יח</t>
  </si>
  <si>
    <t>IL0011587404</t>
  </si>
  <si>
    <t>13/01/2027</t>
  </si>
  <si>
    <t>אלוני חץ אגח יג</t>
  </si>
  <si>
    <t>IL0011894065</t>
  </si>
  <si>
    <t>אמות אגח ה</t>
  </si>
  <si>
    <t>IL0011381147</t>
  </si>
  <si>
    <t>04/01/2026</t>
  </si>
  <si>
    <t>אמות אגח ז</t>
  </si>
  <si>
    <t>IL0011628661</t>
  </si>
  <si>
    <t>05/01/2032</t>
  </si>
  <si>
    <t>ג'י סיטי  אגח יג</t>
  </si>
  <si>
    <t>IL0012606526</t>
  </si>
  <si>
    <t>החברה לישראל בע"מ</t>
  </si>
  <si>
    <t>520028010</t>
  </si>
  <si>
    <t>חברה לישראל אגח 12</t>
  </si>
  <si>
    <t>IL0057602513</t>
  </si>
  <si>
    <t>ישראמקו נגב 2 שותפות מוגבלת</t>
  </si>
  <si>
    <t>550010003</t>
  </si>
  <si>
    <t>ישראמקו נגב 2 א</t>
  </si>
  <si>
    <t>IL0023201747</t>
  </si>
  <si>
    <t>10/10/2025</t>
  </si>
  <si>
    <t>ישרס חברה להשקעות בע"מ</t>
  </si>
  <si>
    <t>520017807</t>
  </si>
  <si>
    <t>ישרס אגח יד</t>
  </si>
  <si>
    <t>IL0061301995</t>
  </si>
  <si>
    <t>01/03/2027</t>
  </si>
  <si>
    <t>כללביט מימון בע"מ</t>
  </si>
  <si>
    <t>513754069</t>
  </si>
  <si>
    <t>כללביט אגח ט</t>
  </si>
  <si>
    <t>IL0011360505</t>
  </si>
  <si>
    <t>31/07/2025</t>
  </si>
  <si>
    <t>לאומי אגח  185</t>
  </si>
  <si>
    <t>IL0012018219</t>
  </si>
  <si>
    <t>31/08/2029</t>
  </si>
  <si>
    <t>מבני תעשיה אגח טז</t>
  </si>
  <si>
    <t>IL0022604388</t>
  </si>
  <si>
    <t>מז  הנפק    46 1.22% 9/2027</t>
  </si>
  <si>
    <t>IL0023102259</t>
  </si>
  <si>
    <t>28/09/2027</t>
  </si>
  <si>
    <t>מז טפ הנ אגח 63</t>
  </si>
  <si>
    <t>IL0023105484</t>
  </si>
  <si>
    <t>מזרחי הנפקות 40</t>
  </si>
  <si>
    <t>IL0023101673</t>
  </si>
  <si>
    <t>08/06/2025</t>
  </si>
  <si>
    <t>סלקום ישראל בע"מ</t>
  </si>
  <si>
    <t>511930125</t>
  </si>
  <si>
    <t>סלקום אגח ט</t>
  </si>
  <si>
    <t>IL0011328361</t>
  </si>
  <si>
    <t>06/07/2025</t>
  </si>
  <si>
    <t>עזריאלי אגח ה</t>
  </si>
  <si>
    <t>IL0011566036</t>
  </si>
  <si>
    <t>פועלים אגח 100</t>
  </si>
  <si>
    <t>IL0066204889</t>
  </si>
  <si>
    <t>פניקס הון אגח יד</t>
  </si>
  <si>
    <t>IL0012019464</t>
  </si>
  <si>
    <t>28/02/2030</t>
  </si>
  <si>
    <t>חברת פרטנר תקשורת בע"מ</t>
  </si>
  <si>
    <t>520044314</t>
  </si>
  <si>
    <t>פרטנר אגח ז</t>
  </si>
  <si>
    <t>IL0011563975</t>
  </si>
  <si>
    <t>25/06/2027</t>
  </si>
  <si>
    <t>ריט 1 בע"מ</t>
  </si>
  <si>
    <t>513821488</t>
  </si>
  <si>
    <t>ריט 1 סד ה</t>
  </si>
  <si>
    <t>IL0011367534</t>
  </si>
  <si>
    <t>20/09/2028</t>
  </si>
  <si>
    <t>שופרסל אגח ה</t>
  </si>
  <si>
    <t>IL0077702095</t>
  </si>
  <si>
    <t>08/10/2029</t>
  </si>
  <si>
    <t>שטראוס גרופ בע"מ</t>
  </si>
  <si>
    <t>520003781</t>
  </si>
  <si>
    <t>שטראוס אגח ה</t>
  </si>
  <si>
    <t>IL0074603890</t>
  </si>
  <si>
    <t>שיכון ובינוי אגח 7</t>
  </si>
  <si>
    <t>IL0011297418</t>
  </si>
  <si>
    <t>שיכון ובינוי אגח 8</t>
  </si>
  <si>
    <t>IL0011358889</t>
  </si>
  <si>
    <t>01/05/2029</t>
  </si>
  <si>
    <t>שלמה החז אגח יז</t>
  </si>
  <si>
    <t>IL0014102995</t>
  </si>
  <si>
    <t>21/06/2026</t>
  </si>
  <si>
    <t>שלמה החז אגח יח</t>
  </si>
  <si>
    <t>IL0014103076</t>
  </si>
  <si>
    <t>קבוצת אשטרום</t>
  </si>
  <si>
    <t>510381601</t>
  </si>
  <si>
    <t>אשטרום קב אגח ב</t>
  </si>
  <si>
    <t>IL0011323313</t>
  </si>
  <si>
    <t>דור אלון אנרגיה בישראל (1988) בע"מ</t>
  </si>
  <si>
    <t>520043878</t>
  </si>
  <si>
    <t>דור אלון  אגח ו</t>
  </si>
  <si>
    <t>IL0011406563</t>
  </si>
  <si>
    <t>01/06/2025</t>
  </si>
  <si>
    <t>הראל הנפקות אגח ט</t>
  </si>
  <si>
    <t>IL0011340309</t>
  </si>
  <si>
    <t>הראל הנפקות אגח י</t>
  </si>
  <si>
    <t>IL0011340481</t>
  </si>
  <si>
    <t>31/12/2026</t>
  </si>
  <si>
    <t>סלע קפיטל נדל"ן בע"מ</t>
  </si>
  <si>
    <t>513992529</t>
  </si>
  <si>
    <t>סלע נדלן אגח ב</t>
  </si>
  <si>
    <t>IL0011329278</t>
  </si>
  <si>
    <t>13/01/2025</t>
  </si>
  <si>
    <t>עמידר</t>
  </si>
  <si>
    <t>520017393</t>
  </si>
  <si>
    <t>עמידר     אגח א</t>
  </si>
  <si>
    <t>IL0011435851</t>
  </si>
  <si>
    <t>31/03/2028</t>
  </si>
  <si>
    <t>חוזים עתידיים בחול</t>
  </si>
  <si>
    <t>10527</t>
  </si>
  <si>
    <t>ESH5_SP500 EMINI FUT MAR25</t>
  </si>
  <si>
    <t>ESH5</t>
  </si>
  <si>
    <t>CME </t>
  </si>
  <si>
    <t>ביג אפ 7</t>
  </si>
  <si>
    <t>IL0012143454</t>
  </si>
  <si>
    <t>IL0010972607</t>
  </si>
  <si>
    <t>01/06/2026</t>
  </si>
  <si>
    <t>NAV
(במטבע הדיווח של קרן ההשקעה)</t>
  </si>
  <si>
    <t>Ami Opportunities</t>
  </si>
  <si>
    <t>512712548</t>
  </si>
  <si>
    <t>AMI OPPORTUNITY</t>
  </si>
  <si>
    <t>ג'רנסי</t>
  </si>
  <si>
    <t>Address: 1 Glategny Esplanade , St Peter Port , Guernsey , GY12HJ</t>
  </si>
  <si>
    <t>25/02/2020</t>
  </si>
  <si>
    <t>10/12/2024</t>
  </si>
  <si>
    <t>הראל</t>
  </si>
  <si>
    <t>213800P4S1KTTPIB9T76</t>
  </si>
  <si>
    <t>Harel Alternative Credit Co-In</t>
  </si>
  <si>
    <t>כתובת: החילזון 12 , רמת גן</t>
  </si>
  <si>
    <t>24/04/2023</t>
  </si>
  <si>
    <t>תש"י</t>
  </si>
  <si>
    <t>540278751</t>
  </si>
  <si>
    <t>IIF IV</t>
  </si>
  <si>
    <t>כתובת:  השלושה 2 ת, תל אביב</t>
  </si>
  <si>
    <t>13/10/2020</t>
  </si>
  <si>
    <t>28/11/2024</t>
  </si>
  <si>
    <t>קדמה</t>
  </si>
  <si>
    <t>540286333</t>
  </si>
  <si>
    <t>KEDMA CAPITAL PARTNERS III LTD</t>
  </si>
  <si>
    <t>כתובת: מנחם בגין 132, מגדלי עזריאלי, תל אביב</t>
  </si>
  <si>
    <t>29/04/2021</t>
  </si>
  <si>
    <t>Klirmark</t>
  </si>
  <si>
    <t>CO-101523</t>
  </si>
  <si>
    <t>KLIRMARK FUND III</t>
  </si>
  <si>
    <t>כתובת: ז'בוטינסקי 2 , רמת גן , ישראל</t>
  </si>
  <si>
    <t>13/11/2019</t>
  </si>
  <si>
    <t>04/12/2024</t>
  </si>
  <si>
    <t>Klirmark Fund IV</t>
  </si>
  <si>
    <t>17/04/2023</t>
  </si>
  <si>
    <t>30/12/2024</t>
  </si>
  <si>
    <t>Pitango Growth</t>
  </si>
  <si>
    <t>MC-103097</t>
  </si>
  <si>
    <t>Pitango Growth II</t>
  </si>
  <si>
    <t>Address:  11 HaMenofim st.  Herzliya</t>
  </si>
  <si>
    <t>07/06/2021</t>
  </si>
  <si>
    <t>RPS</t>
  </si>
  <si>
    <t>550257596</t>
  </si>
  <si>
    <t>RPS - קרן גידור</t>
  </si>
  <si>
    <t>כתובת: דיסנצ'יק אריה 5 , תל אביב</t>
  </si>
  <si>
    <t>21/12/2021</t>
  </si>
  <si>
    <t>29/12/2024</t>
  </si>
  <si>
    <t>Somv</t>
  </si>
  <si>
    <t>27843</t>
  </si>
  <si>
    <t>SOMV 2</t>
  </si>
  <si>
    <t>כתובת: מדינת היהודים 85 , הרצליה, ישראל</t>
  </si>
  <si>
    <t>20/03/2018</t>
  </si>
  <si>
    <t>אלפא</t>
  </si>
  <si>
    <t>550225288</t>
  </si>
  <si>
    <t>אלפא- השתלמות עובדי מדינה</t>
  </si>
  <si>
    <t>כתובת: אבא אבן 10 , הרצליה</t>
  </si>
  <si>
    <t>26/08/2021</t>
  </si>
  <si>
    <t>17/12/2024</t>
  </si>
  <si>
    <t>יסודות נדלן</t>
  </si>
  <si>
    <t>550257125</t>
  </si>
  <si>
    <t>יסודות נדלן ג</t>
  </si>
  <si>
    <t>כתובת: בר כוכבא 23, בני ברק, ישראל</t>
  </si>
  <si>
    <t>02/12/2019</t>
  </si>
  <si>
    <t>נוי 1</t>
  </si>
  <si>
    <t>540294725</t>
  </si>
  <si>
    <t>נוי 1 קרן תשתיות פרטית</t>
  </si>
  <si>
    <t>כתובת: דרך מנחם בגין 132,  תל אביב</t>
  </si>
  <si>
    <t>31/12/2013</t>
  </si>
  <si>
    <t>ספרה</t>
  </si>
  <si>
    <t>540305869</t>
  </si>
  <si>
    <t>ספירה יתר קרן השקעה</t>
  </si>
  <si>
    <t>כתובת: יצחק שדה 4 , תל אביב</t>
  </si>
  <si>
    <t>ספרה פארקינג</t>
  </si>
  <si>
    <t>כתובת: הארבעה 21 תל אביב</t>
  </si>
  <si>
    <t>06/12/2021</t>
  </si>
  <si>
    <t>05/11/2024</t>
  </si>
  <si>
    <t>Alpha Global L.P</t>
  </si>
  <si>
    <t>27512</t>
  </si>
  <si>
    <t>קרן אלפא</t>
  </si>
  <si>
    <t>25/03/2024</t>
  </si>
  <si>
    <t>513834986</t>
  </si>
  <si>
    <t>קרן אלפא אופציה</t>
  </si>
  <si>
    <t>04/07/2017</t>
  </si>
  <si>
    <t>ארבל</t>
  </si>
  <si>
    <t>540307832</t>
  </si>
  <si>
    <t>קרן ארבל פאנד בע"מ</t>
  </si>
  <si>
    <t>כתובת: אריאל שרון 4 , גבעתיים, ישראל</t>
  </si>
  <si>
    <t>20/12/2017</t>
  </si>
  <si>
    <t>פורטיסימו</t>
  </si>
  <si>
    <t>530278514</t>
  </si>
  <si>
    <t>קרן בלקסטון</t>
  </si>
  <si>
    <t>כתובת: הארבעה 30 , תל אביב, ישראל</t>
  </si>
  <si>
    <t>16/04/2020</t>
  </si>
  <si>
    <t>19/12/2024</t>
  </si>
  <si>
    <t>23/10/2023</t>
  </si>
  <si>
    <t>ברוש</t>
  </si>
  <si>
    <t>774636625</t>
  </si>
  <si>
    <t>קרן ברוש</t>
  </si>
  <si>
    <t>כתובת: אריאל שרון 4 , גבעתיים</t>
  </si>
  <si>
    <t>17/06/2020</t>
  </si>
  <si>
    <t>קרן ברוש - השתלמות עובדי מדינה</t>
  </si>
  <si>
    <t>24/01/2021</t>
  </si>
  <si>
    <t>נוקד</t>
  </si>
  <si>
    <t>515419356</t>
  </si>
  <si>
    <t>קרן גידור נוקד</t>
  </si>
  <si>
    <t>כתובת:  הארבעה 30 תל אביב</t>
  </si>
  <si>
    <t>03/11/2015</t>
  </si>
  <si>
    <t>נוי</t>
  </si>
  <si>
    <t>550241467</t>
  </si>
  <si>
    <t>קרן נוי 2 השקעה</t>
  </si>
  <si>
    <t>19/11/2015</t>
  </si>
  <si>
    <t>קרן ספרה .אי.</t>
  </si>
  <si>
    <t>31/07/2017</t>
  </si>
  <si>
    <t>Alto</t>
  </si>
  <si>
    <t>27092</t>
  </si>
  <si>
    <t>ALTO 3</t>
  </si>
  <si>
    <t>Address: 8 Raul Valenberg , Tel Aviv , Israel</t>
  </si>
  <si>
    <t>06/10/2019</t>
  </si>
  <si>
    <t>Alto II</t>
  </si>
  <si>
    <t>26/12/2019</t>
  </si>
  <si>
    <t>12/12/2024</t>
  </si>
  <si>
    <t>BAIN</t>
  </si>
  <si>
    <t>27725</t>
  </si>
  <si>
    <t>Bain Capital DSS</t>
  </si>
  <si>
    <t>Address:  200 Clarendon st. , Boston, MA 02116</t>
  </si>
  <si>
    <t>09/12/2024</t>
  </si>
  <si>
    <t>בראק קפיטל</t>
  </si>
  <si>
    <t>724500GB8DLC6CHUX916</t>
  </si>
  <si>
    <t>BRACK CAPITAL</t>
  </si>
  <si>
    <t>Address: Lophitis Business Centre, 28th October Street, CY-3035 Limassol, Cyprus</t>
  </si>
  <si>
    <t>15/10/2018</t>
  </si>
  <si>
    <t>20/06/2024</t>
  </si>
  <si>
    <t>Direct Lending</t>
  </si>
  <si>
    <t xml:space="preserve"> B216569</t>
  </si>
  <si>
    <t>Direct Lending IV</t>
  </si>
  <si>
    <t>לוקסמבורג</t>
  </si>
  <si>
    <t>Address:  11-13 Boulevard de la Foire, L-1528, Luxembourg</t>
  </si>
  <si>
    <t>15/12/2022</t>
  </si>
  <si>
    <t>Electra</t>
  </si>
  <si>
    <t>Electra Capital PM Feeder 4</t>
  </si>
  <si>
    <t>Address: 4890 West Kennedy blvd. Tampa, FL 33609 USA</t>
  </si>
  <si>
    <t>25/06/2020</t>
  </si>
  <si>
    <t>08/12/2024</t>
  </si>
  <si>
    <t>Electra Capital PM II Feeder</t>
  </si>
  <si>
    <t>08/05/2023</t>
  </si>
  <si>
    <t>אלקטרה נדל"ן 1</t>
  </si>
  <si>
    <t>9975491116</t>
  </si>
  <si>
    <t>Electra UK Fund I</t>
  </si>
  <si>
    <t>20/03/2024</t>
  </si>
  <si>
    <t>EQT</t>
  </si>
  <si>
    <t>2020 2423 842</t>
  </si>
  <si>
    <t>EQT Infrastructure V</t>
  </si>
  <si>
    <t>Address: 51A Boulevard Royal, L-2449 , Luxembourg</t>
  </si>
  <si>
    <t>12/08/2021</t>
  </si>
  <si>
    <t>EQT Infrastructure VI</t>
  </si>
  <si>
    <t>23/01/2024</t>
  </si>
  <si>
    <t>EQT X Buyout</t>
  </si>
  <si>
    <t>04/09/2023</t>
  </si>
  <si>
    <t>23/12/2024</t>
  </si>
  <si>
    <t>Faro Point</t>
  </si>
  <si>
    <t>86-2034928</t>
  </si>
  <si>
    <t>Faro Point FIVF III (F-5)</t>
  </si>
  <si>
    <t>Address: 5 Marine View Plz. , Hoboken, NJ 07030, USA</t>
  </si>
  <si>
    <t>23/05/2023</t>
  </si>
  <si>
    <t>פורמה</t>
  </si>
  <si>
    <t>530278654</t>
  </si>
  <si>
    <t>FORMA FUND</t>
  </si>
  <si>
    <t>Address: 20 Raul Valenberg , Tel Aviv, Israel</t>
  </si>
  <si>
    <t>03/12/2019</t>
  </si>
  <si>
    <t>FORMA FUND 2</t>
  </si>
  <si>
    <t>08/07/2021</t>
  </si>
  <si>
    <t>26/11/2024</t>
  </si>
  <si>
    <t>Hamilton</t>
  </si>
  <si>
    <t xml:space="preserve">98-1588386 </t>
  </si>
  <si>
    <t>Hamilton Strategic Opp 2020</t>
  </si>
  <si>
    <t>Address: 610 Fifth Avenue , New York , NY 10020</t>
  </si>
  <si>
    <t>24/03/2021</t>
  </si>
  <si>
    <t>Hamilton Strategic Opp VII</t>
  </si>
  <si>
    <t>14/06/2022</t>
  </si>
  <si>
    <t>18/12/2024</t>
  </si>
  <si>
    <t>HAMILTON2016</t>
  </si>
  <si>
    <t>16/06/2016</t>
  </si>
  <si>
    <t>24/12/2024</t>
  </si>
  <si>
    <t>HarbourVest</t>
  </si>
  <si>
    <t>27330</t>
  </si>
  <si>
    <t>HARBOURVEST CO INVEST</t>
  </si>
  <si>
    <t>Address: One Financial Center, Boston, Massachusetts 02111</t>
  </si>
  <si>
    <t>16/09/2019</t>
  </si>
  <si>
    <t>HARBOURVEST DOVER X</t>
  </si>
  <si>
    <t>31/12/2019</t>
  </si>
  <si>
    <t>IBI</t>
  </si>
  <si>
    <t>27841</t>
  </si>
  <si>
    <t>IBI CCF</t>
  </si>
  <si>
    <t>כתובת:  אחד העם 9 תל אביב</t>
  </si>
  <si>
    <t>26/05/2021</t>
  </si>
  <si>
    <t>BI קונסיומר קרדיט</t>
  </si>
  <si>
    <t>IBI NEW CCF</t>
  </si>
  <si>
    <t>05/05/2024</t>
  </si>
  <si>
    <t>550270045</t>
  </si>
  <si>
    <t>IBI Pillar Gatingen</t>
  </si>
  <si>
    <t>13/09/2021</t>
  </si>
  <si>
    <t>Insight Partners</t>
  </si>
  <si>
    <t>851058800</t>
  </si>
  <si>
    <t>INSIGHT PARTNERS XII</t>
  </si>
  <si>
    <t>Address: 1114 Avenue of the Americas , New York , NY</t>
  </si>
  <si>
    <t>12/07/2021</t>
  </si>
  <si>
    <t>Invesco Credit Partners</t>
  </si>
  <si>
    <t>Invesco Credit Partners II</t>
  </si>
  <si>
    <t>Address: 225 Liberty st. , New York, NY , 10281</t>
  </si>
  <si>
    <t>13/07/2022</t>
  </si>
  <si>
    <t>invesco</t>
  </si>
  <si>
    <t>549300FEA3DT84FOZ304</t>
  </si>
  <si>
    <t>Invesco Direct Lending II</t>
  </si>
  <si>
    <t>10/04/2024</t>
  </si>
  <si>
    <t>MIP</t>
  </si>
  <si>
    <t>ACMHD8HWFMFUIQQ8Y590</t>
  </si>
  <si>
    <t>MACQUARIE</t>
  </si>
  <si>
    <t>Address: 125 west 55th street, New York, NY 10019</t>
  </si>
  <si>
    <t>15/10/2019</t>
  </si>
  <si>
    <t>MIDEAL FUND</t>
  </si>
  <si>
    <t>12/02/2017</t>
  </si>
  <si>
    <t>מונטה</t>
  </si>
  <si>
    <t>540296522</t>
  </si>
  <si>
    <t>MONETA CAPITAL</t>
  </si>
  <si>
    <t>כתובת: וייצמן 2 , תל אביב , ישראל</t>
  </si>
  <si>
    <t>MORE L1 Alternative Credit Fund LP</t>
  </si>
  <si>
    <t>13364</t>
  </si>
  <si>
    <t>More Alternative Credit CLO</t>
  </si>
  <si>
    <t>29/07/2024</t>
  </si>
  <si>
    <t>26/12/2024</t>
  </si>
  <si>
    <t>MV Credit</t>
  </si>
  <si>
    <t>13175</t>
  </si>
  <si>
    <t>MV Credit Senior II</t>
  </si>
  <si>
    <t>Address: 8 rue lou Hemmer, L-1748 senningerberg, Luxembourg</t>
  </si>
  <si>
    <t>26/07/2021</t>
  </si>
  <si>
    <t>פאגאיה</t>
  </si>
  <si>
    <t>pagaya auto loans</t>
  </si>
  <si>
    <t>Address: P.O. Box 309, Ugland House, Grand Cayman, KY1-1104, Cayman Islands</t>
  </si>
  <si>
    <t>30/12/2021</t>
  </si>
  <si>
    <t>28593</t>
  </si>
  <si>
    <t>Pagaya Opportunity</t>
  </si>
  <si>
    <t>01/11/2021</t>
  </si>
  <si>
    <t>פנתאון</t>
  </si>
  <si>
    <t>28055</t>
  </si>
  <si>
    <t>PGSF VI</t>
  </si>
  <si>
    <t>Address: 10 Finsbury Square, London</t>
  </si>
  <si>
    <t>25/12/2024</t>
  </si>
  <si>
    <t>PHOENIX CO INVEST</t>
  </si>
  <si>
    <t>13139</t>
  </si>
  <si>
    <t>THE PHOENIX ANCHOR</t>
  </si>
  <si>
    <t>19/08/2024</t>
  </si>
  <si>
    <t>ויולה</t>
  </si>
  <si>
    <t>12169</t>
  </si>
  <si>
    <t>Viola Credit ALF II</t>
  </si>
  <si>
    <t>Address: 12 Aba Even, Herzelia Pituach, Israel</t>
  </si>
  <si>
    <t>20/01/2022</t>
  </si>
  <si>
    <t>פאגאיה auto loans</t>
  </si>
  <si>
    <t>24/01/2022</t>
  </si>
  <si>
    <t>פאגאיה אופורטוניטי</t>
  </si>
  <si>
    <t>01/08/2022</t>
  </si>
  <si>
    <t>232962336</t>
  </si>
  <si>
    <t>פנתאון PGCO IV</t>
  </si>
  <si>
    <t>18/11/2019</t>
  </si>
  <si>
    <t>אפאר</t>
  </si>
  <si>
    <t>516072931</t>
  </si>
  <si>
    <t>IL0002940174</t>
  </si>
  <si>
    <t>10/11/2024</t>
  </si>
  <si>
    <t xml:space="preserve">31/03/2024 </t>
  </si>
  <si>
    <t>ג'נריישן ניהול בע"מ</t>
  </si>
  <si>
    <t>515785012</t>
  </si>
  <si>
    <t>ויולה ג'נריישן ניהול</t>
  </si>
  <si>
    <t>560931</t>
  </si>
  <si>
    <t>11/02/2020</t>
  </si>
  <si>
    <t>07/10/2024</t>
  </si>
  <si>
    <t>מניבים ניהול הר</t>
  </si>
  <si>
    <t>364751</t>
  </si>
  <si>
    <t>צים שירותי ספנות משולבים בע"מ</t>
  </si>
  <si>
    <t>21380089EIJRELKAIL21</t>
  </si>
  <si>
    <t>צים מניה הסדר חוב</t>
  </si>
  <si>
    <t>IL0065100286</t>
  </si>
  <si>
    <t>03/06/2021</t>
  </si>
  <si>
    <t>רייכרט תעשיות בע"מ</t>
  </si>
  <si>
    <t>520039652</t>
  </si>
  <si>
    <t>רייכרט</t>
  </si>
  <si>
    <t>4760101</t>
  </si>
  <si>
    <t>30/09/2015</t>
  </si>
  <si>
    <t>ALESC 0 06/23/36</t>
  </si>
  <si>
    <t>KYG0158U1067</t>
  </si>
  <si>
    <t>01/08/2019</t>
  </si>
  <si>
    <t>25/12/2023</t>
  </si>
  <si>
    <t>ALESC 7X INC</t>
  </si>
  <si>
    <t>USG0158NAA03</t>
  </si>
  <si>
    <t>07/08/2019</t>
  </si>
  <si>
    <t>ALESCO PFD V</t>
  </si>
  <si>
    <t>KYG0158H1056</t>
  </si>
  <si>
    <t>08/09/2020</t>
  </si>
  <si>
    <t>NEON CAPITAL LTD</t>
  </si>
  <si>
    <t>549300K1NZTY5QS1NO76</t>
  </si>
  <si>
    <t>NEONCA 0 01/04/41</t>
  </si>
  <si>
    <t>XS0207404343</t>
  </si>
  <si>
    <t>04/01/2041</t>
  </si>
  <si>
    <t>אידיבי חברה לאחזקות בע"מ</t>
  </si>
  <si>
    <t>520028283</t>
  </si>
  <si>
    <t>אידיבי אגח ב (מחוק)</t>
  </si>
  <si>
    <t>IL0073600350</t>
  </si>
  <si>
    <t>04/08/2014</t>
  </si>
  <si>
    <t>D</t>
  </si>
  <si>
    <t>06/09/2013</t>
  </si>
  <si>
    <t>31/03/2020</t>
  </si>
  <si>
    <t>אלון חברת הדלק לישראל בע"מ</t>
  </si>
  <si>
    <t>520041690</t>
  </si>
  <si>
    <t>אלון דלק אגח א מופחת</t>
  </si>
  <si>
    <t>IL0011015679</t>
  </si>
  <si>
    <t>21/07/2016</t>
  </si>
  <si>
    <t>R/S</t>
  </si>
  <si>
    <t>31/05/2023</t>
  </si>
  <si>
    <t>לידר החזקות והשקעות בע"מ</t>
  </si>
  <si>
    <t>520037664</t>
  </si>
  <si>
    <t>לידר אגח ח - רמ</t>
  </si>
  <si>
    <t>IL0031803617</t>
  </si>
  <si>
    <t>28/02/2021</t>
  </si>
  <si>
    <t>15/02/2028</t>
  </si>
  <si>
    <t>מפעלי פלדה מאוחדים בע"מ</t>
  </si>
  <si>
    <t>520022492</t>
  </si>
  <si>
    <t>מ.פלדה אג-1 מפ1/00</t>
  </si>
  <si>
    <t>3980042</t>
  </si>
  <si>
    <t>31/01/2001</t>
  </si>
  <si>
    <t>10/12/2018</t>
  </si>
  <si>
    <t>31/03/2024</t>
  </si>
  <si>
    <t>מימון ישיר נדל"ן ומשכנתאות בעמ</t>
  </si>
  <si>
    <t>516100153</t>
  </si>
  <si>
    <t>מימוןמשכ אגא-רמ</t>
  </si>
  <si>
    <t>IL0012088188</t>
  </si>
  <si>
    <t>15/07/2024</t>
  </si>
  <si>
    <t>מפעלי פלדה אג1</t>
  </si>
  <si>
    <t>IL0039800185</t>
  </si>
  <si>
    <t>מקס איט פיננסים בע"מ לשעבר לאומי קארד</t>
  </si>
  <si>
    <t>512905423</t>
  </si>
  <si>
    <t>מקס איט התח אגח ד-רמ</t>
  </si>
  <si>
    <t>IL0011979536</t>
  </si>
  <si>
    <t>17/07/2023</t>
  </si>
  <si>
    <t>16/10/2028</t>
  </si>
  <si>
    <t>נתיבי הגז הטבעי לישראל בע"מ</t>
  </si>
  <si>
    <t>513436394</t>
  </si>
  <si>
    <t>נתיבי גז אג"ח א - רמ</t>
  </si>
  <si>
    <t>IL0011030843</t>
  </si>
  <si>
    <t>29/12/2026</t>
  </si>
  <si>
    <t>רפאל-רשות לפיתוח אמצעי לחימה בע"מ</t>
  </si>
  <si>
    <t>520042185</t>
  </si>
  <si>
    <t>רפאל אגח ג ר.מ.</t>
  </si>
  <si>
    <t>IL0011402760</t>
  </si>
  <si>
    <t>05/05/2021</t>
  </si>
  <si>
    <t>15/09/2034</t>
  </si>
  <si>
    <t>רפאל סד' ד 2020/2034</t>
  </si>
  <si>
    <t>IL0011402844</t>
  </si>
  <si>
    <t>04/05/2021</t>
  </si>
  <si>
    <t>Alto III</t>
  </si>
  <si>
    <t>Brack Capital</t>
  </si>
  <si>
    <t>EQT  X   Buyout (יורו)</t>
  </si>
  <si>
    <t>EQT Infrastructure V (יורו)</t>
  </si>
  <si>
    <t>EQT Infrastructure VI (יורו)</t>
  </si>
  <si>
    <t>HarbourVest Co Invest  V</t>
  </si>
  <si>
    <t>HarbourVest Dover  X</t>
  </si>
  <si>
    <t>Insight Partners XII</t>
  </si>
  <si>
    <t>Macquarie</t>
  </si>
  <si>
    <t>PGCO IV  פנתאון</t>
  </si>
  <si>
    <t>PGSF VI  פנתאון</t>
  </si>
  <si>
    <t>Pitango Growth  II</t>
  </si>
  <si>
    <t>SOMV II</t>
  </si>
  <si>
    <t>The Phoenix Anchor Fund</t>
  </si>
  <si>
    <t>ניתן לצאת מהקרן בכל עת</t>
  </si>
  <si>
    <t>מידאל</t>
  </si>
  <si>
    <t>נוי 2</t>
  </si>
  <si>
    <t>פורטיסימו V</t>
  </si>
  <si>
    <t>פורטיסימו VI</t>
  </si>
  <si>
    <t>פורמה II</t>
  </si>
  <si>
    <t>קדמה  3</t>
  </si>
  <si>
    <t>IIF IV  (תשי 4)</t>
  </si>
  <si>
    <t>Bain Capital DSS 2019</t>
  </si>
  <si>
    <t>Electra Capital PM I  Feeder 4</t>
  </si>
  <si>
    <t>Electra Capital PM II  Feeder 3</t>
  </si>
  <si>
    <t>Hamilton Strategic Opp 2016 II</t>
  </si>
  <si>
    <t>Hamilton Strategic Opp 2020 VI</t>
  </si>
  <si>
    <t>Harel Alternative Credit Co-Invest</t>
  </si>
  <si>
    <t>635400KFAN415FMIGG54</t>
  </si>
  <si>
    <t>Invesco</t>
  </si>
  <si>
    <t>Klirmark Fund III</t>
  </si>
  <si>
    <t>מור</t>
  </si>
  <si>
    <t>More Alternative Credit  CLO</t>
  </si>
  <si>
    <t>פאגאיה Auto loans</t>
  </si>
  <si>
    <t>אלפא הזדמנויות</t>
  </si>
  <si>
    <t>נוקד אופורטוניטי</t>
  </si>
  <si>
    <t>ספרה יתר</t>
  </si>
  <si>
    <t>שירן נזרי</t>
  </si>
  <si>
    <t>shiran@ovdeimedina.co.il</t>
  </si>
  <si>
    <r>
      <t>מטח/ ₪</t>
    </r>
    <r>
      <rPr>
        <sz val="11"/>
        <color theme="1"/>
        <rFont val="Arial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</si>
</sst>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 * #,##0.00_ ;_ * \-#,##0.00_ ;_ * &quot;-&quot;??_ ;_ @_ "/>
    <numFmt numFmtId="164" formatCode="0.000"/>
    <numFmt numFmtId="165" formatCode="0.000000"/>
    <numFmt numFmtId="166" formatCode="0.000%"/>
  </numFmts>
  <fonts count="28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0"/>
      <color theme="1"/>
      <name val="Arial"/>
      <family val="2"/>
      <scheme val="minor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z val="11"/>
      <name val="Arial"/>
      <family val="2"/>
      <scheme val="minor"/>
    </font>
    <font>
      <sz val="11"/>
      <name val="Arial"/>
      <family val="2"/>
      <scheme val="minor"/>
    </font>
    <font>
      <b/>
      <u/>
      <sz val="11"/>
      <color theme="1"/>
      <name val="Arial"/>
      <family val="2"/>
    </font>
    <font>
      <sz val="11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</borders>
  <cellStyleXfs count="5">
    <xf numFmtId="0" fontId="0" fillId="0" borderId="0"/>
    <xf numFmtId="43" fontId="9" fillId="0" borderId="0"/>
    <xf numFmtId="0" fontId="9" fillId="0" borderId="0"/>
    <xf numFmtId="0" fontId="9" fillId="0" borderId="0"/>
    <xf numFmtId="9" fontId="9" fillId="0" borderId="0"/>
  </cellStyleXfs>
  <cellXfs count="170"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/>
    <xf numFmtId="0" fontId="3" fillId="0" borderId="0" xfId="0" applyNumberFormat="1" applyFont="1" applyFill="1" applyBorder="1"/>
    <xf numFmtId="0" fontId="2" fillId="0" borderId="0" xfId="0" applyNumberFormat="1" applyFont="1" applyFill="1" applyBorder="1"/>
    <xf numFmtId="0" fontId="2" fillId="0" borderId="0" xfId="0" applyNumberFormat="1" applyFont="1" applyFill="1" applyBorder="1" applyAlignment="1">
      <alignment horizontal="center"/>
    </xf>
    <xf numFmtId="0" fontId="10" fillId="4" borderId="0" xfId="0" applyNumberFormat="1" applyFont="1" applyFill="1" applyBorder="1"/>
    <xf numFmtId="0" fontId="11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Protection="1">
      <protection locked="0"/>
    </xf>
    <xf numFmtId="0" fontId="5" fillId="4" borderId="0" xfId="0" applyNumberFormat="1" applyFont="1" applyFill="1" applyBorder="1"/>
    <xf numFmtId="0" fontId="3" fillId="0" borderId="0" xfId="0" applyNumberFormat="1" applyFont="1" applyFill="1" applyBorder="1" applyProtection="1">
      <protection locked="0"/>
    </xf>
    <xf numFmtId="0" fontId="7" fillId="3" borderId="2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Protection="1">
      <protection locked="0"/>
    </xf>
    <xf numFmtId="0" fontId="3" fillId="2" borderId="3" xfId="0" applyNumberFormat="1" applyFont="1" applyFill="1" applyBorder="1" applyAlignment="1">
      <alignment horizontal="right"/>
    </xf>
    <xf numFmtId="0" fontId="3" fillId="0" borderId="3" xfId="0" applyNumberFormat="1" applyFont="1" applyFill="1" applyBorder="1" applyAlignment="1">
      <alignment horizontal="right"/>
    </xf>
    <xf numFmtId="0" fontId="13" fillId="0" borderId="0" xfId="0" applyNumberFormat="1" applyFont="1" applyFill="1" applyBorder="1"/>
    <xf numFmtId="14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Protection="1">
      <protection locked="0"/>
    </xf>
    <xf numFmtId="0" fontId="12" fillId="5" borderId="0" xfId="2" applyNumberFormat="1" applyFont="1" applyFill="1" applyBorder="1" applyAlignment="1" applyProtection="1">
      <alignment horizontal="left" vertical="center" wrapText="1" indent="1"/>
      <protection locked="0"/>
    </xf>
    <xf numFmtId="0" fontId="14" fillId="3" borderId="7" xfId="0" applyNumberFormat="1" applyFont="1" applyFill="1" applyBorder="1" applyAlignment="1">
      <alignment vertical="center"/>
    </xf>
    <xf numFmtId="0" fontId="14" fillId="3" borderId="0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right"/>
    </xf>
    <xf numFmtId="49" fontId="13" fillId="0" borderId="0" xfId="0" applyNumberFormat="1" applyFont="1" applyFill="1" applyBorder="1" applyAlignment="1">
      <alignment horizontal="right"/>
    </xf>
    <xf numFmtId="0" fontId="16" fillId="0" borderId="0" xfId="0" applyNumberFormat="1" applyFont="1" applyFill="1" applyBorder="1"/>
    <xf numFmtId="0" fontId="17" fillId="0" borderId="1" xfId="0" applyNumberFormat="1" applyFont="1" applyFill="1" applyBorder="1" applyAlignment="1">
      <alignment vertical="center" wrapText="1" readingOrder="2"/>
    </xf>
    <xf numFmtId="0" fontId="17" fillId="0" borderId="1" xfId="0" applyNumberFormat="1" applyFont="1" applyFill="1" applyBorder="1" applyAlignment="1">
      <alignment horizontal="right" vertical="center" wrapText="1" readingOrder="2"/>
    </xf>
    <xf numFmtId="2" fontId="17" fillId="0" borderId="1" xfId="0" applyNumberFormat="1" applyFont="1" applyFill="1" applyBorder="1" applyAlignment="1">
      <alignment vertical="center" wrapText="1" readingOrder="2"/>
    </xf>
    <xf numFmtId="164" fontId="17" fillId="0" borderId="1" xfId="0" applyNumberFormat="1" applyFont="1" applyFill="1" applyBorder="1" applyAlignment="1">
      <alignment vertical="center" wrapText="1" readingOrder="2"/>
    </xf>
    <xf numFmtId="1" fontId="0" fillId="0" borderId="0" xfId="0" applyNumberFormat="1" applyFont="1" applyFill="1" applyBorder="1" applyAlignment="1">
      <alignment horizontal="right"/>
    </xf>
    <xf numFmtId="0" fontId="18" fillId="0" borderId="1" xfId="0" applyNumberFormat="1" applyFont="1" applyFill="1" applyBorder="1" applyAlignment="1">
      <alignment vertical="center" wrapText="1" readingOrder="2"/>
    </xf>
    <xf numFmtId="0" fontId="6" fillId="3" borderId="10" xfId="0" applyNumberFormat="1" applyFont="1" applyFill="1" applyBorder="1" applyAlignment="1">
      <alignment horizontal="center" vertical="center" wrapText="1"/>
    </xf>
    <xf numFmtId="0" fontId="7" fillId="3" borderId="10" xfId="0" applyNumberFormat="1" applyFont="1" applyFill="1" applyBorder="1" applyAlignment="1">
      <alignment horizontal="center" vertical="center" wrapText="1"/>
    </xf>
    <xf numFmtId="0" fontId="7" fillId="3" borderId="10" xfId="0" applyNumberFormat="1" applyFont="1" applyFill="1" applyBorder="1" applyAlignment="1">
      <alignment horizontal="right" vertical="center" wrapText="1"/>
    </xf>
    <xf numFmtId="0" fontId="8" fillId="0" borderId="10" xfId="0" applyNumberFormat="1" applyFont="1" applyFill="1" applyBorder="1"/>
    <xf numFmtId="0" fontId="8" fillId="0" borderId="10" xfId="0" applyNumberFormat="1" applyFont="1" applyFill="1" applyBorder="1" applyAlignment="1">
      <alignment horizontal="center" vertical="center" wrapText="1"/>
    </xf>
    <xf numFmtId="0" fontId="15" fillId="0" borderId="10" xfId="0" applyNumberFormat="1" applyFont="1" applyFill="1" applyBorder="1" applyAlignment="1">
      <alignment horizontal="center" vertical="center" wrapText="1"/>
    </xf>
    <xf numFmtId="0" fontId="19" fillId="3" borderId="3" xfId="0" applyNumberFormat="1" applyFont="1" applyFill="1" applyBorder="1" applyAlignment="1">
      <alignment horizontal="center" vertical="center" wrapText="1"/>
    </xf>
    <xf numFmtId="0" fontId="0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/>
    <xf numFmtId="0" fontId="0" fillId="0" borderId="3" xfId="0" applyNumberFormat="1" applyFont="1" applyFill="1" applyBorder="1" applyAlignment="1">
      <alignment horizontal="right"/>
    </xf>
    <xf numFmtId="0" fontId="0" fillId="0" borderId="4" xfId="0" applyNumberFormat="1" applyFont="1" applyFill="1" applyBorder="1" applyAlignment="1">
      <alignment horizontal="right"/>
    </xf>
    <xf numFmtId="0" fontId="0" fillId="2" borderId="4" xfId="0" applyNumberFormat="1" applyFont="1" applyFill="1" applyBorder="1" applyAlignment="1">
      <alignment horizontal="right"/>
    </xf>
    <xf numFmtId="0" fontId="0" fillId="2" borderId="6" xfId="0" applyNumberFormat="1" applyFont="1" applyFill="1" applyBorder="1" applyAlignment="1">
      <alignment horizontal="right"/>
    </xf>
    <xf numFmtId="0" fontId="0" fillId="0" borderId="6" xfId="0" applyNumberFormat="1" applyFont="1" applyFill="1" applyBorder="1" applyAlignment="1">
      <alignment horizontal="right"/>
    </xf>
    <xf numFmtId="0" fontId="2" fillId="2" borderId="4" xfId="0" applyNumberFormat="1" applyFont="1" applyFill="1" applyBorder="1" applyAlignment="1">
      <alignment horizontal="center"/>
    </xf>
    <xf numFmtId="0" fontId="2" fillId="2" borderId="5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 vertical="top"/>
    </xf>
    <xf numFmtId="0" fontId="0" fillId="0" borderId="5" xfId="0" applyNumberFormat="1" applyFont="1" applyFill="1" applyBorder="1" applyAlignment="1">
      <alignment horizontal="center" vertical="top"/>
    </xf>
    <xf numFmtId="0" fontId="0" fillId="0" borderId="6" xfId="0" applyNumberFormat="1" applyFont="1" applyFill="1" applyBorder="1" applyAlignment="1">
      <alignment horizontal="center" vertical="top"/>
    </xf>
    <xf numFmtId="0" fontId="0" fillId="0" borderId="4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right" vertical="top"/>
    </xf>
    <xf numFmtId="0" fontId="0" fillId="0" borderId="6" xfId="0" applyNumberFormat="1" applyFont="1" applyFill="1" applyBorder="1" applyAlignment="1">
      <alignment horizontal="right" vertical="top"/>
    </xf>
    <xf numFmtId="0" fontId="2" fillId="0" borderId="4" xfId="0" applyNumberFormat="1" applyFont="1" applyFill="1" applyBorder="1" applyAlignment="1">
      <alignment horizontal="right" vertical="top"/>
    </xf>
    <xf numFmtId="0" fontId="2" fillId="0" borderId="5" xfId="0" applyNumberFormat="1" applyFont="1" applyFill="1" applyBorder="1" applyAlignment="1">
      <alignment horizontal="right" vertical="top"/>
    </xf>
    <xf numFmtId="0" fontId="2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vertical="top"/>
    </xf>
    <xf numFmtId="0" fontId="0" fillId="2" borderId="4" xfId="0" applyNumberFormat="1" applyFont="1" applyFill="1" applyBorder="1" applyAlignment="1">
      <alignment vertical="top"/>
    </xf>
    <xf numFmtId="0" fontId="0" fillId="2" borderId="5" xfId="0" applyNumberFormat="1" applyFont="1" applyFill="1" applyBorder="1" applyAlignment="1">
      <alignment vertical="top"/>
    </xf>
    <xf numFmtId="0" fontId="0" fillId="2" borderId="6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horizontal="center"/>
    </xf>
    <xf numFmtId="0" fontId="2" fillId="0" borderId="4" xfId="0" applyNumberFormat="1" applyFont="1" applyFill="1" applyBorder="1" applyAlignment="1">
      <alignment horizontal="center"/>
    </xf>
    <xf numFmtId="0" fontId="2" fillId="0" borderId="5" xfId="0" applyNumberFormat="1" applyFont="1" applyFill="1" applyBorder="1" applyAlignment="1">
      <alignment horizontal="center"/>
    </xf>
    <xf numFmtId="0" fontId="2" fillId="0" borderId="6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vertical="center" wrapText="1"/>
    </xf>
    <xf numFmtId="0" fontId="0" fillId="2" borderId="6" xfId="0" applyNumberFormat="1" applyFont="1" applyFill="1" applyBorder="1" applyAlignment="1">
      <alignment vertical="center" wrapText="1"/>
    </xf>
    <xf numFmtId="0" fontId="2" fillId="0" borderId="9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right" vertical="top" wrapText="1"/>
    </xf>
    <xf numFmtId="0" fontId="0" fillId="2" borderId="5" xfId="0" applyNumberFormat="1" applyFont="1" applyFill="1" applyBorder="1" applyAlignment="1">
      <alignment horizontal="right" vertical="top" wrapText="1"/>
    </xf>
    <xf numFmtId="0" fontId="2" fillId="2" borderId="4" xfId="0" applyNumberFormat="1" applyFont="1" applyFill="1" applyBorder="1" applyAlignment="1">
      <alignment horizontal="right" vertical="top"/>
    </xf>
    <xf numFmtId="0" fontId="2" fillId="2" borderId="9" xfId="0" applyNumberFormat="1" applyFont="1" applyFill="1" applyBorder="1" applyAlignment="1">
      <alignment horizontal="right" vertical="top"/>
    </xf>
    <xf numFmtId="0" fontId="2" fillId="2" borderId="5" xfId="0" applyNumberFormat="1" applyFont="1" applyFill="1" applyBorder="1" applyAlignment="1">
      <alignment horizontal="right" vertical="top"/>
    </xf>
    <xf numFmtId="0" fontId="3" fillId="0" borderId="4" xfId="0" applyNumberFormat="1" applyFont="1" applyFill="1" applyBorder="1" applyAlignment="1">
      <alignment horizontal="right" vertical="top"/>
    </xf>
    <xf numFmtId="0" fontId="3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horizontal="right" vertical="top" wrapText="1"/>
    </xf>
    <xf numFmtId="0" fontId="0" fillId="0" borderId="5" xfId="0" applyNumberFormat="1" applyFont="1" applyFill="1" applyBorder="1" applyAlignment="1">
      <alignment horizontal="right" vertical="top" wrapText="1"/>
    </xf>
    <xf numFmtId="0" fontId="0" fillId="2" borderId="4" xfId="0" applyNumberFormat="1" applyFont="1" applyFill="1" applyBorder="1" applyAlignment="1">
      <alignment vertical="top" wrapText="1"/>
    </xf>
    <xf numFmtId="0" fontId="0" fillId="2" borderId="5" xfId="0" applyNumberFormat="1" applyFont="1" applyFill="1" applyBorder="1" applyAlignment="1">
      <alignment vertical="top" wrapText="1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12" fillId="5" borderId="11" xfId="2" applyNumberFormat="1" applyFont="1" applyFill="1" applyBorder="1" applyAlignment="1" applyProtection="1">
      <alignment horizontal="right" vertical="center" wrapText="1"/>
      <protection locked="0"/>
    </xf>
    <xf numFmtId="0" fontId="12" fillId="5" borderId="11" xfId="2" applyNumberFormat="1" applyFont="1" applyFill="1" applyBorder="1" applyAlignment="1">
      <alignment horizontal="right" vertical="center" wrapText="1"/>
    </xf>
    <xf numFmtId="0" fontId="12" fillId="5" borderId="11" xfId="2" applyNumberFormat="1" applyFont="1" applyFill="1" applyBorder="1" applyAlignment="1" applyProtection="1">
      <alignment horizontal="left" vertical="center" wrapText="1" indent="1"/>
      <protection locked="0"/>
    </xf>
    <xf numFmtId="0" fontId="12" fillId="5" borderId="11" xfId="2" applyNumberFormat="1" applyFont="1" applyFill="1" applyBorder="1" applyAlignment="1" applyProtection="1">
      <alignment vertical="center" wrapText="1"/>
      <protection locked="0"/>
    </xf>
    <xf numFmtId="0" fontId="7" fillId="3" borderId="12" xfId="0" applyNumberFormat="1" applyFont="1" applyFill="1" applyBorder="1" applyAlignment="1">
      <alignment horizontal="right" vertical="center"/>
    </xf>
    <xf numFmtId="0" fontId="7" fillId="3" borderId="2" xfId="0" applyNumberFormat="1" applyFont="1" applyFill="1" applyBorder="1" applyAlignment="1">
      <alignment horizontal="center" vertical="center" wrapText="1" readingOrder="2"/>
    </xf>
    <xf numFmtId="0" fontId="18" fillId="0" borderId="14" xfId="0" applyNumberFormat="1" applyFont="1" applyFill="1" applyBorder="1"/>
    <xf numFmtId="0" fontId="18" fillId="0" borderId="15" xfId="0" applyNumberFormat="1" applyFont="1" applyFill="1" applyBorder="1"/>
    <xf numFmtId="0" fontId="18" fillId="0" borderId="16" xfId="0" applyNumberFormat="1" applyFont="1" applyFill="1" applyBorder="1" applyAlignment="1">
      <alignment horizontal="right"/>
    </xf>
    <xf numFmtId="0" fontId="20" fillId="0" borderId="1" xfId="0" applyNumberFormat="1" applyFont="1" applyFill="1" applyBorder="1" applyAlignment="1">
      <alignment horizontal="center" vertical="center" wrapText="1" readingOrder="2"/>
    </xf>
    <xf numFmtId="0" fontId="21" fillId="0" borderId="1" xfId="0" applyNumberFormat="1" applyFont="1" applyFill="1" applyBorder="1" applyAlignment="1">
      <alignment vertical="center" wrapText="1" readingOrder="2"/>
    </xf>
    <xf numFmtId="0" fontId="2" fillId="2" borderId="4" xfId="0" applyNumberFormat="1" applyFont="1" applyFill="1" applyBorder="1" applyAlignment="1">
      <alignment horizontal="right"/>
    </xf>
    <xf numFmtId="0" fontId="3" fillId="0" borderId="17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right"/>
    </xf>
    <xf numFmtId="0" fontId="2" fillId="2" borderId="5" xfId="0" applyNumberFormat="1" applyFont="1" applyFill="1" applyBorder="1" applyAlignment="1">
      <alignment horizontal="right"/>
    </xf>
    <xf numFmtId="0" fontId="0" fillId="0" borderId="18" xfId="0" applyNumberFormat="1" applyFont="1" applyFill="1" applyBorder="1" applyAlignment="1">
      <alignment horizontal="right" vertical="top"/>
    </xf>
    <xf numFmtId="0" fontId="0" fillId="0" borderId="19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horizontal="right" vertical="top" wrapText="1"/>
    </xf>
    <xf numFmtId="0" fontId="0" fillId="0" borderId="6" xfId="0" applyNumberFormat="1" applyFont="1" applyFill="1" applyBorder="1" applyAlignment="1">
      <alignment vertical="top" wrapText="1"/>
    </xf>
    <xf numFmtId="0" fontId="13" fillId="2" borderId="3" xfId="0" applyNumberFormat="1" applyFont="1" applyFill="1" applyBorder="1" applyAlignment="1">
      <alignment horizontal="right"/>
    </xf>
    <xf numFmtId="0" fontId="2" fillId="2" borderId="3" xfId="0" applyNumberFormat="1" applyFont="1" applyFill="1" applyBorder="1" applyAlignment="1">
      <alignment horizontal="right"/>
    </xf>
    <xf numFmtId="0" fontId="22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 applyAlignment="1">
      <alignment horizontal="right" readingOrder="1"/>
    </xf>
    <xf numFmtId="0" fontId="0" fillId="0" borderId="3" xfId="0" applyNumberFormat="1" applyFont="1" applyFill="1" applyBorder="1" applyAlignment="1">
      <alignment readingOrder="1"/>
    </xf>
    <xf numFmtId="0" fontId="23" fillId="2" borderId="3" xfId="0" applyNumberFormat="1" applyFont="1" applyFill="1" applyBorder="1" applyAlignment="1">
      <alignment horizontal="right"/>
    </xf>
    <xf numFmtId="0" fontId="3" fillId="6" borderId="3" xfId="0" applyNumberFormat="1" applyFont="1" applyFill="1" applyBorder="1" applyAlignment="1">
      <alignment horizontal="right"/>
    </xf>
    <xf numFmtId="0" fontId="24" fillId="0" borderId="0" xfId="0" applyNumberFormat="1" applyFont="1" applyFill="1" applyBorder="1" applyProtection="1">
      <protection locked="0"/>
    </xf>
    <xf numFmtId="0" fontId="24" fillId="0" borderId="0" xfId="0" applyNumberFormat="1" applyFont="1" applyFill="1" applyBorder="1"/>
    <xf numFmtId="43" fontId="7" fillId="3" borderId="10" xfId="1" applyNumberFormat="1" applyFont="1" applyFill="1" applyBorder="1" applyAlignment="1">
      <alignment horizontal="center" vertical="center" wrapText="1"/>
    </xf>
    <xf numFmtId="43" fontId="8" fillId="0" borderId="10" xfId="1" applyNumberFormat="1" applyFont="1" applyFill="1" applyBorder="1" applyAlignment="1">
      <alignment horizontal="center" vertical="center" wrapText="1"/>
    </xf>
    <xf numFmtId="43" fontId="15" fillId="0" borderId="10" xfId="1" applyNumberFormat="1" applyFont="1" applyFill="1" applyBorder="1" applyAlignment="1">
      <alignment horizontal="center" vertical="center" wrapText="1"/>
    </xf>
    <xf numFmtId="43" fontId="7" fillId="3" borderId="13" xfId="1" applyNumberFormat="1" applyFont="1" applyFill="1" applyBorder="1" applyAlignment="1">
      <alignment horizontal="center" vertical="center"/>
    </xf>
    <xf numFmtId="10" fontId="7" fillId="3" borderId="2" xfId="4" applyNumberFormat="1" applyFont="1" applyFill="1" applyBorder="1" applyAlignment="1">
      <alignment horizontal="center" vertical="center" wrapText="1"/>
    </xf>
    <xf numFmtId="10" fontId="0" fillId="0" borderId="0" xfId="4" applyNumberFormat="1" applyFont="1" applyFill="1" applyBorder="1"/>
    <xf numFmtId="10" fontId="2" fillId="0" borderId="0" xfId="4" applyNumberFormat="1" applyFont="1" applyFill="1" applyBorder="1"/>
    <xf numFmtId="10" fontId="4" fillId="0" borderId="0" xfId="0" applyNumberFormat="1" applyFont="1" applyFill="1" applyBorder="1"/>
    <xf numFmtId="4" fontId="0" fillId="0" borderId="0" xfId="0" applyNumberFormat="1" applyFont="1" applyFill="1" applyBorder="1" applyAlignment="1">
      <alignment horizontal="center"/>
    </xf>
    <xf numFmtId="4" fontId="4" fillId="0" borderId="0" xfId="0" applyNumberFormat="1" applyFont="1" applyFill="1" applyBorder="1"/>
    <xf numFmtId="4" fontId="3" fillId="0" borderId="0" xfId="0" applyNumberFormat="1" applyFont="1" applyFill="1" applyBorder="1"/>
    <xf numFmtId="4" fontId="4" fillId="0" borderId="0" xfId="0" applyNumberFormat="1" applyFont="1" applyFill="1" applyBorder="1" applyProtection="1">
      <protection locked="0"/>
    </xf>
    <xf numFmtId="4" fontId="3" fillId="0" borderId="0" xfId="0" applyNumberFormat="1" applyFont="1" applyFill="1" applyBorder="1" applyProtection="1">
      <protection locked="0"/>
    </xf>
    <xf numFmtId="4" fontId="24" fillId="0" borderId="0" xfId="0" applyNumberFormat="1" applyFont="1" applyFill="1" applyBorder="1"/>
    <xf numFmtId="4" fontId="2" fillId="0" borderId="0" xfId="0" applyNumberFormat="1" applyFont="1" applyFill="1" applyBorder="1" applyProtection="1">
      <protection locked="0"/>
    </xf>
    <xf numFmtId="4" fontId="2" fillId="0" borderId="0" xfId="0" applyNumberFormat="1" applyFont="1" applyFill="1" applyBorder="1" applyAlignment="1">
      <alignment horizontal="center"/>
    </xf>
    <xf numFmtId="4" fontId="2" fillId="0" borderId="0" xfId="0" applyNumberFormat="1" applyFont="1" applyFill="1" applyBorder="1"/>
    <xf numFmtId="165" fontId="7" fillId="3" borderId="2" xfId="0" applyNumberFormat="1" applyFont="1" applyFill="1" applyBorder="1" applyAlignment="1">
      <alignment horizontal="center" vertical="center" wrapText="1"/>
    </xf>
    <xf numFmtId="165" fontId="4" fillId="0" borderId="0" xfId="0" applyNumberFormat="1" applyFont="1" applyFill="1" applyBorder="1"/>
    <xf numFmtId="166" fontId="7" fillId="3" borderId="2" xfId="4" applyNumberFormat="1" applyFont="1" applyFill="1" applyBorder="1" applyAlignment="1">
      <alignment horizontal="center" vertical="center" wrapText="1"/>
    </xf>
    <xf numFmtId="166" fontId="25" fillId="0" borderId="0" xfId="4" applyNumberFormat="1" applyFont="1" applyFill="1" applyBorder="1" applyAlignment="1">
      <alignment horizontal="center"/>
    </xf>
    <xf numFmtId="166" fontId="0" fillId="0" borderId="0" xfId="4" applyNumberFormat="1" applyFont="1" applyFill="1" applyBorder="1"/>
    <xf numFmtId="166" fontId="4" fillId="0" borderId="0" xfId="4" applyNumberFormat="1" applyFont="1" applyFill="1" applyBorder="1"/>
    <xf numFmtId="166" fontId="7" fillId="3" borderId="2" xfId="0" applyNumberFormat="1" applyFont="1" applyFill="1" applyBorder="1" applyAlignment="1">
      <alignment horizontal="center" vertical="center" wrapText="1"/>
    </xf>
    <xf numFmtId="166" fontId="4" fillId="0" borderId="0" xfId="0" applyNumberFormat="1" applyFont="1" applyFill="1" applyBorder="1"/>
    <xf numFmtId="166" fontId="3" fillId="0" borderId="0" xfId="4" applyNumberFormat="1" applyFont="1" applyFill="1" applyBorder="1"/>
    <xf numFmtId="166" fontId="3" fillId="0" borderId="0" xfId="0" applyNumberFormat="1" applyFont="1" applyFill="1" applyBorder="1"/>
    <xf numFmtId="165" fontId="3" fillId="0" borderId="0" xfId="0" applyNumberFormat="1" applyFont="1" applyFill="1" applyBorder="1"/>
    <xf numFmtId="164" fontId="7" fillId="3" borderId="2" xfId="0" applyNumberFormat="1" applyFont="1" applyFill="1" applyBorder="1" applyAlignment="1">
      <alignment horizontal="center" vertical="center" wrapText="1"/>
    </xf>
    <xf numFmtId="164" fontId="3" fillId="0" borderId="0" xfId="0" applyNumberFormat="1" applyFont="1" applyFill="1" applyBorder="1"/>
    <xf numFmtId="166" fontId="0" fillId="0" borderId="0" xfId="0" applyNumberFormat="1" applyFont="1" applyFill="1" applyBorder="1"/>
    <xf numFmtId="166" fontId="4" fillId="0" borderId="0" xfId="4" applyNumberFormat="1" applyFont="1" applyFill="1" applyBorder="1" applyProtection="1">
      <protection locked="0"/>
    </xf>
    <xf numFmtId="166" fontId="4" fillId="0" borderId="0" xfId="0" applyNumberFormat="1" applyFont="1" applyFill="1" applyBorder="1" applyProtection="1">
      <protection locked="0"/>
    </xf>
    <xf numFmtId="165" fontId="4" fillId="0" borderId="0" xfId="0" applyNumberFormat="1" applyFont="1" applyFill="1" applyBorder="1" applyProtection="1">
      <protection locked="0"/>
    </xf>
    <xf numFmtId="164" fontId="4" fillId="0" borderId="0" xfId="0" applyNumberFormat="1" applyFont="1" applyFill="1" applyBorder="1" applyProtection="1">
      <protection locked="0"/>
    </xf>
    <xf numFmtId="164" fontId="4" fillId="0" borderId="0" xfId="0" applyNumberFormat="1" applyFont="1" applyFill="1" applyBorder="1"/>
    <xf numFmtId="165" fontId="3" fillId="0" borderId="0" xfId="0" applyNumberFormat="1" applyFont="1" applyFill="1" applyBorder="1" applyProtection="1">
      <protection locked="0"/>
    </xf>
    <xf numFmtId="164" fontId="3" fillId="0" borderId="0" xfId="0" applyNumberFormat="1" applyFont="1" applyFill="1" applyBorder="1" applyProtection="1">
      <protection locked="0"/>
    </xf>
    <xf numFmtId="166" fontId="3" fillId="0" borderId="0" xfId="0" applyNumberFormat="1" applyFont="1" applyFill="1" applyBorder="1" applyProtection="1">
      <protection locked="0"/>
    </xf>
    <xf numFmtId="14" fontId="7" fillId="3" borderId="2" xfId="0" applyNumberFormat="1" applyFont="1" applyFill="1" applyBorder="1" applyAlignment="1">
      <alignment horizontal="center" vertical="center" wrapText="1"/>
    </xf>
    <xf numFmtId="14" fontId="4" fillId="0" borderId="0" xfId="0" applyNumberFormat="1" applyFont="1" applyFill="1" applyBorder="1" applyProtection="1">
      <protection locked="0"/>
    </xf>
    <xf numFmtId="14" fontId="4" fillId="0" borderId="0" xfId="0" applyNumberFormat="1" applyFont="1" applyFill="1" applyBorder="1"/>
    <xf numFmtId="14" fontId="7" fillId="3" borderId="8" xfId="0" applyNumberFormat="1" applyFont="1" applyFill="1" applyBorder="1" applyAlignment="1">
      <alignment horizontal="center" vertical="center" wrapText="1"/>
    </xf>
    <xf numFmtId="14" fontId="0" fillId="0" borderId="0" xfId="0" applyNumberFormat="1" applyFont="1" applyFill="1" applyBorder="1"/>
    <xf numFmtId="14" fontId="2" fillId="0" borderId="0" xfId="0" applyNumberFormat="1" applyFont="1" applyFill="1" applyBorder="1" applyProtection="1">
      <protection locked="0"/>
    </xf>
    <xf numFmtId="166" fontId="2" fillId="0" borderId="0" xfId="0" applyNumberFormat="1" applyFont="1" applyFill="1" applyBorder="1" applyProtection="1">
      <protection locked="0"/>
    </xf>
    <xf numFmtId="10" fontId="7" fillId="3" borderId="2" xfId="0" applyNumberFormat="1" applyFont="1" applyFill="1" applyBorder="1" applyAlignment="1">
      <alignment horizontal="center" vertical="center" wrapText="1"/>
    </xf>
    <xf numFmtId="10" fontId="4" fillId="0" borderId="0" xfId="0" applyNumberFormat="1" applyFont="1" applyFill="1" applyBorder="1" applyProtection="1">
      <protection locked="0"/>
    </xf>
    <xf numFmtId="2" fontId="7" fillId="3" borderId="2" xfId="0" applyNumberFormat="1" applyFont="1" applyFill="1" applyBorder="1" applyAlignment="1">
      <alignment horizontal="center" vertical="center" wrapText="1"/>
    </xf>
    <xf numFmtId="164" fontId="2" fillId="0" borderId="0" xfId="0" applyNumberFormat="1" applyFont="1" applyFill="1" applyBorder="1" applyAlignment="1">
      <alignment horizontal="center"/>
    </xf>
    <xf numFmtId="164" fontId="2" fillId="0" borderId="0" xfId="0" applyNumberFormat="1" applyFont="1" applyFill="1" applyBorder="1"/>
    <xf numFmtId="14" fontId="2" fillId="0" borderId="0" xfId="0" applyNumberFormat="1" applyFont="1" applyFill="1" applyBorder="1"/>
    <xf numFmtId="43" fontId="9" fillId="0" borderId="0" xfId="1"/>
    <xf numFmtId="0" fontId="27" fillId="0" borderId="0" xfId="0" applyNumberFormat="1" applyFont="1" applyFill="1" applyBorder="1"/>
  </cellXfs>
  <cellStyles count="5">
    <cellStyle name="Comma" xfId="1" builtinId="3"/>
    <cellStyle name="Normal" xfId="0" builtinId="0"/>
    <cellStyle name="Normal 3" xfId="2" xr:uid="{00000000-0005-0000-0000-000002000000}"/>
    <cellStyle name="Normal 9" xfId="3" xr:uid="{00000000-0005-0000-0000-000003000000}"/>
    <cellStyle name="Percent" xfId="4" builtinId="5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1" defaultTableStyle="TableStyleMedium2" defaultPivotStyle="PivotStyleLight16">
    <tableStyle name="Invisible" pivot="0" table="0" count="0" xr9:uid="{CA87097F-178A-465C-8EC9-938A0A88FC84}"/>
  </tableStyles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28"/>
  <sheetViews>
    <sheetView showGridLines="0" rightToLeft="1" tabSelected="1" workbookViewId="0">
      <selection activeCell="D5" sqref="D5"/>
    </sheetView>
  </sheetViews>
  <sheetFormatPr defaultColWidth="0" defaultRowHeight="14.25"/>
  <cols>
    <col min="1" max="1" width="29.5" bestFit="1" customWidth="1"/>
    <col min="2" max="2" width="11" customWidth="1"/>
    <col min="3" max="3" width="4.625" customWidth="1"/>
    <col min="4" max="4" width="67.5" customWidth="1"/>
    <col min="5" max="9" width="9" hidden="1" customWidth="1"/>
    <col min="10" max="10" width="34.75" hidden="1" customWidth="1"/>
    <col min="11" max="11" width="25.875" hidden="1" customWidth="1"/>
    <col min="12" max="12" width="21.5" hidden="1" customWidth="1"/>
  </cols>
  <sheetData>
    <row r="1" spans="1:4" ht="18">
      <c r="A1" s="20" t="s">
        <v>189</v>
      </c>
      <c r="B1" s="21"/>
      <c r="C1" s="21"/>
      <c r="D1" s="21"/>
    </row>
    <row r="3" spans="1:4">
      <c r="A3" t="s">
        <v>190</v>
      </c>
      <c r="D3" s="86" t="s">
        <v>191</v>
      </c>
    </row>
    <row r="5" spans="1:4">
      <c r="A5" t="s">
        <v>192</v>
      </c>
      <c r="D5" s="86" t="s">
        <v>1198</v>
      </c>
    </row>
    <row r="7" spans="1:4">
      <c r="A7" t="s">
        <v>193</v>
      </c>
      <c r="D7" s="86" t="s">
        <v>1204</v>
      </c>
    </row>
    <row r="8" spans="1:4">
      <c r="D8" s="19"/>
    </row>
    <row r="9" spans="1:4">
      <c r="A9" t="s">
        <v>194</v>
      </c>
      <c r="D9" s="86">
        <v>2024</v>
      </c>
    </row>
    <row r="11" spans="1:4">
      <c r="A11" t="s">
        <v>195</v>
      </c>
      <c r="D11" s="86" t="s">
        <v>1228</v>
      </c>
    </row>
    <row r="13" spans="1:4">
      <c r="A13" t="s">
        <v>196</v>
      </c>
      <c r="D13" s="87">
        <f>IFERROR(VLOOKUP(D11,'File Name Info'!A35:B121,2,0),"תא מחושב")</f>
        <v>520032269</v>
      </c>
    </row>
    <row r="15" spans="1:4" ht="15">
      <c r="A15" s="10" t="s">
        <v>197</v>
      </c>
      <c r="D15" s="87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520032269_gm_p_0424.xlsx</v>
      </c>
    </row>
    <row r="16" spans="1:4" ht="15">
      <c r="A16" s="10"/>
      <c r="D16" s="19"/>
    </row>
    <row r="17" spans="1:4" ht="15">
      <c r="A17" s="10" t="s">
        <v>198</v>
      </c>
      <c r="B17" s="8" t="s">
        <v>199</v>
      </c>
      <c r="C17" s="8"/>
      <c r="D17" s="88" t="s">
        <v>2516</v>
      </c>
    </row>
    <row r="18" spans="1:4">
      <c r="A18" s="6"/>
      <c r="D18" s="9"/>
    </row>
    <row r="19" spans="1:4">
      <c r="A19" s="6"/>
      <c r="B19" s="8" t="s">
        <v>200</v>
      </c>
      <c r="C19" s="8"/>
      <c r="D19" s="88">
        <v>546481151</v>
      </c>
    </row>
    <row r="20" spans="1:4">
      <c r="A20" s="6"/>
      <c r="D20" s="9"/>
    </row>
    <row r="21" spans="1:4">
      <c r="A21" s="6"/>
      <c r="B21" s="8" t="s">
        <v>201</v>
      </c>
      <c r="C21" s="8"/>
      <c r="D21" s="89" t="s">
        <v>2517</v>
      </c>
    </row>
    <row r="22" spans="1:4">
      <c r="A22" s="6"/>
      <c r="B22" s="7"/>
      <c r="C22" s="7"/>
    </row>
    <row r="23" spans="1:4" ht="15">
      <c r="A23" s="10" t="s">
        <v>202</v>
      </c>
      <c r="D23" t="s">
        <v>203</v>
      </c>
    </row>
    <row r="28" spans="1:4" ht="14.1" customHeight="1"/>
  </sheetData>
  <conditionalFormatting sqref="D3">
    <cfRule type="containsText" dxfId="7" priority="13" operator="containsText" text="Please fill in data">
      <formula>NOT(ISERROR(SEARCH("Please fill in data",D3)))</formula>
    </cfRule>
  </conditionalFormatting>
  <conditionalFormatting sqref="D5">
    <cfRule type="containsText" dxfId="6" priority="7" operator="containsText" text="Please fill in data">
      <formula>NOT(ISERROR(SEARCH("Please fill in data",D5)))</formula>
    </cfRule>
  </conditionalFormatting>
  <conditionalFormatting sqref="D7:D9">
    <cfRule type="containsText" dxfId="5" priority="5" operator="containsText" text="Please fill in data">
      <formula>NOT(ISERROR(SEARCH("Please fill in data",D7)))</formula>
    </cfRule>
  </conditionalFormatting>
  <conditionalFormatting sqref="D11">
    <cfRule type="containsText" dxfId="4" priority="4" operator="containsText" text="Please fill in data">
      <formula>NOT(ISERROR(SEARCH("Please fill in data",D11)))</formula>
    </cfRule>
  </conditionalFormatting>
  <conditionalFormatting sqref="D13">
    <cfRule type="containsText" dxfId="3" priority="3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20" operator="containsText" text="Please fill in data">
      <formula>NOT(ISERROR(SEARCH("Please fill in data",D19)))</formula>
    </cfRule>
  </conditionalFormatting>
  <conditionalFormatting sqref="D21">
    <cfRule type="containsText" dxfId="0" priority="19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L32"/>
  <sheetViews>
    <sheetView showGridLines="0" rightToLeft="1" workbookViewId="0">
      <selection activeCell="A2" sqref="A2"/>
    </sheetView>
  </sheetViews>
  <sheetFormatPr defaultColWidth="0" defaultRowHeight="14.25"/>
  <cols>
    <col min="1" max="1" width="42.75" customWidth="1"/>
    <col min="2" max="5" width="13" customWidth="1"/>
    <col min="6" max="6" width="11.125" hidden="1" customWidth="1"/>
    <col min="7" max="8" width="8.625" hidden="1" customWidth="1"/>
    <col min="9" max="10" width="9" hidden="1" customWidth="1"/>
    <col min="11" max="12" width="8.625" hidden="1" customWidth="1"/>
  </cols>
  <sheetData>
    <row r="1" spans="1:4" ht="18.75" customHeight="1">
      <c r="A1" s="31"/>
      <c r="B1" s="116"/>
      <c r="C1" s="90" t="s">
        <v>1174</v>
      </c>
      <c r="D1" s="119"/>
    </row>
    <row r="2" spans="1:4" ht="39.75" customHeight="1">
      <c r="A2" s="31"/>
      <c r="B2" s="116" t="s">
        <v>36</v>
      </c>
      <c r="C2" s="32" t="s">
        <v>907</v>
      </c>
      <c r="D2" s="116" t="s">
        <v>22</v>
      </c>
    </row>
    <row r="3" spans="1:4">
      <c r="A3" s="34" t="s">
        <v>960</v>
      </c>
      <c r="B3" s="117">
        <f>SUM('מזומנים ושווי מזומנים'!O:O)</f>
        <v>68681.501000000004</v>
      </c>
      <c r="C3" s="35"/>
      <c r="D3" s="117">
        <f>B3+C3</f>
        <v>68681.501000000004</v>
      </c>
    </row>
    <row r="4" spans="1:4">
      <c r="A4" s="34" t="s">
        <v>970</v>
      </c>
      <c r="B4" s="117">
        <f>SUM('איגרות חוב ממשלתיות'!U:U)</f>
        <v>512625.7739999998</v>
      </c>
      <c r="C4" s="35"/>
      <c r="D4" s="117">
        <f t="shared" ref="D4:D29" si="0">B4+C4</f>
        <v>512625.7739999998</v>
      </c>
    </row>
    <row r="5" spans="1:4">
      <c r="A5" s="34" t="s">
        <v>975</v>
      </c>
      <c r="B5" s="117">
        <f>SUM('ניירות ערך מסחריים'!AD:AD)</f>
        <v>0</v>
      </c>
      <c r="C5" s="35"/>
      <c r="D5" s="117">
        <f t="shared" si="0"/>
        <v>0</v>
      </c>
    </row>
    <row r="6" spans="1:4">
      <c r="A6" s="34" t="s">
        <v>976</v>
      </c>
      <c r="B6" s="117">
        <f>SUM('איגרות חוב'!AD:AD)</f>
        <v>294006.62499999983</v>
      </c>
      <c r="C6" s="35"/>
      <c r="D6" s="117">
        <f t="shared" si="0"/>
        <v>294006.62499999983</v>
      </c>
    </row>
    <row r="7" spans="1:4">
      <c r="A7" s="34" t="s">
        <v>983</v>
      </c>
      <c r="B7" s="117">
        <f>SUM('מניות מבכ ויהש'!U:U)</f>
        <v>406672.28499999992</v>
      </c>
      <c r="C7" s="35"/>
      <c r="D7" s="117">
        <f t="shared" si="0"/>
        <v>406672.28499999992</v>
      </c>
    </row>
    <row r="8" spans="1:4">
      <c r="A8" s="34" t="s">
        <v>481</v>
      </c>
      <c r="B8" s="117">
        <f>SUM('קרנות סל'!T:T)</f>
        <v>1068044.6040000003</v>
      </c>
      <c r="C8" s="35"/>
      <c r="D8" s="117">
        <f t="shared" si="0"/>
        <v>1068044.6040000003</v>
      </c>
    </row>
    <row r="9" spans="1:4">
      <c r="A9" s="34" t="s">
        <v>996</v>
      </c>
      <c r="B9" s="117">
        <f>SUM('קרנות נאמנות'!T:T)</f>
        <v>103223.67400000001</v>
      </c>
      <c r="C9" s="35"/>
      <c r="D9" s="117">
        <f t="shared" si="0"/>
        <v>103223.67400000001</v>
      </c>
    </row>
    <row r="10" spans="1:4">
      <c r="A10" s="34" t="s">
        <v>1119</v>
      </c>
      <c r="B10" s="117">
        <f>SUM('כתבי אופציה'!W:W)</f>
        <v>256.76</v>
      </c>
      <c r="C10" s="35"/>
      <c r="D10" s="117">
        <f t="shared" si="0"/>
        <v>256.76</v>
      </c>
    </row>
    <row r="11" spans="1:4">
      <c r="A11" s="34" t="s">
        <v>999</v>
      </c>
      <c r="B11" s="117">
        <f>SUM(אופציות!V:V)</f>
        <v>-0.46399999999999864</v>
      </c>
      <c r="C11" s="35"/>
      <c r="D11" s="117">
        <f t="shared" si="0"/>
        <v>-0.46399999999999864</v>
      </c>
    </row>
    <row r="12" spans="1:4">
      <c r="A12" s="34" t="s">
        <v>1124</v>
      </c>
      <c r="B12" s="117">
        <f>SUM('חוזים עתידיים'!R:R)</f>
        <v>-69.858000000000004</v>
      </c>
      <c r="C12" s="35"/>
      <c r="D12" s="117">
        <f t="shared" si="0"/>
        <v>-69.858000000000004</v>
      </c>
    </row>
    <row r="13" spans="1:4">
      <c r="A13" s="34" t="s">
        <v>1004</v>
      </c>
      <c r="B13" s="117">
        <f>SUM('מוצרים מובנים'!Z:Z)</f>
        <v>0</v>
      </c>
      <c r="C13" s="35"/>
      <c r="D13" s="117">
        <f t="shared" si="0"/>
        <v>0</v>
      </c>
    </row>
    <row r="14" spans="1:4">
      <c r="A14" s="34" t="s">
        <v>1011</v>
      </c>
      <c r="B14" s="117">
        <f>SUM('לא סחיר איגרות חוב ממשלתיות'!U:U)</f>
        <v>0</v>
      </c>
      <c r="C14" s="35"/>
      <c r="D14" s="117">
        <f t="shared" si="0"/>
        <v>0</v>
      </c>
    </row>
    <row r="15" spans="1:4">
      <c r="A15" s="34" t="s">
        <v>1012</v>
      </c>
      <c r="B15" s="117">
        <f>SUM('לא סחיר איגרות חוב מיועדות'!N:N)</f>
        <v>0</v>
      </c>
      <c r="C15" s="35"/>
      <c r="D15" s="117">
        <f t="shared" si="0"/>
        <v>0</v>
      </c>
    </row>
    <row r="16" spans="1:4">
      <c r="A16" s="34" t="s">
        <v>1018</v>
      </c>
      <c r="B16" s="117">
        <f>SUM('אפיק השקעה מובטח תשואה'!F:F)</f>
        <v>0</v>
      </c>
      <c r="C16" s="35"/>
      <c r="D16" s="117">
        <f t="shared" si="0"/>
        <v>0</v>
      </c>
    </row>
    <row r="17" spans="1:4">
      <c r="A17" s="34" t="s">
        <v>1022</v>
      </c>
      <c r="B17" s="117">
        <f>SUM('לא סחיר ניירות ערך מסחריים'!AI:AI)</f>
        <v>0</v>
      </c>
      <c r="C17" s="35"/>
      <c r="D17" s="117">
        <f t="shared" si="0"/>
        <v>0</v>
      </c>
    </row>
    <row r="18" spans="1:4">
      <c r="A18" s="34" t="s">
        <v>1024</v>
      </c>
      <c r="B18" s="117">
        <f>SUM('לא סחיר איגרות חוב'!AG:AG)</f>
        <v>19183.96</v>
      </c>
      <c r="C18" s="35"/>
      <c r="D18" s="117">
        <f t="shared" si="0"/>
        <v>19183.96</v>
      </c>
    </row>
    <row r="19" spans="1:4">
      <c r="A19" s="34" t="s">
        <v>1027</v>
      </c>
      <c r="B19" s="117">
        <f>SUM('לא סחיר מניות מבכ ויהש'!X:X)</f>
        <v>2877.3339999999994</v>
      </c>
      <c r="C19" s="35"/>
      <c r="D19" s="117">
        <f t="shared" si="0"/>
        <v>2877.3339999999994</v>
      </c>
    </row>
    <row r="20" spans="1:4">
      <c r="A20" s="34" t="s">
        <v>785</v>
      </c>
      <c r="B20" s="117">
        <f>SUM('קרנות השקעה'!W:W)</f>
        <v>442178.70300000004</v>
      </c>
      <c r="C20" s="35"/>
      <c r="D20" s="117">
        <f t="shared" si="0"/>
        <v>442178.70300000004</v>
      </c>
    </row>
    <row r="21" spans="1:4">
      <c r="A21" s="34" t="s">
        <v>1135</v>
      </c>
      <c r="B21" s="117">
        <f>SUM('לא סחיר כתבי אופציה'!Z:Z)</f>
        <v>0</v>
      </c>
      <c r="C21" s="35"/>
      <c r="D21" s="117">
        <f t="shared" si="0"/>
        <v>0</v>
      </c>
    </row>
    <row r="22" spans="1:4">
      <c r="A22" s="34" t="s">
        <v>1042</v>
      </c>
      <c r="B22" s="117">
        <f>SUM('לא סחיר אופציות'!Z:Z)</f>
        <v>0</v>
      </c>
      <c r="C22" s="35"/>
      <c r="D22" s="117">
        <f t="shared" si="0"/>
        <v>0</v>
      </c>
    </row>
    <row r="23" spans="1:4">
      <c r="A23" s="34" t="s">
        <v>1051</v>
      </c>
      <c r="B23" s="117">
        <f>SUM('לא סחיר נגזרים אחרים'!R:R)</f>
        <v>28554.98</v>
      </c>
      <c r="C23" s="35"/>
      <c r="D23" s="117">
        <f t="shared" si="0"/>
        <v>28554.98</v>
      </c>
    </row>
    <row r="24" spans="1:4">
      <c r="A24" s="34" t="s">
        <v>1044</v>
      </c>
      <c r="B24" s="117">
        <f>SUM(הלוואות!AT:AT)</f>
        <v>90476.672000000006</v>
      </c>
      <c r="C24" s="35"/>
      <c r="D24" s="117">
        <f t="shared" si="0"/>
        <v>90476.672000000006</v>
      </c>
    </row>
    <row r="25" spans="1:4">
      <c r="A25" s="34" t="s">
        <v>1062</v>
      </c>
      <c r="B25" s="117">
        <f>SUM('לא סחיר מוצרים מובנים'!AB:AB)</f>
        <v>0</v>
      </c>
      <c r="C25" s="35"/>
      <c r="D25" s="117">
        <f t="shared" si="0"/>
        <v>0</v>
      </c>
    </row>
    <row r="26" spans="1:4">
      <c r="A26" s="34" t="s">
        <v>1067</v>
      </c>
      <c r="B26" s="117">
        <f>SUM('פיקדונות מעל 3 חודשים'!T:T)</f>
        <v>0</v>
      </c>
      <c r="C26" s="35"/>
      <c r="D26" s="117">
        <f t="shared" si="0"/>
        <v>0</v>
      </c>
    </row>
    <row r="27" spans="1:4">
      <c r="A27" s="34" t="s">
        <v>1070</v>
      </c>
      <c r="B27" s="117">
        <f>SUM('זכויות מקרקעין'!S:S)</f>
        <v>0</v>
      </c>
      <c r="C27" s="35"/>
      <c r="D27" s="117">
        <f t="shared" si="0"/>
        <v>0</v>
      </c>
    </row>
    <row r="28" spans="1:4">
      <c r="A28" s="34" t="s">
        <v>1105</v>
      </c>
      <c r="B28" s="117">
        <f>SUM('השקעה בחברות מוחזקות'!U:U)</f>
        <v>0</v>
      </c>
      <c r="C28" s="35"/>
      <c r="D28" s="117">
        <f t="shared" si="0"/>
        <v>0</v>
      </c>
    </row>
    <row r="29" spans="1:4">
      <c r="A29" s="34" t="s">
        <v>1073</v>
      </c>
      <c r="B29" s="117">
        <f>SUM('נכסים אחרים'!N:N)</f>
        <v>-999.77200000000005</v>
      </c>
      <c r="C29" s="35"/>
      <c r="D29" s="117">
        <f t="shared" si="0"/>
        <v>-999.77200000000005</v>
      </c>
    </row>
    <row r="30" spans="1:4">
      <c r="A30" s="33" t="s">
        <v>1175</v>
      </c>
      <c r="B30" s="118">
        <f>IF(SUM(B3:B29)=0,0.0001,SUM(B3:B29))</f>
        <v>3035712.7779999995</v>
      </c>
      <c r="C30" s="36">
        <f t="shared" ref="C30:D30" si="1">SUM(C3:C29)</f>
        <v>0</v>
      </c>
      <c r="D30" s="118">
        <f t="shared" si="1"/>
        <v>3035712.7779999995</v>
      </c>
    </row>
    <row r="31" spans="1:4">
      <c r="A31" s="34" t="s">
        <v>1173</v>
      </c>
      <c r="B31" s="117"/>
      <c r="C31" s="35"/>
      <c r="D31" s="117"/>
    </row>
    <row r="32" spans="1:4">
      <c r="A32" s="34" t="s">
        <v>1176</v>
      </c>
      <c r="B32" s="117">
        <f>SUM('יתרות התחייבות להשקעה'!O:O)</f>
        <v>105176.60817786602</v>
      </c>
      <c r="C32" s="35"/>
      <c r="D32" s="117"/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29"/>
  <sheetViews>
    <sheetView rightToLeft="1" zoomScale="70" zoomScaleNormal="70" workbookViewId="0"/>
  </sheetViews>
  <sheetFormatPr defaultColWidth="0" defaultRowHeight="14.25" zeroHeight="1"/>
  <cols>
    <col min="1" max="17" width="11.625" customWidth="1"/>
    <col min="18" max="18" width="11.625" hidden="1" customWidth="1"/>
  </cols>
  <sheetData>
    <row r="1" spans="1:17" ht="66.75" customHeight="1">
      <c r="A1" s="12" t="s">
        <v>0</v>
      </c>
      <c r="B1" s="12" t="s">
        <v>1</v>
      </c>
      <c r="C1" s="12" t="s">
        <v>171</v>
      </c>
      <c r="D1" s="12" t="s">
        <v>172</v>
      </c>
      <c r="E1" s="12" t="s">
        <v>173</v>
      </c>
      <c r="F1" s="12" t="s">
        <v>5</v>
      </c>
      <c r="G1" s="12" t="s">
        <v>6</v>
      </c>
      <c r="H1" s="12" t="s">
        <v>130</v>
      </c>
      <c r="I1" s="12" t="s">
        <v>175</v>
      </c>
      <c r="J1" s="12" t="s">
        <v>10</v>
      </c>
      <c r="K1" s="12" t="s">
        <v>11</v>
      </c>
      <c r="L1" s="12" t="s">
        <v>140</v>
      </c>
      <c r="M1" s="133" t="s">
        <v>18</v>
      </c>
      <c r="N1" s="135" t="s">
        <v>14</v>
      </c>
      <c r="O1" s="12" t="s">
        <v>20</v>
      </c>
      <c r="P1" s="139" t="s">
        <v>24</v>
      </c>
      <c r="Q1" s="139" t="s">
        <v>25</v>
      </c>
    </row>
    <row r="2" spans="1:17">
      <c r="A2" s="2">
        <v>382</v>
      </c>
      <c r="B2" s="2">
        <v>382</v>
      </c>
      <c r="C2" s="2" t="s">
        <v>1177</v>
      </c>
      <c r="D2" s="2" t="s">
        <v>1178</v>
      </c>
      <c r="E2" s="3" t="s">
        <v>326</v>
      </c>
      <c r="F2" s="2" t="s">
        <v>963</v>
      </c>
      <c r="G2" s="2" t="s">
        <v>30</v>
      </c>
      <c r="H2" s="2" t="s">
        <v>144</v>
      </c>
      <c r="I2" s="2" t="s">
        <v>1179</v>
      </c>
      <c r="J2" s="2" t="s">
        <v>423</v>
      </c>
      <c r="K2" s="2" t="s">
        <v>89</v>
      </c>
      <c r="L2" s="124">
        <v>2E-3</v>
      </c>
      <c r="M2" s="134">
        <v>3.6469999999999998</v>
      </c>
      <c r="N2" s="136">
        <v>0</v>
      </c>
      <c r="O2" s="125">
        <v>8.0000000000000002E-3</v>
      </c>
      <c r="P2" s="140">
        <v>1.3437126760575701E-7</v>
      </c>
      <c r="Q2" s="140">
        <v>2.8040207364994701E-9</v>
      </c>
    </row>
    <row r="3" spans="1:17">
      <c r="A3" s="2">
        <v>382</v>
      </c>
      <c r="B3" s="2">
        <v>382</v>
      </c>
      <c r="C3" s="2" t="s">
        <v>1177</v>
      </c>
      <c r="D3" s="2" t="s">
        <v>1178</v>
      </c>
      <c r="E3" s="11" t="s">
        <v>326</v>
      </c>
      <c r="F3" s="2" t="s">
        <v>961</v>
      </c>
      <c r="G3" s="2" t="s">
        <v>30</v>
      </c>
      <c r="H3" s="2" t="s">
        <v>144</v>
      </c>
      <c r="I3" s="2" t="s">
        <v>1179</v>
      </c>
      <c r="J3" s="2" t="s">
        <v>423</v>
      </c>
      <c r="K3" s="2" t="s">
        <v>34</v>
      </c>
      <c r="L3" s="125">
        <v>1E-3</v>
      </c>
      <c r="M3" s="134">
        <v>1</v>
      </c>
      <c r="N3" s="137">
        <v>0</v>
      </c>
      <c r="O3" s="125">
        <v>1E-3</v>
      </c>
      <c r="P3" s="140">
        <v>1.5838059947054801E-8</v>
      </c>
      <c r="Q3" s="140">
        <v>3.3050405275451004E-10</v>
      </c>
    </row>
    <row r="4" spans="1:17">
      <c r="A4" s="2">
        <v>382</v>
      </c>
      <c r="B4" s="2">
        <v>382</v>
      </c>
      <c r="C4" s="2" t="s">
        <v>1177</v>
      </c>
      <c r="D4" s="2" t="s">
        <v>1178</v>
      </c>
      <c r="E4" s="11" t="s">
        <v>326</v>
      </c>
      <c r="F4" s="2" t="s">
        <v>961</v>
      </c>
      <c r="G4" s="2" t="s">
        <v>30</v>
      </c>
      <c r="H4" s="2" t="s">
        <v>144</v>
      </c>
      <c r="I4" s="2" t="s">
        <v>1179</v>
      </c>
      <c r="J4" s="2" t="s">
        <v>423</v>
      </c>
      <c r="K4" s="2" t="s">
        <v>34</v>
      </c>
      <c r="L4" s="125">
        <v>0</v>
      </c>
      <c r="M4" s="134">
        <v>1</v>
      </c>
      <c r="N4" s="137">
        <v>3.7999999999999999E-2</v>
      </c>
      <c r="O4" s="125">
        <v>0</v>
      </c>
      <c r="P4" s="140">
        <v>-4.0011940918875299E-9</v>
      </c>
      <c r="Q4" s="140">
        <v>-8.3495760695876189E-11</v>
      </c>
    </row>
    <row r="5" spans="1:17">
      <c r="A5" s="2">
        <v>382</v>
      </c>
      <c r="B5" s="2">
        <v>382</v>
      </c>
      <c r="C5" s="2" t="s">
        <v>1177</v>
      </c>
      <c r="D5" s="2" t="s">
        <v>1178</v>
      </c>
      <c r="E5" s="11" t="s">
        <v>326</v>
      </c>
      <c r="F5" s="2" t="s">
        <v>963</v>
      </c>
      <c r="G5" s="2" t="s">
        <v>30</v>
      </c>
      <c r="H5" s="2" t="s">
        <v>144</v>
      </c>
      <c r="I5" s="2" t="s">
        <v>1179</v>
      </c>
      <c r="J5" s="2" t="s">
        <v>423</v>
      </c>
      <c r="K5" s="2" t="s">
        <v>89</v>
      </c>
      <c r="L5" s="125">
        <v>1391.9269999999999</v>
      </c>
      <c r="M5" s="134">
        <v>3.6469999999999998</v>
      </c>
      <c r="N5" s="137">
        <v>0</v>
      </c>
      <c r="O5" s="125">
        <v>5076.3580000000002</v>
      </c>
      <c r="P5" s="140">
        <v>8.4631230584391898E-2</v>
      </c>
      <c r="Q5" s="140">
        <v>1.76606003457793E-3</v>
      </c>
    </row>
    <row r="6" spans="1:17">
      <c r="A6" s="2">
        <v>382</v>
      </c>
      <c r="B6" s="2">
        <v>382</v>
      </c>
      <c r="C6" s="2" t="s">
        <v>1177</v>
      </c>
      <c r="D6" s="2" t="s">
        <v>1178</v>
      </c>
      <c r="E6" s="11" t="s">
        <v>326</v>
      </c>
      <c r="F6" s="2" t="s">
        <v>963</v>
      </c>
      <c r="G6" s="2" t="s">
        <v>30</v>
      </c>
      <c r="H6" s="2" t="s">
        <v>144</v>
      </c>
      <c r="I6" s="2" t="s">
        <v>1179</v>
      </c>
      <c r="J6" s="2" t="s">
        <v>423</v>
      </c>
      <c r="K6" s="2" t="s">
        <v>1180</v>
      </c>
      <c r="L6" s="125">
        <v>318.46100000000001</v>
      </c>
      <c r="M6" s="134">
        <v>0.47010000000000002</v>
      </c>
      <c r="N6" s="137">
        <v>0</v>
      </c>
      <c r="O6" s="125">
        <v>149.709</v>
      </c>
      <c r="P6" s="140">
        <v>2.4958885164002701E-3</v>
      </c>
      <c r="Q6" s="140">
        <v>5.2083479457162099E-5</v>
      </c>
    </row>
    <row r="7" spans="1:17">
      <c r="A7" s="2">
        <v>382</v>
      </c>
      <c r="B7" s="2">
        <v>382</v>
      </c>
      <c r="C7" s="2" t="s">
        <v>1177</v>
      </c>
      <c r="D7" s="2" t="s">
        <v>1178</v>
      </c>
      <c r="E7" s="11" t="s">
        <v>326</v>
      </c>
      <c r="F7" s="2" t="s">
        <v>963</v>
      </c>
      <c r="G7" s="2" t="s">
        <v>30</v>
      </c>
      <c r="H7" s="2" t="s">
        <v>144</v>
      </c>
      <c r="I7" s="2" t="s">
        <v>1179</v>
      </c>
      <c r="J7" s="2" t="s">
        <v>423</v>
      </c>
      <c r="K7" s="2" t="s">
        <v>1181</v>
      </c>
      <c r="L7" s="125">
        <v>75.19</v>
      </c>
      <c r="M7" s="134">
        <v>3.7964000000000002</v>
      </c>
      <c r="N7" s="137">
        <v>0</v>
      </c>
      <c r="O7" s="125">
        <v>285.452</v>
      </c>
      <c r="P7" s="140">
        <v>4.7589554542862697E-3</v>
      </c>
      <c r="Q7" s="140">
        <v>9.9308505573138305E-5</v>
      </c>
    </row>
    <row r="8" spans="1:17">
      <c r="A8" s="2">
        <v>382</v>
      </c>
      <c r="B8" s="2">
        <v>382</v>
      </c>
      <c r="C8" s="2" t="s">
        <v>1177</v>
      </c>
      <c r="D8" s="2" t="s">
        <v>1178</v>
      </c>
      <c r="E8" s="11" t="s">
        <v>326</v>
      </c>
      <c r="F8" s="2" t="s">
        <v>963</v>
      </c>
      <c r="G8" s="2" t="s">
        <v>30</v>
      </c>
      <c r="H8" s="2" t="s">
        <v>144</v>
      </c>
      <c r="I8" s="2" t="s">
        <v>1179</v>
      </c>
      <c r="J8" s="2" t="s">
        <v>423</v>
      </c>
      <c r="K8" s="2" t="s">
        <v>1182</v>
      </c>
      <c r="L8" s="125">
        <v>23902.499</v>
      </c>
      <c r="M8" s="134">
        <v>2.3285E-2</v>
      </c>
      <c r="N8" s="137">
        <v>0</v>
      </c>
      <c r="O8" s="125">
        <v>556.57000000000005</v>
      </c>
      <c r="P8" s="140">
        <v>9.2789304750497507E-3</v>
      </c>
      <c r="Q8" s="140">
        <v>1.9363003660063501E-4</v>
      </c>
    </row>
    <row r="9" spans="1:17">
      <c r="A9" s="2">
        <v>382</v>
      </c>
      <c r="B9" s="2">
        <v>382</v>
      </c>
      <c r="C9" s="2" t="s">
        <v>1177</v>
      </c>
      <c r="D9" s="2" t="s">
        <v>1178</v>
      </c>
      <c r="E9" s="11" t="s">
        <v>326</v>
      </c>
      <c r="F9" s="2" t="s">
        <v>963</v>
      </c>
      <c r="G9" s="2" t="s">
        <v>30</v>
      </c>
      <c r="H9" s="2" t="s">
        <v>144</v>
      </c>
      <c r="I9" s="2" t="s">
        <v>1179</v>
      </c>
      <c r="J9" s="2" t="s">
        <v>423</v>
      </c>
      <c r="K9" s="2" t="s">
        <v>1183</v>
      </c>
      <c r="L9" s="125">
        <v>356.06</v>
      </c>
      <c r="M9" s="134">
        <v>4.5743</v>
      </c>
      <c r="N9" s="137">
        <v>0</v>
      </c>
      <c r="O9" s="125">
        <v>1628.7249999999999</v>
      </c>
      <c r="P9" s="140">
        <v>2.7153520685352098E-2</v>
      </c>
      <c r="Q9" s="140">
        <v>5.6663181368568497E-4</v>
      </c>
    </row>
    <row r="10" spans="1:17">
      <c r="A10" s="2">
        <v>382</v>
      </c>
      <c r="B10" s="2">
        <v>382</v>
      </c>
      <c r="C10" s="2" t="s">
        <v>1177</v>
      </c>
      <c r="D10" s="2" t="s">
        <v>1178</v>
      </c>
      <c r="E10" s="11" t="s">
        <v>326</v>
      </c>
      <c r="F10" s="2" t="s">
        <v>961</v>
      </c>
      <c r="G10" s="2" t="s">
        <v>30</v>
      </c>
      <c r="H10" s="2" t="s">
        <v>144</v>
      </c>
      <c r="I10" s="2" t="s">
        <v>1179</v>
      </c>
      <c r="J10" s="2" t="s">
        <v>423</v>
      </c>
      <c r="K10" s="2" t="s">
        <v>34</v>
      </c>
      <c r="L10" s="125">
        <v>52285.271000000001</v>
      </c>
      <c r="M10" s="134">
        <v>1</v>
      </c>
      <c r="N10" s="137">
        <v>3.7999999999999999E-2</v>
      </c>
      <c r="O10" s="125">
        <v>52285.271000000001</v>
      </c>
      <c r="P10" s="140">
        <v>0.87168132790967001</v>
      </c>
      <c r="Q10" s="140">
        <v>1.8189993758557E-2</v>
      </c>
    </row>
    <row r="11" spans="1:17">
      <c r="A11" s="2">
        <v>382</v>
      </c>
      <c r="B11" s="2">
        <v>382</v>
      </c>
      <c r="C11" s="2" t="s">
        <v>1177</v>
      </c>
      <c r="D11" s="2" t="s">
        <v>1178</v>
      </c>
      <c r="E11" s="11" t="s">
        <v>326</v>
      </c>
      <c r="F11" s="2" t="s">
        <v>961</v>
      </c>
      <c r="G11" s="2" t="s">
        <v>30</v>
      </c>
      <c r="H11" s="2" t="s">
        <v>144</v>
      </c>
      <c r="I11" s="2" t="s">
        <v>1179</v>
      </c>
      <c r="J11" s="2" t="s">
        <v>423</v>
      </c>
      <c r="K11" s="2" t="s">
        <v>34</v>
      </c>
      <c r="L11" s="125">
        <v>0</v>
      </c>
      <c r="M11" s="134">
        <v>1</v>
      </c>
      <c r="N11" s="137">
        <v>0</v>
      </c>
      <c r="O11" s="125">
        <v>0</v>
      </c>
      <c r="P11" s="140">
        <v>1.6671642049531401E-10</v>
      </c>
      <c r="Q11" s="140">
        <v>3.47899002899484E-12</v>
      </c>
    </row>
    <row r="12" spans="1:17">
      <c r="A12" s="2">
        <v>382</v>
      </c>
      <c r="B12" s="2">
        <v>1404</v>
      </c>
      <c r="C12" s="2" t="s">
        <v>1177</v>
      </c>
      <c r="D12" s="2" t="s">
        <v>1178</v>
      </c>
      <c r="E12" s="11" t="s">
        <v>326</v>
      </c>
      <c r="F12" s="2" t="s">
        <v>961</v>
      </c>
      <c r="G12" s="2" t="s">
        <v>30</v>
      </c>
      <c r="H12" s="2" t="s">
        <v>144</v>
      </c>
      <c r="I12" s="2" t="s">
        <v>1179</v>
      </c>
      <c r="J12" s="2" t="s">
        <v>423</v>
      </c>
      <c r="K12" s="2" t="s">
        <v>34</v>
      </c>
      <c r="L12" s="125">
        <v>0</v>
      </c>
      <c r="M12" s="134">
        <v>1</v>
      </c>
      <c r="N12" s="137">
        <v>3.7999999999999999E-2</v>
      </c>
      <c r="O12" s="125">
        <v>0</v>
      </c>
      <c r="P12" s="140">
        <v>6.3147559567204594E-8</v>
      </c>
      <c r="Q12" s="140">
        <v>7.3465367969263002E-10</v>
      </c>
    </row>
    <row r="13" spans="1:17">
      <c r="A13" s="2">
        <v>382</v>
      </c>
      <c r="B13" s="2">
        <v>1404</v>
      </c>
      <c r="C13" s="2" t="s">
        <v>1177</v>
      </c>
      <c r="D13" s="2" t="s">
        <v>1178</v>
      </c>
      <c r="E13" s="11" t="s">
        <v>326</v>
      </c>
      <c r="F13" s="2" t="s">
        <v>963</v>
      </c>
      <c r="G13" s="2" t="s">
        <v>30</v>
      </c>
      <c r="H13" s="2" t="s">
        <v>144</v>
      </c>
      <c r="I13" s="2" t="s">
        <v>1179</v>
      </c>
      <c r="J13" s="2" t="s">
        <v>423</v>
      </c>
      <c r="K13" s="2" t="s">
        <v>89</v>
      </c>
      <c r="L13" s="125">
        <v>5.9630000000000001</v>
      </c>
      <c r="M13" s="134">
        <v>3.6469999999999998</v>
      </c>
      <c r="N13" s="137">
        <v>0</v>
      </c>
      <c r="O13" s="125">
        <v>21.745999999999999</v>
      </c>
      <c r="P13" s="140">
        <v>6.8661618803108906E-2</v>
      </c>
      <c r="Q13" s="140">
        <v>7.9880380576977605E-4</v>
      </c>
    </row>
    <row r="14" spans="1:17">
      <c r="A14" s="2">
        <v>382</v>
      </c>
      <c r="B14" s="2">
        <v>1404</v>
      </c>
      <c r="C14" s="2" t="s">
        <v>1177</v>
      </c>
      <c r="D14" s="2" t="s">
        <v>1178</v>
      </c>
      <c r="E14" s="11" t="s">
        <v>326</v>
      </c>
      <c r="F14" s="2" t="s">
        <v>961</v>
      </c>
      <c r="G14" s="2" t="s">
        <v>30</v>
      </c>
      <c r="H14" s="2" t="s">
        <v>144</v>
      </c>
      <c r="I14" s="2" t="s">
        <v>1179</v>
      </c>
      <c r="J14" s="2" t="s">
        <v>423</v>
      </c>
      <c r="K14" s="2" t="s">
        <v>34</v>
      </c>
      <c r="L14" s="125">
        <v>294.97199999999998</v>
      </c>
      <c r="M14" s="134">
        <v>1</v>
      </c>
      <c r="N14" s="137">
        <v>3.7999999999999999E-2</v>
      </c>
      <c r="O14" s="125">
        <v>294.97199999999998</v>
      </c>
      <c r="P14" s="140">
        <v>0.93133831804933198</v>
      </c>
      <c r="Q14" s="140">
        <v>1.08351158316026E-2</v>
      </c>
    </row>
    <row r="15" spans="1:17">
      <c r="A15" s="2">
        <v>382</v>
      </c>
      <c r="B15" s="2">
        <v>7635</v>
      </c>
      <c r="C15" s="2" t="s">
        <v>1177</v>
      </c>
      <c r="D15" s="2" t="s">
        <v>1178</v>
      </c>
      <c r="E15" s="11" t="s">
        <v>326</v>
      </c>
      <c r="F15" s="2" t="s">
        <v>963</v>
      </c>
      <c r="G15" s="2" t="s">
        <v>30</v>
      </c>
      <c r="H15" s="2" t="s">
        <v>144</v>
      </c>
      <c r="I15" s="2" t="s">
        <v>1179</v>
      </c>
      <c r="J15" s="2" t="s">
        <v>423</v>
      </c>
      <c r="K15" s="2" t="s">
        <v>1181</v>
      </c>
      <c r="L15" s="125">
        <v>5.0000000000000001E-3</v>
      </c>
      <c r="M15" s="134">
        <v>3.7964000000000002</v>
      </c>
      <c r="N15" s="137">
        <v>0</v>
      </c>
      <c r="O15" s="125">
        <v>0.02</v>
      </c>
      <c r="P15" s="140">
        <v>4.6911999618838901E-5</v>
      </c>
      <c r="Q15" s="140">
        <v>1.1015359959448701E-6</v>
      </c>
    </row>
    <row r="16" spans="1:17">
      <c r="A16" s="2">
        <v>382</v>
      </c>
      <c r="B16" s="2">
        <v>7635</v>
      </c>
      <c r="C16" s="2" t="s">
        <v>1177</v>
      </c>
      <c r="D16" s="2" t="s">
        <v>1178</v>
      </c>
      <c r="E16" s="11" t="s">
        <v>326</v>
      </c>
      <c r="F16" s="2" t="s">
        <v>961</v>
      </c>
      <c r="G16" s="2" t="s">
        <v>30</v>
      </c>
      <c r="H16" s="2" t="s">
        <v>144</v>
      </c>
      <c r="I16" s="2" t="s">
        <v>1179</v>
      </c>
      <c r="J16" s="2" t="s">
        <v>423</v>
      </c>
      <c r="K16" s="2" t="s">
        <v>34</v>
      </c>
      <c r="L16" s="125">
        <v>0</v>
      </c>
      <c r="M16" s="134">
        <v>1</v>
      </c>
      <c r="N16" s="137">
        <v>3.7999999999999999E-2</v>
      </c>
      <c r="O16" s="125">
        <v>0</v>
      </c>
      <c r="P16" s="140">
        <v>-1.0644580606358899E-6</v>
      </c>
      <c r="Q16" s="140">
        <v>-2.49944338227109E-8</v>
      </c>
    </row>
    <row r="17" spans="1:17">
      <c r="A17" s="2">
        <v>382</v>
      </c>
      <c r="B17" s="2">
        <v>7635</v>
      </c>
      <c r="C17" s="2" t="s">
        <v>1177</v>
      </c>
      <c r="D17" s="2" t="s">
        <v>1178</v>
      </c>
      <c r="E17" s="11" t="s">
        <v>326</v>
      </c>
      <c r="F17" s="2" t="s">
        <v>963</v>
      </c>
      <c r="G17" s="2" t="s">
        <v>30</v>
      </c>
      <c r="H17" s="2" t="s">
        <v>144</v>
      </c>
      <c r="I17" s="2" t="s">
        <v>1179</v>
      </c>
      <c r="J17" s="2" t="s">
        <v>423</v>
      </c>
      <c r="K17" s="2" t="s">
        <v>89</v>
      </c>
      <c r="L17" s="125">
        <v>44.319000000000003</v>
      </c>
      <c r="M17" s="134">
        <v>3.6469999999999998</v>
      </c>
      <c r="N17" s="137">
        <v>0</v>
      </c>
      <c r="O17" s="125">
        <v>161.63</v>
      </c>
      <c r="P17" s="140">
        <v>0.37401885762411702</v>
      </c>
      <c r="Q17" s="140">
        <v>8.7822995860892001E-3</v>
      </c>
    </row>
    <row r="18" spans="1:17">
      <c r="A18" s="2">
        <v>382</v>
      </c>
      <c r="B18" s="2">
        <v>7635</v>
      </c>
      <c r="C18" s="2" t="s">
        <v>1177</v>
      </c>
      <c r="D18" s="2" t="s">
        <v>1178</v>
      </c>
      <c r="E18" s="11" t="s">
        <v>326</v>
      </c>
      <c r="F18" s="2" t="s">
        <v>963</v>
      </c>
      <c r="G18" s="2" t="s">
        <v>30</v>
      </c>
      <c r="H18" s="2" t="s">
        <v>144</v>
      </c>
      <c r="I18" s="2" t="s">
        <v>1179</v>
      </c>
      <c r="J18" s="2" t="s">
        <v>423</v>
      </c>
      <c r="K18" s="2" t="s">
        <v>1181</v>
      </c>
      <c r="L18" s="125">
        <v>3.0379999999999998</v>
      </c>
      <c r="M18" s="134">
        <v>3.7964000000000002</v>
      </c>
      <c r="N18" s="137">
        <v>0</v>
      </c>
      <c r="O18" s="125">
        <v>11.535</v>
      </c>
      <c r="P18" s="140">
        <v>2.6691873580880699E-2</v>
      </c>
      <c r="Q18" s="140">
        <v>6.2674922807474595E-4</v>
      </c>
    </row>
    <row r="19" spans="1:17">
      <c r="A19" s="2">
        <v>382</v>
      </c>
      <c r="B19" s="2">
        <v>7635</v>
      </c>
      <c r="C19" s="2" t="s">
        <v>1177</v>
      </c>
      <c r="D19" s="2" t="s">
        <v>1178</v>
      </c>
      <c r="E19" s="11" t="s">
        <v>326</v>
      </c>
      <c r="F19" s="2" t="s">
        <v>963</v>
      </c>
      <c r="G19" s="2" t="s">
        <v>30</v>
      </c>
      <c r="H19" s="2" t="s">
        <v>144</v>
      </c>
      <c r="I19" s="2" t="s">
        <v>1179</v>
      </c>
      <c r="J19" s="2" t="s">
        <v>423</v>
      </c>
      <c r="K19" s="2" t="s">
        <v>1182</v>
      </c>
      <c r="L19" s="125">
        <v>30.225000000000001</v>
      </c>
      <c r="M19" s="134">
        <v>2.3285E-2</v>
      </c>
      <c r="N19" s="137">
        <v>0</v>
      </c>
      <c r="O19" s="125">
        <v>0.70399999999999996</v>
      </c>
      <c r="P19" s="140">
        <v>1.62857357581021E-3</v>
      </c>
      <c r="Q19" s="140">
        <v>3.8240374112707799E-5</v>
      </c>
    </row>
    <row r="20" spans="1:17">
      <c r="A20" s="2">
        <v>382</v>
      </c>
      <c r="B20" s="2">
        <v>7635</v>
      </c>
      <c r="C20" s="2" t="s">
        <v>1177</v>
      </c>
      <c r="D20" s="2" t="s">
        <v>1178</v>
      </c>
      <c r="E20" s="11" t="s">
        <v>326</v>
      </c>
      <c r="F20" s="2" t="s">
        <v>961</v>
      </c>
      <c r="G20" s="2" t="s">
        <v>30</v>
      </c>
      <c r="H20" s="2" t="s">
        <v>144</v>
      </c>
      <c r="I20" s="2" t="s">
        <v>1179</v>
      </c>
      <c r="J20" s="2" t="s">
        <v>423</v>
      </c>
      <c r="K20" s="2" t="s">
        <v>34</v>
      </c>
      <c r="L20" s="125">
        <v>258.25599999999997</v>
      </c>
      <c r="M20" s="134">
        <v>1</v>
      </c>
      <c r="N20" s="137">
        <v>3.7999999999999999E-2</v>
      </c>
      <c r="O20" s="125">
        <v>258.25599999999997</v>
      </c>
      <c r="P20" s="140">
        <v>0.59761484767763395</v>
      </c>
      <c r="Q20" s="140">
        <v>1.40325347837799E-2</v>
      </c>
    </row>
    <row r="21" spans="1:17">
      <c r="A21" s="2">
        <v>382</v>
      </c>
      <c r="B21" s="2">
        <v>9479</v>
      </c>
      <c r="C21" s="2" t="s">
        <v>1177</v>
      </c>
      <c r="D21" s="2" t="s">
        <v>1178</v>
      </c>
      <c r="E21" s="3" t="s">
        <v>326</v>
      </c>
      <c r="F21" s="2" t="s">
        <v>961</v>
      </c>
      <c r="G21" s="2" t="s">
        <v>30</v>
      </c>
      <c r="H21" s="2" t="s">
        <v>144</v>
      </c>
      <c r="I21" s="2" t="s">
        <v>1179</v>
      </c>
      <c r="J21" s="2" t="s">
        <v>423</v>
      </c>
      <c r="K21" s="2" t="s">
        <v>34</v>
      </c>
      <c r="L21" s="125">
        <v>-1E-3</v>
      </c>
      <c r="M21" s="134">
        <v>1</v>
      </c>
      <c r="N21" s="138">
        <v>0</v>
      </c>
      <c r="O21" s="125">
        <v>-1E-3</v>
      </c>
      <c r="P21" s="140">
        <v>-1.52516421953334E-7</v>
      </c>
      <c r="Q21" s="140">
        <v>-8.5164241194283909E-9</v>
      </c>
    </row>
    <row r="22" spans="1:17">
      <c r="A22" s="2">
        <v>382</v>
      </c>
      <c r="B22" s="2">
        <v>9479</v>
      </c>
      <c r="C22" s="2" t="s">
        <v>1177</v>
      </c>
      <c r="D22" s="2" t="s">
        <v>1178</v>
      </c>
      <c r="E22" s="3" t="s">
        <v>326</v>
      </c>
      <c r="F22" s="2" t="s">
        <v>963</v>
      </c>
      <c r="G22" s="2" t="s">
        <v>30</v>
      </c>
      <c r="H22" s="2" t="s">
        <v>144</v>
      </c>
      <c r="I22" s="2" t="s">
        <v>1179</v>
      </c>
      <c r="J22" s="2" t="s">
        <v>423</v>
      </c>
      <c r="K22" s="2" t="s">
        <v>89</v>
      </c>
      <c r="L22" s="125">
        <v>94.753</v>
      </c>
      <c r="M22" s="134">
        <v>3.6469999999999998</v>
      </c>
      <c r="N22" s="138">
        <v>0</v>
      </c>
      <c r="O22" s="125">
        <v>345.565</v>
      </c>
      <c r="P22" s="140">
        <v>8.9329298773015597E-2</v>
      </c>
      <c r="Q22" s="140">
        <v>4.9880936419745697E-3</v>
      </c>
    </row>
    <row r="23" spans="1:17">
      <c r="A23" s="2">
        <v>382</v>
      </c>
      <c r="B23" s="2">
        <v>9479</v>
      </c>
      <c r="C23" s="2" t="s">
        <v>1177</v>
      </c>
      <c r="D23" s="2" t="s">
        <v>1178</v>
      </c>
      <c r="E23" s="3" t="s">
        <v>326</v>
      </c>
      <c r="F23" s="2" t="s">
        <v>963</v>
      </c>
      <c r="G23" s="2" t="s">
        <v>30</v>
      </c>
      <c r="H23" s="2" t="s">
        <v>144</v>
      </c>
      <c r="I23" s="2" t="s">
        <v>1179</v>
      </c>
      <c r="J23" s="2" t="s">
        <v>423</v>
      </c>
      <c r="K23" s="2" t="s">
        <v>1181</v>
      </c>
      <c r="L23" s="125">
        <v>1.6479999999999999</v>
      </c>
      <c r="M23" s="134">
        <v>3.7964000000000002</v>
      </c>
      <c r="N23" s="138">
        <v>0</v>
      </c>
      <c r="O23" s="125">
        <v>6.2560000000000002</v>
      </c>
      <c r="P23" s="140">
        <v>1.6172333395675399E-3</v>
      </c>
      <c r="Q23" s="140">
        <v>9.03053247869329E-5</v>
      </c>
    </row>
    <row r="24" spans="1:17">
      <c r="A24" s="2">
        <v>382</v>
      </c>
      <c r="B24" s="2">
        <v>9479</v>
      </c>
      <c r="C24" s="2" t="s">
        <v>1177</v>
      </c>
      <c r="D24" s="2" t="s">
        <v>1178</v>
      </c>
      <c r="E24" s="3" t="s">
        <v>326</v>
      </c>
      <c r="F24" s="2" t="s">
        <v>963</v>
      </c>
      <c r="G24" s="2" t="s">
        <v>30</v>
      </c>
      <c r="H24" s="2" t="s">
        <v>144</v>
      </c>
      <c r="I24" s="2" t="s">
        <v>1179</v>
      </c>
      <c r="J24" s="2" t="s">
        <v>423</v>
      </c>
      <c r="K24" s="2" t="s">
        <v>1182</v>
      </c>
      <c r="L24" s="125">
        <v>240.797</v>
      </c>
      <c r="M24" s="134">
        <v>2.3285E-2</v>
      </c>
      <c r="N24" s="138">
        <v>0</v>
      </c>
      <c r="O24" s="125">
        <v>5.6070000000000002</v>
      </c>
      <c r="P24" s="140">
        <v>1.44940960549017E-3</v>
      </c>
      <c r="Q24" s="140">
        <v>8.0934149680646005E-5</v>
      </c>
    </row>
    <row r="25" spans="1:17">
      <c r="A25" s="2">
        <v>382</v>
      </c>
      <c r="B25" s="2">
        <v>9479</v>
      </c>
      <c r="C25" s="2" t="s">
        <v>1177</v>
      </c>
      <c r="D25" s="2" t="s">
        <v>1178</v>
      </c>
      <c r="E25" s="3" t="s">
        <v>326</v>
      </c>
      <c r="F25" s="2" t="s">
        <v>961</v>
      </c>
      <c r="G25" s="2" t="s">
        <v>30</v>
      </c>
      <c r="H25" s="2" t="s">
        <v>144</v>
      </c>
      <c r="I25" s="2" t="s">
        <v>1179</v>
      </c>
      <c r="J25" s="2" t="s">
        <v>423</v>
      </c>
      <c r="K25" s="2" t="s">
        <v>34</v>
      </c>
      <c r="L25" s="125">
        <v>3511.009</v>
      </c>
      <c r="M25" s="134">
        <v>1</v>
      </c>
      <c r="N25" s="138">
        <v>3.7999999999999999E-2</v>
      </c>
      <c r="O25" s="125">
        <v>3511.009</v>
      </c>
      <c r="P25" s="140">
        <v>0.90760421079834896</v>
      </c>
      <c r="Q25" s="140">
        <v>5.06800664003439E-2</v>
      </c>
    </row>
    <row r="26" spans="1:17">
      <c r="A26" s="2">
        <v>382</v>
      </c>
      <c r="B26" s="2">
        <v>11414</v>
      </c>
      <c r="C26" s="2" t="s">
        <v>1177</v>
      </c>
      <c r="D26" s="2" t="s">
        <v>1178</v>
      </c>
      <c r="E26" s="3" t="s">
        <v>326</v>
      </c>
      <c r="F26" s="2" t="s">
        <v>961</v>
      </c>
      <c r="G26" s="2" t="s">
        <v>30</v>
      </c>
      <c r="H26" s="2" t="s">
        <v>144</v>
      </c>
      <c r="I26" s="2" t="s">
        <v>1179</v>
      </c>
      <c r="J26" s="2" t="s">
        <v>423</v>
      </c>
      <c r="K26" s="2" t="s">
        <v>34</v>
      </c>
      <c r="L26" s="125">
        <v>0</v>
      </c>
      <c r="M26" s="134">
        <v>1</v>
      </c>
      <c r="N26" s="138">
        <v>0</v>
      </c>
      <c r="O26" s="125">
        <v>0</v>
      </c>
      <c r="P26" s="140">
        <v>8.6150761204034999E-8</v>
      </c>
      <c r="Q26" s="140">
        <v>7.9126504585362604E-9</v>
      </c>
    </row>
    <row r="27" spans="1:17">
      <c r="A27" s="2">
        <v>382</v>
      </c>
      <c r="B27" s="2">
        <v>11414</v>
      </c>
      <c r="C27" s="2" t="s">
        <v>1177</v>
      </c>
      <c r="D27" s="2" t="s">
        <v>1178</v>
      </c>
      <c r="E27" s="3" t="s">
        <v>326</v>
      </c>
      <c r="F27" s="2" t="s">
        <v>963</v>
      </c>
      <c r="G27" s="2" t="s">
        <v>30</v>
      </c>
      <c r="H27" s="2" t="s">
        <v>144</v>
      </c>
      <c r="I27" s="2" t="s">
        <v>1179</v>
      </c>
      <c r="J27" s="2" t="s">
        <v>423</v>
      </c>
      <c r="K27" s="2" t="s">
        <v>89</v>
      </c>
      <c r="L27" s="125">
        <v>208.86199999999999</v>
      </c>
      <c r="M27" s="134">
        <v>3.6469999999999998</v>
      </c>
      <c r="N27" s="138">
        <v>0</v>
      </c>
      <c r="O27" s="125">
        <v>761.71900000000005</v>
      </c>
      <c r="P27" s="140">
        <v>0.54685540294522295</v>
      </c>
      <c r="Q27" s="140">
        <v>5.0226783772920197E-2</v>
      </c>
    </row>
    <row r="28" spans="1:17">
      <c r="A28" s="2">
        <v>382</v>
      </c>
      <c r="B28" s="2">
        <v>11414</v>
      </c>
      <c r="C28" s="2" t="s">
        <v>1177</v>
      </c>
      <c r="D28" s="2" t="s">
        <v>1178</v>
      </c>
      <c r="E28" s="3" t="s">
        <v>326</v>
      </c>
      <c r="F28" s="2" t="s">
        <v>961</v>
      </c>
      <c r="G28" s="2" t="s">
        <v>30</v>
      </c>
      <c r="H28" s="2" t="s">
        <v>144</v>
      </c>
      <c r="I28" s="2" t="s">
        <v>1179</v>
      </c>
      <c r="J28" s="2" t="s">
        <v>423</v>
      </c>
      <c r="K28" s="2" t="s">
        <v>34</v>
      </c>
      <c r="L28" s="125">
        <v>631.18799999999999</v>
      </c>
      <c r="M28" s="134">
        <v>1</v>
      </c>
      <c r="N28" s="138">
        <v>3.7999999999999999E-2</v>
      </c>
      <c r="O28" s="125">
        <v>631.18799999999999</v>
      </c>
      <c r="P28" s="140">
        <v>0.45314451090401597</v>
      </c>
      <c r="Q28" s="140">
        <v>4.1619761356442998E-2</v>
      </c>
    </row>
    <row r="29" spans="1:17">
      <c r="A29" s="2">
        <v>382</v>
      </c>
      <c r="B29" s="2">
        <v>15404</v>
      </c>
      <c r="C29" s="2" t="s">
        <v>1177</v>
      </c>
      <c r="D29" s="2" t="s">
        <v>1178</v>
      </c>
      <c r="E29" s="3" t="s">
        <v>326</v>
      </c>
      <c r="F29" s="2" t="s">
        <v>961</v>
      </c>
      <c r="G29" s="2" t="s">
        <v>30</v>
      </c>
      <c r="H29" s="2" t="s">
        <v>144</v>
      </c>
      <c r="I29" s="2" t="s">
        <v>1179</v>
      </c>
      <c r="J29" s="2" t="s">
        <v>423</v>
      </c>
      <c r="K29" s="2" t="s">
        <v>34</v>
      </c>
      <c r="L29" s="125">
        <v>2689.201</v>
      </c>
      <c r="M29" s="134">
        <v>1</v>
      </c>
      <c r="N29" s="138">
        <v>0</v>
      </c>
      <c r="O29" s="125">
        <v>2689.201</v>
      </c>
      <c r="P29" s="140">
        <v>1</v>
      </c>
      <c r="Q29" s="140">
        <v>1.0000485111794399</v>
      </c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dataValidations count="4">
    <dataValidation type="list" allowBlank="1" showInputMessage="1" showErrorMessage="1" sqref="G2:G20" xr:uid="{00000000-0002-0000-0200-000000000000}">
      <formula1>israel_abroad</formula1>
    </dataValidation>
    <dataValidation type="list" allowBlank="1" showInputMessage="1" showErrorMessage="1" sqref="H2:H20" xr:uid="{00000000-0002-0000-0200-000001000000}">
      <formula1>Holding_interest</formula1>
    </dataValidation>
    <dataValidation type="list" allowBlank="1" showInputMessage="1" showErrorMessage="1" sqref="J2:J21" xr:uid="{00000000-0002-0000-0200-000002000000}">
      <formula1>Rating_Agency</formula1>
    </dataValidation>
    <dataValidation type="list" allowBlank="1" showInputMessage="1" showErrorMessage="1" sqref="E2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72"/>
  <sheetViews>
    <sheetView rightToLeft="1" topLeftCell="C1" zoomScale="70" zoomScaleNormal="70" workbookViewId="0">
      <selection activeCell="C2" sqref="C2"/>
    </sheetView>
  </sheetViews>
  <sheetFormatPr defaultColWidth="0" defaultRowHeight="14.25" zeroHeight="1"/>
  <cols>
    <col min="1" max="26" width="11.625" customWidth="1"/>
    <col min="27" max="30" width="11.625" hidden="1" customWidth="1"/>
  </cols>
  <sheetData>
    <row r="1" spans="1:26" ht="66.75" customHeight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35" t="s">
        <v>14</v>
      </c>
      <c r="P1" s="139" t="s">
        <v>15</v>
      </c>
      <c r="Q1" s="12" t="s">
        <v>16</v>
      </c>
      <c r="R1" s="12" t="s">
        <v>17</v>
      </c>
      <c r="S1" s="133" t="s">
        <v>18</v>
      </c>
      <c r="T1" s="144" t="s">
        <v>19</v>
      </c>
      <c r="U1" s="12" t="s">
        <v>20</v>
      </c>
      <c r="V1" s="12" t="s">
        <v>21</v>
      </c>
      <c r="W1" s="12" t="s">
        <v>22</v>
      </c>
      <c r="X1" s="139" t="s">
        <v>23</v>
      </c>
      <c r="Y1" s="139" t="s">
        <v>24</v>
      </c>
      <c r="Z1" s="139" t="s">
        <v>25</v>
      </c>
    </row>
    <row r="2" spans="1:26">
      <c r="A2" s="11">
        <v>382</v>
      </c>
      <c r="B2" s="11">
        <v>382</v>
      </c>
      <c r="C2" s="11" t="s">
        <v>26</v>
      </c>
      <c r="D2" s="11" t="s">
        <v>27</v>
      </c>
      <c r="E2" s="11" t="s">
        <v>28</v>
      </c>
      <c r="F2" s="11" t="s">
        <v>29</v>
      </c>
      <c r="G2" s="11" t="s">
        <v>30</v>
      </c>
      <c r="H2" s="11" t="s">
        <v>30</v>
      </c>
      <c r="I2" s="11" t="s">
        <v>31</v>
      </c>
      <c r="J2" s="11" t="s">
        <v>32</v>
      </c>
      <c r="K2" s="11" t="s">
        <v>33</v>
      </c>
      <c r="L2" s="3" t="s">
        <v>34</v>
      </c>
      <c r="M2" s="126">
        <v>0.751</v>
      </c>
      <c r="N2" s="3" t="s">
        <v>35</v>
      </c>
      <c r="O2" s="137">
        <v>0</v>
      </c>
      <c r="P2" s="142">
        <v>4.2250000000000003E-2</v>
      </c>
      <c r="Q2" s="3"/>
      <c r="R2" s="126">
        <v>6800000</v>
      </c>
      <c r="S2" s="143">
        <v>1</v>
      </c>
      <c r="T2" s="145">
        <v>96.93</v>
      </c>
      <c r="U2" s="126">
        <v>6591.24</v>
      </c>
      <c r="V2" s="3"/>
      <c r="W2" s="11" t="s">
        <v>36</v>
      </c>
      <c r="X2" s="146">
        <v>4.86E-4</v>
      </c>
      <c r="Y2" s="142">
        <v>1.39151675862806E-2</v>
      </c>
      <c r="Z2" s="142">
        <v>2.2930858238711998E-3</v>
      </c>
    </row>
    <row r="3" spans="1:26">
      <c r="A3" s="11">
        <v>382</v>
      </c>
      <c r="B3" s="11">
        <v>382</v>
      </c>
      <c r="C3" s="11" t="s">
        <v>26</v>
      </c>
      <c r="D3" s="11" t="s">
        <v>37</v>
      </c>
      <c r="E3" s="11" t="s">
        <v>38</v>
      </c>
      <c r="F3" s="11" t="s">
        <v>29</v>
      </c>
      <c r="G3" s="11" t="s">
        <v>30</v>
      </c>
      <c r="H3" s="11" t="s">
        <v>30</v>
      </c>
      <c r="I3" s="11" t="s">
        <v>31</v>
      </c>
      <c r="J3" s="11" t="s">
        <v>32</v>
      </c>
      <c r="K3" s="11" t="s">
        <v>33</v>
      </c>
      <c r="L3" s="3" t="s">
        <v>34</v>
      </c>
      <c r="M3" s="126">
        <v>0.34200000000000003</v>
      </c>
      <c r="N3" s="3" t="s">
        <v>39</v>
      </c>
      <c r="O3" s="137">
        <v>0</v>
      </c>
      <c r="P3" s="142">
        <v>4.2909999999999997E-2</v>
      </c>
      <c r="Q3" s="3"/>
      <c r="R3" s="126">
        <v>11500000</v>
      </c>
      <c r="S3" s="143">
        <v>1</v>
      </c>
      <c r="T3" s="145">
        <v>98.56</v>
      </c>
      <c r="U3" s="126">
        <v>11334.4</v>
      </c>
      <c r="V3" s="3"/>
      <c r="W3" s="11" t="s">
        <v>36</v>
      </c>
      <c r="X3" s="146">
        <v>8.2100000000000001E-4</v>
      </c>
      <c r="Y3" s="142">
        <v>2.3928741100299598E-2</v>
      </c>
      <c r="Z3" s="142">
        <v>3.9432264584639198E-3</v>
      </c>
    </row>
    <row r="4" spans="1:26">
      <c r="A4" s="11">
        <v>382</v>
      </c>
      <c r="B4" s="11">
        <v>382</v>
      </c>
      <c r="C4" s="11" t="s">
        <v>40</v>
      </c>
      <c r="D4" s="11" t="s">
        <v>41</v>
      </c>
      <c r="E4" s="11" t="s">
        <v>42</v>
      </c>
      <c r="F4" s="11" t="s">
        <v>43</v>
      </c>
      <c r="G4" s="11" t="s">
        <v>30</v>
      </c>
      <c r="H4" s="11" t="s">
        <v>30</v>
      </c>
      <c r="I4" s="11" t="s">
        <v>44</v>
      </c>
      <c r="J4" s="11" t="s">
        <v>32</v>
      </c>
      <c r="K4" s="11" t="s">
        <v>33</v>
      </c>
      <c r="L4" s="3" t="s">
        <v>34</v>
      </c>
      <c r="M4" s="126">
        <v>2.3860000000000001</v>
      </c>
      <c r="N4" s="3" t="s">
        <v>45</v>
      </c>
      <c r="O4" s="137">
        <v>7.4999999999999997E-3</v>
      </c>
      <c r="P4" s="142">
        <v>1.7919999999999998E-2</v>
      </c>
      <c r="Q4" s="3"/>
      <c r="R4" s="126">
        <v>46800000</v>
      </c>
      <c r="S4" s="143">
        <v>1</v>
      </c>
      <c r="T4" s="145">
        <v>114.17</v>
      </c>
      <c r="U4" s="126">
        <v>53431.56</v>
      </c>
      <c r="V4" s="3"/>
      <c r="W4" s="11" t="s">
        <v>36</v>
      </c>
      <c r="X4" s="146">
        <v>2.0999999999999999E-3</v>
      </c>
      <c r="Y4" s="142">
        <v>0.112802615561929</v>
      </c>
      <c r="Z4" s="142">
        <v>1.8588786447364E-2</v>
      </c>
    </row>
    <row r="5" spans="1:26">
      <c r="A5" s="11">
        <v>382</v>
      </c>
      <c r="B5" s="11">
        <v>382</v>
      </c>
      <c r="C5" s="11" t="s">
        <v>40</v>
      </c>
      <c r="D5" s="11" t="s">
        <v>46</v>
      </c>
      <c r="E5" s="11" t="s">
        <v>47</v>
      </c>
      <c r="F5" s="11" t="s">
        <v>43</v>
      </c>
      <c r="G5" s="11" t="s">
        <v>30</v>
      </c>
      <c r="H5" s="11" t="s">
        <v>30</v>
      </c>
      <c r="I5" s="11" t="s">
        <v>44</v>
      </c>
      <c r="J5" s="11" t="s">
        <v>32</v>
      </c>
      <c r="K5" s="11" t="s">
        <v>33</v>
      </c>
      <c r="L5" s="3" t="s">
        <v>34</v>
      </c>
      <c r="M5" s="126">
        <v>6.89</v>
      </c>
      <c r="N5" s="3" t="s">
        <v>48</v>
      </c>
      <c r="O5" s="137">
        <v>1E-3</v>
      </c>
      <c r="P5" s="142">
        <v>1.8689999999999998E-2</v>
      </c>
      <c r="Q5" s="3"/>
      <c r="R5" s="126">
        <v>35675000</v>
      </c>
      <c r="S5" s="143">
        <v>1</v>
      </c>
      <c r="T5" s="145">
        <v>102.23</v>
      </c>
      <c r="U5" s="126">
        <v>36470.552000000003</v>
      </c>
      <c r="V5" s="3"/>
      <c r="W5" s="11" t="s">
        <v>36</v>
      </c>
      <c r="X5" s="146">
        <v>1.1620000000000001E-3</v>
      </c>
      <c r="Y5" s="142">
        <v>7.6995201206714506E-2</v>
      </c>
      <c r="Z5" s="142">
        <v>1.26880688499433E-2</v>
      </c>
    </row>
    <row r="6" spans="1:26">
      <c r="A6" s="11">
        <v>382</v>
      </c>
      <c r="B6" s="11">
        <v>382</v>
      </c>
      <c r="C6" s="11" t="s">
        <v>49</v>
      </c>
      <c r="D6" s="11" t="s">
        <v>50</v>
      </c>
      <c r="E6" s="11" t="s">
        <v>51</v>
      </c>
      <c r="F6" s="11" t="s">
        <v>52</v>
      </c>
      <c r="G6" s="11" t="s">
        <v>30</v>
      </c>
      <c r="H6" s="11" t="s">
        <v>30</v>
      </c>
      <c r="I6" s="11" t="s">
        <v>44</v>
      </c>
      <c r="J6" s="11" t="s">
        <v>32</v>
      </c>
      <c r="K6" s="11" t="s">
        <v>33</v>
      </c>
      <c r="L6" s="3" t="s">
        <v>34</v>
      </c>
      <c r="M6" s="126">
        <v>3.6040000000000001</v>
      </c>
      <c r="N6" s="3" t="s">
        <v>53</v>
      </c>
      <c r="O6" s="137">
        <v>2.2499999999999999E-2</v>
      </c>
      <c r="P6" s="142">
        <v>4.2549999999999998E-2</v>
      </c>
      <c r="Q6" s="3"/>
      <c r="R6" s="126">
        <v>7510000</v>
      </c>
      <c r="S6" s="143">
        <v>1</v>
      </c>
      <c r="T6" s="145">
        <v>93.76</v>
      </c>
      <c r="U6" s="126">
        <v>7041.3760000000002</v>
      </c>
      <c r="V6" s="3"/>
      <c r="W6" s="11" t="s">
        <v>36</v>
      </c>
      <c r="X6" s="146">
        <v>2.1599999999999999E-4</v>
      </c>
      <c r="Y6" s="142">
        <v>1.48654770692638E-2</v>
      </c>
      <c r="Z6" s="142">
        <v>2.4496876894403601E-3</v>
      </c>
    </row>
    <row r="7" spans="1:26">
      <c r="A7" s="11">
        <v>382</v>
      </c>
      <c r="B7" s="11">
        <v>382</v>
      </c>
      <c r="C7" s="11" t="s">
        <v>49</v>
      </c>
      <c r="D7" s="11" t="s">
        <v>54</v>
      </c>
      <c r="E7" s="11" t="s">
        <v>55</v>
      </c>
      <c r="F7" s="11" t="s">
        <v>52</v>
      </c>
      <c r="G7" s="11" t="s">
        <v>30</v>
      </c>
      <c r="H7" s="11" t="s">
        <v>30</v>
      </c>
      <c r="I7" s="11" t="s">
        <v>44</v>
      </c>
      <c r="J7" s="11" t="s">
        <v>32</v>
      </c>
      <c r="K7" s="11" t="s">
        <v>33</v>
      </c>
      <c r="L7" s="3" t="s">
        <v>34</v>
      </c>
      <c r="M7" s="126">
        <v>1.1479999999999999</v>
      </c>
      <c r="N7" s="3" t="s">
        <v>56</v>
      </c>
      <c r="O7" s="137">
        <v>5.0000000000000001E-3</v>
      </c>
      <c r="P7" s="142">
        <v>4.206E-2</v>
      </c>
      <c r="Q7" s="3"/>
      <c r="R7" s="126">
        <v>15550000</v>
      </c>
      <c r="S7" s="143">
        <v>1</v>
      </c>
      <c r="T7" s="145">
        <v>96.32</v>
      </c>
      <c r="U7" s="126">
        <v>14977.76</v>
      </c>
      <c r="V7" s="3"/>
      <c r="W7" s="11" t="s">
        <v>36</v>
      </c>
      <c r="X7" s="146">
        <v>5.5999999999999995E-4</v>
      </c>
      <c r="Y7" s="142">
        <v>3.1620459953982903E-2</v>
      </c>
      <c r="Z7" s="142">
        <v>5.21074776966778E-3</v>
      </c>
    </row>
    <row r="8" spans="1:26">
      <c r="A8" s="11">
        <v>382</v>
      </c>
      <c r="B8" s="11">
        <v>382</v>
      </c>
      <c r="C8" s="11" t="s">
        <v>49</v>
      </c>
      <c r="D8" s="11" t="s">
        <v>57</v>
      </c>
      <c r="E8" s="11" t="s">
        <v>58</v>
      </c>
      <c r="F8" s="11" t="s">
        <v>52</v>
      </c>
      <c r="G8" s="11" t="s">
        <v>30</v>
      </c>
      <c r="H8" s="11" t="s">
        <v>30</v>
      </c>
      <c r="I8" s="11" t="s">
        <v>44</v>
      </c>
      <c r="J8" s="11" t="s">
        <v>32</v>
      </c>
      <c r="K8" s="11" t="s">
        <v>33</v>
      </c>
      <c r="L8" s="3" t="s">
        <v>34</v>
      </c>
      <c r="M8" s="126">
        <v>8.3070000000000004</v>
      </c>
      <c r="N8" s="3" t="s">
        <v>59</v>
      </c>
      <c r="O8" s="137">
        <v>0.04</v>
      </c>
      <c r="P8" s="142">
        <v>4.48E-2</v>
      </c>
      <c r="Q8" s="3"/>
      <c r="R8" s="126">
        <v>17083000</v>
      </c>
      <c r="S8" s="143">
        <v>1</v>
      </c>
      <c r="T8" s="145">
        <v>99.13</v>
      </c>
      <c r="U8" s="126">
        <v>16934.378000000001</v>
      </c>
      <c r="V8" s="3"/>
      <c r="W8" s="11" t="s">
        <v>36</v>
      </c>
      <c r="X8" s="146">
        <v>7.3399999999999995E-4</v>
      </c>
      <c r="Y8" s="142">
        <v>3.5751194987272E-2</v>
      </c>
      <c r="Z8" s="142">
        <v>5.89145318613306E-3</v>
      </c>
    </row>
    <row r="9" spans="1:26">
      <c r="A9" s="11">
        <v>382</v>
      </c>
      <c r="B9" s="11">
        <v>382</v>
      </c>
      <c r="C9" s="11" t="s">
        <v>49</v>
      </c>
      <c r="D9" s="11" t="s">
        <v>60</v>
      </c>
      <c r="E9" s="11" t="s">
        <v>61</v>
      </c>
      <c r="F9" s="11" t="s">
        <v>52</v>
      </c>
      <c r="G9" s="11" t="s">
        <v>30</v>
      </c>
      <c r="H9" s="11" t="s">
        <v>30</v>
      </c>
      <c r="I9" s="11" t="s">
        <v>44</v>
      </c>
      <c r="J9" s="11" t="s">
        <v>32</v>
      </c>
      <c r="K9" s="11" t="s">
        <v>33</v>
      </c>
      <c r="L9" s="3" t="s">
        <v>34</v>
      </c>
      <c r="M9" s="126">
        <v>14.43</v>
      </c>
      <c r="N9" s="3" t="s">
        <v>62</v>
      </c>
      <c r="O9" s="137">
        <v>3.7499999999999999E-2</v>
      </c>
      <c r="P9" s="142">
        <v>4.7570000000000001E-2</v>
      </c>
      <c r="Q9" s="3"/>
      <c r="R9" s="126">
        <v>19320000</v>
      </c>
      <c r="S9" s="143">
        <v>1</v>
      </c>
      <c r="T9" s="145">
        <v>89.17</v>
      </c>
      <c r="U9" s="126">
        <v>17227.644</v>
      </c>
      <c r="V9" s="3"/>
      <c r="W9" s="11" t="s">
        <v>36</v>
      </c>
      <c r="X9" s="146">
        <v>7.36E-4</v>
      </c>
      <c r="Y9" s="142">
        <v>3.6370326884892903E-2</v>
      </c>
      <c r="Z9" s="142">
        <v>5.9934801699072799E-3</v>
      </c>
    </row>
    <row r="10" spans="1:26">
      <c r="A10" s="11">
        <v>382</v>
      </c>
      <c r="B10" s="11">
        <v>382</v>
      </c>
      <c r="C10" s="11" t="s">
        <v>49</v>
      </c>
      <c r="D10" s="11" t="s">
        <v>63</v>
      </c>
      <c r="E10" s="11" t="s">
        <v>64</v>
      </c>
      <c r="F10" s="11" t="s">
        <v>52</v>
      </c>
      <c r="G10" s="11" t="s">
        <v>30</v>
      </c>
      <c r="H10" s="11" t="s">
        <v>30</v>
      </c>
      <c r="I10" s="11" t="s">
        <v>44</v>
      </c>
      <c r="J10" s="11" t="s">
        <v>32</v>
      </c>
      <c r="K10" s="11" t="s">
        <v>33</v>
      </c>
      <c r="L10" s="3" t="s">
        <v>34</v>
      </c>
      <c r="M10" s="126">
        <v>11.263999999999999</v>
      </c>
      <c r="N10" s="3" t="s">
        <v>65</v>
      </c>
      <c r="O10" s="137">
        <v>5.5E-2</v>
      </c>
      <c r="P10" s="142">
        <v>4.6489999999999997E-2</v>
      </c>
      <c r="Q10" s="3"/>
      <c r="R10" s="126">
        <v>18600000</v>
      </c>
      <c r="S10" s="143">
        <v>1</v>
      </c>
      <c r="T10" s="145">
        <v>114.94</v>
      </c>
      <c r="U10" s="126">
        <v>21378.84</v>
      </c>
      <c r="V10" s="3"/>
      <c r="W10" s="11" t="s">
        <v>36</v>
      </c>
      <c r="X10" s="146">
        <v>7.6599999999999997E-4</v>
      </c>
      <c r="Y10" s="142">
        <v>4.5134169200374899E-2</v>
      </c>
      <c r="Z10" s="142">
        <v>7.4376771191476104E-3</v>
      </c>
    </row>
    <row r="11" spans="1:26">
      <c r="A11" s="11">
        <v>382</v>
      </c>
      <c r="B11" s="11">
        <v>382</v>
      </c>
      <c r="C11" s="11" t="s">
        <v>40</v>
      </c>
      <c r="D11" s="11" t="s">
        <v>66</v>
      </c>
      <c r="E11" s="11" t="s">
        <v>67</v>
      </c>
      <c r="F11" s="11" t="s">
        <v>43</v>
      </c>
      <c r="G11" s="11" t="s">
        <v>30</v>
      </c>
      <c r="H11" s="11" t="s">
        <v>30</v>
      </c>
      <c r="I11" s="11" t="s">
        <v>44</v>
      </c>
      <c r="J11" s="11" t="s">
        <v>32</v>
      </c>
      <c r="K11" s="11" t="s">
        <v>33</v>
      </c>
      <c r="L11" s="3" t="s">
        <v>34</v>
      </c>
      <c r="M11" s="126">
        <v>4.3600000000000003</v>
      </c>
      <c r="N11" s="3" t="s">
        <v>68</v>
      </c>
      <c r="O11" s="137">
        <v>5.0000000000000001E-3</v>
      </c>
      <c r="P11" s="142">
        <v>1.7690000000000001E-2</v>
      </c>
      <c r="Q11" s="3"/>
      <c r="R11" s="126">
        <v>54149000</v>
      </c>
      <c r="S11" s="143">
        <v>1</v>
      </c>
      <c r="T11" s="145">
        <v>109.52</v>
      </c>
      <c r="U11" s="126">
        <v>59303.985000000001</v>
      </c>
      <c r="V11" s="3"/>
      <c r="W11" s="11" t="s">
        <v>36</v>
      </c>
      <c r="X11" s="146">
        <v>1.97E-3</v>
      </c>
      <c r="Y11" s="142">
        <v>0.12520024866735799</v>
      </c>
      <c r="Z11" s="142">
        <v>2.06317971798862E-2</v>
      </c>
    </row>
    <row r="12" spans="1:26">
      <c r="A12" s="11">
        <v>382</v>
      </c>
      <c r="B12" s="11">
        <v>382</v>
      </c>
      <c r="C12" s="11" t="s">
        <v>40</v>
      </c>
      <c r="D12" s="11" t="s">
        <v>69</v>
      </c>
      <c r="E12" s="11" t="s">
        <v>70</v>
      </c>
      <c r="F12" s="11" t="s">
        <v>43</v>
      </c>
      <c r="G12" s="11" t="s">
        <v>30</v>
      </c>
      <c r="H12" s="11" t="s">
        <v>30</v>
      </c>
      <c r="I12" s="11" t="s">
        <v>44</v>
      </c>
      <c r="J12" s="11" t="s">
        <v>32</v>
      </c>
      <c r="K12" s="11" t="s">
        <v>33</v>
      </c>
      <c r="L12" s="3" t="s">
        <v>34</v>
      </c>
      <c r="M12" s="126">
        <v>1.5740000000000001</v>
      </c>
      <c r="N12" s="3" t="s">
        <v>71</v>
      </c>
      <c r="O12" s="137">
        <v>1E-3</v>
      </c>
      <c r="P12" s="142">
        <v>1.7819999999999999E-2</v>
      </c>
      <c r="Q12" s="3"/>
      <c r="R12" s="126">
        <v>44657000</v>
      </c>
      <c r="S12" s="143">
        <v>1</v>
      </c>
      <c r="T12" s="145">
        <v>112.4</v>
      </c>
      <c r="U12" s="126">
        <v>50194.468000000001</v>
      </c>
      <c r="V12" s="3"/>
      <c r="W12" s="11" t="s">
        <v>36</v>
      </c>
      <c r="X12" s="146">
        <v>2.2100000000000002E-3</v>
      </c>
      <c r="Y12" s="142">
        <v>0.105968593788756</v>
      </c>
      <c r="Z12" s="142">
        <v>1.7462605368270101E-2</v>
      </c>
    </row>
    <row r="13" spans="1:26">
      <c r="A13" s="11">
        <v>382</v>
      </c>
      <c r="B13" s="11">
        <v>382</v>
      </c>
      <c r="C13" s="11" t="s">
        <v>40</v>
      </c>
      <c r="D13" s="11" t="s">
        <v>72</v>
      </c>
      <c r="E13" s="11" t="s">
        <v>73</v>
      </c>
      <c r="F13" s="11" t="s">
        <v>43</v>
      </c>
      <c r="G13" s="11" t="s">
        <v>30</v>
      </c>
      <c r="H13" s="11" t="s">
        <v>30</v>
      </c>
      <c r="I13" s="11" t="s">
        <v>44</v>
      </c>
      <c r="J13" s="11" t="s">
        <v>32</v>
      </c>
      <c r="K13" s="11" t="s">
        <v>33</v>
      </c>
      <c r="L13" s="3" t="s">
        <v>34</v>
      </c>
      <c r="M13" s="126">
        <v>3.7639999999999998</v>
      </c>
      <c r="N13" s="3" t="s">
        <v>74</v>
      </c>
      <c r="O13" s="137">
        <v>1.0999999999999999E-2</v>
      </c>
      <c r="P13" s="142">
        <v>1.7909999999999999E-2</v>
      </c>
      <c r="Q13" s="3"/>
      <c r="R13" s="126">
        <v>26990000</v>
      </c>
      <c r="S13" s="143">
        <v>1</v>
      </c>
      <c r="T13" s="145">
        <v>101.87</v>
      </c>
      <c r="U13" s="126">
        <v>27494.713</v>
      </c>
      <c r="V13" s="3"/>
      <c r="W13" s="11" t="s">
        <v>36</v>
      </c>
      <c r="X13" s="146">
        <v>1.0939999999999999E-3</v>
      </c>
      <c r="Y13" s="142">
        <v>5.8045760605240797E-2</v>
      </c>
      <c r="Z13" s="142">
        <v>9.5653832377074893E-3</v>
      </c>
    </row>
    <row r="14" spans="1:26">
      <c r="A14" s="11">
        <v>382</v>
      </c>
      <c r="B14" s="11">
        <v>382</v>
      </c>
      <c r="C14" s="11" t="s">
        <v>49</v>
      </c>
      <c r="D14" s="11" t="s">
        <v>75</v>
      </c>
      <c r="E14" s="11" t="s">
        <v>76</v>
      </c>
      <c r="F14" s="11" t="s">
        <v>52</v>
      </c>
      <c r="G14" s="11" t="s">
        <v>30</v>
      </c>
      <c r="H14" s="11" t="s">
        <v>30</v>
      </c>
      <c r="I14" s="11" t="s">
        <v>44</v>
      </c>
      <c r="J14" s="11" t="s">
        <v>32</v>
      </c>
      <c r="K14" s="11" t="s">
        <v>33</v>
      </c>
      <c r="L14" s="3" t="s">
        <v>34</v>
      </c>
      <c r="M14" s="126">
        <v>5.0789999999999997</v>
      </c>
      <c r="N14" s="3" t="s">
        <v>77</v>
      </c>
      <c r="O14" s="137">
        <v>0.01</v>
      </c>
      <c r="P14" s="142">
        <v>4.2810000000000001E-2</v>
      </c>
      <c r="Q14" s="3"/>
      <c r="R14" s="126">
        <v>43000000</v>
      </c>
      <c r="S14" s="143">
        <v>1</v>
      </c>
      <c r="T14" s="145">
        <v>85.63</v>
      </c>
      <c r="U14" s="126">
        <v>36820.9</v>
      </c>
      <c r="V14" s="3"/>
      <c r="W14" s="11" t="s">
        <v>36</v>
      </c>
      <c r="X14" s="146">
        <v>1.139E-3</v>
      </c>
      <c r="Y14" s="142">
        <v>7.7734841119073098E-2</v>
      </c>
      <c r="Z14" s="142">
        <v>1.2809954395861601E-2</v>
      </c>
    </row>
    <row r="15" spans="1:26">
      <c r="A15" s="11">
        <v>382</v>
      </c>
      <c r="B15" s="11">
        <v>382</v>
      </c>
      <c r="C15" s="11" t="s">
        <v>49</v>
      </c>
      <c r="D15" s="11" t="s">
        <v>78</v>
      </c>
      <c r="E15" s="11" t="s">
        <v>79</v>
      </c>
      <c r="F15" s="11" t="s">
        <v>52</v>
      </c>
      <c r="G15" s="11" t="s">
        <v>30</v>
      </c>
      <c r="H15" s="11" t="s">
        <v>30</v>
      </c>
      <c r="I15" s="11" t="s">
        <v>44</v>
      </c>
      <c r="J15" s="11" t="s">
        <v>32</v>
      </c>
      <c r="K15" s="11" t="s">
        <v>33</v>
      </c>
      <c r="L15" s="3" t="s">
        <v>34</v>
      </c>
      <c r="M15" s="126">
        <v>6.9249999999999998</v>
      </c>
      <c r="N15" s="3" t="s">
        <v>80</v>
      </c>
      <c r="O15" s="137">
        <v>1.2999999999999999E-2</v>
      </c>
      <c r="P15" s="142">
        <v>4.3479999999999998E-2</v>
      </c>
      <c r="Q15" s="3"/>
      <c r="R15" s="126">
        <v>74500000</v>
      </c>
      <c r="S15" s="143">
        <v>1</v>
      </c>
      <c r="T15" s="145">
        <v>82.08</v>
      </c>
      <c r="U15" s="126">
        <v>61149.599999999999</v>
      </c>
      <c r="V15" s="3"/>
      <c r="W15" s="11" t="s">
        <v>36</v>
      </c>
      <c r="X15" s="146">
        <v>2.2920000000000002E-3</v>
      </c>
      <c r="Y15" s="142">
        <v>0.129096639150452</v>
      </c>
      <c r="Z15" s="142">
        <v>2.1273884867702299E-2</v>
      </c>
    </row>
    <row r="16" spans="1:26">
      <c r="A16" s="11">
        <v>382</v>
      </c>
      <c r="B16" s="11">
        <v>382</v>
      </c>
      <c r="C16" s="11" t="s">
        <v>81</v>
      </c>
      <c r="D16" s="11" t="s">
        <v>82</v>
      </c>
      <c r="E16" s="11" t="s">
        <v>83</v>
      </c>
      <c r="F16" s="11" t="s">
        <v>84</v>
      </c>
      <c r="G16" s="11" t="s">
        <v>85</v>
      </c>
      <c r="H16" s="11" t="s">
        <v>30</v>
      </c>
      <c r="I16" s="11" t="s">
        <v>86</v>
      </c>
      <c r="J16" s="11" t="s">
        <v>87</v>
      </c>
      <c r="K16" s="11" t="s">
        <v>88</v>
      </c>
      <c r="L16" s="3" t="s">
        <v>89</v>
      </c>
      <c r="M16" s="126">
        <v>7.1879999999999997</v>
      </c>
      <c r="N16" s="3" t="s">
        <v>90</v>
      </c>
      <c r="O16" s="137">
        <v>5.5E-2</v>
      </c>
      <c r="P16" s="142">
        <v>5.883E-2</v>
      </c>
      <c r="Q16" s="3"/>
      <c r="R16" s="126">
        <v>2730000</v>
      </c>
      <c r="S16" s="143">
        <v>3.6469999999999998</v>
      </c>
      <c r="T16" s="145">
        <v>99.123000000000005</v>
      </c>
      <c r="U16" s="126">
        <v>9869.0329999999994</v>
      </c>
      <c r="V16" s="3"/>
      <c r="W16" s="11" t="s">
        <v>36</v>
      </c>
      <c r="X16" s="146">
        <v>9.1E-4</v>
      </c>
      <c r="Y16" s="142">
        <v>2.0835115687220501E-2</v>
      </c>
      <c r="Z16" s="142">
        <v>3.4334267355993898E-3</v>
      </c>
    </row>
    <row r="17" spans="1:26">
      <c r="A17" s="11">
        <v>382</v>
      </c>
      <c r="B17" s="11">
        <v>382</v>
      </c>
      <c r="C17" s="11" t="s">
        <v>91</v>
      </c>
      <c r="D17" s="11" t="s">
        <v>92</v>
      </c>
      <c r="E17" s="11" t="s">
        <v>93</v>
      </c>
      <c r="F17" s="11" t="s">
        <v>84</v>
      </c>
      <c r="G17" s="11" t="s">
        <v>85</v>
      </c>
      <c r="H17" s="11" t="s">
        <v>94</v>
      </c>
      <c r="I17" s="11" t="s">
        <v>86</v>
      </c>
      <c r="J17" s="11" t="s">
        <v>95</v>
      </c>
      <c r="K17" s="11" t="s">
        <v>96</v>
      </c>
      <c r="L17" s="3" t="s">
        <v>89</v>
      </c>
      <c r="M17" s="126">
        <v>7.9470000000000001</v>
      </c>
      <c r="N17" s="3" t="s">
        <v>97</v>
      </c>
      <c r="O17" s="137">
        <v>3.875E-2</v>
      </c>
      <c r="P17" s="142">
        <v>4.5710000000000001E-2</v>
      </c>
      <c r="Q17" s="3"/>
      <c r="R17" s="126">
        <v>12400000</v>
      </c>
      <c r="S17" s="143">
        <v>3.6469999999999998</v>
      </c>
      <c r="T17" s="145">
        <v>96.085999999999999</v>
      </c>
      <c r="U17" s="126">
        <v>43452.61</v>
      </c>
      <c r="V17" s="3"/>
      <c r="W17" s="11" t="s">
        <v>36</v>
      </c>
      <c r="X17" s="146">
        <v>9.6000000000000002E-5</v>
      </c>
      <c r="Y17" s="142">
        <v>9.1735447430890599E-2</v>
      </c>
      <c r="Z17" s="142">
        <v>1.51171197002079E-2</v>
      </c>
    </row>
    <row r="18" spans="1:26">
      <c r="A18" s="11">
        <v>382</v>
      </c>
      <c r="B18" s="11">
        <v>1404</v>
      </c>
      <c r="C18" s="11" t="s">
        <v>26</v>
      </c>
      <c r="D18" s="11" t="s">
        <v>98</v>
      </c>
      <c r="E18" s="11" t="s">
        <v>99</v>
      </c>
      <c r="F18" s="11" t="s">
        <v>29</v>
      </c>
      <c r="G18" s="11" t="s">
        <v>30</v>
      </c>
      <c r="H18" s="11" t="s">
        <v>30</v>
      </c>
      <c r="I18" s="11" t="s">
        <v>31</v>
      </c>
      <c r="J18" s="11" t="s">
        <v>32</v>
      </c>
      <c r="K18" s="11" t="s">
        <v>33</v>
      </c>
      <c r="L18" s="3" t="s">
        <v>34</v>
      </c>
      <c r="M18" s="126">
        <v>0.17</v>
      </c>
      <c r="N18" s="3" t="s">
        <v>100</v>
      </c>
      <c r="O18" s="137">
        <v>0</v>
      </c>
      <c r="P18" s="142">
        <v>4.3360000000000003E-2</v>
      </c>
      <c r="Q18" s="3"/>
      <c r="R18" s="126">
        <v>430000</v>
      </c>
      <c r="S18" s="143">
        <v>1</v>
      </c>
      <c r="T18" s="145">
        <v>99.27</v>
      </c>
      <c r="U18" s="126">
        <v>426.86099999999999</v>
      </c>
      <c r="V18" s="3"/>
      <c r="W18" s="11" t="s">
        <v>36</v>
      </c>
      <c r="X18" s="146">
        <v>1.2E-5</v>
      </c>
      <c r="Y18" s="142">
        <v>1.9521881922983399E-2</v>
      </c>
      <c r="Z18" s="142">
        <v>1.5679750218363799E-2</v>
      </c>
    </row>
    <row r="19" spans="1:26">
      <c r="A19" s="11">
        <v>382</v>
      </c>
      <c r="B19" s="11">
        <v>1404</v>
      </c>
      <c r="C19" s="11" t="s">
        <v>26</v>
      </c>
      <c r="D19" s="11" t="s">
        <v>37</v>
      </c>
      <c r="E19" s="11" t="s">
        <v>38</v>
      </c>
      <c r="F19" s="11" t="s">
        <v>29</v>
      </c>
      <c r="G19" s="11" t="s">
        <v>30</v>
      </c>
      <c r="H19" s="11" t="s">
        <v>30</v>
      </c>
      <c r="I19" s="11" t="s">
        <v>31</v>
      </c>
      <c r="J19" s="11" t="s">
        <v>32</v>
      </c>
      <c r="K19" s="11" t="s">
        <v>33</v>
      </c>
      <c r="L19" s="3" t="s">
        <v>34</v>
      </c>
      <c r="M19" s="126">
        <v>0.34200000000000003</v>
      </c>
      <c r="N19" s="3" t="s">
        <v>39</v>
      </c>
      <c r="O19" s="137">
        <v>0</v>
      </c>
      <c r="P19" s="142">
        <v>4.2909999999999997E-2</v>
      </c>
      <c r="Q19" s="3"/>
      <c r="R19" s="126">
        <v>690000</v>
      </c>
      <c r="S19" s="143">
        <v>1</v>
      </c>
      <c r="T19" s="145">
        <v>98.56</v>
      </c>
      <c r="U19" s="126">
        <v>680.06399999999996</v>
      </c>
      <c r="V19" s="3"/>
      <c r="W19" s="11" t="s">
        <v>36</v>
      </c>
      <c r="X19" s="146">
        <v>4.8999999999999998E-5</v>
      </c>
      <c r="Y19" s="142">
        <v>3.1101761716511401E-2</v>
      </c>
      <c r="Z19" s="142">
        <v>2.49805760013245E-2</v>
      </c>
    </row>
    <row r="20" spans="1:26">
      <c r="A20" s="3">
        <v>382</v>
      </c>
      <c r="B20" s="3">
        <v>1404</v>
      </c>
      <c r="C20" s="3" t="s">
        <v>40</v>
      </c>
      <c r="D20" s="3" t="s">
        <v>41</v>
      </c>
      <c r="E20" s="3" t="s">
        <v>42</v>
      </c>
      <c r="F20" s="11" t="s">
        <v>43</v>
      </c>
      <c r="G20" s="11" t="s">
        <v>30</v>
      </c>
      <c r="H20" s="11" t="s">
        <v>30</v>
      </c>
      <c r="I20" s="11" t="s">
        <v>44</v>
      </c>
      <c r="J20" s="3" t="s">
        <v>32</v>
      </c>
      <c r="K20" s="11" t="s">
        <v>33</v>
      </c>
      <c r="L20" s="3" t="s">
        <v>34</v>
      </c>
      <c r="M20" s="126">
        <v>2.3860000000000001</v>
      </c>
      <c r="N20" s="3" t="s">
        <v>45</v>
      </c>
      <c r="O20" s="137">
        <v>7.4999999999999997E-3</v>
      </c>
      <c r="P20" s="142">
        <v>1.7919999999999998E-2</v>
      </c>
      <c r="Q20" s="3"/>
      <c r="R20" s="126">
        <v>2230000</v>
      </c>
      <c r="S20" s="143">
        <v>1</v>
      </c>
      <c r="T20" s="145">
        <v>114.17</v>
      </c>
      <c r="U20" s="126">
        <v>2545.991</v>
      </c>
      <c r="V20" s="3"/>
      <c r="W20" s="11" t="s">
        <v>36</v>
      </c>
      <c r="X20" s="146">
        <v>1E-4</v>
      </c>
      <c r="Y20" s="142">
        <v>0.11643728445320201</v>
      </c>
      <c r="Z20" s="142">
        <v>9.3521082830716001E-2</v>
      </c>
    </row>
    <row r="21" spans="1:26">
      <c r="A21" s="3">
        <v>382</v>
      </c>
      <c r="B21" s="3">
        <v>1404</v>
      </c>
      <c r="C21" s="3" t="s">
        <v>40</v>
      </c>
      <c r="D21" s="3" t="s">
        <v>101</v>
      </c>
      <c r="E21" s="3" t="s">
        <v>102</v>
      </c>
      <c r="F21" s="3" t="s">
        <v>43</v>
      </c>
      <c r="G21" s="3" t="s">
        <v>30</v>
      </c>
      <c r="H21" s="3" t="s">
        <v>30</v>
      </c>
      <c r="I21" s="3" t="s">
        <v>44</v>
      </c>
      <c r="J21" s="3" t="s">
        <v>32</v>
      </c>
      <c r="K21" s="3" t="s">
        <v>33</v>
      </c>
      <c r="L21" s="11" t="s">
        <v>34</v>
      </c>
      <c r="M21" s="126">
        <v>0.82699999999999996</v>
      </c>
      <c r="N21" s="3" t="s">
        <v>103</v>
      </c>
      <c r="O21" s="141">
        <v>7.4999999999999997E-3</v>
      </c>
      <c r="P21" s="142">
        <v>1.5730000000000001E-2</v>
      </c>
      <c r="Q21" s="3"/>
      <c r="R21" s="126">
        <v>280000</v>
      </c>
      <c r="S21" s="143">
        <v>1</v>
      </c>
      <c r="T21" s="145">
        <v>115.16</v>
      </c>
      <c r="U21" s="126">
        <v>322.44799999999998</v>
      </c>
      <c r="V21" s="3"/>
      <c r="W21" s="3" t="s">
        <v>36</v>
      </c>
      <c r="X21" s="142">
        <v>1.2999999999999999E-5</v>
      </c>
      <c r="Y21" s="142">
        <v>1.47467015780363E-2</v>
      </c>
      <c r="Z21" s="142">
        <v>1.1844380485476501E-2</v>
      </c>
    </row>
    <row r="22" spans="1:26">
      <c r="A22" s="3">
        <v>382</v>
      </c>
      <c r="B22" s="3">
        <v>1404</v>
      </c>
      <c r="C22" s="3" t="s">
        <v>40</v>
      </c>
      <c r="D22" s="3" t="s">
        <v>46</v>
      </c>
      <c r="E22" s="3" t="s">
        <v>47</v>
      </c>
      <c r="F22" s="3" t="s">
        <v>43</v>
      </c>
      <c r="G22" s="3" t="s">
        <v>30</v>
      </c>
      <c r="H22" s="3" t="s">
        <v>30</v>
      </c>
      <c r="I22" s="3" t="s">
        <v>44</v>
      </c>
      <c r="J22" s="3" t="s">
        <v>32</v>
      </c>
      <c r="K22" s="3" t="s">
        <v>33</v>
      </c>
      <c r="L22" s="11" t="s">
        <v>34</v>
      </c>
      <c r="M22" s="126">
        <v>6.89</v>
      </c>
      <c r="N22" s="3" t="s">
        <v>48</v>
      </c>
      <c r="O22" s="141">
        <v>1E-3</v>
      </c>
      <c r="P22" s="142">
        <v>1.8689999999999998E-2</v>
      </c>
      <c r="Q22" s="3"/>
      <c r="R22" s="126">
        <v>1478000</v>
      </c>
      <c r="S22" s="143">
        <v>1</v>
      </c>
      <c r="T22" s="145">
        <v>102.23</v>
      </c>
      <c r="U22" s="126">
        <v>1510.9590000000001</v>
      </c>
      <c r="V22" s="3"/>
      <c r="W22" s="3" t="s">
        <v>36</v>
      </c>
      <c r="X22" s="142">
        <v>4.8000000000000001E-5</v>
      </c>
      <c r="Y22" s="142">
        <v>6.9101583412918596E-2</v>
      </c>
      <c r="Z22" s="142">
        <v>5.5501594153808502E-2</v>
      </c>
    </row>
    <row r="23" spans="1:26">
      <c r="A23" s="3">
        <v>382</v>
      </c>
      <c r="B23" s="3">
        <v>1404</v>
      </c>
      <c r="C23" s="3" t="s">
        <v>49</v>
      </c>
      <c r="D23" s="3" t="s">
        <v>50</v>
      </c>
      <c r="E23" s="3" t="s">
        <v>51</v>
      </c>
      <c r="F23" s="3" t="s">
        <v>52</v>
      </c>
      <c r="G23" s="3" t="s">
        <v>30</v>
      </c>
      <c r="H23" s="3" t="s">
        <v>30</v>
      </c>
      <c r="I23" s="3" t="s">
        <v>44</v>
      </c>
      <c r="J23" s="3" t="s">
        <v>32</v>
      </c>
      <c r="K23" s="3" t="s">
        <v>33</v>
      </c>
      <c r="L23" s="11" t="s">
        <v>34</v>
      </c>
      <c r="M23" s="126">
        <v>3.6040000000000001</v>
      </c>
      <c r="N23" s="3" t="s">
        <v>53</v>
      </c>
      <c r="O23" s="141">
        <v>2.2499999999999999E-2</v>
      </c>
      <c r="P23" s="142">
        <v>4.2549999999999998E-2</v>
      </c>
      <c r="Q23" s="3"/>
      <c r="R23" s="126">
        <v>1727000</v>
      </c>
      <c r="S23" s="143">
        <v>1</v>
      </c>
      <c r="T23" s="145">
        <v>93.76</v>
      </c>
      <c r="U23" s="126">
        <v>1619.2349999999999</v>
      </c>
      <c r="V23" s="3"/>
      <c r="W23" s="3" t="s">
        <v>36</v>
      </c>
      <c r="X23" s="142">
        <v>5.0000000000000002E-5</v>
      </c>
      <c r="Y23" s="142">
        <v>7.4053423432776405E-2</v>
      </c>
      <c r="Z23" s="142">
        <v>5.9478854898391602E-2</v>
      </c>
    </row>
    <row r="24" spans="1:26">
      <c r="A24" s="3">
        <v>382</v>
      </c>
      <c r="B24" s="3">
        <v>1404</v>
      </c>
      <c r="C24" s="3" t="s">
        <v>49</v>
      </c>
      <c r="D24" s="3" t="s">
        <v>54</v>
      </c>
      <c r="E24" s="3" t="s">
        <v>55</v>
      </c>
      <c r="F24" s="3" t="s">
        <v>52</v>
      </c>
      <c r="G24" s="3" t="s">
        <v>30</v>
      </c>
      <c r="H24" s="3" t="s">
        <v>30</v>
      </c>
      <c r="I24" s="3" t="s">
        <v>44</v>
      </c>
      <c r="J24" s="3" t="s">
        <v>32</v>
      </c>
      <c r="K24" s="3" t="s">
        <v>33</v>
      </c>
      <c r="L24" s="11" t="s">
        <v>34</v>
      </c>
      <c r="M24" s="126">
        <v>1.1479999999999999</v>
      </c>
      <c r="N24" s="3" t="s">
        <v>56</v>
      </c>
      <c r="O24" s="141">
        <v>5.0000000000000001E-3</v>
      </c>
      <c r="P24" s="142">
        <v>4.206E-2</v>
      </c>
      <c r="Q24" s="3"/>
      <c r="R24" s="126">
        <v>3314000</v>
      </c>
      <c r="S24" s="143">
        <v>1</v>
      </c>
      <c r="T24" s="145">
        <v>96.32</v>
      </c>
      <c r="U24" s="126">
        <v>3192.0450000000001</v>
      </c>
      <c r="V24" s="3"/>
      <c r="W24" s="3" t="s">
        <v>36</v>
      </c>
      <c r="X24" s="142">
        <v>1.1900000000000001E-4</v>
      </c>
      <c r="Y24" s="142">
        <v>0.14598363794882399</v>
      </c>
      <c r="Z24" s="142">
        <v>0.11725237290318601</v>
      </c>
    </row>
    <row r="25" spans="1:26">
      <c r="A25" s="3">
        <v>382</v>
      </c>
      <c r="B25" s="3">
        <v>1404</v>
      </c>
      <c r="C25" s="3" t="s">
        <v>49</v>
      </c>
      <c r="D25" s="3" t="s">
        <v>57</v>
      </c>
      <c r="E25" s="3" t="s">
        <v>58</v>
      </c>
      <c r="F25" s="3" t="s">
        <v>52</v>
      </c>
      <c r="G25" s="3" t="s">
        <v>30</v>
      </c>
      <c r="H25" s="3" t="s">
        <v>30</v>
      </c>
      <c r="I25" s="3" t="s">
        <v>44</v>
      </c>
      <c r="J25" s="3" t="s">
        <v>32</v>
      </c>
      <c r="K25" s="3" t="s">
        <v>33</v>
      </c>
      <c r="L25" s="11" t="s">
        <v>34</v>
      </c>
      <c r="M25" s="126">
        <v>8.3070000000000004</v>
      </c>
      <c r="N25" s="3" t="s">
        <v>59</v>
      </c>
      <c r="O25" s="141">
        <v>0.04</v>
      </c>
      <c r="P25" s="142">
        <v>4.48E-2</v>
      </c>
      <c r="Q25" s="3"/>
      <c r="R25" s="126">
        <v>440000</v>
      </c>
      <c r="S25" s="143">
        <v>1</v>
      </c>
      <c r="T25" s="145">
        <v>99.13</v>
      </c>
      <c r="U25" s="126">
        <v>436.17200000000003</v>
      </c>
      <c r="V25" s="3"/>
      <c r="W25" s="3" t="s">
        <v>36</v>
      </c>
      <c r="X25" s="142">
        <v>1.9000000000000001E-5</v>
      </c>
      <c r="Y25" s="142">
        <v>1.9947707291393502E-2</v>
      </c>
      <c r="Z25" s="142">
        <v>1.60217682389447E-2</v>
      </c>
    </row>
    <row r="26" spans="1:26">
      <c r="A26" s="3">
        <v>382</v>
      </c>
      <c r="B26" s="3">
        <v>1404</v>
      </c>
      <c r="C26" s="3" t="s">
        <v>49</v>
      </c>
      <c r="D26" s="3" t="s">
        <v>63</v>
      </c>
      <c r="E26" s="3" t="s">
        <v>64</v>
      </c>
      <c r="F26" s="3" t="s">
        <v>52</v>
      </c>
      <c r="G26" s="3" t="s">
        <v>30</v>
      </c>
      <c r="H26" s="3" t="s">
        <v>30</v>
      </c>
      <c r="I26" s="3" t="s">
        <v>44</v>
      </c>
      <c r="J26" s="3" t="s">
        <v>32</v>
      </c>
      <c r="K26" s="3" t="s">
        <v>33</v>
      </c>
      <c r="L26" s="11" t="s">
        <v>34</v>
      </c>
      <c r="M26" s="126">
        <v>11.263999999999999</v>
      </c>
      <c r="N26" s="3" t="s">
        <v>65</v>
      </c>
      <c r="O26" s="141">
        <v>5.5E-2</v>
      </c>
      <c r="P26" s="142">
        <v>4.6489999999999997E-2</v>
      </c>
      <c r="Q26" s="3"/>
      <c r="R26" s="126">
        <v>180000</v>
      </c>
      <c r="S26" s="143">
        <v>1</v>
      </c>
      <c r="T26" s="145">
        <v>114.94</v>
      </c>
      <c r="U26" s="126">
        <v>206.892</v>
      </c>
      <c r="V26" s="3"/>
      <c r="W26" s="3" t="s">
        <v>36</v>
      </c>
      <c r="X26" s="142">
        <v>6.9999999999999999E-6</v>
      </c>
      <c r="Y26" s="142">
        <v>9.4619119451294E-3</v>
      </c>
      <c r="Z26" s="142">
        <v>7.5996984549483804E-3</v>
      </c>
    </row>
    <row r="27" spans="1:26">
      <c r="A27" s="3">
        <v>382</v>
      </c>
      <c r="B27" s="3">
        <v>1404</v>
      </c>
      <c r="C27" s="3" t="s">
        <v>40</v>
      </c>
      <c r="D27" s="3" t="s">
        <v>66</v>
      </c>
      <c r="E27" s="3" t="s">
        <v>67</v>
      </c>
      <c r="F27" s="3" t="s">
        <v>43</v>
      </c>
      <c r="G27" s="3" t="s">
        <v>30</v>
      </c>
      <c r="H27" s="3" t="s">
        <v>30</v>
      </c>
      <c r="I27" s="3" t="s">
        <v>44</v>
      </c>
      <c r="J27" s="3" t="s">
        <v>32</v>
      </c>
      <c r="K27" s="3" t="s">
        <v>33</v>
      </c>
      <c r="L27" s="3" t="s">
        <v>34</v>
      </c>
      <c r="M27" s="126">
        <v>4.3600000000000003</v>
      </c>
      <c r="N27" s="3" t="s">
        <v>68</v>
      </c>
      <c r="O27" s="141">
        <v>5.0000000000000001E-3</v>
      </c>
      <c r="P27" s="142">
        <v>1.7690000000000001E-2</v>
      </c>
      <c r="Q27" s="3"/>
      <c r="R27" s="126">
        <v>1237000</v>
      </c>
      <c r="S27" s="143">
        <v>1</v>
      </c>
      <c r="T27" s="145">
        <v>109.52</v>
      </c>
      <c r="U27" s="126">
        <v>1354.7619999999999</v>
      </c>
      <c r="V27" s="3"/>
      <c r="W27" s="3" t="s">
        <v>36</v>
      </c>
      <c r="X27" s="142">
        <v>4.5000000000000003E-5</v>
      </c>
      <c r="Y27" s="142">
        <v>6.1958135333276099E-2</v>
      </c>
      <c r="Z27" s="142">
        <v>4.9764059113460997E-2</v>
      </c>
    </row>
    <row r="28" spans="1:26">
      <c r="A28" s="3">
        <v>382</v>
      </c>
      <c r="B28" s="3">
        <v>1404</v>
      </c>
      <c r="C28" s="3" t="s">
        <v>40</v>
      </c>
      <c r="D28" s="3" t="s">
        <v>69</v>
      </c>
      <c r="E28" s="3" t="s">
        <v>70</v>
      </c>
      <c r="F28" s="3" t="s">
        <v>43</v>
      </c>
      <c r="G28" s="3" t="s">
        <v>30</v>
      </c>
      <c r="H28" s="3" t="s">
        <v>30</v>
      </c>
      <c r="I28" s="3" t="s">
        <v>44</v>
      </c>
      <c r="J28" s="3" t="s">
        <v>32</v>
      </c>
      <c r="K28" s="3" t="s">
        <v>33</v>
      </c>
      <c r="L28" s="3" t="s">
        <v>34</v>
      </c>
      <c r="M28" s="126">
        <v>1.5740000000000001</v>
      </c>
      <c r="N28" s="3" t="s">
        <v>71</v>
      </c>
      <c r="O28" s="141">
        <v>1E-3</v>
      </c>
      <c r="P28" s="142">
        <v>1.7819999999999999E-2</v>
      </c>
      <c r="Q28" s="3"/>
      <c r="R28" s="126">
        <v>2155000</v>
      </c>
      <c r="S28" s="143">
        <v>1</v>
      </c>
      <c r="T28" s="145">
        <v>112.4</v>
      </c>
      <c r="U28" s="126">
        <v>2422.2199999999998</v>
      </c>
      <c r="V28" s="3"/>
      <c r="W28" s="3" t="s">
        <v>36</v>
      </c>
      <c r="X28" s="142">
        <v>1.07E-4</v>
      </c>
      <c r="Y28" s="142">
        <v>0.110776793456157</v>
      </c>
      <c r="Z28" s="142">
        <v>8.8974641801254195E-2</v>
      </c>
    </row>
    <row r="29" spans="1:26">
      <c r="A29" s="3">
        <v>382</v>
      </c>
      <c r="B29" s="3">
        <v>1404</v>
      </c>
      <c r="C29" s="3" t="s">
        <v>40</v>
      </c>
      <c r="D29" s="3" t="s">
        <v>72</v>
      </c>
      <c r="E29" s="3" t="s">
        <v>73</v>
      </c>
      <c r="F29" s="3" t="s">
        <v>43</v>
      </c>
      <c r="G29" s="3" t="s">
        <v>30</v>
      </c>
      <c r="H29" s="3" t="s">
        <v>30</v>
      </c>
      <c r="I29" s="3" t="s">
        <v>44</v>
      </c>
      <c r="J29" s="3" t="s">
        <v>32</v>
      </c>
      <c r="K29" s="3" t="s">
        <v>33</v>
      </c>
      <c r="L29" s="3" t="s">
        <v>34</v>
      </c>
      <c r="M29" s="126">
        <v>3.7639999999999998</v>
      </c>
      <c r="N29" s="3" t="s">
        <v>74</v>
      </c>
      <c r="O29" s="141">
        <v>1.0999999999999999E-2</v>
      </c>
      <c r="P29" s="142">
        <v>1.7909999999999999E-2</v>
      </c>
      <c r="Q29" s="3"/>
      <c r="R29" s="126">
        <v>1880000</v>
      </c>
      <c r="S29" s="143">
        <v>1</v>
      </c>
      <c r="T29" s="145">
        <v>101.87</v>
      </c>
      <c r="U29" s="126">
        <v>1915.1559999999999</v>
      </c>
      <c r="V29" s="3"/>
      <c r="W29" s="3" t="s">
        <v>36</v>
      </c>
      <c r="X29" s="142">
        <v>7.6000000000000004E-5</v>
      </c>
      <c r="Y29" s="142">
        <v>8.7586941173105906E-2</v>
      </c>
      <c r="Z29" s="142">
        <v>7.0348820129271003E-2</v>
      </c>
    </row>
    <row r="30" spans="1:26">
      <c r="A30" s="3">
        <v>382</v>
      </c>
      <c r="B30" s="3">
        <v>1404</v>
      </c>
      <c r="C30" s="3" t="s">
        <v>49</v>
      </c>
      <c r="D30" s="3" t="s">
        <v>75</v>
      </c>
      <c r="E30" s="3" t="s">
        <v>76</v>
      </c>
      <c r="F30" s="3" t="s">
        <v>52</v>
      </c>
      <c r="G30" s="3" t="s">
        <v>30</v>
      </c>
      <c r="H30" s="3" t="s">
        <v>30</v>
      </c>
      <c r="I30" s="3" t="s">
        <v>44</v>
      </c>
      <c r="J30" s="3" t="s">
        <v>32</v>
      </c>
      <c r="K30" s="3" t="s">
        <v>33</v>
      </c>
      <c r="L30" s="3" t="s">
        <v>34</v>
      </c>
      <c r="M30" s="126">
        <v>5.0789999999999997</v>
      </c>
      <c r="N30" s="3" t="s">
        <v>77</v>
      </c>
      <c r="O30" s="141">
        <v>0.01</v>
      </c>
      <c r="P30" s="142">
        <v>4.2810000000000001E-2</v>
      </c>
      <c r="Q30" s="3"/>
      <c r="R30" s="126">
        <v>1980000</v>
      </c>
      <c r="S30" s="143">
        <v>1</v>
      </c>
      <c r="T30" s="145">
        <v>85.63</v>
      </c>
      <c r="U30" s="126">
        <v>1695.4739999999999</v>
      </c>
      <c r="V30" s="3"/>
      <c r="W30" s="3" t="s">
        <v>36</v>
      </c>
      <c r="X30" s="142">
        <v>5.1999999999999997E-5</v>
      </c>
      <c r="Y30" s="142">
        <v>7.7540096732867006E-2</v>
      </c>
      <c r="Z30" s="142">
        <v>6.22793106461592E-2</v>
      </c>
    </row>
    <row r="31" spans="1:26">
      <c r="A31" s="3">
        <v>382</v>
      </c>
      <c r="B31" s="3">
        <v>1404</v>
      </c>
      <c r="C31" s="3" t="s">
        <v>49</v>
      </c>
      <c r="D31" s="3" t="s">
        <v>78</v>
      </c>
      <c r="E31" s="3" t="s">
        <v>79</v>
      </c>
      <c r="F31" s="3" t="s">
        <v>52</v>
      </c>
      <c r="G31" s="3" t="s">
        <v>30</v>
      </c>
      <c r="H31" s="3" t="s">
        <v>30</v>
      </c>
      <c r="I31" s="3" t="s">
        <v>44</v>
      </c>
      <c r="J31" s="3" t="s">
        <v>32</v>
      </c>
      <c r="K31" s="3" t="s">
        <v>33</v>
      </c>
      <c r="L31" s="3" t="s">
        <v>34</v>
      </c>
      <c r="M31" s="126">
        <v>6.9249999999999998</v>
      </c>
      <c r="N31" s="3" t="s">
        <v>80</v>
      </c>
      <c r="O31" s="141">
        <v>1.2999999999999999E-2</v>
      </c>
      <c r="P31" s="142">
        <v>4.3479999999999998E-2</v>
      </c>
      <c r="Q31" s="3"/>
      <c r="R31" s="126">
        <v>3625000</v>
      </c>
      <c r="S31" s="143">
        <v>1</v>
      </c>
      <c r="T31" s="145">
        <v>82.08</v>
      </c>
      <c r="U31" s="126">
        <v>2975.4</v>
      </c>
      <c r="V31" s="3"/>
      <c r="W31" s="3" t="s">
        <v>36</v>
      </c>
      <c r="X31" s="142">
        <v>1.12E-4</v>
      </c>
      <c r="Y31" s="142">
        <v>0.13607569553940199</v>
      </c>
      <c r="Z31" s="142">
        <v>0.109294427927873</v>
      </c>
    </row>
    <row r="32" spans="1:26">
      <c r="A32" s="3">
        <v>382</v>
      </c>
      <c r="B32" s="3">
        <v>1404</v>
      </c>
      <c r="C32" s="3" t="s">
        <v>91</v>
      </c>
      <c r="D32" s="3" t="s">
        <v>104</v>
      </c>
      <c r="E32" s="3" t="s">
        <v>105</v>
      </c>
      <c r="F32" s="3" t="s">
        <v>84</v>
      </c>
      <c r="G32" s="3" t="s">
        <v>85</v>
      </c>
      <c r="H32" s="3"/>
      <c r="I32" s="3" t="s">
        <v>86</v>
      </c>
      <c r="J32" s="3" t="s">
        <v>95</v>
      </c>
      <c r="K32" s="3" t="s">
        <v>96</v>
      </c>
      <c r="L32" s="3" t="s">
        <v>89</v>
      </c>
      <c r="M32" s="126">
        <v>4.92</v>
      </c>
      <c r="N32" s="3" t="s">
        <v>106</v>
      </c>
      <c r="O32" s="141">
        <v>3.7499999999999999E-2</v>
      </c>
      <c r="P32" s="142">
        <v>4.4179999999999997E-2</v>
      </c>
      <c r="Q32" s="3"/>
      <c r="R32" s="126">
        <v>80000</v>
      </c>
      <c r="S32" s="143">
        <v>3.6469999999999998</v>
      </c>
      <c r="T32" s="145">
        <v>97.17</v>
      </c>
      <c r="U32" s="126">
        <v>283.50400000000002</v>
      </c>
      <c r="V32" s="3"/>
      <c r="W32" s="3" t="s">
        <v>36</v>
      </c>
      <c r="X32" s="142">
        <v>1.9999999999999999E-6</v>
      </c>
      <c r="Y32" s="142">
        <v>1.2965649422818099E-2</v>
      </c>
      <c r="Z32" s="142">
        <v>1.041385995319E-2</v>
      </c>
    </row>
    <row r="33" spans="1:26">
      <c r="A33" s="3">
        <v>382</v>
      </c>
      <c r="B33" s="3">
        <v>1404</v>
      </c>
      <c r="C33" s="3" t="s">
        <v>91</v>
      </c>
      <c r="D33" s="3" t="s">
        <v>92</v>
      </c>
      <c r="E33" s="3" t="s">
        <v>93</v>
      </c>
      <c r="F33" s="3" t="s">
        <v>84</v>
      </c>
      <c r="G33" s="3" t="s">
        <v>85</v>
      </c>
      <c r="H33" s="3" t="s">
        <v>94</v>
      </c>
      <c r="I33" s="3" t="s">
        <v>86</v>
      </c>
      <c r="J33" s="3" t="s">
        <v>95</v>
      </c>
      <c r="K33" s="3" t="s">
        <v>96</v>
      </c>
      <c r="L33" s="3" t="s">
        <v>89</v>
      </c>
      <c r="M33" s="126">
        <v>7.9470000000000001</v>
      </c>
      <c r="N33" s="3" t="s">
        <v>97</v>
      </c>
      <c r="O33" s="141">
        <v>3.875E-2</v>
      </c>
      <c r="P33" s="142">
        <v>4.5710000000000001E-2</v>
      </c>
      <c r="Q33" s="3"/>
      <c r="R33" s="126">
        <v>79500</v>
      </c>
      <c r="S33" s="143">
        <v>3.6469999999999998</v>
      </c>
      <c r="T33" s="145">
        <v>96.085999999999999</v>
      </c>
      <c r="U33" s="126">
        <v>278.58699999999999</v>
      </c>
      <c r="V33" s="3"/>
      <c r="W33" s="3" t="s">
        <v>36</v>
      </c>
      <c r="X33" s="142">
        <v>9.9999999999999995E-7</v>
      </c>
      <c r="Y33" s="142">
        <v>1.2740794640597601E-2</v>
      </c>
      <c r="Z33" s="142">
        <v>1.02332591876218E-2</v>
      </c>
    </row>
    <row r="34" spans="1:26">
      <c r="A34" s="3">
        <v>382</v>
      </c>
      <c r="B34" s="3">
        <v>7635</v>
      </c>
      <c r="C34" s="3" t="s">
        <v>26</v>
      </c>
      <c r="D34" s="3" t="s">
        <v>107</v>
      </c>
      <c r="E34" s="3" t="s">
        <v>108</v>
      </c>
      <c r="F34" s="3" t="s">
        <v>29</v>
      </c>
      <c r="G34" s="3" t="s">
        <v>30</v>
      </c>
      <c r="H34" s="3" t="s">
        <v>30</v>
      </c>
      <c r="I34" s="3" t="s">
        <v>31</v>
      </c>
      <c r="J34" s="3" t="s">
        <v>32</v>
      </c>
      <c r="K34" s="3" t="s">
        <v>33</v>
      </c>
      <c r="L34" s="3" t="s">
        <v>34</v>
      </c>
      <c r="M34" s="126">
        <v>0.247</v>
      </c>
      <c r="N34" s="3" t="s">
        <v>109</v>
      </c>
      <c r="O34" s="141">
        <v>0</v>
      </c>
      <c r="P34" s="142">
        <v>4.24E-2</v>
      </c>
      <c r="Q34" s="3"/>
      <c r="R34" s="126">
        <v>190000</v>
      </c>
      <c r="S34" s="143">
        <v>1</v>
      </c>
      <c r="T34" s="145">
        <v>98.97</v>
      </c>
      <c r="U34" s="126">
        <v>188.04300000000001</v>
      </c>
      <c r="V34" s="3"/>
      <c r="W34" s="3" t="s">
        <v>36</v>
      </c>
      <c r="X34" s="142">
        <v>1.5999999999999999E-5</v>
      </c>
      <c r="Y34" s="142">
        <v>2.7242022190677301E-2</v>
      </c>
      <c r="Z34" s="142">
        <v>1.02174528680957E-2</v>
      </c>
    </row>
    <row r="35" spans="1:26">
      <c r="A35" s="3">
        <v>382</v>
      </c>
      <c r="B35" s="3">
        <v>7635</v>
      </c>
      <c r="C35" s="3" t="s">
        <v>26</v>
      </c>
      <c r="D35" s="3" t="s">
        <v>37</v>
      </c>
      <c r="E35" s="3" t="s">
        <v>38</v>
      </c>
      <c r="F35" s="3" t="s">
        <v>29</v>
      </c>
      <c r="G35" s="3" t="s">
        <v>30</v>
      </c>
      <c r="H35" s="3" t="s">
        <v>30</v>
      </c>
      <c r="I35" s="3" t="s">
        <v>31</v>
      </c>
      <c r="J35" s="3" t="s">
        <v>32</v>
      </c>
      <c r="K35" s="3" t="s">
        <v>33</v>
      </c>
      <c r="L35" s="3" t="s">
        <v>34</v>
      </c>
      <c r="M35" s="126">
        <v>0.34200000000000003</v>
      </c>
      <c r="N35" s="3" t="s">
        <v>39</v>
      </c>
      <c r="O35" s="141">
        <v>0</v>
      </c>
      <c r="P35" s="142">
        <v>4.2909999999999997E-2</v>
      </c>
      <c r="Q35" s="3"/>
      <c r="R35" s="126">
        <v>280000</v>
      </c>
      <c r="S35" s="143">
        <v>1</v>
      </c>
      <c r="T35" s="145">
        <v>98.56</v>
      </c>
      <c r="U35" s="126">
        <v>275.96800000000002</v>
      </c>
      <c r="V35" s="3"/>
      <c r="W35" s="3" t="s">
        <v>36</v>
      </c>
      <c r="X35" s="142">
        <v>2.0000000000000002E-5</v>
      </c>
      <c r="Y35" s="142">
        <v>3.99798257840858E-2</v>
      </c>
      <c r="Z35" s="142">
        <v>1.49949215504041E-2</v>
      </c>
    </row>
    <row r="36" spans="1:26">
      <c r="A36" s="3">
        <v>382</v>
      </c>
      <c r="B36" s="3">
        <v>7635</v>
      </c>
      <c r="C36" s="3" t="s">
        <v>26</v>
      </c>
      <c r="D36" s="3" t="s">
        <v>110</v>
      </c>
      <c r="E36" s="3" t="s">
        <v>111</v>
      </c>
      <c r="F36" s="3" t="s">
        <v>29</v>
      </c>
      <c r="G36" s="3" t="s">
        <v>30</v>
      </c>
      <c r="H36" s="3" t="s">
        <v>30</v>
      </c>
      <c r="I36" s="3" t="s">
        <v>31</v>
      </c>
      <c r="J36" s="3" t="s">
        <v>32</v>
      </c>
      <c r="K36" s="3" t="s">
        <v>33</v>
      </c>
      <c r="L36" s="3" t="s">
        <v>34</v>
      </c>
      <c r="M36" s="126">
        <v>0.41899999999999998</v>
      </c>
      <c r="N36" s="3" t="s">
        <v>112</v>
      </c>
      <c r="O36" s="141">
        <v>0</v>
      </c>
      <c r="P36" s="142">
        <v>4.2729999999999997E-2</v>
      </c>
      <c r="Q36" s="3"/>
      <c r="R36" s="126">
        <v>520000</v>
      </c>
      <c r="S36" s="143">
        <v>1</v>
      </c>
      <c r="T36" s="145">
        <v>98.25</v>
      </c>
      <c r="U36" s="126">
        <v>510.9</v>
      </c>
      <c r="V36" s="3"/>
      <c r="W36" s="3" t="s">
        <v>36</v>
      </c>
      <c r="X36" s="142">
        <v>4.3000000000000002E-5</v>
      </c>
      <c r="Y36" s="142">
        <v>7.40147154492167E-2</v>
      </c>
      <c r="Z36" s="142">
        <v>2.77601222609196E-2</v>
      </c>
    </row>
    <row r="37" spans="1:26">
      <c r="A37" s="3">
        <v>382</v>
      </c>
      <c r="B37" s="3">
        <v>7635</v>
      </c>
      <c r="C37" s="3" t="s">
        <v>40</v>
      </c>
      <c r="D37" s="3" t="s">
        <v>41</v>
      </c>
      <c r="E37" s="3" t="s">
        <v>42</v>
      </c>
      <c r="F37" s="3" t="s">
        <v>43</v>
      </c>
      <c r="G37" s="3" t="s">
        <v>30</v>
      </c>
      <c r="H37" s="3" t="s">
        <v>30</v>
      </c>
      <c r="I37" s="3" t="s">
        <v>44</v>
      </c>
      <c r="J37" s="3" t="s">
        <v>32</v>
      </c>
      <c r="K37" s="3" t="s">
        <v>33</v>
      </c>
      <c r="L37" s="3" t="s">
        <v>34</v>
      </c>
      <c r="M37" s="126">
        <v>2.3860000000000001</v>
      </c>
      <c r="N37" s="3" t="s">
        <v>45</v>
      </c>
      <c r="O37" s="141">
        <v>7.4999999999999997E-3</v>
      </c>
      <c r="P37" s="142">
        <v>1.7919999999999998E-2</v>
      </c>
      <c r="Q37" s="3"/>
      <c r="R37" s="126">
        <v>680000</v>
      </c>
      <c r="S37" s="143">
        <v>1</v>
      </c>
      <c r="T37" s="145">
        <v>114.17</v>
      </c>
      <c r="U37" s="126">
        <v>776.35599999999999</v>
      </c>
      <c r="V37" s="3"/>
      <c r="W37" s="3" t="s">
        <v>36</v>
      </c>
      <c r="X37" s="142">
        <v>3.1000000000000001E-5</v>
      </c>
      <c r="Y37" s="142">
        <v>0.11247165478037199</v>
      </c>
      <c r="Z37" s="142">
        <v>4.2183866662749002E-2</v>
      </c>
    </row>
    <row r="38" spans="1:26">
      <c r="A38" s="3">
        <v>382</v>
      </c>
      <c r="B38" s="3">
        <v>7635</v>
      </c>
      <c r="C38" s="3" t="s">
        <v>40</v>
      </c>
      <c r="D38" s="3" t="s">
        <v>101</v>
      </c>
      <c r="E38" s="3" t="s">
        <v>102</v>
      </c>
      <c r="F38" s="3" t="s">
        <v>43</v>
      </c>
      <c r="G38" s="3" t="s">
        <v>30</v>
      </c>
      <c r="H38" s="3" t="s">
        <v>30</v>
      </c>
      <c r="I38" s="3" t="s">
        <v>44</v>
      </c>
      <c r="J38" s="3" t="s">
        <v>32</v>
      </c>
      <c r="K38" s="3" t="s">
        <v>33</v>
      </c>
      <c r="L38" s="3" t="s">
        <v>34</v>
      </c>
      <c r="M38" s="126">
        <v>0.82699999999999996</v>
      </c>
      <c r="N38" s="3" t="s">
        <v>103</v>
      </c>
      <c r="O38" s="141">
        <v>7.4999999999999997E-3</v>
      </c>
      <c r="P38" s="142">
        <v>1.5730000000000001E-2</v>
      </c>
      <c r="Q38" s="3"/>
      <c r="R38" s="126">
        <v>35000</v>
      </c>
      <c r="S38" s="143">
        <v>1</v>
      </c>
      <c r="T38" s="145">
        <v>115.16</v>
      </c>
      <c r="U38" s="126">
        <v>40.305999999999997</v>
      </c>
      <c r="V38" s="3"/>
      <c r="W38" s="3" t="s">
        <v>36</v>
      </c>
      <c r="X38" s="142">
        <v>1.9999999999999999E-6</v>
      </c>
      <c r="Y38" s="142">
        <v>5.8391801152791701E-3</v>
      </c>
      <c r="Z38" s="142">
        <v>2.1900557601264902E-3</v>
      </c>
    </row>
    <row r="39" spans="1:26">
      <c r="A39" s="3">
        <v>382</v>
      </c>
      <c r="B39" s="3">
        <v>7635</v>
      </c>
      <c r="C39" s="3" t="s">
        <v>40</v>
      </c>
      <c r="D39" s="3" t="s">
        <v>46</v>
      </c>
      <c r="E39" s="3" t="s">
        <v>47</v>
      </c>
      <c r="F39" s="3" t="s">
        <v>43</v>
      </c>
      <c r="G39" s="3" t="s">
        <v>30</v>
      </c>
      <c r="H39" s="3" t="s">
        <v>30</v>
      </c>
      <c r="I39" s="3" t="s">
        <v>44</v>
      </c>
      <c r="J39" s="3" t="s">
        <v>32</v>
      </c>
      <c r="K39" s="3" t="s">
        <v>33</v>
      </c>
      <c r="L39" s="3" t="s">
        <v>34</v>
      </c>
      <c r="M39" s="126">
        <v>6.89</v>
      </c>
      <c r="N39" s="3" t="s">
        <v>48</v>
      </c>
      <c r="O39" s="141">
        <v>1E-3</v>
      </c>
      <c r="P39" s="142">
        <v>1.8689999999999998E-2</v>
      </c>
      <c r="Q39" s="3"/>
      <c r="R39" s="126">
        <v>379000</v>
      </c>
      <c r="S39" s="143">
        <v>1</v>
      </c>
      <c r="T39" s="145">
        <v>102.23</v>
      </c>
      <c r="U39" s="126">
        <v>387.452</v>
      </c>
      <c r="V39" s="3"/>
      <c r="W39" s="3" t="s">
        <v>36</v>
      </c>
      <c r="X39" s="142">
        <v>1.2E-5</v>
      </c>
      <c r="Y39" s="142">
        <v>5.6130607410090599E-2</v>
      </c>
      <c r="Z39" s="142">
        <v>2.1052469293797501E-2</v>
      </c>
    </row>
    <row r="40" spans="1:26">
      <c r="A40" s="3">
        <v>382</v>
      </c>
      <c r="B40" s="3">
        <v>7635</v>
      </c>
      <c r="C40" s="3" t="s">
        <v>49</v>
      </c>
      <c r="D40" s="3" t="s">
        <v>50</v>
      </c>
      <c r="E40" s="3" t="s">
        <v>51</v>
      </c>
      <c r="F40" s="3" t="s">
        <v>52</v>
      </c>
      <c r="G40" s="3" t="s">
        <v>30</v>
      </c>
      <c r="H40" s="3" t="s">
        <v>30</v>
      </c>
      <c r="I40" s="3" t="s">
        <v>44</v>
      </c>
      <c r="J40" s="3" t="s">
        <v>32</v>
      </c>
      <c r="K40" s="3" t="s">
        <v>33</v>
      </c>
      <c r="L40" s="3" t="s">
        <v>34</v>
      </c>
      <c r="M40" s="126">
        <v>3.6040000000000001</v>
      </c>
      <c r="N40" s="3" t="s">
        <v>53</v>
      </c>
      <c r="O40" s="141">
        <v>2.2499999999999999E-2</v>
      </c>
      <c r="P40" s="142">
        <v>4.2549999999999998E-2</v>
      </c>
      <c r="Q40" s="3"/>
      <c r="R40" s="126">
        <v>661000</v>
      </c>
      <c r="S40" s="143">
        <v>1</v>
      </c>
      <c r="T40" s="145">
        <v>93.76</v>
      </c>
      <c r="U40" s="126">
        <v>619.75400000000002</v>
      </c>
      <c r="V40" s="3"/>
      <c r="W40" s="3" t="s">
        <v>36</v>
      </c>
      <c r="X40" s="142">
        <v>1.9000000000000001E-5</v>
      </c>
      <c r="Y40" s="142">
        <v>8.9784471232389196E-2</v>
      </c>
      <c r="Z40" s="142">
        <v>3.3674761612145297E-2</v>
      </c>
    </row>
    <row r="41" spans="1:26">
      <c r="A41" s="3">
        <v>382</v>
      </c>
      <c r="B41" s="3">
        <v>7635</v>
      </c>
      <c r="C41" s="3" t="s">
        <v>49</v>
      </c>
      <c r="D41" s="3" t="s">
        <v>54</v>
      </c>
      <c r="E41" s="3" t="s">
        <v>55</v>
      </c>
      <c r="F41" s="3" t="s">
        <v>52</v>
      </c>
      <c r="G41" s="3" t="s">
        <v>30</v>
      </c>
      <c r="H41" s="3" t="s">
        <v>30</v>
      </c>
      <c r="I41" s="3" t="s">
        <v>44</v>
      </c>
      <c r="J41" s="3" t="s">
        <v>32</v>
      </c>
      <c r="K41" s="3" t="s">
        <v>33</v>
      </c>
      <c r="L41" s="3" t="s">
        <v>34</v>
      </c>
      <c r="M41" s="126">
        <v>1.1479999999999999</v>
      </c>
      <c r="N41" s="3" t="s">
        <v>56</v>
      </c>
      <c r="O41" s="141">
        <v>5.0000000000000001E-3</v>
      </c>
      <c r="P41" s="142">
        <v>4.206E-2</v>
      </c>
      <c r="Q41" s="3"/>
      <c r="R41" s="126">
        <v>527000</v>
      </c>
      <c r="S41" s="143">
        <v>1</v>
      </c>
      <c r="T41" s="145">
        <v>96.32</v>
      </c>
      <c r="U41" s="126">
        <v>507.60599999999999</v>
      </c>
      <c r="V41" s="3"/>
      <c r="W41" s="3" t="s">
        <v>36</v>
      </c>
      <c r="X41" s="142">
        <v>1.9000000000000001E-5</v>
      </c>
      <c r="Y41" s="142">
        <v>7.3537567540029894E-2</v>
      </c>
      <c r="Z41" s="142">
        <v>2.7581162114748901E-2</v>
      </c>
    </row>
    <row r="42" spans="1:26">
      <c r="A42" s="3">
        <v>382</v>
      </c>
      <c r="B42" s="3">
        <v>7635</v>
      </c>
      <c r="C42" s="3" t="s">
        <v>49</v>
      </c>
      <c r="D42" s="3" t="s">
        <v>57</v>
      </c>
      <c r="E42" s="3" t="s">
        <v>58</v>
      </c>
      <c r="F42" s="3" t="s">
        <v>52</v>
      </c>
      <c r="G42" s="3" t="s">
        <v>30</v>
      </c>
      <c r="H42" s="3" t="s">
        <v>30</v>
      </c>
      <c r="I42" s="3" t="s">
        <v>44</v>
      </c>
      <c r="J42" s="3" t="s">
        <v>32</v>
      </c>
      <c r="K42" s="3" t="s">
        <v>33</v>
      </c>
      <c r="L42" s="3" t="s">
        <v>34</v>
      </c>
      <c r="M42" s="126">
        <v>8.3070000000000004</v>
      </c>
      <c r="N42" s="3" t="s">
        <v>59</v>
      </c>
      <c r="O42" s="141">
        <v>0.04</v>
      </c>
      <c r="P42" s="142">
        <v>4.48E-2</v>
      </c>
      <c r="Q42" s="3"/>
      <c r="R42" s="126">
        <v>44000</v>
      </c>
      <c r="S42" s="143">
        <v>1</v>
      </c>
      <c r="T42" s="145">
        <v>99.13</v>
      </c>
      <c r="U42" s="126">
        <v>43.616999999999997</v>
      </c>
      <c r="V42" s="3"/>
      <c r="W42" s="3" t="s">
        <v>36</v>
      </c>
      <c r="X42" s="142">
        <v>1.9999999999999999E-6</v>
      </c>
      <c r="Y42" s="142">
        <v>6.3188777582532203E-3</v>
      </c>
      <c r="Z42" s="142">
        <v>2.3699722150694498E-3</v>
      </c>
    </row>
    <row r="43" spans="1:26">
      <c r="A43" s="3">
        <v>382</v>
      </c>
      <c r="B43" s="3">
        <v>7635</v>
      </c>
      <c r="C43" s="3" t="s">
        <v>49</v>
      </c>
      <c r="D43" s="3" t="s">
        <v>60</v>
      </c>
      <c r="E43" s="3" t="s">
        <v>61</v>
      </c>
      <c r="F43" s="3" t="s">
        <v>52</v>
      </c>
      <c r="G43" s="3" t="s">
        <v>30</v>
      </c>
      <c r="H43" s="3" t="s">
        <v>30</v>
      </c>
      <c r="I43" s="3" t="s">
        <v>44</v>
      </c>
      <c r="J43" s="3" t="s">
        <v>32</v>
      </c>
      <c r="K43" s="3" t="s">
        <v>33</v>
      </c>
      <c r="L43" s="3" t="s">
        <v>34</v>
      </c>
      <c r="M43" s="126">
        <v>14.43</v>
      </c>
      <c r="N43" s="3" t="s">
        <v>62</v>
      </c>
      <c r="O43" s="141">
        <v>3.7499999999999999E-2</v>
      </c>
      <c r="P43" s="142">
        <v>4.7570000000000001E-2</v>
      </c>
      <c r="Q43" s="3"/>
      <c r="R43" s="126">
        <v>113300</v>
      </c>
      <c r="S43" s="143">
        <v>1</v>
      </c>
      <c r="T43" s="145">
        <v>89.17</v>
      </c>
      <c r="U43" s="126">
        <v>101.03</v>
      </c>
      <c r="V43" s="3"/>
      <c r="W43" s="3" t="s">
        <v>36</v>
      </c>
      <c r="X43" s="142">
        <v>3.9999999999999998E-6</v>
      </c>
      <c r="Y43" s="142">
        <v>1.46362846664618E-2</v>
      </c>
      <c r="Z43" s="142">
        <v>5.48951717669411E-3</v>
      </c>
    </row>
    <row r="44" spans="1:26">
      <c r="A44" s="3">
        <v>382</v>
      </c>
      <c r="B44" s="3">
        <v>7635</v>
      </c>
      <c r="C44" s="3" t="s">
        <v>49</v>
      </c>
      <c r="D44" s="3" t="s">
        <v>63</v>
      </c>
      <c r="E44" s="3" t="s">
        <v>64</v>
      </c>
      <c r="F44" s="3" t="s">
        <v>52</v>
      </c>
      <c r="G44" s="3" t="s">
        <v>30</v>
      </c>
      <c r="H44" s="3" t="s">
        <v>30</v>
      </c>
      <c r="I44" s="3" t="s">
        <v>44</v>
      </c>
      <c r="J44" s="3" t="s">
        <v>32</v>
      </c>
      <c r="K44" s="3" t="s">
        <v>33</v>
      </c>
      <c r="L44" s="3" t="s">
        <v>34</v>
      </c>
      <c r="M44" s="126">
        <v>11.263999999999999</v>
      </c>
      <c r="N44" s="3" t="s">
        <v>65</v>
      </c>
      <c r="O44" s="141">
        <v>5.5E-2</v>
      </c>
      <c r="P44" s="142">
        <v>4.6489999999999997E-2</v>
      </c>
      <c r="Q44" s="3"/>
      <c r="R44" s="126">
        <v>143000</v>
      </c>
      <c r="S44" s="143">
        <v>1</v>
      </c>
      <c r="T44" s="145">
        <v>114.94</v>
      </c>
      <c r="U44" s="126">
        <v>164.364</v>
      </c>
      <c r="V44" s="3"/>
      <c r="W44" s="3" t="s">
        <v>36</v>
      </c>
      <c r="X44" s="142">
        <v>6.0000000000000002E-6</v>
      </c>
      <c r="Y44" s="142">
        <v>2.3811645122407799E-2</v>
      </c>
      <c r="Z44" s="142">
        <v>8.9308480863539499E-3</v>
      </c>
    </row>
    <row r="45" spans="1:26">
      <c r="A45" s="3">
        <v>382</v>
      </c>
      <c r="B45" s="3">
        <v>7635</v>
      </c>
      <c r="C45" s="3" t="s">
        <v>40</v>
      </c>
      <c r="D45" s="3" t="s">
        <v>66</v>
      </c>
      <c r="E45" s="3" t="s">
        <v>67</v>
      </c>
      <c r="F45" s="3" t="s">
        <v>43</v>
      </c>
      <c r="G45" s="3" t="s">
        <v>30</v>
      </c>
      <c r="H45" s="3" t="s">
        <v>30</v>
      </c>
      <c r="I45" s="3" t="s">
        <v>44</v>
      </c>
      <c r="J45" s="3" t="s">
        <v>32</v>
      </c>
      <c r="K45" s="3" t="s">
        <v>33</v>
      </c>
      <c r="L45" s="3" t="s">
        <v>34</v>
      </c>
      <c r="M45" s="126">
        <v>4.3600000000000003</v>
      </c>
      <c r="N45" s="3" t="s">
        <v>68</v>
      </c>
      <c r="O45" s="141">
        <v>5.0000000000000001E-3</v>
      </c>
      <c r="P45" s="142">
        <v>1.7690000000000001E-2</v>
      </c>
      <c r="Q45" s="3"/>
      <c r="R45" s="126">
        <v>856000</v>
      </c>
      <c r="S45" s="143">
        <v>1</v>
      </c>
      <c r="T45" s="145">
        <v>109.52</v>
      </c>
      <c r="U45" s="126">
        <v>937.49099999999999</v>
      </c>
      <c r="V45" s="3"/>
      <c r="W45" s="3" t="s">
        <v>36</v>
      </c>
      <c r="X45" s="142">
        <v>3.1000000000000001E-5</v>
      </c>
      <c r="Y45" s="142">
        <v>0.135815510675562</v>
      </c>
      <c r="Z45" s="142">
        <v>5.0939264690812697E-2</v>
      </c>
    </row>
    <row r="46" spans="1:26">
      <c r="A46" s="3">
        <v>382</v>
      </c>
      <c r="B46" s="3">
        <v>7635</v>
      </c>
      <c r="C46" s="3" t="s">
        <v>40</v>
      </c>
      <c r="D46" s="3" t="s">
        <v>69</v>
      </c>
      <c r="E46" s="3" t="s">
        <v>70</v>
      </c>
      <c r="F46" s="3" t="s">
        <v>43</v>
      </c>
      <c r="G46" s="3" t="s">
        <v>30</v>
      </c>
      <c r="H46" s="3" t="s">
        <v>30</v>
      </c>
      <c r="I46" s="3" t="s">
        <v>44</v>
      </c>
      <c r="J46" s="3" t="s">
        <v>32</v>
      </c>
      <c r="K46" s="3" t="s">
        <v>33</v>
      </c>
      <c r="L46" s="3" t="s">
        <v>34</v>
      </c>
      <c r="M46" s="126">
        <v>1.5740000000000001</v>
      </c>
      <c r="N46" s="3" t="s">
        <v>71</v>
      </c>
      <c r="O46" s="141">
        <v>1E-3</v>
      </c>
      <c r="P46" s="142">
        <v>1.7819999999999999E-2</v>
      </c>
      <c r="Q46" s="3"/>
      <c r="R46" s="126">
        <v>403000</v>
      </c>
      <c r="S46" s="143">
        <v>1</v>
      </c>
      <c r="T46" s="145">
        <v>112.4</v>
      </c>
      <c r="U46" s="126">
        <v>452.97199999999998</v>
      </c>
      <c r="V46" s="3"/>
      <c r="W46" s="3" t="s">
        <v>36</v>
      </c>
      <c r="X46" s="142">
        <v>2.0000000000000002E-5</v>
      </c>
      <c r="Y46" s="142">
        <v>6.5622614379453104E-2</v>
      </c>
      <c r="Z46" s="142">
        <v>2.4612562342480399E-2</v>
      </c>
    </row>
    <row r="47" spans="1:26">
      <c r="A47" s="3">
        <v>382</v>
      </c>
      <c r="B47" s="3">
        <v>7635</v>
      </c>
      <c r="C47" s="3" t="s">
        <v>40</v>
      </c>
      <c r="D47" s="3" t="s">
        <v>72</v>
      </c>
      <c r="E47" s="3" t="s">
        <v>73</v>
      </c>
      <c r="F47" s="3" t="s">
        <v>43</v>
      </c>
      <c r="G47" s="3" t="s">
        <v>30</v>
      </c>
      <c r="H47" s="3" t="s">
        <v>30</v>
      </c>
      <c r="I47" s="3" t="s">
        <v>44</v>
      </c>
      <c r="J47" s="3" t="s">
        <v>32</v>
      </c>
      <c r="K47" s="3" t="s">
        <v>33</v>
      </c>
      <c r="L47" s="3" t="s">
        <v>34</v>
      </c>
      <c r="M47" s="126">
        <v>3.7639999999999998</v>
      </c>
      <c r="N47" s="3" t="s">
        <v>74</v>
      </c>
      <c r="O47" s="141">
        <v>1.0999999999999999E-2</v>
      </c>
      <c r="P47" s="142">
        <v>1.7909999999999999E-2</v>
      </c>
      <c r="Q47" s="3"/>
      <c r="R47" s="126">
        <v>764000</v>
      </c>
      <c r="S47" s="143">
        <v>1</v>
      </c>
      <c r="T47" s="145">
        <v>101.87</v>
      </c>
      <c r="U47" s="126">
        <v>778.28700000000003</v>
      </c>
      <c r="V47" s="3"/>
      <c r="W47" s="3" t="s">
        <v>36</v>
      </c>
      <c r="X47" s="142">
        <v>3.1000000000000001E-5</v>
      </c>
      <c r="Y47" s="142">
        <v>0.112751372166532</v>
      </c>
      <c r="Z47" s="142">
        <v>4.2288778081933501E-2</v>
      </c>
    </row>
    <row r="48" spans="1:26">
      <c r="A48" s="3">
        <v>382</v>
      </c>
      <c r="B48" s="3">
        <v>7635</v>
      </c>
      <c r="C48" s="3" t="s">
        <v>49</v>
      </c>
      <c r="D48" s="3" t="s">
        <v>75</v>
      </c>
      <c r="E48" s="3" t="s">
        <v>76</v>
      </c>
      <c r="F48" s="3" t="s">
        <v>52</v>
      </c>
      <c r="G48" s="3" t="s">
        <v>30</v>
      </c>
      <c r="H48" s="3" t="s">
        <v>30</v>
      </c>
      <c r="I48" s="3" t="s">
        <v>44</v>
      </c>
      <c r="J48" s="3" t="s">
        <v>32</v>
      </c>
      <c r="K48" s="3" t="s">
        <v>33</v>
      </c>
      <c r="L48" s="3" t="s">
        <v>34</v>
      </c>
      <c r="M48" s="126">
        <v>5.0789999999999997</v>
      </c>
      <c r="N48" s="3" t="s">
        <v>77</v>
      </c>
      <c r="O48" s="141">
        <v>0.01</v>
      </c>
      <c r="P48" s="142">
        <v>4.2810000000000001E-2</v>
      </c>
      <c r="Q48" s="3"/>
      <c r="R48" s="126">
        <v>290000</v>
      </c>
      <c r="S48" s="143">
        <v>1</v>
      </c>
      <c r="T48" s="145">
        <v>85.63</v>
      </c>
      <c r="U48" s="126">
        <v>248.327</v>
      </c>
      <c r="V48" s="3"/>
      <c r="W48" s="3" t="s">
        <v>36</v>
      </c>
      <c r="X48" s="142">
        <v>7.9999999999999996E-6</v>
      </c>
      <c r="Y48" s="142">
        <v>3.5975439896961503E-2</v>
      </c>
      <c r="Z48" s="142">
        <v>1.34930277562877E-2</v>
      </c>
    </row>
    <row r="49" spans="1:26">
      <c r="A49" s="3">
        <v>382</v>
      </c>
      <c r="B49" s="3">
        <v>7635</v>
      </c>
      <c r="C49" s="3" t="s">
        <v>49</v>
      </c>
      <c r="D49" s="3" t="s">
        <v>78</v>
      </c>
      <c r="E49" s="3" t="s">
        <v>79</v>
      </c>
      <c r="F49" s="3" t="s">
        <v>52</v>
      </c>
      <c r="G49" s="3" t="s">
        <v>30</v>
      </c>
      <c r="H49" s="3" t="s">
        <v>30</v>
      </c>
      <c r="I49" s="3" t="s">
        <v>44</v>
      </c>
      <c r="J49" s="3" t="s">
        <v>32</v>
      </c>
      <c r="K49" s="3" t="s">
        <v>33</v>
      </c>
      <c r="L49" s="3" t="s">
        <v>34</v>
      </c>
      <c r="M49" s="126">
        <v>6.9249999999999998</v>
      </c>
      <c r="N49" s="3" t="s">
        <v>80</v>
      </c>
      <c r="O49" s="141">
        <v>1.2999999999999999E-2</v>
      </c>
      <c r="P49" s="142">
        <v>4.3479999999999998E-2</v>
      </c>
      <c r="Q49" s="3"/>
      <c r="R49" s="126">
        <v>851000</v>
      </c>
      <c r="S49" s="143">
        <v>1</v>
      </c>
      <c r="T49" s="145">
        <v>82.08</v>
      </c>
      <c r="U49" s="126">
        <v>698.50099999999998</v>
      </c>
      <c r="V49" s="3"/>
      <c r="W49" s="3" t="s">
        <v>36</v>
      </c>
      <c r="X49" s="142">
        <v>2.5999999999999998E-5</v>
      </c>
      <c r="Y49" s="142">
        <v>0.101192675578489</v>
      </c>
      <c r="Z49" s="142">
        <v>3.7953547871110001E-2</v>
      </c>
    </row>
    <row r="50" spans="1:26">
      <c r="A50" s="3">
        <v>382</v>
      </c>
      <c r="B50" s="3">
        <v>7635</v>
      </c>
      <c r="C50" s="3" t="s">
        <v>91</v>
      </c>
      <c r="D50" s="3" t="s">
        <v>92</v>
      </c>
      <c r="E50" s="3" t="s">
        <v>93</v>
      </c>
      <c r="F50" s="3" t="s">
        <v>84</v>
      </c>
      <c r="G50" s="3" t="s">
        <v>85</v>
      </c>
      <c r="H50" s="3" t="s">
        <v>94</v>
      </c>
      <c r="I50" s="3" t="s">
        <v>86</v>
      </c>
      <c r="J50" s="3" t="s">
        <v>95</v>
      </c>
      <c r="K50" s="3" t="s">
        <v>96</v>
      </c>
      <c r="L50" s="3" t="s">
        <v>89</v>
      </c>
      <c r="M50" s="126">
        <v>7.9470000000000001</v>
      </c>
      <c r="N50" s="3" t="s">
        <v>97</v>
      </c>
      <c r="O50" s="141">
        <v>3.875E-2</v>
      </c>
      <c r="P50" s="142">
        <v>4.5710000000000001E-2</v>
      </c>
      <c r="Q50" s="3"/>
      <c r="R50" s="126">
        <v>49000</v>
      </c>
      <c r="S50" s="143">
        <v>3.6469999999999998</v>
      </c>
      <c r="T50" s="145">
        <v>96.085999999999999</v>
      </c>
      <c r="U50" s="126">
        <v>171.708</v>
      </c>
      <c r="V50" s="3"/>
      <c r="W50" s="3" t="s">
        <v>36</v>
      </c>
      <c r="X50" s="142">
        <v>0</v>
      </c>
      <c r="Y50" s="142">
        <v>2.4875535253738201E-2</v>
      </c>
      <c r="Z50" s="142">
        <v>9.3298730631936402E-3</v>
      </c>
    </row>
    <row r="51" spans="1:26">
      <c r="A51" s="3">
        <v>382</v>
      </c>
      <c r="B51" s="3">
        <v>11414</v>
      </c>
      <c r="C51" s="3" t="s">
        <v>26</v>
      </c>
      <c r="D51" s="3" t="s">
        <v>98</v>
      </c>
      <c r="E51" s="3" t="s">
        <v>99</v>
      </c>
      <c r="F51" s="3" t="s">
        <v>29</v>
      </c>
      <c r="G51" s="3" t="s">
        <v>30</v>
      </c>
      <c r="H51" s="3" t="s">
        <v>30</v>
      </c>
      <c r="I51" s="3" t="s">
        <v>31</v>
      </c>
      <c r="J51" s="3" t="s">
        <v>32</v>
      </c>
      <c r="K51" s="3" t="s">
        <v>33</v>
      </c>
      <c r="L51" s="3" t="s">
        <v>34</v>
      </c>
      <c r="M51" s="126">
        <v>0.17</v>
      </c>
      <c r="N51" s="3" t="s">
        <v>100</v>
      </c>
      <c r="O51" s="141">
        <v>0</v>
      </c>
      <c r="P51" s="142">
        <v>4.3360000000000003E-2</v>
      </c>
      <c r="Q51" s="3"/>
      <c r="R51" s="126">
        <v>605000</v>
      </c>
      <c r="S51" s="143">
        <v>1</v>
      </c>
      <c r="T51" s="145">
        <v>99.27</v>
      </c>
      <c r="U51" s="126">
        <v>600.58299999999997</v>
      </c>
      <c r="V51" s="3"/>
      <c r="W51" s="3" t="s">
        <v>36</v>
      </c>
      <c r="X51" s="142">
        <v>1.7E-5</v>
      </c>
      <c r="Y51" s="142">
        <v>5.8971719522505898E-2</v>
      </c>
      <c r="Z51" s="142">
        <v>3.9601727555535898E-2</v>
      </c>
    </row>
    <row r="52" spans="1:26">
      <c r="A52" s="3">
        <v>382</v>
      </c>
      <c r="B52" s="3">
        <v>11414</v>
      </c>
      <c r="C52" s="3" t="s">
        <v>26</v>
      </c>
      <c r="D52" s="3" t="s">
        <v>107</v>
      </c>
      <c r="E52" s="3" t="s">
        <v>108</v>
      </c>
      <c r="F52" s="3" t="s">
        <v>29</v>
      </c>
      <c r="G52" s="3" t="s">
        <v>30</v>
      </c>
      <c r="H52" s="3" t="s">
        <v>30</v>
      </c>
      <c r="I52" s="3" t="s">
        <v>31</v>
      </c>
      <c r="J52" s="3" t="s">
        <v>32</v>
      </c>
      <c r="K52" s="3" t="s">
        <v>33</v>
      </c>
      <c r="L52" s="3" t="s">
        <v>34</v>
      </c>
      <c r="M52" s="126">
        <v>0.247</v>
      </c>
      <c r="N52" s="3" t="s">
        <v>109</v>
      </c>
      <c r="O52" s="141">
        <v>0</v>
      </c>
      <c r="P52" s="142">
        <v>4.24E-2</v>
      </c>
      <c r="Q52" s="3"/>
      <c r="R52" s="126">
        <v>840000</v>
      </c>
      <c r="S52" s="143">
        <v>1</v>
      </c>
      <c r="T52" s="145">
        <v>98.97</v>
      </c>
      <c r="U52" s="126">
        <v>831.34799999999996</v>
      </c>
      <c r="V52" s="3"/>
      <c r="W52" s="3" t="s">
        <v>36</v>
      </c>
      <c r="X52" s="142">
        <v>6.9999999999999994E-5</v>
      </c>
      <c r="Y52" s="142">
        <v>8.1630649329520799E-2</v>
      </c>
      <c r="Z52" s="142">
        <v>5.4818051111693397E-2</v>
      </c>
    </row>
    <row r="53" spans="1:26">
      <c r="A53" s="3">
        <v>382</v>
      </c>
      <c r="B53" s="3">
        <v>11414</v>
      </c>
      <c r="C53" s="3" t="s">
        <v>26</v>
      </c>
      <c r="D53" s="3" t="s">
        <v>113</v>
      </c>
      <c r="E53" s="3" t="s">
        <v>114</v>
      </c>
      <c r="F53" s="3" t="s">
        <v>29</v>
      </c>
      <c r="G53" s="3" t="s">
        <v>30</v>
      </c>
      <c r="H53" s="3" t="s">
        <v>30</v>
      </c>
      <c r="I53" s="3" t="s">
        <v>31</v>
      </c>
      <c r="J53" s="3" t="s">
        <v>32</v>
      </c>
      <c r="K53" s="3" t="s">
        <v>33</v>
      </c>
      <c r="L53" s="3" t="s">
        <v>34</v>
      </c>
      <c r="M53" s="126">
        <v>0.66800000000000004</v>
      </c>
      <c r="N53" s="3" t="s">
        <v>115</v>
      </c>
      <c r="O53" s="141">
        <v>0</v>
      </c>
      <c r="P53" s="142">
        <v>4.274E-2</v>
      </c>
      <c r="Q53" s="3"/>
      <c r="R53" s="126">
        <v>480000</v>
      </c>
      <c r="S53" s="143">
        <v>1</v>
      </c>
      <c r="T53" s="145">
        <v>97.23</v>
      </c>
      <c r="U53" s="126">
        <v>466.70400000000001</v>
      </c>
      <c r="V53" s="3"/>
      <c r="W53" s="3" t="s">
        <v>36</v>
      </c>
      <c r="X53" s="142">
        <v>4.0000000000000003E-5</v>
      </c>
      <c r="Y53" s="142">
        <v>4.5825996531758902E-2</v>
      </c>
      <c r="Z53" s="142">
        <v>3.07738801633392E-2</v>
      </c>
    </row>
    <row r="54" spans="1:26">
      <c r="A54" s="3">
        <v>382</v>
      </c>
      <c r="B54" s="3">
        <v>11414</v>
      </c>
      <c r="C54" s="3" t="s">
        <v>26</v>
      </c>
      <c r="D54" s="3" t="s">
        <v>27</v>
      </c>
      <c r="E54" s="3" t="s">
        <v>28</v>
      </c>
      <c r="F54" s="3" t="s">
        <v>29</v>
      </c>
      <c r="G54" s="3" t="s">
        <v>30</v>
      </c>
      <c r="H54" s="3" t="s">
        <v>30</v>
      </c>
      <c r="I54" s="3" t="s">
        <v>31</v>
      </c>
      <c r="J54" s="3" t="s">
        <v>32</v>
      </c>
      <c r="K54" s="3" t="s">
        <v>33</v>
      </c>
      <c r="L54" s="3" t="s">
        <v>34</v>
      </c>
      <c r="M54" s="126">
        <v>0.751</v>
      </c>
      <c r="N54" s="3" t="s">
        <v>35</v>
      </c>
      <c r="O54" s="141">
        <v>0</v>
      </c>
      <c r="P54" s="142">
        <v>4.2250000000000003E-2</v>
      </c>
      <c r="Q54" s="3"/>
      <c r="R54" s="126">
        <v>35000</v>
      </c>
      <c r="S54" s="143">
        <v>1</v>
      </c>
      <c r="T54" s="145">
        <v>96.93</v>
      </c>
      <c r="U54" s="126">
        <v>33.924999999999997</v>
      </c>
      <c r="V54" s="3"/>
      <c r="W54" s="3" t="s">
        <v>36</v>
      </c>
      <c r="X54" s="142">
        <v>3.0000000000000001E-6</v>
      </c>
      <c r="Y54" s="142">
        <v>3.33116888935639E-3</v>
      </c>
      <c r="Z54" s="142">
        <v>2.2370051927589302E-3</v>
      </c>
    </row>
    <row r="55" spans="1:26">
      <c r="A55" s="3">
        <v>382</v>
      </c>
      <c r="B55" s="3">
        <v>11414</v>
      </c>
      <c r="C55" s="3" t="s">
        <v>26</v>
      </c>
      <c r="D55" s="3" t="s">
        <v>116</v>
      </c>
      <c r="E55" s="3" t="s">
        <v>117</v>
      </c>
      <c r="F55" s="3" t="s">
        <v>29</v>
      </c>
      <c r="G55" s="3" t="s">
        <v>30</v>
      </c>
      <c r="H55" s="3" t="s">
        <v>30</v>
      </c>
      <c r="I55" s="3" t="s">
        <v>31</v>
      </c>
      <c r="J55" s="3" t="s">
        <v>32</v>
      </c>
      <c r="K55" s="3" t="s">
        <v>33</v>
      </c>
      <c r="L55" s="3" t="s">
        <v>34</v>
      </c>
      <c r="M55" s="126">
        <v>0.84099999999999997</v>
      </c>
      <c r="N55" s="3" t="s">
        <v>118</v>
      </c>
      <c r="O55" s="141">
        <v>0</v>
      </c>
      <c r="P55" s="142">
        <v>4.2099999999999999E-2</v>
      </c>
      <c r="Q55" s="3"/>
      <c r="R55" s="126">
        <v>330000</v>
      </c>
      <c r="S55" s="143">
        <v>1</v>
      </c>
      <c r="T55" s="145">
        <v>96.58</v>
      </c>
      <c r="U55" s="126">
        <v>318.714</v>
      </c>
      <c r="V55" s="3"/>
      <c r="W55" s="3" t="s">
        <v>36</v>
      </c>
      <c r="X55" s="142">
        <v>2.4000000000000001E-5</v>
      </c>
      <c r="Y55" s="142">
        <v>3.1294753545337103E-2</v>
      </c>
      <c r="Z55" s="142">
        <v>2.10156039853494E-2</v>
      </c>
    </row>
    <row r="56" spans="1:26">
      <c r="A56" s="3">
        <v>382</v>
      </c>
      <c r="B56" s="3">
        <v>11414</v>
      </c>
      <c r="C56" s="3" t="s">
        <v>26</v>
      </c>
      <c r="D56" s="3" t="s">
        <v>37</v>
      </c>
      <c r="E56" s="3" t="s">
        <v>38</v>
      </c>
      <c r="F56" s="3" t="s">
        <v>29</v>
      </c>
      <c r="G56" s="3" t="s">
        <v>30</v>
      </c>
      <c r="H56" s="3" t="s">
        <v>30</v>
      </c>
      <c r="I56" s="3" t="s">
        <v>31</v>
      </c>
      <c r="J56" s="3" t="s">
        <v>32</v>
      </c>
      <c r="K56" s="3" t="s">
        <v>33</v>
      </c>
      <c r="L56" s="3" t="s">
        <v>34</v>
      </c>
      <c r="M56" s="126">
        <v>0.34200000000000003</v>
      </c>
      <c r="N56" s="3" t="s">
        <v>39</v>
      </c>
      <c r="O56" s="141">
        <v>0</v>
      </c>
      <c r="P56" s="142">
        <v>4.2909999999999997E-2</v>
      </c>
      <c r="Q56" s="3"/>
      <c r="R56" s="126">
        <v>840000</v>
      </c>
      <c r="S56" s="143">
        <v>1</v>
      </c>
      <c r="T56" s="145">
        <v>98.56</v>
      </c>
      <c r="U56" s="126">
        <v>827.904</v>
      </c>
      <c r="V56" s="3"/>
      <c r="W56" s="3" t="s">
        <v>36</v>
      </c>
      <c r="X56" s="142">
        <v>6.0000000000000002E-5</v>
      </c>
      <c r="Y56" s="142">
        <v>8.1292480528620495E-2</v>
      </c>
      <c r="Z56" s="142">
        <v>5.4590958043533401E-2</v>
      </c>
    </row>
    <row r="57" spans="1:26">
      <c r="A57" s="3">
        <v>382</v>
      </c>
      <c r="B57" s="3">
        <v>11414</v>
      </c>
      <c r="C57" s="3" t="s">
        <v>26</v>
      </c>
      <c r="D57" s="3" t="s">
        <v>110</v>
      </c>
      <c r="E57" s="3" t="s">
        <v>111</v>
      </c>
      <c r="F57" s="3" t="s">
        <v>29</v>
      </c>
      <c r="G57" s="3" t="s">
        <v>30</v>
      </c>
      <c r="H57" s="3" t="s">
        <v>30</v>
      </c>
      <c r="I57" s="3" t="s">
        <v>31</v>
      </c>
      <c r="J57" s="3" t="s">
        <v>32</v>
      </c>
      <c r="K57" s="3" t="s">
        <v>33</v>
      </c>
      <c r="L57" s="3" t="s">
        <v>34</v>
      </c>
      <c r="M57" s="126">
        <v>0.41899999999999998</v>
      </c>
      <c r="N57" s="3" t="s">
        <v>112</v>
      </c>
      <c r="O57" s="141">
        <v>0</v>
      </c>
      <c r="P57" s="142">
        <v>4.2729999999999997E-2</v>
      </c>
      <c r="Q57" s="3"/>
      <c r="R57" s="126">
        <v>180000</v>
      </c>
      <c r="S57" s="143">
        <v>1</v>
      </c>
      <c r="T57" s="145">
        <v>98.25</v>
      </c>
      <c r="U57" s="126">
        <v>176.85</v>
      </c>
      <c r="V57" s="3"/>
      <c r="W57" s="3" t="s">
        <v>36</v>
      </c>
      <c r="X57" s="142">
        <v>1.5E-5</v>
      </c>
      <c r="Y57" s="142">
        <v>1.7365026840656099E-2</v>
      </c>
      <c r="Z57" s="142">
        <v>1.16612686132678E-2</v>
      </c>
    </row>
    <row r="58" spans="1:26">
      <c r="A58" s="3">
        <v>382</v>
      </c>
      <c r="B58" s="3">
        <v>11414</v>
      </c>
      <c r="C58" s="3" t="s">
        <v>40</v>
      </c>
      <c r="D58" s="3" t="s">
        <v>41</v>
      </c>
      <c r="E58" s="3" t="s">
        <v>42</v>
      </c>
      <c r="F58" s="3" t="s">
        <v>43</v>
      </c>
      <c r="G58" s="3" t="s">
        <v>30</v>
      </c>
      <c r="H58" s="3" t="s">
        <v>30</v>
      </c>
      <c r="I58" s="3" t="s">
        <v>44</v>
      </c>
      <c r="J58" s="3" t="s">
        <v>32</v>
      </c>
      <c r="K58" s="3" t="s">
        <v>33</v>
      </c>
      <c r="L58" s="3" t="s">
        <v>34</v>
      </c>
      <c r="M58" s="126">
        <v>2.3860000000000001</v>
      </c>
      <c r="N58" s="3" t="s">
        <v>45</v>
      </c>
      <c r="O58" s="141">
        <v>7.4999999999999997E-3</v>
      </c>
      <c r="P58" s="142">
        <v>1.7919999999999998E-2</v>
      </c>
      <c r="Q58" s="3"/>
      <c r="R58" s="126">
        <v>794000</v>
      </c>
      <c r="S58" s="143">
        <v>1</v>
      </c>
      <c r="T58" s="145">
        <v>114.17</v>
      </c>
      <c r="U58" s="126">
        <v>906.51</v>
      </c>
      <c r="V58" s="3"/>
      <c r="W58" s="3" t="s">
        <v>36</v>
      </c>
      <c r="X58" s="142">
        <v>3.6000000000000001E-5</v>
      </c>
      <c r="Y58" s="142">
        <v>8.9010839741689399E-2</v>
      </c>
      <c r="Z58" s="142">
        <v>5.9774126538646798E-2</v>
      </c>
    </row>
    <row r="59" spans="1:26">
      <c r="A59" s="3">
        <v>382</v>
      </c>
      <c r="B59" s="3">
        <v>11414</v>
      </c>
      <c r="C59" s="3" t="s">
        <v>40</v>
      </c>
      <c r="D59" s="3" t="s">
        <v>119</v>
      </c>
      <c r="E59" s="3" t="s">
        <v>120</v>
      </c>
      <c r="F59" s="3" t="s">
        <v>43</v>
      </c>
      <c r="G59" s="3" t="s">
        <v>30</v>
      </c>
      <c r="H59" s="3" t="s">
        <v>30</v>
      </c>
      <c r="I59" s="3" t="s">
        <v>44</v>
      </c>
      <c r="J59" s="3" t="s">
        <v>32</v>
      </c>
      <c r="K59" s="3" t="s">
        <v>33</v>
      </c>
      <c r="L59" s="3" t="s">
        <v>34</v>
      </c>
      <c r="M59" s="126">
        <v>18.221</v>
      </c>
      <c r="N59" s="3" t="s">
        <v>121</v>
      </c>
      <c r="O59" s="141">
        <v>0.01</v>
      </c>
      <c r="P59" s="142">
        <v>1.9970000000000002E-2</v>
      </c>
      <c r="Q59" s="3"/>
      <c r="R59" s="126">
        <v>25000</v>
      </c>
      <c r="S59" s="143">
        <v>1</v>
      </c>
      <c r="T59" s="145">
        <v>97.65</v>
      </c>
      <c r="U59" s="126">
        <v>24.413</v>
      </c>
      <c r="V59" s="3"/>
      <c r="W59" s="3" t="s">
        <v>36</v>
      </c>
      <c r="X59" s="142">
        <v>9.9999999999999995E-7</v>
      </c>
      <c r="Y59" s="142">
        <v>2.3970806771134701E-3</v>
      </c>
      <c r="Z59" s="142">
        <v>1.60972982765847E-3</v>
      </c>
    </row>
    <row r="60" spans="1:26">
      <c r="A60" s="3">
        <v>382</v>
      </c>
      <c r="B60" s="3">
        <v>11414</v>
      </c>
      <c r="C60" s="3" t="s">
        <v>40</v>
      </c>
      <c r="D60" s="3" t="s">
        <v>101</v>
      </c>
      <c r="E60" s="3" t="s">
        <v>102</v>
      </c>
      <c r="F60" s="3" t="s">
        <v>43</v>
      </c>
      <c r="G60" s="3" t="s">
        <v>30</v>
      </c>
      <c r="H60" s="3" t="s">
        <v>30</v>
      </c>
      <c r="I60" s="3" t="s">
        <v>44</v>
      </c>
      <c r="J60" s="3" t="s">
        <v>32</v>
      </c>
      <c r="K60" s="3" t="s">
        <v>33</v>
      </c>
      <c r="L60" s="3" t="s">
        <v>34</v>
      </c>
      <c r="M60" s="126">
        <v>0.82699999999999996</v>
      </c>
      <c r="N60" s="3" t="s">
        <v>103</v>
      </c>
      <c r="O60" s="141">
        <v>7.4999999999999997E-3</v>
      </c>
      <c r="P60" s="142">
        <v>1.5730000000000001E-2</v>
      </c>
      <c r="Q60" s="3"/>
      <c r="R60" s="126">
        <v>418000</v>
      </c>
      <c r="S60" s="143">
        <v>1</v>
      </c>
      <c r="T60" s="145">
        <v>115.16</v>
      </c>
      <c r="U60" s="126">
        <v>481.36900000000003</v>
      </c>
      <c r="V60" s="3"/>
      <c r="W60" s="3" t="s">
        <v>36</v>
      </c>
      <c r="X60" s="142">
        <v>1.9000000000000001E-5</v>
      </c>
      <c r="Y60" s="142">
        <v>4.7265943637288102E-2</v>
      </c>
      <c r="Z60" s="142">
        <v>3.1740858800375402E-2</v>
      </c>
    </row>
    <row r="61" spans="1:26">
      <c r="A61" s="3">
        <v>382</v>
      </c>
      <c r="B61" s="3">
        <v>11414</v>
      </c>
      <c r="C61" s="3" t="s">
        <v>40</v>
      </c>
      <c r="D61" s="3" t="s">
        <v>46</v>
      </c>
      <c r="E61" s="3" t="s">
        <v>47</v>
      </c>
      <c r="F61" s="3" t="s">
        <v>43</v>
      </c>
      <c r="G61" s="3" t="s">
        <v>30</v>
      </c>
      <c r="H61" s="3" t="s">
        <v>30</v>
      </c>
      <c r="I61" s="3" t="s">
        <v>44</v>
      </c>
      <c r="J61" s="3" t="s">
        <v>32</v>
      </c>
      <c r="K61" s="3" t="s">
        <v>33</v>
      </c>
      <c r="L61" s="3" t="s">
        <v>34</v>
      </c>
      <c r="M61" s="126">
        <v>6.89</v>
      </c>
      <c r="N61" s="3" t="s">
        <v>48</v>
      </c>
      <c r="O61" s="141">
        <v>1E-3</v>
      </c>
      <c r="P61" s="142">
        <v>1.8689999999999998E-2</v>
      </c>
      <c r="Q61" s="3"/>
      <c r="R61" s="126">
        <v>29000</v>
      </c>
      <c r="S61" s="143">
        <v>1</v>
      </c>
      <c r="T61" s="145">
        <v>102.23</v>
      </c>
      <c r="U61" s="126">
        <v>29.646999999999998</v>
      </c>
      <c r="V61" s="3"/>
      <c r="W61" s="3" t="s">
        <v>36</v>
      </c>
      <c r="X61" s="142">
        <v>9.9999999999999995E-7</v>
      </c>
      <c r="Y61" s="142">
        <v>2.9110304847999899E-3</v>
      </c>
      <c r="Z61" s="142">
        <v>1.9548664529090601E-3</v>
      </c>
    </row>
    <row r="62" spans="1:26">
      <c r="A62" s="3">
        <v>382</v>
      </c>
      <c r="B62" s="3">
        <v>11414</v>
      </c>
      <c r="C62" s="3" t="s">
        <v>49</v>
      </c>
      <c r="D62" s="3" t="s">
        <v>50</v>
      </c>
      <c r="E62" s="3" t="s">
        <v>51</v>
      </c>
      <c r="F62" s="3" t="s">
        <v>52</v>
      </c>
      <c r="G62" s="3" t="s">
        <v>30</v>
      </c>
      <c r="H62" s="3" t="s">
        <v>30</v>
      </c>
      <c r="I62" s="3" t="s">
        <v>44</v>
      </c>
      <c r="J62" s="3" t="s">
        <v>32</v>
      </c>
      <c r="K62" s="3" t="s">
        <v>33</v>
      </c>
      <c r="L62" s="3" t="s">
        <v>34</v>
      </c>
      <c r="M62" s="126">
        <v>3.6040000000000001</v>
      </c>
      <c r="N62" s="3" t="s">
        <v>53</v>
      </c>
      <c r="O62" s="141">
        <v>2.2499999999999999E-2</v>
      </c>
      <c r="P62" s="142">
        <v>4.2549999999999998E-2</v>
      </c>
      <c r="Q62" s="3"/>
      <c r="R62" s="126">
        <v>456000</v>
      </c>
      <c r="S62" s="143">
        <v>1</v>
      </c>
      <c r="T62" s="145">
        <v>93.76</v>
      </c>
      <c r="U62" s="126">
        <v>427.54599999999999</v>
      </c>
      <c r="V62" s="3"/>
      <c r="W62" s="3" t="s">
        <v>36</v>
      </c>
      <c r="X62" s="142">
        <v>1.2999999999999999E-5</v>
      </c>
      <c r="Y62" s="142">
        <v>4.19810054826373E-2</v>
      </c>
      <c r="Z62" s="142">
        <v>2.8191824065709699E-2</v>
      </c>
    </row>
    <row r="63" spans="1:26">
      <c r="A63" s="3">
        <v>382</v>
      </c>
      <c r="B63" s="3">
        <v>11414</v>
      </c>
      <c r="C63" s="3" t="s">
        <v>49</v>
      </c>
      <c r="D63" s="3" t="s">
        <v>54</v>
      </c>
      <c r="E63" s="3" t="s">
        <v>55</v>
      </c>
      <c r="F63" s="3" t="s">
        <v>52</v>
      </c>
      <c r="G63" s="3" t="s">
        <v>30</v>
      </c>
      <c r="H63" s="3" t="s">
        <v>30</v>
      </c>
      <c r="I63" s="3" t="s">
        <v>44</v>
      </c>
      <c r="J63" s="3" t="s">
        <v>32</v>
      </c>
      <c r="K63" s="3" t="s">
        <v>33</v>
      </c>
      <c r="L63" s="3" t="s">
        <v>34</v>
      </c>
      <c r="M63" s="126">
        <v>1.1479999999999999</v>
      </c>
      <c r="N63" s="3" t="s">
        <v>56</v>
      </c>
      <c r="O63" s="141">
        <v>5.0000000000000001E-3</v>
      </c>
      <c r="P63" s="142">
        <v>4.206E-2</v>
      </c>
      <c r="Q63" s="3"/>
      <c r="R63" s="126">
        <v>1369000</v>
      </c>
      <c r="S63" s="143">
        <v>1</v>
      </c>
      <c r="T63" s="145">
        <v>96.32</v>
      </c>
      <c r="U63" s="126">
        <v>1318.6210000000001</v>
      </c>
      <c r="V63" s="3"/>
      <c r="W63" s="3" t="s">
        <v>36</v>
      </c>
      <c r="X63" s="142">
        <v>4.8999999999999998E-5</v>
      </c>
      <c r="Y63" s="142">
        <v>0.12947631091120901</v>
      </c>
      <c r="Z63" s="142">
        <v>8.6948212314628806E-2</v>
      </c>
    </row>
    <row r="64" spans="1:26">
      <c r="A64" s="3">
        <v>382</v>
      </c>
      <c r="B64" s="3">
        <v>11414</v>
      </c>
      <c r="C64" s="3" t="s">
        <v>49</v>
      </c>
      <c r="D64" s="3" t="s">
        <v>57</v>
      </c>
      <c r="E64" s="3" t="s">
        <v>58</v>
      </c>
      <c r="F64" s="3" t="s">
        <v>52</v>
      </c>
      <c r="G64" s="3" t="s">
        <v>30</v>
      </c>
      <c r="H64" s="3" t="s">
        <v>30</v>
      </c>
      <c r="I64" s="3" t="s">
        <v>44</v>
      </c>
      <c r="J64" s="3" t="s">
        <v>32</v>
      </c>
      <c r="K64" s="3" t="s">
        <v>33</v>
      </c>
      <c r="L64" s="3" t="s">
        <v>34</v>
      </c>
      <c r="M64" s="126">
        <v>8.3070000000000004</v>
      </c>
      <c r="N64" s="3" t="s">
        <v>59</v>
      </c>
      <c r="O64" s="141">
        <v>0.04</v>
      </c>
      <c r="P64" s="142">
        <v>4.48E-2</v>
      </c>
      <c r="Q64" s="3"/>
      <c r="R64" s="126">
        <v>38000</v>
      </c>
      <c r="S64" s="143">
        <v>1</v>
      </c>
      <c r="T64" s="145">
        <v>99.13</v>
      </c>
      <c r="U64" s="126">
        <v>37.668999999999997</v>
      </c>
      <c r="V64" s="3"/>
      <c r="W64" s="3" t="s">
        <v>36</v>
      </c>
      <c r="X64" s="142">
        <v>1.9999999999999999E-6</v>
      </c>
      <c r="Y64" s="142">
        <v>3.6987850838078001E-3</v>
      </c>
      <c r="Z64" s="142">
        <v>2.4838732931898801E-3</v>
      </c>
    </row>
    <row r="65" spans="1:26">
      <c r="A65" s="3">
        <v>382</v>
      </c>
      <c r="B65" s="3">
        <v>11414</v>
      </c>
      <c r="C65" s="3" t="s">
        <v>49</v>
      </c>
      <c r="D65" s="3" t="s">
        <v>60</v>
      </c>
      <c r="E65" s="3" t="s">
        <v>61</v>
      </c>
      <c r="F65" s="3" t="s">
        <v>52</v>
      </c>
      <c r="G65" s="3" t="s">
        <v>30</v>
      </c>
      <c r="H65" s="3" t="s">
        <v>30</v>
      </c>
      <c r="I65" s="3" t="s">
        <v>44</v>
      </c>
      <c r="J65" s="3" t="s">
        <v>32</v>
      </c>
      <c r="K65" s="3" t="s">
        <v>33</v>
      </c>
      <c r="L65" s="3" t="s">
        <v>34</v>
      </c>
      <c r="M65" s="126">
        <v>14.43</v>
      </c>
      <c r="N65" s="3" t="s">
        <v>62</v>
      </c>
      <c r="O65" s="141">
        <v>3.7499999999999999E-2</v>
      </c>
      <c r="P65" s="142">
        <v>4.7570000000000001E-2</v>
      </c>
      <c r="Q65" s="3"/>
      <c r="R65" s="126">
        <v>60400</v>
      </c>
      <c r="S65" s="143">
        <v>1</v>
      </c>
      <c r="T65" s="145">
        <v>89.17</v>
      </c>
      <c r="U65" s="126">
        <v>53.859000000000002</v>
      </c>
      <c r="V65" s="3"/>
      <c r="W65" s="3" t="s">
        <v>36</v>
      </c>
      <c r="X65" s="142">
        <v>1.9999999999999999E-6</v>
      </c>
      <c r="Y65" s="142">
        <v>5.2884219609969302E-3</v>
      </c>
      <c r="Z65" s="142">
        <v>3.55137424165132E-3</v>
      </c>
    </row>
    <row r="66" spans="1:26">
      <c r="A66" s="3">
        <v>382</v>
      </c>
      <c r="B66" s="3">
        <v>11414</v>
      </c>
      <c r="C66" s="3" t="s">
        <v>49</v>
      </c>
      <c r="D66" s="3" t="s">
        <v>122</v>
      </c>
      <c r="E66" s="3" t="s">
        <v>123</v>
      </c>
      <c r="F66" s="3" t="s">
        <v>52</v>
      </c>
      <c r="G66" s="3" t="s">
        <v>30</v>
      </c>
      <c r="H66" s="3" t="s">
        <v>30</v>
      </c>
      <c r="I66" s="3" t="s">
        <v>44</v>
      </c>
      <c r="J66" s="3" t="s">
        <v>32</v>
      </c>
      <c r="K66" s="3" t="s">
        <v>33</v>
      </c>
      <c r="L66" s="3" t="s">
        <v>34</v>
      </c>
      <c r="M66" s="126">
        <v>1.7669999999999999</v>
      </c>
      <c r="N66" s="3" t="s">
        <v>124</v>
      </c>
      <c r="O66" s="141">
        <v>6.25E-2</v>
      </c>
      <c r="P66" s="142">
        <v>4.2500000000000003E-2</v>
      </c>
      <c r="Q66" s="3"/>
      <c r="R66" s="126">
        <v>256000</v>
      </c>
      <c r="S66" s="143">
        <v>1</v>
      </c>
      <c r="T66" s="145">
        <v>104.49</v>
      </c>
      <c r="U66" s="126">
        <v>267.49400000000003</v>
      </c>
      <c r="V66" s="3"/>
      <c r="W66" s="3" t="s">
        <v>36</v>
      </c>
      <c r="X66" s="142">
        <v>1.7E-5</v>
      </c>
      <c r="Y66" s="142">
        <v>2.6265464719961499E-2</v>
      </c>
      <c r="Z66" s="142">
        <v>1.7638247390132401E-2</v>
      </c>
    </row>
    <row r="67" spans="1:26">
      <c r="A67" s="3">
        <v>382</v>
      </c>
      <c r="B67" s="3">
        <v>11414</v>
      </c>
      <c r="C67" s="3" t="s">
        <v>49</v>
      </c>
      <c r="D67" s="3" t="s">
        <v>63</v>
      </c>
      <c r="E67" s="3" t="s">
        <v>64</v>
      </c>
      <c r="F67" s="3" t="s">
        <v>52</v>
      </c>
      <c r="G67" s="3" t="s">
        <v>30</v>
      </c>
      <c r="H67" s="3" t="s">
        <v>30</v>
      </c>
      <c r="I67" s="3" t="s">
        <v>44</v>
      </c>
      <c r="J67" s="3" t="s">
        <v>32</v>
      </c>
      <c r="K67" s="3" t="s">
        <v>33</v>
      </c>
      <c r="L67" s="3" t="s">
        <v>34</v>
      </c>
      <c r="M67" s="126">
        <v>11.263999999999999</v>
      </c>
      <c r="N67" s="3" t="s">
        <v>65</v>
      </c>
      <c r="O67" s="141">
        <v>5.5E-2</v>
      </c>
      <c r="P67" s="142">
        <v>4.6489999999999997E-2</v>
      </c>
      <c r="Q67" s="3"/>
      <c r="R67" s="126">
        <v>50000</v>
      </c>
      <c r="S67" s="143">
        <v>1</v>
      </c>
      <c r="T67" s="145">
        <v>114.94</v>
      </c>
      <c r="U67" s="126">
        <v>57.47</v>
      </c>
      <c r="V67" s="3"/>
      <c r="W67" s="3" t="s">
        <v>36</v>
      </c>
      <c r="X67" s="142">
        <v>1.9999999999999999E-6</v>
      </c>
      <c r="Y67" s="142">
        <v>5.6430200312836002E-3</v>
      </c>
      <c r="Z67" s="142">
        <v>3.78950018210066E-3</v>
      </c>
    </row>
    <row r="68" spans="1:26">
      <c r="A68" s="3">
        <v>382</v>
      </c>
      <c r="B68" s="3">
        <v>11414</v>
      </c>
      <c r="C68" s="3" t="s">
        <v>40</v>
      </c>
      <c r="D68" s="3" t="s">
        <v>66</v>
      </c>
      <c r="E68" s="3" t="s">
        <v>67</v>
      </c>
      <c r="F68" s="3" t="s">
        <v>43</v>
      </c>
      <c r="G68" s="3" t="s">
        <v>30</v>
      </c>
      <c r="H68" s="3" t="s">
        <v>30</v>
      </c>
      <c r="I68" s="3" t="s">
        <v>44</v>
      </c>
      <c r="J68" s="3" t="s">
        <v>32</v>
      </c>
      <c r="K68" s="3" t="s">
        <v>33</v>
      </c>
      <c r="L68" s="3" t="s">
        <v>34</v>
      </c>
      <c r="M68" s="126">
        <v>4.3600000000000003</v>
      </c>
      <c r="N68" s="3" t="s">
        <v>68</v>
      </c>
      <c r="O68" s="141">
        <v>5.0000000000000001E-3</v>
      </c>
      <c r="P68" s="142">
        <v>1.7690000000000001E-2</v>
      </c>
      <c r="Q68" s="3"/>
      <c r="R68" s="126">
        <v>605000</v>
      </c>
      <c r="S68" s="143">
        <v>1</v>
      </c>
      <c r="T68" s="145">
        <v>109.52</v>
      </c>
      <c r="U68" s="126">
        <v>662.596</v>
      </c>
      <c r="V68" s="3"/>
      <c r="W68" s="3" t="s">
        <v>36</v>
      </c>
      <c r="X68" s="142">
        <v>2.1999999999999999E-5</v>
      </c>
      <c r="Y68" s="142">
        <v>6.5060770848240607E-2</v>
      </c>
      <c r="Z68" s="142">
        <v>4.3690754526869102E-2</v>
      </c>
    </row>
    <row r="69" spans="1:26">
      <c r="A69" s="3">
        <v>382</v>
      </c>
      <c r="B69" s="3">
        <v>11414</v>
      </c>
      <c r="C69" s="3" t="s">
        <v>40</v>
      </c>
      <c r="D69" s="3" t="s">
        <v>69</v>
      </c>
      <c r="E69" s="3" t="s">
        <v>70</v>
      </c>
      <c r="F69" s="3" t="s">
        <v>43</v>
      </c>
      <c r="G69" s="3" t="s">
        <v>30</v>
      </c>
      <c r="H69" s="3" t="s">
        <v>30</v>
      </c>
      <c r="I69" s="3" t="s">
        <v>44</v>
      </c>
      <c r="J69" s="3" t="s">
        <v>32</v>
      </c>
      <c r="K69" s="3" t="s">
        <v>33</v>
      </c>
      <c r="L69" s="3" t="s">
        <v>34</v>
      </c>
      <c r="M69" s="126">
        <v>1.5740000000000001</v>
      </c>
      <c r="N69" s="3" t="s">
        <v>71</v>
      </c>
      <c r="O69" s="141">
        <v>1E-3</v>
      </c>
      <c r="P69" s="142">
        <v>1.7819999999999999E-2</v>
      </c>
      <c r="Q69" s="3"/>
      <c r="R69" s="126">
        <v>983000</v>
      </c>
      <c r="S69" s="143">
        <v>1</v>
      </c>
      <c r="T69" s="145">
        <v>112.4</v>
      </c>
      <c r="U69" s="126">
        <v>1104.8920000000001</v>
      </c>
      <c r="V69" s="3"/>
      <c r="W69" s="3" t="s">
        <v>36</v>
      </c>
      <c r="X69" s="142">
        <v>4.8999999999999998E-5</v>
      </c>
      <c r="Y69" s="142">
        <v>0.108490128561075</v>
      </c>
      <c r="Z69" s="142">
        <v>7.28552015869421E-2</v>
      </c>
    </row>
    <row r="70" spans="1:26">
      <c r="A70" s="3">
        <v>382</v>
      </c>
      <c r="B70" s="3">
        <v>11414</v>
      </c>
      <c r="C70" s="3" t="s">
        <v>40</v>
      </c>
      <c r="D70" s="3" t="s">
        <v>72</v>
      </c>
      <c r="E70" s="3" t="s">
        <v>73</v>
      </c>
      <c r="F70" s="3" t="s">
        <v>43</v>
      </c>
      <c r="G70" s="3" t="s">
        <v>30</v>
      </c>
      <c r="H70" s="3" t="s">
        <v>30</v>
      </c>
      <c r="I70" s="3" t="s">
        <v>44</v>
      </c>
      <c r="J70" s="3" t="s">
        <v>32</v>
      </c>
      <c r="K70" s="3" t="s">
        <v>33</v>
      </c>
      <c r="L70" s="3" t="s">
        <v>34</v>
      </c>
      <c r="M70" s="126">
        <v>3.7639999999999998</v>
      </c>
      <c r="N70" s="3" t="s">
        <v>74</v>
      </c>
      <c r="O70" s="141">
        <v>1.0999999999999999E-2</v>
      </c>
      <c r="P70" s="142">
        <v>1.7909999999999999E-2</v>
      </c>
      <c r="Q70" s="3"/>
      <c r="R70" s="126">
        <v>595000</v>
      </c>
      <c r="S70" s="143">
        <v>1</v>
      </c>
      <c r="T70" s="145">
        <v>101.87</v>
      </c>
      <c r="U70" s="126">
        <v>606.12599999999998</v>
      </c>
      <c r="V70" s="3"/>
      <c r="W70" s="3" t="s">
        <v>36</v>
      </c>
      <c r="X70" s="142">
        <v>2.4000000000000001E-5</v>
      </c>
      <c r="Y70" s="142">
        <v>5.9515990621051298E-2</v>
      </c>
      <c r="Z70" s="142">
        <v>3.9967226067966502E-2</v>
      </c>
    </row>
    <row r="71" spans="1:26">
      <c r="A71" s="3">
        <v>382</v>
      </c>
      <c r="B71" s="3">
        <v>11414</v>
      </c>
      <c r="C71" s="3" t="s">
        <v>49</v>
      </c>
      <c r="D71" s="3" t="s">
        <v>75</v>
      </c>
      <c r="E71" s="3" t="s">
        <v>76</v>
      </c>
      <c r="F71" s="3" t="s">
        <v>52</v>
      </c>
      <c r="G71" s="3" t="s">
        <v>30</v>
      </c>
      <c r="H71" s="3" t="s">
        <v>30</v>
      </c>
      <c r="I71" s="3" t="s">
        <v>44</v>
      </c>
      <c r="J71" s="3" t="s">
        <v>32</v>
      </c>
      <c r="K71" s="3" t="s">
        <v>33</v>
      </c>
      <c r="L71" s="3" t="s">
        <v>34</v>
      </c>
      <c r="M71" s="126">
        <v>5.0789999999999997</v>
      </c>
      <c r="N71" s="3" t="s">
        <v>77</v>
      </c>
      <c r="O71" s="141">
        <v>0.01</v>
      </c>
      <c r="P71" s="142">
        <v>4.2810000000000001E-2</v>
      </c>
      <c r="Q71" s="3"/>
      <c r="R71" s="126">
        <v>380000</v>
      </c>
      <c r="S71" s="143">
        <v>1</v>
      </c>
      <c r="T71" s="145">
        <v>85.63</v>
      </c>
      <c r="U71" s="126">
        <v>325.39400000000001</v>
      </c>
      <c r="V71" s="3"/>
      <c r="W71" s="3" t="s">
        <v>36</v>
      </c>
      <c r="X71" s="142">
        <v>1.0000000000000001E-5</v>
      </c>
      <c r="Y71" s="142">
        <v>3.1950667479719801E-2</v>
      </c>
      <c r="Z71" s="142">
        <v>2.1456074860874599E-2</v>
      </c>
    </row>
    <row r="72" spans="1:26">
      <c r="A72" s="3">
        <v>382</v>
      </c>
      <c r="B72" s="3">
        <v>11414</v>
      </c>
      <c r="C72" s="3" t="s">
        <v>49</v>
      </c>
      <c r="D72" s="3" t="s">
        <v>78</v>
      </c>
      <c r="E72" s="3" t="s">
        <v>79</v>
      </c>
      <c r="F72" s="3" t="s">
        <v>52</v>
      </c>
      <c r="G72" s="3" t="s">
        <v>30</v>
      </c>
      <c r="H72" s="3" t="s">
        <v>30</v>
      </c>
      <c r="I72" s="3" t="s">
        <v>44</v>
      </c>
      <c r="J72" s="3" t="s">
        <v>32</v>
      </c>
      <c r="K72" s="3" t="s">
        <v>33</v>
      </c>
      <c r="L72" s="3" t="s">
        <v>34</v>
      </c>
      <c r="M72" s="126">
        <v>6.9249999999999998</v>
      </c>
      <c r="N72" s="3" t="s">
        <v>80</v>
      </c>
      <c r="O72" s="141">
        <v>1.2999999999999999E-2</v>
      </c>
      <c r="P72" s="142">
        <v>4.3479999999999998E-2</v>
      </c>
      <c r="Q72" s="3"/>
      <c r="R72" s="126">
        <v>761000</v>
      </c>
      <c r="S72" s="143">
        <v>1</v>
      </c>
      <c r="T72" s="145">
        <v>82.08</v>
      </c>
      <c r="U72" s="126">
        <v>624.62900000000002</v>
      </c>
      <c r="V72" s="3"/>
      <c r="W72" s="3" t="s">
        <v>36</v>
      </c>
      <c r="X72" s="142">
        <v>2.3E-5</v>
      </c>
      <c r="Y72" s="142">
        <v>6.1332744571370099E-2</v>
      </c>
      <c r="Z72" s="142">
        <v>4.11872446727913E-2</v>
      </c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1"/>
  <sheetViews>
    <sheetView rightToLeft="1" topLeftCell="X1" zoomScale="70" zoomScaleNormal="70" workbookViewId="0">
      <selection activeCell="AH14" sqref="AH14"/>
    </sheetView>
  </sheetViews>
  <sheetFormatPr defaultColWidth="0" defaultRowHeight="14.25" zeroHeight="1"/>
  <cols>
    <col min="1" max="36" width="11.625" customWidth="1"/>
  </cols>
  <sheetData>
    <row r="1" spans="1:36" ht="66.75" customHeight="1">
      <c r="A1" s="12" t="s">
        <v>0</v>
      </c>
      <c r="B1" s="12" t="s">
        <v>1</v>
      </c>
      <c r="C1" s="12" t="s">
        <v>2</v>
      </c>
      <c r="D1" s="12" t="s">
        <v>151</v>
      </c>
      <c r="E1" s="12" t="s">
        <v>152</v>
      </c>
      <c r="F1" s="12" t="s">
        <v>3</v>
      </c>
      <c r="G1" s="12" t="s">
        <v>4</v>
      </c>
      <c r="H1" s="12" t="s">
        <v>153</v>
      </c>
      <c r="I1" s="12" t="s">
        <v>5</v>
      </c>
      <c r="J1" s="12" t="s">
        <v>6</v>
      </c>
      <c r="K1" s="12" t="s">
        <v>7</v>
      </c>
      <c r="L1" s="12" t="s">
        <v>8</v>
      </c>
      <c r="M1" s="12" t="s">
        <v>154</v>
      </c>
      <c r="N1" s="12" t="s">
        <v>130</v>
      </c>
      <c r="O1" s="12" t="s">
        <v>9</v>
      </c>
      <c r="P1" s="12" t="s">
        <v>10</v>
      </c>
      <c r="Q1" s="12" t="s">
        <v>178</v>
      </c>
      <c r="R1" s="12" t="s">
        <v>11</v>
      </c>
      <c r="S1" s="12" t="s">
        <v>12</v>
      </c>
      <c r="T1" s="12" t="s">
        <v>919</v>
      </c>
      <c r="U1" s="12" t="s">
        <v>13</v>
      </c>
      <c r="V1" s="120" t="s">
        <v>14</v>
      </c>
      <c r="W1" s="12" t="s">
        <v>15</v>
      </c>
      <c r="X1" s="12" t="s">
        <v>420</v>
      </c>
      <c r="Y1" s="12" t="s">
        <v>841</v>
      </c>
      <c r="Z1" s="12" t="s">
        <v>17</v>
      </c>
      <c r="AA1" s="12" t="s">
        <v>18</v>
      </c>
      <c r="AB1" s="12" t="s">
        <v>19</v>
      </c>
      <c r="AC1" s="12" t="s">
        <v>16</v>
      </c>
      <c r="AD1" s="12" t="s">
        <v>20</v>
      </c>
      <c r="AE1" s="12" t="s">
        <v>21</v>
      </c>
      <c r="AF1" s="12" t="s">
        <v>170</v>
      </c>
      <c r="AG1" s="12" t="s">
        <v>22</v>
      </c>
      <c r="AH1" s="12" t="s">
        <v>23</v>
      </c>
      <c r="AI1" s="12" t="s">
        <v>24</v>
      </c>
      <c r="AJ1" s="12" t="s">
        <v>25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205"/>
  <sheetViews>
    <sheetView rightToLeft="1" topLeftCell="N21" zoomScale="70" zoomScaleNormal="70" workbookViewId="0"/>
  </sheetViews>
  <sheetFormatPr defaultColWidth="0" defaultRowHeight="14.25" zeroHeight="1"/>
  <cols>
    <col min="1" max="25" width="11.625" customWidth="1"/>
    <col min="26" max="26" width="12.875" customWidth="1"/>
    <col min="27" max="36" width="11.625" customWidth="1"/>
  </cols>
  <sheetData>
    <row r="1" spans="1:36" ht="66.75" customHeight="1">
      <c r="A1" s="12" t="s">
        <v>0</v>
      </c>
      <c r="B1" s="12" t="s">
        <v>1</v>
      </c>
      <c r="C1" s="12" t="s">
        <v>2</v>
      </c>
      <c r="D1" s="12" t="s">
        <v>151</v>
      </c>
      <c r="E1" s="12" t="s">
        <v>152</v>
      </c>
      <c r="F1" s="12" t="s">
        <v>3</v>
      </c>
      <c r="G1" s="12" t="s">
        <v>4</v>
      </c>
      <c r="H1" s="12" t="s">
        <v>153</v>
      </c>
      <c r="I1" s="12" t="s">
        <v>5</v>
      </c>
      <c r="J1" s="12" t="s">
        <v>6</v>
      </c>
      <c r="K1" s="12" t="s">
        <v>7</v>
      </c>
      <c r="L1" s="12" t="s">
        <v>336</v>
      </c>
      <c r="M1" s="12" t="s">
        <v>8</v>
      </c>
      <c r="N1" s="12" t="s">
        <v>154</v>
      </c>
      <c r="O1" s="12" t="s">
        <v>130</v>
      </c>
      <c r="P1" s="12" t="s">
        <v>9</v>
      </c>
      <c r="Q1" s="12" t="s">
        <v>10</v>
      </c>
      <c r="R1" s="12" t="s">
        <v>178</v>
      </c>
      <c r="S1" s="12" t="s">
        <v>11</v>
      </c>
      <c r="T1" s="12" t="s">
        <v>12</v>
      </c>
      <c r="U1" s="12" t="s">
        <v>13</v>
      </c>
      <c r="V1" s="135" t="s">
        <v>14</v>
      </c>
      <c r="W1" s="139" t="s">
        <v>15</v>
      </c>
      <c r="X1" s="12" t="s">
        <v>420</v>
      </c>
      <c r="Y1" s="12" t="s">
        <v>841</v>
      </c>
      <c r="Z1" s="12" t="s">
        <v>17</v>
      </c>
      <c r="AA1" s="133" t="s">
        <v>18</v>
      </c>
      <c r="AB1" s="144" t="s">
        <v>19</v>
      </c>
      <c r="AC1" s="12" t="s">
        <v>16</v>
      </c>
      <c r="AD1" s="12" t="s">
        <v>20</v>
      </c>
      <c r="AE1" s="12" t="s">
        <v>21</v>
      </c>
      <c r="AF1" s="12" t="s">
        <v>170</v>
      </c>
      <c r="AG1" s="12" t="s">
        <v>22</v>
      </c>
      <c r="AH1" s="139" t="s">
        <v>23</v>
      </c>
      <c r="AI1" s="139" t="s">
        <v>24</v>
      </c>
      <c r="AJ1" s="139" t="s">
        <v>25</v>
      </c>
    </row>
    <row r="2" spans="1:36">
      <c r="A2" s="2">
        <v>382</v>
      </c>
      <c r="B2" s="13">
        <v>382</v>
      </c>
      <c r="C2" s="13" t="s">
        <v>1713</v>
      </c>
      <c r="D2" s="13" t="s">
        <v>1714</v>
      </c>
      <c r="E2" s="11" t="s">
        <v>1322</v>
      </c>
      <c r="F2" s="13" t="s">
        <v>1715</v>
      </c>
      <c r="G2" s="13" t="s">
        <v>1716</v>
      </c>
      <c r="H2" s="11" t="s">
        <v>184</v>
      </c>
      <c r="I2" s="18" t="s">
        <v>765</v>
      </c>
      <c r="J2" s="11" t="s">
        <v>30</v>
      </c>
      <c r="K2" s="11" t="s">
        <v>30</v>
      </c>
      <c r="L2" s="13" t="s">
        <v>337</v>
      </c>
      <c r="M2" s="11" t="s">
        <v>44</v>
      </c>
      <c r="N2" s="13" t="s">
        <v>472</v>
      </c>
      <c r="O2" s="13" t="s">
        <v>144</v>
      </c>
      <c r="P2" s="13" t="s">
        <v>1717</v>
      </c>
      <c r="Q2" s="13" t="s">
        <v>423</v>
      </c>
      <c r="R2" s="13" t="s">
        <v>417</v>
      </c>
      <c r="S2" s="11" t="s">
        <v>34</v>
      </c>
      <c r="T2" s="127">
        <v>1.9319999999999999</v>
      </c>
      <c r="U2" s="13" t="s">
        <v>1718</v>
      </c>
      <c r="V2" s="147">
        <v>2.3400000000000001E-2</v>
      </c>
      <c r="W2" s="148">
        <v>2.674E-2</v>
      </c>
      <c r="X2" s="11" t="s">
        <v>422</v>
      </c>
      <c r="Y2" s="11" t="s">
        <v>144</v>
      </c>
      <c r="Z2" s="127">
        <v>5280000.24</v>
      </c>
      <c r="AA2" s="149">
        <v>1</v>
      </c>
      <c r="AB2" s="150">
        <v>116.51</v>
      </c>
      <c r="AC2" s="13"/>
      <c r="AD2" s="127">
        <v>6151.7280000000001</v>
      </c>
      <c r="AE2" s="13"/>
      <c r="AF2" s="18"/>
      <c r="AG2" s="11" t="s">
        <v>36</v>
      </c>
      <c r="AH2" s="140">
        <v>2.503E-3</v>
      </c>
      <c r="AI2" s="140">
        <v>2.15763559768875E-2</v>
      </c>
      <c r="AJ2" s="140">
        <v>2.1401801345897501E-3</v>
      </c>
    </row>
    <row r="3" spans="1:36">
      <c r="A3" s="13">
        <v>382</v>
      </c>
      <c r="B3" s="13">
        <v>382</v>
      </c>
      <c r="C3" s="13" t="s">
        <v>1514</v>
      </c>
      <c r="D3" s="13" t="s">
        <v>1515</v>
      </c>
      <c r="E3" s="11" t="s">
        <v>1322</v>
      </c>
      <c r="F3" s="13" t="s">
        <v>1719</v>
      </c>
      <c r="G3" s="13" t="s">
        <v>1720</v>
      </c>
      <c r="H3" s="11" t="s">
        <v>184</v>
      </c>
      <c r="I3" s="13" t="s">
        <v>765</v>
      </c>
      <c r="J3" s="11" t="s">
        <v>30</v>
      </c>
      <c r="K3" s="11" t="s">
        <v>30</v>
      </c>
      <c r="L3" s="13" t="s">
        <v>337</v>
      </c>
      <c r="M3" s="11" t="s">
        <v>44</v>
      </c>
      <c r="N3" s="13" t="s">
        <v>472</v>
      </c>
      <c r="O3" s="13" t="s">
        <v>144</v>
      </c>
      <c r="P3" s="13" t="s">
        <v>1721</v>
      </c>
      <c r="Q3" s="13" t="s">
        <v>423</v>
      </c>
      <c r="R3" s="13" t="s">
        <v>417</v>
      </c>
      <c r="S3" s="11" t="s">
        <v>34</v>
      </c>
      <c r="T3" s="127">
        <v>6.7370000000000001</v>
      </c>
      <c r="U3" s="13" t="s">
        <v>1722</v>
      </c>
      <c r="V3" s="147">
        <v>2.5600000000000001E-2</v>
      </c>
      <c r="W3" s="148">
        <v>3.4340000000000002E-2</v>
      </c>
      <c r="X3" s="11" t="s">
        <v>422</v>
      </c>
      <c r="Y3" s="11" t="s">
        <v>144</v>
      </c>
      <c r="Z3" s="127">
        <v>2700000</v>
      </c>
      <c r="AA3" s="149">
        <v>1</v>
      </c>
      <c r="AB3" s="150">
        <v>103.64</v>
      </c>
      <c r="AC3" s="13"/>
      <c r="AD3" s="127">
        <v>2798.28</v>
      </c>
      <c r="AE3" s="13"/>
      <c r="AF3" s="2"/>
      <c r="AG3" s="11" t="s">
        <v>36</v>
      </c>
      <c r="AH3" s="140">
        <v>2.5699999999999998E-3</v>
      </c>
      <c r="AI3" s="140">
        <v>9.8145891135970192E-3</v>
      </c>
      <c r="AJ3" s="140">
        <v>9.7351882183356901E-4</v>
      </c>
    </row>
    <row r="4" spans="1:36">
      <c r="A4" s="13">
        <v>382</v>
      </c>
      <c r="B4" s="13">
        <v>382</v>
      </c>
      <c r="C4" s="13" t="s">
        <v>1514</v>
      </c>
      <c r="D4" s="13" t="s">
        <v>1515</v>
      </c>
      <c r="E4" s="11" t="s">
        <v>1322</v>
      </c>
      <c r="F4" s="13" t="s">
        <v>1723</v>
      </c>
      <c r="G4" s="13" t="s">
        <v>1724</v>
      </c>
      <c r="H4" s="11" t="s">
        <v>184</v>
      </c>
      <c r="I4" s="13" t="s">
        <v>977</v>
      </c>
      <c r="J4" s="11" t="s">
        <v>30</v>
      </c>
      <c r="K4" s="11" t="s">
        <v>30</v>
      </c>
      <c r="L4" s="13" t="s">
        <v>337</v>
      </c>
      <c r="M4" s="11" t="s">
        <v>44</v>
      </c>
      <c r="N4" s="13" t="s">
        <v>472</v>
      </c>
      <c r="O4" s="13" t="s">
        <v>144</v>
      </c>
      <c r="P4" s="13" t="s">
        <v>1721</v>
      </c>
      <c r="Q4" s="13" t="s">
        <v>423</v>
      </c>
      <c r="R4" s="13" t="s">
        <v>417</v>
      </c>
      <c r="S4" s="11" t="s">
        <v>34</v>
      </c>
      <c r="T4" s="127">
        <v>4.0880000000000001</v>
      </c>
      <c r="U4" s="13" t="s">
        <v>1725</v>
      </c>
      <c r="V4" s="147">
        <v>2.41E-2</v>
      </c>
      <c r="W4" s="148">
        <v>5.2479999999999999E-2</v>
      </c>
      <c r="X4" s="11" t="s">
        <v>422</v>
      </c>
      <c r="Y4" s="11" t="s">
        <v>144</v>
      </c>
      <c r="Z4" s="127">
        <v>3685500</v>
      </c>
      <c r="AA4" s="149">
        <v>1</v>
      </c>
      <c r="AB4" s="150">
        <v>91.16</v>
      </c>
      <c r="AC4" s="13"/>
      <c r="AD4" s="127">
        <v>3359.7020000000002</v>
      </c>
      <c r="AE4" s="13"/>
      <c r="AF4" s="2"/>
      <c r="AG4" s="11" t="s">
        <v>36</v>
      </c>
      <c r="AH4" s="140">
        <v>1.7930000000000001E-3</v>
      </c>
      <c r="AI4" s="140">
        <v>1.17837002412955E-2</v>
      </c>
      <c r="AJ4" s="140">
        <v>1.1688369062596001E-3</v>
      </c>
    </row>
    <row r="5" spans="1:36">
      <c r="A5" s="13">
        <v>382</v>
      </c>
      <c r="B5" s="13">
        <v>382</v>
      </c>
      <c r="C5" s="13" t="s">
        <v>1726</v>
      </c>
      <c r="D5" s="13" t="s">
        <v>1727</v>
      </c>
      <c r="E5" s="11" t="s">
        <v>1322</v>
      </c>
      <c r="F5" s="13" t="s">
        <v>1728</v>
      </c>
      <c r="G5" s="13" t="s">
        <v>1729</v>
      </c>
      <c r="H5" s="11" t="s">
        <v>184</v>
      </c>
      <c r="I5" s="13" t="s">
        <v>977</v>
      </c>
      <c r="J5" s="11" t="s">
        <v>30</v>
      </c>
      <c r="K5" s="11" t="s">
        <v>30</v>
      </c>
      <c r="L5" s="13" t="s">
        <v>337</v>
      </c>
      <c r="M5" s="11" t="s">
        <v>44</v>
      </c>
      <c r="N5" s="13" t="s">
        <v>459</v>
      </c>
      <c r="O5" s="13" t="s">
        <v>144</v>
      </c>
      <c r="P5" s="13" t="s">
        <v>1730</v>
      </c>
      <c r="Q5" s="13" t="s">
        <v>423</v>
      </c>
      <c r="R5" s="13" t="s">
        <v>417</v>
      </c>
      <c r="S5" s="11" t="s">
        <v>34</v>
      </c>
      <c r="T5" s="127">
        <v>0.97499999999999998</v>
      </c>
      <c r="U5" s="13" t="s">
        <v>1731</v>
      </c>
      <c r="V5" s="147">
        <v>0.04</v>
      </c>
      <c r="W5" s="148">
        <v>4.614E-2</v>
      </c>
      <c r="X5" s="11" t="s">
        <v>422</v>
      </c>
      <c r="Y5" s="11" t="s">
        <v>144</v>
      </c>
      <c r="Z5" s="127">
        <v>1166669.47</v>
      </c>
      <c r="AA5" s="149">
        <v>1</v>
      </c>
      <c r="AB5" s="150">
        <v>99.49</v>
      </c>
      <c r="AC5" s="13"/>
      <c r="AD5" s="127">
        <v>1160.7190000000001</v>
      </c>
      <c r="AE5" s="13"/>
      <c r="AF5" s="2"/>
      <c r="AG5" s="11" t="s">
        <v>36</v>
      </c>
      <c r="AH5" s="140">
        <v>8.855E-3</v>
      </c>
      <c r="AI5" s="140">
        <v>4.0710667030757902E-3</v>
      </c>
      <c r="AJ5" s="140">
        <v>4.03813141285106E-4</v>
      </c>
    </row>
    <row r="6" spans="1:36">
      <c r="A6" s="13">
        <v>382</v>
      </c>
      <c r="B6" s="13">
        <v>382</v>
      </c>
      <c r="C6" s="13" t="s">
        <v>1726</v>
      </c>
      <c r="D6" s="13" t="s">
        <v>1727</v>
      </c>
      <c r="E6" s="11" t="s">
        <v>1322</v>
      </c>
      <c r="F6" s="13" t="s">
        <v>1732</v>
      </c>
      <c r="G6" s="13" t="s">
        <v>1733</v>
      </c>
      <c r="H6" s="11" t="s">
        <v>184</v>
      </c>
      <c r="I6" s="13" t="s">
        <v>977</v>
      </c>
      <c r="J6" s="11" t="s">
        <v>30</v>
      </c>
      <c r="K6" s="11" t="s">
        <v>30</v>
      </c>
      <c r="L6" s="13" t="s">
        <v>337</v>
      </c>
      <c r="M6" s="11" t="s">
        <v>44</v>
      </c>
      <c r="N6" s="13" t="s">
        <v>459</v>
      </c>
      <c r="O6" s="13" t="s">
        <v>144</v>
      </c>
      <c r="P6" s="13" t="s">
        <v>1730</v>
      </c>
      <c r="Q6" s="13" t="s">
        <v>423</v>
      </c>
      <c r="R6" s="13" t="s">
        <v>417</v>
      </c>
      <c r="S6" s="11" t="s">
        <v>34</v>
      </c>
      <c r="T6" s="127">
        <v>2.7090000000000001</v>
      </c>
      <c r="U6" s="13" t="s">
        <v>1734</v>
      </c>
      <c r="V6" s="147">
        <v>0.04</v>
      </c>
      <c r="W6" s="148">
        <v>5.1769999999999997E-2</v>
      </c>
      <c r="X6" s="11" t="s">
        <v>422</v>
      </c>
      <c r="Y6" s="11" t="s">
        <v>144</v>
      </c>
      <c r="Z6" s="125">
        <v>2275000.2599999998</v>
      </c>
      <c r="AA6" s="134">
        <v>1</v>
      </c>
      <c r="AB6" s="151">
        <v>98.91</v>
      </c>
      <c r="AC6" s="13"/>
      <c r="AD6" s="125">
        <v>2250.203</v>
      </c>
      <c r="AE6" s="2"/>
      <c r="AF6" s="2"/>
      <c r="AG6" s="2" t="s">
        <v>36</v>
      </c>
      <c r="AH6" s="140">
        <v>3.3579999999999999E-3</v>
      </c>
      <c r="AI6" s="140">
        <v>7.8922822176005995E-3</v>
      </c>
      <c r="AJ6" s="140">
        <v>7.8284329553972201E-4</v>
      </c>
    </row>
    <row r="7" spans="1:36">
      <c r="A7" s="13">
        <v>382</v>
      </c>
      <c r="B7" s="13">
        <v>382</v>
      </c>
      <c r="C7" s="13" t="s">
        <v>1518</v>
      </c>
      <c r="D7" s="13" t="s">
        <v>1519</v>
      </c>
      <c r="E7" s="11" t="s">
        <v>1322</v>
      </c>
      <c r="F7" s="13" t="s">
        <v>1735</v>
      </c>
      <c r="G7" s="13" t="s">
        <v>1736</v>
      </c>
      <c r="H7" s="11" t="s">
        <v>184</v>
      </c>
      <c r="I7" s="13" t="s">
        <v>765</v>
      </c>
      <c r="J7" s="11" t="s">
        <v>30</v>
      </c>
      <c r="K7" s="11" t="s">
        <v>30</v>
      </c>
      <c r="L7" s="13" t="s">
        <v>337</v>
      </c>
      <c r="M7" s="11" t="s">
        <v>44</v>
      </c>
      <c r="N7" s="13" t="s">
        <v>472</v>
      </c>
      <c r="O7" s="13" t="s">
        <v>144</v>
      </c>
      <c r="P7" s="13" t="s">
        <v>1717</v>
      </c>
      <c r="Q7" s="13" t="s">
        <v>423</v>
      </c>
      <c r="R7" s="13" t="s">
        <v>417</v>
      </c>
      <c r="S7" s="11" t="s">
        <v>34</v>
      </c>
      <c r="T7" s="127">
        <v>1.929</v>
      </c>
      <c r="U7" s="13" t="s">
        <v>1737</v>
      </c>
      <c r="V7" s="147">
        <v>3.2000000000000001E-2</v>
      </c>
      <c r="W7" s="148">
        <v>2.4420000000000001E-2</v>
      </c>
      <c r="X7" s="11" t="s">
        <v>422</v>
      </c>
      <c r="Y7" s="11" t="s">
        <v>144</v>
      </c>
      <c r="Z7" s="125">
        <v>3120000</v>
      </c>
      <c r="AA7" s="134">
        <v>1</v>
      </c>
      <c r="AB7" s="151">
        <v>118.5</v>
      </c>
      <c r="AC7" s="13"/>
      <c r="AD7" s="125">
        <v>3697.2</v>
      </c>
      <c r="AE7" s="2"/>
      <c r="AF7" s="2"/>
      <c r="AG7" s="2" t="s">
        <v>36</v>
      </c>
      <c r="AH7" s="140">
        <v>5.6509999999999998E-3</v>
      </c>
      <c r="AI7" s="140">
        <v>1.2967429589172999E-2</v>
      </c>
      <c r="AJ7" s="140">
        <v>1.2862521935199699E-3</v>
      </c>
    </row>
    <row r="8" spans="1:36">
      <c r="A8" s="13">
        <v>382</v>
      </c>
      <c r="B8" s="13">
        <v>382</v>
      </c>
      <c r="C8" s="13" t="s">
        <v>1522</v>
      </c>
      <c r="D8" s="13" t="s">
        <v>1523</v>
      </c>
      <c r="E8" s="11" t="s">
        <v>1322</v>
      </c>
      <c r="F8" s="13" t="s">
        <v>1738</v>
      </c>
      <c r="G8" s="13" t="s">
        <v>1739</v>
      </c>
      <c r="H8" s="11" t="s">
        <v>184</v>
      </c>
      <c r="I8" s="13" t="s">
        <v>977</v>
      </c>
      <c r="J8" s="11" t="s">
        <v>30</v>
      </c>
      <c r="K8" s="11" t="s">
        <v>94</v>
      </c>
      <c r="L8" s="13" t="s">
        <v>337</v>
      </c>
      <c r="M8" s="11" t="s">
        <v>44</v>
      </c>
      <c r="N8" s="13" t="s">
        <v>449</v>
      </c>
      <c r="O8" s="13" t="s">
        <v>144</v>
      </c>
      <c r="P8" s="13" t="s">
        <v>1740</v>
      </c>
      <c r="Q8" s="13" t="s">
        <v>425</v>
      </c>
      <c r="R8" s="13" t="s">
        <v>417</v>
      </c>
      <c r="S8" s="11" t="s">
        <v>34</v>
      </c>
      <c r="T8" s="127">
        <v>1.4850000000000001</v>
      </c>
      <c r="U8" s="13" t="s">
        <v>1741</v>
      </c>
      <c r="V8" s="147">
        <v>3.4500000000000003E-2</v>
      </c>
      <c r="W8" s="148">
        <v>5.194E-2</v>
      </c>
      <c r="X8" s="11" t="s">
        <v>422</v>
      </c>
      <c r="Y8" s="11" t="s">
        <v>144</v>
      </c>
      <c r="Z8" s="127">
        <v>2608695.46</v>
      </c>
      <c r="AA8" s="149">
        <v>1</v>
      </c>
      <c r="AB8" s="150">
        <v>98.71</v>
      </c>
      <c r="AC8" s="13"/>
      <c r="AD8" s="127">
        <v>2575.0430000000001</v>
      </c>
      <c r="AE8" s="13"/>
      <c r="AF8" s="2"/>
      <c r="AG8" s="11" t="s">
        <v>36</v>
      </c>
      <c r="AH8" s="140">
        <v>4.0590000000000001E-3</v>
      </c>
      <c r="AI8" s="140">
        <v>9.0316165026376703E-3</v>
      </c>
      <c r="AJ8" s="140">
        <v>8.9585499251512105E-4</v>
      </c>
    </row>
    <row r="9" spans="1:36">
      <c r="A9" s="13">
        <v>382</v>
      </c>
      <c r="B9" s="13">
        <v>382</v>
      </c>
      <c r="C9" s="13" t="s">
        <v>1742</v>
      </c>
      <c r="D9" s="13" t="s">
        <v>1743</v>
      </c>
      <c r="E9" s="11" t="s">
        <v>1322</v>
      </c>
      <c r="F9" s="13" t="s">
        <v>1744</v>
      </c>
      <c r="G9" s="13" t="s">
        <v>1745</v>
      </c>
      <c r="H9" s="11" t="s">
        <v>184</v>
      </c>
      <c r="I9" s="13" t="s">
        <v>766</v>
      </c>
      <c r="J9" s="11" t="s">
        <v>30</v>
      </c>
      <c r="K9" s="11" t="s">
        <v>30</v>
      </c>
      <c r="L9" s="13" t="s">
        <v>337</v>
      </c>
      <c r="M9" s="11" t="s">
        <v>44</v>
      </c>
      <c r="N9" s="13" t="s">
        <v>448</v>
      </c>
      <c r="O9" s="13" t="s">
        <v>144</v>
      </c>
      <c r="P9" s="13" t="s">
        <v>1730</v>
      </c>
      <c r="Q9" s="13" t="s">
        <v>423</v>
      </c>
      <c r="R9" s="13" t="s">
        <v>417</v>
      </c>
      <c r="S9" s="11" t="s">
        <v>34</v>
      </c>
      <c r="T9" s="127">
        <v>0.48499999999999999</v>
      </c>
      <c r="U9" s="13" t="s">
        <v>1746</v>
      </c>
      <c r="V9" s="147">
        <v>4.7E-2</v>
      </c>
      <c r="W9" s="148">
        <v>5.704E-2</v>
      </c>
      <c r="X9" s="11" t="s">
        <v>422</v>
      </c>
      <c r="Y9" s="11" t="s">
        <v>144</v>
      </c>
      <c r="Z9" s="127">
        <v>1127233.02</v>
      </c>
      <c r="AA9" s="149">
        <v>1</v>
      </c>
      <c r="AB9" s="150">
        <v>100.61</v>
      </c>
      <c r="AC9" s="13"/>
      <c r="AD9" s="127">
        <v>1134.1089999999999</v>
      </c>
      <c r="AE9" s="13"/>
      <c r="AF9" s="2"/>
      <c r="AG9" s="11" t="s">
        <v>36</v>
      </c>
      <c r="AH9" s="140">
        <v>4.5960000000000003E-3</v>
      </c>
      <c r="AI9" s="140">
        <v>3.9777346202064202E-3</v>
      </c>
      <c r="AJ9" s="140">
        <v>3.9455543947990401E-4</v>
      </c>
    </row>
    <row r="10" spans="1:36">
      <c r="A10" s="13">
        <v>382</v>
      </c>
      <c r="B10" s="13">
        <v>382</v>
      </c>
      <c r="C10" s="13" t="s">
        <v>1747</v>
      </c>
      <c r="D10" s="13" t="s">
        <v>1748</v>
      </c>
      <c r="E10" s="11" t="s">
        <v>1322</v>
      </c>
      <c r="F10" s="13" t="s">
        <v>1749</v>
      </c>
      <c r="G10" s="13" t="s">
        <v>1750</v>
      </c>
      <c r="H10" s="11" t="s">
        <v>184</v>
      </c>
      <c r="I10" s="13" t="s">
        <v>765</v>
      </c>
      <c r="J10" s="11" t="s">
        <v>30</v>
      </c>
      <c r="K10" s="11" t="s">
        <v>30</v>
      </c>
      <c r="L10" s="13" t="s">
        <v>337</v>
      </c>
      <c r="M10" s="11" t="s">
        <v>44</v>
      </c>
      <c r="N10" s="13" t="s">
        <v>472</v>
      </c>
      <c r="O10" s="13" t="s">
        <v>144</v>
      </c>
      <c r="P10" s="13" t="s">
        <v>1717</v>
      </c>
      <c r="Q10" s="13" t="s">
        <v>423</v>
      </c>
      <c r="R10" s="13" t="s">
        <v>417</v>
      </c>
      <c r="S10" s="11" t="s">
        <v>34</v>
      </c>
      <c r="T10" s="127">
        <v>1.181</v>
      </c>
      <c r="U10" s="13" t="s">
        <v>1751</v>
      </c>
      <c r="V10" s="147">
        <v>1.34E-2</v>
      </c>
      <c r="W10" s="148">
        <v>2.6720000000000001E-2</v>
      </c>
      <c r="X10" s="11" t="s">
        <v>422</v>
      </c>
      <c r="Y10" s="11" t="s">
        <v>144</v>
      </c>
      <c r="Z10" s="127">
        <v>2571428.4300000002</v>
      </c>
      <c r="AA10" s="149">
        <v>1</v>
      </c>
      <c r="AB10" s="150">
        <v>114.94</v>
      </c>
      <c r="AC10" s="13"/>
      <c r="AD10" s="127">
        <v>2955.6</v>
      </c>
      <c r="AE10" s="13"/>
      <c r="AF10" s="2"/>
      <c r="AG10" s="11" t="s">
        <v>36</v>
      </c>
      <c r="AH10" s="140">
        <v>5.2249999999999996E-3</v>
      </c>
      <c r="AI10" s="140">
        <v>1.03663671929569E-2</v>
      </c>
      <c r="AJ10" s="140">
        <v>1.0282502364159501E-3</v>
      </c>
    </row>
    <row r="11" spans="1:36">
      <c r="A11" s="13">
        <v>382</v>
      </c>
      <c r="B11" s="13">
        <v>382</v>
      </c>
      <c r="C11" s="13" t="s">
        <v>1747</v>
      </c>
      <c r="D11" s="13" t="s">
        <v>1748</v>
      </c>
      <c r="E11" s="11" t="s">
        <v>1322</v>
      </c>
      <c r="F11" s="13" t="s">
        <v>1752</v>
      </c>
      <c r="G11" s="13" t="s">
        <v>1753</v>
      </c>
      <c r="H11" s="11" t="s">
        <v>184</v>
      </c>
      <c r="I11" s="13" t="s">
        <v>765</v>
      </c>
      <c r="J11" s="11" t="s">
        <v>30</v>
      </c>
      <c r="K11" s="11" t="s">
        <v>30</v>
      </c>
      <c r="L11" s="13" t="s">
        <v>337</v>
      </c>
      <c r="M11" s="11" t="s">
        <v>44</v>
      </c>
      <c r="N11" s="13" t="s">
        <v>472</v>
      </c>
      <c r="O11" s="13" t="s">
        <v>144</v>
      </c>
      <c r="P11" s="13" t="s">
        <v>1721</v>
      </c>
      <c r="Q11" s="13" t="s">
        <v>423</v>
      </c>
      <c r="R11" s="13" t="s">
        <v>417</v>
      </c>
      <c r="S11" s="11" t="s">
        <v>34</v>
      </c>
      <c r="T11" s="127">
        <v>0.35299999999999998</v>
      </c>
      <c r="U11" s="13" t="s">
        <v>1754</v>
      </c>
      <c r="V11" s="147">
        <v>2.5000000000000001E-2</v>
      </c>
      <c r="W11" s="148">
        <v>3.1620000000000002E-2</v>
      </c>
      <c r="X11" s="11" t="s">
        <v>422</v>
      </c>
      <c r="Y11" s="11" t="s">
        <v>144</v>
      </c>
      <c r="Z11" s="127">
        <v>1500379.74</v>
      </c>
      <c r="AA11" s="149">
        <v>1</v>
      </c>
      <c r="AB11" s="150">
        <v>115.6</v>
      </c>
      <c r="AC11" s="13"/>
      <c r="AD11" s="127">
        <v>1734.4390000000001</v>
      </c>
      <c r="AE11" s="13"/>
      <c r="AF11" s="2"/>
      <c r="AG11" s="11" t="s">
        <v>36</v>
      </c>
      <c r="AH11" s="140">
        <v>6.3709999999999999E-3</v>
      </c>
      <c r="AI11" s="140">
        <v>6.0833104356283699E-3</v>
      </c>
      <c r="AJ11" s="140">
        <v>6.0340959153717499E-4</v>
      </c>
    </row>
    <row r="12" spans="1:36">
      <c r="A12" s="13">
        <v>382</v>
      </c>
      <c r="B12" s="13">
        <v>382</v>
      </c>
      <c r="C12" s="13" t="s">
        <v>1747</v>
      </c>
      <c r="D12" s="13" t="s">
        <v>1748</v>
      </c>
      <c r="E12" s="11" t="s">
        <v>1322</v>
      </c>
      <c r="F12" s="13" t="s">
        <v>1755</v>
      </c>
      <c r="G12" s="13" t="s">
        <v>1756</v>
      </c>
      <c r="H12" s="11" t="s">
        <v>184</v>
      </c>
      <c r="I12" s="13" t="s">
        <v>765</v>
      </c>
      <c r="J12" s="11" t="s">
        <v>30</v>
      </c>
      <c r="K12" s="11" t="s">
        <v>30</v>
      </c>
      <c r="L12" s="13" t="s">
        <v>337</v>
      </c>
      <c r="M12" s="11" t="s">
        <v>44</v>
      </c>
      <c r="N12" s="13" t="s">
        <v>472</v>
      </c>
      <c r="O12" s="13" t="s">
        <v>144</v>
      </c>
      <c r="P12" s="13" t="s">
        <v>1721</v>
      </c>
      <c r="Q12" s="13" t="s">
        <v>423</v>
      </c>
      <c r="R12" s="13" t="s">
        <v>417</v>
      </c>
      <c r="S12" s="11" t="s">
        <v>34</v>
      </c>
      <c r="T12" s="127">
        <v>5.1269999999999998</v>
      </c>
      <c r="U12" s="13" t="s">
        <v>1757</v>
      </c>
      <c r="V12" s="147">
        <v>1.8700000000000001E-2</v>
      </c>
      <c r="W12" s="148">
        <v>3.0720000000000001E-2</v>
      </c>
      <c r="X12" s="11" t="s">
        <v>422</v>
      </c>
      <c r="Y12" s="11" t="s">
        <v>144</v>
      </c>
      <c r="Z12" s="127">
        <v>3886300</v>
      </c>
      <c r="AA12" s="149">
        <v>1</v>
      </c>
      <c r="AB12" s="150">
        <v>104.45</v>
      </c>
      <c r="AC12" s="13"/>
      <c r="AD12" s="127">
        <v>4059.24</v>
      </c>
      <c r="AE12" s="13"/>
      <c r="AF12" s="2"/>
      <c r="AG12" s="11" t="s">
        <v>36</v>
      </c>
      <c r="AH12" s="140">
        <v>3.797E-3</v>
      </c>
      <c r="AI12" s="140">
        <v>1.42372372130679E-2</v>
      </c>
      <c r="AJ12" s="140">
        <v>1.4122056702943499E-3</v>
      </c>
    </row>
    <row r="13" spans="1:36">
      <c r="A13" s="13">
        <v>382</v>
      </c>
      <c r="B13" s="13">
        <v>382</v>
      </c>
      <c r="C13" s="13" t="s">
        <v>1758</v>
      </c>
      <c r="D13" s="13" t="s">
        <v>1759</v>
      </c>
      <c r="E13" s="11" t="s">
        <v>1322</v>
      </c>
      <c r="F13" s="13" t="s">
        <v>1760</v>
      </c>
      <c r="G13" s="13" t="s">
        <v>1761</v>
      </c>
      <c r="H13" s="11" t="s">
        <v>184</v>
      </c>
      <c r="I13" s="13" t="s">
        <v>765</v>
      </c>
      <c r="J13" s="11" t="s">
        <v>30</v>
      </c>
      <c r="K13" s="11" t="s">
        <v>30</v>
      </c>
      <c r="L13" s="13" t="s">
        <v>337</v>
      </c>
      <c r="M13" s="11" t="s">
        <v>44</v>
      </c>
      <c r="N13" s="13" t="s">
        <v>456</v>
      </c>
      <c r="O13" s="13" t="s">
        <v>144</v>
      </c>
      <c r="P13" s="13" t="s">
        <v>1179</v>
      </c>
      <c r="Q13" s="13" t="s">
        <v>423</v>
      </c>
      <c r="R13" s="13" t="s">
        <v>417</v>
      </c>
      <c r="S13" s="11" t="s">
        <v>34</v>
      </c>
      <c r="T13" s="127">
        <v>0.68799999999999994</v>
      </c>
      <c r="U13" s="13" t="s">
        <v>1762</v>
      </c>
      <c r="V13" s="147">
        <v>1E-3</v>
      </c>
      <c r="W13" s="148">
        <v>2.2620000000000001E-2</v>
      </c>
      <c r="X13" s="11" t="s">
        <v>422</v>
      </c>
      <c r="Y13" s="11" t="s">
        <v>144</v>
      </c>
      <c r="Z13" s="127">
        <v>2000000</v>
      </c>
      <c r="AA13" s="149">
        <v>1</v>
      </c>
      <c r="AB13" s="150">
        <v>112.9</v>
      </c>
      <c r="AC13" s="13"/>
      <c r="AD13" s="127">
        <v>2258</v>
      </c>
      <c r="AE13" s="13"/>
      <c r="AF13" s="2"/>
      <c r="AG13" s="11" t="s">
        <v>36</v>
      </c>
      <c r="AH13" s="140">
        <v>1.333E-3</v>
      </c>
      <c r="AI13" s="140">
        <v>7.9196299936039501E-3</v>
      </c>
      <c r="AJ13" s="140">
        <v>7.8555594854703601E-4</v>
      </c>
    </row>
    <row r="14" spans="1:36">
      <c r="A14" s="13">
        <v>382</v>
      </c>
      <c r="B14" s="13">
        <v>382</v>
      </c>
      <c r="C14" s="13" t="s">
        <v>1763</v>
      </c>
      <c r="D14" s="13" t="s">
        <v>1764</v>
      </c>
      <c r="E14" s="11" t="s">
        <v>1322</v>
      </c>
      <c r="F14" s="13" t="s">
        <v>1765</v>
      </c>
      <c r="G14" s="13" t="s">
        <v>1766</v>
      </c>
      <c r="H14" s="11" t="s">
        <v>184</v>
      </c>
      <c r="I14" s="13" t="s">
        <v>977</v>
      </c>
      <c r="J14" s="11" t="s">
        <v>30</v>
      </c>
      <c r="K14" s="11" t="s">
        <v>30</v>
      </c>
      <c r="L14" s="13" t="s">
        <v>337</v>
      </c>
      <c r="M14" s="11" t="s">
        <v>44</v>
      </c>
      <c r="N14" s="13" t="s">
        <v>448</v>
      </c>
      <c r="O14" s="13" t="s">
        <v>144</v>
      </c>
      <c r="P14" s="13" t="s">
        <v>1767</v>
      </c>
      <c r="Q14" s="13" t="s">
        <v>425</v>
      </c>
      <c r="R14" s="13" t="s">
        <v>417</v>
      </c>
      <c r="S14" s="11" t="s">
        <v>34</v>
      </c>
      <c r="T14" s="127">
        <v>2.87</v>
      </c>
      <c r="U14" s="13" t="s">
        <v>1768</v>
      </c>
      <c r="V14" s="147">
        <v>7.2499999999999995E-2</v>
      </c>
      <c r="W14" s="148">
        <v>5.8200000000000002E-2</v>
      </c>
      <c r="X14" s="11" t="s">
        <v>422</v>
      </c>
      <c r="Y14" s="11" t="s">
        <v>144</v>
      </c>
      <c r="Z14" s="127">
        <v>2150052.2999999998</v>
      </c>
      <c r="AA14" s="149">
        <v>1</v>
      </c>
      <c r="AB14" s="150">
        <v>106.14</v>
      </c>
      <c r="AC14" s="13"/>
      <c r="AD14" s="127">
        <v>2282.0659999999998</v>
      </c>
      <c r="AE14" s="13"/>
      <c r="AF14" s="2"/>
      <c r="AG14" s="11" t="s">
        <v>36</v>
      </c>
      <c r="AH14" s="140">
        <v>2.9859999999999999E-3</v>
      </c>
      <c r="AI14" s="140">
        <v>8.0040365234840798E-3</v>
      </c>
      <c r="AJ14" s="140">
        <v>7.9392831590474004E-4</v>
      </c>
    </row>
    <row r="15" spans="1:36">
      <c r="A15" s="13">
        <v>382</v>
      </c>
      <c r="B15" s="13">
        <v>382</v>
      </c>
      <c r="C15" s="13" t="s">
        <v>1769</v>
      </c>
      <c r="D15" s="13" t="s">
        <v>1770</v>
      </c>
      <c r="E15" s="11" t="s">
        <v>1322</v>
      </c>
      <c r="F15" s="13" t="s">
        <v>1771</v>
      </c>
      <c r="G15" s="13" t="s">
        <v>1772</v>
      </c>
      <c r="H15" s="11" t="s">
        <v>184</v>
      </c>
      <c r="I15" s="13" t="s">
        <v>765</v>
      </c>
      <c r="J15" s="11" t="s">
        <v>30</v>
      </c>
      <c r="K15" s="11" t="s">
        <v>30</v>
      </c>
      <c r="L15" s="13" t="s">
        <v>337</v>
      </c>
      <c r="M15" s="11" t="s">
        <v>44</v>
      </c>
      <c r="N15" s="13" t="s">
        <v>472</v>
      </c>
      <c r="O15" s="13" t="s">
        <v>144</v>
      </c>
      <c r="P15" s="13" t="s">
        <v>1717</v>
      </c>
      <c r="Q15" s="13" t="s">
        <v>423</v>
      </c>
      <c r="R15" s="13" t="s">
        <v>417</v>
      </c>
      <c r="S15" s="11" t="s">
        <v>34</v>
      </c>
      <c r="T15" s="127">
        <v>0.72899999999999998</v>
      </c>
      <c r="U15" s="13" t="s">
        <v>1773</v>
      </c>
      <c r="V15" s="147">
        <v>4.7500000000000001E-2</v>
      </c>
      <c r="W15" s="148">
        <v>2.5069999999999999E-2</v>
      </c>
      <c r="X15" s="11" t="s">
        <v>422</v>
      </c>
      <c r="Y15" s="11" t="s">
        <v>144</v>
      </c>
      <c r="Z15" s="127">
        <v>1959236.43</v>
      </c>
      <c r="AA15" s="149">
        <v>1</v>
      </c>
      <c r="AB15" s="150">
        <v>143.82</v>
      </c>
      <c r="AC15" s="13"/>
      <c r="AD15" s="127">
        <v>2817.7739999999999</v>
      </c>
      <c r="AE15" s="13"/>
      <c r="AF15" s="2"/>
      <c r="AG15" s="11" t="s">
        <v>36</v>
      </c>
      <c r="AH15" s="140">
        <v>2.0500000000000002E-3</v>
      </c>
      <c r="AI15" s="140">
        <v>9.8829611018498107E-3</v>
      </c>
      <c r="AJ15" s="140">
        <v>9.8030070711474298E-4</v>
      </c>
    </row>
    <row r="16" spans="1:36">
      <c r="A16" s="13">
        <v>382</v>
      </c>
      <c r="B16" s="13">
        <v>382</v>
      </c>
      <c r="C16" s="13" t="s">
        <v>1774</v>
      </c>
      <c r="D16" s="13" t="s">
        <v>1775</v>
      </c>
      <c r="E16" s="11" t="s">
        <v>1322</v>
      </c>
      <c r="F16" s="13" t="s">
        <v>1776</v>
      </c>
      <c r="G16" s="13" t="s">
        <v>1777</v>
      </c>
      <c r="H16" s="11" t="s">
        <v>184</v>
      </c>
      <c r="I16" s="13" t="s">
        <v>765</v>
      </c>
      <c r="J16" s="11" t="s">
        <v>30</v>
      </c>
      <c r="K16" s="11" t="s">
        <v>310</v>
      </c>
      <c r="L16" s="13" t="s">
        <v>337</v>
      </c>
      <c r="M16" s="11" t="s">
        <v>44</v>
      </c>
      <c r="N16" s="13" t="s">
        <v>473</v>
      </c>
      <c r="O16" s="13" t="s">
        <v>144</v>
      </c>
      <c r="P16" s="13" t="s">
        <v>1767</v>
      </c>
      <c r="Q16" s="13" t="s">
        <v>423</v>
      </c>
      <c r="R16" s="13" t="s">
        <v>417</v>
      </c>
      <c r="S16" s="11" t="s">
        <v>34</v>
      </c>
      <c r="T16" s="127">
        <v>1.641</v>
      </c>
      <c r="U16" s="13" t="s">
        <v>1778</v>
      </c>
      <c r="V16" s="147">
        <v>0.04</v>
      </c>
      <c r="W16" s="148">
        <v>3.8879999999999998E-2</v>
      </c>
      <c r="X16" s="11" t="s">
        <v>422</v>
      </c>
      <c r="Y16" s="11" t="s">
        <v>144</v>
      </c>
      <c r="Z16" s="127">
        <v>5399994.5300000003</v>
      </c>
      <c r="AA16" s="149">
        <v>1</v>
      </c>
      <c r="AB16" s="150">
        <v>115.3</v>
      </c>
      <c r="AC16" s="13"/>
      <c r="AD16" s="127">
        <v>6226.1940000000004</v>
      </c>
      <c r="AE16" s="13"/>
      <c r="AF16" s="2"/>
      <c r="AG16" s="11" t="s">
        <v>36</v>
      </c>
      <c r="AH16" s="140">
        <v>2.9589999999999998E-3</v>
      </c>
      <c r="AI16" s="140">
        <v>2.1837533355971401E-2</v>
      </c>
      <c r="AJ16" s="140">
        <v>2.1660865776850701E-3</v>
      </c>
    </row>
    <row r="17" spans="1:36">
      <c r="A17" s="13">
        <v>382</v>
      </c>
      <c r="B17" s="13">
        <v>382</v>
      </c>
      <c r="C17" s="13" t="s">
        <v>1779</v>
      </c>
      <c r="D17" s="13" t="s">
        <v>1780</v>
      </c>
      <c r="E17" s="11" t="s">
        <v>1322</v>
      </c>
      <c r="F17" s="13" t="s">
        <v>1781</v>
      </c>
      <c r="G17" s="13" t="s">
        <v>1782</v>
      </c>
      <c r="H17" s="11" t="s">
        <v>184</v>
      </c>
      <c r="I17" s="13" t="s">
        <v>765</v>
      </c>
      <c r="J17" s="11" t="s">
        <v>30</v>
      </c>
      <c r="K17" s="11" t="s">
        <v>30</v>
      </c>
      <c r="L17" s="13" t="s">
        <v>337</v>
      </c>
      <c r="M17" s="11" t="s">
        <v>44</v>
      </c>
      <c r="N17" s="13" t="s">
        <v>456</v>
      </c>
      <c r="O17" s="13" t="s">
        <v>144</v>
      </c>
      <c r="P17" s="13" t="s">
        <v>1179</v>
      </c>
      <c r="Q17" s="13" t="s">
        <v>423</v>
      </c>
      <c r="R17" s="13" t="s">
        <v>417</v>
      </c>
      <c r="S17" s="11" t="s">
        <v>34</v>
      </c>
      <c r="T17" s="127">
        <v>3.738</v>
      </c>
      <c r="U17" s="13" t="s">
        <v>1783</v>
      </c>
      <c r="V17" s="147">
        <v>2E-3</v>
      </c>
      <c r="W17" s="148">
        <v>2.384E-2</v>
      </c>
      <c r="X17" s="11" t="s">
        <v>422</v>
      </c>
      <c r="Y17" s="11" t="s">
        <v>144</v>
      </c>
      <c r="Z17" s="127">
        <v>5305262.95</v>
      </c>
      <c r="AA17" s="149">
        <v>1</v>
      </c>
      <c r="AB17" s="150">
        <v>103.66</v>
      </c>
      <c r="AC17" s="13"/>
      <c r="AD17" s="127">
        <v>5499.4359999999997</v>
      </c>
      <c r="AE17" s="13"/>
      <c r="AF17" s="2"/>
      <c r="AG17" s="11" t="s">
        <v>36</v>
      </c>
      <c r="AH17" s="140">
        <v>1.459E-3</v>
      </c>
      <c r="AI17" s="140">
        <v>1.9288527422278701E-2</v>
      </c>
      <c r="AJ17" s="140">
        <v>1.9132481526941199E-3</v>
      </c>
    </row>
    <row r="18" spans="1:36">
      <c r="A18" s="13">
        <v>382</v>
      </c>
      <c r="B18" s="13">
        <v>382</v>
      </c>
      <c r="C18" s="13" t="s">
        <v>1779</v>
      </c>
      <c r="D18" s="13" t="s">
        <v>1780</v>
      </c>
      <c r="E18" s="11" t="s">
        <v>1322</v>
      </c>
      <c r="F18" s="13" t="s">
        <v>1784</v>
      </c>
      <c r="G18" s="13" t="s">
        <v>1785</v>
      </c>
      <c r="H18" s="11" t="s">
        <v>184</v>
      </c>
      <c r="I18" s="13" t="s">
        <v>765</v>
      </c>
      <c r="J18" s="11" t="s">
        <v>30</v>
      </c>
      <c r="K18" s="11" t="s">
        <v>30</v>
      </c>
      <c r="L18" s="13" t="s">
        <v>337</v>
      </c>
      <c r="M18" s="11" t="s">
        <v>44</v>
      </c>
      <c r="N18" s="13" t="s">
        <v>456</v>
      </c>
      <c r="O18" s="13" t="s">
        <v>144</v>
      </c>
      <c r="P18" s="13" t="s">
        <v>1179</v>
      </c>
      <c r="Q18" s="13" t="s">
        <v>423</v>
      </c>
      <c r="R18" s="13" t="s">
        <v>417</v>
      </c>
      <c r="S18" s="11" t="s">
        <v>34</v>
      </c>
      <c r="T18" s="127">
        <v>4.8170000000000002</v>
      </c>
      <c r="U18" s="13" t="s">
        <v>1786</v>
      </c>
      <c r="V18" s="147">
        <v>2.47E-2</v>
      </c>
      <c r="W18" s="148">
        <v>2.4309999999999998E-2</v>
      </c>
      <c r="X18" s="11" t="s">
        <v>422</v>
      </c>
      <c r="Y18" s="11" t="s">
        <v>144</v>
      </c>
      <c r="Z18" s="127">
        <v>6600000</v>
      </c>
      <c r="AA18" s="149">
        <v>1</v>
      </c>
      <c r="AB18" s="150">
        <v>104.01</v>
      </c>
      <c r="AC18" s="13"/>
      <c r="AD18" s="127">
        <v>6864.66</v>
      </c>
      <c r="AE18" s="13"/>
      <c r="AF18" s="2"/>
      <c r="AG18" s="11" t="s">
        <v>36</v>
      </c>
      <c r="AH18" s="140">
        <v>2.3089999999999999E-3</v>
      </c>
      <c r="AI18" s="140">
        <v>2.4076867684629501E-2</v>
      </c>
      <c r="AJ18" s="140">
        <v>2.3882083692439702E-3</v>
      </c>
    </row>
    <row r="19" spans="1:36">
      <c r="A19" s="13">
        <v>382</v>
      </c>
      <c r="B19" s="13">
        <v>382</v>
      </c>
      <c r="C19" s="13" t="s">
        <v>1779</v>
      </c>
      <c r="D19" s="13" t="s">
        <v>1780</v>
      </c>
      <c r="E19" s="11" t="s">
        <v>1322</v>
      </c>
      <c r="F19" s="13" t="s">
        <v>1787</v>
      </c>
      <c r="G19" s="13" t="s">
        <v>1788</v>
      </c>
      <c r="H19" s="11" t="s">
        <v>184</v>
      </c>
      <c r="I19" s="13" t="s">
        <v>977</v>
      </c>
      <c r="J19" s="11" t="s">
        <v>30</v>
      </c>
      <c r="K19" s="11" t="s">
        <v>30</v>
      </c>
      <c r="L19" s="13" t="s">
        <v>337</v>
      </c>
      <c r="M19" s="11" t="s">
        <v>44</v>
      </c>
      <c r="N19" s="13" t="s">
        <v>456</v>
      </c>
      <c r="O19" s="13" t="s">
        <v>144</v>
      </c>
      <c r="P19" s="13" t="s">
        <v>1179</v>
      </c>
      <c r="Q19" s="13" t="s">
        <v>423</v>
      </c>
      <c r="R19" s="13" t="s">
        <v>417</v>
      </c>
      <c r="S19" s="11" t="s">
        <v>34</v>
      </c>
      <c r="T19" s="127">
        <v>3.2280000000000002</v>
      </c>
      <c r="U19" s="13" t="s">
        <v>1789</v>
      </c>
      <c r="V19" s="147">
        <v>2.6800000000000001E-2</v>
      </c>
      <c r="W19" s="148">
        <v>4.5240000000000002E-2</v>
      </c>
      <c r="X19" s="11" t="s">
        <v>422</v>
      </c>
      <c r="Y19" s="11" t="s">
        <v>144</v>
      </c>
      <c r="Z19" s="127">
        <v>6605294.3099999996</v>
      </c>
      <c r="AA19" s="149">
        <v>1</v>
      </c>
      <c r="AB19" s="150">
        <v>94.55</v>
      </c>
      <c r="AC19" s="13"/>
      <c r="AD19" s="127">
        <v>6245.3059999999996</v>
      </c>
      <c r="AE19" s="13"/>
      <c r="AF19" s="2"/>
      <c r="AG19" s="11" t="s">
        <v>36</v>
      </c>
      <c r="AH19" s="140">
        <v>3.3739999999999998E-3</v>
      </c>
      <c r="AI19" s="140">
        <v>2.1904566384477998E-2</v>
      </c>
      <c r="AJ19" s="140">
        <v>2.17273565022193E-3</v>
      </c>
    </row>
    <row r="20" spans="1:36">
      <c r="A20" s="2">
        <v>382</v>
      </c>
      <c r="B20" s="2">
        <v>382</v>
      </c>
      <c r="C20" s="2" t="s">
        <v>1779</v>
      </c>
      <c r="D20" s="2" t="s">
        <v>1780</v>
      </c>
      <c r="E20" s="11" t="s">
        <v>1322</v>
      </c>
      <c r="F20" s="2" t="s">
        <v>1790</v>
      </c>
      <c r="G20" s="2" t="s">
        <v>1791</v>
      </c>
      <c r="H20" s="11" t="s">
        <v>184</v>
      </c>
      <c r="I20" s="13" t="s">
        <v>765</v>
      </c>
      <c r="J20" s="11" t="s">
        <v>30</v>
      </c>
      <c r="K20" s="11" t="s">
        <v>30</v>
      </c>
      <c r="L20" s="13" t="s">
        <v>337</v>
      </c>
      <c r="M20" s="11" t="s">
        <v>44</v>
      </c>
      <c r="N20" s="13" t="s">
        <v>456</v>
      </c>
      <c r="O20" s="13" t="s">
        <v>144</v>
      </c>
      <c r="P20" s="2" t="s">
        <v>1721</v>
      </c>
      <c r="Q20" s="13" t="s">
        <v>423</v>
      </c>
      <c r="R20" s="13" t="s">
        <v>417</v>
      </c>
      <c r="S20" s="2" t="s">
        <v>34</v>
      </c>
      <c r="T20" s="125">
        <v>3.7349999999999999</v>
      </c>
      <c r="U20" s="2" t="s">
        <v>1792</v>
      </c>
      <c r="V20" s="138">
        <v>3.1699999999999999E-2</v>
      </c>
      <c r="W20" s="140">
        <v>2.9360000000000001E-2</v>
      </c>
      <c r="X20" s="11" t="s">
        <v>422</v>
      </c>
      <c r="Y20" s="11" t="s">
        <v>144</v>
      </c>
      <c r="Z20" s="125">
        <v>4850000</v>
      </c>
      <c r="AA20" s="134">
        <v>1</v>
      </c>
      <c r="AB20" s="151">
        <v>108.18</v>
      </c>
      <c r="AC20" s="2"/>
      <c r="AD20" s="125">
        <v>5246.73</v>
      </c>
      <c r="AE20" s="2"/>
      <c r="AF20" s="2"/>
      <c r="AG20" s="2" t="s">
        <v>36</v>
      </c>
      <c r="AH20" s="140">
        <v>5.7429999999999998E-3</v>
      </c>
      <c r="AI20" s="140">
        <v>1.8402196756572901E-2</v>
      </c>
      <c r="AJ20" s="140">
        <v>1.8253321354828099E-3</v>
      </c>
    </row>
    <row r="21" spans="1:36">
      <c r="A21" s="2">
        <v>382</v>
      </c>
      <c r="B21" s="2">
        <v>382</v>
      </c>
      <c r="C21" s="2" t="s">
        <v>1793</v>
      </c>
      <c r="D21" s="2" t="s">
        <v>1794</v>
      </c>
      <c r="E21" s="3" t="s">
        <v>1322</v>
      </c>
      <c r="F21" s="2" t="s">
        <v>1795</v>
      </c>
      <c r="G21" s="2" t="s">
        <v>1796</v>
      </c>
      <c r="H21" s="3" t="s">
        <v>184</v>
      </c>
      <c r="I21" s="2" t="s">
        <v>977</v>
      </c>
      <c r="J21" s="2" t="s">
        <v>30</v>
      </c>
      <c r="K21" s="2" t="s">
        <v>30</v>
      </c>
      <c r="L21" s="2" t="s">
        <v>337</v>
      </c>
      <c r="M21" s="3" t="s">
        <v>44</v>
      </c>
      <c r="N21" s="2" t="s">
        <v>453</v>
      </c>
      <c r="O21" s="2" t="s">
        <v>144</v>
      </c>
      <c r="P21" s="2" t="s">
        <v>1721</v>
      </c>
      <c r="Q21" s="2" t="s">
        <v>423</v>
      </c>
      <c r="R21" s="2" t="s">
        <v>417</v>
      </c>
      <c r="S21" s="2" t="s">
        <v>34</v>
      </c>
      <c r="T21" s="125">
        <v>1.4690000000000001</v>
      </c>
      <c r="U21" s="2" t="s">
        <v>1731</v>
      </c>
      <c r="V21" s="138">
        <v>2.9100000000000001E-2</v>
      </c>
      <c r="W21" s="140">
        <v>4.8120000000000003E-2</v>
      </c>
      <c r="X21" s="3" t="s">
        <v>422</v>
      </c>
      <c r="Y21" s="3" t="s">
        <v>144</v>
      </c>
      <c r="Z21" s="125">
        <v>134125</v>
      </c>
      <c r="AA21" s="134">
        <v>1</v>
      </c>
      <c r="AB21" s="151">
        <v>97.39</v>
      </c>
      <c r="AC21" s="2"/>
      <c r="AD21" s="125">
        <v>130.624</v>
      </c>
      <c r="AE21" s="2"/>
      <c r="AF21" s="2"/>
      <c r="AG21" s="2" t="s">
        <v>36</v>
      </c>
      <c r="AH21" s="140">
        <v>2.24E-4</v>
      </c>
      <c r="AI21" s="140">
        <v>4.5814721929125101E-4</v>
      </c>
      <c r="AJ21" s="140">
        <v>4.5444076770655697E-5</v>
      </c>
    </row>
    <row r="22" spans="1:36">
      <c r="A22" s="2">
        <v>382</v>
      </c>
      <c r="B22" s="2">
        <v>382</v>
      </c>
      <c r="C22" s="2" t="s">
        <v>1797</v>
      </c>
      <c r="D22" s="2" t="s">
        <v>1798</v>
      </c>
      <c r="E22" s="3" t="s">
        <v>1322</v>
      </c>
      <c r="F22" s="2" t="s">
        <v>1799</v>
      </c>
      <c r="G22" s="2" t="s">
        <v>1800</v>
      </c>
      <c r="H22" s="3" t="s">
        <v>184</v>
      </c>
      <c r="I22" s="2" t="s">
        <v>977</v>
      </c>
      <c r="J22" s="2" t="s">
        <v>30</v>
      </c>
      <c r="K22" s="2" t="s">
        <v>30</v>
      </c>
      <c r="L22" s="2" t="s">
        <v>337</v>
      </c>
      <c r="M22" s="3" t="s">
        <v>44</v>
      </c>
      <c r="N22" s="2" t="s">
        <v>453</v>
      </c>
      <c r="O22" s="2" t="s">
        <v>144</v>
      </c>
      <c r="P22" s="2" t="s">
        <v>1717</v>
      </c>
      <c r="Q22" s="2" t="s">
        <v>425</v>
      </c>
      <c r="R22" s="2" t="s">
        <v>417</v>
      </c>
      <c r="S22" s="2" t="s">
        <v>34</v>
      </c>
      <c r="T22" s="125">
        <v>5.093</v>
      </c>
      <c r="U22" s="2" t="s">
        <v>1801</v>
      </c>
      <c r="V22" s="138">
        <v>1.95E-2</v>
      </c>
      <c r="W22" s="140">
        <v>4.8559999999999999E-2</v>
      </c>
      <c r="X22" s="3" t="s">
        <v>422</v>
      </c>
      <c r="Y22" s="3" t="s">
        <v>144</v>
      </c>
      <c r="Z22" s="125">
        <v>7202343.5300000003</v>
      </c>
      <c r="AA22" s="134">
        <v>1</v>
      </c>
      <c r="AB22" s="151">
        <v>86.35</v>
      </c>
      <c r="AC22" s="2"/>
      <c r="AD22" s="125">
        <v>6219.2240000000002</v>
      </c>
      <c r="AE22" s="2"/>
      <c r="AF22" s="2"/>
      <c r="AG22" s="2" t="s">
        <v>36</v>
      </c>
      <c r="AH22" s="140">
        <v>7.1780000000000004E-3</v>
      </c>
      <c r="AI22" s="140">
        <v>2.1813086829788799E-2</v>
      </c>
      <c r="AJ22" s="140">
        <v>2.1636617025230301E-3</v>
      </c>
    </row>
    <row r="23" spans="1:36">
      <c r="A23" s="2">
        <v>382</v>
      </c>
      <c r="B23" s="2">
        <v>382</v>
      </c>
      <c r="C23" s="2" t="s">
        <v>1802</v>
      </c>
      <c r="D23" s="2" t="s">
        <v>1803</v>
      </c>
      <c r="E23" s="3" t="s">
        <v>1322</v>
      </c>
      <c r="F23" s="2" t="s">
        <v>1804</v>
      </c>
      <c r="G23" s="2" t="s">
        <v>1805</v>
      </c>
      <c r="H23" s="3" t="s">
        <v>184</v>
      </c>
      <c r="I23" s="2" t="s">
        <v>977</v>
      </c>
      <c r="J23" s="2" t="s">
        <v>30</v>
      </c>
      <c r="K23" s="2" t="s">
        <v>30</v>
      </c>
      <c r="L23" s="2" t="s">
        <v>337</v>
      </c>
      <c r="M23" s="2" t="s">
        <v>44</v>
      </c>
      <c r="N23" s="2" t="s">
        <v>472</v>
      </c>
      <c r="O23" s="2" t="s">
        <v>144</v>
      </c>
      <c r="P23" s="2" t="s">
        <v>1717</v>
      </c>
      <c r="Q23" s="2" t="s">
        <v>423</v>
      </c>
      <c r="R23" s="2" t="s">
        <v>417</v>
      </c>
      <c r="S23" s="2" t="s">
        <v>34</v>
      </c>
      <c r="T23" s="125">
        <v>0.48199999999999998</v>
      </c>
      <c r="U23" s="2" t="s">
        <v>1806</v>
      </c>
      <c r="V23" s="138">
        <v>2.5499999999999998E-2</v>
      </c>
      <c r="W23" s="140">
        <v>4.5569999999999999E-2</v>
      </c>
      <c r="X23" s="3" t="s">
        <v>422</v>
      </c>
      <c r="Y23" s="3" t="s">
        <v>144</v>
      </c>
      <c r="Z23" s="125">
        <v>1399999.93</v>
      </c>
      <c r="AA23" s="134">
        <v>1</v>
      </c>
      <c r="AB23" s="151">
        <v>99.11</v>
      </c>
      <c r="AC23" s="2"/>
      <c r="AD23" s="125">
        <v>1387.54</v>
      </c>
      <c r="AE23" s="2"/>
      <c r="AF23" s="2"/>
      <c r="AG23" s="2" t="s">
        <v>36</v>
      </c>
      <c r="AH23" s="140">
        <v>2.0861999999999999E-2</v>
      </c>
      <c r="AI23" s="140">
        <v>4.8666088803742498E-3</v>
      </c>
      <c r="AJ23" s="140">
        <v>4.8272375834696103E-4</v>
      </c>
    </row>
    <row r="24" spans="1:36">
      <c r="A24" s="2">
        <v>382</v>
      </c>
      <c r="B24" s="2">
        <v>382</v>
      </c>
      <c r="C24" s="2" t="s">
        <v>1807</v>
      </c>
      <c r="D24" s="2" t="s">
        <v>1808</v>
      </c>
      <c r="E24" s="3" t="s">
        <v>1322</v>
      </c>
      <c r="F24" s="2" t="s">
        <v>1809</v>
      </c>
      <c r="G24" s="2" t="s">
        <v>1810</v>
      </c>
      <c r="H24" s="2" t="s">
        <v>184</v>
      </c>
      <c r="I24" s="2" t="s">
        <v>765</v>
      </c>
      <c r="J24" s="2" t="s">
        <v>30</v>
      </c>
      <c r="K24" s="2" t="s">
        <v>30</v>
      </c>
      <c r="L24" s="2" t="s">
        <v>337</v>
      </c>
      <c r="M24" s="2" t="s">
        <v>44</v>
      </c>
      <c r="N24" s="2" t="s">
        <v>448</v>
      </c>
      <c r="O24" s="2" t="s">
        <v>144</v>
      </c>
      <c r="P24" s="2" t="s">
        <v>95</v>
      </c>
      <c r="Q24" s="2" t="s">
        <v>423</v>
      </c>
      <c r="R24" s="2" t="s">
        <v>417</v>
      </c>
      <c r="S24" s="2" t="s">
        <v>34</v>
      </c>
      <c r="T24" s="125">
        <v>3.1850000000000001</v>
      </c>
      <c r="U24" s="2" t="s">
        <v>1811</v>
      </c>
      <c r="V24" s="138">
        <v>3.85E-2</v>
      </c>
      <c r="W24" s="140">
        <v>2.4279999999999999E-2</v>
      </c>
      <c r="X24" s="3" t="s">
        <v>422</v>
      </c>
      <c r="Y24" s="3" t="s">
        <v>144</v>
      </c>
      <c r="Z24" s="125">
        <v>3760043.22</v>
      </c>
      <c r="AA24" s="134">
        <v>1</v>
      </c>
      <c r="AB24" s="151">
        <v>122.39</v>
      </c>
      <c r="AC24" s="2"/>
      <c r="AD24" s="125">
        <v>4601.9170000000004</v>
      </c>
      <c r="AE24" s="2"/>
      <c r="AF24" s="2"/>
      <c r="AG24" s="2" t="s">
        <v>36</v>
      </c>
      <c r="AH24" s="140">
        <v>1.472E-3</v>
      </c>
      <c r="AI24" s="140">
        <v>1.61406018977951E-2</v>
      </c>
      <c r="AJ24" s="140">
        <v>1.6010022998779799E-3</v>
      </c>
    </row>
    <row r="25" spans="1:36">
      <c r="A25" s="2">
        <v>382</v>
      </c>
      <c r="B25" s="2">
        <v>382</v>
      </c>
      <c r="C25" s="2" t="s">
        <v>1807</v>
      </c>
      <c r="D25" s="2" t="s">
        <v>1808</v>
      </c>
      <c r="E25" s="3" t="s">
        <v>1322</v>
      </c>
      <c r="F25" s="2" t="s">
        <v>1812</v>
      </c>
      <c r="G25" s="2" t="s">
        <v>1813</v>
      </c>
      <c r="H25" s="2" t="s">
        <v>184</v>
      </c>
      <c r="I25" s="2" t="s">
        <v>765</v>
      </c>
      <c r="J25" s="2" t="s">
        <v>30</v>
      </c>
      <c r="K25" s="2" t="s">
        <v>30</v>
      </c>
      <c r="L25" s="2" t="s">
        <v>337</v>
      </c>
      <c r="M25" s="2" t="s">
        <v>44</v>
      </c>
      <c r="N25" s="2" t="s">
        <v>448</v>
      </c>
      <c r="O25" s="2" t="s">
        <v>144</v>
      </c>
      <c r="P25" s="2" t="s">
        <v>95</v>
      </c>
      <c r="Q25" s="2" t="s">
        <v>423</v>
      </c>
      <c r="R25" s="2" t="s">
        <v>417</v>
      </c>
      <c r="S25" s="2" t="s">
        <v>34</v>
      </c>
      <c r="T25" s="125">
        <v>10.53</v>
      </c>
      <c r="U25" s="2" t="s">
        <v>1814</v>
      </c>
      <c r="V25" s="138">
        <v>1.2500000000000001E-2</v>
      </c>
      <c r="W25" s="140">
        <v>3.0120000000000001E-2</v>
      </c>
      <c r="X25" s="3" t="s">
        <v>422</v>
      </c>
      <c r="Y25" s="3" t="s">
        <v>144</v>
      </c>
      <c r="Z25" s="125">
        <v>7800000</v>
      </c>
      <c r="AA25" s="134">
        <v>1</v>
      </c>
      <c r="AB25" s="151">
        <v>95.26</v>
      </c>
      <c r="AC25" s="2"/>
      <c r="AD25" s="125">
        <v>7430.28</v>
      </c>
      <c r="AE25" s="2"/>
      <c r="AF25" s="2"/>
      <c r="AG25" s="2" t="s">
        <v>36</v>
      </c>
      <c r="AH25" s="140">
        <v>1.817E-3</v>
      </c>
      <c r="AI25" s="140">
        <v>2.6060703431743E-2</v>
      </c>
      <c r="AJ25" s="140">
        <v>2.5849870032639802E-3</v>
      </c>
    </row>
    <row r="26" spans="1:36">
      <c r="A26" s="2">
        <v>382</v>
      </c>
      <c r="B26" s="2">
        <v>382</v>
      </c>
      <c r="C26" s="2" t="s">
        <v>1807</v>
      </c>
      <c r="D26" s="2" t="s">
        <v>1808</v>
      </c>
      <c r="E26" s="3" t="s">
        <v>1322</v>
      </c>
      <c r="F26" s="2" t="s">
        <v>1815</v>
      </c>
      <c r="G26" s="2" t="s">
        <v>1816</v>
      </c>
      <c r="H26" s="2" t="s">
        <v>184</v>
      </c>
      <c r="I26" s="2" t="s">
        <v>765</v>
      </c>
      <c r="J26" s="2" t="s">
        <v>30</v>
      </c>
      <c r="K26" s="2" t="s">
        <v>30</v>
      </c>
      <c r="L26" s="2" t="s">
        <v>337</v>
      </c>
      <c r="M26" s="2" t="s">
        <v>44</v>
      </c>
      <c r="N26" s="2" t="s">
        <v>448</v>
      </c>
      <c r="O26" s="2" t="s">
        <v>144</v>
      </c>
      <c r="P26" s="2" t="s">
        <v>95</v>
      </c>
      <c r="Q26" s="2" t="s">
        <v>423</v>
      </c>
      <c r="R26" s="2" t="s">
        <v>417</v>
      </c>
      <c r="S26" s="2" t="s">
        <v>34</v>
      </c>
      <c r="T26" s="125">
        <v>7.5179999999999998</v>
      </c>
      <c r="U26" s="2" t="s">
        <v>1817</v>
      </c>
      <c r="V26" s="138">
        <v>0.03</v>
      </c>
      <c r="W26" s="140">
        <v>2.87E-2</v>
      </c>
      <c r="X26" s="3" t="s">
        <v>422</v>
      </c>
      <c r="Y26" s="3" t="s">
        <v>144</v>
      </c>
      <c r="Z26" s="125">
        <v>6125000</v>
      </c>
      <c r="AA26" s="134">
        <v>1</v>
      </c>
      <c r="AB26" s="151">
        <v>105.85</v>
      </c>
      <c r="AC26" s="2"/>
      <c r="AD26" s="125">
        <v>6483.3130000000001</v>
      </c>
      <c r="AE26" s="2"/>
      <c r="AF26" s="2"/>
      <c r="AG26" s="2" t="s">
        <v>36</v>
      </c>
      <c r="AH26" s="140">
        <v>1.5009999999999999E-3</v>
      </c>
      <c r="AI26" s="140">
        <v>2.2739342840082999E-2</v>
      </c>
      <c r="AJ26" s="140">
        <v>2.25553795423576E-3</v>
      </c>
    </row>
    <row r="27" spans="1:36">
      <c r="A27" s="2">
        <v>382</v>
      </c>
      <c r="B27" s="2">
        <v>382</v>
      </c>
      <c r="C27" s="2" t="s">
        <v>1818</v>
      </c>
      <c r="D27" s="2" t="s">
        <v>1819</v>
      </c>
      <c r="E27" s="3" t="s">
        <v>1322</v>
      </c>
      <c r="F27" s="2" t="s">
        <v>1820</v>
      </c>
      <c r="G27" s="2" t="s">
        <v>1821</v>
      </c>
      <c r="H27" s="2" t="s">
        <v>184</v>
      </c>
      <c r="I27" s="2" t="s">
        <v>977</v>
      </c>
      <c r="J27" s="2" t="s">
        <v>30</v>
      </c>
      <c r="K27" s="2" t="s">
        <v>30</v>
      </c>
      <c r="L27" s="2" t="s">
        <v>337</v>
      </c>
      <c r="M27" s="2" t="s">
        <v>44</v>
      </c>
      <c r="N27" s="2" t="s">
        <v>470</v>
      </c>
      <c r="O27" s="2" t="s">
        <v>144</v>
      </c>
      <c r="P27" s="2" t="s">
        <v>1721</v>
      </c>
      <c r="Q27" s="2" t="s">
        <v>423</v>
      </c>
      <c r="R27" s="2" t="s">
        <v>417</v>
      </c>
      <c r="S27" s="2" t="s">
        <v>34</v>
      </c>
      <c r="T27" s="125">
        <v>1.9970000000000001</v>
      </c>
      <c r="U27" s="2" t="s">
        <v>1822</v>
      </c>
      <c r="V27" s="138">
        <v>2.18E-2</v>
      </c>
      <c r="W27" s="140">
        <v>5.2089999999999997E-2</v>
      </c>
      <c r="X27" s="3" t="s">
        <v>422</v>
      </c>
      <c r="Y27" s="3" t="s">
        <v>144</v>
      </c>
      <c r="Z27" s="125">
        <v>3399999.85</v>
      </c>
      <c r="AA27" s="134">
        <v>1</v>
      </c>
      <c r="AB27" s="151">
        <v>94.59</v>
      </c>
      <c r="AC27" s="2"/>
      <c r="AD27" s="125">
        <v>3216.06</v>
      </c>
      <c r="AE27" s="2"/>
      <c r="AF27" s="2"/>
      <c r="AG27" s="2" t="s">
        <v>36</v>
      </c>
      <c r="AH27" s="140">
        <v>1.0508E-2</v>
      </c>
      <c r="AI27" s="140">
        <v>1.1279895533017399E-2</v>
      </c>
      <c r="AJ27" s="140">
        <v>1.11886401790327E-3</v>
      </c>
    </row>
    <row r="28" spans="1:36">
      <c r="A28" s="2">
        <v>382</v>
      </c>
      <c r="B28" s="2">
        <v>382</v>
      </c>
      <c r="C28" s="2" t="s">
        <v>1177</v>
      </c>
      <c r="D28" s="2" t="s">
        <v>1570</v>
      </c>
      <c r="E28" s="3" t="s">
        <v>1322</v>
      </c>
      <c r="F28" s="2" t="s">
        <v>1823</v>
      </c>
      <c r="G28" s="2" t="s">
        <v>1824</v>
      </c>
      <c r="H28" s="2" t="s">
        <v>184</v>
      </c>
      <c r="I28" s="2" t="s">
        <v>765</v>
      </c>
      <c r="J28" s="2" t="s">
        <v>30</v>
      </c>
      <c r="K28" s="2" t="s">
        <v>30</v>
      </c>
      <c r="L28" s="2" t="s">
        <v>337</v>
      </c>
      <c r="M28" s="2" t="s">
        <v>44</v>
      </c>
      <c r="N28" s="2" t="s">
        <v>456</v>
      </c>
      <c r="O28" s="2" t="s">
        <v>144</v>
      </c>
      <c r="P28" s="2" t="s">
        <v>1179</v>
      </c>
      <c r="Q28" s="2" t="s">
        <v>423</v>
      </c>
      <c r="R28" s="2" t="s">
        <v>417</v>
      </c>
      <c r="S28" s="2" t="s">
        <v>34</v>
      </c>
      <c r="T28" s="125">
        <v>1.482</v>
      </c>
      <c r="U28" s="2" t="s">
        <v>1731</v>
      </c>
      <c r="V28" s="138">
        <v>8.3000000000000001E-3</v>
      </c>
      <c r="W28" s="140">
        <v>2.2599999999999999E-2</v>
      </c>
      <c r="X28" s="3" t="s">
        <v>422</v>
      </c>
      <c r="Y28" s="3" t="s">
        <v>144</v>
      </c>
      <c r="Z28" s="125">
        <v>7750000</v>
      </c>
      <c r="AA28" s="134">
        <v>1</v>
      </c>
      <c r="AB28" s="151">
        <v>113.32</v>
      </c>
      <c r="AC28" s="2"/>
      <c r="AD28" s="125">
        <v>8782.2999999999993</v>
      </c>
      <c r="AE28" s="2"/>
      <c r="AF28" s="2"/>
      <c r="AG28" s="2" t="s">
        <v>36</v>
      </c>
      <c r="AH28" s="140">
        <v>5.0959999999999998E-3</v>
      </c>
      <c r="AI28" s="140">
        <v>3.0802730953422501E-2</v>
      </c>
      <c r="AJ28" s="140">
        <v>3.0553534131641399E-3</v>
      </c>
    </row>
    <row r="29" spans="1:36">
      <c r="A29" s="2">
        <v>382</v>
      </c>
      <c r="B29" s="2">
        <v>382</v>
      </c>
      <c r="C29" s="2" t="s">
        <v>1177</v>
      </c>
      <c r="D29" s="2" t="s">
        <v>1570</v>
      </c>
      <c r="E29" s="3" t="s">
        <v>1322</v>
      </c>
      <c r="F29" s="2" t="s">
        <v>1825</v>
      </c>
      <c r="G29" s="2" t="s">
        <v>1826</v>
      </c>
      <c r="H29" s="2" t="s">
        <v>184</v>
      </c>
      <c r="I29" s="2" t="s">
        <v>977</v>
      </c>
      <c r="J29" s="2" t="s">
        <v>30</v>
      </c>
      <c r="K29" s="2" t="s">
        <v>30</v>
      </c>
      <c r="L29" s="2" t="s">
        <v>337</v>
      </c>
      <c r="M29" s="2" t="s">
        <v>44</v>
      </c>
      <c r="N29" s="2" t="s">
        <v>456</v>
      </c>
      <c r="O29" s="2" t="s">
        <v>144</v>
      </c>
      <c r="P29" s="2" t="s">
        <v>1179</v>
      </c>
      <c r="Q29" s="2" t="s">
        <v>423</v>
      </c>
      <c r="R29" s="2" t="s">
        <v>417</v>
      </c>
      <c r="S29" s="2" t="s">
        <v>34</v>
      </c>
      <c r="T29" s="125">
        <v>0.156</v>
      </c>
      <c r="U29" s="2" t="s">
        <v>1827</v>
      </c>
      <c r="V29" s="138">
        <v>2.0199999999999999E-2</v>
      </c>
      <c r="W29" s="140">
        <v>4.428E-2</v>
      </c>
      <c r="X29" s="3" t="s">
        <v>422</v>
      </c>
      <c r="Y29" s="3" t="s">
        <v>144</v>
      </c>
      <c r="Z29" s="125">
        <v>4076040.5</v>
      </c>
      <c r="AA29" s="134">
        <v>1</v>
      </c>
      <c r="AB29" s="151">
        <v>101.32</v>
      </c>
      <c r="AC29" s="2"/>
      <c r="AD29" s="125">
        <v>4129.8440000000001</v>
      </c>
      <c r="AE29" s="2"/>
      <c r="AF29" s="2"/>
      <c r="AG29" s="2" t="s">
        <v>36</v>
      </c>
      <c r="AH29" s="140">
        <v>4.8250000000000003E-3</v>
      </c>
      <c r="AI29" s="140">
        <v>1.4484870801262401E-2</v>
      </c>
      <c r="AJ29" s="140">
        <v>1.43676869134752E-3</v>
      </c>
    </row>
    <row r="30" spans="1:36">
      <c r="A30" s="2">
        <v>382</v>
      </c>
      <c r="B30" s="2">
        <v>382</v>
      </c>
      <c r="C30" s="2" t="s">
        <v>1177</v>
      </c>
      <c r="D30" s="2" t="s">
        <v>1570</v>
      </c>
      <c r="E30" s="3" t="s">
        <v>1322</v>
      </c>
      <c r="F30" s="2" t="s">
        <v>1828</v>
      </c>
      <c r="G30" s="2" t="s">
        <v>1829</v>
      </c>
      <c r="H30" s="2" t="s">
        <v>184</v>
      </c>
      <c r="I30" s="2" t="s">
        <v>977</v>
      </c>
      <c r="J30" s="2" t="s">
        <v>30</v>
      </c>
      <c r="K30" s="2" t="s">
        <v>30</v>
      </c>
      <c r="L30" s="2" t="s">
        <v>337</v>
      </c>
      <c r="M30" s="2" t="s">
        <v>44</v>
      </c>
      <c r="N30" s="2" t="s">
        <v>456</v>
      </c>
      <c r="O30" s="2" t="s">
        <v>144</v>
      </c>
      <c r="P30" s="2" t="s">
        <v>1179</v>
      </c>
      <c r="Q30" s="2" t="s">
        <v>423</v>
      </c>
      <c r="R30" s="2" t="s">
        <v>417</v>
      </c>
      <c r="S30" s="2" t="s">
        <v>34</v>
      </c>
      <c r="T30" s="125">
        <v>2.9079999999999999</v>
      </c>
      <c r="U30" s="2" t="s">
        <v>1830</v>
      </c>
      <c r="V30" s="138">
        <v>2.76E-2</v>
      </c>
      <c r="W30" s="140">
        <v>4.5379999999999997E-2</v>
      </c>
      <c r="X30" s="3" t="s">
        <v>422</v>
      </c>
      <c r="Y30" s="3" t="s">
        <v>144</v>
      </c>
      <c r="Z30" s="125">
        <v>10000000</v>
      </c>
      <c r="AA30" s="134">
        <v>1</v>
      </c>
      <c r="AB30" s="151">
        <v>95.56</v>
      </c>
      <c r="AC30" s="2"/>
      <c r="AD30" s="125">
        <v>9556</v>
      </c>
      <c r="AE30" s="2"/>
      <c r="AF30" s="2"/>
      <c r="AG30" s="2" t="s">
        <v>36</v>
      </c>
      <c r="AH30" s="140">
        <v>7.4830000000000001E-3</v>
      </c>
      <c r="AI30" s="140">
        <v>3.3516379193480703E-2</v>
      </c>
      <c r="AJ30" s="140">
        <v>3.32452287170747E-3</v>
      </c>
    </row>
    <row r="31" spans="1:36">
      <c r="A31" s="2">
        <v>382</v>
      </c>
      <c r="B31" s="2">
        <v>382</v>
      </c>
      <c r="C31" s="2" t="s">
        <v>1177</v>
      </c>
      <c r="D31" s="2" t="s">
        <v>1570</v>
      </c>
      <c r="E31" s="3" t="s">
        <v>1322</v>
      </c>
      <c r="F31" s="2" t="s">
        <v>1831</v>
      </c>
      <c r="G31" s="2" t="s">
        <v>1832</v>
      </c>
      <c r="H31" s="2" t="s">
        <v>184</v>
      </c>
      <c r="I31" s="2" t="s">
        <v>765</v>
      </c>
      <c r="J31" s="2" t="s">
        <v>30</v>
      </c>
      <c r="K31" s="2" t="s">
        <v>30</v>
      </c>
      <c r="L31" s="2" t="s">
        <v>337</v>
      </c>
      <c r="M31" s="2" t="s">
        <v>44</v>
      </c>
      <c r="N31" s="2" t="s">
        <v>456</v>
      </c>
      <c r="O31" s="2" t="s">
        <v>144</v>
      </c>
      <c r="P31" s="2" t="s">
        <v>1179</v>
      </c>
      <c r="Q31" s="2" t="s">
        <v>423</v>
      </c>
      <c r="R31" s="2" t="s">
        <v>417</v>
      </c>
      <c r="S31" s="2" t="s">
        <v>34</v>
      </c>
      <c r="T31" s="125">
        <v>4.8490000000000002</v>
      </c>
      <c r="U31" s="2" t="s">
        <v>1833</v>
      </c>
      <c r="V31" s="138">
        <v>2.0199999999999999E-2</v>
      </c>
      <c r="W31" s="140">
        <v>2.4299999999999999E-2</v>
      </c>
      <c r="X31" s="3" t="s">
        <v>422</v>
      </c>
      <c r="Y31" s="3" t="s">
        <v>144</v>
      </c>
      <c r="Z31" s="125">
        <v>13300000</v>
      </c>
      <c r="AA31" s="134">
        <v>1</v>
      </c>
      <c r="AB31" s="151">
        <v>101.65</v>
      </c>
      <c r="AC31" s="2"/>
      <c r="AD31" s="125">
        <v>13519.45</v>
      </c>
      <c r="AE31" s="2"/>
      <c r="AF31" s="2"/>
      <c r="AG31" s="2" t="s">
        <v>36</v>
      </c>
      <c r="AH31" s="140">
        <v>3.728E-3</v>
      </c>
      <c r="AI31" s="140">
        <v>4.7417644693104097E-2</v>
      </c>
      <c r="AJ31" s="140">
        <v>4.7034031747494303E-3</v>
      </c>
    </row>
    <row r="32" spans="1:36">
      <c r="A32" s="2">
        <v>382</v>
      </c>
      <c r="B32" s="2">
        <v>382</v>
      </c>
      <c r="C32" s="2" t="s">
        <v>1177</v>
      </c>
      <c r="D32" s="2" t="s">
        <v>1570</v>
      </c>
      <c r="E32" s="3" t="s">
        <v>1322</v>
      </c>
      <c r="F32" s="2" t="s">
        <v>1834</v>
      </c>
      <c r="G32" s="2" t="s">
        <v>1835</v>
      </c>
      <c r="H32" s="2" t="s">
        <v>184</v>
      </c>
      <c r="I32" s="2" t="s">
        <v>765</v>
      </c>
      <c r="J32" s="2" t="s">
        <v>30</v>
      </c>
      <c r="K32" s="2" t="s">
        <v>30</v>
      </c>
      <c r="L32" s="2" t="s">
        <v>337</v>
      </c>
      <c r="M32" s="2" t="s">
        <v>44</v>
      </c>
      <c r="N32" s="2" t="s">
        <v>456</v>
      </c>
      <c r="O32" s="2" t="s">
        <v>144</v>
      </c>
      <c r="P32" s="2" t="s">
        <v>1721</v>
      </c>
      <c r="Q32" s="2" t="s">
        <v>423</v>
      </c>
      <c r="R32" s="2" t="s">
        <v>417</v>
      </c>
      <c r="S32" s="2" t="s">
        <v>34</v>
      </c>
      <c r="T32" s="125">
        <v>0.156</v>
      </c>
      <c r="U32" s="2" t="s">
        <v>1827</v>
      </c>
      <c r="V32" s="138">
        <v>2.4199999999999999E-2</v>
      </c>
      <c r="W32" s="140">
        <v>3.0329999999999999E-2</v>
      </c>
      <c r="X32" s="3" t="s">
        <v>422</v>
      </c>
      <c r="Y32" s="3" t="s">
        <v>144</v>
      </c>
      <c r="Z32" s="125">
        <v>8400000</v>
      </c>
      <c r="AA32" s="134">
        <v>1</v>
      </c>
      <c r="AB32" s="151">
        <v>117.46</v>
      </c>
      <c r="AC32" s="2"/>
      <c r="AD32" s="125">
        <v>9866.64</v>
      </c>
      <c r="AE32" s="2"/>
      <c r="AF32" s="2"/>
      <c r="AG32" s="2" t="s">
        <v>36</v>
      </c>
      <c r="AH32" s="140">
        <v>5.829E-3</v>
      </c>
      <c r="AI32" s="140">
        <v>3.4605907032813299E-2</v>
      </c>
      <c r="AJ32" s="140">
        <v>3.4325942179681702E-3</v>
      </c>
    </row>
    <row r="33" spans="1:36">
      <c r="A33" s="2">
        <v>382</v>
      </c>
      <c r="B33" s="2">
        <v>382</v>
      </c>
      <c r="C33" s="2" t="s">
        <v>1836</v>
      </c>
      <c r="D33" s="2" t="s">
        <v>1837</v>
      </c>
      <c r="E33" s="3" t="s">
        <v>1322</v>
      </c>
      <c r="F33" s="2" t="s">
        <v>1838</v>
      </c>
      <c r="G33" s="2" t="s">
        <v>1839</v>
      </c>
      <c r="H33" s="2" t="s">
        <v>184</v>
      </c>
      <c r="I33" s="2" t="s">
        <v>765</v>
      </c>
      <c r="J33" s="2" t="s">
        <v>30</v>
      </c>
      <c r="K33" s="2" t="s">
        <v>30</v>
      </c>
      <c r="L33" s="2" t="s">
        <v>337</v>
      </c>
      <c r="M33" s="2" t="s">
        <v>44</v>
      </c>
      <c r="N33" s="2" t="s">
        <v>472</v>
      </c>
      <c r="O33" s="2" t="s">
        <v>144</v>
      </c>
      <c r="P33" s="2" t="s">
        <v>1717</v>
      </c>
      <c r="Q33" s="2" t="s">
        <v>423</v>
      </c>
      <c r="R33" s="2" t="s">
        <v>417</v>
      </c>
      <c r="S33" s="2" t="s">
        <v>34</v>
      </c>
      <c r="T33" s="125">
        <v>1.635</v>
      </c>
      <c r="U33" s="2" t="s">
        <v>1840</v>
      </c>
      <c r="V33" s="138">
        <v>2.4E-2</v>
      </c>
      <c r="W33" s="140">
        <v>2.622E-2</v>
      </c>
      <c r="X33" s="3" t="s">
        <v>422</v>
      </c>
      <c r="Y33" s="3" t="s">
        <v>144</v>
      </c>
      <c r="Z33" s="125">
        <v>3221180.39</v>
      </c>
      <c r="AA33" s="134">
        <v>1</v>
      </c>
      <c r="AB33" s="151">
        <v>116.23</v>
      </c>
      <c r="AC33" s="2"/>
      <c r="AD33" s="125">
        <v>3743.9780000000001</v>
      </c>
      <c r="AE33" s="2"/>
      <c r="AF33" s="2"/>
      <c r="AG33" s="2" t="s">
        <v>36</v>
      </c>
      <c r="AH33" s="140">
        <v>5.9930000000000001E-3</v>
      </c>
      <c r="AI33" s="140">
        <v>1.3131496990787301E-2</v>
      </c>
      <c r="AJ33" s="140">
        <v>1.30252620170026E-3</v>
      </c>
    </row>
    <row r="34" spans="1:36">
      <c r="A34" s="2">
        <v>382</v>
      </c>
      <c r="B34" s="2">
        <v>382</v>
      </c>
      <c r="C34" s="2" t="s">
        <v>1836</v>
      </c>
      <c r="D34" s="2" t="s">
        <v>1837</v>
      </c>
      <c r="E34" s="3" t="s">
        <v>1322</v>
      </c>
      <c r="F34" s="2" t="s">
        <v>1841</v>
      </c>
      <c r="G34" s="2" t="s">
        <v>1842</v>
      </c>
      <c r="H34" s="2" t="s">
        <v>184</v>
      </c>
      <c r="I34" s="2" t="s">
        <v>765</v>
      </c>
      <c r="J34" s="2" t="s">
        <v>30</v>
      </c>
      <c r="K34" s="2" t="s">
        <v>30</v>
      </c>
      <c r="L34" s="2" t="s">
        <v>337</v>
      </c>
      <c r="M34" s="2" t="s">
        <v>44</v>
      </c>
      <c r="N34" s="2" t="s">
        <v>472</v>
      </c>
      <c r="O34" s="2" t="s">
        <v>144</v>
      </c>
      <c r="P34" s="2" t="s">
        <v>1717</v>
      </c>
      <c r="Q34" s="2" t="s">
        <v>423</v>
      </c>
      <c r="R34" s="2" t="s">
        <v>417</v>
      </c>
      <c r="S34" s="2" t="s">
        <v>34</v>
      </c>
      <c r="T34" s="125">
        <v>1.929</v>
      </c>
      <c r="U34" s="2" t="s">
        <v>1843</v>
      </c>
      <c r="V34" s="138">
        <v>3.6999999999999998E-2</v>
      </c>
      <c r="W34" s="140">
        <v>2.6380000000000001E-2</v>
      </c>
      <c r="X34" s="3" t="s">
        <v>422</v>
      </c>
      <c r="Y34" s="3" t="s">
        <v>144</v>
      </c>
      <c r="Z34" s="125">
        <v>2600000.48</v>
      </c>
      <c r="AA34" s="134">
        <v>1</v>
      </c>
      <c r="AB34" s="151">
        <v>117.74</v>
      </c>
      <c r="AC34" s="2"/>
      <c r="AD34" s="125">
        <v>3061.241</v>
      </c>
      <c r="AE34" s="2"/>
      <c r="AF34" s="2"/>
      <c r="AG34" s="2" t="s">
        <v>36</v>
      </c>
      <c r="AH34" s="140">
        <v>8.6449999999999999E-3</v>
      </c>
      <c r="AI34" s="140">
        <v>1.0736887775648799E-2</v>
      </c>
      <c r="AJ34" s="140">
        <v>1.06500254025183E-3</v>
      </c>
    </row>
    <row r="35" spans="1:36">
      <c r="A35" s="2">
        <v>382</v>
      </c>
      <c r="B35" s="2">
        <v>382</v>
      </c>
      <c r="C35" s="2" t="s">
        <v>1844</v>
      </c>
      <c r="D35" s="2" t="s">
        <v>1845</v>
      </c>
      <c r="E35" s="3" t="s">
        <v>1322</v>
      </c>
      <c r="F35" s="2" t="s">
        <v>1846</v>
      </c>
      <c r="G35" s="2" t="s">
        <v>1847</v>
      </c>
      <c r="H35" s="2" t="s">
        <v>184</v>
      </c>
      <c r="I35" s="2" t="s">
        <v>977</v>
      </c>
      <c r="J35" s="2" t="s">
        <v>30</v>
      </c>
      <c r="K35" s="2" t="s">
        <v>30</v>
      </c>
      <c r="L35" s="2" t="s">
        <v>337</v>
      </c>
      <c r="M35" s="2" t="s">
        <v>31</v>
      </c>
      <c r="N35" s="2" t="s">
        <v>453</v>
      </c>
      <c r="O35" s="2" t="s">
        <v>144</v>
      </c>
      <c r="P35" s="2" t="s">
        <v>1730</v>
      </c>
      <c r="Q35" s="2" t="s">
        <v>425</v>
      </c>
      <c r="R35" s="2" t="s">
        <v>417</v>
      </c>
      <c r="S35" s="2" t="s">
        <v>34</v>
      </c>
      <c r="T35" s="125">
        <v>7.1070000000000002</v>
      </c>
      <c r="U35" s="2" t="s">
        <v>1848</v>
      </c>
      <c r="V35" s="138">
        <v>6.0699999999999997E-2</v>
      </c>
      <c r="W35" s="140">
        <v>5.5359999999999999E-2</v>
      </c>
      <c r="X35" s="3" t="s">
        <v>422</v>
      </c>
      <c r="Y35" s="3" t="s">
        <v>144</v>
      </c>
      <c r="Z35" s="125">
        <v>1408500</v>
      </c>
      <c r="AA35" s="134">
        <v>1</v>
      </c>
      <c r="AB35" s="151">
        <v>104.27</v>
      </c>
      <c r="AC35" s="2"/>
      <c r="AD35" s="125">
        <v>1468.643</v>
      </c>
      <c r="AE35" s="2"/>
      <c r="AF35" s="2"/>
      <c r="AG35" s="2" t="s">
        <v>36</v>
      </c>
      <c r="AH35" s="140">
        <v>3.1120000000000002E-3</v>
      </c>
      <c r="AI35" s="140">
        <v>5.1510667655956599E-3</v>
      </c>
      <c r="AJ35" s="140">
        <v>5.1093941792035703E-4</v>
      </c>
    </row>
    <row r="36" spans="1:36">
      <c r="A36" s="2">
        <v>382</v>
      </c>
      <c r="B36" s="2">
        <v>382</v>
      </c>
      <c r="C36" s="2" t="s">
        <v>1844</v>
      </c>
      <c r="D36" s="2" t="s">
        <v>1845</v>
      </c>
      <c r="E36" s="3" t="s">
        <v>1322</v>
      </c>
      <c r="F36" s="2" t="s">
        <v>1849</v>
      </c>
      <c r="G36" s="2" t="s">
        <v>1850</v>
      </c>
      <c r="H36" s="2" t="s">
        <v>184</v>
      </c>
      <c r="I36" s="2" t="s">
        <v>977</v>
      </c>
      <c r="J36" s="2" t="s">
        <v>30</v>
      </c>
      <c r="K36" s="2" t="s">
        <v>30</v>
      </c>
      <c r="L36" s="2" t="s">
        <v>337</v>
      </c>
      <c r="M36" s="2" t="s">
        <v>31</v>
      </c>
      <c r="N36" s="2" t="s">
        <v>453</v>
      </c>
      <c r="O36" s="2" t="s">
        <v>144</v>
      </c>
      <c r="P36" s="2" t="s">
        <v>1730</v>
      </c>
      <c r="Q36" s="2" t="s">
        <v>423</v>
      </c>
      <c r="R36" s="2" t="s">
        <v>417</v>
      </c>
      <c r="S36" s="2" t="s">
        <v>34</v>
      </c>
      <c r="T36" s="125">
        <v>6.4870000000000001</v>
      </c>
      <c r="U36" s="2" t="s">
        <v>1851</v>
      </c>
      <c r="V36" s="138">
        <v>6.0699999999999997E-2</v>
      </c>
      <c r="W36" s="140">
        <v>5.4800000000000001E-2</v>
      </c>
      <c r="X36" s="3" t="s">
        <v>422</v>
      </c>
      <c r="Y36" s="3" t="s">
        <v>144</v>
      </c>
      <c r="Z36" s="125">
        <v>1408500</v>
      </c>
      <c r="AA36" s="134">
        <v>1</v>
      </c>
      <c r="AB36" s="151">
        <v>104.26</v>
      </c>
      <c r="AC36" s="2"/>
      <c r="AD36" s="125">
        <v>1468.502</v>
      </c>
      <c r="AE36" s="2"/>
      <c r="AF36" s="2"/>
      <c r="AG36" s="2" t="s">
        <v>36</v>
      </c>
      <c r="AH36" s="140">
        <v>3.1120000000000002E-3</v>
      </c>
      <c r="AI36" s="140">
        <v>5.1505727532464097E-3</v>
      </c>
      <c r="AJ36" s="140">
        <v>5.1089041634579905E-4</v>
      </c>
    </row>
    <row r="37" spans="1:36">
      <c r="A37" s="2">
        <v>382</v>
      </c>
      <c r="B37" s="2">
        <v>382</v>
      </c>
      <c r="C37" s="2" t="s">
        <v>1852</v>
      </c>
      <c r="D37" s="2" t="s">
        <v>1853</v>
      </c>
      <c r="E37" s="3" t="s">
        <v>1322</v>
      </c>
      <c r="F37" s="2" t="s">
        <v>1854</v>
      </c>
      <c r="G37" s="2" t="s">
        <v>1855</v>
      </c>
      <c r="H37" s="2" t="s">
        <v>184</v>
      </c>
      <c r="I37" s="2" t="s">
        <v>765</v>
      </c>
      <c r="J37" s="2" t="s">
        <v>30</v>
      </c>
      <c r="K37" s="2" t="s">
        <v>30</v>
      </c>
      <c r="L37" s="2" t="s">
        <v>337</v>
      </c>
      <c r="M37" s="2" t="s">
        <v>44</v>
      </c>
      <c r="N37" s="2" t="s">
        <v>472</v>
      </c>
      <c r="O37" s="2" t="s">
        <v>144</v>
      </c>
      <c r="P37" s="2" t="s">
        <v>1730</v>
      </c>
      <c r="Q37" s="2" t="s">
        <v>423</v>
      </c>
      <c r="R37" s="2" t="s">
        <v>417</v>
      </c>
      <c r="S37" s="2" t="s">
        <v>34</v>
      </c>
      <c r="T37" s="125">
        <v>1.6160000000000001</v>
      </c>
      <c r="U37" s="2" t="s">
        <v>1856</v>
      </c>
      <c r="V37" s="138">
        <v>2.0500000000000001E-2</v>
      </c>
      <c r="W37" s="140">
        <v>2.8719999999999999E-2</v>
      </c>
      <c r="X37" s="3" t="s">
        <v>422</v>
      </c>
      <c r="Y37" s="3" t="s">
        <v>144</v>
      </c>
      <c r="Z37" s="125">
        <v>1994571.53</v>
      </c>
      <c r="AA37" s="134">
        <v>1</v>
      </c>
      <c r="AB37" s="151">
        <v>116.04</v>
      </c>
      <c r="AC37" s="2"/>
      <c r="AD37" s="125">
        <v>2314.5010000000002</v>
      </c>
      <c r="AE37" s="2"/>
      <c r="AF37" s="2"/>
      <c r="AG37" s="2" t="s">
        <v>36</v>
      </c>
      <c r="AH37" s="140">
        <v>2.6410000000000001E-3</v>
      </c>
      <c r="AI37" s="140">
        <v>8.1177989295492092E-3</v>
      </c>
      <c r="AJ37" s="140">
        <v>8.0521252171709002E-4</v>
      </c>
    </row>
    <row r="38" spans="1:36">
      <c r="A38" s="2">
        <v>382</v>
      </c>
      <c r="B38" s="2">
        <v>382</v>
      </c>
      <c r="C38" s="2" t="s">
        <v>1857</v>
      </c>
      <c r="D38" s="2" t="s">
        <v>1858</v>
      </c>
      <c r="E38" s="3" t="s">
        <v>1322</v>
      </c>
      <c r="F38" s="2" t="s">
        <v>1859</v>
      </c>
      <c r="G38" s="2" t="s">
        <v>1860</v>
      </c>
      <c r="H38" s="2" t="s">
        <v>184</v>
      </c>
      <c r="I38" s="2" t="s">
        <v>765</v>
      </c>
      <c r="J38" s="2" t="s">
        <v>30</v>
      </c>
      <c r="K38" s="2" t="s">
        <v>30</v>
      </c>
      <c r="L38" s="2" t="s">
        <v>337</v>
      </c>
      <c r="M38" s="2" t="s">
        <v>44</v>
      </c>
      <c r="N38" s="2" t="s">
        <v>456</v>
      </c>
      <c r="O38" s="2" t="s">
        <v>144</v>
      </c>
      <c r="P38" s="2" t="s">
        <v>1179</v>
      </c>
      <c r="Q38" s="2" t="s">
        <v>423</v>
      </c>
      <c r="R38" s="2" t="s">
        <v>417</v>
      </c>
      <c r="S38" s="2" t="s">
        <v>34</v>
      </c>
      <c r="T38" s="125">
        <v>3.7989999999999999</v>
      </c>
      <c r="U38" s="2" t="s">
        <v>1861</v>
      </c>
      <c r="V38" s="138">
        <v>1E-3</v>
      </c>
      <c r="W38" s="140">
        <v>2.393E-2</v>
      </c>
      <c r="X38" s="3" t="s">
        <v>422</v>
      </c>
      <c r="Y38" s="3" t="s">
        <v>144</v>
      </c>
      <c r="Z38" s="125">
        <v>4160000</v>
      </c>
      <c r="AA38" s="134">
        <v>1</v>
      </c>
      <c r="AB38" s="151">
        <v>103.26</v>
      </c>
      <c r="AC38" s="2"/>
      <c r="AD38" s="125">
        <v>4295.616</v>
      </c>
      <c r="AE38" s="2"/>
      <c r="AF38" s="2"/>
      <c r="AG38" s="2" t="s">
        <v>36</v>
      </c>
      <c r="AH38" s="140">
        <v>1.232E-3</v>
      </c>
      <c r="AI38" s="140">
        <v>1.50662928762644E-2</v>
      </c>
      <c r="AJ38" s="140">
        <v>1.49444052323907E-3</v>
      </c>
    </row>
    <row r="39" spans="1:36">
      <c r="A39" s="2">
        <v>382</v>
      </c>
      <c r="B39" s="2">
        <v>382</v>
      </c>
      <c r="C39" s="2" t="s">
        <v>1857</v>
      </c>
      <c r="D39" s="2" t="s">
        <v>1858</v>
      </c>
      <c r="E39" s="3" t="s">
        <v>1322</v>
      </c>
      <c r="F39" s="2" t="s">
        <v>1862</v>
      </c>
      <c r="G39" s="2" t="s">
        <v>1863</v>
      </c>
      <c r="H39" s="2" t="s">
        <v>184</v>
      </c>
      <c r="I39" s="2" t="s">
        <v>765</v>
      </c>
      <c r="J39" s="2" t="s">
        <v>30</v>
      </c>
      <c r="K39" s="2" t="s">
        <v>30</v>
      </c>
      <c r="L39" s="2" t="s">
        <v>337</v>
      </c>
      <c r="M39" s="2" t="s">
        <v>44</v>
      </c>
      <c r="N39" s="2" t="s">
        <v>456</v>
      </c>
      <c r="O39" s="2" t="s">
        <v>144</v>
      </c>
      <c r="P39" s="2" t="s">
        <v>1179</v>
      </c>
      <c r="Q39" s="2" t="s">
        <v>423</v>
      </c>
      <c r="R39" s="2" t="s">
        <v>417</v>
      </c>
      <c r="S39" s="2" t="s">
        <v>34</v>
      </c>
      <c r="T39" s="125">
        <v>4.165</v>
      </c>
      <c r="U39" s="2" t="s">
        <v>1817</v>
      </c>
      <c r="V39" s="138">
        <v>2.06E-2</v>
      </c>
      <c r="W39" s="140">
        <v>2.3900000000000001E-2</v>
      </c>
      <c r="X39" s="3" t="s">
        <v>422</v>
      </c>
      <c r="Y39" s="3" t="s">
        <v>144</v>
      </c>
      <c r="Z39" s="125">
        <v>10170000</v>
      </c>
      <c r="AA39" s="134">
        <v>1</v>
      </c>
      <c r="AB39" s="151">
        <v>104.29</v>
      </c>
      <c r="AC39" s="2"/>
      <c r="AD39" s="125">
        <v>10606.293</v>
      </c>
      <c r="AE39" s="2"/>
      <c r="AF39" s="2"/>
      <c r="AG39" s="2" t="s">
        <v>36</v>
      </c>
      <c r="AH39" s="140">
        <v>5.6499999999999996E-3</v>
      </c>
      <c r="AI39" s="140">
        <v>3.7200140019376299E-2</v>
      </c>
      <c r="AJ39" s="140">
        <v>3.6899187591597801E-3</v>
      </c>
    </row>
    <row r="40" spans="1:36">
      <c r="A40" s="2">
        <v>382</v>
      </c>
      <c r="B40" s="2">
        <v>382</v>
      </c>
      <c r="C40" s="2" t="s">
        <v>1857</v>
      </c>
      <c r="D40" s="2" t="s">
        <v>1858</v>
      </c>
      <c r="E40" s="3" t="s">
        <v>1322</v>
      </c>
      <c r="F40" s="2" t="s">
        <v>1864</v>
      </c>
      <c r="G40" s="2" t="s">
        <v>1865</v>
      </c>
      <c r="H40" s="2" t="s">
        <v>184</v>
      </c>
      <c r="I40" s="2" t="s">
        <v>765</v>
      </c>
      <c r="J40" s="2" t="s">
        <v>30</v>
      </c>
      <c r="K40" s="2" t="s">
        <v>30</v>
      </c>
      <c r="L40" s="2" t="s">
        <v>337</v>
      </c>
      <c r="M40" s="2" t="s">
        <v>44</v>
      </c>
      <c r="N40" s="2" t="s">
        <v>456</v>
      </c>
      <c r="O40" s="2" t="s">
        <v>144</v>
      </c>
      <c r="P40" s="2" t="s">
        <v>1179</v>
      </c>
      <c r="Q40" s="2" t="s">
        <v>423</v>
      </c>
      <c r="R40" s="2" t="s">
        <v>417</v>
      </c>
      <c r="S40" s="2" t="s">
        <v>34</v>
      </c>
      <c r="T40" s="125">
        <v>4.7060000000000004</v>
      </c>
      <c r="U40" s="2" t="s">
        <v>1866</v>
      </c>
      <c r="V40" s="138">
        <v>1.9900000000000001E-2</v>
      </c>
      <c r="W40" s="140">
        <v>2.3980000000000001E-2</v>
      </c>
      <c r="X40" s="3" t="s">
        <v>422</v>
      </c>
      <c r="Y40" s="3" t="s">
        <v>144</v>
      </c>
      <c r="Z40" s="125">
        <v>7020000</v>
      </c>
      <c r="AA40" s="134">
        <v>1</v>
      </c>
      <c r="AB40" s="151">
        <v>101.53</v>
      </c>
      <c r="AC40" s="2"/>
      <c r="AD40" s="125">
        <v>7127.4059999999999</v>
      </c>
      <c r="AE40" s="2"/>
      <c r="AF40" s="2"/>
      <c r="AG40" s="2" t="s">
        <v>36</v>
      </c>
      <c r="AH40" s="140">
        <v>2.8890000000000001E-3</v>
      </c>
      <c r="AI40" s="140">
        <v>2.4998413788393601E-2</v>
      </c>
      <c r="AJ40" s="140">
        <v>2.4796174406597998E-3</v>
      </c>
    </row>
    <row r="41" spans="1:36">
      <c r="A41" s="2">
        <v>382</v>
      </c>
      <c r="B41" s="2">
        <v>382</v>
      </c>
      <c r="C41" s="2" t="s">
        <v>1857</v>
      </c>
      <c r="D41" s="2" t="s">
        <v>1858</v>
      </c>
      <c r="E41" s="3" t="s">
        <v>1322</v>
      </c>
      <c r="F41" s="2" t="s">
        <v>1867</v>
      </c>
      <c r="G41" s="2" t="s">
        <v>1868</v>
      </c>
      <c r="H41" s="2" t="s">
        <v>184</v>
      </c>
      <c r="I41" s="2" t="s">
        <v>765</v>
      </c>
      <c r="J41" s="2" t="s">
        <v>30</v>
      </c>
      <c r="K41" s="2" t="s">
        <v>30</v>
      </c>
      <c r="L41" s="2" t="s">
        <v>337</v>
      </c>
      <c r="M41" s="2" t="s">
        <v>44</v>
      </c>
      <c r="N41" s="2" t="s">
        <v>456</v>
      </c>
      <c r="O41" s="2" t="s">
        <v>144</v>
      </c>
      <c r="P41" s="2" t="s">
        <v>1179</v>
      </c>
      <c r="Q41" s="2" t="s">
        <v>423</v>
      </c>
      <c r="R41" s="2" t="s">
        <v>417</v>
      </c>
      <c r="S41" s="2" t="s">
        <v>34</v>
      </c>
      <c r="T41" s="125">
        <v>1.4670000000000001</v>
      </c>
      <c r="U41" s="2" t="s">
        <v>1869</v>
      </c>
      <c r="V41" s="138">
        <v>3.8E-3</v>
      </c>
      <c r="W41" s="140">
        <v>2.2120000000000001E-2</v>
      </c>
      <c r="X41" s="3" t="s">
        <v>422</v>
      </c>
      <c r="Y41" s="3" t="s">
        <v>144</v>
      </c>
      <c r="Z41" s="125">
        <v>3000000</v>
      </c>
      <c r="AA41" s="134">
        <v>1</v>
      </c>
      <c r="AB41" s="151">
        <v>110.77</v>
      </c>
      <c r="AC41" s="2"/>
      <c r="AD41" s="125">
        <v>3323.1</v>
      </c>
      <c r="AE41" s="2"/>
      <c r="AF41" s="2"/>
      <c r="AG41" s="2" t="s">
        <v>36</v>
      </c>
      <c r="AH41" s="140">
        <v>1E-3</v>
      </c>
      <c r="AI41" s="140">
        <v>1.1655324371897801E-2</v>
      </c>
      <c r="AJ41" s="140">
        <v>1.15610317653528E-3</v>
      </c>
    </row>
    <row r="42" spans="1:36">
      <c r="A42" s="2">
        <v>382</v>
      </c>
      <c r="B42" s="2">
        <v>382</v>
      </c>
      <c r="C42" s="2" t="s">
        <v>1857</v>
      </c>
      <c r="D42" s="2" t="s">
        <v>1858</v>
      </c>
      <c r="E42" s="3" t="s">
        <v>1322</v>
      </c>
      <c r="F42" s="2" t="s">
        <v>1870</v>
      </c>
      <c r="G42" s="2" t="s">
        <v>1871</v>
      </c>
      <c r="H42" s="2" t="s">
        <v>184</v>
      </c>
      <c r="I42" s="2" t="s">
        <v>765</v>
      </c>
      <c r="J42" s="2" t="s">
        <v>30</v>
      </c>
      <c r="K42" s="2" t="s">
        <v>30</v>
      </c>
      <c r="L42" s="2" t="s">
        <v>337</v>
      </c>
      <c r="M42" s="2" t="s">
        <v>44</v>
      </c>
      <c r="N42" s="2" t="s">
        <v>456</v>
      </c>
      <c r="O42" s="2" t="s">
        <v>144</v>
      </c>
      <c r="P42" s="2" t="s">
        <v>1179</v>
      </c>
      <c r="Q42" s="2" t="s">
        <v>423</v>
      </c>
      <c r="R42" s="2" t="s">
        <v>417</v>
      </c>
      <c r="S42" s="2" t="s">
        <v>34</v>
      </c>
      <c r="T42" s="125">
        <v>3.177</v>
      </c>
      <c r="U42" s="2" t="s">
        <v>1872</v>
      </c>
      <c r="V42" s="138">
        <v>1E-3</v>
      </c>
      <c r="W42" s="140">
        <v>2.4199999999999999E-2</v>
      </c>
      <c r="X42" s="3" t="s">
        <v>422</v>
      </c>
      <c r="Y42" s="3" t="s">
        <v>144</v>
      </c>
      <c r="Z42" s="125">
        <v>5800000</v>
      </c>
      <c r="AA42" s="134">
        <v>1</v>
      </c>
      <c r="AB42" s="151">
        <v>103.37</v>
      </c>
      <c r="AC42" s="2"/>
      <c r="AD42" s="125">
        <v>5995.46</v>
      </c>
      <c r="AE42" s="2"/>
      <c r="AF42" s="2"/>
      <c r="AG42" s="2" t="s">
        <v>36</v>
      </c>
      <c r="AH42" s="140">
        <v>2.2279999999999999E-3</v>
      </c>
      <c r="AI42" s="140">
        <v>2.1028266094531799E-2</v>
      </c>
      <c r="AJ42" s="140">
        <v>2.0858145559237398E-3</v>
      </c>
    </row>
    <row r="43" spans="1:36">
      <c r="A43" s="2">
        <v>382</v>
      </c>
      <c r="B43" s="2">
        <v>382</v>
      </c>
      <c r="C43" s="2" t="s">
        <v>1873</v>
      </c>
      <c r="D43" s="2" t="s">
        <v>1874</v>
      </c>
      <c r="E43" s="3" t="s">
        <v>1322</v>
      </c>
      <c r="F43" s="2" t="s">
        <v>1875</v>
      </c>
      <c r="G43" s="2" t="s">
        <v>1876</v>
      </c>
      <c r="H43" s="2" t="s">
        <v>184</v>
      </c>
      <c r="I43" s="2" t="s">
        <v>765</v>
      </c>
      <c r="J43" s="2" t="s">
        <v>30</v>
      </c>
      <c r="K43" s="2" t="s">
        <v>30</v>
      </c>
      <c r="L43" s="2" t="s">
        <v>339</v>
      </c>
      <c r="M43" s="2" t="s">
        <v>44</v>
      </c>
      <c r="N43" s="2" t="s">
        <v>451</v>
      </c>
      <c r="O43" s="2" t="s">
        <v>144</v>
      </c>
      <c r="P43" s="2" t="s">
        <v>1730</v>
      </c>
      <c r="Q43" s="2" t="s">
        <v>425</v>
      </c>
      <c r="R43" s="2" t="s">
        <v>417</v>
      </c>
      <c r="S43" s="2" t="s">
        <v>34</v>
      </c>
      <c r="T43" s="125">
        <v>1.403</v>
      </c>
      <c r="U43" s="2" t="s">
        <v>1877</v>
      </c>
      <c r="V43" s="138">
        <v>3.5400000000000001E-2</v>
      </c>
      <c r="W43" s="140">
        <v>2.9649999999999999E-2</v>
      </c>
      <c r="X43" s="3" t="s">
        <v>422</v>
      </c>
      <c r="Y43" s="3" t="s">
        <v>144</v>
      </c>
      <c r="Z43" s="125">
        <v>4962000</v>
      </c>
      <c r="AA43" s="134">
        <v>1</v>
      </c>
      <c r="AB43" s="151">
        <v>108.84</v>
      </c>
      <c r="AC43" s="2"/>
      <c r="AD43" s="125">
        <v>5400.6409999999996</v>
      </c>
      <c r="AE43" s="2"/>
      <c r="AF43" s="2"/>
      <c r="AG43" s="2" t="s">
        <v>36</v>
      </c>
      <c r="AH43" s="140">
        <v>0</v>
      </c>
      <c r="AI43" s="140">
        <v>1.8942018097591301E-2</v>
      </c>
      <c r="AJ43" s="140">
        <v>1.8788775493382699E-3</v>
      </c>
    </row>
    <row r="44" spans="1:36">
      <c r="A44" s="2">
        <v>382</v>
      </c>
      <c r="B44" s="2">
        <v>382</v>
      </c>
      <c r="C44" s="2" t="s">
        <v>1584</v>
      </c>
      <c r="D44" s="2" t="s">
        <v>1585</v>
      </c>
      <c r="E44" s="3" t="s">
        <v>1322</v>
      </c>
      <c r="F44" s="2" t="s">
        <v>1878</v>
      </c>
      <c r="G44" s="2" t="s">
        <v>1879</v>
      </c>
      <c r="H44" s="2" t="s">
        <v>184</v>
      </c>
      <c r="I44" s="2" t="s">
        <v>765</v>
      </c>
      <c r="J44" s="2" t="s">
        <v>30</v>
      </c>
      <c r="K44" s="2" t="s">
        <v>30</v>
      </c>
      <c r="L44" s="2" t="s">
        <v>337</v>
      </c>
      <c r="M44" s="2" t="s">
        <v>44</v>
      </c>
      <c r="N44" s="2" t="s">
        <v>472</v>
      </c>
      <c r="O44" s="2" t="s">
        <v>144</v>
      </c>
      <c r="P44" s="2" t="s">
        <v>1717</v>
      </c>
      <c r="Q44" s="2" t="s">
        <v>423</v>
      </c>
      <c r="R44" s="2" t="s">
        <v>417</v>
      </c>
      <c r="S44" s="2" t="s">
        <v>34</v>
      </c>
      <c r="T44" s="125">
        <v>3.3439999999999999</v>
      </c>
      <c r="U44" s="2" t="s">
        <v>1737</v>
      </c>
      <c r="V44" s="138">
        <v>6.4999999999999997E-3</v>
      </c>
      <c r="W44" s="140">
        <v>2.5749999999999999E-2</v>
      </c>
      <c r="X44" s="3" t="s">
        <v>422</v>
      </c>
      <c r="Y44" s="3" t="s">
        <v>144</v>
      </c>
      <c r="Z44" s="125">
        <v>3542553.05</v>
      </c>
      <c r="AA44" s="134">
        <v>1</v>
      </c>
      <c r="AB44" s="151">
        <v>107.93</v>
      </c>
      <c r="AC44" s="125">
        <v>58.652999999999999</v>
      </c>
      <c r="AD44" s="125">
        <v>3882.13</v>
      </c>
      <c r="AE44" s="2"/>
      <c r="AF44" s="2"/>
      <c r="AG44" s="2" t="s">
        <v>36</v>
      </c>
      <c r="AH44" s="140">
        <v>6.5539999999999999E-3</v>
      </c>
      <c r="AI44" s="140">
        <v>1.36160470642116E-2</v>
      </c>
      <c r="AJ44" s="140">
        <v>1.35058920374137E-3</v>
      </c>
    </row>
    <row r="45" spans="1:36">
      <c r="A45" s="2">
        <v>382</v>
      </c>
      <c r="B45" s="2">
        <v>382</v>
      </c>
      <c r="C45" s="2" t="s">
        <v>1584</v>
      </c>
      <c r="D45" s="2" t="s">
        <v>1585</v>
      </c>
      <c r="E45" s="3" t="s">
        <v>1322</v>
      </c>
      <c r="F45" s="2" t="s">
        <v>1880</v>
      </c>
      <c r="G45" s="2" t="s">
        <v>1881</v>
      </c>
      <c r="H45" s="2" t="s">
        <v>184</v>
      </c>
      <c r="I45" s="2" t="s">
        <v>765</v>
      </c>
      <c r="J45" s="2" t="s">
        <v>30</v>
      </c>
      <c r="K45" s="2" t="s">
        <v>30</v>
      </c>
      <c r="L45" s="2" t="s">
        <v>337</v>
      </c>
      <c r="M45" s="2" t="s">
        <v>44</v>
      </c>
      <c r="N45" s="2" t="s">
        <v>472</v>
      </c>
      <c r="O45" s="2" t="s">
        <v>144</v>
      </c>
      <c r="P45" s="2" t="s">
        <v>1717</v>
      </c>
      <c r="Q45" s="2" t="s">
        <v>423</v>
      </c>
      <c r="R45" s="2" t="s">
        <v>417</v>
      </c>
      <c r="S45" s="2" t="s">
        <v>34</v>
      </c>
      <c r="T45" s="125">
        <v>5.968</v>
      </c>
      <c r="U45" s="2" t="s">
        <v>1882</v>
      </c>
      <c r="V45" s="138">
        <v>3.61E-2</v>
      </c>
      <c r="W45" s="140">
        <v>3.091E-2</v>
      </c>
      <c r="X45" s="3" t="s">
        <v>422</v>
      </c>
      <c r="Y45" s="3" t="s">
        <v>144</v>
      </c>
      <c r="Z45" s="125">
        <v>2285395.0699999998</v>
      </c>
      <c r="AA45" s="134">
        <v>1</v>
      </c>
      <c r="AB45" s="151">
        <v>109.14</v>
      </c>
      <c r="AC45" s="125">
        <v>49.911000000000001</v>
      </c>
      <c r="AD45" s="125">
        <v>2544.1909999999998</v>
      </c>
      <c r="AE45" s="2"/>
      <c r="AF45" s="2"/>
      <c r="AG45" s="2" t="s">
        <v>36</v>
      </c>
      <c r="AH45" s="140">
        <v>1.454E-3</v>
      </c>
      <c r="AI45" s="140">
        <v>8.9234065113656894E-3</v>
      </c>
      <c r="AJ45" s="140">
        <v>8.8512153622933697E-4</v>
      </c>
    </row>
    <row r="46" spans="1:36">
      <c r="A46" s="2">
        <v>382</v>
      </c>
      <c r="B46" s="2">
        <v>382</v>
      </c>
      <c r="C46" s="2" t="s">
        <v>1584</v>
      </c>
      <c r="D46" s="2" t="s">
        <v>1585</v>
      </c>
      <c r="E46" s="3" t="s">
        <v>1322</v>
      </c>
      <c r="F46" s="2" t="s">
        <v>1883</v>
      </c>
      <c r="G46" s="2" t="s">
        <v>1884</v>
      </c>
      <c r="H46" s="2" t="s">
        <v>184</v>
      </c>
      <c r="I46" s="2" t="s">
        <v>765</v>
      </c>
      <c r="J46" s="2" t="s">
        <v>30</v>
      </c>
      <c r="K46" s="2" t="s">
        <v>30</v>
      </c>
      <c r="L46" s="2" t="s">
        <v>337</v>
      </c>
      <c r="M46" s="2" t="s">
        <v>44</v>
      </c>
      <c r="N46" s="2" t="s">
        <v>472</v>
      </c>
      <c r="O46" s="2" t="s">
        <v>144</v>
      </c>
      <c r="P46" s="2" t="s">
        <v>1717</v>
      </c>
      <c r="Q46" s="2" t="s">
        <v>423</v>
      </c>
      <c r="R46" s="2" t="s">
        <v>417</v>
      </c>
      <c r="S46" s="2" t="s">
        <v>34</v>
      </c>
      <c r="T46" s="125">
        <v>0.51800000000000002</v>
      </c>
      <c r="U46" s="2" t="s">
        <v>1885</v>
      </c>
      <c r="V46" s="138">
        <v>2.3E-2</v>
      </c>
      <c r="W46" s="140">
        <v>2.8219999999999999E-2</v>
      </c>
      <c r="X46" s="3" t="s">
        <v>422</v>
      </c>
      <c r="Y46" s="3" t="s">
        <v>144</v>
      </c>
      <c r="Z46" s="125">
        <v>1995807.72</v>
      </c>
      <c r="AA46" s="134">
        <v>1</v>
      </c>
      <c r="AB46" s="151">
        <v>116.73</v>
      </c>
      <c r="AC46" s="125">
        <v>55.99</v>
      </c>
      <c r="AD46" s="125">
        <v>2385.6970000000001</v>
      </c>
      <c r="AE46" s="2"/>
      <c r="AF46" s="2"/>
      <c r="AG46" s="2" t="s">
        <v>36</v>
      </c>
      <c r="AH46" s="140">
        <v>2.5079999999999998E-3</v>
      </c>
      <c r="AI46" s="140">
        <v>8.3675085043973998E-3</v>
      </c>
      <c r="AJ46" s="140">
        <v>8.29981461944041E-4</v>
      </c>
    </row>
    <row r="47" spans="1:36">
      <c r="A47" s="2">
        <v>382</v>
      </c>
      <c r="B47" s="2">
        <v>382</v>
      </c>
      <c r="C47" s="2" t="s">
        <v>1584</v>
      </c>
      <c r="D47" s="2" t="s">
        <v>1585</v>
      </c>
      <c r="E47" s="3" t="s">
        <v>1322</v>
      </c>
      <c r="F47" s="2" t="s">
        <v>1886</v>
      </c>
      <c r="G47" s="2" t="s">
        <v>1887</v>
      </c>
      <c r="H47" s="2" t="s">
        <v>184</v>
      </c>
      <c r="I47" s="2" t="s">
        <v>765</v>
      </c>
      <c r="J47" s="2" t="s">
        <v>30</v>
      </c>
      <c r="K47" s="2" t="s">
        <v>30</v>
      </c>
      <c r="L47" s="2" t="s">
        <v>337</v>
      </c>
      <c r="M47" s="2" t="s">
        <v>44</v>
      </c>
      <c r="N47" s="2" t="s">
        <v>472</v>
      </c>
      <c r="O47" s="2" t="s">
        <v>144</v>
      </c>
      <c r="P47" s="2" t="s">
        <v>1717</v>
      </c>
      <c r="Q47" s="2" t="s">
        <v>423</v>
      </c>
      <c r="R47" s="2" t="s">
        <v>417</v>
      </c>
      <c r="S47" s="2" t="s">
        <v>34</v>
      </c>
      <c r="T47" s="125">
        <v>3.738</v>
      </c>
      <c r="U47" s="2" t="s">
        <v>1888</v>
      </c>
      <c r="V47" s="138">
        <v>2.2499999999999999E-2</v>
      </c>
      <c r="W47" s="140">
        <v>2.843E-2</v>
      </c>
      <c r="X47" s="3" t="s">
        <v>422</v>
      </c>
      <c r="Y47" s="3" t="s">
        <v>144</v>
      </c>
      <c r="Z47" s="125">
        <v>6008955.0599999996</v>
      </c>
      <c r="AA47" s="134">
        <v>1</v>
      </c>
      <c r="AB47" s="151">
        <v>114.28</v>
      </c>
      <c r="AC47" s="125">
        <v>186.38300000000001</v>
      </c>
      <c r="AD47" s="125">
        <v>7053.4170000000004</v>
      </c>
      <c r="AE47" s="2"/>
      <c r="AF47" s="2"/>
      <c r="AG47" s="2" t="s">
        <v>36</v>
      </c>
      <c r="AH47" s="140">
        <v>3.4069999999999999E-3</v>
      </c>
      <c r="AI47" s="140">
        <v>2.4738905620513101E-2</v>
      </c>
      <c r="AJ47" s="140">
        <v>2.45387656827818E-3</v>
      </c>
    </row>
    <row r="48" spans="1:36">
      <c r="A48" s="2">
        <v>382</v>
      </c>
      <c r="B48" s="2">
        <v>382</v>
      </c>
      <c r="C48" s="2" t="s">
        <v>1584</v>
      </c>
      <c r="D48" s="2" t="s">
        <v>1585</v>
      </c>
      <c r="E48" s="3" t="s">
        <v>1322</v>
      </c>
      <c r="F48" s="2" t="s">
        <v>1889</v>
      </c>
      <c r="G48" s="2" t="s">
        <v>1890</v>
      </c>
      <c r="H48" s="2" t="s">
        <v>184</v>
      </c>
      <c r="I48" s="2" t="s">
        <v>765</v>
      </c>
      <c r="J48" s="2" t="s">
        <v>30</v>
      </c>
      <c r="K48" s="2" t="s">
        <v>30</v>
      </c>
      <c r="L48" s="2" t="s">
        <v>337</v>
      </c>
      <c r="M48" s="2" t="s">
        <v>44</v>
      </c>
      <c r="N48" s="2" t="s">
        <v>472</v>
      </c>
      <c r="O48" s="2" t="s">
        <v>144</v>
      </c>
      <c r="P48" s="2" t="s">
        <v>1717</v>
      </c>
      <c r="Q48" s="2" t="s">
        <v>423</v>
      </c>
      <c r="R48" s="2" t="s">
        <v>417</v>
      </c>
      <c r="S48" s="2" t="s">
        <v>34</v>
      </c>
      <c r="T48" s="125">
        <v>5.1219999999999999</v>
      </c>
      <c r="U48" s="2" t="s">
        <v>1891</v>
      </c>
      <c r="V48" s="138">
        <v>2.5000000000000001E-3</v>
      </c>
      <c r="W48" s="140">
        <v>2.6169999999999999E-2</v>
      </c>
      <c r="X48" s="3" t="s">
        <v>422</v>
      </c>
      <c r="Y48" s="3" t="s">
        <v>144</v>
      </c>
      <c r="Z48" s="125">
        <v>4245600.3499999996</v>
      </c>
      <c r="AA48" s="134">
        <v>1</v>
      </c>
      <c r="AB48" s="151">
        <v>100.3</v>
      </c>
      <c r="AC48" s="125">
        <v>61.252000000000002</v>
      </c>
      <c r="AD48" s="125">
        <v>4319.5889999999999</v>
      </c>
      <c r="AE48" s="2"/>
      <c r="AF48" s="2"/>
      <c r="AG48" s="2" t="s">
        <v>36</v>
      </c>
      <c r="AH48" s="140">
        <v>3.14E-3</v>
      </c>
      <c r="AI48" s="140">
        <v>1.5150374974293E-2</v>
      </c>
      <c r="AJ48" s="140">
        <v>1.50278070987986E-3</v>
      </c>
    </row>
    <row r="49" spans="1:36">
      <c r="A49" s="2">
        <v>382</v>
      </c>
      <c r="B49" s="2">
        <v>382</v>
      </c>
      <c r="C49" s="2" t="s">
        <v>1892</v>
      </c>
      <c r="D49" s="2" t="s">
        <v>1893</v>
      </c>
      <c r="E49" s="3" t="s">
        <v>1322</v>
      </c>
      <c r="F49" s="2" t="s">
        <v>1894</v>
      </c>
      <c r="G49" s="2" t="s">
        <v>1895</v>
      </c>
      <c r="H49" s="2" t="s">
        <v>184</v>
      </c>
      <c r="I49" s="2" t="s">
        <v>765</v>
      </c>
      <c r="J49" s="2" t="s">
        <v>30</v>
      </c>
      <c r="K49" s="2" t="s">
        <v>30</v>
      </c>
      <c r="L49" s="2" t="s">
        <v>337</v>
      </c>
      <c r="M49" s="2" t="s">
        <v>44</v>
      </c>
      <c r="N49" s="2" t="s">
        <v>472</v>
      </c>
      <c r="O49" s="2" t="s">
        <v>144</v>
      </c>
      <c r="P49" s="2" t="s">
        <v>1740</v>
      </c>
      <c r="Q49" s="2" t="s">
        <v>423</v>
      </c>
      <c r="R49" s="2" t="s">
        <v>417</v>
      </c>
      <c r="S49" s="2" t="s">
        <v>34</v>
      </c>
      <c r="T49" s="125">
        <v>0.98199999999999998</v>
      </c>
      <c r="U49" s="2" t="s">
        <v>1896</v>
      </c>
      <c r="V49" s="138">
        <v>4.9500000000000002E-2</v>
      </c>
      <c r="W49" s="140">
        <v>3.2910000000000002E-2</v>
      </c>
      <c r="X49" s="3" t="s">
        <v>422</v>
      </c>
      <c r="Y49" s="3" t="s">
        <v>144</v>
      </c>
      <c r="Z49" s="125">
        <v>500000.95</v>
      </c>
      <c r="AA49" s="134">
        <v>1</v>
      </c>
      <c r="AB49" s="151">
        <v>141.51</v>
      </c>
      <c r="AC49" s="2"/>
      <c r="AD49" s="125">
        <v>707.55100000000004</v>
      </c>
      <c r="AE49" s="2"/>
      <c r="AF49" s="2"/>
      <c r="AG49" s="2" t="s">
        <v>36</v>
      </c>
      <c r="AH49" s="140">
        <v>2.2769999999999999E-3</v>
      </c>
      <c r="AI49" s="140">
        <v>2.4816407655843501E-3</v>
      </c>
      <c r="AJ49" s="140">
        <v>2.46156407197815E-4</v>
      </c>
    </row>
    <row r="50" spans="1:36">
      <c r="A50" s="2">
        <v>382</v>
      </c>
      <c r="B50" s="2">
        <v>382</v>
      </c>
      <c r="C50" s="2" t="s">
        <v>1607</v>
      </c>
      <c r="D50" s="2" t="s">
        <v>1608</v>
      </c>
      <c r="E50" s="3" t="s">
        <v>1322</v>
      </c>
      <c r="F50" s="2" t="s">
        <v>1897</v>
      </c>
      <c r="G50" s="2" t="s">
        <v>1898</v>
      </c>
      <c r="H50" s="2" t="s">
        <v>184</v>
      </c>
      <c r="I50" s="2" t="s">
        <v>765</v>
      </c>
      <c r="J50" s="2" t="s">
        <v>30</v>
      </c>
      <c r="K50" s="2" t="s">
        <v>30</v>
      </c>
      <c r="L50" s="2" t="s">
        <v>337</v>
      </c>
      <c r="M50" s="2" t="s">
        <v>44</v>
      </c>
      <c r="N50" s="2" t="s">
        <v>472</v>
      </c>
      <c r="O50" s="2" t="s">
        <v>144</v>
      </c>
      <c r="P50" s="2" t="s">
        <v>95</v>
      </c>
      <c r="Q50" s="2" t="s">
        <v>423</v>
      </c>
      <c r="R50" s="2" t="s">
        <v>417</v>
      </c>
      <c r="S50" s="2" t="s">
        <v>34</v>
      </c>
      <c r="T50" s="125">
        <v>2.9119999999999999</v>
      </c>
      <c r="U50" s="2" t="s">
        <v>1899</v>
      </c>
      <c r="V50" s="138">
        <v>1.34E-2</v>
      </c>
      <c r="W50" s="140">
        <v>2.5749999999999999E-2</v>
      </c>
      <c r="X50" s="3" t="s">
        <v>422</v>
      </c>
      <c r="Y50" s="3" t="s">
        <v>144</v>
      </c>
      <c r="Z50" s="125">
        <v>3832320.45</v>
      </c>
      <c r="AA50" s="134">
        <v>1</v>
      </c>
      <c r="AB50" s="151">
        <v>112.66</v>
      </c>
      <c r="AC50" s="125">
        <v>438.81900000000002</v>
      </c>
      <c r="AD50" s="125">
        <v>4756.3109999999997</v>
      </c>
      <c r="AE50" s="2"/>
      <c r="AF50" s="2"/>
      <c r="AG50" s="2" t="s">
        <v>36</v>
      </c>
      <c r="AH50" s="140">
        <v>1.5770000000000001E-3</v>
      </c>
      <c r="AI50" s="140">
        <v>1.66821192321783E-2</v>
      </c>
      <c r="AJ50" s="140">
        <v>1.65471594099626E-3</v>
      </c>
    </row>
    <row r="51" spans="1:36">
      <c r="A51" s="2">
        <v>382</v>
      </c>
      <c r="B51" s="2">
        <v>382</v>
      </c>
      <c r="C51" s="2" t="s">
        <v>1611</v>
      </c>
      <c r="D51" s="2" t="s">
        <v>1612</v>
      </c>
      <c r="E51" s="3" t="s">
        <v>1322</v>
      </c>
      <c r="F51" s="2" t="s">
        <v>1900</v>
      </c>
      <c r="G51" s="2" t="s">
        <v>1901</v>
      </c>
      <c r="H51" s="2" t="s">
        <v>184</v>
      </c>
      <c r="I51" s="2" t="s">
        <v>765</v>
      </c>
      <c r="J51" s="2" t="s">
        <v>30</v>
      </c>
      <c r="K51" s="2" t="s">
        <v>30</v>
      </c>
      <c r="L51" s="2" t="s">
        <v>337</v>
      </c>
      <c r="M51" s="2" t="s">
        <v>44</v>
      </c>
      <c r="N51" s="2" t="s">
        <v>456</v>
      </c>
      <c r="O51" s="2" t="s">
        <v>144</v>
      </c>
      <c r="P51" s="2" t="s">
        <v>1721</v>
      </c>
      <c r="Q51" s="2" t="s">
        <v>423</v>
      </c>
      <c r="R51" s="2" t="s">
        <v>417</v>
      </c>
      <c r="S51" s="2" t="s">
        <v>34</v>
      </c>
      <c r="T51" s="125">
        <v>1.345</v>
      </c>
      <c r="U51" s="2" t="s">
        <v>1902</v>
      </c>
      <c r="V51" s="138">
        <v>2.5899999999999999E-2</v>
      </c>
      <c r="W51" s="140">
        <v>2.8309999999999998E-2</v>
      </c>
      <c r="X51" s="3" t="s">
        <v>422</v>
      </c>
      <c r="Y51" s="3" t="s">
        <v>144</v>
      </c>
      <c r="Z51" s="125">
        <v>550000</v>
      </c>
      <c r="AA51" s="134">
        <v>1</v>
      </c>
      <c r="AB51" s="151">
        <v>116.49</v>
      </c>
      <c r="AC51" s="2"/>
      <c r="AD51" s="125">
        <v>640.69500000000005</v>
      </c>
      <c r="AE51" s="2"/>
      <c r="AF51" s="2"/>
      <c r="AG51" s="2" t="s">
        <v>36</v>
      </c>
      <c r="AH51" s="140">
        <v>5.2099999999999998E-4</v>
      </c>
      <c r="AI51" s="140">
        <v>2.2471511686236001E-3</v>
      </c>
      <c r="AJ51" s="140">
        <v>2.2289715166268499E-4</v>
      </c>
    </row>
    <row r="52" spans="1:36">
      <c r="A52" s="2">
        <v>382</v>
      </c>
      <c r="B52" s="2">
        <v>382</v>
      </c>
      <c r="C52" s="2" t="s">
        <v>1611</v>
      </c>
      <c r="D52" s="2" t="s">
        <v>1612</v>
      </c>
      <c r="E52" s="3" t="s">
        <v>1322</v>
      </c>
      <c r="F52" s="2" t="s">
        <v>1903</v>
      </c>
      <c r="G52" s="2" t="s">
        <v>1904</v>
      </c>
      <c r="H52" s="2" t="s">
        <v>184</v>
      </c>
      <c r="I52" s="2" t="s">
        <v>765</v>
      </c>
      <c r="J52" s="2" t="s">
        <v>30</v>
      </c>
      <c r="K52" s="2" t="s">
        <v>30</v>
      </c>
      <c r="L52" s="2" t="s">
        <v>337</v>
      </c>
      <c r="M52" s="2" t="s">
        <v>44</v>
      </c>
      <c r="N52" s="2" t="s">
        <v>456</v>
      </c>
      <c r="O52" s="2" t="s">
        <v>144</v>
      </c>
      <c r="P52" s="2" t="s">
        <v>1179</v>
      </c>
      <c r="Q52" s="2" t="s">
        <v>423</v>
      </c>
      <c r="R52" s="2" t="s">
        <v>417</v>
      </c>
      <c r="S52" s="2" t="s">
        <v>34</v>
      </c>
      <c r="T52" s="125">
        <v>3.839</v>
      </c>
      <c r="U52" s="2" t="s">
        <v>1905</v>
      </c>
      <c r="V52" s="138">
        <v>1E-3</v>
      </c>
      <c r="W52" s="140">
        <v>2.359E-2</v>
      </c>
      <c r="X52" s="3" t="s">
        <v>422</v>
      </c>
      <c r="Y52" s="3" t="s">
        <v>144</v>
      </c>
      <c r="Z52" s="125">
        <v>3500000</v>
      </c>
      <c r="AA52" s="134">
        <v>1</v>
      </c>
      <c r="AB52" s="151">
        <v>103.09</v>
      </c>
      <c r="AC52" s="2"/>
      <c r="AD52" s="125">
        <v>3608.15</v>
      </c>
      <c r="AE52" s="2"/>
      <c r="AF52" s="2"/>
      <c r="AG52" s="2" t="s">
        <v>36</v>
      </c>
      <c r="AH52" s="140">
        <v>3.5560000000000001E-3</v>
      </c>
      <c r="AI52" s="140">
        <v>1.26550987428796E-2</v>
      </c>
      <c r="AJ52" s="140">
        <v>1.2552717873117699E-3</v>
      </c>
    </row>
    <row r="53" spans="1:36">
      <c r="A53" s="2">
        <v>382</v>
      </c>
      <c r="B53" s="2">
        <v>382</v>
      </c>
      <c r="C53" s="2" t="s">
        <v>1611</v>
      </c>
      <c r="D53" s="2" t="s">
        <v>1612</v>
      </c>
      <c r="E53" s="3" t="s">
        <v>1322</v>
      </c>
      <c r="F53" s="2" t="s">
        <v>1906</v>
      </c>
      <c r="G53" s="2" t="s">
        <v>1907</v>
      </c>
      <c r="H53" s="2" t="s">
        <v>184</v>
      </c>
      <c r="I53" s="2" t="s">
        <v>765</v>
      </c>
      <c r="J53" s="2" t="s">
        <v>30</v>
      </c>
      <c r="K53" s="2" t="s">
        <v>30</v>
      </c>
      <c r="L53" s="2" t="s">
        <v>337</v>
      </c>
      <c r="M53" s="2" t="s">
        <v>44</v>
      </c>
      <c r="N53" s="2" t="s">
        <v>456</v>
      </c>
      <c r="O53" s="2" t="s">
        <v>144</v>
      </c>
      <c r="P53" s="2" t="s">
        <v>1179</v>
      </c>
      <c r="Q53" s="2" t="s">
        <v>423</v>
      </c>
      <c r="R53" s="2" t="s">
        <v>417</v>
      </c>
      <c r="S53" s="2" t="s">
        <v>34</v>
      </c>
      <c r="T53" s="125">
        <v>1.7869999999999999</v>
      </c>
      <c r="U53" s="2" t="s">
        <v>1908</v>
      </c>
      <c r="V53" s="138">
        <v>6.0000000000000001E-3</v>
      </c>
      <c r="W53" s="140">
        <v>2.2329999999999999E-2</v>
      </c>
      <c r="X53" s="3" t="s">
        <v>422</v>
      </c>
      <c r="Y53" s="3" t="s">
        <v>144</v>
      </c>
      <c r="Z53" s="125">
        <v>3962222.34</v>
      </c>
      <c r="AA53" s="134">
        <v>1</v>
      </c>
      <c r="AB53" s="151">
        <v>113.4</v>
      </c>
      <c r="AC53" s="2"/>
      <c r="AD53" s="125">
        <v>4493.16</v>
      </c>
      <c r="AE53" s="2"/>
      <c r="AF53" s="2"/>
      <c r="AG53" s="2" t="s">
        <v>36</v>
      </c>
      <c r="AH53" s="140">
        <v>4.4539999999999996E-3</v>
      </c>
      <c r="AI53" s="140">
        <v>1.5759152240835801E-2</v>
      </c>
      <c r="AJ53" s="140">
        <v>1.56316593033324E-3</v>
      </c>
    </row>
    <row r="54" spans="1:36">
      <c r="A54" s="2">
        <v>382</v>
      </c>
      <c r="B54" s="2">
        <v>382</v>
      </c>
      <c r="C54" s="2" t="s">
        <v>1611</v>
      </c>
      <c r="D54" s="2" t="s">
        <v>1612</v>
      </c>
      <c r="E54" s="3" t="s">
        <v>1322</v>
      </c>
      <c r="F54" s="2" t="s">
        <v>1909</v>
      </c>
      <c r="G54" s="2" t="s">
        <v>1910</v>
      </c>
      <c r="H54" s="2" t="s">
        <v>184</v>
      </c>
      <c r="I54" s="2" t="s">
        <v>765</v>
      </c>
      <c r="J54" s="2" t="s">
        <v>30</v>
      </c>
      <c r="K54" s="2" t="s">
        <v>30</v>
      </c>
      <c r="L54" s="2" t="s">
        <v>337</v>
      </c>
      <c r="M54" s="2" t="s">
        <v>44</v>
      </c>
      <c r="N54" s="2" t="s">
        <v>456</v>
      </c>
      <c r="O54" s="2" t="s">
        <v>144</v>
      </c>
      <c r="P54" s="2" t="s">
        <v>1179</v>
      </c>
      <c r="Q54" s="2" t="s">
        <v>423</v>
      </c>
      <c r="R54" s="2" t="s">
        <v>417</v>
      </c>
      <c r="S54" s="2" t="s">
        <v>34</v>
      </c>
      <c r="T54" s="125">
        <v>3.3029999999999999</v>
      </c>
      <c r="U54" s="2" t="s">
        <v>1911</v>
      </c>
      <c r="V54" s="138">
        <v>1.7500000000000002E-2</v>
      </c>
      <c r="W54" s="140">
        <v>2.341E-2</v>
      </c>
      <c r="X54" s="3" t="s">
        <v>422</v>
      </c>
      <c r="Y54" s="3" t="s">
        <v>144</v>
      </c>
      <c r="Z54" s="125">
        <v>7357594.5199999996</v>
      </c>
      <c r="AA54" s="134">
        <v>1</v>
      </c>
      <c r="AB54" s="151">
        <v>112.53</v>
      </c>
      <c r="AC54" s="2"/>
      <c r="AD54" s="125">
        <v>8279.5010000000002</v>
      </c>
      <c r="AE54" s="2"/>
      <c r="AF54" s="2"/>
      <c r="AG54" s="2" t="s">
        <v>36</v>
      </c>
      <c r="AH54" s="140">
        <v>3.3010000000000001E-3</v>
      </c>
      <c r="AI54" s="140">
        <v>2.9039231775647299E-2</v>
      </c>
      <c r="AJ54" s="140">
        <v>2.8804301818417199E-3</v>
      </c>
    </row>
    <row r="55" spans="1:36">
      <c r="A55" s="2">
        <v>382</v>
      </c>
      <c r="B55" s="2">
        <v>382</v>
      </c>
      <c r="C55" s="2" t="s">
        <v>1611</v>
      </c>
      <c r="D55" s="2" t="s">
        <v>1612</v>
      </c>
      <c r="E55" s="3" t="s">
        <v>1322</v>
      </c>
      <c r="F55" s="2" t="s">
        <v>1912</v>
      </c>
      <c r="G55" s="2" t="s">
        <v>1913</v>
      </c>
      <c r="H55" s="2" t="s">
        <v>184</v>
      </c>
      <c r="I55" s="2" t="s">
        <v>765</v>
      </c>
      <c r="J55" s="2" t="s">
        <v>30</v>
      </c>
      <c r="K55" s="2" t="s">
        <v>30</v>
      </c>
      <c r="L55" s="2" t="s">
        <v>337</v>
      </c>
      <c r="M55" s="2" t="s">
        <v>86</v>
      </c>
      <c r="N55" s="2" t="s">
        <v>456</v>
      </c>
      <c r="O55" s="2" t="s">
        <v>144</v>
      </c>
      <c r="P55" s="2" t="s">
        <v>1721</v>
      </c>
      <c r="Q55" s="2" t="s">
        <v>423</v>
      </c>
      <c r="R55" s="2" t="s">
        <v>417</v>
      </c>
      <c r="S55" s="2" t="s">
        <v>34</v>
      </c>
      <c r="T55" s="125">
        <v>7.0410000000000004</v>
      </c>
      <c r="U55" s="2" t="s">
        <v>1914</v>
      </c>
      <c r="V55" s="138">
        <v>3.4500000000000003E-2</v>
      </c>
      <c r="W55" s="140">
        <v>3.3020000000000001E-2</v>
      </c>
      <c r="X55" s="3" t="s">
        <v>422</v>
      </c>
      <c r="Y55" s="3" t="s">
        <v>144</v>
      </c>
      <c r="Z55" s="125">
        <v>2800000</v>
      </c>
      <c r="AA55" s="134">
        <v>1</v>
      </c>
      <c r="AB55" s="151">
        <v>100.92</v>
      </c>
      <c r="AC55" s="2"/>
      <c r="AD55" s="125">
        <v>2825.76</v>
      </c>
      <c r="AE55" s="2"/>
      <c r="AF55" s="2"/>
      <c r="AG55" s="2" t="s">
        <v>36</v>
      </c>
      <c r="AH55" s="140">
        <v>8.2100000000000003E-3</v>
      </c>
      <c r="AI55" s="140">
        <v>9.9109715016502693E-3</v>
      </c>
      <c r="AJ55" s="140">
        <v>9.8307908643324705E-4</v>
      </c>
    </row>
    <row r="56" spans="1:36">
      <c r="A56" s="2">
        <v>382</v>
      </c>
      <c r="B56" s="2">
        <v>382</v>
      </c>
      <c r="C56" s="2" t="s">
        <v>1611</v>
      </c>
      <c r="D56" s="2" t="s">
        <v>1612</v>
      </c>
      <c r="E56" s="3" t="s">
        <v>1322</v>
      </c>
      <c r="F56" s="2" t="s">
        <v>1915</v>
      </c>
      <c r="G56" s="2" t="s">
        <v>1916</v>
      </c>
      <c r="H56" s="2" t="s">
        <v>184</v>
      </c>
      <c r="I56" s="2" t="s">
        <v>765</v>
      </c>
      <c r="J56" s="2" t="s">
        <v>30</v>
      </c>
      <c r="K56" s="2" t="s">
        <v>30</v>
      </c>
      <c r="L56" s="2" t="s">
        <v>337</v>
      </c>
      <c r="M56" s="2" t="s">
        <v>44</v>
      </c>
      <c r="N56" s="2" t="s">
        <v>456</v>
      </c>
      <c r="O56" s="2" t="s">
        <v>144</v>
      </c>
      <c r="P56" s="2" t="s">
        <v>1721</v>
      </c>
      <c r="Q56" s="2" t="s">
        <v>423</v>
      </c>
      <c r="R56" s="2" t="s">
        <v>417</v>
      </c>
      <c r="S56" s="2" t="s">
        <v>34</v>
      </c>
      <c r="T56" s="125">
        <v>1.593</v>
      </c>
      <c r="U56" s="2" t="s">
        <v>1917</v>
      </c>
      <c r="V56" s="138">
        <v>2.9700000000000001E-2</v>
      </c>
      <c r="W56" s="140">
        <v>2.9430000000000001E-2</v>
      </c>
      <c r="X56" s="3" t="s">
        <v>422</v>
      </c>
      <c r="Y56" s="3" t="s">
        <v>144</v>
      </c>
      <c r="Z56" s="125">
        <v>4500000</v>
      </c>
      <c r="AA56" s="134">
        <v>1</v>
      </c>
      <c r="AB56" s="151">
        <v>116.55</v>
      </c>
      <c r="AC56" s="2"/>
      <c r="AD56" s="125">
        <v>5244.75</v>
      </c>
      <c r="AE56" s="2"/>
      <c r="AF56" s="2"/>
      <c r="AG56" s="2" t="s">
        <v>36</v>
      </c>
      <c r="AH56" s="140">
        <v>6.4289999999999998E-3</v>
      </c>
      <c r="AI56" s="140">
        <v>1.8395252174027599E-2</v>
      </c>
      <c r="AJ56" s="140">
        <v>1.82464329545707E-3</v>
      </c>
    </row>
    <row r="57" spans="1:36">
      <c r="A57" s="2">
        <v>382</v>
      </c>
      <c r="B57" s="2">
        <v>382</v>
      </c>
      <c r="C57" s="2" t="s">
        <v>1611</v>
      </c>
      <c r="D57" s="2" t="s">
        <v>1612</v>
      </c>
      <c r="E57" s="3" t="s">
        <v>1322</v>
      </c>
      <c r="F57" s="2" t="s">
        <v>1918</v>
      </c>
      <c r="G57" s="2" t="s">
        <v>1919</v>
      </c>
      <c r="H57" s="2" t="s">
        <v>184</v>
      </c>
      <c r="I57" s="2" t="s">
        <v>765</v>
      </c>
      <c r="J57" s="2" t="s">
        <v>30</v>
      </c>
      <c r="K57" s="2" t="s">
        <v>30</v>
      </c>
      <c r="L57" s="2" t="s">
        <v>337</v>
      </c>
      <c r="M57" s="2" t="s">
        <v>44</v>
      </c>
      <c r="N57" s="2" t="s">
        <v>456</v>
      </c>
      <c r="O57" s="2" t="s">
        <v>144</v>
      </c>
      <c r="P57" s="2" t="s">
        <v>1721</v>
      </c>
      <c r="Q57" s="2" t="s">
        <v>423</v>
      </c>
      <c r="R57" s="2" t="s">
        <v>417</v>
      </c>
      <c r="S57" s="2" t="s">
        <v>34</v>
      </c>
      <c r="T57" s="125">
        <v>0.249</v>
      </c>
      <c r="U57" s="2" t="s">
        <v>1920</v>
      </c>
      <c r="V57" s="138">
        <v>2.0199999999999999E-2</v>
      </c>
      <c r="W57" s="140">
        <v>3.6790000000000003E-2</v>
      </c>
      <c r="X57" s="3" t="s">
        <v>422</v>
      </c>
      <c r="Y57" s="3" t="s">
        <v>144</v>
      </c>
      <c r="Z57" s="125">
        <v>1900000</v>
      </c>
      <c r="AA57" s="134">
        <v>1</v>
      </c>
      <c r="AB57" s="151">
        <v>116.49</v>
      </c>
      <c r="AC57" s="2"/>
      <c r="AD57" s="125">
        <v>2213.31</v>
      </c>
      <c r="AE57" s="2"/>
      <c r="AF57" s="2"/>
      <c r="AG57" s="2" t="s">
        <v>36</v>
      </c>
      <c r="AH57" s="140">
        <v>1.8060000000000001E-3</v>
      </c>
      <c r="AI57" s="140">
        <v>7.76288585524516E-3</v>
      </c>
      <c r="AJ57" s="140">
        <v>7.7000834210745801E-4</v>
      </c>
    </row>
    <row r="58" spans="1:36">
      <c r="A58" s="2">
        <v>382</v>
      </c>
      <c r="B58" s="2">
        <v>382</v>
      </c>
      <c r="C58" s="2" t="s">
        <v>1921</v>
      </c>
      <c r="D58" s="2" t="s">
        <v>1922</v>
      </c>
      <c r="E58" s="3" t="s">
        <v>1322</v>
      </c>
      <c r="F58" s="2" t="s">
        <v>1923</v>
      </c>
      <c r="G58" s="2" t="s">
        <v>1924</v>
      </c>
      <c r="H58" s="2" t="s">
        <v>184</v>
      </c>
      <c r="I58" s="2" t="s">
        <v>765</v>
      </c>
      <c r="J58" s="2" t="s">
        <v>30</v>
      </c>
      <c r="K58" s="2" t="s">
        <v>30</v>
      </c>
      <c r="L58" s="2" t="s">
        <v>337</v>
      </c>
      <c r="M58" s="2" t="s">
        <v>44</v>
      </c>
      <c r="N58" s="2" t="s">
        <v>448</v>
      </c>
      <c r="O58" s="2" t="s">
        <v>144</v>
      </c>
      <c r="P58" s="2" t="s">
        <v>1721</v>
      </c>
      <c r="Q58" s="2" t="s">
        <v>423</v>
      </c>
      <c r="R58" s="2" t="s">
        <v>417</v>
      </c>
      <c r="S58" s="2" t="s">
        <v>34</v>
      </c>
      <c r="T58" s="125">
        <v>2.347</v>
      </c>
      <c r="U58" s="2" t="s">
        <v>1792</v>
      </c>
      <c r="V58" s="138">
        <v>1.9400000000000001E-2</v>
      </c>
      <c r="W58" s="140">
        <v>2.4109999999999999E-2</v>
      </c>
      <c r="X58" s="3" t="s">
        <v>422</v>
      </c>
      <c r="Y58" s="3" t="s">
        <v>144</v>
      </c>
      <c r="Z58" s="125">
        <v>2099175.77</v>
      </c>
      <c r="AA58" s="134">
        <v>1</v>
      </c>
      <c r="AB58" s="151">
        <v>115.11</v>
      </c>
      <c r="AC58" s="2"/>
      <c r="AD58" s="125">
        <v>2416.3609999999999</v>
      </c>
      <c r="AE58" s="2"/>
      <c r="AF58" s="2"/>
      <c r="AG58" s="2" t="s">
        <v>36</v>
      </c>
      <c r="AH58" s="140">
        <v>8.7080000000000005E-3</v>
      </c>
      <c r="AI58" s="140">
        <v>8.4750606126476596E-3</v>
      </c>
      <c r="AJ58" s="140">
        <v>8.4064966216084401E-4</v>
      </c>
    </row>
    <row r="59" spans="1:36">
      <c r="A59" s="2">
        <v>382</v>
      </c>
      <c r="B59" s="2">
        <v>382</v>
      </c>
      <c r="C59" s="2" t="s">
        <v>1925</v>
      </c>
      <c r="D59" s="2" t="s">
        <v>1926</v>
      </c>
      <c r="E59" s="3" t="s">
        <v>1322</v>
      </c>
      <c r="F59" s="2" t="s">
        <v>1927</v>
      </c>
      <c r="G59" s="2" t="s">
        <v>1928</v>
      </c>
      <c r="H59" s="2" t="s">
        <v>184</v>
      </c>
      <c r="I59" s="2" t="s">
        <v>977</v>
      </c>
      <c r="J59" s="2" t="s">
        <v>30</v>
      </c>
      <c r="K59" s="2" t="s">
        <v>30</v>
      </c>
      <c r="L59" s="2" t="s">
        <v>337</v>
      </c>
      <c r="M59" s="2" t="s">
        <v>44</v>
      </c>
      <c r="N59" s="2" t="s">
        <v>453</v>
      </c>
      <c r="O59" s="2" t="s">
        <v>144</v>
      </c>
      <c r="P59" s="2" t="s">
        <v>1717</v>
      </c>
      <c r="Q59" s="2" t="s">
        <v>423</v>
      </c>
      <c r="R59" s="2" t="s">
        <v>417</v>
      </c>
      <c r="S59" s="2" t="s">
        <v>34</v>
      </c>
      <c r="T59" s="125">
        <v>4.87</v>
      </c>
      <c r="U59" s="2" t="s">
        <v>1929</v>
      </c>
      <c r="V59" s="138">
        <v>4.6899999999999997E-2</v>
      </c>
      <c r="W59" s="140">
        <v>4.8379999999999999E-2</v>
      </c>
      <c r="X59" s="3" t="s">
        <v>422</v>
      </c>
      <c r="Y59" s="3" t="s">
        <v>144</v>
      </c>
      <c r="Z59" s="125">
        <v>5199023</v>
      </c>
      <c r="AA59" s="134">
        <v>1</v>
      </c>
      <c r="AB59" s="151">
        <v>99.72</v>
      </c>
      <c r="AC59" s="2"/>
      <c r="AD59" s="125">
        <v>5184.4660000000003</v>
      </c>
      <c r="AE59" s="2"/>
      <c r="AF59" s="2"/>
      <c r="AG59" s="2" t="s">
        <v>36</v>
      </c>
      <c r="AH59" s="140">
        <v>1.0397999999999999E-2</v>
      </c>
      <c r="AI59" s="140">
        <v>1.81838132597297E-2</v>
      </c>
      <c r="AJ59" s="140">
        <v>1.8036704599817799E-3</v>
      </c>
    </row>
    <row r="60" spans="1:36">
      <c r="A60" s="2">
        <v>382</v>
      </c>
      <c r="B60" s="2">
        <v>382</v>
      </c>
      <c r="C60" s="2" t="s">
        <v>1623</v>
      </c>
      <c r="D60" s="2" t="s">
        <v>1624</v>
      </c>
      <c r="E60" s="3" t="s">
        <v>1322</v>
      </c>
      <c r="F60" s="2" t="s">
        <v>1930</v>
      </c>
      <c r="G60" s="2" t="s">
        <v>1931</v>
      </c>
      <c r="H60" s="2" t="s">
        <v>184</v>
      </c>
      <c r="I60" s="2" t="s">
        <v>765</v>
      </c>
      <c r="J60" s="2" t="s">
        <v>30</v>
      </c>
      <c r="K60" s="2" t="s">
        <v>30</v>
      </c>
      <c r="L60" s="2" t="s">
        <v>337</v>
      </c>
      <c r="M60" s="2" t="s">
        <v>44</v>
      </c>
      <c r="N60" s="2" t="s">
        <v>484</v>
      </c>
      <c r="O60" s="2" t="s">
        <v>144</v>
      </c>
      <c r="P60" s="2" t="s">
        <v>1717</v>
      </c>
      <c r="Q60" s="2" t="s">
        <v>423</v>
      </c>
      <c r="R60" s="2" t="s">
        <v>417</v>
      </c>
      <c r="S60" s="2" t="s">
        <v>34</v>
      </c>
      <c r="T60" s="125">
        <v>2.1880000000000002</v>
      </c>
      <c r="U60" s="2" t="s">
        <v>1932</v>
      </c>
      <c r="V60" s="138">
        <v>4.2999999999999997E-2</v>
      </c>
      <c r="W60" s="140">
        <v>2.2929999999999999E-2</v>
      </c>
      <c r="X60" s="3" t="s">
        <v>422</v>
      </c>
      <c r="Y60" s="3" t="s">
        <v>144</v>
      </c>
      <c r="Z60" s="125">
        <v>1645835.4</v>
      </c>
      <c r="AA60" s="134">
        <v>1</v>
      </c>
      <c r="AB60" s="151">
        <v>121.38</v>
      </c>
      <c r="AC60" s="2"/>
      <c r="AD60" s="125">
        <v>1997.7149999999999</v>
      </c>
      <c r="AE60" s="2"/>
      <c r="AF60" s="2"/>
      <c r="AG60" s="2" t="s">
        <v>36</v>
      </c>
      <c r="AH60" s="140">
        <v>4.0350000000000004E-3</v>
      </c>
      <c r="AI60" s="140">
        <v>7.0067155447952898E-3</v>
      </c>
      <c r="AJ60" s="140">
        <v>6.9500305954144298E-4</v>
      </c>
    </row>
    <row r="61" spans="1:36">
      <c r="A61" s="2">
        <v>382</v>
      </c>
      <c r="B61" s="2">
        <v>382</v>
      </c>
      <c r="C61" s="2" t="s">
        <v>1933</v>
      </c>
      <c r="D61" s="2" t="s">
        <v>1934</v>
      </c>
      <c r="E61" s="3" t="s">
        <v>1322</v>
      </c>
      <c r="F61" s="2" t="s">
        <v>1935</v>
      </c>
      <c r="G61" s="2" t="s">
        <v>1936</v>
      </c>
      <c r="H61" s="2" t="s">
        <v>184</v>
      </c>
      <c r="I61" s="2" t="s">
        <v>765</v>
      </c>
      <c r="J61" s="2" t="s">
        <v>30</v>
      </c>
      <c r="K61" s="2" t="s">
        <v>30</v>
      </c>
      <c r="L61" s="2" t="s">
        <v>337</v>
      </c>
      <c r="M61" s="2" t="s">
        <v>44</v>
      </c>
      <c r="N61" s="2" t="s">
        <v>455</v>
      </c>
      <c r="O61" s="2" t="s">
        <v>144</v>
      </c>
      <c r="P61" s="2" t="s">
        <v>1740</v>
      </c>
      <c r="Q61" s="2" t="s">
        <v>423</v>
      </c>
      <c r="R61" s="2" t="s">
        <v>417</v>
      </c>
      <c r="S61" s="2" t="s">
        <v>34</v>
      </c>
      <c r="T61" s="125">
        <v>0.24399999999999999</v>
      </c>
      <c r="U61" s="2" t="s">
        <v>1937</v>
      </c>
      <c r="V61" s="138">
        <v>4.3400000000000001E-2</v>
      </c>
      <c r="W61" s="140">
        <v>3.3689999999999998E-2</v>
      </c>
      <c r="X61" s="3" t="s">
        <v>422</v>
      </c>
      <c r="Y61" s="3" t="s">
        <v>144</v>
      </c>
      <c r="Z61" s="125">
        <v>1736842</v>
      </c>
      <c r="AA61" s="134">
        <v>1</v>
      </c>
      <c r="AB61" s="151">
        <v>116.76</v>
      </c>
      <c r="AC61" s="2"/>
      <c r="AD61" s="125">
        <v>2027.9369999999999</v>
      </c>
      <c r="AE61" s="2"/>
      <c r="AF61" s="2"/>
      <c r="AG61" s="2" t="s">
        <v>36</v>
      </c>
      <c r="AH61" s="140">
        <v>3.993E-3</v>
      </c>
      <c r="AI61" s="140">
        <v>7.11271411271352E-3</v>
      </c>
      <c r="AJ61" s="140">
        <v>7.0551716255293196E-4</v>
      </c>
    </row>
    <row r="62" spans="1:36">
      <c r="A62" s="2">
        <v>382</v>
      </c>
      <c r="B62" s="2">
        <v>382</v>
      </c>
      <c r="C62" s="2" t="s">
        <v>1938</v>
      </c>
      <c r="D62" s="2" t="s">
        <v>1939</v>
      </c>
      <c r="E62" s="3" t="s">
        <v>1322</v>
      </c>
      <c r="F62" s="2" t="s">
        <v>1940</v>
      </c>
      <c r="G62" s="2" t="s">
        <v>1941</v>
      </c>
      <c r="H62" s="2" t="s">
        <v>184</v>
      </c>
      <c r="I62" s="2" t="s">
        <v>977</v>
      </c>
      <c r="J62" s="2" t="s">
        <v>30</v>
      </c>
      <c r="K62" s="2" t="s">
        <v>30</v>
      </c>
      <c r="L62" s="2" t="s">
        <v>337</v>
      </c>
      <c r="M62" s="2" t="s">
        <v>44</v>
      </c>
      <c r="N62" s="2" t="s">
        <v>448</v>
      </c>
      <c r="O62" s="2" t="s">
        <v>144</v>
      </c>
      <c r="P62" s="2" t="s">
        <v>1767</v>
      </c>
      <c r="Q62" s="2" t="s">
        <v>425</v>
      </c>
      <c r="R62" s="2" t="s">
        <v>417</v>
      </c>
      <c r="S62" s="2" t="s">
        <v>34</v>
      </c>
      <c r="T62" s="125">
        <v>4.202</v>
      </c>
      <c r="U62" s="2" t="s">
        <v>1942</v>
      </c>
      <c r="V62" s="138">
        <v>6.7699999999999996E-2</v>
      </c>
      <c r="W62" s="140">
        <v>5.5649999999999998E-2</v>
      </c>
      <c r="X62" s="3" t="s">
        <v>422</v>
      </c>
      <c r="Y62" s="3" t="s">
        <v>144</v>
      </c>
      <c r="Z62" s="125">
        <v>4900000</v>
      </c>
      <c r="AA62" s="134">
        <v>1</v>
      </c>
      <c r="AB62" s="151">
        <v>105.34</v>
      </c>
      <c r="AC62" s="2"/>
      <c r="AD62" s="125">
        <v>5161.66</v>
      </c>
      <c r="AE62" s="2"/>
      <c r="AF62" s="2"/>
      <c r="AG62" s="2" t="s">
        <v>36</v>
      </c>
      <c r="AH62" s="140">
        <v>6.5329999999999997E-3</v>
      </c>
      <c r="AI62" s="140">
        <v>1.8103825222668599E-2</v>
      </c>
      <c r="AJ62" s="140">
        <v>1.7957363673061499E-3</v>
      </c>
    </row>
    <row r="63" spans="1:36">
      <c r="A63" s="2">
        <v>382</v>
      </c>
      <c r="B63" s="2">
        <v>382</v>
      </c>
      <c r="C63" s="2" t="s">
        <v>1943</v>
      </c>
      <c r="D63" s="2" t="s">
        <v>1944</v>
      </c>
      <c r="E63" s="3" t="s">
        <v>1322</v>
      </c>
      <c r="F63" s="2" t="s">
        <v>1945</v>
      </c>
      <c r="G63" s="2" t="s">
        <v>1946</v>
      </c>
      <c r="H63" s="2" t="s">
        <v>184</v>
      </c>
      <c r="I63" s="2" t="s">
        <v>766</v>
      </c>
      <c r="J63" s="2" t="s">
        <v>30</v>
      </c>
      <c r="K63" s="2" t="s">
        <v>30</v>
      </c>
      <c r="L63" s="2" t="s">
        <v>337</v>
      </c>
      <c r="M63" s="2" t="s">
        <v>44</v>
      </c>
      <c r="N63" s="2" t="s">
        <v>462</v>
      </c>
      <c r="O63" s="2" t="s">
        <v>144</v>
      </c>
      <c r="P63" s="2" t="s">
        <v>1721</v>
      </c>
      <c r="Q63" s="2" t="s">
        <v>425</v>
      </c>
      <c r="R63" s="2" t="s">
        <v>417</v>
      </c>
      <c r="S63" s="2" t="s">
        <v>34</v>
      </c>
      <c r="T63" s="125">
        <v>2.492</v>
      </c>
      <c r="U63" s="2" t="s">
        <v>1947</v>
      </c>
      <c r="V63" s="138">
        <v>5.4800000000000001E-2</v>
      </c>
      <c r="W63" s="140">
        <v>6.7839999999999998E-2</v>
      </c>
      <c r="X63" s="3" t="s">
        <v>422</v>
      </c>
      <c r="Y63" s="3" t="s">
        <v>144</v>
      </c>
      <c r="Z63" s="125">
        <v>985160.03</v>
      </c>
      <c r="AA63" s="134">
        <v>1</v>
      </c>
      <c r="AB63" s="151">
        <v>101.16</v>
      </c>
      <c r="AC63" s="2"/>
      <c r="AD63" s="125">
        <v>996.58799999999997</v>
      </c>
      <c r="AE63" s="2"/>
      <c r="AF63" s="2"/>
      <c r="AG63" s="2" t="s">
        <v>36</v>
      </c>
      <c r="AH63" s="140">
        <v>3.6679999999999998E-3</v>
      </c>
      <c r="AI63" s="140">
        <v>3.49539739414703E-3</v>
      </c>
      <c r="AJ63" s="140">
        <v>3.4671193196217403E-4</v>
      </c>
    </row>
    <row r="64" spans="1:36">
      <c r="A64" s="2">
        <v>382</v>
      </c>
      <c r="B64" s="2">
        <v>382</v>
      </c>
      <c r="C64" s="2" t="s">
        <v>1948</v>
      </c>
      <c r="D64" s="2" t="s">
        <v>1949</v>
      </c>
      <c r="E64" s="3" t="s">
        <v>1322</v>
      </c>
      <c r="F64" s="2" t="s">
        <v>1950</v>
      </c>
      <c r="G64" s="2" t="s">
        <v>1951</v>
      </c>
      <c r="H64" s="2" t="s">
        <v>184</v>
      </c>
      <c r="I64" s="2" t="s">
        <v>766</v>
      </c>
      <c r="J64" s="2" t="s">
        <v>30</v>
      </c>
      <c r="K64" s="2" t="s">
        <v>30</v>
      </c>
      <c r="L64" s="2" t="s">
        <v>337</v>
      </c>
      <c r="M64" s="2" t="s">
        <v>44</v>
      </c>
      <c r="N64" s="2" t="s">
        <v>462</v>
      </c>
      <c r="O64" s="2" t="s">
        <v>144</v>
      </c>
      <c r="P64" s="2" t="s">
        <v>1730</v>
      </c>
      <c r="Q64" s="2" t="s">
        <v>425</v>
      </c>
      <c r="R64" s="2" t="s">
        <v>417</v>
      </c>
      <c r="S64" s="2" t="s">
        <v>34</v>
      </c>
      <c r="T64" s="125">
        <v>2.722</v>
      </c>
      <c r="U64" s="2" t="s">
        <v>1947</v>
      </c>
      <c r="V64" s="138">
        <v>4.6899999999999997E-2</v>
      </c>
      <c r="W64" s="140">
        <v>7.3669999999999999E-2</v>
      </c>
      <c r="X64" s="3" t="s">
        <v>422</v>
      </c>
      <c r="Y64" s="3" t="s">
        <v>144</v>
      </c>
      <c r="Z64" s="125">
        <v>7385738.1600000001</v>
      </c>
      <c r="AA64" s="134">
        <v>1</v>
      </c>
      <c r="AB64" s="151">
        <v>98.21</v>
      </c>
      <c r="AC64" s="2"/>
      <c r="AD64" s="125">
        <v>7253.5330000000004</v>
      </c>
      <c r="AE64" s="2"/>
      <c r="AF64" s="2"/>
      <c r="AG64" s="2" t="s">
        <v>36</v>
      </c>
      <c r="AH64" s="140">
        <v>5.4660000000000004E-3</v>
      </c>
      <c r="AI64" s="140">
        <v>2.5440788771463201E-2</v>
      </c>
      <c r="AJ64" s="140">
        <v>2.5234970536870899E-3</v>
      </c>
    </row>
    <row r="65" spans="1:36">
      <c r="A65" s="2">
        <v>382</v>
      </c>
      <c r="B65" s="2">
        <v>382</v>
      </c>
      <c r="C65" s="2" t="s">
        <v>1611</v>
      </c>
      <c r="D65" s="2" t="s">
        <v>1612</v>
      </c>
      <c r="E65" s="3" t="s">
        <v>1322</v>
      </c>
      <c r="F65" s="2" t="s">
        <v>1952</v>
      </c>
      <c r="G65" s="2" t="s">
        <v>1953</v>
      </c>
      <c r="H65" s="2" t="s">
        <v>184</v>
      </c>
      <c r="I65" s="2" t="s">
        <v>766</v>
      </c>
      <c r="J65" s="2" t="s">
        <v>30</v>
      </c>
      <c r="K65" s="2" t="s">
        <v>30</v>
      </c>
      <c r="L65" s="2" t="s">
        <v>337</v>
      </c>
      <c r="M65" s="2" t="s">
        <v>31</v>
      </c>
      <c r="N65" s="2" t="s">
        <v>545</v>
      </c>
      <c r="O65" s="2" t="s">
        <v>144</v>
      </c>
      <c r="P65" s="2" t="s">
        <v>1954</v>
      </c>
      <c r="Q65" s="2" t="s">
        <v>441</v>
      </c>
      <c r="R65" s="2" t="s">
        <v>417</v>
      </c>
      <c r="S65" s="2" t="s">
        <v>89</v>
      </c>
      <c r="T65" s="125">
        <v>5.9640000000000004</v>
      </c>
      <c r="U65" s="2" t="s">
        <v>1955</v>
      </c>
      <c r="V65" s="138">
        <v>3.2550000000000003E-2</v>
      </c>
      <c r="W65" s="140">
        <v>6.5949999999999995E-2</v>
      </c>
      <c r="X65" s="3" t="s">
        <v>422</v>
      </c>
      <c r="Y65" s="3" t="s">
        <v>144</v>
      </c>
      <c r="Z65" s="125">
        <v>2000000</v>
      </c>
      <c r="AA65" s="134">
        <v>3.6469999999999998</v>
      </c>
      <c r="AB65" s="151">
        <v>95.063000000000002</v>
      </c>
      <c r="AC65" s="2"/>
      <c r="AD65" s="125">
        <v>6933.8680000000004</v>
      </c>
      <c r="AE65" s="2"/>
      <c r="AF65" s="2"/>
      <c r="AG65" s="2" t="s">
        <v>36</v>
      </c>
      <c r="AH65" s="140">
        <v>2E-3</v>
      </c>
      <c r="AI65" s="140">
        <v>2.4319604931417001E-2</v>
      </c>
      <c r="AJ65" s="140">
        <v>2.41228571734002E-3</v>
      </c>
    </row>
    <row r="66" spans="1:36">
      <c r="A66" s="2">
        <v>382</v>
      </c>
      <c r="B66" s="2">
        <v>382</v>
      </c>
      <c r="C66" s="2" t="s">
        <v>1177</v>
      </c>
      <c r="D66" s="2" t="s">
        <v>1570</v>
      </c>
      <c r="E66" s="3" t="s">
        <v>1322</v>
      </c>
      <c r="F66" s="2" t="s">
        <v>1956</v>
      </c>
      <c r="G66" s="2" t="s">
        <v>1957</v>
      </c>
      <c r="H66" s="2" t="s">
        <v>184</v>
      </c>
      <c r="I66" s="2" t="s">
        <v>766</v>
      </c>
      <c r="J66" s="2" t="s">
        <v>30</v>
      </c>
      <c r="K66" s="2" t="s">
        <v>30</v>
      </c>
      <c r="L66" s="2" t="s">
        <v>337</v>
      </c>
      <c r="M66" s="2" t="s">
        <v>31</v>
      </c>
      <c r="N66" s="2" t="s">
        <v>545</v>
      </c>
      <c r="O66" s="2" t="s">
        <v>144</v>
      </c>
      <c r="P66" s="2" t="s">
        <v>1954</v>
      </c>
      <c r="Q66" s="2" t="s">
        <v>441</v>
      </c>
      <c r="R66" s="2" t="s">
        <v>417</v>
      </c>
      <c r="S66" s="2" t="s">
        <v>89</v>
      </c>
      <c r="T66" s="125">
        <v>5.2160000000000002</v>
      </c>
      <c r="U66" s="2" t="s">
        <v>1958</v>
      </c>
      <c r="V66" s="138">
        <v>3.2750000000000001E-2</v>
      </c>
      <c r="W66" s="140">
        <v>6.3509999999999997E-2</v>
      </c>
      <c r="X66" s="3" t="s">
        <v>422</v>
      </c>
      <c r="Y66" s="3" t="s">
        <v>144</v>
      </c>
      <c r="Z66" s="125">
        <v>1900000</v>
      </c>
      <c r="AA66" s="134">
        <v>3.6469999999999998</v>
      </c>
      <c r="AB66" s="151">
        <v>97.311000000000007</v>
      </c>
      <c r="AC66" s="2"/>
      <c r="AD66" s="125">
        <v>6742.99</v>
      </c>
      <c r="AE66" s="2"/>
      <c r="AF66" s="2"/>
      <c r="AG66" s="2" t="s">
        <v>36</v>
      </c>
      <c r="AH66" s="140">
        <v>2.5330000000000001E-3</v>
      </c>
      <c r="AI66" s="140">
        <v>2.3650127220912101E-2</v>
      </c>
      <c r="AJ66" s="140">
        <v>2.34587955968726E-3</v>
      </c>
    </row>
    <row r="67" spans="1:36">
      <c r="A67" s="2">
        <v>382</v>
      </c>
      <c r="B67" s="2">
        <v>1404</v>
      </c>
      <c r="C67" s="2" t="s">
        <v>1713</v>
      </c>
      <c r="D67" s="2" t="s">
        <v>1714</v>
      </c>
      <c r="E67" s="3" t="s">
        <v>1322</v>
      </c>
      <c r="F67" s="2" t="s">
        <v>1715</v>
      </c>
      <c r="G67" s="2" t="s">
        <v>1716</v>
      </c>
      <c r="H67" s="2" t="s">
        <v>184</v>
      </c>
      <c r="I67" s="2" t="s">
        <v>765</v>
      </c>
      <c r="J67" s="2" t="s">
        <v>30</v>
      </c>
      <c r="K67" s="2" t="s">
        <v>30</v>
      </c>
      <c r="L67" s="2" t="s">
        <v>337</v>
      </c>
      <c r="M67" s="2" t="s">
        <v>44</v>
      </c>
      <c r="N67" s="2" t="s">
        <v>472</v>
      </c>
      <c r="O67" s="2" t="s">
        <v>144</v>
      </c>
      <c r="P67" s="2" t="s">
        <v>1717</v>
      </c>
      <c r="Q67" s="2" t="s">
        <v>423</v>
      </c>
      <c r="R67" s="2" t="s">
        <v>417</v>
      </c>
      <c r="S67" s="2" t="s">
        <v>34</v>
      </c>
      <c r="T67" s="125">
        <v>1.9319999999999999</v>
      </c>
      <c r="U67" s="2" t="s">
        <v>1718</v>
      </c>
      <c r="V67" s="138">
        <v>2.3400000000000001E-2</v>
      </c>
      <c r="W67" s="140">
        <v>2.674E-2</v>
      </c>
      <c r="X67" s="3" t="s">
        <v>422</v>
      </c>
      <c r="Y67" s="3" t="s">
        <v>144</v>
      </c>
      <c r="Z67" s="125">
        <v>64705.88</v>
      </c>
      <c r="AA67" s="134">
        <v>1</v>
      </c>
      <c r="AB67" s="151">
        <v>116.51</v>
      </c>
      <c r="AC67" s="2"/>
      <c r="AD67" s="125">
        <v>75.388999999999996</v>
      </c>
      <c r="AE67" s="2"/>
      <c r="AF67" s="2"/>
      <c r="AG67" s="2" t="s">
        <v>36</v>
      </c>
      <c r="AH67" s="140">
        <v>3.1000000000000001E-5</v>
      </c>
      <c r="AI67" s="140">
        <v>1.7848822832347198E-2</v>
      </c>
      <c r="AJ67" s="140">
        <v>2.76923372997962E-3</v>
      </c>
    </row>
    <row r="68" spans="1:36">
      <c r="A68" s="2">
        <v>382</v>
      </c>
      <c r="B68" s="2">
        <v>1404</v>
      </c>
      <c r="C68" s="2" t="s">
        <v>1713</v>
      </c>
      <c r="D68" s="2" t="s">
        <v>1714</v>
      </c>
      <c r="E68" s="3" t="s">
        <v>1322</v>
      </c>
      <c r="F68" s="2" t="s">
        <v>1959</v>
      </c>
      <c r="G68" s="2" t="s">
        <v>1960</v>
      </c>
      <c r="H68" s="2" t="s">
        <v>184</v>
      </c>
      <c r="I68" s="2" t="s">
        <v>977</v>
      </c>
      <c r="J68" s="2" t="s">
        <v>30</v>
      </c>
      <c r="K68" s="2" t="s">
        <v>30</v>
      </c>
      <c r="L68" s="2" t="s">
        <v>337</v>
      </c>
      <c r="M68" s="2" t="s">
        <v>44</v>
      </c>
      <c r="N68" s="2" t="s">
        <v>472</v>
      </c>
      <c r="O68" s="2" t="s">
        <v>144</v>
      </c>
      <c r="P68" s="2" t="s">
        <v>1717</v>
      </c>
      <c r="Q68" s="2" t="s">
        <v>423</v>
      </c>
      <c r="R68" s="2" t="s">
        <v>417</v>
      </c>
      <c r="S68" s="2" t="s">
        <v>34</v>
      </c>
      <c r="T68" s="125">
        <v>2.5049999999999999</v>
      </c>
      <c r="U68" s="2" t="s">
        <v>1768</v>
      </c>
      <c r="V68" s="138">
        <v>0.05</v>
      </c>
      <c r="W68" s="140">
        <v>4.9320000000000003E-2</v>
      </c>
      <c r="X68" s="3" t="s">
        <v>422</v>
      </c>
      <c r="Y68" s="3" t="s">
        <v>144</v>
      </c>
      <c r="Z68" s="125">
        <v>80000</v>
      </c>
      <c r="AA68" s="134">
        <v>1</v>
      </c>
      <c r="AB68" s="151">
        <v>101.17</v>
      </c>
      <c r="AC68" s="2"/>
      <c r="AD68" s="125">
        <v>80.936000000000007</v>
      </c>
      <c r="AE68" s="2"/>
      <c r="AF68" s="2"/>
      <c r="AG68" s="2" t="s">
        <v>36</v>
      </c>
      <c r="AH68" s="140">
        <v>2.0000000000000001E-4</v>
      </c>
      <c r="AI68" s="140">
        <v>1.91621557368729E-2</v>
      </c>
      <c r="AJ68" s="140">
        <v>2.97299651098014E-3</v>
      </c>
    </row>
    <row r="69" spans="1:36">
      <c r="A69" s="2">
        <v>382</v>
      </c>
      <c r="B69" s="2">
        <v>1404</v>
      </c>
      <c r="C69" s="2" t="s">
        <v>1510</v>
      </c>
      <c r="D69" s="2" t="s">
        <v>1511</v>
      </c>
      <c r="E69" s="3" t="s">
        <v>1322</v>
      </c>
      <c r="F69" s="2" t="s">
        <v>1961</v>
      </c>
      <c r="G69" s="2" t="s">
        <v>1962</v>
      </c>
      <c r="H69" s="2" t="s">
        <v>184</v>
      </c>
      <c r="I69" s="2" t="s">
        <v>977</v>
      </c>
      <c r="J69" s="2" t="s">
        <v>30</v>
      </c>
      <c r="K69" s="2" t="s">
        <v>30</v>
      </c>
      <c r="L69" s="2" t="s">
        <v>337</v>
      </c>
      <c r="M69" s="2" t="s">
        <v>44</v>
      </c>
      <c r="N69" s="2" t="s">
        <v>454</v>
      </c>
      <c r="O69" s="2" t="s">
        <v>144</v>
      </c>
      <c r="P69" s="2" t="s">
        <v>1717</v>
      </c>
      <c r="Q69" s="2" t="s">
        <v>423</v>
      </c>
      <c r="R69" s="2" t="s">
        <v>417</v>
      </c>
      <c r="S69" s="2" t="s">
        <v>34</v>
      </c>
      <c r="T69" s="125">
        <v>2.3849999999999998</v>
      </c>
      <c r="U69" s="2" t="s">
        <v>1963</v>
      </c>
      <c r="V69" s="138">
        <v>1.0800000000000001E-2</v>
      </c>
      <c r="W69" s="140">
        <v>4.5809999999999997E-2</v>
      </c>
      <c r="X69" s="3" t="s">
        <v>422</v>
      </c>
      <c r="Y69" s="3" t="s">
        <v>144</v>
      </c>
      <c r="Z69" s="125">
        <v>38541.67</v>
      </c>
      <c r="AA69" s="134">
        <v>1</v>
      </c>
      <c r="AB69" s="151">
        <v>92.09</v>
      </c>
      <c r="AC69" s="2"/>
      <c r="AD69" s="125">
        <v>35.493000000000002</v>
      </c>
      <c r="AE69" s="2"/>
      <c r="AF69" s="2"/>
      <c r="AG69" s="2" t="s">
        <v>36</v>
      </c>
      <c r="AH69" s="140">
        <v>4.1E-5</v>
      </c>
      <c r="AI69" s="140">
        <v>8.4032179944874604E-3</v>
      </c>
      <c r="AJ69" s="140">
        <v>1.3037540306878701E-3</v>
      </c>
    </row>
    <row r="70" spans="1:36">
      <c r="A70" s="2">
        <v>382</v>
      </c>
      <c r="B70" s="2">
        <v>1404</v>
      </c>
      <c r="C70" s="2" t="s">
        <v>1514</v>
      </c>
      <c r="D70" s="2" t="s">
        <v>1515</v>
      </c>
      <c r="E70" s="3" t="s">
        <v>1322</v>
      </c>
      <c r="F70" s="2" t="s">
        <v>1964</v>
      </c>
      <c r="G70" s="2" t="s">
        <v>1965</v>
      </c>
      <c r="H70" s="2" t="s">
        <v>184</v>
      </c>
      <c r="I70" s="2" t="s">
        <v>977</v>
      </c>
      <c r="J70" s="2" t="s">
        <v>30</v>
      </c>
      <c r="K70" s="2" t="s">
        <v>30</v>
      </c>
      <c r="L70" s="2" t="s">
        <v>337</v>
      </c>
      <c r="M70" s="2" t="s">
        <v>44</v>
      </c>
      <c r="N70" s="2" t="s">
        <v>472</v>
      </c>
      <c r="O70" s="2" t="s">
        <v>144</v>
      </c>
      <c r="P70" s="2" t="s">
        <v>1721</v>
      </c>
      <c r="Q70" s="2" t="s">
        <v>423</v>
      </c>
      <c r="R70" s="2" t="s">
        <v>417</v>
      </c>
      <c r="S70" s="2" t="s">
        <v>34</v>
      </c>
      <c r="T70" s="125">
        <v>1.099</v>
      </c>
      <c r="U70" s="2" t="s">
        <v>1966</v>
      </c>
      <c r="V70" s="138">
        <v>3.85E-2</v>
      </c>
      <c r="W70" s="140">
        <v>5.1720000000000002E-2</v>
      </c>
      <c r="X70" s="3" t="s">
        <v>422</v>
      </c>
      <c r="Y70" s="3" t="s">
        <v>144</v>
      </c>
      <c r="Z70" s="125">
        <v>71035.72</v>
      </c>
      <c r="AA70" s="134">
        <v>1</v>
      </c>
      <c r="AB70" s="151">
        <v>101.79</v>
      </c>
      <c r="AC70" s="2"/>
      <c r="AD70" s="125">
        <v>72.307000000000002</v>
      </c>
      <c r="AE70" s="2"/>
      <c r="AF70" s="2"/>
      <c r="AG70" s="2" t="s">
        <v>36</v>
      </c>
      <c r="AH70" s="140">
        <v>1.5200000000000001E-4</v>
      </c>
      <c r="AI70" s="140">
        <v>1.7119241935595001E-2</v>
      </c>
      <c r="AJ70" s="140">
        <v>2.6560397088941901E-3</v>
      </c>
    </row>
    <row r="71" spans="1:36">
      <c r="A71" s="2">
        <v>382</v>
      </c>
      <c r="B71" s="2">
        <v>1404</v>
      </c>
      <c r="C71" s="2" t="s">
        <v>1514</v>
      </c>
      <c r="D71" s="2" t="s">
        <v>1515</v>
      </c>
      <c r="E71" s="3" t="s">
        <v>1322</v>
      </c>
      <c r="F71" s="2" t="s">
        <v>1719</v>
      </c>
      <c r="G71" s="2" t="s">
        <v>1720</v>
      </c>
      <c r="H71" s="2" t="s">
        <v>184</v>
      </c>
      <c r="I71" s="2" t="s">
        <v>765</v>
      </c>
      <c r="J71" s="2" t="s">
        <v>30</v>
      </c>
      <c r="K71" s="2" t="s">
        <v>30</v>
      </c>
      <c r="L71" s="2" t="s">
        <v>337</v>
      </c>
      <c r="M71" s="2" t="s">
        <v>44</v>
      </c>
      <c r="N71" s="2" t="s">
        <v>472</v>
      </c>
      <c r="O71" s="2" t="s">
        <v>144</v>
      </c>
      <c r="P71" s="2" t="s">
        <v>1721</v>
      </c>
      <c r="Q71" s="2" t="s">
        <v>423</v>
      </c>
      <c r="R71" s="2" t="s">
        <v>417</v>
      </c>
      <c r="S71" s="2" t="s">
        <v>34</v>
      </c>
      <c r="T71" s="125">
        <v>6.7370000000000001</v>
      </c>
      <c r="U71" s="2" t="s">
        <v>1722</v>
      </c>
      <c r="V71" s="138">
        <v>2.5600000000000001E-2</v>
      </c>
      <c r="W71" s="140">
        <v>3.4340000000000002E-2</v>
      </c>
      <c r="X71" s="3" t="s">
        <v>422</v>
      </c>
      <c r="Y71" s="3" t="s">
        <v>144</v>
      </c>
      <c r="Z71" s="125">
        <v>30000</v>
      </c>
      <c r="AA71" s="134">
        <v>1</v>
      </c>
      <c r="AB71" s="151">
        <v>103.64</v>
      </c>
      <c r="AC71" s="2"/>
      <c r="AD71" s="125">
        <v>31.091999999999999</v>
      </c>
      <c r="AE71" s="2"/>
      <c r="AF71" s="2"/>
      <c r="AG71" s="2" t="s">
        <v>36</v>
      </c>
      <c r="AH71" s="140">
        <v>2.9E-5</v>
      </c>
      <c r="AI71" s="140">
        <v>7.3612452576214699E-3</v>
      </c>
      <c r="AJ71" s="140">
        <v>1.14209261045016E-3</v>
      </c>
    </row>
    <row r="72" spans="1:36">
      <c r="A72" s="2">
        <v>382</v>
      </c>
      <c r="B72" s="2">
        <v>1404</v>
      </c>
      <c r="C72" s="2" t="s">
        <v>1514</v>
      </c>
      <c r="D72" s="2" t="s">
        <v>1515</v>
      </c>
      <c r="E72" s="3" t="s">
        <v>1322</v>
      </c>
      <c r="F72" s="2" t="s">
        <v>1723</v>
      </c>
      <c r="G72" s="2" t="s">
        <v>1724</v>
      </c>
      <c r="H72" s="2" t="s">
        <v>184</v>
      </c>
      <c r="I72" s="2" t="s">
        <v>977</v>
      </c>
      <c r="J72" s="2" t="s">
        <v>30</v>
      </c>
      <c r="K72" s="2" t="s">
        <v>30</v>
      </c>
      <c r="L72" s="2" t="s">
        <v>337</v>
      </c>
      <c r="M72" s="2" t="s">
        <v>44</v>
      </c>
      <c r="N72" s="2" t="s">
        <v>472</v>
      </c>
      <c r="O72" s="2" t="s">
        <v>144</v>
      </c>
      <c r="P72" s="2" t="s">
        <v>1721</v>
      </c>
      <c r="Q72" s="2" t="s">
        <v>423</v>
      </c>
      <c r="R72" s="2" t="s">
        <v>417</v>
      </c>
      <c r="S72" s="2" t="s">
        <v>34</v>
      </c>
      <c r="T72" s="125">
        <v>4.0880000000000001</v>
      </c>
      <c r="U72" s="2" t="s">
        <v>1725</v>
      </c>
      <c r="V72" s="138">
        <v>2.41E-2</v>
      </c>
      <c r="W72" s="140">
        <v>5.2479999999999999E-2</v>
      </c>
      <c r="X72" s="3" t="s">
        <v>422</v>
      </c>
      <c r="Y72" s="3" t="s">
        <v>144</v>
      </c>
      <c r="Z72" s="125">
        <v>84240</v>
      </c>
      <c r="AA72" s="134">
        <v>1</v>
      </c>
      <c r="AB72" s="151">
        <v>91.16</v>
      </c>
      <c r="AC72" s="2"/>
      <c r="AD72" s="125">
        <v>76.793000000000006</v>
      </c>
      <c r="AE72" s="2"/>
      <c r="AF72" s="2"/>
      <c r="AG72" s="2" t="s">
        <v>36</v>
      </c>
      <c r="AH72" s="140">
        <v>4.1E-5</v>
      </c>
      <c r="AI72" s="140">
        <v>1.8181315500374801E-2</v>
      </c>
      <c r="AJ72" s="140">
        <v>2.8208197600456601E-3</v>
      </c>
    </row>
    <row r="73" spans="1:36">
      <c r="A73" s="2">
        <v>382</v>
      </c>
      <c r="B73" s="2">
        <v>1404</v>
      </c>
      <c r="C73" s="2" t="s">
        <v>1726</v>
      </c>
      <c r="D73" s="2" t="s">
        <v>1727</v>
      </c>
      <c r="E73" s="3" t="s">
        <v>1322</v>
      </c>
      <c r="F73" s="2" t="s">
        <v>1732</v>
      </c>
      <c r="G73" s="2" t="s">
        <v>1733</v>
      </c>
      <c r="H73" s="2" t="s">
        <v>184</v>
      </c>
      <c r="I73" s="2" t="s">
        <v>977</v>
      </c>
      <c r="J73" s="2" t="s">
        <v>30</v>
      </c>
      <c r="K73" s="2" t="s">
        <v>30</v>
      </c>
      <c r="L73" s="2" t="s">
        <v>337</v>
      </c>
      <c r="M73" s="2" t="s">
        <v>44</v>
      </c>
      <c r="N73" s="2" t="s">
        <v>459</v>
      </c>
      <c r="O73" s="2" t="s">
        <v>144</v>
      </c>
      <c r="P73" s="2" t="s">
        <v>1730</v>
      </c>
      <c r="Q73" s="2" t="s">
        <v>423</v>
      </c>
      <c r="R73" s="2" t="s">
        <v>417</v>
      </c>
      <c r="S73" s="2" t="s">
        <v>34</v>
      </c>
      <c r="T73" s="125">
        <v>2.7090000000000001</v>
      </c>
      <c r="U73" s="2" t="s">
        <v>1734</v>
      </c>
      <c r="V73" s="138">
        <v>0.04</v>
      </c>
      <c r="W73" s="140">
        <v>5.1769999999999997E-2</v>
      </c>
      <c r="X73" s="3" t="s">
        <v>422</v>
      </c>
      <c r="Y73" s="3" t="s">
        <v>144</v>
      </c>
      <c r="Z73" s="125">
        <v>35000</v>
      </c>
      <c r="AA73" s="134">
        <v>1</v>
      </c>
      <c r="AB73" s="151">
        <v>98.91</v>
      </c>
      <c r="AC73" s="2"/>
      <c r="AD73" s="125">
        <v>34.618000000000002</v>
      </c>
      <c r="AE73" s="2"/>
      <c r="AF73" s="2"/>
      <c r="AG73" s="2" t="s">
        <v>36</v>
      </c>
      <c r="AH73" s="140">
        <v>5.1999999999999997E-5</v>
      </c>
      <c r="AI73" s="140">
        <v>8.1961684340334795E-3</v>
      </c>
      <c r="AJ73" s="140">
        <v>1.27163042052197E-3</v>
      </c>
    </row>
    <row r="74" spans="1:36">
      <c r="A74" s="2">
        <v>382</v>
      </c>
      <c r="B74" s="2">
        <v>1404</v>
      </c>
      <c r="C74" s="2" t="s">
        <v>1518</v>
      </c>
      <c r="D74" s="2" t="s">
        <v>1519</v>
      </c>
      <c r="E74" s="3" t="s">
        <v>1322</v>
      </c>
      <c r="F74" s="2" t="s">
        <v>1735</v>
      </c>
      <c r="G74" s="2" t="s">
        <v>1736</v>
      </c>
      <c r="H74" s="2" t="s">
        <v>184</v>
      </c>
      <c r="I74" s="2" t="s">
        <v>765</v>
      </c>
      <c r="J74" s="2" t="s">
        <v>30</v>
      </c>
      <c r="K74" s="2" t="s">
        <v>30</v>
      </c>
      <c r="L74" s="2" t="s">
        <v>337</v>
      </c>
      <c r="M74" s="2" t="s">
        <v>44</v>
      </c>
      <c r="N74" s="2" t="s">
        <v>472</v>
      </c>
      <c r="O74" s="2" t="s">
        <v>144</v>
      </c>
      <c r="P74" s="2" t="s">
        <v>1717</v>
      </c>
      <c r="Q74" s="2" t="s">
        <v>423</v>
      </c>
      <c r="R74" s="2" t="s">
        <v>417</v>
      </c>
      <c r="S74" s="2" t="s">
        <v>34</v>
      </c>
      <c r="T74" s="125">
        <v>1.929</v>
      </c>
      <c r="U74" s="2" t="s">
        <v>1737</v>
      </c>
      <c r="V74" s="138">
        <v>3.2000000000000001E-2</v>
      </c>
      <c r="W74" s="140">
        <v>2.4420000000000001E-2</v>
      </c>
      <c r="X74" s="3" t="s">
        <v>422</v>
      </c>
      <c r="Y74" s="3" t="s">
        <v>144</v>
      </c>
      <c r="Z74" s="125">
        <v>66000</v>
      </c>
      <c r="AA74" s="134">
        <v>1</v>
      </c>
      <c r="AB74" s="151">
        <v>118.5</v>
      </c>
      <c r="AC74" s="2"/>
      <c r="AD74" s="125">
        <v>78.209999999999994</v>
      </c>
      <c r="AE74" s="2"/>
      <c r="AF74" s="2"/>
      <c r="AG74" s="2" t="s">
        <v>36</v>
      </c>
      <c r="AH74" s="140">
        <v>1.2E-4</v>
      </c>
      <c r="AI74" s="140">
        <v>1.8516756451774599E-2</v>
      </c>
      <c r="AJ74" s="140">
        <v>2.8728632144380301E-3</v>
      </c>
    </row>
    <row r="75" spans="1:36">
      <c r="A75" s="2">
        <v>382</v>
      </c>
      <c r="B75" s="2">
        <v>1404</v>
      </c>
      <c r="C75" s="2" t="s">
        <v>1769</v>
      </c>
      <c r="D75" s="2" t="s">
        <v>1770</v>
      </c>
      <c r="E75" s="3" t="s">
        <v>1322</v>
      </c>
      <c r="F75" s="2" t="s">
        <v>1967</v>
      </c>
      <c r="G75" s="2" t="s">
        <v>1968</v>
      </c>
      <c r="H75" s="2" t="s">
        <v>184</v>
      </c>
      <c r="I75" s="2" t="s">
        <v>977</v>
      </c>
      <c r="J75" s="2" t="s">
        <v>30</v>
      </c>
      <c r="K75" s="2" t="s">
        <v>30</v>
      </c>
      <c r="L75" s="2" t="s">
        <v>337</v>
      </c>
      <c r="M75" s="2" t="s">
        <v>44</v>
      </c>
      <c r="N75" s="2" t="s">
        <v>472</v>
      </c>
      <c r="O75" s="2" t="s">
        <v>144</v>
      </c>
      <c r="P75" s="2" t="s">
        <v>1717</v>
      </c>
      <c r="Q75" s="2" t="s">
        <v>423</v>
      </c>
      <c r="R75" s="2" t="s">
        <v>417</v>
      </c>
      <c r="S75" s="2" t="s">
        <v>34</v>
      </c>
      <c r="T75" s="125">
        <v>5.0199999999999996</v>
      </c>
      <c r="U75" s="2" t="s">
        <v>1942</v>
      </c>
      <c r="V75" s="138">
        <v>2.5499999999999998E-2</v>
      </c>
      <c r="W75" s="140">
        <v>5.1200000000000002E-2</v>
      </c>
      <c r="X75" s="3" t="s">
        <v>422</v>
      </c>
      <c r="Y75" s="3" t="s">
        <v>144</v>
      </c>
      <c r="Z75" s="125">
        <v>78000</v>
      </c>
      <c r="AA75" s="134">
        <v>1</v>
      </c>
      <c r="AB75" s="151">
        <v>88.21</v>
      </c>
      <c r="AC75" s="2"/>
      <c r="AD75" s="125">
        <v>68.804000000000002</v>
      </c>
      <c r="AE75" s="2"/>
      <c r="AF75" s="2"/>
      <c r="AG75" s="2" t="s">
        <v>36</v>
      </c>
      <c r="AH75" s="140">
        <v>4.5000000000000003E-5</v>
      </c>
      <c r="AI75" s="140">
        <v>1.62897737828488E-2</v>
      </c>
      <c r="AJ75" s="140">
        <v>2.5273482423417899E-3</v>
      </c>
    </row>
    <row r="76" spans="1:36">
      <c r="A76" s="2">
        <v>382</v>
      </c>
      <c r="B76" s="2">
        <v>1404</v>
      </c>
      <c r="C76" s="2" t="s">
        <v>1769</v>
      </c>
      <c r="D76" s="2" t="s">
        <v>1770</v>
      </c>
      <c r="E76" s="3" t="s">
        <v>1322</v>
      </c>
      <c r="F76" s="2" t="s">
        <v>1771</v>
      </c>
      <c r="G76" s="2" t="s">
        <v>1772</v>
      </c>
      <c r="H76" s="2" t="s">
        <v>184</v>
      </c>
      <c r="I76" s="2" t="s">
        <v>765</v>
      </c>
      <c r="J76" s="2" t="s">
        <v>30</v>
      </c>
      <c r="K76" s="2" t="s">
        <v>30</v>
      </c>
      <c r="L76" s="2" t="s">
        <v>337</v>
      </c>
      <c r="M76" s="2" t="s">
        <v>44</v>
      </c>
      <c r="N76" s="2" t="s">
        <v>472</v>
      </c>
      <c r="O76" s="2" t="s">
        <v>144</v>
      </c>
      <c r="P76" s="2" t="s">
        <v>1717</v>
      </c>
      <c r="Q76" s="2" t="s">
        <v>423</v>
      </c>
      <c r="R76" s="2" t="s">
        <v>417</v>
      </c>
      <c r="S76" s="2" t="s">
        <v>34</v>
      </c>
      <c r="T76" s="125">
        <v>0.72899999999999998</v>
      </c>
      <c r="U76" s="2" t="s">
        <v>1773</v>
      </c>
      <c r="V76" s="138">
        <v>4.7500000000000001E-2</v>
      </c>
      <c r="W76" s="140">
        <v>2.5069999999999999E-2</v>
      </c>
      <c r="X76" s="3" t="s">
        <v>422</v>
      </c>
      <c r="Y76" s="3" t="s">
        <v>144</v>
      </c>
      <c r="Z76" s="125">
        <v>20000.009999999998</v>
      </c>
      <c r="AA76" s="134">
        <v>1</v>
      </c>
      <c r="AB76" s="151">
        <v>143.82</v>
      </c>
      <c r="AC76" s="2"/>
      <c r="AD76" s="125">
        <v>28.763999999999999</v>
      </c>
      <c r="AE76" s="2"/>
      <c r="AF76" s="2"/>
      <c r="AG76" s="2" t="s">
        <v>36</v>
      </c>
      <c r="AH76" s="140">
        <v>2.0999999999999999E-5</v>
      </c>
      <c r="AI76" s="140">
        <v>6.8100786202127004E-3</v>
      </c>
      <c r="AJ76" s="140">
        <v>1.0565794504233999E-3</v>
      </c>
    </row>
    <row r="77" spans="1:36">
      <c r="A77" s="2">
        <v>382</v>
      </c>
      <c r="B77" s="2">
        <v>1404</v>
      </c>
      <c r="C77" s="2" t="s">
        <v>1779</v>
      </c>
      <c r="D77" s="2" t="s">
        <v>1780</v>
      </c>
      <c r="E77" s="3" t="s">
        <v>1322</v>
      </c>
      <c r="F77" s="2" t="s">
        <v>1781</v>
      </c>
      <c r="G77" s="2" t="s">
        <v>1782</v>
      </c>
      <c r="H77" s="2" t="s">
        <v>184</v>
      </c>
      <c r="I77" s="2" t="s">
        <v>765</v>
      </c>
      <c r="J77" s="2" t="s">
        <v>30</v>
      </c>
      <c r="K77" s="2" t="s">
        <v>30</v>
      </c>
      <c r="L77" s="2" t="s">
        <v>337</v>
      </c>
      <c r="M77" s="2" t="s">
        <v>44</v>
      </c>
      <c r="N77" s="2" t="s">
        <v>456</v>
      </c>
      <c r="O77" s="2" t="s">
        <v>144</v>
      </c>
      <c r="P77" s="2" t="s">
        <v>1179</v>
      </c>
      <c r="Q77" s="2" t="s">
        <v>423</v>
      </c>
      <c r="R77" s="2" t="s">
        <v>417</v>
      </c>
      <c r="S77" s="2" t="s">
        <v>34</v>
      </c>
      <c r="T77" s="125">
        <v>3.738</v>
      </c>
      <c r="U77" s="2" t="s">
        <v>1783</v>
      </c>
      <c r="V77" s="138">
        <v>2E-3</v>
      </c>
      <c r="W77" s="140">
        <v>2.384E-2</v>
      </c>
      <c r="X77" s="3" t="s">
        <v>422</v>
      </c>
      <c r="Y77" s="3" t="s">
        <v>144</v>
      </c>
      <c r="Z77" s="125">
        <v>129590.64</v>
      </c>
      <c r="AA77" s="134">
        <v>1</v>
      </c>
      <c r="AB77" s="151">
        <v>103.66</v>
      </c>
      <c r="AC77" s="2"/>
      <c r="AD77" s="125">
        <v>134.334</v>
      </c>
      <c r="AE77" s="2"/>
      <c r="AF77" s="2"/>
      <c r="AG77" s="2" t="s">
        <v>36</v>
      </c>
      <c r="AH77" s="140">
        <v>3.6000000000000001E-5</v>
      </c>
      <c r="AI77" s="140">
        <v>3.1804419099812402E-2</v>
      </c>
      <c r="AJ77" s="140">
        <v>4.9344357866555402E-3</v>
      </c>
    </row>
    <row r="78" spans="1:36">
      <c r="A78" s="2">
        <v>382</v>
      </c>
      <c r="B78" s="2">
        <v>1404</v>
      </c>
      <c r="C78" s="2" t="s">
        <v>1779</v>
      </c>
      <c r="D78" s="2" t="s">
        <v>1780</v>
      </c>
      <c r="E78" s="3" t="s">
        <v>1322</v>
      </c>
      <c r="F78" s="2" t="s">
        <v>1784</v>
      </c>
      <c r="G78" s="2" t="s">
        <v>1785</v>
      </c>
      <c r="H78" s="2" t="s">
        <v>184</v>
      </c>
      <c r="I78" s="2" t="s">
        <v>765</v>
      </c>
      <c r="J78" s="2" t="s">
        <v>30</v>
      </c>
      <c r="K78" s="2" t="s">
        <v>30</v>
      </c>
      <c r="L78" s="2" t="s">
        <v>337</v>
      </c>
      <c r="M78" s="2" t="s">
        <v>44</v>
      </c>
      <c r="N78" s="2" t="s">
        <v>456</v>
      </c>
      <c r="O78" s="2" t="s">
        <v>144</v>
      </c>
      <c r="P78" s="2" t="s">
        <v>1179</v>
      </c>
      <c r="Q78" s="2" t="s">
        <v>423</v>
      </c>
      <c r="R78" s="2" t="s">
        <v>417</v>
      </c>
      <c r="S78" s="2" t="s">
        <v>34</v>
      </c>
      <c r="T78" s="125">
        <v>4.8170000000000002</v>
      </c>
      <c r="U78" s="2" t="s">
        <v>1786</v>
      </c>
      <c r="V78" s="138">
        <v>2.47E-2</v>
      </c>
      <c r="W78" s="140">
        <v>2.4309999999999998E-2</v>
      </c>
      <c r="X78" s="3" t="s">
        <v>422</v>
      </c>
      <c r="Y78" s="3" t="s">
        <v>144</v>
      </c>
      <c r="Z78" s="125">
        <v>80000</v>
      </c>
      <c r="AA78" s="134">
        <v>1</v>
      </c>
      <c r="AB78" s="151">
        <v>104.01</v>
      </c>
      <c r="AC78" s="2"/>
      <c r="AD78" s="125">
        <v>83.207999999999998</v>
      </c>
      <c r="AE78" s="2"/>
      <c r="AF78" s="2"/>
      <c r="AG78" s="2" t="s">
        <v>36</v>
      </c>
      <c r="AH78" s="140">
        <v>2.8E-5</v>
      </c>
      <c r="AI78" s="140">
        <v>1.9700067393418501E-2</v>
      </c>
      <c r="AJ78" s="140">
        <v>3.0564531689932198E-3</v>
      </c>
    </row>
    <row r="79" spans="1:36">
      <c r="A79" s="2">
        <v>382</v>
      </c>
      <c r="B79" s="2">
        <v>1404</v>
      </c>
      <c r="C79" s="2" t="s">
        <v>1779</v>
      </c>
      <c r="D79" s="2" t="s">
        <v>1780</v>
      </c>
      <c r="E79" s="3" t="s">
        <v>1322</v>
      </c>
      <c r="F79" s="2" t="s">
        <v>1787</v>
      </c>
      <c r="G79" s="2" t="s">
        <v>1788</v>
      </c>
      <c r="H79" s="2" t="s">
        <v>184</v>
      </c>
      <c r="I79" s="2" t="s">
        <v>977</v>
      </c>
      <c r="J79" s="2" t="s">
        <v>30</v>
      </c>
      <c r="K79" s="2" t="s">
        <v>30</v>
      </c>
      <c r="L79" s="2" t="s">
        <v>337</v>
      </c>
      <c r="M79" s="2" t="s">
        <v>44</v>
      </c>
      <c r="N79" s="2" t="s">
        <v>456</v>
      </c>
      <c r="O79" s="2" t="s">
        <v>144</v>
      </c>
      <c r="P79" s="2" t="s">
        <v>1179</v>
      </c>
      <c r="Q79" s="2" t="s">
        <v>423</v>
      </c>
      <c r="R79" s="2" t="s">
        <v>417</v>
      </c>
      <c r="S79" s="2" t="s">
        <v>34</v>
      </c>
      <c r="T79" s="125">
        <v>3.2280000000000002</v>
      </c>
      <c r="U79" s="2" t="s">
        <v>1789</v>
      </c>
      <c r="V79" s="138">
        <v>2.6800000000000001E-2</v>
      </c>
      <c r="W79" s="140">
        <v>4.5240000000000002E-2</v>
      </c>
      <c r="X79" s="3" t="s">
        <v>422</v>
      </c>
      <c r="Y79" s="3" t="s">
        <v>144</v>
      </c>
      <c r="Z79" s="125">
        <v>121249.73</v>
      </c>
      <c r="AA79" s="134">
        <v>1</v>
      </c>
      <c r="AB79" s="151">
        <v>94.55</v>
      </c>
      <c r="AC79" s="2"/>
      <c r="AD79" s="125">
        <v>114.642</v>
      </c>
      <c r="AE79" s="2"/>
      <c r="AF79" s="2"/>
      <c r="AG79" s="2" t="s">
        <v>36</v>
      </c>
      <c r="AH79" s="140">
        <v>6.2000000000000003E-5</v>
      </c>
      <c r="AI79" s="140">
        <v>2.71421934726968E-2</v>
      </c>
      <c r="AJ79" s="140">
        <v>4.2110943884773998E-3</v>
      </c>
    </row>
    <row r="80" spans="1:36">
      <c r="A80" s="2">
        <v>382</v>
      </c>
      <c r="B80" s="2">
        <v>1404</v>
      </c>
      <c r="C80" s="2" t="s">
        <v>1793</v>
      </c>
      <c r="D80" s="2" t="s">
        <v>1794</v>
      </c>
      <c r="E80" s="3" t="s">
        <v>1322</v>
      </c>
      <c r="F80" s="2" t="s">
        <v>1795</v>
      </c>
      <c r="G80" s="2" t="s">
        <v>1796</v>
      </c>
      <c r="H80" s="2" t="s">
        <v>184</v>
      </c>
      <c r="I80" s="2" t="s">
        <v>977</v>
      </c>
      <c r="J80" s="2" t="s">
        <v>30</v>
      </c>
      <c r="K80" s="2" t="s">
        <v>30</v>
      </c>
      <c r="L80" s="2" t="s">
        <v>337</v>
      </c>
      <c r="M80" s="2" t="s">
        <v>44</v>
      </c>
      <c r="N80" s="2" t="s">
        <v>453</v>
      </c>
      <c r="O80" s="2" t="s">
        <v>144</v>
      </c>
      <c r="P80" s="2" t="s">
        <v>1721</v>
      </c>
      <c r="Q80" s="2" t="s">
        <v>423</v>
      </c>
      <c r="R80" s="2" t="s">
        <v>417</v>
      </c>
      <c r="S80" s="2" t="s">
        <v>34</v>
      </c>
      <c r="T80" s="125">
        <v>1.4690000000000001</v>
      </c>
      <c r="U80" s="2" t="s">
        <v>1731</v>
      </c>
      <c r="V80" s="138">
        <v>2.9100000000000001E-2</v>
      </c>
      <c r="W80" s="140">
        <v>4.8120000000000003E-2</v>
      </c>
      <c r="X80" s="3" t="s">
        <v>422</v>
      </c>
      <c r="Y80" s="3" t="s">
        <v>144</v>
      </c>
      <c r="Z80" s="125">
        <v>30000</v>
      </c>
      <c r="AA80" s="134">
        <v>1</v>
      </c>
      <c r="AB80" s="151">
        <v>97.39</v>
      </c>
      <c r="AC80" s="2"/>
      <c r="AD80" s="125">
        <v>29.216999999999999</v>
      </c>
      <c r="AE80" s="2"/>
      <c r="AF80" s="2"/>
      <c r="AG80" s="2" t="s">
        <v>36</v>
      </c>
      <c r="AH80" s="140">
        <v>5.0000000000000002E-5</v>
      </c>
      <c r="AI80" s="140">
        <v>6.9173260868366903E-3</v>
      </c>
      <c r="AJ80" s="140">
        <v>1.07321882797898E-3</v>
      </c>
    </row>
    <row r="81" spans="1:36">
      <c r="A81" s="2">
        <v>382</v>
      </c>
      <c r="B81" s="2">
        <v>1404</v>
      </c>
      <c r="C81" s="2" t="s">
        <v>1793</v>
      </c>
      <c r="D81" s="2" t="s">
        <v>1794</v>
      </c>
      <c r="E81" s="3" t="s">
        <v>1322</v>
      </c>
      <c r="F81" s="2" t="s">
        <v>1969</v>
      </c>
      <c r="G81" s="2" t="s">
        <v>1970</v>
      </c>
      <c r="H81" s="2" t="s">
        <v>184</v>
      </c>
      <c r="I81" s="2" t="s">
        <v>977</v>
      </c>
      <c r="J81" s="2" t="s">
        <v>30</v>
      </c>
      <c r="K81" s="2" t="s">
        <v>30</v>
      </c>
      <c r="L81" s="2" t="s">
        <v>337</v>
      </c>
      <c r="M81" s="2" t="s">
        <v>44</v>
      </c>
      <c r="N81" s="2" t="s">
        <v>453</v>
      </c>
      <c r="O81" s="2" t="s">
        <v>144</v>
      </c>
      <c r="P81" s="2" t="s">
        <v>1721</v>
      </c>
      <c r="Q81" s="2" t="s">
        <v>423</v>
      </c>
      <c r="R81" s="2" t="s">
        <v>417</v>
      </c>
      <c r="S81" s="2" t="s">
        <v>34</v>
      </c>
      <c r="T81" s="125">
        <v>4.5339999999999998</v>
      </c>
      <c r="U81" s="2" t="s">
        <v>1971</v>
      </c>
      <c r="V81" s="138">
        <v>4.3799999999999999E-2</v>
      </c>
      <c r="W81" s="140">
        <v>4.8849999999999998E-2</v>
      </c>
      <c r="X81" s="3" t="s">
        <v>422</v>
      </c>
      <c r="Y81" s="3" t="s">
        <v>144</v>
      </c>
      <c r="Z81" s="125">
        <v>95000</v>
      </c>
      <c r="AA81" s="134">
        <v>1</v>
      </c>
      <c r="AB81" s="151">
        <v>98.04</v>
      </c>
      <c r="AC81" s="2"/>
      <c r="AD81" s="125">
        <v>93.138000000000005</v>
      </c>
      <c r="AE81" s="2"/>
      <c r="AF81" s="2"/>
      <c r="AG81" s="2" t="s">
        <v>36</v>
      </c>
      <c r="AH81" s="140">
        <v>1.9000000000000001E-4</v>
      </c>
      <c r="AI81" s="140">
        <v>2.20510633218946E-2</v>
      </c>
      <c r="AJ81" s="140">
        <v>3.42120872096061E-3</v>
      </c>
    </row>
    <row r="82" spans="1:36">
      <c r="A82" s="2">
        <v>382</v>
      </c>
      <c r="B82" s="2">
        <v>1404</v>
      </c>
      <c r="C82" s="2" t="s">
        <v>1797</v>
      </c>
      <c r="D82" s="2" t="s">
        <v>1798</v>
      </c>
      <c r="E82" s="3" t="s">
        <v>1322</v>
      </c>
      <c r="F82" s="2" t="s">
        <v>1799</v>
      </c>
      <c r="G82" s="2" t="s">
        <v>1800</v>
      </c>
      <c r="H82" s="2" t="s">
        <v>184</v>
      </c>
      <c r="I82" s="2" t="s">
        <v>977</v>
      </c>
      <c r="J82" s="2" t="s">
        <v>30</v>
      </c>
      <c r="K82" s="2" t="s">
        <v>30</v>
      </c>
      <c r="L82" s="2" t="s">
        <v>337</v>
      </c>
      <c r="M82" s="2" t="s">
        <v>44</v>
      </c>
      <c r="N82" s="2" t="s">
        <v>453</v>
      </c>
      <c r="O82" s="2" t="s">
        <v>144</v>
      </c>
      <c r="P82" s="2" t="s">
        <v>1717</v>
      </c>
      <c r="Q82" s="2" t="s">
        <v>425</v>
      </c>
      <c r="R82" s="2" t="s">
        <v>417</v>
      </c>
      <c r="S82" s="2" t="s">
        <v>34</v>
      </c>
      <c r="T82" s="125">
        <v>5.093</v>
      </c>
      <c r="U82" s="2" t="s">
        <v>1801</v>
      </c>
      <c r="V82" s="138">
        <v>1.95E-2</v>
      </c>
      <c r="W82" s="140">
        <v>4.8559999999999999E-2</v>
      </c>
      <c r="X82" s="3" t="s">
        <v>422</v>
      </c>
      <c r="Y82" s="3" t="s">
        <v>144</v>
      </c>
      <c r="Z82" s="125">
        <v>172229.87</v>
      </c>
      <c r="AA82" s="134">
        <v>1</v>
      </c>
      <c r="AB82" s="151">
        <v>86.35</v>
      </c>
      <c r="AC82" s="2"/>
      <c r="AD82" s="125">
        <v>148.72</v>
      </c>
      <c r="AE82" s="2"/>
      <c r="AF82" s="2"/>
      <c r="AG82" s="2" t="s">
        <v>36</v>
      </c>
      <c r="AH82" s="140">
        <v>1.7200000000000001E-4</v>
      </c>
      <c r="AI82" s="140">
        <v>3.5210601502967301E-2</v>
      </c>
      <c r="AJ82" s="140">
        <v>5.4629028620407699E-3</v>
      </c>
    </row>
    <row r="83" spans="1:36">
      <c r="A83" s="2">
        <v>382</v>
      </c>
      <c r="B83" s="2">
        <v>1404</v>
      </c>
      <c r="C83" s="2" t="s">
        <v>1807</v>
      </c>
      <c r="D83" s="2" t="s">
        <v>1808</v>
      </c>
      <c r="E83" s="3" t="s">
        <v>1322</v>
      </c>
      <c r="F83" s="2" t="s">
        <v>1972</v>
      </c>
      <c r="G83" s="2" t="s">
        <v>1973</v>
      </c>
      <c r="H83" s="2" t="s">
        <v>184</v>
      </c>
      <c r="I83" s="2" t="s">
        <v>765</v>
      </c>
      <c r="J83" s="2" t="s">
        <v>30</v>
      </c>
      <c r="K83" s="2" t="s">
        <v>30</v>
      </c>
      <c r="L83" s="2" t="s">
        <v>337</v>
      </c>
      <c r="M83" s="2" t="s">
        <v>44</v>
      </c>
      <c r="N83" s="2" t="s">
        <v>448</v>
      </c>
      <c r="O83" s="2" t="s">
        <v>144</v>
      </c>
      <c r="P83" s="2" t="s">
        <v>95</v>
      </c>
      <c r="Q83" s="2" t="s">
        <v>423</v>
      </c>
      <c r="R83" s="2" t="s">
        <v>417</v>
      </c>
      <c r="S83" s="2" t="s">
        <v>34</v>
      </c>
      <c r="T83" s="125">
        <v>0.64500000000000002</v>
      </c>
      <c r="U83" s="2" t="s">
        <v>1974</v>
      </c>
      <c r="V83" s="138">
        <v>4.4999999999999998E-2</v>
      </c>
      <c r="W83" s="140">
        <v>2.8240000000000001E-2</v>
      </c>
      <c r="X83" s="3" t="s">
        <v>422</v>
      </c>
      <c r="Y83" s="3" t="s">
        <v>144</v>
      </c>
      <c r="Z83" s="125">
        <v>130000</v>
      </c>
      <c r="AA83" s="134">
        <v>1</v>
      </c>
      <c r="AB83" s="151">
        <v>119.91</v>
      </c>
      <c r="AC83" s="2"/>
      <c r="AD83" s="125">
        <v>155.88300000000001</v>
      </c>
      <c r="AE83" s="2"/>
      <c r="AF83" s="2"/>
      <c r="AG83" s="2" t="s">
        <v>36</v>
      </c>
      <c r="AH83" s="140">
        <v>4.3999999999999999E-5</v>
      </c>
      <c r="AI83" s="140">
        <v>3.6906374453036399E-2</v>
      </c>
      <c r="AJ83" s="140">
        <v>5.7260009775763204E-3</v>
      </c>
    </row>
    <row r="84" spans="1:36">
      <c r="A84" s="2">
        <v>382</v>
      </c>
      <c r="B84" s="2">
        <v>1404</v>
      </c>
      <c r="C84" s="2" t="s">
        <v>1807</v>
      </c>
      <c r="D84" s="2" t="s">
        <v>1808</v>
      </c>
      <c r="E84" s="3" t="s">
        <v>1322</v>
      </c>
      <c r="F84" s="2" t="s">
        <v>1812</v>
      </c>
      <c r="G84" s="2" t="s">
        <v>1813</v>
      </c>
      <c r="H84" s="2" t="s">
        <v>184</v>
      </c>
      <c r="I84" s="2" t="s">
        <v>765</v>
      </c>
      <c r="J84" s="2" t="s">
        <v>30</v>
      </c>
      <c r="K84" s="2" t="s">
        <v>30</v>
      </c>
      <c r="L84" s="2" t="s">
        <v>337</v>
      </c>
      <c r="M84" s="2" t="s">
        <v>44</v>
      </c>
      <c r="N84" s="2" t="s">
        <v>448</v>
      </c>
      <c r="O84" s="2" t="s">
        <v>144</v>
      </c>
      <c r="P84" s="2" t="s">
        <v>95</v>
      </c>
      <c r="Q84" s="2" t="s">
        <v>423</v>
      </c>
      <c r="R84" s="2" t="s">
        <v>417</v>
      </c>
      <c r="S84" s="2" t="s">
        <v>34</v>
      </c>
      <c r="T84" s="125">
        <v>10.53</v>
      </c>
      <c r="U84" s="2" t="s">
        <v>1814</v>
      </c>
      <c r="V84" s="138">
        <v>1.2500000000000001E-2</v>
      </c>
      <c r="W84" s="140">
        <v>3.0120000000000001E-2</v>
      </c>
      <c r="X84" s="3" t="s">
        <v>422</v>
      </c>
      <c r="Y84" s="3" t="s">
        <v>144</v>
      </c>
      <c r="Z84" s="125">
        <v>50000</v>
      </c>
      <c r="AA84" s="134">
        <v>1</v>
      </c>
      <c r="AB84" s="151">
        <v>95.26</v>
      </c>
      <c r="AC84" s="2"/>
      <c r="AD84" s="125">
        <v>47.63</v>
      </c>
      <c r="AE84" s="2"/>
      <c r="AF84" s="2"/>
      <c r="AG84" s="2" t="s">
        <v>36</v>
      </c>
      <c r="AH84" s="140">
        <v>1.2E-5</v>
      </c>
      <c r="AI84" s="140">
        <v>1.12767307223887E-2</v>
      </c>
      <c r="AJ84" s="140">
        <v>1.7495777381880001E-3</v>
      </c>
    </row>
    <row r="85" spans="1:36">
      <c r="A85" s="2">
        <v>382</v>
      </c>
      <c r="B85" s="2">
        <v>1404</v>
      </c>
      <c r="C85" s="2" t="s">
        <v>1807</v>
      </c>
      <c r="D85" s="2" t="s">
        <v>1808</v>
      </c>
      <c r="E85" s="3" t="s">
        <v>1322</v>
      </c>
      <c r="F85" s="2" t="s">
        <v>1815</v>
      </c>
      <c r="G85" s="2" t="s">
        <v>1816</v>
      </c>
      <c r="H85" s="2" t="s">
        <v>184</v>
      </c>
      <c r="I85" s="2" t="s">
        <v>765</v>
      </c>
      <c r="J85" s="2" t="s">
        <v>30</v>
      </c>
      <c r="K85" s="2" t="s">
        <v>30</v>
      </c>
      <c r="L85" s="2" t="s">
        <v>337</v>
      </c>
      <c r="M85" s="2" t="s">
        <v>44</v>
      </c>
      <c r="N85" s="2" t="s">
        <v>448</v>
      </c>
      <c r="O85" s="2" t="s">
        <v>144</v>
      </c>
      <c r="P85" s="2" t="s">
        <v>95</v>
      </c>
      <c r="Q85" s="2" t="s">
        <v>423</v>
      </c>
      <c r="R85" s="2" t="s">
        <v>417</v>
      </c>
      <c r="S85" s="2" t="s">
        <v>34</v>
      </c>
      <c r="T85" s="125">
        <v>7.5179999999999998</v>
      </c>
      <c r="U85" s="2" t="s">
        <v>1817</v>
      </c>
      <c r="V85" s="138">
        <v>0.03</v>
      </c>
      <c r="W85" s="140">
        <v>2.87E-2</v>
      </c>
      <c r="X85" s="3" t="s">
        <v>422</v>
      </c>
      <c r="Y85" s="3" t="s">
        <v>144</v>
      </c>
      <c r="Z85" s="125">
        <v>79000</v>
      </c>
      <c r="AA85" s="134">
        <v>1</v>
      </c>
      <c r="AB85" s="151">
        <v>105.85</v>
      </c>
      <c r="AC85" s="2"/>
      <c r="AD85" s="125">
        <v>83.620999999999995</v>
      </c>
      <c r="AE85" s="2"/>
      <c r="AF85" s="2"/>
      <c r="AG85" s="2" t="s">
        <v>36</v>
      </c>
      <c r="AH85" s="140">
        <v>1.9000000000000001E-5</v>
      </c>
      <c r="AI85" s="140">
        <v>1.9797966367882201E-2</v>
      </c>
      <c r="AJ85" s="140">
        <v>3.0716421338208601E-3</v>
      </c>
    </row>
    <row r="86" spans="1:36">
      <c r="A86" s="2">
        <v>382</v>
      </c>
      <c r="B86" s="2">
        <v>1404</v>
      </c>
      <c r="C86" s="2" t="s">
        <v>1177</v>
      </c>
      <c r="D86" s="2" t="s">
        <v>1570</v>
      </c>
      <c r="E86" s="3" t="s">
        <v>1322</v>
      </c>
      <c r="F86" s="2" t="s">
        <v>1823</v>
      </c>
      <c r="G86" s="2" t="s">
        <v>1824</v>
      </c>
      <c r="H86" s="2" t="s">
        <v>184</v>
      </c>
      <c r="I86" s="2" t="s">
        <v>765</v>
      </c>
      <c r="J86" s="2" t="s">
        <v>30</v>
      </c>
      <c r="K86" s="2" t="s">
        <v>30</v>
      </c>
      <c r="L86" s="2" t="s">
        <v>337</v>
      </c>
      <c r="M86" s="2" t="s">
        <v>44</v>
      </c>
      <c r="N86" s="2" t="s">
        <v>456</v>
      </c>
      <c r="O86" s="2" t="s">
        <v>144</v>
      </c>
      <c r="P86" s="2" t="s">
        <v>1179</v>
      </c>
      <c r="Q86" s="2" t="s">
        <v>423</v>
      </c>
      <c r="R86" s="2" t="s">
        <v>417</v>
      </c>
      <c r="S86" s="2" t="s">
        <v>34</v>
      </c>
      <c r="T86" s="125">
        <v>1.482</v>
      </c>
      <c r="U86" s="2" t="s">
        <v>1731</v>
      </c>
      <c r="V86" s="138">
        <v>8.3000000000000001E-3</v>
      </c>
      <c r="W86" s="140">
        <v>2.2599999999999999E-2</v>
      </c>
      <c r="X86" s="3" t="s">
        <v>422</v>
      </c>
      <c r="Y86" s="3" t="s">
        <v>144</v>
      </c>
      <c r="Z86" s="125">
        <v>100000</v>
      </c>
      <c r="AA86" s="134">
        <v>1</v>
      </c>
      <c r="AB86" s="151">
        <v>113.32</v>
      </c>
      <c r="AC86" s="2"/>
      <c r="AD86" s="125">
        <v>113.32</v>
      </c>
      <c r="AE86" s="2"/>
      <c r="AF86" s="2"/>
      <c r="AG86" s="2" t="s">
        <v>36</v>
      </c>
      <c r="AH86" s="140">
        <v>6.6000000000000005E-5</v>
      </c>
      <c r="AI86" s="140">
        <v>2.6829290897776401E-2</v>
      </c>
      <c r="AJ86" s="140">
        <v>4.1625477491384396E-3</v>
      </c>
    </row>
    <row r="87" spans="1:36">
      <c r="A87" s="2">
        <v>382</v>
      </c>
      <c r="B87" s="2">
        <v>1404</v>
      </c>
      <c r="C87" s="2" t="s">
        <v>1177</v>
      </c>
      <c r="D87" s="2" t="s">
        <v>1570</v>
      </c>
      <c r="E87" s="3" t="s">
        <v>1322</v>
      </c>
      <c r="F87" s="2" t="s">
        <v>1825</v>
      </c>
      <c r="G87" s="2" t="s">
        <v>1826</v>
      </c>
      <c r="H87" s="2" t="s">
        <v>184</v>
      </c>
      <c r="I87" s="2" t="s">
        <v>977</v>
      </c>
      <c r="J87" s="2" t="s">
        <v>30</v>
      </c>
      <c r="K87" s="2" t="s">
        <v>30</v>
      </c>
      <c r="L87" s="2" t="s">
        <v>337</v>
      </c>
      <c r="M87" s="2" t="s">
        <v>44</v>
      </c>
      <c r="N87" s="2" t="s">
        <v>456</v>
      </c>
      <c r="O87" s="2" t="s">
        <v>144</v>
      </c>
      <c r="P87" s="2" t="s">
        <v>1179</v>
      </c>
      <c r="Q87" s="2" t="s">
        <v>423</v>
      </c>
      <c r="R87" s="2" t="s">
        <v>417</v>
      </c>
      <c r="S87" s="2" t="s">
        <v>34</v>
      </c>
      <c r="T87" s="125">
        <v>0.156</v>
      </c>
      <c r="U87" s="2" t="s">
        <v>1827</v>
      </c>
      <c r="V87" s="138">
        <v>2.0199999999999999E-2</v>
      </c>
      <c r="W87" s="140">
        <v>4.428E-2</v>
      </c>
      <c r="X87" s="3" t="s">
        <v>422</v>
      </c>
      <c r="Y87" s="3" t="s">
        <v>144</v>
      </c>
      <c r="Z87" s="125">
        <v>115000</v>
      </c>
      <c r="AA87" s="134">
        <v>1</v>
      </c>
      <c r="AB87" s="151">
        <v>101.32</v>
      </c>
      <c r="AC87" s="2"/>
      <c r="AD87" s="125">
        <v>116.518</v>
      </c>
      <c r="AE87" s="2"/>
      <c r="AF87" s="2"/>
      <c r="AG87" s="2" t="s">
        <v>36</v>
      </c>
      <c r="AH87" s="140">
        <v>1.36E-4</v>
      </c>
      <c r="AI87" s="140">
        <v>2.7586439435466899E-2</v>
      </c>
      <c r="AJ87" s="140">
        <v>4.2800188725213E-3</v>
      </c>
    </row>
    <row r="88" spans="1:36">
      <c r="A88" s="2">
        <v>382</v>
      </c>
      <c r="B88" s="2">
        <v>1404</v>
      </c>
      <c r="C88" s="2" t="s">
        <v>1177</v>
      </c>
      <c r="D88" s="2" t="s">
        <v>1570</v>
      </c>
      <c r="E88" s="3" t="s">
        <v>1322</v>
      </c>
      <c r="F88" s="2" t="s">
        <v>1975</v>
      </c>
      <c r="G88" s="2" t="s">
        <v>1976</v>
      </c>
      <c r="H88" s="2" t="s">
        <v>184</v>
      </c>
      <c r="I88" s="2" t="s">
        <v>765</v>
      </c>
      <c r="J88" s="2" t="s">
        <v>30</v>
      </c>
      <c r="K88" s="2" t="s">
        <v>30</v>
      </c>
      <c r="L88" s="2" t="s">
        <v>337</v>
      </c>
      <c r="M88" s="2" t="s">
        <v>44</v>
      </c>
      <c r="N88" s="2" t="s">
        <v>456</v>
      </c>
      <c r="O88" s="2" t="s">
        <v>144</v>
      </c>
      <c r="P88" s="2" t="s">
        <v>1179</v>
      </c>
      <c r="Q88" s="2" t="s">
        <v>423</v>
      </c>
      <c r="R88" s="2" t="s">
        <v>417</v>
      </c>
      <c r="S88" s="2" t="s">
        <v>34</v>
      </c>
      <c r="T88" s="125">
        <v>2.8929999999999998</v>
      </c>
      <c r="U88" s="2" t="s">
        <v>1977</v>
      </c>
      <c r="V88" s="138">
        <v>1E-3</v>
      </c>
      <c r="W88" s="140">
        <v>2.1919999999999999E-2</v>
      </c>
      <c r="X88" s="3" t="s">
        <v>422</v>
      </c>
      <c r="Y88" s="3" t="s">
        <v>144</v>
      </c>
      <c r="Z88" s="125">
        <v>100000</v>
      </c>
      <c r="AA88" s="134">
        <v>1</v>
      </c>
      <c r="AB88" s="151">
        <v>105.89</v>
      </c>
      <c r="AC88" s="2"/>
      <c r="AD88" s="125">
        <v>105.89</v>
      </c>
      <c r="AE88" s="2"/>
      <c r="AF88" s="2"/>
      <c r="AG88" s="2" t="s">
        <v>36</v>
      </c>
      <c r="AH88" s="140">
        <v>3.1999999999999999E-5</v>
      </c>
      <c r="AI88" s="140">
        <v>2.5070187197013299E-2</v>
      </c>
      <c r="AJ88" s="140">
        <v>3.8896239071326299E-3</v>
      </c>
    </row>
    <row r="89" spans="1:36">
      <c r="A89" s="2">
        <v>382</v>
      </c>
      <c r="B89" s="2">
        <v>1404</v>
      </c>
      <c r="C89" s="2" t="s">
        <v>1177</v>
      </c>
      <c r="D89" s="2" t="s">
        <v>1570</v>
      </c>
      <c r="E89" s="3" t="s">
        <v>1322</v>
      </c>
      <c r="F89" s="2" t="s">
        <v>1828</v>
      </c>
      <c r="G89" s="2" t="s">
        <v>1829</v>
      </c>
      <c r="H89" s="2" t="s">
        <v>184</v>
      </c>
      <c r="I89" s="2" t="s">
        <v>977</v>
      </c>
      <c r="J89" s="2" t="s">
        <v>30</v>
      </c>
      <c r="K89" s="2" t="s">
        <v>30</v>
      </c>
      <c r="L89" s="2" t="s">
        <v>337</v>
      </c>
      <c r="M89" s="2" t="s">
        <v>44</v>
      </c>
      <c r="N89" s="2" t="s">
        <v>456</v>
      </c>
      <c r="O89" s="2" t="s">
        <v>144</v>
      </c>
      <c r="P89" s="2" t="s">
        <v>1179</v>
      </c>
      <c r="Q89" s="2" t="s">
        <v>423</v>
      </c>
      <c r="R89" s="2" t="s">
        <v>417</v>
      </c>
      <c r="S89" s="2" t="s">
        <v>34</v>
      </c>
      <c r="T89" s="125">
        <v>2.9079999999999999</v>
      </c>
      <c r="U89" s="2" t="s">
        <v>1830</v>
      </c>
      <c r="V89" s="138">
        <v>2.76E-2</v>
      </c>
      <c r="W89" s="140">
        <v>4.5379999999999997E-2</v>
      </c>
      <c r="X89" s="3" t="s">
        <v>422</v>
      </c>
      <c r="Y89" s="3" t="s">
        <v>144</v>
      </c>
      <c r="Z89" s="125">
        <v>85000</v>
      </c>
      <c r="AA89" s="134">
        <v>1</v>
      </c>
      <c r="AB89" s="151">
        <v>95.56</v>
      </c>
      <c r="AC89" s="2"/>
      <c r="AD89" s="125">
        <v>81.225999999999999</v>
      </c>
      <c r="AE89" s="2"/>
      <c r="AF89" s="2"/>
      <c r="AG89" s="2" t="s">
        <v>36</v>
      </c>
      <c r="AH89" s="140">
        <v>6.3999999999999997E-5</v>
      </c>
      <c r="AI89" s="140">
        <v>1.92308152352876E-2</v>
      </c>
      <c r="AJ89" s="140">
        <v>2.98364898933568E-3</v>
      </c>
    </row>
    <row r="90" spans="1:36">
      <c r="A90" s="2">
        <v>382</v>
      </c>
      <c r="B90" s="2">
        <v>1404</v>
      </c>
      <c r="C90" s="2" t="s">
        <v>1177</v>
      </c>
      <c r="D90" s="2" t="s">
        <v>1570</v>
      </c>
      <c r="E90" s="3" t="s">
        <v>1322</v>
      </c>
      <c r="F90" s="2" t="s">
        <v>1831</v>
      </c>
      <c r="G90" s="2" t="s">
        <v>1832</v>
      </c>
      <c r="H90" s="2" t="s">
        <v>184</v>
      </c>
      <c r="I90" s="2" t="s">
        <v>765</v>
      </c>
      <c r="J90" s="2" t="s">
        <v>30</v>
      </c>
      <c r="K90" s="2" t="s">
        <v>30</v>
      </c>
      <c r="L90" s="2" t="s">
        <v>337</v>
      </c>
      <c r="M90" s="2" t="s">
        <v>44</v>
      </c>
      <c r="N90" s="2" t="s">
        <v>456</v>
      </c>
      <c r="O90" s="2" t="s">
        <v>144</v>
      </c>
      <c r="P90" s="2" t="s">
        <v>1179</v>
      </c>
      <c r="Q90" s="2" t="s">
        <v>423</v>
      </c>
      <c r="R90" s="2" t="s">
        <v>417</v>
      </c>
      <c r="S90" s="2" t="s">
        <v>34</v>
      </c>
      <c r="T90" s="125">
        <v>4.8490000000000002</v>
      </c>
      <c r="U90" s="2" t="s">
        <v>1833</v>
      </c>
      <c r="V90" s="138">
        <v>2.0199999999999999E-2</v>
      </c>
      <c r="W90" s="140">
        <v>2.4299999999999999E-2</v>
      </c>
      <c r="X90" s="3" t="s">
        <v>422</v>
      </c>
      <c r="Y90" s="3" t="s">
        <v>144</v>
      </c>
      <c r="Z90" s="125">
        <v>100000</v>
      </c>
      <c r="AA90" s="134">
        <v>1</v>
      </c>
      <c r="AB90" s="151">
        <v>101.65</v>
      </c>
      <c r="AC90" s="2"/>
      <c r="AD90" s="125">
        <v>101.65</v>
      </c>
      <c r="AE90" s="2"/>
      <c r="AF90" s="2"/>
      <c r="AG90" s="2" t="s">
        <v>36</v>
      </c>
      <c r="AH90" s="140">
        <v>2.8E-5</v>
      </c>
      <c r="AI90" s="140">
        <v>2.4066337978812E-2</v>
      </c>
      <c r="AJ90" s="140">
        <v>3.7338773270378001E-3</v>
      </c>
    </row>
    <row r="91" spans="1:36">
      <c r="A91" s="2">
        <v>382</v>
      </c>
      <c r="B91" s="2">
        <v>1404</v>
      </c>
      <c r="C91" s="2" t="s">
        <v>1852</v>
      </c>
      <c r="D91" s="2" t="s">
        <v>1853</v>
      </c>
      <c r="E91" s="3" t="s">
        <v>1322</v>
      </c>
      <c r="F91" s="2" t="s">
        <v>1854</v>
      </c>
      <c r="G91" s="2" t="s">
        <v>1855</v>
      </c>
      <c r="H91" s="2" t="s">
        <v>184</v>
      </c>
      <c r="I91" s="2" t="s">
        <v>765</v>
      </c>
      <c r="J91" s="2" t="s">
        <v>30</v>
      </c>
      <c r="K91" s="2" t="s">
        <v>30</v>
      </c>
      <c r="L91" s="2" t="s">
        <v>337</v>
      </c>
      <c r="M91" s="2" t="s">
        <v>44</v>
      </c>
      <c r="N91" s="2" t="s">
        <v>472</v>
      </c>
      <c r="O91" s="2" t="s">
        <v>144</v>
      </c>
      <c r="P91" s="2" t="s">
        <v>1730</v>
      </c>
      <c r="Q91" s="2" t="s">
        <v>423</v>
      </c>
      <c r="R91" s="2" t="s">
        <v>417</v>
      </c>
      <c r="S91" s="2" t="s">
        <v>34</v>
      </c>
      <c r="T91" s="125">
        <v>1.6160000000000001</v>
      </c>
      <c r="U91" s="2" t="s">
        <v>1856</v>
      </c>
      <c r="V91" s="138">
        <v>2.0500000000000001E-2</v>
      </c>
      <c r="W91" s="140">
        <v>2.8719999999999999E-2</v>
      </c>
      <c r="X91" s="3" t="s">
        <v>422</v>
      </c>
      <c r="Y91" s="3" t="s">
        <v>144</v>
      </c>
      <c r="Z91" s="125">
        <v>48000</v>
      </c>
      <c r="AA91" s="134">
        <v>1</v>
      </c>
      <c r="AB91" s="151">
        <v>116.04</v>
      </c>
      <c r="AC91" s="2"/>
      <c r="AD91" s="125">
        <v>55.698999999999998</v>
      </c>
      <c r="AE91" s="2"/>
      <c r="AF91" s="2"/>
      <c r="AG91" s="2" t="s">
        <v>36</v>
      </c>
      <c r="AH91" s="140">
        <v>6.3999999999999997E-5</v>
      </c>
      <c r="AI91" s="140">
        <v>1.31871694279335E-2</v>
      </c>
      <c r="AJ91" s="140">
        <v>2.0459811117967898E-3</v>
      </c>
    </row>
    <row r="92" spans="1:36">
      <c r="A92" s="2">
        <v>382</v>
      </c>
      <c r="B92" s="2">
        <v>1404</v>
      </c>
      <c r="C92" s="2" t="s">
        <v>1857</v>
      </c>
      <c r="D92" s="2" t="s">
        <v>1858</v>
      </c>
      <c r="E92" s="3" t="s">
        <v>1322</v>
      </c>
      <c r="F92" s="2" t="s">
        <v>1862</v>
      </c>
      <c r="G92" s="2" t="s">
        <v>1863</v>
      </c>
      <c r="H92" s="2" t="s">
        <v>184</v>
      </c>
      <c r="I92" s="2" t="s">
        <v>765</v>
      </c>
      <c r="J92" s="2" t="s">
        <v>30</v>
      </c>
      <c r="K92" s="2" t="s">
        <v>30</v>
      </c>
      <c r="L92" s="2" t="s">
        <v>337</v>
      </c>
      <c r="M92" s="2" t="s">
        <v>44</v>
      </c>
      <c r="N92" s="2" t="s">
        <v>456</v>
      </c>
      <c r="O92" s="2" t="s">
        <v>144</v>
      </c>
      <c r="P92" s="2" t="s">
        <v>1179</v>
      </c>
      <c r="Q92" s="2" t="s">
        <v>423</v>
      </c>
      <c r="R92" s="2" t="s">
        <v>417</v>
      </c>
      <c r="S92" s="2" t="s">
        <v>34</v>
      </c>
      <c r="T92" s="125">
        <v>4.165</v>
      </c>
      <c r="U92" s="2" t="s">
        <v>1817</v>
      </c>
      <c r="V92" s="138">
        <v>2.06E-2</v>
      </c>
      <c r="W92" s="140">
        <v>2.3900000000000001E-2</v>
      </c>
      <c r="X92" s="3" t="s">
        <v>422</v>
      </c>
      <c r="Y92" s="3" t="s">
        <v>144</v>
      </c>
      <c r="Z92" s="125">
        <v>72000</v>
      </c>
      <c r="AA92" s="134">
        <v>1</v>
      </c>
      <c r="AB92" s="151">
        <v>104.29</v>
      </c>
      <c r="AC92" s="2"/>
      <c r="AD92" s="125">
        <v>75.088999999999999</v>
      </c>
      <c r="AE92" s="2"/>
      <c r="AF92" s="2"/>
      <c r="AG92" s="2" t="s">
        <v>36</v>
      </c>
      <c r="AH92" s="140">
        <v>4.0000000000000003E-5</v>
      </c>
      <c r="AI92" s="140">
        <v>1.7777790843319399E-2</v>
      </c>
      <c r="AJ92" s="140">
        <v>2.7582131611852E-3</v>
      </c>
    </row>
    <row r="93" spans="1:36">
      <c r="A93" s="2">
        <v>382</v>
      </c>
      <c r="B93" s="2">
        <v>1404</v>
      </c>
      <c r="C93" s="2" t="s">
        <v>1857</v>
      </c>
      <c r="D93" s="2" t="s">
        <v>1858</v>
      </c>
      <c r="E93" s="3" t="s">
        <v>1322</v>
      </c>
      <c r="F93" s="2" t="s">
        <v>1864</v>
      </c>
      <c r="G93" s="2" t="s">
        <v>1865</v>
      </c>
      <c r="H93" s="2" t="s">
        <v>184</v>
      </c>
      <c r="I93" s="2" t="s">
        <v>765</v>
      </c>
      <c r="J93" s="2" t="s">
        <v>30</v>
      </c>
      <c r="K93" s="2" t="s">
        <v>30</v>
      </c>
      <c r="L93" s="2" t="s">
        <v>337</v>
      </c>
      <c r="M93" s="2" t="s">
        <v>44</v>
      </c>
      <c r="N93" s="2" t="s">
        <v>456</v>
      </c>
      <c r="O93" s="2" t="s">
        <v>144</v>
      </c>
      <c r="P93" s="2" t="s">
        <v>1179</v>
      </c>
      <c r="Q93" s="2" t="s">
        <v>423</v>
      </c>
      <c r="R93" s="2" t="s">
        <v>417</v>
      </c>
      <c r="S93" s="2" t="s">
        <v>34</v>
      </c>
      <c r="T93" s="125">
        <v>4.7060000000000004</v>
      </c>
      <c r="U93" s="2" t="s">
        <v>1866</v>
      </c>
      <c r="V93" s="138">
        <v>1.9900000000000001E-2</v>
      </c>
      <c r="W93" s="140">
        <v>2.3980000000000001E-2</v>
      </c>
      <c r="X93" s="3" t="s">
        <v>422</v>
      </c>
      <c r="Y93" s="3" t="s">
        <v>144</v>
      </c>
      <c r="Z93" s="125">
        <v>90000</v>
      </c>
      <c r="AA93" s="134">
        <v>1</v>
      </c>
      <c r="AB93" s="151">
        <v>101.53</v>
      </c>
      <c r="AC93" s="2"/>
      <c r="AD93" s="125">
        <v>91.376999999999995</v>
      </c>
      <c r="AE93" s="2"/>
      <c r="AF93" s="2"/>
      <c r="AG93" s="2" t="s">
        <v>36</v>
      </c>
      <c r="AH93" s="140">
        <v>3.6999999999999998E-5</v>
      </c>
      <c r="AI93" s="140">
        <v>2.1634134436693601E-2</v>
      </c>
      <c r="AJ93" s="140">
        <v>3.35652246446368E-3</v>
      </c>
    </row>
    <row r="94" spans="1:36">
      <c r="A94" s="2">
        <v>382</v>
      </c>
      <c r="B94" s="2">
        <v>1404</v>
      </c>
      <c r="C94" s="2" t="s">
        <v>1857</v>
      </c>
      <c r="D94" s="2" t="s">
        <v>1858</v>
      </c>
      <c r="E94" s="3" t="s">
        <v>1322</v>
      </c>
      <c r="F94" s="2" t="s">
        <v>1867</v>
      </c>
      <c r="G94" s="2" t="s">
        <v>1868</v>
      </c>
      <c r="H94" s="2" t="s">
        <v>184</v>
      </c>
      <c r="I94" s="2" t="s">
        <v>765</v>
      </c>
      <c r="J94" s="2" t="s">
        <v>30</v>
      </c>
      <c r="K94" s="2" t="s">
        <v>30</v>
      </c>
      <c r="L94" s="2" t="s">
        <v>337</v>
      </c>
      <c r="M94" s="2" t="s">
        <v>44</v>
      </c>
      <c r="N94" s="2" t="s">
        <v>456</v>
      </c>
      <c r="O94" s="2" t="s">
        <v>144</v>
      </c>
      <c r="P94" s="2" t="s">
        <v>1179</v>
      </c>
      <c r="Q94" s="2" t="s">
        <v>423</v>
      </c>
      <c r="R94" s="2" t="s">
        <v>417</v>
      </c>
      <c r="S94" s="2" t="s">
        <v>34</v>
      </c>
      <c r="T94" s="125">
        <v>1.4670000000000001</v>
      </c>
      <c r="U94" s="2" t="s">
        <v>1869</v>
      </c>
      <c r="V94" s="138">
        <v>3.8E-3</v>
      </c>
      <c r="W94" s="140">
        <v>2.2120000000000001E-2</v>
      </c>
      <c r="X94" s="3" t="s">
        <v>422</v>
      </c>
      <c r="Y94" s="3" t="s">
        <v>144</v>
      </c>
      <c r="Z94" s="125">
        <v>330000</v>
      </c>
      <c r="AA94" s="134">
        <v>1</v>
      </c>
      <c r="AB94" s="151">
        <v>110.77</v>
      </c>
      <c r="AC94" s="2"/>
      <c r="AD94" s="125">
        <v>365.541</v>
      </c>
      <c r="AE94" s="2"/>
      <c r="AF94" s="2"/>
      <c r="AG94" s="2" t="s">
        <v>36</v>
      </c>
      <c r="AH94" s="140">
        <v>1.1E-4</v>
      </c>
      <c r="AI94" s="140">
        <v>8.6544350724180097E-2</v>
      </c>
      <c r="AJ94" s="140">
        <v>1.3427302036426199E-2</v>
      </c>
    </row>
    <row r="95" spans="1:36">
      <c r="A95" s="2">
        <v>382</v>
      </c>
      <c r="B95" s="2">
        <v>1404</v>
      </c>
      <c r="C95" s="2" t="s">
        <v>1857</v>
      </c>
      <c r="D95" s="2" t="s">
        <v>1858</v>
      </c>
      <c r="E95" s="3" t="s">
        <v>1322</v>
      </c>
      <c r="F95" s="2" t="s">
        <v>1870</v>
      </c>
      <c r="G95" s="2" t="s">
        <v>1871</v>
      </c>
      <c r="H95" s="2" t="s">
        <v>184</v>
      </c>
      <c r="I95" s="2" t="s">
        <v>765</v>
      </c>
      <c r="J95" s="2" t="s">
        <v>30</v>
      </c>
      <c r="K95" s="2" t="s">
        <v>30</v>
      </c>
      <c r="L95" s="2" t="s">
        <v>337</v>
      </c>
      <c r="M95" s="2" t="s">
        <v>44</v>
      </c>
      <c r="N95" s="2" t="s">
        <v>456</v>
      </c>
      <c r="O95" s="2" t="s">
        <v>144</v>
      </c>
      <c r="P95" s="2" t="s">
        <v>1179</v>
      </c>
      <c r="Q95" s="2" t="s">
        <v>423</v>
      </c>
      <c r="R95" s="2" t="s">
        <v>417</v>
      </c>
      <c r="S95" s="2" t="s">
        <v>34</v>
      </c>
      <c r="T95" s="125">
        <v>3.177</v>
      </c>
      <c r="U95" s="2" t="s">
        <v>1872</v>
      </c>
      <c r="V95" s="138">
        <v>1E-3</v>
      </c>
      <c r="W95" s="140">
        <v>2.4199999999999999E-2</v>
      </c>
      <c r="X95" s="3" t="s">
        <v>422</v>
      </c>
      <c r="Y95" s="3" t="s">
        <v>144</v>
      </c>
      <c r="Z95" s="125">
        <v>220000</v>
      </c>
      <c r="AA95" s="134">
        <v>1</v>
      </c>
      <c r="AB95" s="151">
        <v>103.37</v>
      </c>
      <c r="AC95" s="2"/>
      <c r="AD95" s="125">
        <v>227.41399999999999</v>
      </c>
      <c r="AE95" s="2"/>
      <c r="AF95" s="2"/>
      <c r="AG95" s="2" t="s">
        <v>36</v>
      </c>
      <c r="AH95" s="140">
        <v>8.5000000000000006E-5</v>
      </c>
      <c r="AI95" s="140">
        <v>5.3841831629252802E-2</v>
      </c>
      <c r="AJ95" s="140">
        <v>8.3535265956809907E-3</v>
      </c>
    </row>
    <row r="96" spans="1:36">
      <c r="A96" s="2">
        <v>382</v>
      </c>
      <c r="B96" s="2">
        <v>1404</v>
      </c>
      <c r="C96" s="2" t="s">
        <v>1873</v>
      </c>
      <c r="D96" s="2" t="s">
        <v>1874</v>
      </c>
      <c r="E96" s="3" t="s">
        <v>1322</v>
      </c>
      <c r="F96" s="2" t="s">
        <v>1875</v>
      </c>
      <c r="G96" s="2" t="s">
        <v>1876</v>
      </c>
      <c r="H96" s="2" t="s">
        <v>184</v>
      </c>
      <c r="I96" s="2" t="s">
        <v>765</v>
      </c>
      <c r="J96" s="2" t="s">
        <v>30</v>
      </c>
      <c r="K96" s="2" t="s">
        <v>30</v>
      </c>
      <c r="L96" s="2" t="s">
        <v>339</v>
      </c>
      <c r="M96" s="2" t="s">
        <v>44</v>
      </c>
      <c r="N96" s="2" t="s">
        <v>451</v>
      </c>
      <c r="O96" s="2" t="s">
        <v>144</v>
      </c>
      <c r="P96" s="2" t="s">
        <v>1730</v>
      </c>
      <c r="Q96" s="2" t="s">
        <v>425</v>
      </c>
      <c r="R96" s="2" t="s">
        <v>417</v>
      </c>
      <c r="S96" s="2" t="s">
        <v>34</v>
      </c>
      <c r="T96" s="125">
        <v>1.403</v>
      </c>
      <c r="U96" s="2" t="s">
        <v>1877</v>
      </c>
      <c r="V96" s="138">
        <v>3.5400000000000001E-2</v>
      </c>
      <c r="W96" s="140">
        <v>2.9649999999999999E-2</v>
      </c>
      <c r="X96" s="3" t="s">
        <v>422</v>
      </c>
      <c r="Y96" s="3" t="s">
        <v>144</v>
      </c>
      <c r="Z96" s="125">
        <v>90000</v>
      </c>
      <c r="AA96" s="134">
        <v>1</v>
      </c>
      <c r="AB96" s="151">
        <v>108.84</v>
      </c>
      <c r="AC96" s="2"/>
      <c r="AD96" s="125">
        <v>97.956000000000003</v>
      </c>
      <c r="AE96" s="2"/>
      <c r="AF96" s="2"/>
      <c r="AG96" s="2" t="s">
        <v>36</v>
      </c>
      <c r="AH96" s="140">
        <v>0</v>
      </c>
      <c r="AI96" s="140">
        <v>2.3191758023143199E-2</v>
      </c>
      <c r="AJ96" s="140">
        <v>3.5981867923985701E-3</v>
      </c>
    </row>
    <row r="97" spans="1:36">
      <c r="A97" s="2">
        <v>382</v>
      </c>
      <c r="B97" s="2">
        <v>1404</v>
      </c>
      <c r="C97" s="2" t="s">
        <v>1584</v>
      </c>
      <c r="D97" s="2" t="s">
        <v>1585</v>
      </c>
      <c r="E97" s="3" t="s">
        <v>1322</v>
      </c>
      <c r="F97" s="2" t="s">
        <v>1878</v>
      </c>
      <c r="G97" s="2" t="s">
        <v>1879</v>
      </c>
      <c r="H97" s="2" t="s">
        <v>184</v>
      </c>
      <c r="I97" s="2" t="s">
        <v>765</v>
      </c>
      <c r="J97" s="2" t="s">
        <v>30</v>
      </c>
      <c r="K97" s="2" t="s">
        <v>30</v>
      </c>
      <c r="L97" s="2" t="s">
        <v>337</v>
      </c>
      <c r="M97" s="2" t="s">
        <v>44</v>
      </c>
      <c r="N97" s="2" t="s">
        <v>472</v>
      </c>
      <c r="O97" s="2" t="s">
        <v>144</v>
      </c>
      <c r="P97" s="2" t="s">
        <v>1717</v>
      </c>
      <c r="Q97" s="2" t="s">
        <v>423</v>
      </c>
      <c r="R97" s="2" t="s">
        <v>417</v>
      </c>
      <c r="S97" s="2" t="s">
        <v>34</v>
      </c>
      <c r="T97" s="125">
        <v>3.3439999999999999</v>
      </c>
      <c r="U97" s="2" t="s">
        <v>1737</v>
      </c>
      <c r="V97" s="138">
        <v>6.4999999999999997E-3</v>
      </c>
      <c r="W97" s="140">
        <v>2.5749999999999999E-2</v>
      </c>
      <c r="X97" s="3" t="s">
        <v>422</v>
      </c>
      <c r="Y97" s="3" t="s">
        <v>144</v>
      </c>
      <c r="Z97" s="125">
        <v>47872.33</v>
      </c>
      <c r="AA97" s="134">
        <v>1</v>
      </c>
      <c r="AB97" s="151">
        <v>107.93</v>
      </c>
      <c r="AC97" s="125">
        <v>0.79300000000000004</v>
      </c>
      <c r="AD97" s="125">
        <v>52.460999999999999</v>
      </c>
      <c r="AE97" s="2"/>
      <c r="AF97" s="2"/>
      <c r="AG97" s="2" t="s">
        <v>36</v>
      </c>
      <c r="AH97" s="140">
        <v>8.8999999999999995E-5</v>
      </c>
      <c r="AI97" s="140">
        <v>1.24205519804501E-2</v>
      </c>
      <c r="AJ97" s="140">
        <v>1.92704089296541E-3</v>
      </c>
    </row>
    <row r="98" spans="1:36">
      <c r="A98" s="2">
        <v>382</v>
      </c>
      <c r="B98" s="2">
        <v>1404</v>
      </c>
      <c r="C98" s="2" t="s">
        <v>1584</v>
      </c>
      <c r="D98" s="2" t="s">
        <v>1585</v>
      </c>
      <c r="E98" s="3" t="s">
        <v>1322</v>
      </c>
      <c r="F98" s="2" t="s">
        <v>1880</v>
      </c>
      <c r="G98" s="2" t="s">
        <v>1881</v>
      </c>
      <c r="H98" s="2" t="s">
        <v>184</v>
      </c>
      <c r="I98" s="2" t="s">
        <v>765</v>
      </c>
      <c r="J98" s="2" t="s">
        <v>30</v>
      </c>
      <c r="K98" s="2" t="s">
        <v>30</v>
      </c>
      <c r="L98" s="2" t="s">
        <v>337</v>
      </c>
      <c r="M98" s="2" t="s">
        <v>44</v>
      </c>
      <c r="N98" s="2" t="s">
        <v>472</v>
      </c>
      <c r="O98" s="2" t="s">
        <v>144</v>
      </c>
      <c r="P98" s="2" t="s">
        <v>1717</v>
      </c>
      <c r="Q98" s="2" t="s">
        <v>423</v>
      </c>
      <c r="R98" s="2" t="s">
        <v>417</v>
      </c>
      <c r="S98" s="2" t="s">
        <v>34</v>
      </c>
      <c r="T98" s="125">
        <v>5.968</v>
      </c>
      <c r="U98" s="2" t="s">
        <v>1882</v>
      </c>
      <c r="V98" s="138">
        <v>3.61E-2</v>
      </c>
      <c r="W98" s="140">
        <v>3.091E-2</v>
      </c>
      <c r="X98" s="3" t="s">
        <v>422</v>
      </c>
      <c r="Y98" s="3" t="s">
        <v>144</v>
      </c>
      <c r="Z98" s="125">
        <v>28347.5</v>
      </c>
      <c r="AA98" s="134">
        <v>1</v>
      </c>
      <c r="AB98" s="151">
        <v>109.14</v>
      </c>
      <c r="AC98" s="125">
        <v>0.61899999999999999</v>
      </c>
      <c r="AD98" s="125">
        <v>31.558</v>
      </c>
      <c r="AE98" s="2"/>
      <c r="AF98" s="2"/>
      <c r="AG98" s="2" t="s">
        <v>36</v>
      </c>
      <c r="AH98" s="140">
        <v>1.8E-5</v>
      </c>
      <c r="AI98" s="140">
        <v>7.4714654158326201E-3</v>
      </c>
      <c r="AJ98" s="140">
        <v>1.1591931992513899E-3</v>
      </c>
    </row>
    <row r="99" spans="1:36">
      <c r="A99" s="2">
        <v>382</v>
      </c>
      <c r="B99" s="2">
        <v>1404</v>
      </c>
      <c r="C99" s="2" t="s">
        <v>1584</v>
      </c>
      <c r="D99" s="2" t="s">
        <v>1585</v>
      </c>
      <c r="E99" s="3" t="s">
        <v>1322</v>
      </c>
      <c r="F99" s="2" t="s">
        <v>1886</v>
      </c>
      <c r="G99" s="2" t="s">
        <v>1887</v>
      </c>
      <c r="H99" s="2" t="s">
        <v>184</v>
      </c>
      <c r="I99" s="2" t="s">
        <v>765</v>
      </c>
      <c r="J99" s="2" t="s">
        <v>30</v>
      </c>
      <c r="K99" s="2" t="s">
        <v>30</v>
      </c>
      <c r="L99" s="2" t="s">
        <v>337</v>
      </c>
      <c r="M99" s="2" t="s">
        <v>44</v>
      </c>
      <c r="N99" s="2" t="s">
        <v>472</v>
      </c>
      <c r="O99" s="2" t="s">
        <v>144</v>
      </c>
      <c r="P99" s="2" t="s">
        <v>1717</v>
      </c>
      <c r="Q99" s="2" t="s">
        <v>423</v>
      </c>
      <c r="R99" s="2" t="s">
        <v>417</v>
      </c>
      <c r="S99" s="2" t="s">
        <v>34</v>
      </c>
      <c r="T99" s="125">
        <v>3.738</v>
      </c>
      <c r="U99" s="2" t="s">
        <v>1888</v>
      </c>
      <c r="V99" s="138">
        <v>2.2499999999999999E-2</v>
      </c>
      <c r="W99" s="140">
        <v>2.843E-2</v>
      </c>
      <c r="X99" s="3" t="s">
        <v>422</v>
      </c>
      <c r="Y99" s="3" t="s">
        <v>144</v>
      </c>
      <c r="Z99" s="125">
        <v>59104.480000000003</v>
      </c>
      <c r="AA99" s="134">
        <v>1</v>
      </c>
      <c r="AB99" s="151">
        <v>114.28</v>
      </c>
      <c r="AC99" s="125">
        <v>1.833</v>
      </c>
      <c r="AD99" s="125">
        <v>69.378</v>
      </c>
      <c r="AE99" s="2"/>
      <c r="AF99" s="2"/>
      <c r="AG99" s="2" t="s">
        <v>36</v>
      </c>
      <c r="AH99" s="140">
        <v>3.4E-5</v>
      </c>
      <c r="AI99" s="140">
        <v>1.6425688750704399E-2</v>
      </c>
      <c r="AJ99" s="140">
        <v>2.5484353648332798E-3</v>
      </c>
    </row>
    <row r="100" spans="1:36">
      <c r="A100" s="2">
        <v>382</v>
      </c>
      <c r="B100" s="2">
        <v>1404</v>
      </c>
      <c r="C100" s="2" t="s">
        <v>1978</v>
      </c>
      <c r="D100" s="2" t="s">
        <v>1979</v>
      </c>
      <c r="E100" s="3" t="s">
        <v>1322</v>
      </c>
      <c r="F100" s="2" t="s">
        <v>1980</v>
      </c>
      <c r="G100" s="2" t="s">
        <v>1981</v>
      </c>
      <c r="H100" s="2" t="s">
        <v>184</v>
      </c>
      <c r="I100" s="2" t="s">
        <v>977</v>
      </c>
      <c r="J100" s="2" t="s">
        <v>30</v>
      </c>
      <c r="K100" s="2" t="s">
        <v>30</v>
      </c>
      <c r="L100" s="2" t="s">
        <v>337</v>
      </c>
      <c r="M100" s="2" t="s">
        <v>44</v>
      </c>
      <c r="N100" s="2" t="s">
        <v>453</v>
      </c>
      <c r="O100" s="2" t="s">
        <v>144</v>
      </c>
      <c r="P100" s="2" t="s">
        <v>1721</v>
      </c>
      <c r="Q100" s="2" t="s">
        <v>425</v>
      </c>
      <c r="R100" s="2" t="s">
        <v>417</v>
      </c>
      <c r="S100" s="2" t="s">
        <v>34</v>
      </c>
      <c r="T100" s="125">
        <v>4.1929999999999996</v>
      </c>
      <c r="U100" s="2" t="s">
        <v>1963</v>
      </c>
      <c r="V100" s="138">
        <v>3.4299999999999997E-2</v>
      </c>
      <c r="W100" s="140">
        <v>4.8239999999999998E-2</v>
      </c>
      <c r="X100" s="3" t="s">
        <v>422</v>
      </c>
      <c r="Y100" s="3" t="s">
        <v>144</v>
      </c>
      <c r="Z100" s="125">
        <v>35000</v>
      </c>
      <c r="AA100" s="134">
        <v>1</v>
      </c>
      <c r="AB100" s="151">
        <v>94.65</v>
      </c>
      <c r="AC100" s="2"/>
      <c r="AD100" s="125">
        <v>33.127000000000002</v>
      </c>
      <c r="AE100" s="2"/>
      <c r="AF100" s="2"/>
      <c r="AG100" s="2" t="s">
        <v>36</v>
      </c>
      <c r="AH100" s="140">
        <v>1.15E-4</v>
      </c>
      <c r="AI100" s="140">
        <v>7.8431639094254206E-3</v>
      </c>
      <c r="AJ100" s="140">
        <v>1.2168619887008799E-3</v>
      </c>
    </row>
    <row r="101" spans="1:36">
      <c r="A101" s="2">
        <v>382</v>
      </c>
      <c r="B101" s="2">
        <v>1404</v>
      </c>
      <c r="C101" s="2" t="s">
        <v>1982</v>
      </c>
      <c r="D101" s="2" t="s">
        <v>1983</v>
      </c>
      <c r="E101" s="3" t="s">
        <v>1322</v>
      </c>
      <c r="F101" s="2" t="s">
        <v>1984</v>
      </c>
      <c r="G101" s="2" t="s">
        <v>1985</v>
      </c>
      <c r="H101" s="2" t="s">
        <v>184</v>
      </c>
      <c r="I101" s="2" t="s">
        <v>765</v>
      </c>
      <c r="J101" s="2" t="s">
        <v>30</v>
      </c>
      <c r="K101" s="2" t="s">
        <v>30</v>
      </c>
      <c r="L101" s="2" t="s">
        <v>337</v>
      </c>
      <c r="M101" s="2" t="s">
        <v>44</v>
      </c>
      <c r="N101" s="2" t="s">
        <v>472</v>
      </c>
      <c r="O101" s="2" t="s">
        <v>144</v>
      </c>
      <c r="P101" s="2" t="s">
        <v>1179</v>
      </c>
      <c r="Q101" s="2" t="s">
        <v>423</v>
      </c>
      <c r="R101" s="2" t="s">
        <v>417</v>
      </c>
      <c r="S101" s="2" t="s">
        <v>34</v>
      </c>
      <c r="T101" s="125">
        <v>4.7859999999999996</v>
      </c>
      <c r="U101" s="2" t="s">
        <v>1986</v>
      </c>
      <c r="V101" s="138">
        <v>1.6500000000000001E-2</v>
      </c>
      <c r="W101" s="140">
        <v>2.4330000000000001E-2</v>
      </c>
      <c r="X101" s="3" t="s">
        <v>422</v>
      </c>
      <c r="Y101" s="3" t="s">
        <v>144</v>
      </c>
      <c r="Z101" s="125">
        <v>69000</v>
      </c>
      <c r="AA101" s="134">
        <v>1</v>
      </c>
      <c r="AB101" s="151">
        <v>112.1</v>
      </c>
      <c r="AC101" s="2"/>
      <c r="AD101" s="125">
        <v>77.349000000000004</v>
      </c>
      <c r="AE101" s="2"/>
      <c r="AF101" s="2"/>
      <c r="AG101" s="2" t="s">
        <v>36</v>
      </c>
      <c r="AH101" s="140">
        <v>3.3000000000000003E-5</v>
      </c>
      <c r="AI101" s="140">
        <v>1.8312908768550198E-2</v>
      </c>
      <c r="AJ101" s="140">
        <v>2.8412363735272599E-3</v>
      </c>
    </row>
    <row r="102" spans="1:36">
      <c r="A102" s="2">
        <v>382</v>
      </c>
      <c r="B102" s="2">
        <v>1404</v>
      </c>
      <c r="C102" s="2" t="s">
        <v>1607</v>
      </c>
      <c r="D102" s="2" t="s">
        <v>1608</v>
      </c>
      <c r="E102" s="3" t="s">
        <v>1322</v>
      </c>
      <c r="F102" s="2" t="s">
        <v>1897</v>
      </c>
      <c r="G102" s="2" t="s">
        <v>1898</v>
      </c>
      <c r="H102" s="2" t="s">
        <v>184</v>
      </c>
      <c r="I102" s="2" t="s">
        <v>765</v>
      </c>
      <c r="J102" s="2" t="s">
        <v>30</v>
      </c>
      <c r="K102" s="2" t="s">
        <v>30</v>
      </c>
      <c r="L102" s="2" t="s">
        <v>337</v>
      </c>
      <c r="M102" s="2" t="s">
        <v>44</v>
      </c>
      <c r="N102" s="2" t="s">
        <v>472</v>
      </c>
      <c r="O102" s="2" t="s">
        <v>144</v>
      </c>
      <c r="P102" s="2" t="s">
        <v>95</v>
      </c>
      <c r="Q102" s="2" t="s">
        <v>423</v>
      </c>
      <c r="R102" s="2" t="s">
        <v>417</v>
      </c>
      <c r="S102" s="2" t="s">
        <v>34</v>
      </c>
      <c r="T102" s="125">
        <v>2.9119999999999999</v>
      </c>
      <c r="U102" s="2" t="s">
        <v>1899</v>
      </c>
      <c r="V102" s="138">
        <v>1.34E-2</v>
      </c>
      <c r="W102" s="140">
        <v>2.5749999999999999E-2</v>
      </c>
      <c r="X102" s="3" t="s">
        <v>422</v>
      </c>
      <c r="Y102" s="3" t="s">
        <v>144</v>
      </c>
      <c r="Z102" s="125">
        <v>89375</v>
      </c>
      <c r="AA102" s="134">
        <v>1</v>
      </c>
      <c r="AB102" s="151">
        <v>112.66</v>
      </c>
      <c r="AC102" s="125">
        <v>10.226000000000001</v>
      </c>
      <c r="AD102" s="125">
        <v>110.916</v>
      </c>
      <c r="AE102" s="2"/>
      <c r="AF102" s="2"/>
      <c r="AG102" s="2" t="s">
        <v>36</v>
      </c>
      <c r="AH102" s="140">
        <v>3.6999999999999998E-5</v>
      </c>
      <c r="AI102" s="140">
        <v>2.6260128515392001E-2</v>
      </c>
      <c r="AJ102" s="140">
        <v>4.0742425605028096E-3</v>
      </c>
    </row>
    <row r="103" spans="1:36">
      <c r="A103" s="2">
        <v>382</v>
      </c>
      <c r="B103" s="2">
        <v>1404</v>
      </c>
      <c r="C103" s="2" t="s">
        <v>1607</v>
      </c>
      <c r="D103" s="2" t="s">
        <v>1608</v>
      </c>
      <c r="E103" s="3" t="s">
        <v>1322</v>
      </c>
      <c r="F103" s="2" t="s">
        <v>1987</v>
      </c>
      <c r="G103" s="2" t="s">
        <v>1988</v>
      </c>
      <c r="H103" s="2" t="s">
        <v>184</v>
      </c>
      <c r="I103" s="2" t="s">
        <v>765</v>
      </c>
      <c r="J103" s="2" t="s">
        <v>30</v>
      </c>
      <c r="K103" s="2" t="s">
        <v>30</v>
      </c>
      <c r="L103" s="2" t="s">
        <v>337</v>
      </c>
      <c r="M103" s="2" t="s">
        <v>44</v>
      </c>
      <c r="N103" s="2" t="s">
        <v>472</v>
      </c>
      <c r="O103" s="2" t="s">
        <v>144</v>
      </c>
      <c r="P103" s="2" t="s">
        <v>95</v>
      </c>
      <c r="Q103" s="2" t="s">
        <v>423</v>
      </c>
      <c r="R103" s="2" t="s">
        <v>417</v>
      </c>
      <c r="S103" s="2" t="s">
        <v>34</v>
      </c>
      <c r="T103" s="125">
        <v>6.7249999999999996</v>
      </c>
      <c r="U103" s="2" t="s">
        <v>1989</v>
      </c>
      <c r="V103" s="138">
        <v>8.9999999999999993E-3</v>
      </c>
      <c r="W103" s="140">
        <v>2.9850000000000002E-2</v>
      </c>
      <c r="X103" s="3" t="s">
        <v>422</v>
      </c>
      <c r="Y103" s="3" t="s">
        <v>144</v>
      </c>
      <c r="Z103" s="125">
        <v>58800</v>
      </c>
      <c r="AA103" s="134">
        <v>1</v>
      </c>
      <c r="AB103" s="151">
        <v>98.8</v>
      </c>
      <c r="AC103" s="125">
        <v>0.29199999999999998</v>
      </c>
      <c r="AD103" s="125">
        <v>58.386000000000003</v>
      </c>
      <c r="AE103" s="2"/>
      <c r="AF103" s="2"/>
      <c r="AG103" s="2" t="s">
        <v>36</v>
      </c>
      <c r="AH103" s="140">
        <v>2.0999999999999999E-5</v>
      </c>
      <c r="AI103" s="140">
        <v>1.3823354134830801E-2</v>
      </c>
      <c r="AJ103" s="140">
        <v>2.1446847722782101E-3</v>
      </c>
    </row>
    <row r="104" spans="1:36">
      <c r="A104" s="2">
        <v>382</v>
      </c>
      <c r="B104" s="2">
        <v>1404</v>
      </c>
      <c r="C104" s="2" t="s">
        <v>1607</v>
      </c>
      <c r="D104" s="2" t="s">
        <v>1608</v>
      </c>
      <c r="E104" s="3" t="s">
        <v>1322</v>
      </c>
      <c r="F104" s="2" t="s">
        <v>1990</v>
      </c>
      <c r="G104" s="2" t="s">
        <v>1991</v>
      </c>
      <c r="H104" s="2" t="s">
        <v>184</v>
      </c>
      <c r="I104" s="2" t="s">
        <v>765</v>
      </c>
      <c r="J104" s="2" t="s">
        <v>30</v>
      </c>
      <c r="K104" s="2" t="s">
        <v>30</v>
      </c>
      <c r="L104" s="2" t="s">
        <v>337</v>
      </c>
      <c r="M104" s="2" t="s">
        <v>44</v>
      </c>
      <c r="N104" s="2" t="s">
        <v>472</v>
      </c>
      <c r="O104" s="2" t="s">
        <v>144</v>
      </c>
      <c r="P104" s="2" t="s">
        <v>95</v>
      </c>
      <c r="Q104" s="2" t="s">
        <v>423</v>
      </c>
      <c r="R104" s="2" t="s">
        <v>417</v>
      </c>
      <c r="S104" s="2" t="s">
        <v>34</v>
      </c>
      <c r="T104" s="125">
        <v>0.24399999999999999</v>
      </c>
      <c r="U104" s="2" t="s">
        <v>1937</v>
      </c>
      <c r="V104" s="138">
        <v>6.4999999999999997E-3</v>
      </c>
      <c r="W104" s="140">
        <v>2.9729999999999999E-2</v>
      </c>
      <c r="X104" s="3" t="s">
        <v>422</v>
      </c>
      <c r="Y104" s="3" t="s">
        <v>144</v>
      </c>
      <c r="Z104" s="125">
        <v>60000</v>
      </c>
      <c r="AA104" s="134">
        <v>1</v>
      </c>
      <c r="AB104" s="151">
        <v>114.76</v>
      </c>
      <c r="AC104" s="2"/>
      <c r="AD104" s="125">
        <v>68.855999999999995</v>
      </c>
      <c r="AE104" s="2"/>
      <c r="AF104" s="2"/>
      <c r="AG104" s="2" t="s">
        <v>36</v>
      </c>
      <c r="AH104" s="140">
        <v>1.1E-4</v>
      </c>
      <c r="AI104" s="140">
        <v>1.6302132492563501E-2</v>
      </c>
      <c r="AJ104" s="140">
        <v>2.5292656884457901E-3</v>
      </c>
    </row>
    <row r="105" spans="1:36">
      <c r="A105" s="2">
        <v>382</v>
      </c>
      <c r="B105" s="2">
        <v>1404</v>
      </c>
      <c r="C105" s="2" t="s">
        <v>1611</v>
      </c>
      <c r="D105" s="2" t="s">
        <v>1612</v>
      </c>
      <c r="E105" s="3" t="s">
        <v>1322</v>
      </c>
      <c r="F105" s="2" t="s">
        <v>1906</v>
      </c>
      <c r="G105" s="2" t="s">
        <v>1907</v>
      </c>
      <c r="H105" s="2" t="s">
        <v>184</v>
      </c>
      <c r="I105" s="2" t="s">
        <v>765</v>
      </c>
      <c r="J105" s="2" t="s">
        <v>30</v>
      </c>
      <c r="K105" s="2" t="s">
        <v>30</v>
      </c>
      <c r="L105" s="2" t="s">
        <v>337</v>
      </c>
      <c r="M105" s="2" t="s">
        <v>44</v>
      </c>
      <c r="N105" s="2" t="s">
        <v>456</v>
      </c>
      <c r="O105" s="2" t="s">
        <v>144</v>
      </c>
      <c r="P105" s="2" t="s">
        <v>1179</v>
      </c>
      <c r="Q105" s="2" t="s">
        <v>423</v>
      </c>
      <c r="R105" s="2" t="s">
        <v>417</v>
      </c>
      <c r="S105" s="2" t="s">
        <v>34</v>
      </c>
      <c r="T105" s="125">
        <v>1.7869999999999999</v>
      </c>
      <c r="U105" s="2" t="s">
        <v>1908</v>
      </c>
      <c r="V105" s="138">
        <v>6.0000000000000001E-3</v>
      </c>
      <c r="W105" s="140">
        <v>2.2329999999999999E-2</v>
      </c>
      <c r="X105" s="3" t="s">
        <v>422</v>
      </c>
      <c r="Y105" s="3" t="s">
        <v>144</v>
      </c>
      <c r="Z105" s="125">
        <v>239083.34</v>
      </c>
      <c r="AA105" s="134">
        <v>1</v>
      </c>
      <c r="AB105" s="151">
        <v>113.4</v>
      </c>
      <c r="AC105" s="2"/>
      <c r="AD105" s="125">
        <v>271.12099999999998</v>
      </c>
      <c r="AE105" s="2"/>
      <c r="AF105" s="2"/>
      <c r="AG105" s="2" t="s">
        <v>36</v>
      </c>
      <c r="AH105" s="140">
        <v>2.6899999999999998E-4</v>
      </c>
      <c r="AI105" s="140">
        <v>6.4189648479350797E-2</v>
      </c>
      <c r="AJ105" s="140">
        <v>9.9589839259543803E-3</v>
      </c>
    </row>
    <row r="106" spans="1:36">
      <c r="A106" s="2">
        <v>382</v>
      </c>
      <c r="B106" s="2">
        <v>1404</v>
      </c>
      <c r="C106" s="2" t="s">
        <v>1611</v>
      </c>
      <c r="D106" s="2" t="s">
        <v>1612</v>
      </c>
      <c r="E106" s="3" t="s">
        <v>1322</v>
      </c>
      <c r="F106" s="2" t="s">
        <v>1909</v>
      </c>
      <c r="G106" s="2" t="s">
        <v>1910</v>
      </c>
      <c r="H106" s="2" t="s">
        <v>184</v>
      </c>
      <c r="I106" s="2" t="s">
        <v>765</v>
      </c>
      <c r="J106" s="2" t="s">
        <v>30</v>
      </c>
      <c r="K106" s="2" t="s">
        <v>30</v>
      </c>
      <c r="L106" s="2" t="s">
        <v>337</v>
      </c>
      <c r="M106" s="2" t="s">
        <v>44</v>
      </c>
      <c r="N106" s="2" t="s">
        <v>456</v>
      </c>
      <c r="O106" s="2" t="s">
        <v>144</v>
      </c>
      <c r="P106" s="2" t="s">
        <v>1179</v>
      </c>
      <c r="Q106" s="2" t="s">
        <v>423</v>
      </c>
      <c r="R106" s="2" t="s">
        <v>417</v>
      </c>
      <c r="S106" s="2" t="s">
        <v>34</v>
      </c>
      <c r="T106" s="125">
        <v>3.3029999999999999</v>
      </c>
      <c r="U106" s="2" t="s">
        <v>1911</v>
      </c>
      <c r="V106" s="138">
        <v>1.7500000000000002E-2</v>
      </c>
      <c r="W106" s="140">
        <v>2.341E-2</v>
      </c>
      <c r="X106" s="3" t="s">
        <v>422</v>
      </c>
      <c r="Y106" s="3" t="s">
        <v>144</v>
      </c>
      <c r="Z106" s="125">
        <v>189057.27</v>
      </c>
      <c r="AA106" s="134">
        <v>1</v>
      </c>
      <c r="AB106" s="151">
        <v>112.53</v>
      </c>
      <c r="AC106" s="2"/>
      <c r="AD106" s="125">
        <v>212.74600000000001</v>
      </c>
      <c r="AE106" s="2"/>
      <c r="AF106" s="2"/>
      <c r="AG106" s="2" t="s">
        <v>36</v>
      </c>
      <c r="AH106" s="140">
        <v>8.5000000000000006E-5</v>
      </c>
      <c r="AI106" s="140">
        <v>5.0369116100984802E-2</v>
      </c>
      <c r="AJ106" s="140">
        <v>7.8147369474317208E-3</v>
      </c>
    </row>
    <row r="107" spans="1:36">
      <c r="A107" s="2">
        <v>382</v>
      </c>
      <c r="B107" s="2">
        <v>1404</v>
      </c>
      <c r="C107" s="2" t="s">
        <v>1611</v>
      </c>
      <c r="D107" s="2" t="s">
        <v>1612</v>
      </c>
      <c r="E107" s="3" t="s">
        <v>1322</v>
      </c>
      <c r="F107" s="2" t="s">
        <v>1912</v>
      </c>
      <c r="G107" s="2" t="s">
        <v>1913</v>
      </c>
      <c r="H107" s="2" t="s">
        <v>184</v>
      </c>
      <c r="I107" s="2" t="s">
        <v>765</v>
      </c>
      <c r="J107" s="2" t="s">
        <v>30</v>
      </c>
      <c r="K107" s="2" t="s">
        <v>30</v>
      </c>
      <c r="L107" s="2" t="s">
        <v>337</v>
      </c>
      <c r="M107" s="2" t="s">
        <v>86</v>
      </c>
      <c r="N107" s="2" t="s">
        <v>456</v>
      </c>
      <c r="O107" s="2" t="s">
        <v>144</v>
      </c>
      <c r="P107" s="2" t="s">
        <v>1721</v>
      </c>
      <c r="Q107" s="2" t="s">
        <v>423</v>
      </c>
      <c r="R107" s="2" t="s">
        <v>417</v>
      </c>
      <c r="S107" s="2" t="s">
        <v>34</v>
      </c>
      <c r="T107" s="125">
        <v>7.0410000000000004</v>
      </c>
      <c r="U107" s="2" t="s">
        <v>1914</v>
      </c>
      <c r="V107" s="138">
        <v>3.4500000000000003E-2</v>
      </c>
      <c r="W107" s="140">
        <v>3.3020000000000001E-2</v>
      </c>
      <c r="X107" s="3" t="s">
        <v>422</v>
      </c>
      <c r="Y107" s="3" t="s">
        <v>144</v>
      </c>
      <c r="Z107" s="125">
        <v>30000</v>
      </c>
      <c r="AA107" s="134">
        <v>1</v>
      </c>
      <c r="AB107" s="151">
        <v>100.92</v>
      </c>
      <c r="AC107" s="2"/>
      <c r="AD107" s="125">
        <v>30.276</v>
      </c>
      <c r="AE107" s="2"/>
      <c r="AF107" s="2"/>
      <c r="AG107" s="2" t="s">
        <v>36</v>
      </c>
      <c r="AH107" s="140">
        <v>8.7999999999999998E-5</v>
      </c>
      <c r="AI107" s="140">
        <v>7.1680516344959297E-3</v>
      </c>
      <c r="AJ107" s="140">
        <v>1.1121187403187001E-3</v>
      </c>
    </row>
    <row r="108" spans="1:36">
      <c r="A108" s="2">
        <v>382</v>
      </c>
      <c r="B108" s="2">
        <v>1404</v>
      </c>
      <c r="C108" s="2" t="s">
        <v>1925</v>
      </c>
      <c r="D108" s="2" t="s">
        <v>1926</v>
      </c>
      <c r="E108" s="3" t="s">
        <v>1322</v>
      </c>
      <c r="F108" s="2" t="s">
        <v>1927</v>
      </c>
      <c r="G108" s="2" t="s">
        <v>1928</v>
      </c>
      <c r="H108" s="2" t="s">
        <v>184</v>
      </c>
      <c r="I108" s="2" t="s">
        <v>977</v>
      </c>
      <c r="J108" s="2" t="s">
        <v>30</v>
      </c>
      <c r="K108" s="2" t="s">
        <v>30</v>
      </c>
      <c r="L108" s="2" t="s">
        <v>337</v>
      </c>
      <c r="M108" s="2" t="s">
        <v>44</v>
      </c>
      <c r="N108" s="2" t="s">
        <v>453</v>
      </c>
      <c r="O108" s="2" t="s">
        <v>144</v>
      </c>
      <c r="P108" s="2" t="s">
        <v>1717</v>
      </c>
      <c r="Q108" s="2" t="s">
        <v>423</v>
      </c>
      <c r="R108" s="2" t="s">
        <v>417</v>
      </c>
      <c r="S108" s="2" t="s">
        <v>34</v>
      </c>
      <c r="T108" s="125">
        <v>4.87</v>
      </c>
      <c r="U108" s="2" t="s">
        <v>1929</v>
      </c>
      <c r="V108" s="138">
        <v>4.6899999999999997E-2</v>
      </c>
      <c r="W108" s="140">
        <v>4.8379999999999999E-2</v>
      </c>
      <c r="X108" s="3" t="s">
        <v>422</v>
      </c>
      <c r="Y108" s="3" t="s">
        <v>144</v>
      </c>
      <c r="Z108" s="125">
        <v>99982</v>
      </c>
      <c r="AA108" s="134">
        <v>1</v>
      </c>
      <c r="AB108" s="151">
        <v>99.72</v>
      </c>
      <c r="AC108" s="2"/>
      <c r="AD108" s="125">
        <v>99.701999999999998</v>
      </c>
      <c r="AE108" s="2"/>
      <c r="AF108" s="2"/>
      <c r="AG108" s="2" t="s">
        <v>36</v>
      </c>
      <c r="AH108" s="140">
        <v>2.0000000000000001E-4</v>
      </c>
      <c r="AI108" s="140">
        <v>2.3605147487525301E-2</v>
      </c>
      <c r="AJ108" s="140">
        <v>3.6623239099629998E-3</v>
      </c>
    </row>
    <row r="109" spans="1:36">
      <c r="A109" s="2">
        <v>382</v>
      </c>
      <c r="B109" s="2">
        <v>1404</v>
      </c>
      <c r="C109" s="2" t="s">
        <v>1992</v>
      </c>
      <c r="D109" s="2" t="s">
        <v>1993</v>
      </c>
      <c r="E109" s="3" t="s">
        <v>1322</v>
      </c>
      <c r="F109" s="2" t="s">
        <v>1994</v>
      </c>
      <c r="G109" s="2" t="s">
        <v>1995</v>
      </c>
      <c r="H109" s="2" t="s">
        <v>184</v>
      </c>
      <c r="I109" s="2" t="s">
        <v>977</v>
      </c>
      <c r="J109" s="2" t="s">
        <v>30</v>
      </c>
      <c r="K109" s="2" t="s">
        <v>30</v>
      </c>
      <c r="L109" s="2" t="s">
        <v>337</v>
      </c>
      <c r="M109" s="2" t="s">
        <v>44</v>
      </c>
      <c r="N109" s="2" t="s">
        <v>470</v>
      </c>
      <c r="O109" s="2" t="s">
        <v>144</v>
      </c>
      <c r="P109" s="2" t="s">
        <v>1721</v>
      </c>
      <c r="Q109" s="2" t="s">
        <v>423</v>
      </c>
      <c r="R109" s="2" t="s">
        <v>417</v>
      </c>
      <c r="S109" s="2" t="s">
        <v>34</v>
      </c>
      <c r="T109" s="125">
        <v>1.746</v>
      </c>
      <c r="U109" s="2" t="s">
        <v>1996</v>
      </c>
      <c r="V109" s="138">
        <v>2.3E-2</v>
      </c>
      <c r="W109" s="140">
        <v>5.0799999999999998E-2</v>
      </c>
      <c r="X109" s="3" t="s">
        <v>422</v>
      </c>
      <c r="Y109" s="3" t="s">
        <v>144</v>
      </c>
      <c r="Z109" s="125">
        <v>47419.360000000001</v>
      </c>
      <c r="AA109" s="134">
        <v>1</v>
      </c>
      <c r="AB109" s="151">
        <v>96.16</v>
      </c>
      <c r="AC109" s="2"/>
      <c r="AD109" s="125">
        <v>45.597999999999999</v>
      </c>
      <c r="AE109" s="2"/>
      <c r="AF109" s="2"/>
      <c r="AG109" s="2" t="s">
        <v>36</v>
      </c>
      <c r="AH109" s="140">
        <v>4.3999999999999999E-5</v>
      </c>
      <c r="AI109" s="140">
        <v>1.07957488172179E-2</v>
      </c>
      <c r="AJ109" s="140">
        <v>1.67495369559315E-3</v>
      </c>
    </row>
    <row r="110" spans="1:36">
      <c r="A110" s="2">
        <v>382</v>
      </c>
      <c r="B110" s="2">
        <v>1404</v>
      </c>
      <c r="C110" s="2" t="s">
        <v>1997</v>
      </c>
      <c r="D110" s="2" t="s">
        <v>1998</v>
      </c>
      <c r="E110" s="3" t="s">
        <v>1322</v>
      </c>
      <c r="F110" s="2" t="s">
        <v>1999</v>
      </c>
      <c r="G110" s="2" t="s">
        <v>2000</v>
      </c>
      <c r="H110" s="2" t="s">
        <v>184</v>
      </c>
      <c r="I110" s="2" t="s">
        <v>765</v>
      </c>
      <c r="J110" s="2" t="s">
        <v>30</v>
      </c>
      <c r="K110" s="2" t="s">
        <v>30</v>
      </c>
      <c r="L110" s="2" t="s">
        <v>337</v>
      </c>
      <c r="M110" s="2" t="s">
        <v>44</v>
      </c>
      <c r="N110" s="2" t="s">
        <v>472</v>
      </c>
      <c r="O110" s="2" t="s">
        <v>144</v>
      </c>
      <c r="P110" s="2" t="s">
        <v>1721</v>
      </c>
      <c r="Q110" s="2" t="s">
        <v>423</v>
      </c>
      <c r="R110" s="2" t="s">
        <v>417</v>
      </c>
      <c r="S110" s="2" t="s">
        <v>34</v>
      </c>
      <c r="T110" s="125">
        <v>1.39</v>
      </c>
      <c r="U110" s="2" t="s">
        <v>2001</v>
      </c>
      <c r="V110" s="138">
        <v>2.1499999999999998E-2</v>
      </c>
      <c r="W110" s="140">
        <v>2.581E-2</v>
      </c>
      <c r="X110" s="3" t="s">
        <v>422</v>
      </c>
      <c r="Y110" s="3" t="s">
        <v>144</v>
      </c>
      <c r="Z110" s="125">
        <v>64285.71</v>
      </c>
      <c r="AA110" s="134">
        <v>1</v>
      </c>
      <c r="AB110" s="151">
        <v>116.4</v>
      </c>
      <c r="AC110" s="2"/>
      <c r="AD110" s="125">
        <v>74.828999999999994</v>
      </c>
      <c r="AE110" s="2"/>
      <c r="AF110" s="2"/>
      <c r="AG110" s="2" t="s">
        <v>36</v>
      </c>
      <c r="AH110" s="140">
        <v>4.6E-5</v>
      </c>
      <c r="AI110" s="140">
        <v>1.77161787546978E-2</v>
      </c>
      <c r="AJ110" s="140">
        <v>2.7486540840635201E-3</v>
      </c>
    </row>
    <row r="111" spans="1:36">
      <c r="A111" s="2">
        <v>382</v>
      </c>
      <c r="B111" s="2">
        <v>1404</v>
      </c>
      <c r="C111" s="2" t="s">
        <v>2002</v>
      </c>
      <c r="D111" s="2" t="s">
        <v>2003</v>
      </c>
      <c r="E111" s="3" t="s">
        <v>1322</v>
      </c>
      <c r="F111" s="2" t="s">
        <v>2004</v>
      </c>
      <c r="G111" s="2" t="s">
        <v>2005</v>
      </c>
      <c r="H111" s="2" t="s">
        <v>184</v>
      </c>
      <c r="I111" s="2" t="s">
        <v>765</v>
      </c>
      <c r="J111" s="2" t="s">
        <v>30</v>
      </c>
      <c r="K111" s="2" t="s">
        <v>30</v>
      </c>
      <c r="L111" s="2" t="s">
        <v>337</v>
      </c>
      <c r="M111" s="2" t="s">
        <v>44</v>
      </c>
      <c r="N111" s="2" t="s">
        <v>486</v>
      </c>
      <c r="O111" s="2" t="s">
        <v>144</v>
      </c>
      <c r="P111" s="2" t="s">
        <v>1717</v>
      </c>
      <c r="Q111" s="2" t="s">
        <v>423</v>
      </c>
      <c r="R111" s="2" t="s">
        <v>417</v>
      </c>
      <c r="S111" s="2" t="s">
        <v>34</v>
      </c>
      <c r="T111" s="125">
        <v>3.395</v>
      </c>
      <c r="U111" s="2" t="s">
        <v>2006</v>
      </c>
      <c r="V111" s="138">
        <v>2.1999999999999999E-2</v>
      </c>
      <c r="W111" s="140">
        <v>2.8129999999999999E-2</v>
      </c>
      <c r="X111" s="3" t="s">
        <v>422</v>
      </c>
      <c r="Y111" s="3" t="s">
        <v>144</v>
      </c>
      <c r="Z111" s="125">
        <v>79333.36</v>
      </c>
      <c r="AA111" s="134">
        <v>1</v>
      </c>
      <c r="AB111" s="151">
        <v>104.57</v>
      </c>
      <c r="AC111" s="2"/>
      <c r="AD111" s="125">
        <v>82.959000000000003</v>
      </c>
      <c r="AE111" s="2"/>
      <c r="AF111" s="2"/>
      <c r="AG111" s="2" t="s">
        <v>36</v>
      </c>
      <c r="AH111" s="140">
        <v>1.2799999999999999E-4</v>
      </c>
      <c r="AI111" s="140">
        <v>1.96410899619976E-2</v>
      </c>
      <c r="AJ111" s="140">
        <v>3.0473028572929901E-3</v>
      </c>
    </row>
    <row r="112" spans="1:36">
      <c r="A112" s="2">
        <v>382</v>
      </c>
      <c r="B112" s="2">
        <v>7635</v>
      </c>
      <c r="C112" s="2" t="s">
        <v>1713</v>
      </c>
      <c r="D112" s="2" t="s">
        <v>1714</v>
      </c>
      <c r="E112" s="3" t="s">
        <v>1322</v>
      </c>
      <c r="F112" s="2" t="s">
        <v>1715</v>
      </c>
      <c r="G112" s="2" t="s">
        <v>1716</v>
      </c>
      <c r="H112" s="2" t="s">
        <v>184</v>
      </c>
      <c r="I112" s="2" t="s">
        <v>765</v>
      </c>
      <c r="J112" s="2" t="s">
        <v>30</v>
      </c>
      <c r="K112" s="2" t="s">
        <v>30</v>
      </c>
      <c r="L112" s="2" t="s">
        <v>337</v>
      </c>
      <c r="M112" s="2" t="s">
        <v>44</v>
      </c>
      <c r="N112" s="2" t="s">
        <v>472</v>
      </c>
      <c r="O112" s="2" t="s">
        <v>144</v>
      </c>
      <c r="P112" s="2" t="s">
        <v>1717</v>
      </c>
      <c r="Q112" s="2" t="s">
        <v>423</v>
      </c>
      <c r="R112" s="2" t="s">
        <v>417</v>
      </c>
      <c r="S112" s="2" t="s">
        <v>34</v>
      </c>
      <c r="T112" s="125">
        <v>1.9319999999999999</v>
      </c>
      <c r="U112" s="2" t="s">
        <v>1718</v>
      </c>
      <c r="V112" s="138">
        <v>2.3400000000000001E-2</v>
      </c>
      <c r="W112" s="140">
        <v>2.674E-2</v>
      </c>
      <c r="X112" s="3" t="s">
        <v>422</v>
      </c>
      <c r="Y112" s="3" t="s">
        <v>144</v>
      </c>
      <c r="Z112" s="125">
        <v>55752.2</v>
      </c>
      <c r="AA112" s="134">
        <v>1</v>
      </c>
      <c r="AB112" s="151">
        <v>116.51</v>
      </c>
      <c r="AC112" s="2"/>
      <c r="AD112" s="125">
        <v>64.956999999999994</v>
      </c>
      <c r="AE112" s="2"/>
      <c r="AF112" s="2"/>
      <c r="AG112" s="2" t="s">
        <v>36</v>
      </c>
      <c r="AH112" s="140">
        <v>2.5999999999999998E-5</v>
      </c>
      <c r="AI112" s="140">
        <v>1.8908821410860099E-2</v>
      </c>
      <c r="AJ112" s="140">
        <v>3.5294796607478699E-3</v>
      </c>
    </row>
    <row r="113" spans="1:36">
      <c r="A113" s="2">
        <v>382</v>
      </c>
      <c r="B113" s="2">
        <v>7635</v>
      </c>
      <c r="C113" s="2" t="s">
        <v>1713</v>
      </c>
      <c r="D113" s="2" t="s">
        <v>1714</v>
      </c>
      <c r="E113" s="3" t="s">
        <v>1322</v>
      </c>
      <c r="F113" s="2" t="s">
        <v>1959</v>
      </c>
      <c r="G113" s="2" t="s">
        <v>1960</v>
      </c>
      <c r="H113" s="2" t="s">
        <v>184</v>
      </c>
      <c r="I113" s="2" t="s">
        <v>977</v>
      </c>
      <c r="J113" s="2" t="s">
        <v>30</v>
      </c>
      <c r="K113" s="2" t="s">
        <v>30</v>
      </c>
      <c r="L113" s="2" t="s">
        <v>337</v>
      </c>
      <c r="M113" s="2" t="s">
        <v>44</v>
      </c>
      <c r="N113" s="2" t="s">
        <v>472</v>
      </c>
      <c r="O113" s="2" t="s">
        <v>144</v>
      </c>
      <c r="P113" s="2" t="s">
        <v>1717</v>
      </c>
      <c r="Q113" s="2" t="s">
        <v>423</v>
      </c>
      <c r="R113" s="2" t="s">
        <v>417</v>
      </c>
      <c r="S113" s="2" t="s">
        <v>34</v>
      </c>
      <c r="T113" s="125">
        <v>2.5049999999999999</v>
      </c>
      <c r="U113" s="2" t="s">
        <v>1768</v>
      </c>
      <c r="V113" s="138">
        <v>0.05</v>
      </c>
      <c r="W113" s="140">
        <v>4.9320000000000003E-2</v>
      </c>
      <c r="X113" s="3" t="s">
        <v>422</v>
      </c>
      <c r="Y113" s="3" t="s">
        <v>144</v>
      </c>
      <c r="Z113" s="125">
        <v>30000</v>
      </c>
      <c r="AA113" s="134">
        <v>1</v>
      </c>
      <c r="AB113" s="151">
        <v>101.17</v>
      </c>
      <c r="AC113" s="2"/>
      <c r="AD113" s="125">
        <v>30.350999999999999</v>
      </c>
      <c r="AE113" s="2"/>
      <c r="AF113" s="2"/>
      <c r="AG113" s="2" t="s">
        <v>36</v>
      </c>
      <c r="AH113" s="140">
        <v>7.4999999999999993E-5</v>
      </c>
      <c r="AI113" s="140">
        <v>8.8351159417811003E-3</v>
      </c>
      <c r="AJ113" s="140">
        <v>1.6491436107676E-3</v>
      </c>
    </row>
    <row r="114" spans="1:36">
      <c r="A114" s="2">
        <v>382</v>
      </c>
      <c r="B114" s="2">
        <v>7635</v>
      </c>
      <c r="C114" s="2" t="s">
        <v>2007</v>
      </c>
      <c r="D114" s="2" t="s">
        <v>2008</v>
      </c>
      <c r="E114" s="3" t="s">
        <v>1322</v>
      </c>
      <c r="F114" s="2" t="s">
        <v>2009</v>
      </c>
      <c r="G114" s="2" t="s">
        <v>2010</v>
      </c>
      <c r="H114" s="2" t="s">
        <v>184</v>
      </c>
      <c r="I114" s="2" t="s">
        <v>977</v>
      </c>
      <c r="J114" s="2" t="s">
        <v>30</v>
      </c>
      <c r="K114" s="2" t="s">
        <v>30</v>
      </c>
      <c r="L114" s="2" t="s">
        <v>337</v>
      </c>
      <c r="M114" s="2" t="s">
        <v>44</v>
      </c>
      <c r="N114" s="2" t="s">
        <v>486</v>
      </c>
      <c r="O114" s="2" t="s">
        <v>144</v>
      </c>
      <c r="P114" s="2" t="s">
        <v>1730</v>
      </c>
      <c r="Q114" s="2" t="s">
        <v>423</v>
      </c>
      <c r="R114" s="2" t="s">
        <v>417</v>
      </c>
      <c r="S114" s="2" t="s">
        <v>34</v>
      </c>
      <c r="T114" s="125">
        <v>0.996</v>
      </c>
      <c r="U114" s="2" t="s">
        <v>2011</v>
      </c>
      <c r="V114" s="138">
        <v>3.2500000000000001E-2</v>
      </c>
      <c r="W114" s="140">
        <v>5.2060000000000002E-2</v>
      </c>
      <c r="X114" s="3" t="s">
        <v>422</v>
      </c>
      <c r="Y114" s="3" t="s">
        <v>144</v>
      </c>
      <c r="Z114" s="125">
        <v>11860.8</v>
      </c>
      <c r="AA114" s="134">
        <v>1</v>
      </c>
      <c r="AB114" s="151">
        <v>98.87</v>
      </c>
      <c r="AC114" s="2"/>
      <c r="AD114" s="125">
        <v>11.727</v>
      </c>
      <c r="AE114" s="2"/>
      <c r="AF114" s="2"/>
      <c r="AG114" s="2" t="s">
        <v>36</v>
      </c>
      <c r="AH114" s="140">
        <v>3.1999999999999999E-5</v>
      </c>
      <c r="AI114" s="140">
        <v>3.4136403652118099E-3</v>
      </c>
      <c r="AJ114" s="140">
        <v>6.3718271891886002E-4</v>
      </c>
    </row>
    <row r="115" spans="1:36">
      <c r="A115" s="2">
        <v>382</v>
      </c>
      <c r="B115" s="2">
        <v>7635</v>
      </c>
      <c r="C115" s="2" t="s">
        <v>1514</v>
      </c>
      <c r="D115" s="2" t="s">
        <v>1515</v>
      </c>
      <c r="E115" s="3" t="s">
        <v>1322</v>
      </c>
      <c r="F115" s="2" t="s">
        <v>1964</v>
      </c>
      <c r="G115" s="2" t="s">
        <v>1965</v>
      </c>
      <c r="H115" s="2" t="s">
        <v>184</v>
      </c>
      <c r="I115" s="2" t="s">
        <v>977</v>
      </c>
      <c r="J115" s="2" t="s">
        <v>30</v>
      </c>
      <c r="K115" s="2" t="s">
        <v>30</v>
      </c>
      <c r="L115" s="2" t="s">
        <v>337</v>
      </c>
      <c r="M115" s="2" t="s">
        <v>44</v>
      </c>
      <c r="N115" s="2" t="s">
        <v>472</v>
      </c>
      <c r="O115" s="2" t="s">
        <v>144</v>
      </c>
      <c r="P115" s="2" t="s">
        <v>1721</v>
      </c>
      <c r="Q115" s="2" t="s">
        <v>423</v>
      </c>
      <c r="R115" s="2" t="s">
        <v>417</v>
      </c>
      <c r="S115" s="2" t="s">
        <v>34</v>
      </c>
      <c r="T115" s="125">
        <v>1.099</v>
      </c>
      <c r="U115" s="2" t="s">
        <v>1966</v>
      </c>
      <c r="V115" s="138">
        <v>3.85E-2</v>
      </c>
      <c r="W115" s="140">
        <v>5.1720000000000002E-2</v>
      </c>
      <c r="X115" s="3" t="s">
        <v>422</v>
      </c>
      <c r="Y115" s="3" t="s">
        <v>144</v>
      </c>
      <c r="Z115" s="125">
        <v>28250</v>
      </c>
      <c r="AA115" s="134">
        <v>1</v>
      </c>
      <c r="AB115" s="151">
        <v>101.79</v>
      </c>
      <c r="AC115" s="2"/>
      <c r="AD115" s="125">
        <v>28.756</v>
      </c>
      <c r="AE115" s="2"/>
      <c r="AF115" s="2"/>
      <c r="AG115" s="2" t="s">
        <v>36</v>
      </c>
      <c r="AH115" s="140">
        <v>6.0000000000000002E-5</v>
      </c>
      <c r="AI115" s="140">
        <v>8.3707199963485995E-3</v>
      </c>
      <c r="AJ115" s="140">
        <v>1.5624604691627901E-3</v>
      </c>
    </row>
    <row r="116" spans="1:36">
      <c r="A116" s="2">
        <v>382</v>
      </c>
      <c r="B116" s="2">
        <v>7635</v>
      </c>
      <c r="C116" s="2" t="s">
        <v>1514</v>
      </c>
      <c r="D116" s="2" t="s">
        <v>1515</v>
      </c>
      <c r="E116" s="3" t="s">
        <v>1322</v>
      </c>
      <c r="F116" s="2" t="s">
        <v>1719</v>
      </c>
      <c r="G116" s="2" t="s">
        <v>1720</v>
      </c>
      <c r="H116" s="2" t="s">
        <v>184</v>
      </c>
      <c r="I116" s="2" t="s">
        <v>765</v>
      </c>
      <c r="J116" s="2" t="s">
        <v>30</v>
      </c>
      <c r="K116" s="2" t="s">
        <v>30</v>
      </c>
      <c r="L116" s="2" t="s">
        <v>337</v>
      </c>
      <c r="M116" s="2" t="s">
        <v>44</v>
      </c>
      <c r="N116" s="2" t="s">
        <v>472</v>
      </c>
      <c r="O116" s="2" t="s">
        <v>144</v>
      </c>
      <c r="P116" s="2" t="s">
        <v>1721</v>
      </c>
      <c r="Q116" s="2" t="s">
        <v>423</v>
      </c>
      <c r="R116" s="2" t="s">
        <v>417</v>
      </c>
      <c r="S116" s="2" t="s">
        <v>34</v>
      </c>
      <c r="T116" s="125">
        <v>6.7370000000000001</v>
      </c>
      <c r="U116" s="2" t="s">
        <v>1722</v>
      </c>
      <c r="V116" s="138">
        <v>2.5600000000000001E-2</v>
      </c>
      <c r="W116" s="140">
        <v>3.4340000000000002E-2</v>
      </c>
      <c r="X116" s="3" t="s">
        <v>422</v>
      </c>
      <c r="Y116" s="3" t="s">
        <v>144</v>
      </c>
      <c r="Z116" s="125">
        <v>15000</v>
      </c>
      <c r="AA116" s="134">
        <v>1</v>
      </c>
      <c r="AB116" s="151">
        <v>103.64</v>
      </c>
      <c r="AC116" s="2"/>
      <c r="AD116" s="125">
        <v>15.545999999999999</v>
      </c>
      <c r="AE116" s="2"/>
      <c r="AF116" s="2"/>
      <c r="AG116" s="2" t="s">
        <v>36</v>
      </c>
      <c r="AH116" s="140">
        <v>1.4E-5</v>
      </c>
      <c r="AI116" s="140">
        <v>4.5254097865285803E-3</v>
      </c>
      <c r="AJ116" s="140">
        <v>8.4470319175622497E-4</v>
      </c>
    </row>
    <row r="117" spans="1:36">
      <c r="A117" s="2">
        <v>382</v>
      </c>
      <c r="B117" s="2">
        <v>7635</v>
      </c>
      <c r="C117" s="2" t="s">
        <v>1514</v>
      </c>
      <c r="D117" s="2" t="s">
        <v>1515</v>
      </c>
      <c r="E117" s="3" t="s">
        <v>1322</v>
      </c>
      <c r="F117" s="2" t="s">
        <v>1723</v>
      </c>
      <c r="G117" s="2" t="s">
        <v>1724</v>
      </c>
      <c r="H117" s="2" t="s">
        <v>184</v>
      </c>
      <c r="I117" s="2" t="s">
        <v>977</v>
      </c>
      <c r="J117" s="2" t="s">
        <v>30</v>
      </c>
      <c r="K117" s="2" t="s">
        <v>30</v>
      </c>
      <c r="L117" s="2" t="s">
        <v>337</v>
      </c>
      <c r="M117" s="2" t="s">
        <v>44</v>
      </c>
      <c r="N117" s="2" t="s">
        <v>472</v>
      </c>
      <c r="O117" s="2" t="s">
        <v>144</v>
      </c>
      <c r="P117" s="2" t="s">
        <v>1721</v>
      </c>
      <c r="Q117" s="2" t="s">
        <v>423</v>
      </c>
      <c r="R117" s="2" t="s">
        <v>417</v>
      </c>
      <c r="S117" s="2" t="s">
        <v>34</v>
      </c>
      <c r="T117" s="125">
        <v>4.0880000000000001</v>
      </c>
      <c r="U117" s="2" t="s">
        <v>1725</v>
      </c>
      <c r="V117" s="138">
        <v>2.41E-2</v>
      </c>
      <c r="W117" s="140">
        <v>5.2479999999999999E-2</v>
      </c>
      <c r="X117" s="3" t="s">
        <v>422</v>
      </c>
      <c r="Y117" s="3" t="s">
        <v>144</v>
      </c>
      <c r="Z117" s="125">
        <v>32760</v>
      </c>
      <c r="AA117" s="134">
        <v>1</v>
      </c>
      <c r="AB117" s="151">
        <v>91.16</v>
      </c>
      <c r="AC117" s="2"/>
      <c r="AD117" s="125">
        <v>29.864000000000001</v>
      </c>
      <c r="AE117" s="2"/>
      <c r="AF117" s="2"/>
      <c r="AG117" s="2" t="s">
        <v>36</v>
      </c>
      <c r="AH117" s="140">
        <v>1.5999999999999999E-5</v>
      </c>
      <c r="AI117" s="140">
        <v>8.6933558646240892E-3</v>
      </c>
      <c r="AJ117" s="140">
        <v>1.6226829817225601E-3</v>
      </c>
    </row>
    <row r="118" spans="1:36">
      <c r="A118" s="2">
        <v>382</v>
      </c>
      <c r="B118" s="2">
        <v>7635</v>
      </c>
      <c r="C118" s="2" t="s">
        <v>1514</v>
      </c>
      <c r="D118" s="2" t="s">
        <v>1515</v>
      </c>
      <c r="E118" s="3" t="s">
        <v>1322</v>
      </c>
      <c r="F118" s="2" t="s">
        <v>2012</v>
      </c>
      <c r="G118" s="2" t="s">
        <v>2013</v>
      </c>
      <c r="H118" s="2" t="s">
        <v>184</v>
      </c>
      <c r="I118" s="2" t="s">
        <v>977</v>
      </c>
      <c r="J118" s="2" t="s">
        <v>30</v>
      </c>
      <c r="K118" s="2" t="s">
        <v>30</v>
      </c>
      <c r="L118" s="2" t="s">
        <v>337</v>
      </c>
      <c r="M118" s="2" t="s">
        <v>44</v>
      </c>
      <c r="N118" s="2" t="s">
        <v>472</v>
      </c>
      <c r="O118" s="2" t="s">
        <v>144</v>
      </c>
      <c r="P118" s="2" t="s">
        <v>1721</v>
      </c>
      <c r="Q118" s="2" t="s">
        <v>423</v>
      </c>
      <c r="R118" s="2" t="s">
        <v>417</v>
      </c>
      <c r="S118" s="2" t="s">
        <v>34</v>
      </c>
      <c r="T118" s="125">
        <v>6.0979999999999999</v>
      </c>
      <c r="U118" s="2" t="s">
        <v>1722</v>
      </c>
      <c r="V118" s="138">
        <v>4.9399999999999999E-2</v>
      </c>
      <c r="W118" s="140">
        <v>5.6329999999999998E-2</v>
      </c>
      <c r="X118" s="3" t="s">
        <v>422</v>
      </c>
      <c r="Y118" s="3" t="s">
        <v>144</v>
      </c>
      <c r="Z118" s="125">
        <v>15495</v>
      </c>
      <c r="AA118" s="134">
        <v>1</v>
      </c>
      <c r="AB118" s="151">
        <v>100</v>
      </c>
      <c r="AC118" s="2"/>
      <c r="AD118" s="125">
        <v>15.494999999999999</v>
      </c>
      <c r="AE118" s="2"/>
      <c r="AF118" s="2"/>
      <c r="AG118" s="2" t="s">
        <v>36</v>
      </c>
      <c r="AH118" s="140">
        <v>1.1E-5</v>
      </c>
      <c r="AI118" s="140">
        <v>4.5105637876148401E-3</v>
      </c>
      <c r="AJ118" s="140">
        <v>8.4193206974544595E-4</v>
      </c>
    </row>
    <row r="119" spans="1:36">
      <c r="A119" s="2">
        <v>382</v>
      </c>
      <c r="B119" s="2">
        <v>7635</v>
      </c>
      <c r="C119" s="2" t="s">
        <v>1726</v>
      </c>
      <c r="D119" s="2" t="s">
        <v>1727</v>
      </c>
      <c r="E119" s="3" t="s">
        <v>1322</v>
      </c>
      <c r="F119" s="2" t="s">
        <v>1728</v>
      </c>
      <c r="G119" s="2" t="s">
        <v>1729</v>
      </c>
      <c r="H119" s="2" t="s">
        <v>184</v>
      </c>
      <c r="I119" s="2" t="s">
        <v>977</v>
      </c>
      <c r="J119" s="2" t="s">
        <v>30</v>
      </c>
      <c r="K119" s="2" t="s">
        <v>30</v>
      </c>
      <c r="L119" s="2" t="s">
        <v>337</v>
      </c>
      <c r="M119" s="2" t="s">
        <v>44</v>
      </c>
      <c r="N119" s="2" t="s">
        <v>459</v>
      </c>
      <c r="O119" s="2" t="s">
        <v>144</v>
      </c>
      <c r="P119" s="2" t="s">
        <v>1730</v>
      </c>
      <c r="Q119" s="2" t="s">
        <v>423</v>
      </c>
      <c r="R119" s="2" t="s">
        <v>417</v>
      </c>
      <c r="S119" s="2" t="s">
        <v>34</v>
      </c>
      <c r="T119" s="125">
        <v>0.97499999999999998</v>
      </c>
      <c r="U119" s="2" t="s">
        <v>1731</v>
      </c>
      <c r="V119" s="138">
        <v>0.04</v>
      </c>
      <c r="W119" s="140">
        <v>4.614E-2</v>
      </c>
      <c r="X119" s="3" t="s">
        <v>422</v>
      </c>
      <c r="Y119" s="3" t="s">
        <v>144</v>
      </c>
      <c r="Z119" s="125">
        <v>8233.35</v>
      </c>
      <c r="AA119" s="134">
        <v>1</v>
      </c>
      <c r="AB119" s="151">
        <v>99.49</v>
      </c>
      <c r="AC119" s="2"/>
      <c r="AD119" s="125">
        <v>8.1910000000000007</v>
      </c>
      <c r="AE119" s="2"/>
      <c r="AF119" s="2"/>
      <c r="AG119" s="2" t="s">
        <v>36</v>
      </c>
      <c r="AH119" s="140">
        <v>6.2000000000000003E-5</v>
      </c>
      <c r="AI119" s="140">
        <v>2.3844886352964701E-3</v>
      </c>
      <c r="AJ119" s="140">
        <v>4.4508348546407398E-4</v>
      </c>
    </row>
    <row r="120" spans="1:36">
      <c r="A120" s="2">
        <v>382</v>
      </c>
      <c r="B120" s="2">
        <v>7635</v>
      </c>
      <c r="C120" s="2" t="s">
        <v>1726</v>
      </c>
      <c r="D120" s="2" t="s">
        <v>1727</v>
      </c>
      <c r="E120" s="3" t="s">
        <v>1322</v>
      </c>
      <c r="F120" s="2" t="s">
        <v>1732</v>
      </c>
      <c r="G120" s="2" t="s">
        <v>1733</v>
      </c>
      <c r="H120" s="2" t="s">
        <v>184</v>
      </c>
      <c r="I120" s="2" t="s">
        <v>977</v>
      </c>
      <c r="J120" s="2" t="s">
        <v>30</v>
      </c>
      <c r="K120" s="2" t="s">
        <v>30</v>
      </c>
      <c r="L120" s="2" t="s">
        <v>337</v>
      </c>
      <c r="M120" s="2" t="s">
        <v>44</v>
      </c>
      <c r="N120" s="2" t="s">
        <v>459</v>
      </c>
      <c r="O120" s="2" t="s">
        <v>144</v>
      </c>
      <c r="P120" s="2" t="s">
        <v>1730</v>
      </c>
      <c r="Q120" s="2" t="s">
        <v>423</v>
      </c>
      <c r="R120" s="2" t="s">
        <v>417</v>
      </c>
      <c r="S120" s="2" t="s">
        <v>34</v>
      </c>
      <c r="T120" s="125">
        <v>2.7090000000000001</v>
      </c>
      <c r="U120" s="2" t="s">
        <v>1734</v>
      </c>
      <c r="V120" s="138">
        <v>0.04</v>
      </c>
      <c r="W120" s="140">
        <v>5.1769999999999997E-2</v>
      </c>
      <c r="X120" s="3" t="s">
        <v>422</v>
      </c>
      <c r="Y120" s="3" t="s">
        <v>144</v>
      </c>
      <c r="Z120" s="125">
        <v>26250</v>
      </c>
      <c r="AA120" s="134">
        <v>1</v>
      </c>
      <c r="AB120" s="151">
        <v>98.91</v>
      </c>
      <c r="AC120" s="2"/>
      <c r="AD120" s="125">
        <v>25.963999999999999</v>
      </c>
      <c r="AE120" s="2"/>
      <c r="AF120" s="2"/>
      <c r="AG120" s="2" t="s">
        <v>36</v>
      </c>
      <c r="AH120" s="140">
        <v>3.8999999999999999E-5</v>
      </c>
      <c r="AI120" s="140">
        <v>7.5580325499295499E-3</v>
      </c>
      <c r="AJ120" s="140">
        <v>1.41076599014921E-3</v>
      </c>
    </row>
    <row r="121" spans="1:36">
      <c r="A121" s="2">
        <v>382</v>
      </c>
      <c r="B121" s="2">
        <v>7635</v>
      </c>
      <c r="C121" s="2" t="s">
        <v>1518</v>
      </c>
      <c r="D121" s="2" t="s">
        <v>1519</v>
      </c>
      <c r="E121" s="3" t="s">
        <v>1322</v>
      </c>
      <c r="F121" s="2" t="s">
        <v>1735</v>
      </c>
      <c r="G121" s="2" t="s">
        <v>1736</v>
      </c>
      <c r="H121" s="2" t="s">
        <v>184</v>
      </c>
      <c r="I121" s="2" t="s">
        <v>765</v>
      </c>
      <c r="J121" s="2" t="s">
        <v>30</v>
      </c>
      <c r="K121" s="2" t="s">
        <v>30</v>
      </c>
      <c r="L121" s="2" t="s">
        <v>337</v>
      </c>
      <c r="M121" s="2" t="s">
        <v>44</v>
      </c>
      <c r="N121" s="2" t="s">
        <v>472</v>
      </c>
      <c r="O121" s="2" t="s">
        <v>144</v>
      </c>
      <c r="P121" s="2" t="s">
        <v>1717</v>
      </c>
      <c r="Q121" s="2" t="s">
        <v>423</v>
      </c>
      <c r="R121" s="2" t="s">
        <v>417</v>
      </c>
      <c r="S121" s="2" t="s">
        <v>34</v>
      </c>
      <c r="T121" s="125">
        <v>1.929</v>
      </c>
      <c r="U121" s="2" t="s">
        <v>1737</v>
      </c>
      <c r="V121" s="138">
        <v>3.2000000000000001E-2</v>
      </c>
      <c r="W121" s="140">
        <v>2.4420000000000001E-2</v>
      </c>
      <c r="X121" s="3" t="s">
        <v>422</v>
      </c>
      <c r="Y121" s="3" t="s">
        <v>144</v>
      </c>
      <c r="Z121" s="125">
        <v>36000</v>
      </c>
      <c r="AA121" s="134">
        <v>1</v>
      </c>
      <c r="AB121" s="151">
        <v>118.5</v>
      </c>
      <c r="AC121" s="2"/>
      <c r="AD121" s="125">
        <v>42.66</v>
      </c>
      <c r="AE121" s="2"/>
      <c r="AF121" s="2"/>
      <c r="AG121" s="2" t="s">
        <v>36</v>
      </c>
      <c r="AH121" s="140">
        <v>6.4999999999999994E-5</v>
      </c>
      <c r="AI121" s="140">
        <v>1.24182414443142E-2</v>
      </c>
      <c r="AJ121" s="140">
        <v>2.3179620584279298E-3</v>
      </c>
    </row>
    <row r="122" spans="1:36">
      <c r="A122" s="2">
        <v>382</v>
      </c>
      <c r="B122" s="2">
        <v>7635</v>
      </c>
      <c r="C122" s="2" t="s">
        <v>1518</v>
      </c>
      <c r="D122" s="2" t="s">
        <v>1519</v>
      </c>
      <c r="E122" s="3" t="s">
        <v>1322</v>
      </c>
      <c r="F122" s="2" t="s">
        <v>2014</v>
      </c>
      <c r="G122" s="2" t="s">
        <v>2015</v>
      </c>
      <c r="H122" s="2" t="s">
        <v>184</v>
      </c>
      <c r="I122" s="2" t="s">
        <v>977</v>
      </c>
      <c r="J122" s="2" t="s">
        <v>30</v>
      </c>
      <c r="K122" s="2" t="s">
        <v>30</v>
      </c>
      <c r="L122" s="2" t="s">
        <v>337</v>
      </c>
      <c r="M122" s="2" t="s">
        <v>44</v>
      </c>
      <c r="N122" s="2" t="s">
        <v>472</v>
      </c>
      <c r="O122" s="2" t="s">
        <v>144</v>
      </c>
      <c r="P122" s="2" t="s">
        <v>1717</v>
      </c>
      <c r="Q122" s="2" t="s">
        <v>423</v>
      </c>
      <c r="R122" s="2" t="s">
        <v>417</v>
      </c>
      <c r="S122" s="2" t="s">
        <v>34</v>
      </c>
      <c r="T122" s="125">
        <v>1.0049999999999999</v>
      </c>
      <c r="U122" s="2" t="s">
        <v>2016</v>
      </c>
      <c r="V122" s="138">
        <v>3.39E-2</v>
      </c>
      <c r="W122" s="140">
        <v>4.4290000000000003E-2</v>
      </c>
      <c r="X122" s="3" t="s">
        <v>422</v>
      </c>
      <c r="Y122" s="3" t="s">
        <v>144</v>
      </c>
      <c r="Z122" s="125">
        <v>10000</v>
      </c>
      <c r="AA122" s="134">
        <v>1</v>
      </c>
      <c r="AB122" s="151">
        <v>98.97</v>
      </c>
      <c r="AC122" s="125">
        <v>10.656000000000001</v>
      </c>
      <c r="AD122" s="125">
        <v>20.553000000000001</v>
      </c>
      <c r="AE122" s="2"/>
      <c r="AF122" s="2"/>
      <c r="AG122" s="2" t="s">
        <v>36</v>
      </c>
      <c r="AH122" s="140">
        <v>6.0999999999999999E-5</v>
      </c>
      <c r="AI122" s="140">
        <v>5.9830831112450298E-3</v>
      </c>
      <c r="AJ122" s="140">
        <v>1.11678933820671E-3</v>
      </c>
    </row>
    <row r="123" spans="1:36">
      <c r="A123" s="2">
        <v>382</v>
      </c>
      <c r="B123" s="2">
        <v>7635</v>
      </c>
      <c r="C123" s="2" t="s">
        <v>1518</v>
      </c>
      <c r="D123" s="2" t="s">
        <v>1519</v>
      </c>
      <c r="E123" s="3" t="s">
        <v>1322</v>
      </c>
      <c r="F123" s="2" t="s">
        <v>2017</v>
      </c>
      <c r="G123" s="2" t="s">
        <v>2018</v>
      </c>
      <c r="H123" s="2" t="s">
        <v>184</v>
      </c>
      <c r="I123" s="2" t="s">
        <v>977</v>
      </c>
      <c r="J123" s="2" t="s">
        <v>30</v>
      </c>
      <c r="K123" s="2" t="s">
        <v>30</v>
      </c>
      <c r="L123" s="2" t="s">
        <v>337</v>
      </c>
      <c r="M123" s="2" t="s">
        <v>44</v>
      </c>
      <c r="N123" s="2" t="s">
        <v>472</v>
      </c>
      <c r="O123" s="2" t="s">
        <v>144</v>
      </c>
      <c r="P123" s="2" t="s">
        <v>1717</v>
      </c>
      <c r="Q123" s="2" t="s">
        <v>423</v>
      </c>
      <c r="R123" s="2" t="s">
        <v>417</v>
      </c>
      <c r="S123" s="2" t="s">
        <v>34</v>
      </c>
      <c r="T123" s="125">
        <v>5.1589999999999998</v>
      </c>
      <c r="U123" s="2" t="s">
        <v>2019</v>
      </c>
      <c r="V123" s="138">
        <v>2.4400000000000002E-2</v>
      </c>
      <c r="W123" s="140">
        <v>5.0599999999999999E-2</v>
      </c>
      <c r="X123" s="3" t="s">
        <v>422</v>
      </c>
      <c r="Y123" s="3" t="s">
        <v>144</v>
      </c>
      <c r="Z123" s="125">
        <v>40000</v>
      </c>
      <c r="AA123" s="134">
        <v>1</v>
      </c>
      <c r="AB123" s="151">
        <v>87.69</v>
      </c>
      <c r="AC123" s="125">
        <v>0.96799999999999997</v>
      </c>
      <c r="AD123" s="125">
        <v>36.043999999999997</v>
      </c>
      <c r="AE123" s="2"/>
      <c r="AF123" s="2"/>
      <c r="AG123" s="2" t="s">
        <v>36</v>
      </c>
      <c r="AH123" s="140">
        <v>3.3000000000000003E-5</v>
      </c>
      <c r="AI123" s="140">
        <v>1.04921914087703E-2</v>
      </c>
      <c r="AJ123" s="140">
        <v>1.9584497293236502E-3</v>
      </c>
    </row>
    <row r="124" spans="1:36">
      <c r="A124" s="2">
        <v>382</v>
      </c>
      <c r="B124" s="2">
        <v>7635</v>
      </c>
      <c r="C124" s="2" t="s">
        <v>1522</v>
      </c>
      <c r="D124" s="2" t="s">
        <v>1523</v>
      </c>
      <c r="E124" s="3" t="s">
        <v>1322</v>
      </c>
      <c r="F124" s="2" t="s">
        <v>1738</v>
      </c>
      <c r="G124" s="2" t="s">
        <v>1739</v>
      </c>
      <c r="H124" s="2" t="s">
        <v>184</v>
      </c>
      <c r="I124" s="2" t="s">
        <v>977</v>
      </c>
      <c r="J124" s="2" t="s">
        <v>30</v>
      </c>
      <c r="K124" s="2" t="s">
        <v>94</v>
      </c>
      <c r="L124" s="2" t="s">
        <v>337</v>
      </c>
      <c r="M124" s="2" t="s">
        <v>44</v>
      </c>
      <c r="N124" s="2" t="s">
        <v>449</v>
      </c>
      <c r="O124" s="2" t="s">
        <v>144</v>
      </c>
      <c r="P124" s="2" t="s">
        <v>1740</v>
      </c>
      <c r="Q124" s="2" t="s">
        <v>425</v>
      </c>
      <c r="R124" s="2" t="s">
        <v>417</v>
      </c>
      <c r="S124" s="2" t="s">
        <v>34</v>
      </c>
      <c r="T124" s="125">
        <v>1.4850000000000001</v>
      </c>
      <c r="U124" s="2" t="s">
        <v>1741</v>
      </c>
      <c r="V124" s="138">
        <v>3.4500000000000003E-2</v>
      </c>
      <c r="W124" s="140">
        <v>5.194E-2</v>
      </c>
      <c r="X124" s="3" t="s">
        <v>422</v>
      </c>
      <c r="Y124" s="3" t="s">
        <v>144</v>
      </c>
      <c r="Z124" s="125">
        <v>40626.6</v>
      </c>
      <c r="AA124" s="134">
        <v>1</v>
      </c>
      <c r="AB124" s="151">
        <v>98.71</v>
      </c>
      <c r="AC124" s="2"/>
      <c r="AD124" s="125">
        <v>40.103000000000002</v>
      </c>
      <c r="AE124" s="2"/>
      <c r="AF124" s="2"/>
      <c r="AG124" s="2" t="s">
        <v>36</v>
      </c>
      <c r="AH124" s="140">
        <v>6.3E-5</v>
      </c>
      <c r="AI124" s="140">
        <v>1.16737631714056E-2</v>
      </c>
      <c r="AJ124" s="140">
        <v>2.1789993560465599E-3</v>
      </c>
    </row>
    <row r="125" spans="1:36">
      <c r="A125" s="2">
        <v>382</v>
      </c>
      <c r="B125" s="2">
        <v>7635</v>
      </c>
      <c r="C125" s="2" t="s">
        <v>1742</v>
      </c>
      <c r="D125" s="2" t="s">
        <v>1743</v>
      </c>
      <c r="E125" s="3" t="s">
        <v>1322</v>
      </c>
      <c r="F125" s="2" t="s">
        <v>1744</v>
      </c>
      <c r="G125" s="2" t="s">
        <v>1745</v>
      </c>
      <c r="H125" s="2" t="s">
        <v>184</v>
      </c>
      <c r="I125" s="2" t="s">
        <v>766</v>
      </c>
      <c r="J125" s="2" t="s">
        <v>30</v>
      </c>
      <c r="K125" s="2" t="s">
        <v>30</v>
      </c>
      <c r="L125" s="2" t="s">
        <v>337</v>
      </c>
      <c r="M125" s="2" t="s">
        <v>44</v>
      </c>
      <c r="N125" s="2" t="s">
        <v>448</v>
      </c>
      <c r="O125" s="2" t="s">
        <v>144</v>
      </c>
      <c r="P125" s="2" t="s">
        <v>1730</v>
      </c>
      <c r="Q125" s="2" t="s">
        <v>423</v>
      </c>
      <c r="R125" s="2" t="s">
        <v>417</v>
      </c>
      <c r="S125" s="2" t="s">
        <v>34</v>
      </c>
      <c r="T125" s="125">
        <v>0.48499999999999999</v>
      </c>
      <c r="U125" s="2" t="s">
        <v>1746</v>
      </c>
      <c r="V125" s="138">
        <v>4.7E-2</v>
      </c>
      <c r="W125" s="140">
        <v>5.704E-2</v>
      </c>
      <c r="X125" s="3" t="s">
        <v>422</v>
      </c>
      <c r="Y125" s="3" t="s">
        <v>144</v>
      </c>
      <c r="Z125" s="125">
        <v>24000</v>
      </c>
      <c r="AA125" s="134">
        <v>1</v>
      </c>
      <c r="AB125" s="151">
        <v>100.61</v>
      </c>
      <c r="AC125" s="2"/>
      <c r="AD125" s="125">
        <v>24.146000000000001</v>
      </c>
      <c r="AE125" s="2"/>
      <c r="AF125" s="2"/>
      <c r="AG125" s="2" t="s">
        <v>36</v>
      </c>
      <c r="AH125" s="140">
        <v>9.7999999999999997E-5</v>
      </c>
      <c r="AI125" s="140">
        <v>7.02896917981691E-3</v>
      </c>
      <c r="AJ125" s="140">
        <v>1.3120121670798001E-3</v>
      </c>
    </row>
    <row r="126" spans="1:36">
      <c r="A126" s="2">
        <v>382</v>
      </c>
      <c r="B126" s="2">
        <v>7635</v>
      </c>
      <c r="C126" s="2" t="s">
        <v>1747</v>
      </c>
      <c r="D126" s="2" t="s">
        <v>1748</v>
      </c>
      <c r="E126" s="3" t="s">
        <v>1322</v>
      </c>
      <c r="F126" s="2" t="s">
        <v>1755</v>
      </c>
      <c r="G126" s="2" t="s">
        <v>1756</v>
      </c>
      <c r="H126" s="2" t="s">
        <v>184</v>
      </c>
      <c r="I126" s="2" t="s">
        <v>765</v>
      </c>
      <c r="J126" s="2" t="s">
        <v>30</v>
      </c>
      <c r="K126" s="2" t="s">
        <v>30</v>
      </c>
      <c r="L126" s="2" t="s">
        <v>337</v>
      </c>
      <c r="M126" s="2" t="s">
        <v>44</v>
      </c>
      <c r="N126" s="2" t="s">
        <v>472</v>
      </c>
      <c r="O126" s="2" t="s">
        <v>144</v>
      </c>
      <c r="P126" s="2" t="s">
        <v>1721</v>
      </c>
      <c r="Q126" s="2" t="s">
        <v>423</v>
      </c>
      <c r="R126" s="2" t="s">
        <v>417</v>
      </c>
      <c r="S126" s="2" t="s">
        <v>34</v>
      </c>
      <c r="T126" s="125">
        <v>5.1269999999999998</v>
      </c>
      <c r="U126" s="2" t="s">
        <v>1757</v>
      </c>
      <c r="V126" s="138">
        <v>1.8700000000000001E-2</v>
      </c>
      <c r="W126" s="140">
        <v>3.0720000000000001E-2</v>
      </c>
      <c r="X126" s="3" t="s">
        <v>422</v>
      </c>
      <c r="Y126" s="3" t="s">
        <v>144</v>
      </c>
      <c r="Z126" s="125">
        <v>29895</v>
      </c>
      <c r="AA126" s="134">
        <v>1</v>
      </c>
      <c r="AB126" s="151">
        <v>104.45</v>
      </c>
      <c r="AC126" s="2"/>
      <c r="AD126" s="125">
        <v>31.225000000000001</v>
      </c>
      <c r="AE126" s="2"/>
      <c r="AF126" s="2"/>
      <c r="AG126" s="2" t="s">
        <v>36</v>
      </c>
      <c r="AH126" s="140">
        <v>2.9E-5</v>
      </c>
      <c r="AI126" s="140">
        <v>9.0896309440409093E-3</v>
      </c>
      <c r="AJ126" s="140">
        <v>1.69665082998092E-3</v>
      </c>
    </row>
    <row r="127" spans="1:36">
      <c r="A127" s="2">
        <v>382</v>
      </c>
      <c r="B127" s="2">
        <v>7635</v>
      </c>
      <c r="C127" s="2" t="s">
        <v>1758</v>
      </c>
      <c r="D127" s="2" t="s">
        <v>1759</v>
      </c>
      <c r="E127" s="3" t="s">
        <v>1322</v>
      </c>
      <c r="F127" s="2" t="s">
        <v>1760</v>
      </c>
      <c r="G127" s="2" t="s">
        <v>1761</v>
      </c>
      <c r="H127" s="2" t="s">
        <v>184</v>
      </c>
      <c r="I127" s="2" t="s">
        <v>765</v>
      </c>
      <c r="J127" s="2" t="s">
        <v>30</v>
      </c>
      <c r="K127" s="2" t="s">
        <v>30</v>
      </c>
      <c r="L127" s="2" t="s">
        <v>337</v>
      </c>
      <c r="M127" s="2" t="s">
        <v>44</v>
      </c>
      <c r="N127" s="2" t="s">
        <v>456</v>
      </c>
      <c r="O127" s="2" t="s">
        <v>144</v>
      </c>
      <c r="P127" s="2" t="s">
        <v>1179</v>
      </c>
      <c r="Q127" s="2" t="s">
        <v>423</v>
      </c>
      <c r="R127" s="2" t="s">
        <v>417</v>
      </c>
      <c r="S127" s="2" t="s">
        <v>34</v>
      </c>
      <c r="T127" s="125">
        <v>0.68799999999999994</v>
      </c>
      <c r="U127" s="2" t="s">
        <v>1762</v>
      </c>
      <c r="V127" s="138">
        <v>1E-3</v>
      </c>
      <c r="W127" s="140">
        <v>2.2620000000000001E-2</v>
      </c>
      <c r="X127" s="3" t="s">
        <v>422</v>
      </c>
      <c r="Y127" s="3" t="s">
        <v>144</v>
      </c>
      <c r="Z127" s="125">
        <v>50000</v>
      </c>
      <c r="AA127" s="134">
        <v>1</v>
      </c>
      <c r="AB127" s="151">
        <v>112.9</v>
      </c>
      <c r="AC127" s="2"/>
      <c r="AD127" s="125">
        <v>56.45</v>
      </c>
      <c r="AE127" s="2"/>
      <c r="AF127" s="2"/>
      <c r="AG127" s="2" t="s">
        <v>36</v>
      </c>
      <c r="AH127" s="140">
        <v>3.3000000000000003E-5</v>
      </c>
      <c r="AI127" s="140">
        <v>1.64324831113816E-2</v>
      </c>
      <c r="AJ127" s="140">
        <v>3.0672517158522399E-3</v>
      </c>
    </row>
    <row r="128" spans="1:36">
      <c r="A128" s="2">
        <v>382</v>
      </c>
      <c r="B128" s="2">
        <v>7635</v>
      </c>
      <c r="C128" s="2" t="s">
        <v>1763</v>
      </c>
      <c r="D128" s="2" t="s">
        <v>1764</v>
      </c>
      <c r="E128" s="3" t="s">
        <v>1322</v>
      </c>
      <c r="F128" s="2" t="s">
        <v>1765</v>
      </c>
      <c r="G128" s="2" t="s">
        <v>1766</v>
      </c>
      <c r="H128" s="2" t="s">
        <v>184</v>
      </c>
      <c r="I128" s="2" t="s">
        <v>977</v>
      </c>
      <c r="J128" s="2" t="s">
        <v>30</v>
      </c>
      <c r="K128" s="2" t="s">
        <v>30</v>
      </c>
      <c r="L128" s="2" t="s">
        <v>337</v>
      </c>
      <c r="M128" s="2" t="s">
        <v>44</v>
      </c>
      <c r="N128" s="2" t="s">
        <v>448</v>
      </c>
      <c r="O128" s="2" t="s">
        <v>144</v>
      </c>
      <c r="P128" s="2" t="s">
        <v>1767</v>
      </c>
      <c r="Q128" s="2" t="s">
        <v>425</v>
      </c>
      <c r="R128" s="2" t="s">
        <v>417</v>
      </c>
      <c r="S128" s="2" t="s">
        <v>34</v>
      </c>
      <c r="T128" s="125">
        <v>2.87</v>
      </c>
      <c r="U128" s="2" t="s">
        <v>1768</v>
      </c>
      <c r="V128" s="138">
        <v>7.2499999999999995E-2</v>
      </c>
      <c r="W128" s="140">
        <v>5.8200000000000002E-2</v>
      </c>
      <c r="X128" s="3" t="s">
        <v>422</v>
      </c>
      <c r="Y128" s="3" t="s">
        <v>144</v>
      </c>
      <c r="Z128" s="125">
        <v>8958.6</v>
      </c>
      <c r="AA128" s="134">
        <v>1</v>
      </c>
      <c r="AB128" s="151">
        <v>106.14</v>
      </c>
      <c r="AC128" s="2"/>
      <c r="AD128" s="125">
        <v>9.5090000000000003</v>
      </c>
      <c r="AE128" s="2"/>
      <c r="AF128" s="2"/>
      <c r="AG128" s="2" t="s">
        <v>36</v>
      </c>
      <c r="AH128" s="140">
        <v>1.2E-5</v>
      </c>
      <c r="AI128" s="140">
        <v>2.7679515084889799E-3</v>
      </c>
      <c r="AJ128" s="140">
        <v>5.1665983505123404E-4</v>
      </c>
    </row>
    <row r="129" spans="1:36">
      <c r="A129" s="2">
        <v>382</v>
      </c>
      <c r="B129" s="2">
        <v>7635</v>
      </c>
      <c r="C129" s="2" t="s">
        <v>1769</v>
      </c>
      <c r="D129" s="2" t="s">
        <v>1770</v>
      </c>
      <c r="E129" s="3" t="s">
        <v>1322</v>
      </c>
      <c r="F129" s="2" t="s">
        <v>1967</v>
      </c>
      <c r="G129" s="2" t="s">
        <v>1968</v>
      </c>
      <c r="H129" s="2" t="s">
        <v>184</v>
      </c>
      <c r="I129" s="2" t="s">
        <v>977</v>
      </c>
      <c r="J129" s="2" t="s">
        <v>30</v>
      </c>
      <c r="K129" s="2" t="s">
        <v>30</v>
      </c>
      <c r="L129" s="2" t="s">
        <v>337</v>
      </c>
      <c r="M129" s="2" t="s">
        <v>44</v>
      </c>
      <c r="N129" s="2" t="s">
        <v>472</v>
      </c>
      <c r="O129" s="2" t="s">
        <v>144</v>
      </c>
      <c r="P129" s="2" t="s">
        <v>1717</v>
      </c>
      <c r="Q129" s="2" t="s">
        <v>423</v>
      </c>
      <c r="R129" s="2" t="s">
        <v>417</v>
      </c>
      <c r="S129" s="2" t="s">
        <v>34</v>
      </c>
      <c r="T129" s="125">
        <v>5.0199999999999996</v>
      </c>
      <c r="U129" s="2" t="s">
        <v>1942</v>
      </c>
      <c r="V129" s="138">
        <v>2.5499999999999998E-2</v>
      </c>
      <c r="W129" s="140">
        <v>5.1200000000000002E-2</v>
      </c>
      <c r="X129" s="3" t="s">
        <v>422</v>
      </c>
      <c r="Y129" s="3" t="s">
        <v>144</v>
      </c>
      <c r="Z129" s="125">
        <v>33583.32</v>
      </c>
      <c r="AA129" s="134">
        <v>1</v>
      </c>
      <c r="AB129" s="151">
        <v>88.21</v>
      </c>
      <c r="AC129" s="2"/>
      <c r="AD129" s="125">
        <v>29.623999999999999</v>
      </c>
      <c r="AE129" s="2"/>
      <c r="AF129" s="2"/>
      <c r="AG129" s="2" t="s">
        <v>36</v>
      </c>
      <c r="AH129" s="140">
        <v>1.9000000000000001E-5</v>
      </c>
      <c r="AI129" s="140">
        <v>8.6234430201691699E-3</v>
      </c>
      <c r="AJ129" s="140">
        <v>1.6096332015608601E-3</v>
      </c>
    </row>
    <row r="130" spans="1:36">
      <c r="A130" s="2">
        <v>382</v>
      </c>
      <c r="B130" s="2">
        <v>7635</v>
      </c>
      <c r="C130" s="2" t="s">
        <v>1769</v>
      </c>
      <c r="D130" s="2" t="s">
        <v>1770</v>
      </c>
      <c r="E130" s="3" t="s">
        <v>1322</v>
      </c>
      <c r="F130" s="2" t="s">
        <v>1771</v>
      </c>
      <c r="G130" s="2" t="s">
        <v>1772</v>
      </c>
      <c r="H130" s="2" t="s">
        <v>184</v>
      </c>
      <c r="I130" s="2" t="s">
        <v>765</v>
      </c>
      <c r="J130" s="2" t="s">
        <v>30</v>
      </c>
      <c r="K130" s="2" t="s">
        <v>30</v>
      </c>
      <c r="L130" s="2" t="s">
        <v>337</v>
      </c>
      <c r="M130" s="2" t="s">
        <v>44</v>
      </c>
      <c r="N130" s="2" t="s">
        <v>472</v>
      </c>
      <c r="O130" s="2" t="s">
        <v>144</v>
      </c>
      <c r="P130" s="2" t="s">
        <v>1717</v>
      </c>
      <c r="Q130" s="2" t="s">
        <v>423</v>
      </c>
      <c r="R130" s="2" t="s">
        <v>417</v>
      </c>
      <c r="S130" s="2" t="s">
        <v>34</v>
      </c>
      <c r="T130" s="125">
        <v>0.72899999999999998</v>
      </c>
      <c r="U130" s="2" t="s">
        <v>1773</v>
      </c>
      <c r="V130" s="138">
        <v>4.7500000000000001E-2</v>
      </c>
      <c r="W130" s="140">
        <v>2.5069999999999999E-2</v>
      </c>
      <c r="X130" s="3" t="s">
        <v>422</v>
      </c>
      <c r="Y130" s="3" t="s">
        <v>144</v>
      </c>
      <c r="Z130" s="125">
        <v>17000.009999999998</v>
      </c>
      <c r="AA130" s="134">
        <v>1</v>
      </c>
      <c r="AB130" s="151">
        <v>143.82</v>
      </c>
      <c r="AC130" s="2"/>
      <c r="AD130" s="125">
        <v>24.449000000000002</v>
      </c>
      <c r="AE130" s="2"/>
      <c r="AF130" s="2"/>
      <c r="AG130" s="2" t="s">
        <v>36</v>
      </c>
      <c r="AH130" s="140">
        <v>1.8E-5</v>
      </c>
      <c r="AI130" s="140">
        <v>7.1171760658172798E-3</v>
      </c>
      <c r="AJ130" s="140">
        <v>1.32847667342377E-3</v>
      </c>
    </row>
    <row r="131" spans="1:36">
      <c r="A131" s="2">
        <v>382</v>
      </c>
      <c r="B131" s="2">
        <v>7635</v>
      </c>
      <c r="C131" s="2" t="s">
        <v>1774</v>
      </c>
      <c r="D131" s="2" t="s">
        <v>1775</v>
      </c>
      <c r="E131" s="3" t="s">
        <v>1322</v>
      </c>
      <c r="F131" s="2" t="s">
        <v>2020</v>
      </c>
      <c r="G131" s="2" t="s">
        <v>2021</v>
      </c>
      <c r="H131" s="2" t="s">
        <v>184</v>
      </c>
      <c r="I131" s="2" t="s">
        <v>765</v>
      </c>
      <c r="J131" s="2" t="s">
        <v>30</v>
      </c>
      <c r="K131" s="2" t="s">
        <v>310</v>
      </c>
      <c r="L131" s="2" t="s">
        <v>337</v>
      </c>
      <c r="M131" s="2" t="s">
        <v>44</v>
      </c>
      <c r="N131" s="2" t="s">
        <v>473</v>
      </c>
      <c r="O131" s="2" t="s">
        <v>144</v>
      </c>
      <c r="P131" s="2" t="s">
        <v>1767</v>
      </c>
      <c r="Q131" s="2" t="s">
        <v>423</v>
      </c>
      <c r="R131" s="2" t="s">
        <v>417</v>
      </c>
      <c r="S131" s="2" t="s">
        <v>34</v>
      </c>
      <c r="T131" s="125">
        <v>2.0169999999999999</v>
      </c>
      <c r="U131" s="2" t="s">
        <v>1843</v>
      </c>
      <c r="V131" s="138">
        <v>3.2800000000000003E-2</v>
      </c>
      <c r="W131" s="140">
        <v>4.0349999999999997E-2</v>
      </c>
      <c r="X131" s="3" t="s">
        <v>422</v>
      </c>
      <c r="Y131" s="3" t="s">
        <v>144</v>
      </c>
      <c r="Z131" s="125">
        <v>54736.84</v>
      </c>
      <c r="AA131" s="134">
        <v>1</v>
      </c>
      <c r="AB131" s="151">
        <v>115.1</v>
      </c>
      <c r="AC131" s="2"/>
      <c r="AD131" s="125">
        <v>63.002000000000002</v>
      </c>
      <c r="AE131" s="2"/>
      <c r="AF131" s="2"/>
      <c r="AG131" s="2" t="s">
        <v>36</v>
      </c>
      <c r="AH131" s="140">
        <v>3.1999999999999999E-5</v>
      </c>
      <c r="AI131" s="140">
        <v>1.83397872612901E-2</v>
      </c>
      <c r="AJ131" s="140">
        <v>3.4232649785348001E-3</v>
      </c>
    </row>
    <row r="132" spans="1:36">
      <c r="A132" s="2">
        <v>382</v>
      </c>
      <c r="B132" s="2">
        <v>7635</v>
      </c>
      <c r="C132" s="2" t="s">
        <v>1779</v>
      </c>
      <c r="D132" s="2" t="s">
        <v>1780</v>
      </c>
      <c r="E132" s="3" t="s">
        <v>1322</v>
      </c>
      <c r="F132" s="2" t="s">
        <v>1781</v>
      </c>
      <c r="G132" s="2" t="s">
        <v>1782</v>
      </c>
      <c r="H132" s="2" t="s">
        <v>184</v>
      </c>
      <c r="I132" s="2" t="s">
        <v>765</v>
      </c>
      <c r="J132" s="2" t="s">
        <v>30</v>
      </c>
      <c r="K132" s="2" t="s">
        <v>30</v>
      </c>
      <c r="L132" s="2" t="s">
        <v>337</v>
      </c>
      <c r="M132" s="2" t="s">
        <v>44</v>
      </c>
      <c r="N132" s="2" t="s">
        <v>456</v>
      </c>
      <c r="O132" s="2" t="s">
        <v>144</v>
      </c>
      <c r="P132" s="2" t="s">
        <v>1179</v>
      </c>
      <c r="Q132" s="2" t="s">
        <v>423</v>
      </c>
      <c r="R132" s="2" t="s">
        <v>417</v>
      </c>
      <c r="S132" s="2" t="s">
        <v>34</v>
      </c>
      <c r="T132" s="125">
        <v>3.738</v>
      </c>
      <c r="U132" s="2" t="s">
        <v>1783</v>
      </c>
      <c r="V132" s="138">
        <v>2E-3</v>
      </c>
      <c r="W132" s="140">
        <v>2.384E-2</v>
      </c>
      <c r="X132" s="3" t="s">
        <v>422</v>
      </c>
      <c r="Y132" s="3" t="s">
        <v>144</v>
      </c>
      <c r="Z132" s="125">
        <v>103391.81</v>
      </c>
      <c r="AA132" s="134">
        <v>1</v>
      </c>
      <c r="AB132" s="151">
        <v>103.66</v>
      </c>
      <c r="AC132" s="2"/>
      <c r="AD132" s="125">
        <v>107.176</v>
      </c>
      <c r="AE132" s="2"/>
      <c r="AF132" s="2"/>
      <c r="AG132" s="2" t="s">
        <v>36</v>
      </c>
      <c r="AH132" s="140">
        <v>2.8E-5</v>
      </c>
      <c r="AI132" s="140">
        <v>3.1198706684918899E-2</v>
      </c>
      <c r="AJ132" s="140">
        <v>5.8234830343691403E-3</v>
      </c>
    </row>
    <row r="133" spans="1:36">
      <c r="A133" s="2">
        <v>382</v>
      </c>
      <c r="B133" s="2">
        <v>7635</v>
      </c>
      <c r="C133" s="2" t="s">
        <v>1779</v>
      </c>
      <c r="D133" s="2" t="s">
        <v>1780</v>
      </c>
      <c r="E133" s="3" t="s">
        <v>1322</v>
      </c>
      <c r="F133" s="2" t="s">
        <v>1784</v>
      </c>
      <c r="G133" s="2" t="s">
        <v>1785</v>
      </c>
      <c r="H133" s="2" t="s">
        <v>184</v>
      </c>
      <c r="I133" s="2" t="s">
        <v>765</v>
      </c>
      <c r="J133" s="2" t="s">
        <v>30</v>
      </c>
      <c r="K133" s="2" t="s">
        <v>30</v>
      </c>
      <c r="L133" s="2" t="s">
        <v>337</v>
      </c>
      <c r="M133" s="2" t="s">
        <v>44</v>
      </c>
      <c r="N133" s="2" t="s">
        <v>456</v>
      </c>
      <c r="O133" s="2" t="s">
        <v>144</v>
      </c>
      <c r="P133" s="2" t="s">
        <v>1179</v>
      </c>
      <c r="Q133" s="2" t="s">
        <v>423</v>
      </c>
      <c r="R133" s="2" t="s">
        <v>417</v>
      </c>
      <c r="S133" s="2" t="s">
        <v>34</v>
      </c>
      <c r="T133" s="125">
        <v>4.8170000000000002</v>
      </c>
      <c r="U133" s="2" t="s">
        <v>1786</v>
      </c>
      <c r="V133" s="138">
        <v>2.47E-2</v>
      </c>
      <c r="W133" s="140">
        <v>2.4309999999999998E-2</v>
      </c>
      <c r="X133" s="3" t="s">
        <v>422</v>
      </c>
      <c r="Y133" s="3" t="s">
        <v>144</v>
      </c>
      <c r="Z133" s="125">
        <v>30000</v>
      </c>
      <c r="AA133" s="134">
        <v>1</v>
      </c>
      <c r="AB133" s="151">
        <v>104.01</v>
      </c>
      <c r="AC133" s="2"/>
      <c r="AD133" s="125">
        <v>31.202999999999999</v>
      </c>
      <c r="AE133" s="2"/>
      <c r="AF133" s="2"/>
      <c r="AG133" s="2" t="s">
        <v>36</v>
      </c>
      <c r="AH133" s="140">
        <v>1.0000000000000001E-5</v>
      </c>
      <c r="AI133" s="140">
        <v>9.0831314530458798E-3</v>
      </c>
      <c r="AJ133" s="140">
        <v>1.6954376490653201E-3</v>
      </c>
    </row>
    <row r="134" spans="1:36">
      <c r="A134" s="2">
        <v>382</v>
      </c>
      <c r="B134" s="2">
        <v>7635</v>
      </c>
      <c r="C134" s="2" t="s">
        <v>1779</v>
      </c>
      <c r="D134" s="2" t="s">
        <v>1780</v>
      </c>
      <c r="E134" s="3" t="s">
        <v>1322</v>
      </c>
      <c r="F134" s="2" t="s">
        <v>1787</v>
      </c>
      <c r="G134" s="2" t="s">
        <v>1788</v>
      </c>
      <c r="H134" s="2" t="s">
        <v>184</v>
      </c>
      <c r="I134" s="2" t="s">
        <v>977</v>
      </c>
      <c r="J134" s="2" t="s">
        <v>30</v>
      </c>
      <c r="K134" s="2" t="s">
        <v>30</v>
      </c>
      <c r="L134" s="2" t="s">
        <v>337</v>
      </c>
      <c r="M134" s="2" t="s">
        <v>44</v>
      </c>
      <c r="N134" s="2" t="s">
        <v>456</v>
      </c>
      <c r="O134" s="2" t="s">
        <v>144</v>
      </c>
      <c r="P134" s="2" t="s">
        <v>1179</v>
      </c>
      <c r="Q134" s="2" t="s">
        <v>423</v>
      </c>
      <c r="R134" s="2" t="s">
        <v>417</v>
      </c>
      <c r="S134" s="2" t="s">
        <v>34</v>
      </c>
      <c r="T134" s="125">
        <v>3.2280000000000002</v>
      </c>
      <c r="U134" s="2" t="s">
        <v>1789</v>
      </c>
      <c r="V134" s="138">
        <v>2.6800000000000001E-2</v>
      </c>
      <c r="W134" s="140">
        <v>4.5240000000000002E-2</v>
      </c>
      <c r="X134" s="3" t="s">
        <v>422</v>
      </c>
      <c r="Y134" s="3" t="s">
        <v>144</v>
      </c>
      <c r="Z134" s="125">
        <v>80211.67</v>
      </c>
      <c r="AA134" s="134">
        <v>1</v>
      </c>
      <c r="AB134" s="151">
        <v>94.55</v>
      </c>
      <c r="AC134" s="2"/>
      <c r="AD134" s="125">
        <v>75.84</v>
      </c>
      <c r="AE134" s="2"/>
      <c r="AF134" s="2"/>
      <c r="AG134" s="2" t="s">
        <v>36</v>
      </c>
      <c r="AH134" s="140">
        <v>4.1E-5</v>
      </c>
      <c r="AI134" s="140">
        <v>2.2076912681548801E-2</v>
      </c>
      <c r="AJ134" s="140">
        <v>4.1208287173774101E-3</v>
      </c>
    </row>
    <row r="135" spans="1:36">
      <c r="A135" s="2">
        <v>382</v>
      </c>
      <c r="B135" s="2">
        <v>7635</v>
      </c>
      <c r="C135" s="2" t="s">
        <v>1793</v>
      </c>
      <c r="D135" s="2" t="s">
        <v>1794</v>
      </c>
      <c r="E135" s="3" t="s">
        <v>1322</v>
      </c>
      <c r="F135" s="2" t="s">
        <v>1795</v>
      </c>
      <c r="G135" s="2" t="s">
        <v>1796</v>
      </c>
      <c r="H135" s="2" t="s">
        <v>184</v>
      </c>
      <c r="I135" s="2" t="s">
        <v>977</v>
      </c>
      <c r="J135" s="2" t="s">
        <v>30</v>
      </c>
      <c r="K135" s="2" t="s">
        <v>30</v>
      </c>
      <c r="L135" s="2" t="s">
        <v>337</v>
      </c>
      <c r="M135" s="2" t="s">
        <v>44</v>
      </c>
      <c r="N135" s="2" t="s">
        <v>453</v>
      </c>
      <c r="O135" s="2" t="s">
        <v>144</v>
      </c>
      <c r="P135" s="2" t="s">
        <v>1721</v>
      </c>
      <c r="Q135" s="2" t="s">
        <v>423</v>
      </c>
      <c r="R135" s="2" t="s">
        <v>417</v>
      </c>
      <c r="S135" s="2" t="s">
        <v>34</v>
      </c>
      <c r="T135" s="125">
        <v>1.4690000000000001</v>
      </c>
      <c r="U135" s="2" t="s">
        <v>1731</v>
      </c>
      <c r="V135" s="138">
        <v>2.9100000000000001E-2</v>
      </c>
      <c r="W135" s="140">
        <v>4.8120000000000003E-2</v>
      </c>
      <c r="X135" s="3" t="s">
        <v>422</v>
      </c>
      <c r="Y135" s="3" t="s">
        <v>144</v>
      </c>
      <c r="Z135" s="125">
        <v>10000</v>
      </c>
      <c r="AA135" s="134">
        <v>1</v>
      </c>
      <c r="AB135" s="151">
        <v>97.39</v>
      </c>
      <c r="AC135" s="2"/>
      <c r="AD135" s="125">
        <v>9.7390000000000008</v>
      </c>
      <c r="AE135" s="2"/>
      <c r="AF135" s="2"/>
      <c r="AG135" s="2" t="s">
        <v>36</v>
      </c>
      <c r="AH135" s="140">
        <v>1.7E-5</v>
      </c>
      <c r="AI135" s="140">
        <v>2.8350035964879602E-3</v>
      </c>
      <c r="AJ135" s="140">
        <v>5.2917563260735105E-4</v>
      </c>
    </row>
    <row r="136" spans="1:36">
      <c r="A136" s="2">
        <v>382</v>
      </c>
      <c r="B136" s="2">
        <v>7635</v>
      </c>
      <c r="C136" s="2" t="s">
        <v>1797</v>
      </c>
      <c r="D136" s="2" t="s">
        <v>1798</v>
      </c>
      <c r="E136" s="3" t="s">
        <v>1322</v>
      </c>
      <c r="F136" s="2" t="s">
        <v>1799</v>
      </c>
      <c r="G136" s="2" t="s">
        <v>1800</v>
      </c>
      <c r="H136" s="2" t="s">
        <v>184</v>
      </c>
      <c r="I136" s="2" t="s">
        <v>977</v>
      </c>
      <c r="J136" s="2" t="s">
        <v>30</v>
      </c>
      <c r="K136" s="2" t="s">
        <v>30</v>
      </c>
      <c r="L136" s="2" t="s">
        <v>337</v>
      </c>
      <c r="M136" s="2" t="s">
        <v>44</v>
      </c>
      <c r="N136" s="2" t="s">
        <v>453</v>
      </c>
      <c r="O136" s="2" t="s">
        <v>144</v>
      </c>
      <c r="P136" s="2" t="s">
        <v>1717</v>
      </c>
      <c r="Q136" s="2" t="s">
        <v>425</v>
      </c>
      <c r="R136" s="2" t="s">
        <v>417</v>
      </c>
      <c r="S136" s="2" t="s">
        <v>34</v>
      </c>
      <c r="T136" s="125">
        <v>5.093</v>
      </c>
      <c r="U136" s="2" t="s">
        <v>1801</v>
      </c>
      <c r="V136" s="138">
        <v>1.95E-2</v>
      </c>
      <c r="W136" s="140">
        <v>4.8559999999999999E-2</v>
      </c>
      <c r="X136" s="3" t="s">
        <v>422</v>
      </c>
      <c r="Y136" s="3" t="s">
        <v>144</v>
      </c>
      <c r="Z136" s="125">
        <v>52887.77</v>
      </c>
      <c r="AA136" s="134">
        <v>1</v>
      </c>
      <c r="AB136" s="151">
        <v>86.35</v>
      </c>
      <c r="AC136" s="2"/>
      <c r="AD136" s="125">
        <v>45.668999999999997</v>
      </c>
      <c r="AE136" s="2"/>
      <c r="AF136" s="2"/>
      <c r="AG136" s="2" t="s">
        <v>36</v>
      </c>
      <c r="AH136" s="140">
        <v>5.3000000000000001E-5</v>
      </c>
      <c r="AI136" s="140">
        <v>1.32940358539231E-2</v>
      </c>
      <c r="AJ136" s="140">
        <v>2.4814359465432298E-3</v>
      </c>
    </row>
    <row r="137" spans="1:36">
      <c r="A137" s="2">
        <v>382</v>
      </c>
      <c r="B137" s="2">
        <v>7635</v>
      </c>
      <c r="C137" s="2" t="s">
        <v>2022</v>
      </c>
      <c r="D137" s="2" t="s">
        <v>2023</v>
      </c>
      <c r="E137" s="3" t="s">
        <v>1322</v>
      </c>
      <c r="F137" s="2" t="s">
        <v>2024</v>
      </c>
      <c r="G137" s="2" t="s">
        <v>2025</v>
      </c>
      <c r="H137" s="2" t="s">
        <v>184</v>
      </c>
      <c r="I137" s="2" t="s">
        <v>977</v>
      </c>
      <c r="J137" s="2" t="s">
        <v>30</v>
      </c>
      <c r="K137" s="2" t="s">
        <v>30</v>
      </c>
      <c r="L137" s="2" t="s">
        <v>337</v>
      </c>
      <c r="M137" s="2" t="s">
        <v>44</v>
      </c>
      <c r="N137" s="2" t="s">
        <v>459</v>
      </c>
      <c r="O137" s="2" t="s">
        <v>144</v>
      </c>
      <c r="P137" s="2" t="s">
        <v>1730</v>
      </c>
      <c r="Q137" s="2" t="s">
        <v>423</v>
      </c>
      <c r="R137" s="2" t="s">
        <v>417</v>
      </c>
      <c r="S137" s="2" t="s">
        <v>34</v>
      </c>
      <c r="T137" s="125">
        <v>1.24</v>
      </c>
      <c r="U137" s="2" t="s">
        <v>1840</v>
      </c>
      <c r="V137" s="138">
        <v>3.5999999999999997E-2</v>
      </c>
      <c r="W137" s="140">
        <v>4.8730000000000002E-2</v>
      </c>
      <c r="X137" s="3" t="s">
        <v>422</v>
      </c>
      <c r="Y137" s="3" t="s">
        <v>144</v>
      </c>
      <c r="Z137" s="125">
        <v>14583.33</v>
      </c>
      <c r="AA137" s="134">
        <v>1</v>
      </c>
      <c r="AB137" s="151">
        <v>99.43</v>
      </c>
      <c r="AC137" s="2"/>
      <c r="AD137" s="125">
        <v>14.5</v>
      </c>
      <c r="AE137" s="2"/>
      <c r="AF137" s="2"/>
      <c r="AG137" s="2" t="s">
        <v>36</v>
      </c>
      <c r="AH137" s="140">
        <v>6.9999999999999994E-5</v>
      </c>
      <c r="AI137" s="140">
        <v>4.22098094041255E-3</v>
      </c>
      <c r="AJ137" s="140">
        <v>7.8787916252855605E-4</v>
      </c>
    </row>
    <row r="138" spans="1:36">
      <c r="A138" s="2">
        <v>382</v>
      </c>
      <c r="B138" s="2">
        <v>7635</v>
      </c>
      <c r="C138" s="2" t="s">
        <v>1807</v>
      </c>
      <c r="D138" s="2" t="s">
        <v>1808</v>
      </c>
      <c r="E138" s="3" t="s">
        <v>1322</v>
      </c>
      <c r="F138" s="2" t="s">
        <v>1972</v>
      </c>
      <c r="G138" s="2" t="s">
        <v>1973</v>
      </c>
      <c r="H138" s="2" t="s">
        <v>184</v>
      </c>
      <c r="I138" s="2" t="s">
        <v>765</v>
      </c>
      <c r="J138" s="2" t="s">
        <v>30</v>
      </c>
      <c r="K138" s="2" t="s">
        <v>30</v>
      </c>
      <c r="L138" s="2" t="s">
        <v>337</v>
      </c>
      <c r="M138" s="2" t="s">
        <v>44</v>
      </c>
      <c r="N138" s="2" t="s">
        <v>448</v>
      </c>
      <c r="O138" s="2" t="s">
        <v>144</v>
      </c>
      <c r="P138" s="2" t="s">
        <v>95</v>
      </c>
      <c r="Q138" s="2" t="s">
        <v>423</v>
      </c>
      <c r="R138" s="2" t="s">
        <v>417</v>
      </c>
      <c r="S138" s="2" t="s">
        <v>34</v>
      </c>
      <c r="T138" s="125">
        <v>0.64500000000000002</v>
      </c>
      <c r="U138" s="2" t="s">
        <v>1974</v>
      </c>
      <c r="V138" s="138">
        <v>4.4999999999999998E-2</v>
      </c>
      <c r="W138" s="140">
        <v>2.8240000000000001E-2</v>
      </c>
      <c r="X138" s="3" t="s">
        <v>422</v>
      </c>
      <c r="Y138" s="3" t="s">
        <v>144</v>
      </c>
      <c r="Z138" s="125">
        <v>79000</v>
      </c>
      <c r="AA138" s="134">
        <v>1</v>
      </c>
      <c r="AB138" s="151">
        <v>119.91</v>
      </c>
      <c r="AC138" s="2"/>
      <c r="AD138" s="125">
        <v>94.728999999999999</v>
      </c>
      <c r="AE138" s="2"/>
      <c r="AF138" s="2"/>
      <c r="AG138" s="2" t="s">
        <v>36</v>
      </c>
      <c r="AH138" s="140">
        <v>2.6999999999999999E-5</v>
      </c>
      <c r="AI138" s="140">
        <v>2.7575395029402198E-2</v>
      </c>
      <c r="AJ138" s="140">
        <v>5.14716352640912E-3</v>
      </c>
    </row>
    <row r="139" spans="1:36">
      <c r="A139" s="2">
        <v>382</v>
      </c>
      <c r="B139" s="2">
        <v>7635</v>
      </c>
      <c r="C139" s="2" t="s">
        <v>1807</v>
      </c>
      <c r="D139" s="2" t="s">
        <v>1808</v>
      </c>
      <c r="E139" s="3" t="s">
        <v>1322</v>
      </c>
      <c r="F139" s="2" t="s">
        <v>1812</v>
      </c>
      <c r="G139" s="2" t="s">
        <v>1813</v>
      </c>
      <c r="H139" s="2" t="s">
        <v>184</v>
      </c>
      <c r="I139" s="2" t="s">
        <v>765</v>
      </c>
      <c r="J139" s="2" t="s">
        <v>30</v>
      </c>
      <c r="K139" s="2" t="s">
        <v>30</v>
      </c>
      <c r="L139" s="2" t="s">
        <v>337</v>
      </c>
      <c r="M139" s="2" t="s">
        <v>44</v>
      </c>
      <c r="N139" s="2" t="s">
        <v>448</v>
      </c>
      <c r="O139" s="2" t="s">
        <v>144</v>
      </c>
      <c r="P139" s="2" t="s">
        <v>95</v>
      </c>
      <c r="Q139" s="2" t="s">
        <v>423</v>
      </c>
      <c r="R139" s="2" t="s">
        <v>417</v>
      </c>
      <c r="S139" s="2" t="s">
        <v>34</v>
      </c>
      <c r="T139" s="125">
        <v>10.53</v>
      </c>
      <c r="U139" s="2" t="s">
        <v>1814</v>
      </c>
      <c r="V139" s="138">
        <v>1.2500000000000001E-2</v>
      </c>
      <c r="W139" s="140">
        <v>3.0120000000000001E-2</v>
      </c>
      <c r="X139" s="3" t="s">
        <v>422</v>
      </c>
      <c r="Y139" s="3" t="s">
        <v>144</v>
      </c>
      <c r="Z139" s="125">
        <v>40000</v>
      </c>
      <c r="AA139" s="134">
        <v>1</v>
      </c>
      <c r="AB139" s="151">
        <v>95.26</v>
      </c>
      <c r="AC139" s="2"/>
      <c r="AD139" s="125">
        <v>38.103999999999999</v>
      </c>
      <c r="AE139" s="2"/>
      <c r="AF139" s="2"/>
      <c r="AG139" s="2" t="s">
        <v>36</v>
      </c>
      <c r="AH139" s="140">
        <v>9.0000000000000002E-6</v>
      </c>
      <c r="AI139" s="140">
        <v>1.1091998874687099E-2</v>
      </c>
      <c r="AJ139" s="140">
        <v>2.0704084921316901E-3</v>
      </c>
    </row>
    <row r="140" spans="1:36">
      <c r="A140" s="2">
        <v>382</v>
      </c>
      <c r="B140" s="2">
        <v>7635</v>
      </c>
      <c r="C140" s="2" t="s">
        <v>1807</v>
      </c>
      <c r="D140" s="2" t="s">
        <v>1808</v>
      </c>
      <c r="E140" s="3" t="s">
        <v>1322</v>
      </c>
      <c r="F140" s="2" t="s">
        <v>1815</v>
      </c>
      <c r="G140" s="2" t="s">
        <v>1816</v>
      </c>
      <c r="H140" s="2" t="s">
        <v>184</v>
      </c>
      <c r="I140" s="2" t="s">
        <v>765</v>
      </c>
      <c r="J140" s="2" t="s">
        <v>30</v>
      </c>
      <c r="K140" s="2" t="s">
        <v>30</v>
      </c>
      <c r="L140" s="2" t="s">
        <v>337</v>
      </c>
      <c r="M140" s="2" t="s">
        <v>44</v>
      </c>
      <c r="N140" s="2" t="s">
        <v>448</v>
      </c>
      <c r="O140" s="2" t="s">
        <v>144</v>
      </c>
      <c r="P140" s="2" t="s">
        <v>95</v>
      </c>
      <c r="Q140" s="2" t="s">
        <v>423</v>
      </c>
      <c r="R140" s="2" t="s">
        <v>417</v>
      </c>
      <c r="S140" s="2" t="s">
        <v>34</v>
      </c>
      <c r="T140" s="125">
        <v>7.5179999999999998</v>
      </c>
      <c r="U140" s="2" t="s">
        <v>1817</v>
      </c>
      <c r="V140" s="138">
        <v>0.03</v>
      </c>
      <c r="W140" s="140">
        <v>2.87E-2</v>
      </c>
      <c r="X140" s="3" t="s">
        <v>422</v>
      </c>
      <c r="Y140" s="3" t="s">
        <v>144</v>
      </c>
      <c r="Z140" s="125">
        <v>30000</v>
      </c>
      <c r="AA140" s="134">
        <v>1</v>
      </c>
      <c r="AB140" s="151">
        <v>105.85</v>
      </c>
      <c r="AC140" s="2"/>
      <c r="AD140" s="125">
        <v>31.754999999999999</v>
      </c>
      <c r="AE140" s="2"/>
      <c r="AF140" s="2"/>
      <c r="AG140" s="2" t="s">
        <v>36</v>
      </c>
      <c r="AH140" s="140">
        <v>6.9999999999999999E-6</v>
      </c>
      <c r="AI140" s="140">
        <v>9.2438175589357394E-3</v>
      </c>
      <c r="AJ140" s="140">
        <v>1.7254309696525701E-3</v>
      </c>
    </row>
    <row r="141" spans="1:36">
      <c r="A141" s="2">
        <v>382</v>
      </c>
      <c r="B141" s="2">
        <v>7635</v>
      </c>
      <c r="C141" s="2" t="s">
        <v>2026</v>
      </c>
      <c r="D141" s="2" t="s">
        <v>2027</v>
      </c>
      <c r="E141" s="3" t="s">
        <v>324</v>
      </c>
      <c r="F141" s="2" t="s">
        <v>2028</v>
      </c>
      <c r="G141" s="2" t="s">
        <v>2029</v>
      </c>
      <c r="H141" s="2" t="s">
        <v>184</v>
      </c>
      <c r="I141" s="2" t="s">
        <v>766</v>
      </c>
      <c r="J141" s="2" t="s">
        <v>30</v>
      </c>
      <c r="K141" s="2" t="s">
        <v>30</v>
      </c>
      <c r="L141" s="2" t="s">
        <v>337</v>
      </c>
      <c r="M141" s="2" t="s">
        <v>44</v>
      </c>
      <c r="N141" s="2" t="s">
        <v>462</v>
      </c>
      <c r="O141" s="2" t="s">
        <v>144</v>
      </c>
      <c r="P141" s="2" t="s">
        <v>1717</v>
      </c>
      <c r="Q141" s="2" t="s">
        <v>423</v>
      </c>
      <c r="R141" s="2" t="s">
        <v>417</v>
      </c>
      <c r="S141" s="2" t="s">
        <v>34</v>
      </c>
      <c r="T141" s="125">
        <v>0.51300000000000001</v>
      </c>
      <c r="U141" s="2" t="s">
        <v>2030</v>
      </c>
      <c r="V141" s="138">
        <v>3.49E-2</v>
      </c>
      <c r="W141" s="140">
        <v>5.8439999999999999E-2</v>
      </c>
      <c r="X141" s="3" t="s">
        <v>422</v>
      </c>
      <c r="Y141" s="3" t="s">
        <v>144</v>
      </c>
      <c r="Z141" s="125">
        <v>3631.58</v>
      </c>
      <c r="AA141" s="134">
        <v>1</v>
      </c>
      <c r="AB141" s="151">
        <v>100.58</v>
      </c>
      <c r="AC141" s="2"/>
      <c r="AD141" s="125">
        <v>3.653</v>
      </c>
      <c r="AE141" s="2"/>
      <c r="AF141" s="2"/>
      <c r="AG141" s="2" t="s">
        <v>36</v>
      </c>
      <c r="AH141" s="140">
        <v>1.1E-5</v>
      </c>
      <c r="AI141" s="140">
        <v>1.0632771851963401E-3</v>
      </c>
      <c r="AJ141" s="140">
        <v>1.9846901704472899E-4</v>
      </c>
    </row>
    <row r="142" spans="1:36">
      <c r="A142" s="2">
        <v>382</v>
      </c>
      <c r="B142" s="2">
        <v>7635</v>
      </c>
      <c r="C142" s="2" t="s">
        <v>2031</v>
      </c>
      <c r="D142" s="2" t="s">
        <v>2032</v>
      </c>
      <c r="E142" s="3" t="s">
        <v>1322</v>
      </c>
      <c r="F142" s="2" t="s">
        <v>2033</v>
      </c>
      <c r="G142" s="2" t="s">
        <v>2034</v>
      </c>
      <c r="H142" s="2" t="s">
        <v>184</v>
      </c>
      <c r="I142" s="2" t="s">
        <v>977</v>
      </c>
      <c r="J142" s="2" t="s">
        <v>30</v>
      </c>
      <c r="K142" s="2" t="s">
        <v>30</v>
      </c>
      <c r="L142" s="2" t="s">
        <v>337</v>
      </c>
      <c r="M142" s="2" t="s">
        <v>44</v>
      </c>
      <c r="N142" s="2" t="s">
        <v>472</v>
      </c>
      <c r="O142" s="2" t="s">
        <v>144</v>
      </c>
      <c r="P142" s="2" t="s">
        <v>1721</v>
      </c>
      <c r="Q142" s="2" t="s">
        <v>423</v>
      </c>
      <c r="R142" s="2" t="s">
        <v>417</v>
      </c>
      <c r="S142" s="2" t="s">
        <v>34</v>
      </c>
      <c r="T142" s="125">
        <v>1.1080000000000001</v>
      </c>
      <c r="U142" s="2" t="s">
        <v>2035</v>
      </c>
      <c r="V142" s="138">
        <v>5.0500000000000003E-2</v>
      </c>
      <c r="W142" s="140">
        <v>4.897E-2</v>
      </c>
      <c r="X142" s="3" t="s">
        <v>422</v>
      </c>
      <c r="Y142" s="3" t="s">
        <v>144</v>
      </c>
      <c r="Z142" s="125">
        <v>25000</v>
      </c>
      <c r="AA142" s="134">
        <v>1</v>
      </c>
      <c r="AB142" s="151">
        <v>101.93</v>
      </c>
      <c r="AC142" s="2"/>
      <c r="AD142" s="125">
        <v>25.483000000000001</v>
      </c>
      <c r="AE142" s="2"/>
      <c r="AF142" s="2"/>
      <c r="AG142" s="2" t="s">
        <v>36</v>
      </c>
      <c r="AH142" s="140">
        <v>9.0000000000000006E-5</v>
      </c>
      <c r="AI142" s="140">
        <v>7.4179052415550397E-3</v>
      </c>
      <c r="AJ142" s="140">
        <v>1.38461013018963E-3</v>
      </c>
    </row>
    <row r="143" spans="1:36">
      <c r="A143" s="2">
        <v>382</v>
      </c>
      <c r="B143" s="2">
        <v>7635</v>
      </c>
      <c r="C143" s="2" t="s">
        <v>2036</v>
      </c>
      <c r="D143" s="2" t="s">
        <v>2037</v>
      </c>
      <c r="E143" s="3" t="s">
        <v>1322</v>
      </c>
      <c r="F143" s="2" t="s">
        <v>2038</v>
      </c>
      <c r="G143" s="2" t="s">
        <v>2039</v>
      </c>
      <c r="H143" s="2" t="s">
        <v>184</v>
      </c>
      <c r="I143" s="2" t="s">
        <v>765</v>
      </c>
      <c r="J143" s="2" t="s">
        <v>30</v>
      </c>
      <c r="K143" s="2" t="s">
        <v>30</v>
      </c>
      <c r="L143" s="2" t="s">
        <v>337</v>
      </c>
      <c r="M143" s="2" t="s">
        <v>44</v>
      </c>
      <c r="N143" s="2" t="s">
        <v>453</v>
      </c>
      <c r="O143" s="2" t="s">
        <v>144</v>
      </c>
      <c r="P143" s="2" t="s">
        <v>1721</v>
      </c>
      <c r="Q143" s="2" t="s">
        <v>423</v>
      </c>
      <c r="R143" s="2" t="s">
        <v>417</v>
      </c>
      <c r="S143" s="2" t="s">
        <v>34</v>
      </c>
      <c r="T143" s="125">
        <v>0.56899999999999995</v>
      </c>
      <c r="U143" s="2" t="s">
        <v>2040</v>
      </c>
      <c r="V143" s="138">
        <v>2.4799999999999999E-2</v>
      </c>
      <c r="W143" s="140">
        <v>2.7459999999999998E-2</v>
      </c>
      <c r="X143" s="3" t="s">
        <v>422</v>
      </c>
      <c r="Y143" s="3" t="s">
        <v>144</v>
      </c>
      <c r="Z143" s="125">
        <v>80000</v>
      </c>
      <c r="AA143" s="134">
        <v>1</v>
      </c>
      <c r="AB143" s="151">
        <v>116.49</v>
      </c>
      <c r="AC143" s="2"/>
      <c r="AD143" s="125">
        <v>93.191999999999993</v>
      </c>
      <c r="AE143" s="2"/>
      <c r="AF143" s="2"/>
      <c r="AG143" s="2" t="s">
        <v>36</v>
      </c>
      <c r="AH143" s="140">
        <v>1.8900000000000001E-4</v>
      </c>
      <c r="AI143" s="140">
        <v>2.71280064856665E-2</v>
      </c>
      <c r="AJ143" s="140">
        <v>5.0636549495784201E-3</v>
      </c>
    </row>
    <row r="144" spans="1:36">
      <c r="A144" s="2">
        <v>382</v>
      </c>
      <c r="B144" s="2">
        <v>7635</v>
      </c>
      <c r="C144" s="2" t="s">
        <v>1177</v>
      </c>
      <c r="D144" s="2" t="s">
        <v>1570</v>
      </c>
      <c r="E144" s="3" t="s">
        <v>1322</v>
      </c>
      <c r="F144" s="2" t="s">
        <v>1823</v>
      </c>
      <c r="G144" s="2" t="s">
        <v>1824</v>
      </c>
      <c r="H144" s="2" t="s">
        <v>184</v>
      </c>
      <c r="I144" s="2" t="s">
        <v>765</v>
      </c>
      <c r="J144" s="2" t="s">
        <v>30</v>
      </c>
      <c r="K144" s="2" t="s">
        <v>30</v>
      </c>
      <c r="L144" s="2" t="s">
        <v>337</v>
      </c>
      <c r="M144" s="2" t="s">
        <v>44</v>
      </c>
      <c r="N144" s="2" t="s">
        <v>456</v>
      </c>
      <c r="O144" s="2" t="s">
        <v>144</v>
      </c>
      <c r="P144" s="2" t="s">
        <v>1179</v>
      </c>
      <c r="Q144" s="2" t="s">
        <v>423</v>
      </c>
      <c r="R144" s="2" t="s">
        <v>417</v>
      </c>
      <c r="S144" s="2" t="s">
        <v>34</v>
      </c>
      <c r="T144" s="125">
        <v>1.482</v>
      </c>
      <c r="U144" s="2" t="s">
        <v>1731</v>
      </c>
      <c r="V144" s="138">
        <v>8.3000000000000001E-3</v>
      </c>
      <c r="W144" s="140">
        <v>2.2599999999999999E-2</v>
      </c>
      <c r="X144" s="3" t="s">
        <v>422</v>
      </c>
      <c r="Y144" s="3" t="s">
        <v>144</v>
      </c>
      <c r="Z144" s="125">
        <v>45000</v>
      </c>
      <c r="AA144" s="134">
        <v>1</v>
      </c>
      <c r="AB144" s="151">
        <v>113.32</v>
      </c>
      <c r="AC144" s="2"/>
      <c r="AD144" s="125">
        <v>50.994</v>
      </c>
      <c r="AE144" s="2"/>
      <c r="AF144" s="2"/>
      <c r="AG144" s="2" t="s">
        <v>36</v>
      </c>
      <c r="AH144" s="140">
        <v>3.0000000000000001E-5</v>
      </c>
      <c r="AI144" s="140">
        <v>1.48442523256296E-2</v>
      </c>
      <c r="AJ144" s="140">
        <v>2.7707959964246099E-3</v>
      </c>
    </row>
    <row r="145" spans="1:36">
      <c r="A145" s="2">
        <v>382</v>
      </c>
      <c r="B145" s="2">
        <v>7635</v>
      </c>
      <c r="C145" s="2" t="s">
        <v>1177</v>
      </c>
      <c r="D145" s="2" t="s">
        <v>1570</v>
      </c>
      <c r="E145" s="3" t="s">
        <v>1322</v>
      </c>
      <c r="F145" s="2" t="s">
        <v>1825</v>
      </c>
      <c r="G145" s="2" t="s">
        <v>1826</v>
      </c>
      <c r="H145" s="2" t="s">
        <v>184</v>
      </c>
      <c r="I145" s="2" t="s">
        <v>977</v>
      </c>
      <c r="J145" s="2" t="s">
        <v>30</v>
      </c>
      <c r="K145" s="2" t="s">
        <v>30</v>
      </c>
      <c r="L145" s="2" t="s">
        <v>337</v>
      </c>
      <c r="M145" s="2" t="s">
        <v>44</v>
      </c>
      <c r="N145" s="2" t="s">
        <v>456</v>
      </c>
      <c r="O145" s="2" t="s">
        <v>144</v>
      </c>
      <c r="P145" s="2" t="s">
        <v>1179</v>
      </c>
      <c r="Q145" s="2" t="s">
        <v>423</v>
      </c>
      <c r="R145" s="2" t="s">
        <v>417</v>
      </c>
      <c r="S145" s="2" t="s">
        <v>34</v>
      </c>
      <c r="T145" s="125">
        <v>0.156</v>
      </c>
      <c r="U145" s="2" t="s">
        <v>1827</v>
      </c>
      <c r="V145" s="138">
        <v>2.0199999999999999E-2</v>
      </c>
      <c r="W145" s="140">
        <v>4.428E-2</v>
      </c>
      <c r="X145" s="3" t="s">
        <v>422</v>
      </c>
      <c r="Y145" s="3" t="s">
        <v>144</v>
      </c>
      <c r="Z145" s="125">
        <v>59100</v>
      </c>
      <c r="AA145" s="134">
        <v>1</v>
      </c>
      <c r="AB145" s="151">
        <v>101.32</v>
      </c>
      <c r="AC145" s="2"/>
      <c r="AD145" s="125">
        <v>59.88</v>
      </c>
      <c r="AE145" s="2"/>
      <c r="AF145" s="2"/>
      <c r="AG145" s="2" t="s">
        <v>36</v>
      </c>
      <c r="AH145" s="140">
        <v>6.9999999999999994E-5</v>
      </c>
      <c r="AI145" s="140">
        <v>1.74309842445971E-2</v>
      </c>
      <c r="AJ145" s="140">
        <v>3.2536297752956199E-3</v>
      </c>
    </row>
    <row r="146" spans="1:36">
      <c r="A146" s="2">
        <v>382</v>
      </c>
      <c r="B146" s="2">
        <v>7635</v>
      </c>
      <c r="C146" s="2" t="s">
        <v>1177</v>
      </c>
      <c r="D146" s="2" t="s">
        <v>1570</v>
      </c>
      <c r="E146" s="3" t="s">
        <v>1322</v>
      </c>
      <c r="F146" s="2" t="s">
        <v>2041</v>
      </c>
      <c r="G146" s="2" t="s">
        <v>2042</v>
      </c>
      <c r="H146" s="2" t="s">
        <v>184</v>
      </c>
      <c r="I146" s="2" t="s">
        <v>765</v>
      </c>
      <c r="J146" s="2" t="s">
        <v>30</v>
      </c>
      <c r="K146" s="2" t="s">
        <v>30</v>
      </c>
      <c r="L146" s="2" t="s">
        <v>337</v>
      </c>
      <c r="M146" s="2" t="s">
        <v>44</v>
      </c>
      <c r="N146" s="2" t="s">
        <v>456</v>
      </c>
      <c r="O146" s="2" t="s">
        <v>144</v>
      </c>
      <c r="P146" s="2" t="s">
        <v>1179</v>
      </c>
      <c r="Q146" s="2" t="s">
        <v>423</v>
      </c>
      <c r="R146" s="2" t="s">
        <v>417</v>
      </c>
      <c r="S146" s="2" t="s">
        <v>34</v>
      </c>
      <c r="T146" s="125">
        <v>2.3250000000000002</v>
      </c>
      <c r="U146" s="2" t="s">
        <v>2043</v>
      </c>
      <c r="V146" s="138">
        <v>1.8599999999999998E-2</v>
      </c>
      <c r="W146" s="140">
        <v>2.3189999999999999E-2</v>
      </c>
      <c r="X146" s="3" t="s">
        <v>422</v>
      </c>
      <c r="Y146" s="3" t="s">
        <v>144</v>
      </c>
      <c r="Z146" s="125">
        <v>40000</v>
      </c>
      <c r="AA146" s="134">
        <v>1</v>
      </c>
      <c r="AB146" s="151">
        <v>103.01</v>
      </c>
      <c r="AC146" s="2"/>
      <c r="AD146" s="125">
        <v>41.204000000000001</v>
      </c>
      <c r="AE146" s="2"/>
      <c r="AF146" s="2"/>
      <c r="AG146" s="2" t="s">
        <v>36</v>
      </c>
      <c r="AH146" s="140">
        <v>2.1999999999999999E-5</v>
      </c>
      <c r="AI146" s="140">
        <v>1.19944027302279E-2</v>
      </c>
      <c r="AJ146" s="140">
        <v>2.23884924180648E-3</v>
      </c>
    </row>
    <row r="147" spans="1:36">
      <c r="A147" s="2">
        <v>382</v>
      </c>
      <c r="B147" s="2">
        <v>7635</v>
      </c>
      <c r="C147" s="2" t="s">
        <v>1177</v>
      </c>
      <c r="D147" s="2" t="s">
        <v>1570</v>
      </c>
      <c r="E147" s="3" t="s">
        <v>1322</v>
      </c>
      <c r="F147" s="2" t="s">
        <v>1975</v>
      </c>
      <c r="G147" s="2" t="s">
        <v>1976</v>
      </c>
      <c r="H147" s="2" t="s">
        <v>184</v>
      </c>
      <c r="I147" s="2" t="s">
        <v>765</v>
      </c>
      <c r="J147" s="2" t="s">
        <v>30</v>
      </c>
      <c r="K147" s="2" t="s">
        <v>30</v>
      </c>
      <c r="L147" s="2" t="s">
        <v>337</v>
      </c>
      <c r="M147" s="2" t="s">
        <v>44</v>
      </c>
      <c r="N147" s="2" t="s">
        <v>456</v>
      </c>
      <c r="O147" s="2" t="s">
        <v>144</v>
      </c>
      <c r="P147" s="2" t="s">
        <v>1179</v>
      </c>
      <c r="Q147" s="2" t="s">
        <v>423</v>
      </c>
      <c r="R147" s="2" t="s">
        <v>417</v>
      </c>
      <c r="S147" s="2" t="s">
        <v>34</v>
      </c>
      <c r="T147" s="125">
        <v>2.8929999999999998</v>
      </c>
      <c r="U147" s="2" t="s">
        <v>1977</v>
      </c>
      <c r="V147" s="138">
        <v>1E-3</v>
      </c>
      <c r="W147" s="140">
        <v>2.1919999999999999E-2</v>
      </c>
      <c r="X147" s="3" t="s">
        <v>422</v>
      </c>
      <c r="Y147" s="3" t="s">
        <v>144</v>
      </c>
      <c r="Z147" s="125">
        <v>68000</v>
      </c>
      <c r="AA147" s="134">
        <v>1</v>
      </c>
      <c r="AB147" s="151">
        <v>105.89</v>
      </c>
      <c r="AC147" s="2"/>
      <c r="AD147" s="125">
        <v>72.004999999999995</v>
      </c>
      <c r="AE147" s="2"/>
      <c r="AF147" s="2"/>
      <c r="AG147" s="2" t="s">
        <v>36</v>
      </c>
      <c r="AH147" s="140">
        <v>2.1999999999999999E-5</v>
      </c>
      <c r="AI147" s="140">
        <v>2.0960570999675E-2</v>
      </c>
      <c r="AJ147" s="140">
        <v>3.9124547962849201E-3</v>
      </c>
    </row>
    <row r="148" spans="1:36">
      <c r="A148" s="2">
        <v>382</v>
      </c>
      <c r="B148" s="2">
        <v>7635</v>
      </c>
      <c r="C148" s="2" t="s">
        <v>1177</v>
      </c>
      <c r="D148" s="2" t="s">
        <v>1570</v>
      </c>
      <c r="E148" s="3" t="s">
        <v>1322</v>
      </c>
      <c r="F148" s="2" t="s">
        <v>1828</v>
      </c>
      <c r="G148" s="2" t="s">
        <v>1829</v>
      </c>
      <c r="H148" s="2" t="s">
        <v>184</v>
      </c>
      <c r="I148" s="2" t="s">
        <v>977</v>
      </c>
      <c r="J148" s="2" t="s">
        <v>30</v>
      </c>
      <c r="K148" s="2" t="s">
        <v>30</v>
      </c>
      <c r="L148" s="2" t="s">
        <v>337</v>
      </c>
      <c r="M148" s="2" t="s">
        <v>44</v>
      </c>
      <c r="N148" s="2" t="s">
        <v>456</v>
      </c>
      <c r="O148" s="2" t="s">
        <v>144</v>
      </c>
      <c r="P148" s="2" t="s">
        <v>1179</v>
      </c>
      <c r="Q148" s="2" t="s">
        <v>423</v>
      </c>
      <c r="R148" s="2" t="s">
        <v>417</v>
      </c>
      <c r="S148" s="2" t="s">
        <v>34</v>
      </c>
      <c r="T148" s="125">
        <v>2.9079999999999999</v>
      </c>
      <c r="U148" s="2" t="s">
        <v>1830</v>
      </c>
      <c r="V148" s="138">
        <v>2.76E-2</v>
      </c>
      <c r="W148" s="140">
        <v>4.5379999999999997E-2</v>
      </c>
      <c r="X148" s="3" t="s">
        <v>422</v>
      </c>
      <c r="Y148" s="3" t="s">
        <v>144</v>
      </c>
      <c r="Z148" s="125">
        <v>75000</v>
      </c>
      <c r="AA148" s="134">
        <v>1</v>
      </c>
      <c r="AB148" s="151">
        <v>95.56</v>
      </c>
      <c r="AC148" s="2"/>
      <c r="AD148" s="125">
        <v>71.67</v>
      </c>
      <c r="AE148" s="2"/>
      <c r="AF148" s="2"/>
      <c r="AG148" s="2" t="s">
        <v>36</v>
      </c>
      <c r="AH148" s="140">
        <v>5.5999999999999999E-5</v>
      </c>
      <c r="AI148" s="140">
        <v>2.0862994944069398E-2</v>
      </c>
      <c r="AJ148" s="140">
        <v>3.89424146102976E-3</v>
      </c>
    </row>
    <row r="149" spans="1:36">
      <c r="A149" s="2">
        <v>382</v>
      </c>
      <c r="B149" s="2">
        <v>7635</v>
      </c>
      <c r="C149" s="2" t="s">
        <v>1177</v>
      </c>
      <c r="D149" s="2" t="s">
        <v>1570</v>
      </c>
      <c r="E149" s="3" t="s">
        <v>1322</v>
      </c>
      <c r="F149" s="2" t="s">
        <v>1831</v>
      </c>
      <c r="G149" s="2" t="s">
        <v>1832</v>
      </c>
      <c r="H149" s="2" t="s">
        <v>184</v>
      </c>
      <c r="I149" s="2" t="s">
        <v>765</v>
      </c>
      <c r="J149" s="2" t="s">
        <v>30</v>
      </c>
      <c r="K149" s="2" t="s">
        <v>30</v>
      </c>
      <c r="L149" s="2" t="s">
        <v>337</v>
      </c>
      <c r="M149" s="2" t="s">
        <v>44</v>
      </c>
      <c r="N149" s="2" t="s">
        <v>456</v>
      </c>
      <c r="O149" s="2" t="s">
        <v>144</v>
      </c>
      <c r="P149" s="2" t="s">
        <v>1179</v>
      </c>
      <c r="Q149" s="2" t="s">
        <v>423</v>
      </c>
      <c r="R149" s="2" t="s">
        <v>417</v>
      </c>
      <c r="S149" s="2" t="s">
        <v>34</v>
      </c>
      <c r="T149" s="125">
        <v>4.8490000000000002</v>
      </c>
      <c r="U149" s="2" t="s">
        <v>1833</v>
      </c>
      <c r="V149" s="138">
        <v>2.0199999999999999E-2</v>
      </c>
      <c r="W149" s="140">
        <v>2.4299999999999999E-2</v>
      </c>
      <c r="X149" s="3" t="s">
        <v>422</v>
      </c>
      <c r="Y149" s="3" t="s">
        <v>144</v>
      </c>
      <c r="Z149" s="125">
        <v>40000</v>
      </c>
      <c r="AA149" s="134">
        <v>1</v>
      </c>
      <c r="AB149" s="151">
        <v>101.65</v>
      </c>
      <c r="AC149" s="2"/>
      <c r="AD149" s="125">
        <v>40.659999999999997</v>
      </c>
      <c r="AE149" s="2"/>
      <c r="AF149" s="2"/>
      <c r="AG149" s="2" t="s">
        <v>36</v>
      </c>
      <c r="AH149" s="140">
        <v>1.1E-5</v>
      </c>
      <c r="AI149" s="140">
        <v>1.18360454084814E-2</v>
      </c>
      <c r="AJ149" s="140">
        <v>2.2092906070248402E-3</v>
      </c>
    </row>
    <row r="150" spans="1:36">
      <c r="A150" s="2">
        <v>382</v>
      </c>
      <c r="B150" s="2">
        <v>7635</v>
      </c>
      <c r="C150" s="2" t="s">
        <v>1836</v>
      </c>
      <c r="D150" s="2" t="s">
        <v>1837</v>
      </c>
      <c r="E150" s="3" t="s">
        <v>1322</v>
      </c>
      <c r="F150" s="2" t="s">
        <v>2044</v>
      </c>
      <c r="G150" s="2" t="s">
        <v>2045</v>
      </c>
      <c r="H150" s="2" t="s">
        <v>184</v>
      </c>
      <c r="I150" s="2" t="s">
        <v>977</v>
      </c>
      <c r="J150" s="2" t="s">
        <v>30</v>
      </c>
      <c r="K150" s="2" t="s">
        <v>30</v>
      </c>
      <c r="L150" s="2" t="s">
        <v>337</v>
      </c>
      <c r="M150" s="2" t="s">
        <v>44</v>
      </c>
      <c r="N150" s="2" t="s">
        <v>472</v>
      </c>
      <c r="O150" s="2" t="s">
        <v>144</v>
      </c>
      <c r="P150" s="2" t="s">
        <v>1717</v>
      </c>
      <c r="Q150" s="2" t="s">
        <v>423</v>
      </c>
      <c r="R150" s="2" t="s">
        <v>417</v>
      </c>
      <c r="S150" s="2" t="s">
        <v>34</v>
      </c>
      <c r="T150" s="125">
        <v>1.889</v>
      </c>
      <c r="U150" s="2" t="s">
        <v>1843</v>
      </c>
      <c r="V150" s="138">
        <v>5.6500000000000002E-2</v>
      </c>
      <c r="W150" s="140">
        <v>4.7919999999999997E-2</v>
      </c>
      <c r="X150" s="3" t="s">
        <v>422</v>
      </c>
      <c r="Y150" s="3" t="s">
        <v>144</v>
      </c>
      <c r="Z150" s="125">
        <v>17000</v>
      </c>
      <c r="AA150" s="134">
        <v>1</v>
      </c>
      <c r="AB150" s="151">
        <v>101.73</v>
      </c>
      <c r="AC150" s="2"/>
      <c r="AD150" s="125">
        <v>17.294</v>
      </c>
      <c r="AE150" s="2"/>
      <c r="AF150" s="2"/>
      <c r="AG150" s="2" t="s">
        <v>36</v>
      </c>
      <c r="AH150" s="140">
        <v>1.0900000000000001E-4</v>
      </c>
      <c r="AI150" s="140">
        <v>5.0342782316482697E-3</v>
      </c>
      <c r="AJ150" s="140">
        <v>9.3968747385509701E-4</v>
      </c>
    </row>
    <row r="151" spans="1:36">
      <c r="A151" s="2">
        <v>382</v>
      </c>
      <c r="B151" s="2">
        <v>7635</v>
      </c>
      <c r="C151" s="2" t="s">
        <v>1836</v>
      </c>
      <c r="D151" s="2" t="s">
        <v>1837</v>
      </c>
      <c r="E151" s="3" t="s">
        <v>1322</v>
      </c>
      <c r="F151" s="2" t="s">
        <v>1841</v>
      </c>
      <c r="G151" s="2" t="s">
        <v>1842</v>
      </c>
      <c r="H151" s="2" t="s">
        <v>184</v>
      </c>
      <c r="I151" s="2" t="s">
        <v>765</v>
      </c>
      <c r="J151" s="2" t="s">
        <v>30</v>
      </c>
      <c r="K151" s="2" t="s">
        <v>30</v>
      </c>
      <c r="L151" s="2" t="s">
        <v>337</v>
      </c>
      <c r="M151" s="2" t="s">
        <v>44</v>
      </c>
      <c r="N151" s="2" t="s">
        <v>472</v>
      </c>
      <c r="O151" s="2" t="s">
        <v>144</v>
      </c>
      <c r="P151" s="2" t="s">
        <v>1717</v>
      </c>
      <c r="Q151" s="2" t="s">
        <v>423</v>
      </c>
      <c r="R151" s="2" t="s">
        <v>417</v>
      </c>
      <c r="S151" s="2" t="s">
        <v>34</v>
      </c>
      <c r="T151" s="125">
        <v>1.929</v>
      </c>
      <c r="U151" s="2" t="s">
        <v>1843</v>
      </c>
      <c r="V151" s="138">
        <v>3.6999999999999998E-2</v>
      </c>
      <c r="W151" s="140">
        <v>2.6380000000000001E-2</v>
      </c>
      <c r="X151" s="3" t="s">
        <v>422</v>
      </c>
      <c r="Y151" s="3" t="s">
        <v>144</v>
      </c>
      <c r="Z151" s="125">
        <v>46321.98</v>
      </c>
      <c r="AA151" s="134">
        <v>1</v>
      </c>
      <c r="AB151" s="151">
        <v>117.74</v>
      </c>
      <c r="AC151" s="2"/>
      <c r="AD151" s="125">
        <v>54.539000000000001</v>
      </c>
      <c r="AE151" s="2"/>
      <c r="AF151" s="2"/>
      <c r="AG151" s="2" t="s">
        <v>36</v>
      </c>
      <c r="AH151" s="140">
        <v>1.54E-4</v>
      </c>
      <c r="AI151" s="140">
        <v>1.5876340130411001E-2</v>
      </c>
      <c r="AJ151" s="140">
        <v>2.96344327125631E-3</v>
      </c>
    </row>
    <row r="152" spans="1:36">
      <c r="A152" s="2">
        <v>382</v>
      </c>
      <c r="B152" s="2">
        <v>7635</v>
      </c>
      <c r="C152" s="2" t="s">
        <v>1852</v>
      </c>
      <c r="D152" s="2" t="s">
        <v>1853</v>
      </c>
      <c r="E152" s="3" t="s">
        <v>1322</v>
      </c>
      <c r="F152" s="2" t="s">
        <v>1854</v>
      </c>
      <c r="G152" s="2" t="s">
        <v>1855</v>
      </c>
      <c r="H152" s="2" t="s">
        <v>184</v>
      </c>
      <c r="I152" s="2" t="s">
        <v>765</v>
      </c>
      <c r="J152" s="2" t="s">
        <v>30</v>
      </c>
      <c r="K152" s="2" t="s">
        <v>30</v>
      </c>
      <c r="L152" s="2" t="s">
        <v>337</v>
      </c>
      <c r="M152" s="2" t="s">
        <v>44</v>
      </c>
      <c r="N152" s="2" t="s">
        <v>472</v>
      </c>
      <c r="O152" s="2" t="s">
        <v>144</v>
      </c>
      <c r="P152" s="2" t="s">
        <v>1730</v>
      </c>
      <c r="Q152" s="2" t="s">
        <v>423</v>
      </c>
      <c r="R152" s="2" t="s">
        <v>417</v>
      </c>
      <c r="S152" s="2" t="s">
        <v>34</v>
      </c>
      <c r="T152" s="125">
        <v>1.6160000000000001</v>
      </c>
      <c r="U152" s="2" t="s">
        <v>1856</v>
      </c>
      <c r="V152" s="138">
        <v>2.0500000000000001E-2</v>
      </c>
      <c r="W152" s="140">
        <v>2.8719999999999999E-2</v>
      </c>
      <c r="X152" s="3" t="s">
        <v>422</v>
      </c>
      <c r="Y152" s="3" t="s">
        <v>144</v>
      </c>
      <c r="Z152" s="125">
        <v>49714.29</v>
      </c>
      <c r="AA152" s="134">
        <v>1</v>
      </c>
      <c r="AB152" s="151">
        <v>116.04</v>
      </c>
      <c r="AC152" s="2"/>
      <c r="AD152" s="125">
        <v>57.688000000000002</v>
      </c>
      <c r="AE152" s="2"/>
      <c r="AF152" s="2"/>
      <c r="AG152" s="2" t="s">
        <v>36</v>
      </c>
      <c r="AH152" s="140">
        <v>6.6000000000000005E-5</v>
      </c>
      <c r="AI152" s="140">
        <v>1.6792996978613799E-2</v>
      </c>
      <c r="AJ152" s="140">
        <v>3.1345444536789698E-3</v>
      </c>
    </row>
    <row r="153" spans="1:36">
      <c r="A153" s="2">
        <v>382</v>
      </c>
      <c r="B153" s="2">
        <v>7635</v>
      </c>
      <c r="C153" s="2" t="s">
        <v>1857</v>
      </c>
      <c r="D153" s="2" t="s">
        <v>1858</v>
      </c>
      <c r="E153" s="3" t="s">
        <v>1322</v>
      </c>
      <c r="F153" s="2" t="s">
        <v>2046</v>
      </c>
      <c r="G153" s="2" t="s">
        <v>2047</v>
      </c>
      <c r="H153" s="2" t="s">
        <v>184</v>
      </c>
      <c r="I153" s="2" t="s">
        <v>765</v>
      </c>
      <c r="J153" s="2" t="s">
        <v>30</v>
      </c>
      <c r="K153" s="2" t="s">
        <v>30</v>
      </c>
      <c r="L153" s="2" t="s">
        <v>337</v>
      </c>
      <c r="M153" s="2" t="s">
        <v>44</v>
      </c>
      <c r="N153" s="2" t="s">
        <v>456</v>
      </c>
      <c r="O153" s="2" t="s">
        <v>144</v>
      </c>
      <c r="P153" s="2" t="s">
        <v>1179</v>
      </c>
      <c r="Q153" s="2" t="s">
        <v>423</v>
      </c>
      <c r="R153" s="2" t="s">
        <v>417</v>
      </c>
      <c r="S153" s="2" t="s">
        <v>34</v>
      </c>
      <c r="T153" s="125">
        <v>2.7</v>
      </c>
      <c r="U153" s="2" t="s">
        <v>2048</v>
      </c>
      <c r="V153" s="138">
        <v>1.2200000000000001E-2</v>
      </c>
      <c r="W153" s="140">
        <v>2.3820000000000001E-2</v>
      </c>
      <c r="X153" s="3" t="s">
        <v>422</v>
      </c>
      <c r="Y153" s="3" t="s">
        <v>144</v>
      </c>
      <c r="Z153" s="125">
        <v>60000</v>
      </c>
      <c r="AA153" s="134">
        <v>1</v>
      </c>
      <c r="AB153" s="151">
        <v>113.2</v>
      </c>
      <c r="AC153" s="2"/>
      <c r="AD153" s="125">
        <v>67.92</v>
      </c>
      <c r="AE153" s="2"/>
      <c r="AF153" s="2"/>
      <c r="AG153" s="2" t="s">
        <v>36</v>
      </c>
      <c r="AH153" s="140">
        <v>2.0000000000000002E-5</v>
      </c>
      <c r="AI153" s="140">
        <v>1.97713773768829E-2</v>
      </c>
      <c r="AJ153" s="140">
        <v>3.69048248964896E-3</v>
      </c>
    </row>
    <row r="154" spans="1:36">
      <c r="A154" s="2">
        <v>382</v>
      </c>
      <c r="B154" s="2">
        <v>7635</v>
      </c>
      <c r="C154" s="2" t="s">
        <v>1857</v>
      </c>
      <c r="D154" s="2" t="s">
        <v>1858</v>
      </c>
      <c r="E154" s="3" t="s">
        <v>1322</v>
      </c>
      <c r="F154" s="2" t="s">
        <v>1859</v>
      </c>
      <c r="G154" s="2" t="s">
        <v>1860</v>
      </c>
      <c r="H154" s="2" t="s">
        <v>184</v>
      </c>
      <c r="I154" s="2" t="s">
        <v>765</v>
      </c>
      <c r="J154" s="2" t="s">
        <v>30</v>
      </c>
      <c r="K154" s="2" t="s">
        <v>30</v>
      </c>
      <c r="L154" s="2" t="s">
        <v>337</v>
      </c>
      <c r="M154" s="2" t="s">
        <v>44</v>
      </c>
      <c r="N154" s="2" t="s">
        <v>456</v>
      </c>
      <c r="O154" s="2" t="s">
        <v>144</v>
      </c>
      <c r="P154" s="2" t="s">
        <v>1179</v>
      </c>
      <c r="Q154" s="2" t="s">
        <v>423</v>
      </c>
      <c r="R154" s="2" t="s">
        <v>417</v>
      </c>
      <c r="S154" s="2" t="s">
        <v>34</v>
      </c>
      <c r="T154" s="125">
        <v>3.7989999999999999</v>
      </c>
      <c r="U154" s="2" t="s">
        <v>1861</v>
      </c>
      <c r="V154" s="138">
        <v>1E-3</v>
      </c>
      <c r="W154" s="140">
        <v>2.393E-2</v>
      </c>
      <c r="X154" s="3" t="s">
        <v>422</v>
      </c>
      <c r="Y154" s="3" t="s">
        <v>144</v>
      </c>
      <c r="Z154" s="125">
        <v>57000</v>
      </c>
      <c r="AA154" s="134">
        <v>1</v>
      </c>
      <c r="AB154" s="151">
        <v>103.26</v>
      </c>
      <c r="AC154" s="2"/>
      <c r="AD154" s="125">
        <v>58.857999999999997</v>
      </c>
      <c r="AE154" s="2"/>
      <c r="AF154" s="2"/>
      <c r="AG154" s="2" t="s">
        <v>36</v>
      </c>
      <c r="AH154" s="140">
        <v>1.7E-5</v>
      </c>
      <c r="AI154" s="140">
        <v>1.7133505358127899E-2</v>
      </c>
      <c r="AJ154" s="140">
        <v>3.1981030104866999E-3</v>
      </c>
    </row>
    <row r="155" spans="1:36">
      <c r="A155" s="2">
        <v>382</v>
      </c>
      <c r="B155" s="2">
        <v>7635</v>
      </c>
      <c r="C155" s="2" t="s">
        <v>1857</v>
      </c>
      <c r="D155" s="2" t="s">
        <v>1858</v>
      </c>
      <c r="E155" s="3" t="s">
        <v>1322</v>
      </c>
      <c r="F155" s="2" t="s">
        <v>2049</v>
      </c>
      <c r="G155" s="2" t="s">
        <v>2050</v>
      </c>
      <c r="H155" s="2" t="s">
        <v>184</v>
      </c>
      <c r="I155" s="2" t="s">
        <v>977</v>
      </c>
      <c r="J155" s="2" t="s">
        <v>30</v>
      </c>
      <c r="K155" s="2" t="s">
        <v>30</v>
      </c>
      <c r="L155" s="2" t="s">
        <v>337</v>
      </c>
      <c r="M155" s="2" t="s">
        <v>44</v>
      </c>
      <c r="N155" s="2" t="s">
        <v>456</v>
      </c>
      <c r="O155" s="2" t="s">
        <v>144</v>
      </c>
      <c r="P155" s="2" t="s">
        <v>1179</v>
      </c>
      <c r="Q155" s="2" t="s">
        <v>423</v>
      </c>
      <c r="R155" s="2" t="s">
        <v>417</v>
      </c>
      <c r="S155" s="2" t="s">
        <v>34</v>
      </c>
      <c r="T155" s="125">
        <v>2.9969999999999999</v>
      </c>
      <c r="U155" s="2" t="s">
        <v>1872</v>
      </c>
      <c r="V155" s="138">
        <v>2.7400000000000001E-2</v>
      </c>
      <c r="W155" s="140">
        <v>4.5780000000000001E-2</v>
      </c>
      <c r="X155" s="3" t="s">
        <v>422</v>
      </c>
      <c r="Y155" s="3" t="s">
        <v>144</v>
      </c>
      <c r="Z155" s="125">
        <v>55000</v>
      </c>
      <c r="AA155" s="134">
        <v>1</v>
      </c>
      <c r="AB155" s="151">
        <v>96.62</v>
      </c>
      <c r="AC155" s="2"/>
      <c r="AD155" s="125">
        <v>53.140999999999998</v>
      </c>
      <c r="AE155" s="2"/>
      <c r="AF155" s="2"/>
      <c r="AG155" s="2" t="s">
        <v>36</v>
      </c>
      <c r="AH155" s="140">
        <v>3.6999999999999998E-5</v>
      </c>
      <c r="AI155" s="140">
        <v>1.54692397700962E-2</v>
      </c>
      <c r="AJ155" s="140">
        <v>2.8874547995058199E-3</v>
      </c>
    </row>
    <row r="156" spans="1:36">
      <c r="A156" s="2">
        <v>382</v>
      </c>
      <c r="B156" s="2">
        <v>7635</v>
      </c>
      <c r="C156" s="2" t="s">
        <v>1857</v>
      </c>
      <c r="D156" s="2" t="s">
        <v>1858</v>
      </c>
      <c r="E156" s="3" t="s">
        <v>1322</v>
      </c>
      <c r="F156" s="2" t="s">
        <v>1862</v>
      </c>
      <c r="G156" s="2" t="s">
        <v>1863</v>
      </c>
      <c r="H156" s="2" t="s">
        <v>184</v>
      </c>
      <c r="I156" s="2" t="s">
        <v>765</v>
      </c>
      <c r="J156" s="2" t="s">
        <v>30</v>
      </c>
      <c r="K156" s="2" t="s">
        <v>30</v>
      </c>
      <c r="L156" s="2" t="s">
        <v>337</v>
      </c>
      <c r="M156" s="2" t="s">
        <v>44</v>
      </c>
      <c r="N156" s="2" t="s">
        <v>456</v>
      </c>
      <c r="O156" s="2" t="s">
        <v>144</v>
      </c>
      <c r="P156" s="2" t="s">
        <v>1179</v>
      </c>
      <c r="Q156" s="2" t="s">
        <v>423</v>
      </c>
      <c r="R156" s="2" t="s">
        <v>417</v>
      </c>
      <c r="S156" s="2" t="s">
        <v>34</v>
      </c>
      <c r="T156" s="125">
        <v>4.165</v>
      </c>
      <c r="U156" s="2" t="s">
        <v>1817</v>
      </c>
      <c r="V156" s="138">
        <v>2.06E-2</v>
      </c>
      <c r="W156" s="140">
        <v>2.3900000000000001E-2</v>
      </c>
      <c r="X156" s="3" t="s">
        <v>422</v>
      </c>
      <c r="Y156" s="3" t="s">
        <v>144</v>
      </c>
      <c r="Z156" s="125">
        <v>65000</v>
      </c>
      <c r="AA156" s="134">
        <v>1</v>
      </c>
      <c r="AB156" s="151">
        <v>104.29</v>
      </c>
      <c r="AC156" s="2"/>
      <c r="AD156" s="125">
        <v>67.787999999999997</v>
      </c>
      <c r="AE156" s="2"/>
      <c r="AF156" s="2"/>
      <c r="AG156" s="2" t="s">
        <v>36</v>
      </c>
      <c r="AH156" s="140">
        <v>3.6000000000000001E-5</v>
      </c>
      <c r="AI156" s="140">
        <v>1.9733097987526899E-2</v>
      </c>
      <c r="AJ156" s="140">
        <v>3.6833373417192099E-3</v>
      </c>
    </row>
    <row r="157" spans="1:36">
      <c r="A157" s="2">
        <v>382</v>
      </c>
      <c r="B157" s="2">
        <v>7635</v>
      </c>
      <c r="C157" s="2" t="s">
        <v>1857</v>
      </c>
      <c r="D157" s="2" t="s">
        <v>1858</v>
      </c>
      <c r="E157" s="3" t="s">
        <v>1322</v>
      </c>
      <c r="F157" s="2" t="s">
        <v>1864</v>
      </c>
      <c r="G157" s="2" t="s">
        <v>1865</v>
      </c>
      <c r="H157" s="2" t="s">
        <v>184</v>
      </c>
      <c r="I157" s="2" t="s">
        <v>765</v>
      </c>
      <c r="J157" s="2" t="s">
        <v>30</v>
      </c>
      <c r="K157" s="2" t="s">
        <v>30</v>
      </c>
      <c r="L157" s="2" t="s">
        <v>337</v>
      </c>
      <c r="M157" s="2" t="s">
        <v>44</v>
      </c>
      <c r="N157" s="2" t="s">
        <v>456</v>
      </c>
      <c r="O157" s="2" t="s">
        <v>144</v>
      </c>
      <c r="P157" s="2" t="s">
        <v>1179</v>
      </c>
      <c r="Q157" s="2" t="s">
        <v>423</v>
      </c>
      <c r="R157" s="2" t="s">
        <v>417</v>
      </c>
      <c r="S157" s="2" t="s">
        <v>34</v>
      </c>
      <c r="T157" s="125">
        <v>4.7060000000000004</v>
      </c>
      <c r="U157" s="2" t="s">
        <v>1866</v>
      </c>
      <c r="V157" s="138">
        <v>1.9900000000000001E-2</v>
      </c>
      <c r="W157" s="140">
        <v>2.3980000000000001E-2</v>
      </c>
      <c r="X157" s="3" t="s">
        <v>422</v>
      </c>
      <c r="Y157" s="3" t="s">
        <v>144</v>
      </c>
      <c r="Z157" s="125">
        <v>36000</v>
      </c>
      <c r="AA157" s="134">
        <v>1</v>
      </c>
      <c r="AB157" s="151">
        <v>101.53</v>
      </c>
      <c r="AC157" s="2"/>
      <c r="AD157" s="125">
        <v>36.551000000000002</v>
      </c>
      <c r="AE157" s="2"/>
      <c r="AF157" s="2"/>
      <c r="AG157" s="2" t="s">
        <v>36</v>
      </c>
      <c r="AH157" s="140">
        <v>1.5E-5</v>
      </c>
      <c r="AI157" s="140">
        <v>1.06398654332593E-2</v>
      </c>
      <c r="AJ157" s="140">
        <v>1.98601424297205E-3</v>
      </c>
    </row>
    <row r="158" spans="1:36">
      <c r="A158" s="2">
        <v>382</v>
      </c>
      <c r="B158" s="2">
        <v>7635</v>
      </c>
      <c r="C158" s="2" t="s">
        <v>1857</v>
      </c>
      <c r="D158" s="2" t="s">
        <v>1858</v>
      </c>
      <c r="E158" s="3" t="s">
        <v>1322</v>
      </c>
      <c r="F158" s="2" t="s">
        <v>2051</v>
      </c>
      <c r="G158" s="2" t="s">
        <v>2052</v>
      </c>
      <c r="H158" s="2" t="s">
        <v>184</v>
      </c>
      <c r="I158" s="2" t="s">
        <v>977</v>
      </c>
      <c r="J158" s="2" t="s">
        <v>30</v>
      </c>
      <c r="K158" s="2" t="s">
        <v>30</v>
      </c>
      <c r="L158" s="2" t="s">
        <v>337</v>
      </c>
      <c r="M158" s="2" t="s">
        <v>44</v>
      </c>
      <c r="N158" s="2" t="s">
        <v>456</v>
      </c>
      <c r="O158" s="2" t="s">
        <v>144</v>
      </c>
      <c r="P158" s="2" t="s">
        <v>1179</v>
      </c>
      <c r="Q158" s="2" t="s">
        <v>423</v>
      </c>
      <c r="R158" s="2" t="s">
        <v>417</v>
      </c>
      <c r="S158" s="2" t="s">
        <v>34</v>
      </c>
      <c r="T158" s="125">
        <v>0.43</v>
      </c>
      <c r="U158" s="2" t="s">
        <v>2053</v>
      </c>
      <c r="V158" s="138">
        <v>2.98E-2</v>
      </c>
      <c r="W158" s="140">
        <v>4.444E-2</v>
      </c>
      <c r="X158" s="3" t="s">
        <v>422</v>
      </c>
      <c r="Y158" s="3" t="s">
        <v>144</v>
      </c>
      <c r="Z158" s="125">
        <v>113500</v>
      </c>
      <c r="AA158" s="134">
        <v>1</v>
      </c>
      <c r="AB158" s="151">
        <v>101.06</v>
      </c>
      <c r="AC158" s="2"/>
      <c r="AD158" s="125">
        <v>114.703</v>
      </c>
      <c r="AE158" s="2"/>
      <c r="AF158" s="2"/>
      <c r="AG158" s="2" t="s">
        <v>36</v>
      </c>
      <c r="AH158" s="140">
        <v>4.5000000000000003E-5</v>
      </c>
      <c r="AI158" s="140">
        <v>3.33898450588683E-2</v>
      </c>
      <c r="AJ158" s="140">
        <v>6.23247617871693E-3</v>
      </c>
    </row>
    <row r="159" spans="1:36">
      <c r="A159" s="2">
        <v>382</v>
      </c>
      <c r="B159" s="2">
        <v>7635</v>
      </c>
      <c r="C159" s="2" t="s">
        <v>1857</v>
      </c>
      <c r="D159" s="2" t="s">
        <v>1858</v>
      </c>
      <c r="E159" s="3" t="s">
        <v>1322</v>
      </c>
      <c r="F159" s="2" t="s">
        <v>1867</v>
      </c>
      <c r="G159" s="2" t="s">
        <v>1868</v>
      </c>
      <c r="H159" s="2" t="s">
        <v>184</v>
      </c>
      <c r="I159" s="2" t="s">
        <v>765</v>
      </c>
      <c r="J159" s="2" t="s">
        <v>30</v>
      </c>
      <c r="K159" s="2" t="s">
        <v>30</v>
      </c>
      <c r="L159" s="2" t="s">
        <v>337</v>
      </c>
      <c r="M159" s="2" t="s">
        <v>44</v>
      </c>
      <c r="N159" s="2" t="s">
        <v>456</v>
      </c>
      <c r="O159" s="2" t="s">
        <v>144</v>
      </c>
      <c r="P159" s="2" t="s">
        <v>1179</v>
      </c>
      <c r="Q159" s="2" t="s">
        <v>423</v>
      </c>
      <c r="R159" s="2" t="s">
        <v>417</v>
      </c>
      <c r="S159" s="2" t="s">
        <v>34</v>
      </c>
      <c r="T159" s="125">
        <v>1.4670000000000001</v>
      </c>
      <c r="U159" s="2" t="s">
        <v>1869</v>
      </c>
      <c r="V159" s="138">
        <v>3.8E-3</v>
      </c>
      <c r="W159" s="140">
        <v>2.2120000000000001E-2</v>
      </c>
      <c r="X159" s="3" t="s">
        <v>422</v>
      </c>
      <c r="Y159" s="3" t="s">
        <v>144</v>
      </c>
      <c r="Z159" s="125">
        <v>80000</v>
      </c>
      <c r="AA159" s="134">
        <v>1</v>
      </c>
      <c r="AB159" s="151">
        <v>110.77</v>
      </c>
      <c r="AC159" s="2"/>
      <c r="AD159" s="125">
        <v>88.616</v>
      </c>
      <c r="AE159" s="2"/>
      <c r="AF159" s="2"/>
      <c r="AG159" s="2" t="s">
        <v>36</v>
      </c>
      <c r="AH159" s="140">
        <v>2.6999999999999999E-5</v>
      </c>
      <c r="AI159" s="140">
        <v>2.5795941955680999E-2</v>
      </c>
      <c r="AJ159" s="140">
        <v>4.8150146687681496E-3</v>
      </c>
    </row>
    <row r="160" spans="1:36">
      <c r="A160" s="2">
        <v>382</v>
      </c>
      <c r="B160" s="2">
        <v>7635</v>
      </c>
      <c r="C160" s="2" t="s">
        <v>1857</v>
      </c>
      <c r="D160" s="2" t="s">
        <v>1858</v>
      </c>
      <c r="E160" s="3" t="s">
        <v>1322</v>
      </c>
      <c r="F160" s="2" t="s">
        <v>1870</v>
      </c>
      <c r="G160" s="2" t="s">
        <v>1871</v>
      </c>
      <c r="H160" s="2" t="s">
        <v>184</v>
      </c>
      <c r="I160" s="2" t="s">
        <v>765</v>
      </c>
      <c r="J160" s="2" t="s">
        <v>30</v>
      </c>
      <c r="K160" s="2" t="s">
        <v>30</v>
      </c>
      <c r="L160" s="2" t="s">
        <v>337</v>
      </c>
      <c r="M160" s="2" t="s">
        <v>44</v>
      </c>
      <c r="N160" s="2" t="s">
        <v>456</v>
      </c>
      <c r="O160" s="2" t="s">
        <v>144</v>
      </c>
      <c r="P160" s="2" t="s">
        <v>1179</v>
      </c>
      <c r="Q160" s="2" t="s">
        <v>423</v>
      </c>
      <c r="R160" s="2" t="s">
        <v>417</v>
      </c>
      <c r="S160" s="2" t="s">
        <v>34</v>
      </c>
      <c r="T160" s="125">
        <v>3.177</v>
      </c>
      <c r="U160" s="2" t="s">
        <v>1872</v>
      </c>
      <c r="V160" s="138">
        <v>1E-3</v>
      </c>
      <c r="W160" s="140">
        <v>2.4199999999999999E-2</v>
      </c>
      <c r="X160" s="3" t="s">
        <v>422</v>
      </c>
      <c r="Y160" s="3" t="s">
        <v>144</v>
      </c>
      <c r="Z160" s="125">
        <v>88125.78</v>
      </c>
      <c r="AA160" s="134">
        <v>1</v>
      </c>
      <c r="AB160" s="151">
        <v>103.37</v>
      </c>
      <c r="AC160" s="2"/>
      <c r="AD160" s="125">
        <v>91.096000000000004</v>
      </c>
      <c r="AE160" s="2"/>
      <c r="AF160" s="2"/>
      <c r="AG160" s="2" t="s">
        <v>36</v>
      </c>
      <c r="AH160" s="140">
        <v>3.4E-5</v>
      </c>
      <c r="AI160" s="140">
        <v>2.65177540694739E-2</v>
      </c>
      <c r="AJ160" s="140">
        <v>4.9497465549686401E-3</v>
      </c>
    </row>
    <row r="161" spans="1:36">
      <c r="A161" s="2">
        <v>382</v>
      </c>
      <c r="B161" s="2">
        <v>7635</v>
      </c>
      <c r="C161" s="2" t="s">
        <v>1873</v>
      </c>
      <c r="D161" s="2" t="s">
        <v>1874</v>
      </c>
      <c r="E161" s="3" t="s">
        <v>1322</v>
      </c>
      <c r="F161" s="2" t="s">
        <v>1875</v>
      </c>
      <c r="G161" s="2" t="s">
        <v>1876</v>
      </c>
      <c r="H161" s="2" t="s">
        <v>184</v>
      </c>
      <c r="I161" s="2" t="s">
        <v>765</v>
      </c>
      <c r="J161" s="2" t="s">
        <v>30</v>
      </c>
      <c r="K161" s="2" t="s">
        <v>30</v>
      </c>
      <c r="L161" s="2" t="s">
        <v>339</v>
      </c>
      <c r="M161" s="2" t="s">
        <v>44</v>
      </c>
      <c r="N161" s="2" t="s">
        <v>451</v>
      </c>
      <c r="O161" s="2" t="s">
        <v>144</v>
      </c>
      <c r="P161" s="2" t="s">
        <v>1730</v>
      </c>
      <c r="Q161" s="2" t="s">
        <v>425</v>
      </c>
      <c r="R161" s="2" t="s">
        <v>417</v>
      </c>
      <c r="S161" s="2" t="s">
        <v>34</v>
      </c>
      <c r="T161" s="125">
        <v>1.403</v>
      </c>
      <c r="U161" s="2" t="s">
        <v>1877</v>
      </c>
      <c r="V161" s="138">
        <v>3.5400000000000001E-2</v>
      </c>
      <c r="W161" s="140">
        <v>2.9649999999999999E-2</v>
      </c>
      <c r="X161" s="3" t="s">
        <v>422</v>
      </c>
      <c r="Y161" s="3" t="s">
        <v>144</v>
      </c>
      <c r="Z161" s="125">
        <v>24000</v>
      </c>
      <c r="AA161" s="134">
        <v>1</v>
      </c>
      <c r="AB161" s="151">
        <v>108.84</v>
      </c>
      <c r="AC161" s="2"/>
      <c r="AD161" s="125">
        <v>26.122</v>
      </c>
      <c r="AE161" s="2"/>
      <c r="AF161" s="2"/>
      <c r="AG161" s="2" t="s">
        <v>36</v>
      </c>
      <c r="AH161" s="140">
        <v>0</v>
      </c>
      <c r="AI161" s="140">
        <v>7.6039459848054203E-3</v>
      </c>
      <c r="AJ161" s="140">
        <v>1.41933609248549E-3</v>
      </c>
    </row>
    <row r="162" spans="1:36">
      <c r="A162" s="2">
        <v>382</v>
      </c>
      <c r="B162" s="2">
        <v>7635</v>
      </c>
      <c r="C162" s="2" t="s">
        <v>1584</v>
      </c>
      <c r="D162" s="2" t="s">
        <v>1585</v>
      </c>
      <c r="E162" s="3" t="s">
        <v>1322</v>
      </c>
      <c r="F162" s="2" t="s">
        <v>1878</v>
      </c>
      <c r="G162" s="2" t="s">
        <v>1879</v>
      </c>
      <c r="H162" s="2" t="s">
        <v>184</v>
      </c>
      <c r="I162" s="2" t="s">
        <v>765</v>
      </c>
      <c r="J162" s="2" t="s">
        <v>30</v>
      </c>
      <c r="K162" s="2" t="s">
        <v>30</v>
      </c>
      <c r="L162" s="2" t="s">
        <v>337</v>
      </c>
      <c r="M162" s="2" t="s">
        <v>44</v>
      </c>
      <c r="N162" s="2" t="s">
        <v>472</v>
      </c>
      <c r="O162" s="2" t="s">
        <v>144</v>
      </c>
      <c r="P162" s="2" t="s">
        <v>1717</v>
      </c>
      <c r="Q162" s="2" t="s">
        <v>423</v>
      </c>
      <c r="R162" s="2" t="s">
        <v>417</v>
      </c>
      <c r="S162" s="2" t="s">
        <v>34</v>
      </c>
      <c r="T162" s="125">
        <v>3.3439999999999999</v>
      </c>
      <c r="U162" s="2" t="s">
        <v>1737</v>
      </c>
      <c r="V162" s="138">
        <v>6.4999999999999997E-3</v>
      </c>
      <c r="W162" s="140">
        <v>2.5749999999999999E-2</v>
      </c>
      <c r="X162" s="3" t="s">
        <v>422</v>
      </c>
      <c r="Y162" s="3" t="s">
        <v>144</v>
      </c>
      <c r="Z162" s="125">
        <v>19148.919999999998</v>
      </c>
      <c r="AA162" s="134">
        <v>1</v>
      </c>
      <c r="AB162" s="151">
        <v>107.93</v>
      </c>
      <c r="AC162" s="125">
        <v>0.317</v>
      </c>
      <c r="AD162" s="125">
        <v>20.984000000000002</v>
      </c>
      <c r="AE162" s="2"/>
      <c r="AF162" s="2"/>
      <c r="AG162" s="2" t="s">
        <v>36</v>
      </c>
      <c r="AH162" s="140">
        <v>3.4999999999999997E-5</v>
      </c>
      <c r="AI162" s="140">
        <v>6.1085374365593397E-3</v>
      </c>
      <c r="AJ162" s="140">
        <v>1.1402063709200999E-3</v>
      </c>
    </row>
    <row r="163" spans="1:36">
      <c r="A163" s="2">
        <v>382</v>
      </c>
      <c r="B163" s="2">
        <v>7635</v>
      </c>
      <c r="C163" s="2" t="s">
        <v>1584</v>
      </c>
      <c r="D163" s="2" t="s">
        <v>1585</v>
      </c>
      <c r="E163" s="3" t="s">
        <v>1322</v>
      </c>
      <c r="F163" s="2" t="s">
        <v>1880</v>
      </c>
      <c r="G163" s="2" t="s">
        <v>1881</v>
      </c>
      <c r="H163" s="2" t="s">
        <v>184</v>
      </c>
      <c r="I163" s="2" t="s">
        <v>765</v>
      </c>
      <c r="J163" s="2" t="s">
        <v>30</v>
      </c>
      <c r="K163" s="2" t="s">
        <v>30</v>
      </c>
      <c r="L163" s="2" t="s">
        <v>337</v>
      </c>
      <c r="M163" s="2" t="s">
        <v>44</v>
      </c>
      <c r="N163" s="2" t="s">
        <v>472</v>
      </c>
      <c r="O163" s="2" t="s">
        <v>144</v>
      </c>
      <c r="P163" s="2" t="s">
        <v>1717</v>
      </c>
      <c r="Q163" s="2" t="s">
        <v>423</v>
      </c>
      <c r="R163" s="2" t="s">
        <v>417</v>
      </c>
      <c r="S163" s="2" t="s">
        <v>34</v>
      </c>
      <c r="T163" s="125">
        <v>5.968</v>
      </c>
      <c r="U163" s="2" t="s">
        <v>1882</v>
      </c>
      <c r="V163" s="138">
        <v>3.61E-2</v>
      </c>
      <c r="W163" s="140">
        <v>3.091E-2</v>
      </c>
      <c r="X163" s="3" t="s">
        <v>422</v>
      </c>
      <c r="Y163" s="3" t="s">
        <v>144</v>
      </c>
      <c r="Z163" s="125">
        <v>18572.5</v>
      </c>
      <c r="AA163" s="134">
        <v>1</v>
      </c>
      <c r="AB163" s="151">
        <v>109.14</v>
      </c>
      <c r="AC163" s="125">
        <v>0.40600000000000003</v>
      </c>
      <c r="AD163" s="125">
        <v>20.675999999999998</v>
      </c>
      <c r="AE163" s="2"/>
      <c r="AF163" s="2"/>
      <c r="AG163" s="2" t="s">
        <v>36</v>
      </c>
      <c r="AH163" s="140">
        <v>1.2E-5</v>
      </c>
      <c r="AI163" s="140">
        <v>6.0186368043102798E-3</v>
      </c>
      <c r="AJ163" s="140">
        <v>1.12342571356886E-3</v>
      </c>
    </row>
    <row r="164" spans="1:36">
      <c r="A164" s="2">
        <v>382</v>
      </c>
      <c r="B164" s="2">
        <v>7635</v>
      </c>
      <c r="C164" s="2" t="s">
        <v>1584</v>
      </c>
      <c r="D164" s="2" t="s">
        <v>1585</v>
      </c>
      <c r="E164" s="3" t="s">
        <v>1322</v>
      </c>
      <c r="F164" s="2" t="s">
        <v>1883</v>
      </c>
      <c r="G164" s="2" t="s">
        <v>1884</v>
      </c>
      <c r="H164" s="2" t="s">
        <v>184</v>
      </c>
      <c r="I164" s="2" t="s">
        <v>765</v>
      </c>
      <c r="J164" s="2" t="s">
        <v>30</v>
      </c>
      <c r="K164" s="2" t="s">
        <v>30</v>
      </c>
      <c r="L164" s="2" t="s">
        <v>337</v>
      </c>
      <c r="M164" s="2" t="s">
        <v>44</v>
      </c>
      <c r="N164" s="2" t="s">
        <v>472</v>
      </c>
      <c r="O164" s="2" t="s">
        <v>144</v>
      </c>
      <c r="P164" s="2" t="s">
        <v>1717</v>
      </c>
      <c r="Q164" s="2" t="s">
        <v>423</v>
      </c>
      <c r="R164" s="2" t="s">
        <v>417</v>
      </c>
      <c r="S164" s="2" t="s">
        <v>34</v>
      </c>
      <c r="T164" s="125">
        <v>0.51800000000000002</v>
      </c>
      <c r="U164" s="2" t="s">
        <v>1885</v>
      </c>
      <c r="V164" s="138">
        <v>2.3E-2</v>
      </c>
      <c r="W164" s="140">
        <v>2.8219999999999999E-2</v>
      </c>
      <c r="X164" s="3" t="s">
        <v>422</v>
      </c>
      <c r="Y164" s="3" t="s">
        <v>144</v>
      </c>
      <c r="Z164" s="125">
        <v>41980.99</v>
      </c>
      <c r="AA164" s="134">
        <v>1</v>
      </c>
      <c r="AB164" s="151">
        <v>116.73</v>
      </c>
      <c r="AC164" s="125">
        <v>1.1599999999999999</v>
      </c>
      <c r="AD164" s="125">
        <v>50.164000000000001</v>
      </c>
      <c r="AE164" s="2"/>
      <c r="AF164" s="2"/>
      <c r="AG164" s="2" t="s">
        <v>36</v>
      </c>
      <c r="AH164" s="140">
        <v>5.3000000000000001E-5</v>
      </c>
      <c r="AI164" s="140">
        <v>1.46026408621795E-2</v>
      </c>
      <c r="AJ164" s="140">
        <v>2.7256973238251E-3</v>
      </c>
    </row>
    <row r="165" spans="1:36">
      <c r="A165" s="2">
        <v>382</v>
      </c>
      <c r="B165" s="2">
        <v>7635</v>
      </c>
      <c r="C165" s="2" t="s">
        <v>1584</v>
      </c>
      <c r="D165" s="2" t="s">
        <v>1585</v>
      </c>
      <c r="E165" s="3" t="s">
        <v>1322</v>
      </c>
      <c r="F165" s="2" t="s">
        <v>1889</v>
      </c>
      <c r="G165" s="2" t="s">
        <v>1890</v>
      </c>
      <c r="H165" s="2" t="s">
        <v>184</v>
      </c>
      <c r="I165" s="2" t="s">
        <v>765</v>
      </c>
      <c r="J165" s="2" t="s">
        <v>30</v>
      </c>
      <c r="K165" s="2" t="s">
        <v>30</v>
      </c>
      <c r="L165" s="2" t="s">
        <v>337</v>
      </c>
      <c r="M165" s="2" t="s">
        <v>44</v>
      </c>
      <c r="N165" s="2" t="s">
        <v>472</v>
      </c>
      <c r="O165" s="2" t="s">
        <v>144</v>
      </c>
      <c r="P165" s="2" t="s">
        <v>1717</v>
      </c>
      <c r="Q165" s="2" t="s">
        <v>423</v>
      </c>
      <c r="R165" s="2" t="s">
        <v>417</v>
      </c>
      <c r="S165" s="2" t="s">
        <v>34</v>
      </c>
      <c r="T165" s="125">
        <v>5.1219999999999999</v>
      </c>
      <c r="U165" s="2" t="s">
        <v>1891</v>
      </c>
      <c r="V165" s="138">
        <v>2.5000000000000001E-3</v>
      </c>
      <c r="W165" s="140">
        <v>2.6169999999999999E-2</v>
      </c>
      <c r="X165" s="3" t="s">
        <v>422</v>
      </c>
      <c r="Y165" s="3" t="s">
        <v>144</v>
      </c>
      <c r="Z165" s="125">
        <v>66831.820000000007</v>
      </c>
      <c r="AA165" s="134">
        <v>1</v>
      </c>
      <c r="AB165" s="151">
        <v>100.3</v>
      </c>
      <c r="AC165" s="125">
        <v>0.96399999999999997</v>
      </c>
      <c r="AD165" s="125">
        <v>67.997</v>
      </c>
      <c r="AE165" s="2"/>
      <c r="AF165" s="2"/>
      <c r="AG165" s="2" t="s">
        <v>36</v>
      </c>
      <c r="AH165" s="140">
        <v>4.8999999999999998E-5</v>
      </c>
      <c r="AI165" s="140">
        <v>1.9793647964648699E-2</v>
      </c>
      <c r="AJ165" s="140">
        <v>3.6946394693381998E-3</v>
      </c>
    </row>
    <row r="166" spans="1:36">
      <c r="A166" s="2">
        <v>382</v>
      </c>
      <c r="B166" s="2">
        <v>7635</v>
      </c>
      <c r="C166" s="2" t="s">
        <v>1978</v>
      </c>
      <c r="D166" s="2" t="s">
        <v>1979</v>
      </c>
      <c r="E166" s="3" t="s">
        <v>1322</v>
      </c>
      <c r="F166" s="2" t="s">
        <v>1980</v>
      </c>
      <c r="G166" s="2" t="s">
        <v>1981</v>
      </c>
      <c r="H166" s="2" t="s">
        <v>184</v>
      </c>
      <c r="I166" s="2" t="s">
        <v>977</v>
      </c>
      <c r="J166" s="2" t="s">
        <v>30</v>
      </c>
      <c r="K166" s="2" t="s">
        <v>30</v>
      </c>
      <c r="L166" s="2" t="s">
        <v>337</v>
      </c>
      <c r="M166" s="2" t="s">
        <v>44</v>
      </c>
      <c r="N166" s="2" t="s">
        <v>453</v>
      </c>
      <c r="O166" s="2" t="s">
        <v>144</v>
      </c>
      <c r="P166" s="2" t="s">
        <v>1721</v>
      </c>
      <c r="Q166" s="2" t="s">
        <v>425</v>
      </c>
      <c r="R166" s="2" t="s">
        <v>417</v>
      </c>
      <c r="S166" s="2" t="s">
        <v>34</v>
      </c>
      <c r="T166" s="125">
        <v>4.1929999999999996</v>
      </c>
      <c r="U166" s="2" t="s">
        <v>1963</v>
      </c>
      <c r="V166" s="138">
        <v>3.4299999999999997E-2</v>
      </c>
      <c r="W166" s="140">
        <v>4.8239999999999998E-2</v>
      </c>
      <c r="X166" s="3" t="s">
        <v>422</v>
      </c>
      <c r="Y166" s="3" t="s">
        <v>144</v>
      </c>
      <c r="Z166" s="125">
        <v>25000</v>
      </c>
      <c r="AA166" s="134">
        <v>1</v>
      </c>
      <c r="AB166" s="151">
        <v>94.65</v>
      </c>
      <c r="AC166" s="2"/>
      <c r="AD166" s="125">
        <v>23.663</v>
      </c>
      <c r="AE166" s="2"/>
      <c r="AF166" s="2"/>
      <c r="AG166" s="2" t="s">
        <v>36</v>
      </c>
      <c r="AH166" s="140">
        <v>8.2000000000000001E-5</v>
      </c>
      <c r="AI166" s="140">
        <v>6.8881068489471597E-3</v>
      </c>
      <c r="AJ166" s="140">
        <v>1.28571910941282E-3</v>
      </c>
    </row>
    <row r="167" spans="1:36">
      <c r="A167" s="2">
        <v>382</v>
      </c>
      <c r="B167" s="2">
        <v>7635</v>
      </c>
      <c r="C167" s="2" t="s">
        <v>1982</v>
      </c>
      <c r="D167" s="2" t="s">
        <v>1983</v>
      </c>
      <c r="E167" s="3" t="s">
        <v>1322</v>
      </c>
      <c r="F167" s="2" t="s">
        <v>1984</v>
      </c>
      <c r="G167" s="2" t="s">
        <v>1985</v>
      </c>
      <c r="H167" s="2" t="s">
        <v>184</v>
      </c>
      <c r="I167" s="2" t="s">
        <v>765</v>
      </c>
      <c r="J167" s="2" t="s">
        <v>30</v>
      </c>
      <c r="K167" s="2" t="s">
        <v>30</v>
      </c>
      <c r="L167" s="2" t="s">
        <v>337</v>
      </c>
      <c r="M167" s="2" t="s">
        <v>44</v>
      </c>
      <c r="N167" s="2" t="s">
        <v>472</v>
      </c>
      <c r="O167" s="2" t="s">
        <v>144</v>
      </c>
      <c r="P167" s="2" t="s">
        <v>1179</v>
      </c>
      <c r="Q167" s="2" t="s">
        <v>423</v>
      </c>
      <c r="R167" s="2" t="s">
        <v>417</v>
      </c>
      <c r="S167" s="2" t="s">
        <v>34</v>
      </c>
      <c r="T167" s="125">
        <v>4.7859999999999996</v>
      </c>
      <c r="U167" s="2" t="s">
        <v>1986</v>
      </c>
      <c r="V167" s="138">
        <v>1.6500000000000001E-2</v>
      </c>
      <c r="W167" s="140">
        <v>2.4330000000000001E-2</v>
      </c>
      <c r="X167" s="3" t="s">
        <v>422</v>
      </c>
      <c r="Y167" s="3" t="s">
        <v>144</v>
      </c>
      <c r="Z167" s="125">
        <v>60000</v>
      </c>
      <c r="AA167" s="134">
        <v>1</v>
      </c>
      <c r="AB167" s="151">
        <v>112.1</v>
      </c>
      <c r="AC167" s="2"/>
      <c r="AD167" s="125">
        <v>67.260000000000005</v>
      </c>
      <c r="AE167" s="2"/>
      <c r="AF167" s="2"/>
      <c r="AG167" s="2" t="s">
        <v>36</v>
      </c>
      <c r="AH167" s="140">
        <v>2.8E-5</v>
      </c>
      <c r="AI167" s="140">
        <v>1.9579252685057998E-2</v>
      </c>
      <c r="AJ167" s="140">
        <v>3.6546209106859402E-3</v>
      </c>
    </row>
    <row r="168" spans="1:36">
      <c r="A168" s="2">
        <v>382</v>
      </c>
      <c r="B168" s="2">
        <v>7635</v>
      </c>
      <c r="C168" s="2" t="s">
        <v>2054</v>
      </c>
      <c r="D168" s="2" t="s">
        <v>2055</v>
      </c>
      <c r="E168" s="3" t="s">
        <v>1322</v>
      </c>
      <c r="F168" s="2" t="s">
        <v>2056</v>
      </c>
      <c r="G168" s="2" t="s">
        <v>2057</v>
      </c>
      <c r="H168" s="2" t="s">
        <v>184</v>
      </c>
      <c r="I168" s="2" t="s">
        <v>977</v>
      </c>
      <c r="J168" s="2" t="s">
        <v>30</v>
      </c>
      <c r="K168" s="2" t="s">
        <v>30</v>
      </c>
      <c r="L168" s="2" t="s">
        <v>337</v>
      </c>
      <c r="M168" s="2" t="s">
        <v>44</v>
      </c>
      <c r="N168" s="2" t="s">
        <v>493</v>
      </c>
      <c r="O168" s="2" t="s">
        <v>144</v>
      </c>
      <c r="P168" s="2" t="s">
        <v>1730</v>
      </c>
      <c r="Q168" s="2" t="s">
        <v>423</v>
      </c>
      <c r="R168" s="2" t="s">
        <v>417</v>
      </c>
      <c r="S168" s="2" t="s">
        <v>34</v>
      </c>
      <c r="T168" s="125">
        <v>0.50700000000000001</v>
      </c>
      <c r="U168" s="2" t="s">
        <v>2058</v>
      </c>
      <c r="V168" s="138">
        <v>4.1399999999999999E-2</v>
      </c>
      <c r="W168" s="140">
        <v>4.9869999999999998E-2</v>
      </c>
      <c r="X168" s="3" t="s">
        <v>422</v>
      </c>
      <c r="Y168" s="3" t="s">
        <v>144</v>
      </c>
      <c r="Z168" s="125">
        <v>8750</v>
      </c>
      <c r="AA168" s="134">
        <v>1</v>
      </c>
      <c r="AB168" s="151">
        <v>99.57</v>
      </c>
      <c r="AC168" s="125">
        <v>0.17299999999999999</v>
      </c>
      <c r="AD168" s="125">
        <v>8.8849999999999998</v>
      </c>
      <c r="AE168" s="2"/>
      <c r="AF168" s="2"/>
      <c r="AG168" s="2" t="s">
        <v>36</v>
      </c>
      <c r="AH168" s="140">
        <v>7.7999999999999999E-5</v>
      </c>
      <c r="AI168" s="140">
        <v>2.58640734467743E-3</v>
      </c>
      <c r="AJ168" s="140">
        <v>4.8277319453686002E-4</v>
      </c>
    </row>
    <row r="169" spans="1:36">
      <c r="A169" s="2">
        <v>382</v>
      </c>
      <c r="B169" s="2">
        <v>7635</v>
      </c>
      <c r="C169" s="2" t="s">
        <v>1607</v>
      </c>
      <c r="D169" s="2" t="s">
        <v>1608</v>
      </c>
      <c r="E169" s="3" t="s">
        <v>1322</v>
      </c>
      <c r="F169" s="2" t="s">
        <v>1897</v>
      </c>
      <c r="G169" s="2" t="s">
        <v>1898</v>
      </c>
      <c r="H169" s="2" t="s">
        <v>184</v>
      </c>
      <c r="I169" s="2" t="s">
        <v>765</v>
      </c>
      <c r="J169" s="2" t="s">
        <v>30</v>
      </c>
      <c r="K169" s="2" t="s">
        <v>30</v>
      </c>
      <c r="L169" s="2" t="s">
        <v>337</v>
      </c>
      <c r="M169" s="2" t="s">
        <v>44</v>
      </c>
      <c r="N169" s="2" t="s">
        <v>472</v>
      </c>
      <c r="O169" s="2" t="s">
        <v>144</v>
      </c>
      <c r="P169" s="2" t="s">
        <v>95</v>
      </c>
      <c r="Q169" s="2" t="s">
        <v>423</v>
      </c>
      <c r="R169" s="2" t="s">
        <v>417</v>
      </c>
      <c r="S169" s="2" t="s">
        <v>34</v>
      </c>
      <c r="T169" s="125">
        <v>2.9119999999999999</v>
      </c>
      <c r="U169" s="2" t="s">
        <v>1899</v>
      </c>
      <c r="V169" s="138">
        <v>1.34E-2</v>
      </c>
      <c r="W169" s="140">
        <v>2.5749999999999999E-2</v>
      </c>
      <c r="X169" s="3" t="s">
        <v>422</v>
      </c>
      <c r="Y169" s="3" t="s">
        <v>144</v>
      </c>
      <c r="Z169" s="125">
        <v>56694.81</v>
      </c>
      <c r="AA169" s="134">
        <v>1</v>
      </c>
      <c r="AB169" s="151">
        <v>112.66</v>
      </c>
      <c r="AC169" s="125">
        <v>6.4809999999999999</v>
      </c>
      <c r="AD169" s="125">
        <v>70.352999999999994</v>
      </c>
      <c r="AE169" s="2"/>
      <c r="AF169" s="2"/>
      <c r="AG169" s="2" t="s">
        <v>36</v>
      </c>
      <c r="AH169" s="140">
        <v>2.3E-5</v>
      </c>
      <c r="AI169" s="140">
        <v>2.04796197120483E-2</v>
      </c>
      <c r="AJ169" s="140">
        <v>3.8226814703538701E-3</v>
      </c>
    </row>
    <row r="170" spans="1:36">
      <c r="A170" s="2">
        <v>382</v>
      </c>
      <c r="B170" s="2">
        <v>7635</v>
      </c>
      <c r="C170" s="2" t="s">
        <v>1607</v>
      </c>
      <c r="D170" s="2" t="s">
        <v>1608</v>
      </c>
      <c r="E170" s="3" t="s">
        <v>1322</v>
      </c>
      <c r="F170" s="2" t="s">
        <v>2059</v>
      </c>
      <c r="G170" s="2" t="s">
        <v>2060</v>
      </c>
      <c r="H170" s="2" t="s">
        <v>184</v>
      </c>
      <c r="I170" s="2" t="s">
        <v>765</v>
      </c>
      <c r="J170" s="2" t="s">
        <v>30</v>
      </c>
      <c r="K170" s="2" t="s">
        <v>30</v>
      </c>
      <c r="L170" s="2" t="s">
        <v>337</v>
      </c>
      <c r="M170" s="2" t="s">
        <v>44</v>
      </c>
      <c r="N170" s="2" t="s">
        <v>472</v>
      </c>
      <c r="O170" s="2" t="s">
        <v>144</v>
      </c>
      <c r="P170" s="2" t="s">
        <v>95</v>
      </c>
      <c r="Q170" s="2" t="s">
        <v>425</v>
      </c>
      <c r="R170" s="2" t="s">
        <v>417</v>
      </c>
      <c r="S170" s="2" t="s">
        <v>34</v>
      </c>
      <c r="T170" s="125">
        <v>2.3159999999999998</v>
      </c>
      <c r="U170" s="2" t="s">
        <v>1843</v>
      </c>
      <c r="V170" s="138">
        <v>1.77E-2</v>
      </c>
      <c r="W170" s="140">
        <v>2.605E-2</v>
      </c>
      <c r="X170" s="3" t="s">
        <v>422</v>
      </c>
      <c r="Y170" s="3" t="s">
        <v>144</v>
      </c>
      <c r="Z170" s="125">
        <v>24000</v>
      </c>
      <c r="AA170" s="134">
        <v>1</v>
      </c>
      <c r="AB170" s="151">
        <v>113.1</v>
      </c>
      <c r="AC170" s="2"/>
      <c r="AD170" s="125">
        <v>27.143999999999998</v>
      </c>
      <c r="AE170" s="2"/>
      <c r="AF170" s="2"/>
      <c r="AG170" s="2" t="s">
        <v>36</v>
      </c>
      <c r="AH170" s="140">
        <v>9.0000000000000002E-6</v>
      </c>
      <c r="AI170" s="140">
        <v>7.9015645983231599E-3</v>
      </c>
      <c r="AJ170" s="140">
        <v>1.4748889384427501E-3</v>
      </c>
    </row>
    <row r="171" spans="1:36">
      <c r="A171" s="2">
        <v>382</v>
      </c>
      <c r="B171" s="2">
        <v>7635</v>
      </c>
      <c r="C171" s="2" t="s">
        <v>1611</v>
      </c>
      <c r="D171" s="2" t="s">
        <v>1612</v>
      </c>
      <c r="E171" s="3" t="s">
        <v>1322</v>
      </c>
      <c r="F171" s="2" t="s">
        <v>2061</v>
      </c>
      <c r="G171" s="2" t="s">
        <v>2062</v>
      </c>
      <c r="H171" s="2" t="s">
        <v>184</v>
      </c>
      <c r="I171" s="2" t="s">
        <v>977</v>
      </c>
      <c r="J171" s="2" t="s">
        <v>30</v>
      </c>
      <c r="K171" s="2" t="s">
        <v>30</v>
      </c>
      <c r="L171" s="2" t="s">
        <v>337</v>
      </c>
      <c r="M171" s="2" t="s">
        <v>44</v>
      </c>
      <c r="N171" s="2" t="s">
        <v>456</v>
      </c>
      <c r="O171" s="2" t="s">
        <v>144</v>
      </c>
      <c r="P171" s="2" t="s">
        <v>1179</v>
      </c>
      <c r="Q171" s="2" t="s">
        <v>423</v>
      </c>
      <c r="R171" s="2" t="s">
        <v>417</v>
      </c>
      <c r="S171" s="2" t="s">
        <v>34</v>
      </c>
      <c r="T171" s="125">
        <v>3.665</v>
      </c>
      <c r="U171" s="2" t="s">
        <v>1905</v>
      </c>
      <c r="V171" s="138">
        <v>2.5000000000000001E-2</v>
      </c>
      <c r="W171" s="140">
        <v>4.5699999999999998E-2</v>
      </c>
      <c r="X171" s="3" t="s">
        <v>422</v>
      </c>
      <c r="Y171" s="3" t="s">
        <v>144</v>
      </c>
      <c r="Z171" s="125">
        <v>42000</v>
      </c>
      <c r="AA171" s="134">
        <v>1</v>
      </c>
      <c r="AB171" s="151">
        <v>92.99</v>
      </c>
      <c r="AC171" s="2"/>
      <c r="AD171" s="125">
        <v>39.055999999999997</v>
      </c>
      <c r="AE171" s="2"/>
      <c r="AF171" s="2"/>
      <c r="AG171" s="2" t="s">
        <v>36</v>
      </c>
      <c r="AH171" s="140">
        <v>2.0999999999999999E-5</v>
      </c>
      <c r="AI171" s="140">
        <v>1.1369065968139899E-2</v>
      </c>
      <c r="AJ171" s="140">
        <v>2.1221252358544201E-3</v>
      </c>
    </row>
    <row r="172" spans="1:36">
      <c r="A172" s="2">
        <v>382</v>
      </c>
      <c r="B172" s="2">
        <v>7635</v>
      </c>
      <c r="C172" s="2" t="s">
        <v>1611</v>
      </c>
      <c r="D172" s="2" t="s">
        <v>1612</v>
      </c>
      <c r="E172" s="3" t="s">
        <v>1322</v>
      </c>
      <c r="F172" s="2" t="s">
        <v>1903</v>
      </c>
      <c r="G172" s="2" t="s">
        <v>1904</v>
      </c>
      <c r="H172" s="2" t="s">
        <v>184</v>
      </c>
      <c r="I172" s="2" t="s">
        <v>765</v>
      </c>
      <c r="J172" s="2" t="s">
        <v>30</v>
      </c>
      <c r="K172" s="2" t="s">
        <v>30</v>
      </c>
      <c r="L172" s="2" t="s">
        <v>337</v>
      </c>
      <c r="M172" s="2" t="s">
        <v>44</v>
      </c>
      <c r="N172" s="2" t="s">
        <v>456</v>
      </c>
      <c r="O172" s="2" t="s">
        <v>144</v>
      </c>
      <c r="P172" s="2" t="s">
        <v>1179</v>
      </c>
      <c r="Q172" s="2" t="s">
        <v>423</v>
      </c>
      <c r="R172" s="2" t="s">
        <v>417</v>
      </c>
      <c r="S172" s="2" t="s">
        <v>34</v>
      </c>
      <c r="T172" s="125">
        <v>3.839</v>
      </c>
      <c r="U172" s="2" t="s">
        <v>1905</v>
      </c>
      <c r="V172" s="138">
        <v>1E-3</v>
      </c>
      <c r="W172" s="140">
        <v>2.359E-2</v>
      </c>
      <c r="X172" s="3" t="s">
        <v>422</v>
      </c>
      <c r="Y172" s="3" t="s">
        <v>144</v>
      </c>
      <c r="Z172" s="125">
        <v>45500</v>
      </c>
      <c r="AA172" s="134">
        <v>1</v>
      </c>
      <c r="AB172" s="151">
        <v>103.09</v>
      </c>
      <c r="AC172" s="2"/>
      <c r="AD172" s="125">
        <v>46.905999999999999</v>
      </c>
      <c r="AE172" s="2"/>
      <c r="AF172" s="2"/>
      <c r="AG172" s="2" t="s">
        <v>36</v>
      </c>
      <c r="AH172" s="140">
        <v>4.6E-5</v>
      </c>
      <c r="AI172" s="140">
        <v>1.36542290734864E-2</v>
      </c>
      <c r="AJ172" s="140">
        <v>2.5486688329704001E-3</v>
      </c>
    </row>
    <row r="173" spans="1:36">
      <c r="A173" s="2">
        <v>382</v>
      </c>
      <c r="B173" s="2">
        <v>7635</v>
      </c>
      <c r="C173" s="2" t="s">
        <v>1611</v>
      </c>
      <c r="D173" s="2" t="s">
        <v>1612</v>
      </c>
      <c r="E173" s="3" t="s">
        <v>1322</v>
      </c>
      <c r="F173" s="2" t="s">
        <v>1906</v>
      </c>
      <c r="G173" s="2" t="s">
        <v>1907</v>
      </c>
      <c r="H173" s="2" t="s">
        <v>184</v>
      </c>
      <c r="I173" s="2" t="s">
        <v>765</v>
      </c>
      <c r="J173" s="2" t="s">
        <v>30</v>
      </c>
      <c r="K173" s="2" t="s">
        <v>30</v>
      </c>
      <c r="L173" s="2" t="s">
        <v>337</v>
      </c>
      <c r="M173" s="2" t="s">
        <v>44</v>
      </c>
      <c r="N173" s="2" t="s">
        <v>456</v>
      </c>
      <c r="O173" s="2" t="s">
        <v>144</v>
      </c>
      <c r="P173" s="2" t="s">
        <v>1179</v>
      </c>
      <c r="Q173" s="2" t="s">
        <v>423</v>
      </c>
      <c r="R173" s="2" t="s">
        <v>417</v>
      </c>
      <c r="S173" s="2" t="s">
        <v>34</v>
      </c>
      <c r="T173" s="125">
        <v>1.7869999999999999</v>
      </c>
      <c r="U173" s="2" t="s">
        <v>1908</v>
      </c>
      <c r="V173" s="138">
        <v>6.0000000000000001E-3</v>
      </c>
      <c r="W173" s="140">
        <v>2.2329999999999999E-2</v>
      </c>
      <c r="X173" s="3" t="s">
        <v>422</v>
      </c>
      <c r="Y173" s="3" t="s">
        <v>144</v>
      </c>
      <c r="Z173" s="125">
        <v>61149.21</v>
      </c>
      <c r="AA173" s="134">
        <v>1</v>
      </c>
      <c r="AB173" s="151">
        <v>113.4</v>
      </c>
      <c r="AC173" s="2"/>
      <c r="AD173" s="125">
        <v>69.343000000000004</v>
      </c>
      <c r="AE173" s="2"/>
      <c r="AF173" s="2"/>
      <c r="AG173" s="2" t="s">
        <v>36</v>
      </c>
      <c r="AH173" s="140">
        <v>6.8999999999999997E-5</v>
      </c>
      <c r="AI173" s="140">
        <v>2.0185669281127298E-2</v>
      </c>
      <c r="AJ173" s="140">
        <v>3.7678133194173099E-3</v>
      </c>
    </row>
    <row r="174" spans="1:36">
      <c r="A174" s="2">
        <v>382</v>
      </c>
      <c r="B174" s="2">
        <v>7635</v>
      </c>
      <c r="C174" s="2" t="s">
        <v>1611</v>
      </c>
      <c r="D174" s="2" t="s">
        <v>1612</v>
      </c>
      <c r="E174" s="3" t="s">
        <v>1322</v>
      </c>
      <c r="F174" s="2" t="s">
        <v>1909</v>
      </c>
      <c r="G174" s="2" t="s">
        <v>1910</v>
      </c>
      <c r="H174" s="2" t="s">
        <v>184</v>
      </c>
      <c r="I174" s="2" t="s">
        <v>765</v>
      </c>
      <c r="J174" s="2" t="s">
        <v>30</v>
      </c>
      <c r="K174" s="2" t="s">
        <v>30</v>
      </c>
      <c r="L174" s="2" t="s">
        <v>337</v>
      </c>
      <c r="M174" s="2" t="s">
        <v>44</v>
      </c>
      <c r="N174" s="2" t="s">
        <v>456</v>
      </c>
      <c r="O174" s="2" t="s">
        <v>144</v>
      </c>
      <c r="P174" s="2" t="s">
        <v>1179</v>
      </c>
      <c r="Q174" s="2" t="s">
        <v>423</v>
      </c>
      <c r="R174" s="2" t="s">
        <v>417</v>
      </c>
      <c r="S174" s="2" t="s">
        <v>34</v>
      </c>
      <c r="T174" s="125">
        <v>3.3029999999999999</v>
      </c>
      <c r="U174" s="2" t="s">
        <v>1911</v>
      </c>
      <c r="V174" s="138">
        <v>1.7500000000000002E-2</v>
      </c>
      <c r="W174" s="140">
        <v>2.341E-2</v>
      </c>
      <c r="X174" s="3" t="s">
        <v>422</v>
      </c>
      <c r="Y174" s="3" t="s">
        <v>144</v>
      </c>
      <c r="Z174" s="125">
        <v>78085.34</v>
      </c>
      <c r="AA174" s="134">
        <v>1</v>
      </c>
      <c r="AB174" s="151">
        <v>112.53</v>
      </c>
      <c r="AC174" s="2"/>
      <c r="AD174" s="125">
        <v>87.869</v>
      </c>
      <c r="AE174" s="2"/>
      <c r="AF174" s="2"/>
      <c r="AG174" s="2" t="s">
        <v>36</v>
      </c>
      <c r="AH174" s="140">
        <v>3.4999999999999997E-5</v>
      </c>
      <c r="AI174" s="140">
        <v>2.5578617811431201E-2</v>
      </c>
      <c r="AJ174" s="140">
        <v>4.7744494145805696E-3</v>
      </c>
    </row>
    <row r="175" spans="1:36">
      <c r="A175" s="2">
        <v>382</v>
      </c>
      <c r="B175" s="2">
        <v>7635</v>
      </c>
      <c r="C175" s="2" t="s">
        <v>1611</v>
      </c>
      <c r="D175" s="2" t="s">
        <v>1612</v>
      </c>
      <c r="E175" s="3" t="s">
        <v>1322</v>
      </c>
      <c r="F175" s="2" t="s">
        <v>1912</v>
      </c>
      <c r="G175" s="2" t="s">
        <v>1913</v>
      </c>
      <c r="H175" s="2" t="s">
        <v>184</v>
      </c>
      <c r="I175" s="2" t="s">
        <v>765</v>
      </c>
      <c r="J175" s="2" t="s">
        <v>30</v>
      </c>
      <c r="K175" s="2" t="s">
        <v>30</v>
      </c>
      <c r="L175" s="2" t="s">
        <v>337</v>
      </c>
      <c r="M175" s="2" t="s">
        <v>86</v>
      </c>
      <c r="N175" s="2" t="s">
        <v>456</v>
      </c>
      <c r="O175" s="2" t="s">
        <v>144</v>
      </c>
      <c r="P175" s="2" t="s">
        <v>1721</v>
      </c>
      <c r="Q175" s="2" t="s">
        <v>423</v>
      </c>
      <c r="R175" s="2" t="s">
        <v>417</v>
      </c>
      <c r="S175" s="2" t="s">
        <v>34</v>
      </c>
      <c r="T175" s="125">
        <v>7.0410000000000004</v>
      </c>
      <c r="U175" s="2" t="s">
        <v>1914</v>
      </c>
      <c r="V175" s="138">
        <v>3.4500000000000003E-2</v>
      </c>
      <c r="W175" s="140">
        <v>3.3020000000000001E-2</v>
      </c>
      <c r="X175" s="3" t="s">
        <v>422</v>
      </c>
      <c r="Y175" s="3" t="s">
        <v>144</v>
      </c>
      <c r="Z175" s="125">
        <v>20000</v>
      </c>
      <c r="AA175" s="134">
        <v>1</v>
      </c>
      <c r="AB175" s="151">
        <v>100.92</v>
      </c>
      <c r="AC175" s="2"/>
      <c r="AD175" s="125">
        <v>20.184000000000001</v>
      </c>
      <c r="AE175" s="2"/>
      <c r="AF175" s="2"/>
      <c r="AG175" s="2" t="s">
        <v>36</v>
      </c>
      <c r="AH175" s="140">
        <v>5.8999999999999998E-5</v>
      </c>
      <c r="AI175" s="140">
        <v>5.8755223936249098E-3</v>
      </c>
      <c r="AJ175" s="140">
        <v>1.09671228755999E-3</v>
      </c>
    </row>
    <row r="176" spans="1:36">
      <c r="A176" s="2">
        <v>382</v>
      </c>
      <c r="B176" s="2">
        <v>7635</v>
      </c>
      <c r="C176" s="2" t="s">
        <v>1925</v>
      </c>
      <c r="D176" s="2" t="s">
        <v>1926</v>
      </c>
      <c r="E176" s="3" t="s">
        <v>1322</v>
      </c>
      <c r="F176" s="2" t="s">
        <v>1927</v>
      </c>
      <c r="G176" s="2" t="s">
        <v>1928</v>
      </c>
      <c r="H176" s="2" t="s">
        <v>184</v>
      </c>
      <c r="I176" s="2" t="s">
        <v>977</v>
      </c>
      <c r="J176" s="2" t="s">
        <v>30</v>
      </c>
      <c r="K176" s="2" t="s">
        <v>30</v>
      </c>
      <c r="L176" s="2" t="s">
        <v>337</v>
      </c>
      <c r="M176" s="2" t="s">
        <v>44</v>
      </c>
      <c r="N176" s="2" t="s">
        <v>453</v>
      </c>
      <c r="O176" s="2" t="s">
        <v>144</v>
      </c>
      <c r="P176" s="2" t="s">
        <v>1717</v>
      </c>
      <c r="Q176" s="2" t="s">
        <v>423</v>
      </c>
      <c r="R176" s="2" t="s">
        <v>417</v>
      </c>
      <c r="S176" s="2" t="s">
        <v>34</v>
      </c>
      <c r="T176" s="125">
        <v>4.87</v>
      </c>
      <c r="U176" s="2" t="s">
        <v>1929</v>
      </c>
      <c r="V176" s="138">
        <v>4.6899999999999997E-2</v>
      </c>
      <c r="W176" s="140">
        <v>4.8379999999999999E-2</v>
      </c>
      <c r="X176" s="3" t="s">
        <v>422</v>
      </c>
      <c r="Y176" s="3" t="s">
        <v>144</v>
      </c>
      <c r="Z176" s="125">
        <v>49995</v>
      </c>
      <c r="AA176" s="134">
        <v>1</v>
      </c>
      <c r="AB176" s="151">
        <v>99.72</v>
      </c>
      <c r="AC176" s="2"/>
      <c r="AD176" s="125">
        <v>49.854999999999997</v>
      </c>
      <c r="AE176" s="2"/>
      <c r="AF176" s="2"/>
      <c r="AG176" s="2" t="s">
        <v>36</v>
      </c>
      <c r="AH176" s="140">
        <v>1E-4</v>
      </c>
      <c r="AI176" s="140">
        <v>1.4512695758595101E-2</v>
      </c>
      <c r="AJ176" s="140">
        <v>2.7089083655507098E-3</v>
      </c>
    </row>
    <row r="177" spans="1:36">
      <c r="A177" s="2">
        <v>382</v>
      </c>
      <c r="B177" s="2">
        <v>7635</v>
      </c>
      <c r="C177" s="2" t="s">
        <v>1925</v>
      </c>
      <c r="D177" s="2" t="s">
        <v>1926</v>
      </c>
      <c r="E177" s="3" t="s">
        <v>1322</v>
      </c>
      <c r="F177" s="2" t="s">
        <v>2063</v>
      </c>
      <c r="G177" s="2" t="s">
        <v>2064</v>
      </c>
      <c r="H177" s="2" t="s">
        <v>184</v>
      </c>
      <c r="I177" s="2" t="s">
        <v>765</v>
      </c>
      <c r="J177" s="2" t="s">
        <v>30</v>
      </c>
      <c r="K177" s="2" t="s">
        <v>30</v>
      </c>
      <c r="L177" s="2" t="s">
        <v>337</v>
      </c>
      <c r="M177" s="2" t="s">
        <v>44</v>
      </c>
      <c r="N177" s="2" t="s">
        <v>453</v>
      </c>
      <c r="O177" s="2" t="s">
        <v>144</v>
      </c>
      <c r="P177" s="2" t="s">
        <v>1717</v>
      </c>
      <c r="Q177" s="2" t="s">
        <v>423</v>
      </c>
      <c r="R177" s="2" t="s">
        <v>417</v>
      </c>
      <c r="S177" s="2" t="s">
        <v>34</v>
      </c>
      <c r="T177" s="125">
        <v>4.8659999999999997</v>
      </c>
      <c r="U177" s="2" t="s">
        <v>2065</v>
      </c>
      <c r="V177" s="138">
        <v>2.3099999999999999E-2</v>
      </c>
      <c r="W177" s="140">
        <v>2.5989999999999999E-2</v>
      </c>
      <c r="X177" s="3" t="s">
        <v>422</v>
      </c>
      <c r="Y177" s="3" t="s">
        <v>144</v>
      </c>
      <c r="Z177" s="125">
        <v>40000</v>
      </c>
      <c r="AA177" s="134">
        <v>1</v>
      </c>
      <c r="AB177" s="151">
        <v>102.32</v>
      </c>
      <c r="AC177" s="2"/>
      <c r="AD177" s="125">
        <v>40.927999999999997</v>
      </c>
      <c r="AE177" s="2"/>
      <c r="AF177" s="2"/>
      <c r="AG177" s="2" t="s">
        <v>36</v>
      </c>
      <c r="AH177" s="140">
        <v>1.3300000000000001E-4</v>
      </c>
      <c r="AI177" s="140">
        <v>1.1914059677283E-2</v>
      </c>
      <c r="AJ177" s="140">
        <v>2.2238525815128501E-3</v>
      </c>
    </row>
    <row r="178" spans="1:36">
      <c r="A178" s="2">
        <v>382</v>
      </c>
      <c r="B178" s="2">
        <v>7635</v>
      </c>
      <c r="C178" s="2" t="s">
        <v>2066</v>
      </c>
      <c r="D178" s="2" t="s">
        <v>2067</v>
      </c>
      <c r="E178" s="3" t="s">
        <v>1322</v>
      </c>
      <c r="F178" s="2" t="s">
        <v>2068</v>
      </c>
      <c r="G178" s="2" t="s">
        <v>2069</v>
      </c>
      <c r="H178" s="2" t="s">
        <v>184</v>
      </c>
      <c r="I178" s="2" t="s">
        <v>977</v>
      </c>
      <c r="J178" s="2" t="s">
        <v>30</v>
      </c>
      <c r="K178" s="2" t="s">
        <v>30</v>
      </c>
      <c r="L178" s="2" t="s">
        <v>337</v>
      </c>
      <c r="M178" s="2" t="s">
        <v>44</v>
      </c>
      <c r="N178" s="2" t="s">
        <v>493</v>
      </c>
      <c r="O178" s="2" t="s">
        <v>144</v>
      </c>
      <c r="P178" s="2" t="s">
        <v>1721</v>
      </c>
      <c r="Q178" s="2" t="s">
        <v>423</v>
      </c>
      <c r="R178" s="2" t="s">
        <v>417</v>
      </c>
      <c r="S178" s="2" t="s">
        <v>34</v>
      </c>
      <c r="T178" s="125">
        <v>1.8240000000000001</v>
      </c>
      <c r="U178" s="2" t="s">
        <v>2070</v>
      </c>
      <c r="V178" s="138">
        <v>0.04</v>
      </c>
      <c r="W178" s="140">
        <v>4.829E-2</v>
      </c>
      <c r="X178" s="3" t="s">
        <v>422</v>
      </c>
      <c r="Y178" s="3" t="s">
        <v>144</v>
      </c>
      <c r="Z178" s="125">
        <v>31111.11</v>
      </c>
      <c r="AA178" s="134">
        <v>1</v>
      </c>
      <c r="AB178" s="151">
        <v>100.59</v>
      </c>
      <c r="AC178" s="2"/>
      <c r="AD178" s="125">
        <v>31.295000000000002</v>
      </c>
      <c r="AE178" s="2"/>
      <c r="AF178" s="2"/>
      <c r="AG178" s="2" t="s">
        <v>36</v>
      </c>
      <c r="AH178" s="140">
        <v>5.1999999999999997E-5</v>
      </c>
      <c r="AI178" s="140">
        <v>9.1098151126709995E-3</v>
      </c>
      <c r="AJ178" s="140">
        <v>1.7004183631920699E-3</v>
      </c>
    </row>
    <row r="179" spans="1:36">
      <c r="A179" s="2">
        <v>382</v>
      </c>
      <c r="B179" s="2">
        <v>7635</v>
      </c>
      <c r="C179" s="2" t="s">
        <v>1992</v>
      </c>
      <c r="D179" s="2" t="s">
        <v>1993</v>
      </c>
      <c r="E179" s="3" t="s">
        <v>1322</v>
      </c>
      <c r="F179" s="2" t="s">
        <v>1994</v>
      </c>
      <c r="G179" s="2" t="s">
        <v>1995</v>
      </c>
      <c r="H179" s="2" t="s">
        <v>184</v>
      </c>
      <c r="I179" s="2" t="s">
        <v>977</v>
      </c>
      <c r="J179" s="2" t="s">
        <v>30</v>
      </c>
      <c r="K179" s="2" t="s">
        <v>30</v>
      </c>
      <c r="L179" s="2" t="s">
        <v>337</v>
      </c>
      <c r="M179" s="2" t="s">
        <v>44</v>
      </c>
      <c r="N179" s="2" t="s">
        <v>470</v>
      </c>
      <c r="O179" s="2" t="s">
        <v>144</v>
      </c>
      <c r="P179" s="2" t="s">
        <v>1721</v>
      </c>
      <c r="Q179" s="2" t="s">
        <v>423</v>
      </c>
      <c r="R179" s="2" t="s">
        <v>417</v>
      </c>
      <c r="S179" s="2" t="s">
        <v>34</v>
      </c>
      <c r="T179" s="125">
        <v>1.746</v>
      </c>
      <c r="U179" s="2" t="s">
        <v>1996</v>
      </c>
      <c r="V179" s="138">
        <v>2.3E-2</v>
      </c>
      <c r="W179" s="140">
        <v>5.0799999999999998E-2</v>
      </c>
      <c r="X179" s="3" t="s">
        <v>422</v>
      </c>
      <c r="Y179" s="3" t="s">
        <v>144</v>
      </c>
      <c r="Z179" s="125">
        <v>33089.33</v>
      </c>
      <c r="AA179" s="134">
        <v>1</v>
      </c>
      <c r="AB179" s="151">
        <v>96.16</v>
      </c>
      <c r="AC179" s="2"/>
      <c r="AD179" s="125">
        <v>31.818999999999999</v>
      </c>
      <c r="AE179" s="2"/>
      <c r="AF179" s="2"/>
      <c r="AG179" s="2" t="s">
        <v>36</v>
      </c>
      <c r="AH179" s="140">
        <v>3.1000000000000001E-5</v>
      </c>
      <c r="AI179" s="140">
        <v>9.2623604234983604E-3</v>
      </c>
      <c r="AJ179" s="140">
        <v>1.72889214060045E-3</v>
      </c>
    </row>
    <row r="180" spans="1:36">
      <c r="A180" s="2">
        <v>382</v>
      </c>
      <c r="B180" s="2">
        <v>7635</v>
      </c>
      <c r="C180" s="2" t="s">
        <v>1997</v>
      </c>
      <c r="D180" s="2" t="s">
        <v>1998</v>
      </c>
      <c r="E180" s="3" t="s">
        <v>1322</v>
      </c>
      <c r="F180" s="2" t="s">
        <v>1999</v>
      </c>
      <c r="G180" s="2" t="s">
        <v>2000</v>
      </c>
      <c r="H180" s="2" t="s">
        <v>184</v>
      </c>
      <c r="I180" s="2" t="s">
        <v>765</v>
      </c>
      <c r="J180" s="2" t="s">
        <v>30</v>
      </c>
      <c r="K180" s="2" t="s">
        <v>30</v>
      </c>
      <c r="L180" s="2" t="s">
        <v>337</v>
      </c>
      <c r="M180" s="2" t="s">
        <v>44</v>
      </c>
      <c r="N180" s="2" t="s">
        <v>472</v>
      </c>
      <c r="O180" s="2" t="s">
        <v>144</v>
      </c>
      <c r="P180" s="2" t="s">
        <v>1721</v>
      </c>
      <c r="Q180" s="2" t="s">
        <v>423</v>
      </c>
      <c r="R180" s="2" t="s">
        <v>417</v>
      </c>
      <c r="S180" s="2" t="s">
        <v>34</v>
      </c>
      <c r="T180" s="125">
        <v>1.39</v>
      </c>
      <c r="U180" s="2" t="s">
        <v>2001</v>
      </c>
      <c r="V180" s="138">
        <v>2.1499999999999998E-2</v>
      </c>
      <c r="W180" s="140">
        <v>2.581E-2</v>
      </c>
      <c r="X180" s="3" t="s">
        <v>422</v>
      </c>
      <c r="Y180" s="3" t="s">
        <v>144</v>
      </c>
      <c r="Z180" s="125">
        <v>46428.57</v>
      </c>
      <c r="AA180" s="134">
        <v>1</v>
      </c>
      <c r="AB180" s="151">
        <v>116.4</v>
      </c>
      <c r="AC180" s="2"/>
      <c r="AD180" s="125">
        <v>54.042999999999999</v>
      </c>
      <c r="AE180" s="2"/>
      <c r="AF180" s="2"/>
      <c r="AG180" s="2" t="s">
        <v>36</v>
      </c>
      <c r="AH180" s="140">
        <v>3.3000000000000003E-5</v>
      </c>
      <c r="AI180" s="140">
        <v>1.5731768112771199E-2</v>
      </c>
      <c r="AJ180" s="140">
        <v>2.9364577714895402E-3</v>
      </c>
    </row>
    <row r="181" spans="1:36">
      <c r="A181" s="2">
        <v>382</v>
      </c>
      <c r="B181" s="2">
        <v>7635</v>
      </c>
      <c r="C181" s="2" t="s">
        <v>2071</v>
      </c>
      <c r="D181" s="2" t="s">
        <v>2072</v>
      </c>
      <c r="E181" s="3" t="s">
        <v>1322</v>
      </c>
      <c r="F181" s="2" t="s">
        <v>2073</v>
      </c>
      <c r="G181" s="2" t="s">
        <v>2074</v>
      </c>
      <c r="H181" s="2" t="s">
        <v>184</v>
      </c>
      <c r="I181" s="2" t="s">
        <v>765</v>
      </c>
      <c r="J181" s="2" t="s">
        <v>30</v>
      </c>
      <c r="K181" s="2" t="s">
        <v>30</v>
      </c>
      <c r="L181" s="2" t="s">
        <v>337</v>
      </c>
      <c r="M181" s="2" t="s">
        <v>44</v>
      </c>
      <c r="N181" s="2" t="s">
        <v>472</v>
      </c>
      <c r="O181" s="2" t="s">
        <v>144</v>
      </c>
      <c r="P181" s="2" t="s">
        <v>1717</v>
      </c>
      <c r="Q181" s="2" t="s">
        <v>423</v>
      </c>
      <c r="R181" s="2" t="s">
        <v>417</v>
      </c>
      <c r="S181" s="2" t="s">
        <v>34</v>
      </c>
      <c r="T181" s="125">
        <v>1.8819999999999999</v>
      </c>
      <c r="U181" s="2" t="s">
        <v>2075</v>
      </c>
      <c r="V181" s="138">
        <v>0.04</v>
      </c>
      <c r="W181" s="140">
        <v>2.6859999999999998E-2</v>
      </c>
      <c r="X181" s="3" t="s">
        <v>422</v>
      </c>
      <c r="Y181" s="3" t="s">
        <v>144</v>
      </c>
      <c r="Z181" s="125">
        <v>34000</v>
      </c>
      <c r="AA181" s="134">
        <v>1</v>
      </c>
      <c r="AB181" s="151">
        <v>120.13</v>
      </c>
      <c r="AC181" s="2"/>
      <c r="AD181" s="125">
        <v>40.844000000000001</v>
      </c>
      <c r="AE181" s="2"/>
      <c r="AF181" s="2"/>
      <c r="AG181" s="2" t="s">
        <v>36</v>
      </c>
      <c r="AH181" s="140">
        <v>3.4999999999999997E-5</v>
      </c>
      <c r="AI181" s="140">
        <v>1.18896656633816E-2</v>
      </c>
      <c r="AJ181" s="140">
        <v>2.2192992476990601E-3</v>
      </c>
    </row>
    <row r="182" spans="1:36">
      <c r="A182" s="2">
        <v>382</v>
      </c>
      <c r="B182" s="2">
        <v>7635</v>
      </c>
      <c r="C182" s="2" t="s">
        <v>1623</v>
      </c>
      <c r="D182" s="2" t="s">
        <v>1624</v>
      </c>
      <c r="E182" s="3" t="s">
        <v>1322</v>
      </c>
      <c r="F182" s="2" t="s">
        <v>2076</v>
      </c>
      <c r="G182" s="2" t="s">
        <v>2077</v>
      </c>
      <c r="H182" s="2" t="s">
        <v>184</v>
      </c>
      <c r="I182" s="2" t="s">
        <v>977</v>
      </c>
      <c r="J182" s="2" t="s">
        <v>30</v>
      </c>
      <c r="K182" s="2" t="s">
        <v>30</v>
      </c>
      <c r="L182" s="2" t="s">
        <v>337</v>
      </c>
      <c r="M182" s="2" t="s">
        <v>44</v>
      </c>
      <c r="N182" s="2" t="s">
        <v>484</v>
      </c>
      <c r="O182" s="2" t="s">
        <v>144</v>
      </c>
      <c r="P182" s="2" t="s">
        <v>1717</v>
      </c>
      <c r="Q182" s="2" t="s">
        <v>423</v>
      </c>
      <c r="R182" s="2" t="s">
        <v>417</v>
      </c>
      <c r="S182" s="2" t="s">
        <v>34</v>
      </c>
      <c r="T182" s="125">
        <v>2.585</v>
      </c>
      <c r="U182" s="2" t="s">
        <v>2078</v>
      </c>
      <c r="V182" s="138">
        <v>5.0900000000000001E-2</v>
      </c>
      <c r="W182" s="140">
        <v>4.6820000000000001E-2</v>
      </c>
      <c r="X182" s="3" t="s">
        <v>422</v>
      </c>
      <c r="Y182" s="3" t="s">
        <v>144</v>
      </c>
      <c r="Z182" s="125">
        <v>54034.09</v>
      </c>
      <c r="AA182" s="134">
        <v>1</v>
      </c>
      <c r="AB182" s="151">
        <v>102.18</v>
      </c>
      <c r="AC182" s="2"/>
      <c r="AD182" s="125">
        <v>55.212000000000003</v>
      </c>
      <c r="AE182" s="2"/>
      <c r="AF182" s="2"/>
      <c r="AG182" s="2" t="s">
        <v>36</v>
      </c>
      <c r="AH182" s="140">
        <v>1.05E-4</v>
      </c>
      <c r="AI182" s="140">
        <v>1.60721134185936E-2</v>
      </c>
      <c r="AJ182" s="140">
        <v>2.9999858893150601E-3</v>
      </c>
    </row>
    <row r="183" spans="1:36">
      <c r="A183" s="2">
        <v>382</v>
      </c>
      <c r="B183" s="2">
        <v>7635</v>
      </c>
      <c r="C183" s="2" t="s">
        <v>1623</v>
      </c>
      <c r="D183" s="2" t="s">
        <v>1624</v>
      </c>
      <c r="E183" s="3" t="s">
        <v>1322</v>
      </c>
      <c r="F183" s="2" t="s">
        <v>1930</v>
      </c>
      <c r="G183" s="2" t="s">
        <v>1931</v>
      </c>
      <c r="H183" s="2" t="s">
        <v>184</v>
      </c>
      <c r="I183" s="2" t="s">
        <v>765</v>
      </c>
      <c r="J183" s="2" t="s">
        <v>30</v>
      </c>
      <c r="K183" s="2" t="s">
        <v>30</v>
      </c>
      <c r="L183" s="2" t="s">
        <v>337</v>
      </c>
      <c r="M183" s="2" t="s">
        <v>44</v>
      </c>
      <c r="N183" s="2" t="s">
        <v>484</v>
      </c>
      <c r="O183" s="2" t="s">
        <v>144</v>
      </c>
      <c r="P183" s="2" t="s">
        <v>1717</v>
      </c>
      <c r="Q183" s="2" t="s">
        <v>423</v>
      </c>
      <c r="R183" s="2" t="s">
        <v>417</v>
      </c>
      <c r="S183" s="2" t="s">
        <v>34</v>
      </c>
      <c r="T183" s="125">
        <v>2.1880000000000002</v>
      </c>
      <c r="U183" s="2" t="s">
        <v>1932</v>
      </c>
      <c r="V183" s="138">
        <v>4.2999999999999997E-2</v>
      </c>
      <c r="W183" s="140">
        <v>2.2929999999999999E-2</v>
      </c>
      <c r="X183" s="3" t="s">
        <v>422</v>
      </c>
      <c r="Y183" s="3" t="s">
        <v>144</v>
      </c>
      <c r="Z183" s="125">
        <v>32222.22</v>
      </c>
      <c r="AA183" s="134">
        <v>1</v>
      </c>
      <c r="AB183" s="151">
        <v>121.38</v>
      </c>
      <c r="AC183" s="2"/>
      <c r="AD183" s="125">
        <v>39.110999999999997</v>
      </c>
      <c r="AE183" s="2"/>
      <c r="AF183" s="2"/>
      <c r="AG183" s="2" t="s">
        <v>36</v>
      </c>
      <c r="AH183" s="140">
        <v>7.8999999999999996E-5</v>
      </c>
      <c r="AI183" s="140">
        <v>1.1385230826213099E-2</v>
      </c>
      <c r="AJ183" s="140">
        <v>2.12514253326015E-3</v>
      </c>
    </row>
    <row r="184" spans="1:36">
      <c r="A184" s="2">
        <v>382</v>
      </c>
      <c r="B184" s="2">
        <v>7635</v>
      </c>
      <c r="C184" s="2" t="s">
        <v>2079</v>
      </c>
      <c r="D184" s="2" t="s">
        <v>2080</v>
      </c>
      <c r="E184" s="3" t="s">
        <v>1322</v>
      </c>
      <c r="F184" s="2" t="s">
        <v>2081</v>
      </c>
      <c r="G184" s="2" t="s">
        <v>2082</v>
      </c>
      <c r="H184" s="2" t="s">
        <v>184</v>
      </c>
      <c r="I184" s="2" t="s">
        <v>977</v>
      </c>
      <c r="J184" s="2" t="s">
        <v>30</v>
      </c>
      <c r="K184" s="2" t="s">
        <v>30</v>
      </c>
      <c r="L184" s="2" t="s">
        <v>337</v>
      </c>
      <c r="M184" s="2" t="s">
        <v>44</v>
      </c>
      <c r="N184" s="2" t="s">
        <v>467</v>
      </c>
      <c r="O184" s="2" t="s">
        <v>144</v>
      </c>
      <c r="P184" s="2" t="s">
        <v>95</v>
      </c>
      <c r="Q184" s="2" t="s">
        <v>423</v>
      </c>
      <c r="R184" s="2" t="s">
        <v>417</v>
      </c>
      <c r="S184" s="2" t="s">
        <v>34</v>
      </c>
      <c r="T184" s="125">
        <v>1.45</v>
      </c>
      <c r="U184" s="2" t="s">
        <v>1778</v>
      </c>
      <c r="V184" s="138">
        <v>2.6100000000000002E-2</v>
      </c>
      <c r="W184" s="140">
        <v>4.6050000000000001E-2</v>
      </c>
      <c r="X184" s="3" t="s">
        <v>422</v>
      </c>
      <c r="Y184" s="3" t="s">
        <v>144</v>
      </c>
      <c r="Z184" s="125">
        <v>37894.730000000003</v>
      </c>
      <c r="AA184" s="134">
        <v>1</v>
      </c>
      <c r="AB184" s="151">
        <v>97.27</v>
      </c>
      <c r="AC184" s="2"/>
      <c r="AD184" s="125">
        <v>36.86</v>
      </c>
      <c r="AE184" s="2"/>
      <c r="AF184" s="2"/>
      <c r="AG184" s="2" t="s">
        <v>36</v>
      </c>
      <c r="AH184" s="140">
        <v>1.05E-4</v>
      </c>
      <c r="AI184" s="140">
        <v>1.0729932286843101E-2</v>
      </c>
      <c r="AJ184" s="140">
        <v>2.0028259268377001E-3</v>
      </c>
    </row>
    <row r="185" spans="1:36">
      <c r="A185" s="2">
        <v>382</v>
      </c>
      <c r="B185" s="2">
        <v>7635</v>
      </c>
      <c r="C185" s="2" t="s">
        <v>1933</v>
      </c>
      <c r="D185" s="2" t="s">
        <v>1934</v>
      </c>
      <c r="E185" s="3" t="s">
        <v>1322</v>
      </c>
      <c r="F185" s="2" t="s">
        <v>2083</v>
      </c>
      <c r="G185" s="2" t="s">
        <v>2084</v>
      </c>
      <c r="H185" s="2" t="s">
        <v>184</v>
      </c>
      <c r="I185" s="2" t="s">
        <v>977</v>
      </c>
      <c r="J185" s="2" t="s">
        <v>30</v>
      </c>
      <c r="K185" s="2" t="s">
        <v>30</v>
      </c>
      <c r="L185" s="2" t="s">
        <v>337</v>
      </c>
      <c r="M185" s="2" t="s">
        <v>44</v>
      </c>
      <c r="N185" s="2" t="s">
        <v>455</v>
      </c>
      <c r="O185" s="2" t="s">
        <v>144</v>
      </c>
      <c r="P185" s="2" t="s">
        <v>1740</v>
      </c>
      <c r="Q185" s="2" t="s">
        <v>423</v>
      </c>
      <c r="R185" s="2" t="s">
        <v>417</v>
      </c>
      <c r="S185" s="2" t="s">
        <v>34</v>
      </c>
      <c r="T185" s="125">
        <v>0.24399999999999999</v>
      </c>
      <c r="U185" s="2" t="s">
        <v>1937</v>
      </c>
      <c r="V185" s="138">
        <v>6.2300000000000001E-2</v>
      </c>
      <c r="W185" s="140">
        <v>5.3010000000000002E-2</v>
      </c>
      <c r="X185" s="3" t="s">
        <v>422</v>
      </c>
      <c r="Y185" s="3" t="s">
        <v>144</v>
      </c>
      <c r="Z185" s="125">
        <v>10000.129999999999</v>
      </c>
      <c r="AA185" s="134">
        <v>1</v>
      </c>
      <c r="AB185" s="151">
        <v>101.81</v>
      </c>
      <c r="AC185" s="2"/>
      <c r="AD185" s="125">
        <v>10.180999999999999</v>
      </c>
      <c r="AE185" s="2"/>
      <c r="AF185" s="2"/>
      <c r="AG185" s="2" t="s">
        <v>36</v>
      </c>
      <c r="AH185" s="140">
        <v>6.3E-5</v>
      </c>
      <c r="AI185" s="140">
        <v>2.96370744810298E-3</v>
      </c>
      <c r="AJ185" s="140">
        <v>5.5319921486373801E-4</v>
      </c>
    </row>
    <row r="186" spans="1:36">
      <c r="A186" s="2">
        <v>382</v>
      </c>
      <c r="B186" s="2">
        <v>7635</v>
      </c>
      <c r="C186" s="2" t="s">
        <v>1933</v>
      </c>
      <c r="D186" s="2" t="s">
        <v>1934</v>
      </c>
      <c r="E186" s="3" t="s">
        <v>1322</v>
      </c>
      <c r="F186" s="2" t="s">
        <v>2085</v>
      </c>
      <c r="G186" s="2" t="s">
        <v>2086</v>
      </c>
      <c r="H186" s="2" t="s">
        <v>184</v>
      </c>
      <c r="I186" s="2" t="s">
        <v>765</v>
      </c>
      <c r="J186" s="2" t="s">
        <v>30</v>
      </c>
      <c r="K186" s="2" t="s">
        <v>30</v>
      </c>
      <c r="L186" s="2" t="s">
        <v>337</v>
      </c>
      <c r="M186" s="2" t="s">
        <v>44</v>
      </c>
      <c r="N186" s="2" t="s">
        <v>455</v>
      </c>
      <c r="O186" s="2" t="s">
        <v>144</v>
      </c>
      <c r="P186" s="2" t="s">
        <v>1740</v>
      </c>
      <c r="Q186" s="2" t="s">
        <v>423</v>
      </c>
      <c r="R186" s="2" t="s">
        <v>417</v>
      </c>
      <c r="S186" s="2" t="s">
        <v>34</v>
      </c>
      <c r="T186" s="125">
        <v>2.605</v>
      </c>
      <c r="U186" s="2" t="s">
        <v>2087</v>
      </c>
      <c r="V186" s="138">
        <v>3.9E-2</v>
      </c>
      <c r="W186" s="140">
        <v>3.1539999999999999E-2</v>
      </c>
      <c r="X186" s="3" t="s">
        <v>422</v>
      </c>
      <c r="Y186" s="3" t="s">
        <v>144</v>
      </c>
      <c r="Z186" s="125">
        <v>51235.29</v>
      </c>
      <c r="AA186" s="134">
        <v>1</v>
      </c>
      <c r="AB186" s="151">
        <v>118.87</v>
      </c>
      <c r="AC186" s="2"/>
      <c r="AD186" s="125">
        <v>60.902999999999999</v>
      </c>
      <c r="AE186" s="2"/>
      <c r="AF186" s="2"/>
      <c r="AG186" s="2" t="s">
        <v>36</v>
      </c>
      <c r="AH186" s="140">
        <v>3.6000000000000001E-5</v>
      </c>
      <c r="AI186" s="140">
        <v>1.7728855887207198E-2</v>
      </c>
      <c r="AJ186" s="140">
        <v>3.3092298511153899E-3</v>
      </c>
    </row>
    <row r="187" spans="1:36">
      <c r="A187" s="2">
        <v>382</v>
      </c>
      <c r="B187" s="2">
        <v>7635</v>
      </c>
      <c r="C187" s="2" t="s">
        <v>1938</v>
      </c>
      <c r="D187" s="2" t="s">
        <v>1939</v>
      </c>
      <c r="E187" s="3" t="s">
        <v>1322</v>
      </c>
      <c r="F187" s="2" t="s">
        <v>1940</v>
      </c>
      <c r="G187" s="2" t="s">
        <v>1941</v>
      </c>
      <c r="H187" s="2" t="s">
        <v>184</v>
      </c>
      <c r="I187" s="2" t="s">
        <v>977</v>
      </c>
      <c r="J187" s="2" t="s">
        <v>30</v>
      </c>
      <c r="K187" s="2" t="s">
        <v>30</v>
      </c>
      <c r="L187" s="2" t="s">
        <v>337</v>
      </c>
      <c r="M187" s="2" t="s">
        <v>44</v>
      </c>
      <c r="N187" s="2" t="s">
        <v>448</v>
      </c>
      <c r="O187" s="2" t="s">
        <v>144</v>
      </c>
      <c r="P187" s="2" t="s">
        <v>1767</v>
      </c>
      <c r="Q187" s="2" t="s">
        <v>425</v>
      </c>
      <c r="R187" s="2" t="s">
        <v>417</v>
      </c>
      <c r="S187" s="2" t="s">
        <v>34</v>
      </c>
      <c r="T187" s="125">
        <v>4.202</v>
      </c>
      <c r="U187" s="2" t="s">
        <v>1942</v>
      </c>
      <c r="V187" s="138">
        <v>6.7699999999999996E-2</v>
      </c>
      <c r="W187" s="140">
        <v>5.5649999999999998E-2</v>
      </c>
      <c r="X187" s="3" t="s">
        <v>422</v>
      </c>
      <c r="Y187" s="3" t="s">
        <v>144</v>
      </c>
      <c r="Z187" s="125">
        <v>25000</v>
      </c>
      <c r="AA187" s="134">
        <v>1</v>
      </c>
      <c r="AB187" s="151">
        <v>105.34</v>
      </c>
      <c r="AC187" s="2"/>
      <c r="AD187" s="125">
        <v>26.335000000000001</v>
      </c>
      <c r="AE187" s="2"/>
      <c r="AF187" s="2"/>
      <c r="AG187" s="2" t="s">
        <v>36</v>
      </c>
      <c r="AH187" s="140">
        <v>3.3000000000000003E-5</v>
      </c>
      <c r="AI187" s="140">
        <v>7.6660663018287799E-3</v>
      </c>
      <c r="AJ187" s="140">
        <v>1.4309313363501999E-3</v>
      </c>
    </row>
    <row r="188" spans="1:36">
      <c r="A188" s="2">
        <v>382</v>
      </c>
      <c r="B188" s="2">
        <v>7635</v>
      </c>
      <c r="C188" s="2" t="s">
        <v>2002</v>
      </c>
      <c r="D188" s="2" t="s">
        <v>2003</v>
      </c>
      <c r="E188" s="3" t="s">
        <v>1322</v>
      </c>
      <c r="F188" s="2" t="s">
        <v>2088</v>
      </c>
      <c r="G188" s="2" t="s">
        <v>2089</v>
      </c>
      <c r="H188" s="2" t="s">
        <v>184</v>
      </c>
      <c r="I188" s="2" t="s">
        <v>977</v>
      </c>
      <c r="J188" s="2" t="s">
        <v>30</v>
      </c>
      <c r="K188" s="2" t="s">
        <v>30</v>
      </c>
      <c r="L188" s="2" t="s">
        <v>337</v>
      </c>
      <c r="M188" s="2" t="s">
        <v>44</v>
      </c>
      <c r="N188" s="2" t="s">
        <v>486</v>
      </c>
      <c r="O188" s="2" t="s">
        <v>144</v>
      </c>
      <c r="P188" s="2" t="s">
        <v>1717</v>
      </c>
      <c r="Q188" s="2" t="s">
        <v>423</v>
      </c>
      <c r="R188" s="2" t="s">
        <v>417</v>
      </c>
      <c r="S188" s="2" t="s">
        <v>34</v>
      </c>
      <c r="T188" s="125">
        <v>0.82399999999999995</v>
      </c>
      <c r="U188" s="2" t="s">
        <v>2090</v>
      </c>
      <c r="V188" s="138">
        <v>2.7E-2</v>
      </c>
      <c r="W188" s="140">
        <v>5.2560000000000003E-2</v>
      </c>
      <c r="X188" s="3" t="s">
        <v>422</v>
      </c>
      <c r="Y188" s="3" t="s">
        <v>144</v>
      </c>
      <c r="Z188" s="125">
        <v>22933.64</v>
      </c>
      <c r="AA188" s="134">
        <v>1</v>
      </c>
      <c r="AB188" s="151">
        <v>98.09</v>
      </c>
      <c r="AC188" s="2"/>
      <c r="AD188" s="125">
        <v>22.495999999999999</v>
      </c>
      <c r="AE188" s="2"/>
      <c r="AF188" s="2"/>
      <c r="AG188" s="2" t="s">
        <v>36</v>
      </c>
      <c r="AH188" s="140">
        <v>2.4399999999999999E-4</v>
      </c>
      <c r="AI188" s="140">
        <v>6.5484267480892802E-3</v>
      </c>
      <c r="AJ188" s="140">
        <v>1.2223151573055699E-3</v>
      </c>
    </row>
    <row r="189" spans="1:36">
      <c r="A189" s="2">
        <v>382</v>
      </c>
      <c r="B189" s="2">
        <v>7635</v>
      </c>
      <c r="C189" s="2" t="s">
        <v>2002</v>
      </c>
      <c r="D189" s="2" t="s">
        <v>2003</v>
      </c>
      <c r="E189" s="3" t="s">
        <v>1322</v>
      </c>
      <c r="F189" s="2" t="s">
        <v>2091</v>
      </c>
      <c r="G189" s="2" t="s">
        <v>2092</v>
      </c>
      <c r="H189" s="2" t="s">
        <v>184</v>
      </c>
      <c r="I189" s="2" t="s">
        <v>765</v>
      </c>
      <c r="J189" s="2" t="s">
        <v>30</v>
      </c>
      <c r="K189" s="2" t="s">
        <v>30</v>
      </c>
      <c r="L189" s="2" t="s">
        <v>337</v>
      </c>
      <c r="M189" s="2" t="s">
        <v>44</v>
      </c>
      <c r="N189" s="2" t="s">
        <v>486</v>
      </c>
      <c r="O189" s="2" t="s">
        <v>144</v>
      </c>
      <c r="P189" s="2" t="s">
        <v>1717</v>
      </c>
      <c r="Q189" s="2" t="s">
        <v>423</v>
      </c>
      <c r="R189" s="2" t="s">
        <v>417</v>
      </c>
      <c r="S189" s="2" t="s">
        <v>34</v>
      </c>
      <c r="T189" s="125">
        <v>0.83099999999999996</v>
      </c>
      <c r="U189" s="2" t="s">
        <v>2090</v>
      </c>
      <c r="V189" s="138">
        <v>1.7999999999999999E-2</v>
      </c>
      <c r="W189" s="140">
        <v>2.63E-2</v>
      </c>
      <c r="X189" s="3" t="s">
        <v>422</v>
      </c>
      <c r="Y189" s="3" t="s">
        <v>144</v>
      </c>
      <c r="Z189" s="125">
        <v>5790.91</v>
      </c>
      <c r="AA189" s="134">
        <v>1</v>
      </c>
      <c r="AB189" s="151">
        <v>115.1</v>
      </c>
      <c r="AC189" s="2"/>
      <c r="AD189" s="125">
        <v>6.665</v>
      </c>
      <c r="AE189" s="2"/>
      <c r="AF189" s="2"/>
      <c r="AG189" s="2" t="s">
        <v>36</v>
      </c>
      <c r="AH189" s="140">
        <v>1.2E-5</v>
      </c>
      <c r="AI189" s="140">
        <v>1.9402665087951299E-3</v>
      </c>
      <c r="AJ189" s="140">
        <v>3.6216594521800902E-4</v>
      </c>
    </row>
    <row r="190" spans="1:36">
      <c r="A190" s="2">
        <v>382</v>
      </c>
      <c r="B190" s="2">
        <v>7635</v>
      </c>
      <c r="C190" s="2" t="s">
        <v>1948</v>
      </c>
      <c r="D190" s="2" t="s">
        <v>1949</v>
      </c>
      <c r="E190" s="3" t="s">
        <v>1322</v>
      </c>
      <c r="F190" s="2" t="s">
        <v>1950</v>
      </c>
      <c r="G190" s="2" t="s">
        <v>1951</v>
      </c>
      <c r="H190" s="2" t="s">
        <v>184</v>
      </c>
      <c r="I190" s="2" t="s">
        <v>766</v>
      </c>
      <c r="J190" s="2" t="s">
        <v>30</v>
      </c>
      <c r="K190" s="2" t="s">
        <v>30</v>
      </c>
      <c r="L190" s="2" t="s">
        <v>337</v>
      </c>
      <c r="M190" s="2" t="s">
        <v>44</v>
      </c>
      <c r="N190" s="2" t="s">
        <v>462</v>
      </c>
      <c r="O190" s="2" t="s">
        <v>144</v>
      </c>
      <c r="P190" s="2" t="s">
        <v>1730</v>
      </c>
      <c r="Q190" s="2" t="s">
        <v>425</v>
      </c>
      <c r="R190" s="2" t="s">
        <v>417</v>
      </c>
      <c r="S190" s="2" t="s">
        <v>34</v>
      </c>
      <c r="T190" s="125">
        <v>2.722</v>
      </c>
      <c r="U190" s="2" t="s">
        <v>1947</v>
      </c>
      <c r="V190" s="138">
        <v>4.6899999999999997E-2</v>
      </c>
      <c r="W190" s="140">
        <v>7.3669999999999999E-2</v>
      </c>
      <c r="X190" s="3" t="s">
        <v>422</v>
      </c>
      <c r="Y190" s="3" t="s">
        <v>144</v>
      </c>
      <c r="Z190" s="125">
        <v>58904.45</v>
      </c>
      <c r="AA190" s="134">
        <v>1</v>
      </c>
      <c r="AB190" s="151">
        <v>98.21</v>
      </c>
      <c r="AC190" s="2"/>
      <c r="AD190" s="125">
        <v>57.85</v>
      </c>
      <c r="AE190" s="2"/>
      <c r="AF190" s="2"/>
      <c r="AG190" s="2" t="s">
        <v>36</v>
      </c>
      <c r="AH190" s="140">
        <v>4.3999999999999999E-5</v>
      </c>
      <c r="AI190" s="140">
        <v>1.68400379027745E-2</v>
      </c>
      <c r="AJ190" s="140">
        <v>3.1433250107237702E-3</v>
      </c>
    </row>
    <row r="191" spans="1:36">
      <c r="A191" s="2">
        <v>382</v>
      </c>
      <c r="B191" s="2">
        <v>11414</v>
      </c>
      <c r="C191" s="2" t="s">
        <v>1726</v>
      </c>
      <c r="D191" s="2" t="s">
        <v>1727</v>
      </c>
      <c r="E191" s="3" t="s">
        <v>1322</v>
      </c>
      <c r="F191" s="2" t="s">
        <v>1732</v>
      </c>
      <c r="G191" s="2" t="s">
        <v>1733</v>
      </c>
      <c r="H191" s="2" t="s">
        <v>184</v>
      </c>
      <c r="I191" s="2" t="s">
        <v>977</v>
      </c>
      <c r="J191" s="2" t="s">
        <v>30</v>
      </c>
      <c r="K191" s="2" t="s">
        <v>30</v>
      </c>
      <c r="L191" s="2" t="s">
        <v>337</v>
      </c>
      <c r="M191" s="2" t="s">
        <v>44</v>
      </c>
      <c r="N191" s="2" t="s">
        <v>459</v>
      </c>
      <c r="O191" s="2" t="s">
        <v>144</v>
      </c>
      <c r="P191" s="2" t="s">
        <v>1730</v>
      </c>
      <c r="Q191" s="2" t="s">
        <v>423</v>
      </c>
      <c r="R191" s="2" t="s">
        <v>417</v>
      </c>
      <c r="S191" s="2" t="s">
        <v>34</v>
      </c>
      <c r="T191" s="125">
        <v>2.7090000000000001</v>
      </c>
      <c r="U191" s="2" t="s">
        <v>1734</v>
      </c>
      <c r="V191" s="138">
        <v>0.04</v>
      </c>
      <c r="W191" s="140">
        <v>5.1769999999999997E-2</v>
      </c>
      <c r="X191" s="3" t="s">
        <v>422</v>
      </c>
      <c r="Y191" s="3" t="s">
        <v>144</v>
      </c>
      <c r="Z191" s="125">
        <v>43750</v>
      </c>
      <c r="AA191" s="134">
        <v>1</v>
      </c>
      <c r="AB191" s="151">
        <v>98.91</v>
      </c>
      <c r="AC191" s="2"/>
      <c r="AD191" s="125">
        <v>43.273000000000003</v>
      </c>
      <c r="AE191" s="2"/>
      <c r="AF191" s="2"/>
      <c r="AG191" s="2" t="s">
        <v>36</v>
      </c>
      <c r="AH191" s="140">
        <v>6.4999999999999994E-5</v>
      </c>
      <c r="AI191" s="140">
        <v>3.5087696757501903E-2</v>
      </c>
      <c r="AJ191" s="140">
        <v>2.8533759364462201E-3</v>
      </c>
    </row>
    <row r="192" spans="1:36">
      <c r="A192" s="2">
        <v>382</v>
      </c>
      <c r="B192" s="2">
        <v>11414</v>
      </c>
      <c r="C192" s="2" t="s">
        <v>1518</v>
      </c>
      <c r="D192" s="2" t="s">
        <v>1519</v>
      </c>
      <c r="E192" s="3" t="s">
        <v>1322</v>
      </c>
      <c r="F192" s="2" t="s">
        <v>1735</v>
      </c>
      <c r="G192" s="2" t="s">
        <v>1736</v>
      </c>
      <c r="H192" s="2" t="s">
        <v>184</v>
      </c>
      <c r="I192" s="2" t="s">
        <v>765</v>
      </c>
      <c r="J192" s="2" t="s">
        <v>30</v>
      </c>
      <c r="K192" s="2" t="s">
        <v>30</v>
      </c>
      <c r="L192" s="2" t="s">
        <v>337</v>
      </c>
      <c r="M192" s="2" t="s">
        <v>44</v>
      </c>
      <c r="N192" s="2" t="s">
        <v>472</v>
      </c>
      <c r="O192" s="2" t="s">
        <v>144</v>
      </c>
      <c r="P192" s="2" t="s">
        <v>1717</v>
      </c>
      <c r="Q192" s="2" t="s">
        <v>423</v>
      </c>
      <c r="R192" s="2" t="s">
        <v>417</v>
      </c>
      <c r="S192" s="2" t="s">
        <v>34</v>
      </c>
      <c r="T192" s="125">
        <v>1.929</v>
      </c>
      <c r="U192" s="2" t="s">
        <v>1737</v>
      </c>
      <c r="V192" s="138">
        <v>3.2000000000000001E-2</v>
      </c>
      <c r="W192" s="140">
        <v>2.4420000000000001E-2</v>
      </c>
      <c r="X192" s="3" t="s">
        <v>422</v>
      </c>
      <c r="Y192" s="3" t="s">
        <v>144</v>
      </c>
      <c r="Z192" s="125">
        <v>121250</v>
      </c>
      <c r="AA192" s="134">
        <v>1</v>
      </c>
      <c r="AB192" s="151">
        <v>118.5</v>
      </c>
      <c r="AC192" s="2"/>
      <c r="AD192" s="125">
        <v>143.68100000000001</v>
      </c>
      <c r="AE192" s="2"/>
      <c r="AF192" s="2"/>
      <c r="AG192" s="2" t="s">
        <v>36</v>
      </c>
      <c r="AH192" s="140">
        <v>2.2000000000000001E-4</v>
      </c>
      <c r="AI192" s="140">
        <v>0.116502890182736</v>
      </c>
      <c r="AJ192" s="140">
        <v>9.4741625724630296E-3</v>
      </c>
    </row>
    <row r="193" spans="1:36">
      <c r="A193" s="2">
        <v>382</v>
      </c>
      <c r="B193" s="2">
        <v>11414</v>
      </c>
      <c r="C193" s="2" t="s">
        <v>1522</v>
      </c>
      <c r="D193" s="2" t="s">
        <v>1523</v>
      </c>
      <c r="E193" s="3" t="s">
        <v>1322</v>
      </c>
      <c r="F193" s="2" t="s">
        <v>1738</v>
      </c>
      <c r="G193" s="2" t="s">
        <v>1739</v>
      </c>
      <c r="H193" s="2" t="s">
        <v>184</v>
      </c>
      <c r="I193" s="2" t="s">
        <v>977</v>
      </c>
      <c r="J193" s="2" t="s">
        <v>30</v>
      </c>
      <c r="K193" s="2" t="s">
        <v>94</v>
      </c>
      <c r="L193" s="2" t="s">
        <v>337</v>
      </c>
      <c r="M193" s="2" t="s">
        <v>44</v>
      </c>
      <c r="N193" s="2" t="s">
        <v>449</v>
      </c>
      <c r="O193" s="2" t="s">
        <v>144</v>
      </c>
      <c r="P193" s="2" t="s">
        <v>1740</v>
      </c>
      <c r="Q193" s="2" t="s">
        <v>425</v>
      </c>
      <c r="R193" s="2" t="s">
        <v>417</v>
      </c>
      <c r="S193" s="2" t="s">
        <v>34</v>
      </c>
      <c r="T193" s="125">
        <v>1.4850000000000001</v>
      </c>
      <c r="U193" s="2" t="s">
        <v>1741</v>
      </c>
      <c r="V193" s="138">
        <v>3.4500000000000003E-2</v>
      </c>
      <c r="W193" s="140">
        <v>5.194E-2</v>
      </c>
      <c r="X193" s="3" t="s">
        <v>422</v>
      </c>
      <c r="Y193" s="3" t="s">
        <v>144</v>
      </c>
      <c r="Z193" s="125">
        <v>67857.14</v>
      </c>
      <c r="AA193" s="134">
        <v>1</v>
      </c>
      <c r="AB193" s="151">
        <v>98.71</v>
      </c>
      <c r="AC193" s="2"/>
      <c r="AD193" s="125">
        <v>66.981999999999999</v>
      </c>
      <c r="AE193" s="2"/>
      <c r="AF193" s="2"/>
      <c r="AG193" s="2" t="s">
        <v>36</v>
      </c>
      <c r="AH193" s="140">
        <v>1.06E-4</v>
      </c>
      <c r="AI193" s="140">
        <v>5.4311688524031898E-2</v>
      </c>
      <c r="AJ193" s="140">
        <v>4.4166952927482102E-3</v>
      </c>
    </row>
    <row r="194" spans="1:36">
      <c r="A194" s="2">
        <v>382</v>
      </c>
      <c r="B194" s="2">
        <v>11414</v>
      </c>
      <c r="C194" s="2" t="s">
        <v>2093</v>
      </c>
      <c r="D194" s="2" t="s">
        <v>2094</v>
      </c>
      <c r="E194" s="3" t="s">
        <v>1322</v>
      </c>
      <c r="F194" s="2" t="s">
        <v>2095</v>
      </c>
      <c r="G194" s="2" t="s">
        <v>2096</v>
      </c>
      <c r="H194" s="2" t="s">
        <v>184</v>
      </c>
      <c r="I194" s="2" t="s">
        <v>977</v>
      </c>
      <c r="J194" s="2" t="s">
        <v>30</v>
      </c>
      <c r="K194" s="2" t="s">
        <v>30</v>
      </c>
      <c r="L194" s="2" t="s">
        <v>337</v>
      </c>
      <c r="M194" s="2" t="s">
        <v>44</v>
      </c>
      <c r="N194" s="2" t="s">
        <v>455</v>
      </c>
      <c r="O194" s="2" t="s">
        <v>144</v>
      </c>
      <c r="P194" s="2" t="s">
        <v>1740</v>
      </c>
      <c r="Q194" s="2" t="s">
        <v>423</v>
      </c>
      <c r="R194" s="2" t="s">
        <v>417</v>
      </c>
      <c r="S194" s="2" t="s">
        <v>34</v>
      </c>
      <c r="T194" s="125">
        <v>0.35299999999999998</v>
      </c>
      <c r="U194" s="2" t="s">
        <v>1754</v>
      </c>
      <c r="V194" s="138">
        <v>4.2000000000000003E-2</v>
      </c>
      <c r="W194" s="140">
        <v>5.357E-2</v>
      </c>
      <c r="X194" s="3" t="s">
        <v>422</v>
      </c>
      <c r="Y194" s="3" t="s">
        <v>144</v>
      </c>
      <c r="Z194" s="125">
        <v>110560</v>
      </c>
      <c r="AA194" s="134">
        <v>1</v>
      </c>
      <c r="AB194" s="151">
        <v>100.22</v>
      </c>
      <c r="AC194" s="2"/>
      <c r="AD194" s="125">
        <v>110.803</v>
      </c>
      <c r="AE194" s="2"/>
      <c r="AF194" s="2"/>
      <c r="AG194" s="2" t="s">
        <v>36</v>
      </c>
      <c r="AH194" s="140">
        <v>9.1600000000000004E-4</v>
      </c>
      <c r="AI194" s="140">
        <v>8.9843989870551894E-2</v>
      </c>
      <c r="AJ194" s="140">
        <v>7.3062270374341601E-3</v>
      </c>
    </row>
    <row r="195" spans="1:36">
      <c r="A195" s="2">
        <v>382</v>
      </c>
      <c r="B195" s="2">
        <v>11414</v>
      </c>
      <c r="C195" s="2" t="s">
        <v>1769</v>
      </c>
      <c r="D195" s="2" t="s">
        <v>1770</v>
      </c>
      <c r="E195" s="3" t="s">
        <v>1322</v>
      </c>
      <c r="F195" s="2" t="s">
        <v>1771</v>
      </c>
      <c r="G195" s="2" t="s">
        <v>1772</v>
      </c>
      <c r="H195" s="2" t="s">
        <v>184</v>
      </c>
      <c r="I195" s="2" t="s">
        <v>765</v>
      </c>
      <c r="J195" s="2" t="s">
        <v>30</v>
      </c>
      <c r="K195" s="2" t="s">
        <v>30</v>
      </c>
      <c r="L195" s="2" t="s">
        <v>337</v>
      </c>
      <c r="M195" s="2" t="s">
        <v>44</v>
      </c>
      <c r="N195" s="2" t="s">
        <v>472</v>
      </c>
      <c r="O195" s="2" t="s">
        <v>144</v>
      </c>
      <c r="P195" s="2" t="s">
        <v>1717</v>
      </c>
      <c r="Q195" s="2" t="s">
        <v>423</v>
      </c>
      <c r="R195" s="2" t="s">
        <v>417</v>
      </c>
      <c r="S195" s="2" t="s">
        <v>34</v>
      </c>
      <c r="T195" s="125">
        <v>0.72899999999999998</v>
      </c>
      <c r="U195" s="2" t="s">
        <v>1773</v>
      </c>
      <c r="V195" s="138">
        <v>4.7500000000000001E-2</v>
      </c>
      <c r="W195" s="140">
        <v>2.5069999999999999E-2</v>
      </c>
      <c r="X195" s="3" t="s">
        <v>422</v>
      </c>
      <c r="Y195" s="3" t="s">
        <v>144</v>
      </c>
      <c r="Z195" s="125">
        <v>47533.36</v>
      </c>
      <c r="AA195" s="134">
        <v>1</v>
      </c>
      <c r="AB195" s="151">
        <v>143.82</v>
      </c>
      <c r="AC195" s="2"/>
      <c r="AD195" s="125">
        <v>68.361999999999995</v>
      </c>
      <c r="AE195" s="2"/>
      <c r="AF195" s="2"/>
      <c r="AG195" s="2" t="s">
        <v>36</v>
      </c>
      <c r="AH195" s="140">
        <v>5.0000000000000002E-5</v>
      </c>
      <c r="AI195" s="140">
        <v>5.5431215332986998E-2</v>
      </c>
      <c r="AJ195" s="140">
        <v>4.5077366306552303E-3</v>
      </c>
    </row>
    <row r="196" spans="1:36">
      <c r="A196" s="2">
        <v>382</v>
      </c>
      <c r="B196" s="2">
        <v>11414</v>
      </c>
      <c r="C196" s="2" t="s">
        <v>2097</v>
      </c>
      <c r="D196" s="2" t="s">
        <v>2098</v>
      </c>
      <c r="E196" s="3" t="s">
        <v>1322</v>
      </c>
      <c r="F196" s="2" t="s">
        <v>2099</v>
      </c>
      <c r="G196" s="2" t="s">
        <v>2100</v>
      </c>
      <c r="H196" s="2" t="s">
        <v>184</v>
      </c>
      <c r="I196" s="2" t="s">
        <v>977</v>
      </c>
      <c r="J196" s="2" t="s">
        <v>30</v>
      </c>
      <c r="K196" s="2" t="s">
        <v>30</v>
      </c>
      <c r="L196" s="2" t="s">
        <v>337</v>
      </c>
      <c r="M196" s="2" t="s">
        <v>44</v>
      </c>
      <c r="N196" s="2" t="s">
        <v>448</v>
      </c>
      <c r="O196" s="2" t="s">
        <v>144</v>
      </c>
      <c r="P196" s="2" t="s">
        <v>1740</v>
      </c>
      <c r="Q196" s="2" t="s">
        <v>425</v>
      </c>
      <c r="R196" s="2" t="s">
        <v>417</v>
      </c>
      <c r="S196" s="2" t="s">
        <v>34</v>
      </c>
      <c r="T196" s="125">
        <v>0.41099999999999998</v>
      </c>
      <c r="U196" s="2" t="s">
        <v>2101</v>
      </c>
      <c r="V196" s="138">
        <v>2.9499999999999998E-2</v>
      </c>
      <c r="W196" s="140">
        <v>5.5820000000000002E-2</v>
      </c>
      <c r="X196" s="3" t="s">
        <v>422</v>
      </c>
      <c r="Y196" s="3" t="s">
        <v>144</v>
      </c>
      <c r="Z196" s="125">
        <v>7300.01</v>
      </c>
      <c r="AA196" s="134">
        <v>1</v>
      </c>
      <c r="AB196" s="151">
        <v>99.22</v>
      </c>
      <c r="AC196" s="2"/>
      <c r="AD196" s="125">
        <v>7.2430000000000003</v>
      </c>
      <c r="AE196" s="2"/>
      <c r="AF196" s="2"/>
      <c r="AG196" s="2" t="s">
        <v>36</v>
      </c>
      <c r="AH196" s="140">
        <v>1.22E-4</v>
      </c>
      <c r="AI196" s="140">
        <v>5.8729902454818898E-3</v>
      </c>
      <c r="AJ196" s="140">
        <v>4.7759900449602898E-4</v>
      </c>
    </row>
    <row r="197" spans="1:36">
      <c r="A197" s="2">
        <v>382</v>
      </c>
      <c r="B197" s="2">
        <v>11414</v>
      </c>
      <c r="C197" s="2" t="s">
        <v>1793</v>
      </c>
      <c r="D197" s="2" t="s">
        <v>1794</v>
      </c>
      <c r="E197" s="3" t="s">
        <v>1322</v>
      </c>
      <c r="F197" s="2" t="s">
        <v>2102</v>
      </c>
      <c r="G197" s="2" t="s">
        <v>2103</v>
      </c>
      <c r="H197" s="2" t="s">
        <v>184</v>
      </c>
      <c r="I197" s="2" t="s">
        <v>765</v>
      </c>
      <c r="J197" s="2" t="s">
        <v>30</v>
      </c>
      <c r="K197" s="2" t="s">
        <v>30</v>
      </c>
      <c r="L197" s="2" t="s">
        <v>337</v>
      </c>
      <c r="M197" s="2" t="s">
        <v>44</v>
      </c>
      <c r="N197" s="2" t="s">
        <v>453</v>
      </c>
      <c r="O197" s="2" t="s">
        <v>144</v>
      </c>
      <c r="P197" s="2" t="s">
        <v>1721</v>
      </c>
      <c r="Q197" s="2" t="s">
        <v>423</v>
      </c>
      <c r="R197" s="2" t="s">
        <v>417</v>
      </c>
      <c r="S197" s="2" t="s">
        <v>34</v>
      </c>
      <c r="T197" s="125">
        <v>0.98899999999999999</v>
      </c>
      <c r="U197" s="2" t="s">
        <v>1896</v>
      </c>
      <c r="V197" s="138">
        <v>2.4E-2</v>
      </c>
      <c r="W197" s="140">
        <v>2.5090000000000001E-2</v>
      </c>
      <c r="X197" s="3" t="s">
        <v>422</v>
      </c>
      <c r="Y197" s="3" t="s">
        <v>144</v>
      </c>
      <c r="Z197" s="125">
        <v>75000</v>
      </c>
      <c r="AA197" s="134">
        <v>1</v>
      </c>
      <c r="AB197" s="151">
        <v>115.12</v>
      </c>
      <c r="AC197" s="2"/>
      <c r="AD197" s="125">
        <v>86.34</v>
      </c>
      <c r="AE197" s="2"/>
      <c r="AF197" s="2"/>
      <c r="AG197" s="2" t="s">
        <v>36</v>
      </c>
      <c r="AH197" s="140">
        <v>2.5399999999999999E-4</v>
      </c>
      <c r="AI197" s="140">
        <v>7.0008157211726901E-2</v>
      </c>
      <c r="AJ197" s="140">
        <v>5.6931520049168403E-3</v>
      </c>
    </row>
    <row r="198" spans="1:36">
      <c r="A198" s="2">
        <v>382</v>
      </c>
      <c r="B198" s="2">
        <v>11414</v>
      </c>
      <c r="C198" s="2" t="s">
        <v>1793</v>
      </c>
      <c r="D198" s="2" t="s">
        <v>1794</v>
      </c>
      <c r="E198" s="3" t="s">
        <v>1322</v>
      </c>
      <c r="F198" s="2" t="s">
        <v>2104</v>
      </c>
      <c r="G198" s="2" t="s">
        <v>2105</v>
      </c>
      <c r="H198" s="2" t="s">
        <v>184</v>
      </c>
      <c r="I198" s="2" t="s">
        <v>765</v>
      </c>
      <c r="J198" s="2" t="s">
        <v>30</v>
      </c>
      <c r="K198" s="2" t="s">
        <v>30</v>
      </c>
      <c r="L198" s="2" t="s">
        <v>337</v>
      </c>
      <c r="M198" s="2" t="s">
        <v>44</v>
      </c>
      <c r="N198" s="2" t="s">
        <v>453</v>
      </c>
      <c r="O198" s="2" t="s">
        <v>144</v>
      </c>
      <c r="P198" s="2" t="s">
        <v>1721</v>
      </c>
      <c r="Q198" s="2" t="s">
        <v>423</v>
      </c>
      <c r="R198" s="2" t="s">
        <v>417</v>
      </c>
      <c r="S198" s="2" t="s">
        <v>34</v>
      </c>
      <c r="T198" s="125">
        <v>1.9590000000000001</v>
      </c>
      <c r="U198" s="2" t="s">
        <v>2106</v>
      </c>
      <c r="V198" s="138">
        <v>2.4E-2</v>
      </c>
      <c r="W198" s="140">
        <v>2.2409999999999999E-2</v>
      </c>
      <c r="X198" s="3" t="s">
        <v>422</v>
      </c>
      <c r="Y198" s="3" t="s">
        <v>144</v>
      </c>
      <c r="Z198" s="125">
        <v>80000</v>
      </c>
      <c r="AA198" s="134">
        <v>1</v>
      </c>
      <c r="AB198" s="151">
        <v>115.61</v>
      </c>
      <c r="AC198" s="2"/>
      <c r="AD198" s="125">
        <v>92.488</v>
      </c>
      <c r="AE198" s="2"/>
      <c r="AF198" s="2"/>
      <c r="AG198" s="2" t="s">
        <v>36</v>
      </c>
      <c r="AH198" s="140">
        <v>2.7099999999999997E-4</v>
      </c>
      <c r="AI198" s="140">
        <v>7.4993218024069899E-2</v>
      </c>
      <c r="AJ198" s="140">
        <v>6.0985434634091796E-3</v>
      </c>
    </row>
    <row r="199" spans="1:36">
      <c r="A199" s="2">
        <v>382</v>
      </c>
      <c r="B199" s="2">
        <v>11414</v>
      </c>
      <c r="C199" s="2" t="s">
        <v>1797</v>
      </c>
      <c r="D199" s="2" t="s">
        <v>1798</v>
      </c>
      <c r="E199" s="3" t="s">
        <v>1322</v>
      </c>
      <c r="F199" s="2" t="s">
        <v>1799</v>
      </c>
      <c r="G199" s="2" t="s">
        <v>1800</v>
      </c>
      <c r="H199" s="2" t="s">
        <v>184</v>
      </c>
      <c r="I199" s="2" t="s">
        <v>977</v>
      </c>
      <c r="J199" s="2" t="s">
        <v>30</v>
      </c>
      <c r="K199" s="2" t="s">
        <v>30</v>
      </c>
      <c r="L199" s="2" t="s">
        <v>337</v>
      </c>
      <c r="M199" s="2" t="s">
        <v>44</v>
      </c>
      <c r="N199" s="2" t="s">
        <v>453</v>
      </c>
      <c r="O199" s="2" t="s">
        <v>144</v>
      </c>
      <c r="P199" s="2" t="s">
        <v>1717</v>
      </c>
      <c r="Q199" s="2" t="s">
        <v>425</v>
      </c>
      <c r="R199" s="2" t="s">
        <v>417</v>
      </c>
      <c r="S199" s="2" t="s">
        <v>34</v>
      </c>
      <c r="T199" s="125">
        <v>5.093</v>
      </c>
      <c r="U199" s="2" t="s">
        <v>1801</v>
      </c>
      <c r="V199" s="138">
        <v>1.95E-2</v>
      </c>
      <c r="W199" s="140">
        <v>4.8559999999999999E-2</v>
      </c>
      <c r="X199" s="3" t="s">
        <v>422</v>
      </c>
      <c r="Y199" s="3" t="s">
        <v>144</v>
      </c>
      <c r="Z199" s="125">
        <v>105606.45</v>
      </c>
      <c r="AA199" s="134">
        <v>1</v>
      </c>
      <c r="AB199" s="151">
        <v>86.35</v>
      </c>
      <c r="AC199" s="2"/>
      <c r="AD199" s="125">
        <v>91.191000000000003</v>
      </c>
      <c r="AE199" s="2"/>
      <c r="AF199" s="2"/>
      <c r="AG199" s="2" t="s">
        <v>36</v>
      </c>
      <c r="AH199" s="140">
        <v>1.05E-4</v>
      </c>
      <c r="AI199" s="140">
        <v>7.3941692563445099E-2</v>
      </c>
      <c r="AJ199" s="140">
        <v>6.0130320812673502E-3</v>
      </c>
    </row>
    <row r="200" spans="1:36">
      <c r="A200" s="2">
        <v>382</v>
      </c>
      <c r="B200" s="2">
        <v>11414</v>
      </c>
      <c r="C200" s="2" t="s">
        <v>1807</v>
      </c>
      <c r="D200" s="2" t="s">
        <v>1808</v>
      </c>
      <c r="E200" s="3" t="s">
        <v>1322</v>
      </c>
      <c r="F200" s="2" t="s">
        <v>1972</v>
      </c>
      <c r="G200" s="2" t="s">
        <v>1973</v>
      </c>
      <c r="H200" s="2" t="s">
        <v>184</v>
      </c>
      <c r="I200" s="2" t="s">
        <v>765</v>
      </c>
      <c r="J200" s="2" t="s">
        <v>30</v>
      </c>
      <c r="K200" s="2" t="s">
        <v>30</v>
      </c>
      <c r="L200" s="2" t="s">
        <v>337</v>
      </c>
      <c r="M200" s="2" t="s">
        <v>44</v>
      </c>
      <c r="N200" s="2" t="s">
        <v>448</v>
      </c>
      <c r="O200" s="2" t="s">
        <v>144</v>
      </c>
      <c r="P200" s="2" t="s">
        <v>95</v>
      </c>
      <c r="Q200" s="2" t="s">
        <v>423</v>
      </c>
      <c r="R200" s="2" t="s">
        <v>417</v>
      </c>
      <c r="S200" s="2" t="s">
        <v>34</v>
      </c>
      <c r="T200" s="125">
        <v>0.64500000000000002</v>
      </c>
      <c r="U200" s="2" t="s">
        <v>1974</v>
      </c>
      <c r="V200" s="138">
        <v>4.4999999999999998E-2</v>
      </c>
      <c r="W200" s="140">
        <v>2.8240000000000001E-2</v>
      </c>
      <c r="X200" s="3" t="s">
        <v>422</v>
      </c>
      <c r="Y200" s="3" t="s">
        <v>144</v>
      </c>
      <c r="Z200" s="125">
        <v>74000</v>
      </c>
      <c r="AA200" s="134">
        <v>1</v>
      </c>
      <c r="AB200" s="151">
        <v>119.91</v>
      </c>
      <c r="AC200" s="2"/>
      <c r="AD200" s="125">
        <v>88.733000000000004</v>
      </c>
      <c r="AE200" s="2"/>
      <c r="AF200" s="2"/>
      <c r="AG200" s="2" t="s">
        <v>36</v>
      </c>
      <c r="AH200" s="140">
        <v>2.5000000000000001E-5</v>
      </c>
      <c r="AI200" s="140">
        <v>7.1948828088152006E-2</v>
      </c>
      <c r="AJ200" s="140">
        <v>5.8509698183123399E-3</v>
      </c>
    </row>
    <row r="201" spans="1:36">
      <c r="A201" s="2">
        <v>382</v>
      </c>
      <c r="B201" s="2">
        <v>11414</v>
      </c>
      <c r="C201" s="2" t="s">
        <v>1807</v>
      </c>
      <c r="D201" s="2" t="s">
        <v>1808</v>
      </c>
      <c r="E201" s="3" t="s">
        <v>1322</v>
      </c>
      <c r="F201" s="2" t="s">
        <v>1809</v>
      </c>
      <c r="G201" s="2" t="s">
        <v>1810</v>
      </c>
      <c r="H201" s="2" t="s">
        <v>184</v>
      </c>
      <c r="I201" s="2" t="s">
        <v>765</v>
      </c>
      <c r="J201" s="2" t="s">
        <v>30</v>
      </c>
      <c r="K201" s="2" t="s">
        <v>30</v>
      </c>
      <c r="L201" s="2" t="s">
        <v>337</v>
      </c>
      <c r="M201" s="2" t="s">
        <v>44</v>
      </c>
      <c r="N201" s="2" t="s">
        <v>448</v>
      </c>
      <c r="O201" s="2" t="s">
        <v>144</v>
      </c>
      <c r="P201" s="2" t="s">
        <v>95</v>
      </c>
      <c r="Q201" s="2" t="s">
        <v>423</v>
      </c>
      <c r="R201" s="2" t="s">
        <v>417</v>
      </c>
      <c r="S201" s="2" t="s">
        <v>34</v>
      </c>
      <c r="T201" s="125">
        <v>3.1850000000000001</v>
      </c>
      <c r="U201" s="2" t="s">
        <v>1811</v>
      </c>
      <c r="V201" s="138">
        <v>3.85E-2</v>
      </c>
      <c r="W201" s="140">
        <v>2.4279999999999999E-2</v>
      </c>
      <c r="X201" s="3" t="s">
        <v>422</v>
      </c>
      <c r="Y201" s="3" t="s">
        <v>144</v>
      </c>
      <c r="Z201" s="125">
        <v>82363.72</v>
      </c>
      <c r="AA201" s="134">
        <v>1</v>
      </c>
      <c r="AB201" s="151">
        <v>122.39</v>
      </c>
      <c r="AC201" s="2"/>
      <c r="AD201" s="125">
        <v>100.80500000000001</v>
      </c>
      <c r="AE201" s="2"/>
      <c r="AF201" s="2"/>
      <c r="AG201" s="2" t="s">
        <v>36</v>
      </c>
      <c r="AH201" s="140">
        <v>3.1999999999999999E-5</v>
      </c>
      <c r="AI201" s="140">
        <v>8.1736961674040098E-2</v>
      </c>
      <c r="AJ201" s="140">
        <v>6.64695323750679E-3</v>
      </c>
    </row>
    <row r="202" spans="1:36">
      <c r="A202" s="2">
        <v>382</v>
      </c>
      <c r="B202" s="2">
        <v>11414</v>
      </c>
      <c r="C202" s="2" t="s">
        <v>1836</v>
      </c>
      <c r="D202" s="2" t="s">
        <v>1837</v>
      </c>
      <c r="E202" s="3" t="s">
        <v>1322</v>
      </c>
      <c r="F202" s="2" t="s">
        <v>1841</v>
      </c>
      <c r="G202" s="2" t="s">
        <v>1842</v>
      </c>
      <c r="H202" s="2" t="s">
        <v>184</v>
      </c>
      <c r="I202" s="2" t="s">
        <v>765</v>
      </c>
      <c r="J202" s="2" t="s">
        <v>30</v>
      </c>
      <c r="K202" s="2" t="s">
        <v>30</v>
      </c>
      <c r="L202" s="2" t="s">
        <v>337</v>
      </c>
      <c r="M202" s="2" t="s">
        <v>44</v>
      </c>
      <c r="N202" s="2" t="s">
        <v>472</v>
      </c>
      <c r="O202" s="2" t="s">
        <v>144</v>
      </c>
      <c r="P202" s="2" t="s">
        <v>1717</v>
      </c>
      <c r="Q202" s="2" t="s">
        <v>423</v>
      </c>
      <c r="R202" s="2" t="s">
        <v>417</v>
      </c>
      <c r="S202" s="2" t="s">
        <v>34</v>
      </c>
      <c r="T202" s="125">
        <v>1.929</v>
      </c>
      <c r="U202" s="2" t="s">
        <v>1843</v>
      </c>
      <c r="V202" s="138">
        <v>3.6999999999999998E-2</v>
      </c>
      <c r="W202" s="140">
        <v>2.6380000000000001E-2</v>
      </c>
      <c r="X202" s="3" t="s">
        <v>422</v>
      </c>
      <c r="Y202" s="3" t="s">
        <v>144</v>
      </c>
      <c r="Z202" s="125">
        <v>60554.62</v>
      </c>
      <c r="AA202" s="134">
        <v>1</v>
      </c>
      <c r="AB202" s="151">
        <v>117.74</v>
      </c>
      <c r="AC202" s="2"/>
      <c r="AD202" s="125">
        <v>71.296999999999997</v>
      </c>
      <c r="AE202" s="2"/>
      <c r="AF202" s="2"/>
      <c r="AG202" s="2" t="s">
        <v>36</v>
      </c>
      <c r="AH202" s="140">
        <v>2.0100000000000001E-4</v>
      </c>
      <c r="AI202" s="140">
        <v>5.7810658512424201E-2</v>
      </c>
      <c r="AJ202" s="140">
        <v>4.7012359634062703E-3</v>
      </c>
    </row>
    <row r="203" spans="1:36">
      <c r="A203" s="2">
        <v>382</v>
      </c>
      <c r="B203" s="2">
        <v>11414</v>
      </c>
      <c r="C203" s="2" t="s">
        <v>2107</v>
      </c>
      <c r="D203" s="2" t="s">
        <v>2108</v>
      </c>
      <c r="E203" s="3" t="s">
        <v>1322</v>
      </c>
      <c r="F203" s="2" t="s">
        <v>2109</v>
      </c>
      <c r="G203" s="2" t="s">
        <v>2110</v>
      </c>
      <c r="H203" s="2" t="s">
        <v>184</v>
      </c>
      <c r="I203" s="2" t="s">
        <v>765</v>
      </c>
      <c r="J203" s="2" t="s">
        <v>30</v>
      </c>
      <c r="K203" s="2" t="s">
        <v>30</v>
      </c>
      <c r="L203" s="2" t="s">
        <v>337</v>
      </c>
      <c r="M203" s="2" t="s">
        <v>44</v>
      </c>
      <c r="N203" s="2" t="s">
        <v>472</v>
      </c>
      <c r="O203" s="2" t="s">
        <v>144</v>
      </c>
      <c r="P203" s="2" t="s">
        <v>1721</v>
      </c>
      <c r="Q203" s="2" t="s">
        <v>425</v>
      </c>
      <c r="R203" s="2" t="s">
        <v>417</v>
      </c>
      <c r="S203" s="2" t="s">
        <v>34</v>
      </c>
      <c r="T203" s="125">
        <v>0.03</v>
      </c>
      <c r="U203" s="2" t="s">
        <v>2111</v>
      </c>
      <c r="V203" s="138">
        <v>2.75E-2</v>
      </c>
      <c r="W203" s="140">
        <v>5.9569999999999998E-2</v>
      </c>
      <c r="X203" s="3" t="s">
        <v>422</v>
      </c>
      <c r="Y203" s="3" t="s">
        <v>144</v>
      </c>
      <c r="Z203" s="125">
        <v>80000</v>
      </c>
      <c r="AA203" s="134">
        <v>1</v>
      </c>
      <c r="AB203" s="151">
        <v>117.93</v>
      </c>
      <c r="AC203" s="2"/>
      <c r="AD203" s="125">
        <v>94.343999999999994</v>
      </c>
      <c r="AE203" s="2"/>
      <c r="AF203" s="2"/>
      <c r="AG203" s="2" t="s">
        <v>36</v>
      </c>
      <c r="AH203" s="140">
        <v>5.7899999999999998E-4</v>
      </c>
      <c r="AI203" s="140">
        <v>7.6498142042890502E-2</v>
      </c>
      <c r="AJ203" s="140">
        <v>6.22092579050121E-3</v>
      </c>
    </row>
    <row r="204" spans="1:36">
      <c r="A204" s="2">
        <v>382</v>
      </c>
      <c r="B204" s="2">
        <v>11414</v>
      </c>
      <c r="C204" s="2" t="s">
        <v>2112</v>
      </c>
      <c r="D204" s="2" t="s">
        <v>2113</v>
      </c>
      <c r="E204" s="3" t="s">
        <v>1322</v>
      </c>
      <c r="F204" s="2" t="s">
        <v>2114</v>
      </c>
      <c r="G204" s="2" t="s">
        <v>2115</v>
      </c>
      <c r="H204" s="2" t="s">
        <v>184</v>
      </c>
      <c r="I204" s="2" t="s">
        <v>977</v>
      </c>
      <c r="J204" s="2" t="s">
        <v>30</v>
      </c>
      <c r="K204" s="2" t="s">
        <v>30</v>
      </c>
      <c r="L204" s="2" t="s">
        <v>337</v>
      </c>
      <c r="M204" s="2" t="s">
        <v>44</v>
      </c>
      <c r="N204" s="2" t="s">
        <v>472</v>
      </c>
      <c r="O204" s="2" t="s">
        <v>144</v>
      </c>
      <c r="P204" s="2" t="s">
        <v>1179</v>
      </c>
      <c r="Q204" s="2" t="s">
        <v>423</v>
      </c>
      <c r="R204" s="2" t="s">
        <v>417</v>
      </c>
      <c r="S204" s="2" t="s">
        <v>34</v>
      </c>
      <c r="T204" s="125">
        <v>1.6830000000000001</v>
      </c>
      <c r="U204" s="2" t="s">
        <v>2116</v>
      </c>
      <c r="V204" s="138">
        <v>1.44E-2</v>
      </c>
      <c r="W204" s="140">
        <v>4.471E-2</v>
      </c>
      <c r="X204" s="3" t="s">
        <v>422</v>
      </c>
      <c r="Y204" s="3" t="s">
        <v>144</v>
      </c>
      <c r="Z204" s="125">
        <v>161567.95000000001</v>
      </c>
      <c r="AA204" s="134">
        <v>1</v>
      </c>
      <c r="AB204" s="151">
        <v>95.47</v>
      </c>
      <c r="AC204" s="2"/>
      <c r="AD204" s="125">
        <v>154.249</v>
      </c>
      <c r="AE204" s="2"/>
      <c r="AF204" s="2"/>
      <c r="AG204" s="2" t="s">
        <v>36</v>
      </c>
      <c r="AH204" s="140">
        <v>4.6200000000000001E-4</v>
      </c>
      <c r="AI204" s="140">
        <v>0.125071609586105</v>
      </c>
      <c r="AJ204" s="140">
        <v>1.01709816860318E-2</v>
      </c>
    </row>
    <row r="205" spans="1:36">
      <c r="A205" s="2">
        <v>382</v>
      </c>
      <c r="B205" s="2">
        <v>11414</v>
      </c>
      <c r="C205" s="2" t="s">
        <v>1933</v>
      </c>
      <c r="D205" s="2" t="s">
        <v>1934</v>
      </c>
      <c r="E205" s="3" t="s">
        <v>1322</v>
      </c>
      <c r="F205" s="2" t="s">
        <v>1935</v>
      </c>
      <c r="G205" s="2" t="s">
        <v>1936</v>
      </c>
      <c r="H205" s="2" t="s">
        <v>184</v>
      </c>
      <c r="I205" s="2" t="s">
        <v>765</v>
      </c>
      <c r="J205" s="2" t="s">
        <v>30</v>
      </c>
      <c r="K205" s="2" t="s">
        <v>30</v>
      </c>
      <c r="L205" s="2" t="s">
        <v>337</v>
      </c>
      <c r="M205" s="2" t="s">
        <v>44</v>
      </c>
      <c r="N205" s="2" t="s">
        <v>455</v>
      </c>
      <c r="O205" s="2" t="s">
        <v>144</v>
      </c>
      <c r="P205" s="2" t="s">
        <v>1740</v>
      </c>
      <c r="Q205" s="2" t="s">
        <v>423</v>
      </c>
      <c r="R205" s="2" t="s">
        <v>417</v>
      </c>
      <c r="S205" s="2" t="s">
        <v>34</v>
      </c>
      <c r="T205" s="125">
        <v>0.24399999999999999</v>
      </c>
      <c r="U205" s="2" t="s">
        <v>1937</v>
      </c>
      <c r="V205" s="138">
        <v>4.3400000000000001E-2</v>
      </c>
      <c r="W205" s="140">
        <v>3.3689999999999998E-2</v>
      </c>
      <c r="X205" s="3" t="s">
        <v>422</v>
      </c>
      <c r="Y205" s="3" t="s">
        <v>144</v>
      </c>
      <c r="Z205" s="125">
        <v>11555.72</v>
      </c>
      <c r="AA205" s="134">
        <v>1</v>
      </c>
      <c r="AB205" s="151">
        <v>116.76</v>
      </c>
      <c r="AC205" s="2"/>
      <c r="AD205" s="125">
        <v>13.492000000000001</v>
      </c>
      <c r="AE205" s="2"/>
      <c r="AF205" s="2"/>
      <c r="AG205" s="2" t="s">
        <v>36</v>
      </c>
      <c r="AH205" s="140">
        <v>2.6999999999999999E-5</v>
      </c>
      <c r="AI205" s="140">
        <v>1.09402613838557E-2</v>
      </c>
      <c r="AJ205" s="140">
        <v>8.8967591081485305E-4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20" xr:uid="{00000000-0002-0000-0500-000002000000}">
      <formula1>Rating_Agency</formula1>
    </dataValidation>
    <dataValidation type="list" allowBlank="1" showInputMessage="1" showErrorMessage="1" sqref="R2:R20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20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116"/>
  <sheetViews>
    <sheetView rightToLeft="1" topLeftCell="F1" zoomScale="70" zoomScaleNormal="70" workbookViewId="0"/>
  </sheetViews>
  <sheetFormatPr defaultColWidth="0" defaultRowHeight="14.25" zeroHeight="1"/>
  <cols>
    <col min="1" max="24" width="11.625" customWidth="1"/>
    <col min="25" max="26" width="11.625" hidden="1" customWidth="1"/>
  </cols>
  <sheetData>
    <row r="1" spans="1:24" ht="66.75" customHeight="1">
      <c r="A1" s="12" t="s">
        <v>0</v>
      </c>
      <c r="B1" s="12" t="s">
        <v>1</v>
      </c>
      <c r="C1" s="12" t="s">
        <v>2</v>
      </c>
      <c r="D1" s="12" t="s">
        <v>151</v>
      </c>
      <c r="E1" s="12" t="s">
        <v>152</v>
      </c>
      <c r="F1" s="12" t="s">
        <v>3</v>
      </c>
      <c r="G1" s="12" t="s">
        <v>4</v>
      </c>
      <c r="H1" s="12" t="s">
        <v>153</v>
      </c>
      <c r="I1" s="12" t="s">
        <v>5</v>
      </c>
      <c r="J1" s="12" t="s">
        <v>6</v>
      </c>
      <c r="K1" s="12" t="s">
        <v>7</v>
      </c>
      <c r="L1" s="12" t="s">
        <v>336</v>
      </c>
      <c r="M1" s="12" t="s">
        <v>8</v>
      </c>
      <c r="N1" s="12" t="s">
        <v>154</v>
      </c>
      <c r="O1" s="12" t="s">
        <v>130</v>
      </c>
      <c r="P1" s="12" t="s">
        <v>11</v>
      </c>
      <c r="Q1" s="12" t="s">
        <v>17</v>
      </c>
      <c r="R1" s="133" t="s">
        <v>18</v>
      </c>
      <c r="S1" s="144" t="s">
        <v>19</v>
      </c>
      <c r="T1" s="12" t="s">
        <v>16</v>
      </c>
      <c r="U1" s="12" t="s">
        <v>20</v>
      </c>
      <c r="V1" s="139" t="s">
        <v>23</v>
      </c>
      <c r="W1" s="139" t="s">
        <v>24</v>
      </c>
      <c r="X1" s="139" t="s">
        <v>25</v>
      </c>
    </row>
    <row r="2" spans="1:24">
      <c r="A2" s="11">
        <v>382</v>
      </c>
      <c r="B2" s="11">
        <v>382</v>
      </c>
      <c r="C2" s="11" t="s">
        <v>1510</v>
      </c>
      <c r="D2" s="11" t="s">
        <v>1511</v>
      </c>
      <c r="E2" s="11" t="s">
        <v>1322</v>
      </c>
      <c r="F2" s="11" t="s">
        <v>1512</v>
      </c>
      <c r="G2" s="11" t="s">
        <v>1513</v>
      </c>
      <c r="H2" s="11" t="s">
        <v>184</v>
      </c>
      <c r="I2" s="11" t="s">
        <v>941</v>
      </c>
      <c r="J2" s="11" t="s">
        <v>30</v>
      </c>
      <c r="K2" s="11" t="s">
        <v>30</v>
      </c>
      <c r="L2" s="13" t="s">
        <v>337</v>
      </c>
      <c r="M2" s="11" t="s">
        <v>44</v>
      </c>
      <c r="N2" s="13" t="s">
        <v>454</v>
      </c>
      <c r="O2" s="13" t="s">
        <v>144</v>
      </c>
      <c r="P2" s="11" t="s">
        <v>34</v>
      </c>
      <c r="Q2" s="128">
        <v>5050.37</v>
      </c>
      <c r="R2" s="152">
        <v>1</v>
      </c>
      <c r="S2" s="153">
        <v>95300</v>
      </c>
      <c r="T2" s="127">
        <v>9.2050000000000001</v>
      </c>
      <c r="U2" s="128">
        <v>4822.2079999999996</v>
      </c>
      <c r="V2" s="154">
        <v>1.13E-4</v>
      </c>
      <c r="W2" s="154">
        <v>1.21547101972918E-2</v>
      </c>
      <c r="X2" s="154">
        <v>1.6776412853941199E-3</v>
      </c>
    </row>
    <row r="3" spans="1:24">
      <c r="A3" s="11">
        <v>382</v>
      </c>
      <c r="B3" s="11">
        <v>382</v>
      </c>
      <c r="C3" s="11" t="s">
        <v>1514</v>
      </c>
      <c r="D3" s="11" t="s">
        <v>1515</v>
      </c>
      <c r="E3" s="11" t="s">
        <v>1322</v>
      </c>
      <c r="F3" s="11" t="s">
        <v>1516</v>
      </c>
      <c r="G3" s="11" t="s">
        <v>1517</v>
      </c>
      <c r="H3" s="11" t="s">
        <v>184</v>
      </c>
      <c r="I3" s="11" t="s">
        <v>941</v>
      </c>
      <c r="J3" s="11" t="s">
        <v>30</v>
      </c>
      <c r="K3" s="11" t="s">
        <v>30</v>
      </c>
      <c r="L3" s="13" t="s">
        <v>337</v>
      </c>
      <c r="M3" s="11" t="s">
        <v>44</v>
      </c>
      <c r="N3" s="13" t="s">
        <v>472</v>
      </c>
      <c r="O3" s="13" t="s">
        <v>144</v>
      </c>
      <c r="P3" s="11" t="s">
        <v>34</v>
      </c>
      <c r="Q3" s="128">
        <v>357700</v>
      </c>
      <c r="R3" s="152">
        <v>1</v>
      </c>
      <c r="S3" s="153">
        <v>3040</v>
      </c>
      <c r="T3" s="13"/>
      <c r="U3" s="128">
        <v>10874.08</v>
      </c>
      <c r="V3" s="154">
        <v>1.663E-3</v>
      </c>
      <c r="W3" s="154">
        <v>2.74088750514167E-2</v>
      </c>
      <c r="X3" s="154">
        <v>3.7830815894492201E-3</v>
      </c>
    </row>
    <row r="4" spans="1:24">
      <c r="A4" s="11">
        <v>382</v>
      </c>
      <c r="B4" s="11">
        <v>382</v>
      </c>
      <c r="C4" s="11" t="s">
        <v>1518</v>
      </c>
      <c r="D4" s="11" t="s">
        <v>1519</v>
      </c>
      <c r="E4" s="11" t="s">
        <v>1322</v>
      </c>
      <c r="F4" s="11" t="s">
        <v>1520</v>
      </c>
      <c r="G4" s="11" t="s">
        <v>1521</v>
      </c>
      <c r="H4" s="11" t="s">
        <v>184</v>
      </c>
      <c r="I4" s="11" t="s">
        <v>941</v>
      </c>
      <c r="J4" s="11" t="s">
        <v>30</v>
      </c>
      <c r="K4" s="11" t="s">
        <v>30</v>
      </c>
      <c r="L4" s="13" t="s">
        <v>337</v>
      </c>
      <c r="M4" s="11" t="s">
        <v>44</v>
      </c>
      <c r="N4" s="13" t="s">
        <v>472</v>
      </c>
      <c r="O4" s="13" t="s">
        <v>144</v>
      </c>
      <c r="P4" s="11" t="s">
        <v>34</v>
      </c>
      <c r="Q4" s="128">
        <v>396470</v>
      </c>
      <c r="R4" s="152">
        <v>1</v>
      </c>
      <c r="S4" s="153">
        <v>2064</v>
      </c>
      <c r="T4" s="13"/>
      <c r="U4" s="128">
        <v>8183.1409999999996</v>
      </c>
      <c r="V4" s="154">
        <v>8.4099999999999995E-4</v>
      </c>
      <c r="W4" s="154">
        <v>2.06261756135094E-2</v>
      </c>
      <c r="X4" s="154">
        <v>2.8469065249060901E-3</v>
      </c>
    </row>
    <row r="5" spans="1:24">
      <c r="A5" s="11">
        <v>382</v>
      </c>
      <c r="B5" s="11">
        <v>382</v>
      </c>
      <c r="C5" s="11" t="s">
        <v>1522</v>
      </c>
      <c r="D5" s="11" t="s">
        <v>1523</v>
      </c>
      <c r="E5" s="11" t="s">
        <v>1322</v>
      </c>
      <c r="F5" s="11" t="s">
        <v>1524</v>
      </c>
      <c r="G5" s="11" t="s">
        <v>1525</v>
      </c>
      <c r="H5" s="11" t="s">
        <v>184</v>
      </c>
      <c r="I5" s="11" t="s">
        <v>941</v>
      </c>
      <c r="J5" s="11" t="s">
        <v>30</v>
      </c>
      <c r="K5" s="11" t="s">
        <v>94</v>
      </c>
      <c r="L5" s="13" t="s">
        <v>337</v>
      </c>
      <c r="M5" s="11" t="s">
        <v>44</v>
      </c>
      <c r="N5" s="13" t="s">
        <v>449</v>
      </c>
      <c r="O5" s="13" t="s">
        <v>144</v>
      </c>
      <c r="P5" s="11" t="s">
        <v>34</v>
      </c>
      <c r="Q5" s="128">
        <v>138367.9</v>
      </c>
      <c r="R5" s="152">
        <v>1</v>
      </c>
      <c r="S5" s="153">
        <v>6305</v>
      </c>
      <c r="T5" s="13"/>
      <c r="U5" s="128">
        <v>8724.0959999999995</v>
      </c>
      <c r="V5" s="154">
        <v>1.1670000000000001E-3</v>
      </c>
      <c r="W5" s="154">
        <v>2.19896910639251E-2</v>
      </c>
      <c r="X5" s="154">
        <v>3.03510433264978E-3</v>
      </c>
    </row>
    <row r="6" spans="1:24">
      <c r="A6" s="11">
        <v>382</v>
      </c>
      <c r="B6" s="11">
        <v>382</v>
      </c>
      <c r="C6" s="11" t="s">
        <v>1526</v>
      </c>
      <c r="D6" s="11" t="s">
        <v>1527</v>
      </c>
      <c r="E6" s="11" t="s">
        <v>1322</v>
      </c>
      <c r="F6" s="11" t="s">
        <v>1528</v>
      </c>
      <c r="G6" s="11" t="s">
        <v>1529</v>
      </c>
      <c r="H6" s="11" t="s">
        <v>184</v>
      </c>
      <c r="I6" s="11" t="s">
        <v>941</v>
      </c>
      <c r="J6" s="11" t="s">
        <v>30</v>
      </c>
      <c r="K6" s="11" t="s">
        <v>30</v>
      </c>
      <c r="L6" s="13" t="s">
        <v>337</v>
      </c>
      <c r="M6" s="11" t="s">
        <v>44</v>
      </c>
      <c r="N6" s="13" t="s">
        <v>449</v>
      </c>
      <c r="O6" s="13" t="s">
        <v>144</v>
      </c>
      <c r="P6" s="11" t="s">
        <v>34</v>
      </c>
      <c r="Q6" s="128">
        <v>885500</v>
      </c>
      <c r="R6" s="152">
        <v>1</v>
      </c>
      <c r="S6" s="153">
        <v>1250</v>
      </c>
      <c r="T6" s="13"/>
      <c r="U6" s="128">
        <v>11068.75</v>
      </c>
      <c r="V6" s="154">
        <v>1.6119999999999999E-3</v>
      </c>
      <c r="W6" s="154">
        <v>2.7899554327848301E-2</v>
      </c>
      <c r="X6" s="154">
        <v>3.85080708834367E-3</v>
      </c>
    </row>
    <row r="7" spans="1:24">
      <c r="A7" s="11">
        <v>382</v>
      </c>
      <c r="B7" s="11">
        <v>382</v>
      </c>
      <c r="C7" s="11" t="s">
        <v>1530</v>
      </c>
      <c r="D7" s="11" t="s">
        <v>1531</v>
      </c>
      <c r="E7" s="11" t="s">
        <v>1322</v>
      </c>
      <c r="F7" s="11" t="s">
        <v>1532</v>
      </c>
      <c r="G7" s="11" t="s">
        <v>1533</v>
      </c>
      <c r="H7" s="11" t="s">
        <v>184</v>
      </c>
      <c r="I7" s="11" t="s">
        <v>941</v>
      </c>
      <c r="J7" s="11" t="s">
        <v>30</v>
      </c>
      <c r="K7" s="11" t="s">
        <v>30</v>
      </c>
      <c r="L7" s="13" t="s">
        <v>337</v>
      </c>
      <c r="M7" s="11" t="s">
        <v>44</v>
      </c>
      <c r="N7" s="13" t="s">
        <v>455</v>
      </c>
      <c r="O7" s="13" t="s">
        <v>144</v>
      </c>
      <c r="P7" s="11" t="s">
        <v>34</v>
      </c>
      <c r="Q7" s="128">
        <v>13361</v>
      </c>
      <c r="R7" s="152">
        <v>1</v>
      </c>
      <c r="S7" s="153">
        <v>27280</v>
      </c>
      <c r="T7" s="13"/>
      <c r="U7" s="128">
        <v>3644.8809999999999</v>
      </c>
      <c r="V7" s="154">
        <v>1.0560000000000001E-3</v>
      </c>
      <c r="W7" s="154">
        <v>9.1871755977983999E-3</v>
      </c>
      <c r="X7" s="154">
        <v>1.26805039600748E-3</v>
      </c>
    </row>
    <row r="8" spans="1:24">
      <c r="A8" s="11">
        <v>382</v>
      </c>
      <c r="B8" s="11">
        <v>382</v>
      </c>
      <c r="C8" s="11" t="s">
        <v>1534</v>
      </c>
      <c r="D8" s="11" t="s">
        <v>1535</v>
      </c>
      <c r="E8" s="11" t="s">
        <v>1322</v>
      </c>
      <c r="F8" s="11" t="s">
        <v>1536</v>
      </c>
      <c r="G8" s="11" t="s">
        <v>1537</v>
      </c>
      <c r="H8" s="11" t="s">
        <v>184</v>
      </c>
      <c r="I8" s="11" t="s">
        <v>941</v>
      </c>
      <c r="J8" s="11" t="s">
        <v>30</v>
      </c>
      <c r="K8" s="11" t="s">
        <v>30</v>
      </c>
      <c r="L8" s="13" t="s">
        <v>337</v>
      </c>
      <c r="M8" s="11" t="s">
        <v>44</v>
      </c>
      <c r="N8" s="13" t="s">
        <v>493</v>
      </c>
      <c r="O8" s="13" t="s">
        <v>144</v>
      </c>
      <c r="P8" s="11" t="s">
        <v>34</v>
      </c>
      <c r="Q8" s="128">
        <v>2201567</v>
      </c>
      <c r="R8" s="152">
        <v>1</v>
      </c>
      <c r="S8" s="153">
        <v>519</v>
      </c>
      <c r="T8" s="13"/>
      <c r="U8" s="128">
        <v>11426.133</v>
      </c>
      <c r="V8" s="154">
        <v>7.9500000000000003E-4</v>
      </c>
      <c r="W8" s="154">
        <v>2.8800362358698199E-2</v>
      </c>
      <c r="X8" s="154">
        <v>3.9751401837641604E-3</v>
      </c>
    </row>
    <row r="9" spans="1:24">
      <c r="A9" s="11">
        <v>382</v>
      </c>
      <c r="B9" s="11">
        <v>382</v>
      </c>
      <c r="C9" s="11" t="s">
        <v>1538</v>
      </c>
      <c r="D9" s="11" t="s">
        <v>1539</v>
      </c>
      <c r="E9" s="11" t="s">
        <v>1322</v>
      </c>
      <c r="F9" s="11" t="s">
        <v>1540</v>
      </c>
      <c r="G9" s="11" t="s">
        <v>1541</v>
      </c>
      <c r="H9" s="11" t="s">
        <v>184</v>
      </c>
      <c r="I9" s="11" t="s">
        <v>941</v>
      </c>
      <c r="J9" s="11" t="s">
        <v>30</v>
      </c>
      <c r="K9" s="11" t="s">
        <v>30</v>
      </c>
      <c r="L9" s="13" t="s">
        <v>339</v>
      </c>
      <c r="M9" s="11" t="s">
        <v>44</v>
      </c>
      <c r="N9" s="13" t="s">
        <v>472</v>
      </c>
      <c r="O9" s="13" t="s">
        <v>144</v>
      </c>
      <c r="P9" s="11" t="s">
        <v>34</v>
      </c>
      <c r="Q9" s="128">
        <v>285800</v>
      </c>
      <c r="R9" s="152">
        <v>1</v>
      </c>
      <c r="S9" s="153">
        <v>785.9</v>
      </c>
      <c r="T9" s="13"/>
      <c r="U9" s="128">
        <v>2246.1019999999999</v>
      </c>
      <c r="V9" s="154">
        <v>5.1939999999999998E-3</v>
      </c>
      <c r="W9" s="154">
        <v>5.6614568361196601E-3</v>
      </c>
      <c r="X9" s="154">
        <v>7.8141671579033797E-4</v>
      </c>
    </row>
    <row r="10" spans="1:24">
      <c r="A10" s="11">
        <v>382</v>
      </c>
      <c r="B10" s="11">
        <v>382</v>
      </c>
      <c r="C10" s="11" t="s">
        <v>1542</v>
      </c>
      <c r="D10" s="11" t="s">
        <v>1543</v>
      </c>
      <c r="E10" s="11" t="s">
        <v>1322</v>
      </c>
      <c r="F10" s="11" t="s">
        <v>1544</v>
      </c>
      <c r="G10" s="11" t="s">
        <v>1545</v>
      </c>
      <c r="H10" s="11" t="s">
        <v>184</v>
      </c>
      <c r="I10" s="11" t="s">
        <v>941</v>
      </c>
      <c r="J10" s="11" t="s">
        <v>30</v>
      </c>
      <c r="K10" s="11" t="s">
        <v>30</v>
      </c>
      <c r="L10" s="13" t="s">
        <v>337</v>
      </c>
      <c r="M10" s="11" t="s">
        <v>44</v>
      </c>
      <c r="N10" s="13" t="s">
        <v>456</v>
      </c>
      <c r="O10" s="13" t="s">
        <v>144</v>
      </c>
      <c r="P10" s="11" t="s">
        <v>34</v>
      </c>
      <c r="Q10" s="128">
        <v>1067459.8</v>
      </c>
      <c r="R10" s="152">
        <v>1</v>
      </c>
      <c r="S10" s="153">
        <v>2492</v>
      </c>
      <c r="T10" s="13"/>
      <c r="U10" s="128">
        <v>26601.098000000002</v>
      </c>
      <c r="V10" s="154">
        <v>8.6300000000000005E-4</v>
      </c>
      <c r="W10" s="154">
        <v>6.7049918451290297E-2</v>
      </c>
      <c r="X10" s="154">
        <v>9.2544955453776594E-3</v>
      </c>
    </row>
    <row r="11" spans="1:24">
      <c r="A11" s="11">
        <v>382</v>
      </c>
      <c r="B11" s="11">
        <v>382</v>
      </c>
      <c r="C11" s="11" t="s">
        <v>1546</v>
      </c>
      <c r="D11" s="11" t="s">
        <v>1547</v>
      </c>
      <c r="E11" s="11" t="s">
        <v>1322</v>
      </c>
      <c r="F11" s="11" t="s">
        <v>1548</v>
      </c>
      <c r="G11" s="11" t="s">
        <v>1549</v>
      </c>
      <c r="H11" s="11" t="s">
        <v>184</v>
      </c>
      <c r="I11" s="11" t="s">
        <v>941</v>
      </c>
      <c r="J11" s="11" t="s">
        <v>30</v>
      </c>
      <c r="K11" s="11" t="s">
        <v>30</v>
      </c>
      <c r="L11" s="13" t="s">
        <v>337</v>
      </c>
      <c r="M11" s="11" t="s">
        <v>44</v>
      </c>
      <c r="N11" s="13" t="s">
        <v>455</v>
      </c>
      <c r="O11" s="13" t="s">
        <v>144</v>
      </c>
      <c r="P11" s="11" t="s">
        <v>34</v>
      </c>
      <c r="Q11" s="128">
        <v>31550</v>
      </c>
      <c r="R11" s="152">
        <v>1</v>
      </c>
      <c r="S11" s="153">
        <v>36080</v>
      </c>
      <c r="T11" s="13"/>
      <c r="U11" s="128">
        <v>11383.24</v>
      </c>
      <c r="V11" s="154">
        <v>1.5100000000000001E-3</v>
      </c>
      <c r="W11" s="154">
        <v>2.86922482490738E-2</v>
      </c>
      <c r="X11" s="154">
        <v>3.9602178457655299E-3</v>
      </c>
    </row>
    <row r="12" spans="1:24">
      <c r="A12" s="11">
        <v>382</v>
      </c>
      <c r="B12" s="11">
        <v>382</v>
      </c>
      <c r="C12" s="11" t="s">
        <v>1550</v>
      </c>
      <c r="D12" s="11" t="s">
        <v>1551</v>
      </c>
      <c r="E12" s="11" t="s">
        <v>1322</v>
      </c>
      <c r="F12" s="11" t="s">
        <v>1552</v>
      </c>
      <c r="G12" s="11" t="s">
        <v>1553</v>
      </c>
      <c r="H12" s="11" t="s">
        <v>184</v>
      </c>
      <c r="I12" s="11" t="s">
        <v>941</v>
      </c>
      <c r="J12" s="11" t="s">
        <v>30</v>
      </c>
      <c r="K12" s="11" t="s">
        <v>30</v>
      </c>
      <c r="L12" s="13" t="s">
        <v>337</v>
      </c>
      <c r="M12" s="11" t="s">
        <v>44</v>
      </c>
      <c r="N12" s="13" t="s">
        <v>453</v>
      </c>
      <c r="O12" s="13" t="s">
        <v>144</v>
      </c>
      <c r="P12" s="11" t="s">
        <v>34</v>
      </c>
      <c r="Q12" s="128">
        <v>132998</v>
      </c>
      <c r="R12" s="152">
        <v>1</v>
      </c>
      <c r="S12" s="153">
        <v>5318</v>
      </c>
      <c r="T12" s="13"/>
      <c r="U12" s="128">
        <v>7072.8339999999998</v>
      </c>
      <c r="V12" s="154">
        <v>5.0799999999999999E-4</v>
      </c>
      <c r="W12" s="154">
        <v>1.78275691827002E-2</v>
      </c>
      <c r="X12" s="154">
        <v>2.46063177102993E-3</v>
      </c>
    </row>
    <row r="13" spans="1:24">
      <c r="A13" s="11">
        <v>382</v>
      </c>
      <c r="B13" s="11">
        <v>382</v>
      </c>
      <c r="C13" s="11" t="s">
        <v>1554</v>
      </c>
      <c r="D13" s="11" t="s">
        <v>1555</v>
      </c>
      <c r="E13" s="11" t="s">
        <v>1322</v>
      </c>
      <c r="F13" s="11" t="s">
        <v>1556</v>
      </c>
      <c r="G13" s="11" t="s">
        <v>1557</v>
      </c>
      <c r="H13" s="11" t="s">
        <v>184</v>
      </c>
      <c r="I13" s="11" t="s">
        <v>941</v>
      </c>
      <c r="J13" s="11" t="s">
        <v>30</v>
      </c>
      <c r="K13" s="11" t="s">
        <v>94</v>
      </c>
      <c r="L13" s="13" t="s">
        <v>337</v>
      </c>
      <c r="M13" s="11" t="s">
        <v>44</v>
      </c>
      <c r="N13" s="13" t="s">
        <v>475</v>
      </c>
      <c r="O13" s="13" t="s">
        <v>144</v>
      </c>
      <c r="P13" s="11" t="s">
        <v>34</v>
      </c>
      <c r="Q13" s="128">
        <v>67000</v>
      </c>
      <c r="R13" s="152">
        <v>1</v>
      </c>
      <c r="S13" s="153">
        <v>8101</v>
      </c>
      <c r="T13" s="13"/>
      <c r="U13" s="128">
        <v>5427.67</v>
      </c>
      <c r="V13" s="154">
        <v>5.3999999999999998E-5</v>
      </c>
      <c r="W13" s="154">
        <v>1.36808197889222E-2</v>
      </c>
      <c r="X13" s="154">
        <v>1.88828098106744E-3</v>
      </c>
    </row>
    <row r="14" spans="1:24">
      <c r="A14" s="11">
        <v>382</v>
      </c>
      <c r="B14" s="11">
        <v>382</v>
      </c>
      <c r="C14" s="11" t="s">
        <v>1558</v>
      </c>
      <c r="D14" s="11" t="s">
        <v>1559</v>
      </c>
      <c r="E14" s="11" t="s">
        <v>1322</v>
      </c>
      <c r="F14" s="11" t="s">
        <v>1560</v>
      </c>
      <c r="G14" s="11" t="s">
        <v>1561</v>
      </c>
      <c r="H14" s="11" t="s">
        <v>184</v>
      </c>
      <c r="I14" s="11" t="s">
        <v>941</v>
      </c>
      <c r="J14" s="11" t="s">
        <v>30</v>
      </c>
      <c r="K14" s="11" t="s">
        <v>30</v>
      </c>
      <c r="L14" s="13" t="s">
        <v>337</v>
      </c>
      <c r="M14" s="11" t="s">
        <v>44</v>
      </c>
      <c r="N14" s="13" t="s">
        <v>484</v>
      </c>
      <c r="O14" s="13" t="s">
        <v>144</v>
      </c>
      <c r="P14" s="11" t="s">
        <v>34</v>
      </c>
      <c r="Q14" s="128">
        <v>170543</v>
      </c>
      <c r="R14" s="152">
        <v>1</v>
      </c>
      <c r="S14" s="153">
        <v>500.5</v>
      </c>
      <c r="T14" s="13"/>
      <c r="U14" s="128">
        <v>853.56799999999998</v>
      </c>
      <c r="V14" s="154">
        <v>1.3550000000000001E-3</v>
      </c>
      <c r="W14" s="154">
        <v>2.1514768006450401E-3</v>
      </c>
      <c r="X14" s="154">
        <v>2.9695535695569098E-4</v>
      </c>
    </row>
    <row r="15" spans="1:24">
      <c r="A15" s="11">
        <v>382</v>
      </c>
      <c r="B15" s="11">
        <v>382</v>
      </c>
      <c r="C15" s="11" t="s">
        <v>1562</v>
      </c>
      <c r="D15" s="11" t="s">
        <v>1563</v>
      </c>
      <c r="E15" s="11" t="s">
        <v>1322</v>
      </c>
      <c r="F15" s="11" t="s">
        <v>1564</v>
      </c>
      <c r="G15" s="11" t="s">
        <v>1565</v>
      </c>
      <c r="H15" s="11" t="s">
        <v>184</v>
      </c>
      <c r="I15" s="11" t="s">
        <v>941</v>
      </c>
      <c r="J15" s="11" t="s">
        <v>30</v>
      </c>
      <c r="K15" s="11" t="s">
        <v>30</v>
      </c>
      <c r="L15" s="13" t="s">
        <v>337</v>
      </c>
      <c r="M15" s="11" t="s">
        <v>44</v>
      </c>
      <c r="N15" s="13" t="s">
        <v>455</v>
      </c>
      <c r="O15" s="13" t="s">
        <v>144</v>
      </c>
      <c r="P15" s="11" t="s">
        <v>34</v>
      </c>
      <c r="Q15" s="128">
        <v>480000</v>
      </c>
      <c r="R15" s="152">
        <v>1</v>
      </c>
      <c r="S15" s="153">
        <v>1412</v>
      </c>
      <c r="T15" s="13"/>
      <c r="U15" s="128">
        <v>6777.6</v>
      </c>
      <c r="V15" s="154">
        <v>1.488E-3</v>
      </c>
      <c r="W15" s="154">
        <v>1.70834122563455E-2</v>
      </c>
      <c r="X15" s="154">
        <v>2.35792028205155E-3</v>
      </c>
    </row>
    <row r="16" spans="1:24">
      <c r="A16" s="11">
        <v>382</v>
      </c>
      <c r="B16" s="11">
        <v>382</v>
      </c>
      <c r="C16" s="11" t="s">
        <v>1566</v>
      </c>
      <c r="D16" s="11" t="s">
        <v>1567</v>
      </c>
      <c r="E16" s="11" t="s">
        <v>1322</v>
      </c>
      <c r="F16" s="11" t="s">
        <v>1568</v>
      </c>
      <c r="G16" s="11" t="s">
        <v>1569</v>
      </c>
      <c r="H16" s="11" t="s">
        <v>184</v>
      </c>
      <c r="I16" s="11" t="s">
        <v>941</v>
      </c>
      <c r="J16" s="11" t="s">
        <v>30</v>
      </c>
      <c r="K16" s="11" t="s">
        <v>30</v>
      </c>
      <c r="L16" s="13" t="s">
        <v>337</v>
      </c>
      <c r="M16" s="11" t="s">
        <v>44</v>
      </c>
      <c r="N16" s="13" t="s">
        <v>453</v>
      </c>
      <c r="O16" s="13" t="s">
        <v>144</v>
      </c>
      <c r="P16" s="11" t="s">
        <v>34</v>
      </c>
      <c r="Q16" s="128">
        <v>69550</v>
      </c>
      <c r="R16" s="152">
        <v>1</v>
      </c>
      <c r="S16" s="153">
        <v>8570</v>
      </c>
      <c r="T16" s="13"/>
      <c r="U16" s="128">
        <v>5960.4350000000004</v>
      </c>
      <c r="V16" s="154">
        <v>8.7600000000000004E-4</v>
      </c>
      <c r="W16" s="154">
        <v>1.5023691031065701E-2</v>
      </c>
      <c r="X16" s="154">
        <v>2.0736293933471899E-3</v>
      </c>
    </row>
    <row r="17" spans="1:24">
      <c r="A17" s="11">
        <v>382</v>
      </c>
      <c r="B17" s="11">
        <v>382</v>
      </c>
      <c r="C17" s="11" t="s">
        <v>1177</v>
      </c>
      <c r="D17" s="11" t="s">
        <v>1570</v>
      </c>
      <c r="E17" s="11" t="s">
        <v>1322</v>
      </c>
      <c r="F17" s="11" t="s">
        <v>1302</v>
      </c>
      <c r="G17" s="11" t="s">
        <v>1571</v>
      </c>
      <c r="H17" s="11" t="s">
        <v>184</v>
      </c>
      <c r="I17" s="11" t="s">
        <v>941</v>
      </c>
      <c r="J17" s="11" t="s">
        <v>30</v>
      </c>
      <c r="K17" s="11" t="s">
        <v>30</v>
      </c>
      <c r="L17" s="13" t="s">
        <v>337</v>
      </c>
      <c r="M17" s="11" t="s">
        <v>44</v>
      </c>
      <c r="N17" s="13" t="s">
        <v>456</v>
      </c>
      <c r="O17" s="13" t="s">
        <v>144</v>
      </c>
      <c r="P17" s="11" t="s">
        <v>34</v>
      </c>
      <c r="Q17" s="128">
        <v>840606</v>
      </c>
      <c r="R17" s="152">
        <v>1</v>
      </c>
      <c r="S17" s="153">
        <v>4335</v>
      </c>
      <c r="T17" s="13"/>
      <c r="U17" s="128">
        <v>36440.269999999997</v>
      </c>
      <c r="V17" s="154">
        <v>5.1999999999999995E-4</v>
      </c>
      <c r="W17" s="154">
        <v>9.1850235607129599E-2</v>
      </c>
      <c r="X17" s="154">
        <v>1.26775336331779E-2</v>
      </c>
    </row>
    <row r="18" spans="1:24">
      <c r="A18" s="11">
        <v>382</v>
      </c>
      <c r="B18" s="11">
        <v>382</v>
      </c>
      <c r="C18" s="11" t="s">
        <v>1572</v>
      </c>
      <c r="D18" s="11" t="s">
        <v>1573</v>
      </c>
      <c r="E18" s="11" t="s">
        <v>1322</v>
      </c>
      <c r="F18" s="11" t="s">
        <v>1574</v>
      </c>
      <c r="G18" s="11" t="s">
        <v>1575</v>
      </c>
      <c r="H18" s="11" t="s">
        <v>184</v>
      </c>
      <c r="I18" s="11" t="s">
        <v>941</v>
      </c>
      <c r="J18" s="11" t="s">
        <v>30</v>
      </c>
      <c r="K18" s="11" t="s">
        <v>30</v>
      </c>
      <c r="L18" s="13" t="s">
        <v>337</v>
      </c>
      <c r="M18" s="11" t="s">
        <v>44</v>
      </c>
      <c r="N18" s="13" t="s">
        <v>487</v>
      </c>
      <c r="O18" s="13" t="s">
        <v>144</v>
      </c>
      <c r="P18" s="11" t="s">
        <v>34</v>
      </c>
      <c r="Q18" s="128">
        <v>350000</v>
      </c>
      <c r="R18" s="152">
        <v>1</v>
      </c>
      <c r="S18" s="153">
        <v>1490</v>
      </c>
      <c r="T18" s="13"/>
      <c r="U18" s="128">
        <v>5215</v>
      </c>
      <c r="V18" s="154">
        <v>4.908E-3</v>
      </c>
      <c r="W18" s="154">
        <v>1.3144770260393301E-2</v>
      </c>
      <c r="X18" s="154">
        <v>1.81429330012081E-3</v>
      </c>
    </row>
    <row r="19" spans="1:24">
      <c r="A19" s="11">
        <v>382</v>
      </c>
      <c r="B19" s="11">
        <v>382</v>
      </c>
      <c r="C19" s="11" t="s">
        <v>1576</v>
      </c>
      <c r="D19" s="11" t="s">
        <v>1577</v>
      </c>
      <c r="E19" s="11" t="s">
        <v>1322</v>
      </c>
      <c r="F19" s="11" t="s">
        <v>1578</v>
      </c>
      <c r="G19" s="11" t="s">
        <v>1579</v>
      </c>
      <c r="H19" s="11" t="s">
        <v>184</v>
      </c>
      <c r="I19" s="11" t="s">
        <v>941</v>
      </c>
      <c r="J19" s="11" t="s">
        <v>30</v>
      </c>
      <c r="K19" s="11" t="s">
        <v>30</v>
      </c>
      <c r="L19" s="13" t="s">
        <v>337</v>
      </c>
      <c r="M19" s="11" t="s">
        <v>44</v>
      </c>
      <c r="N19" s="13" t="s">
        <v>456</v>
      </c>
      <c r="O19" s="13" t="s">
        <v>144</v>
      </c>
      <c r="P19" s="11" t="s">
        <v>34</v>
      </c>
      <c r="Q19" s="128">
        <v>76569</v>
      </c>
      <c r="R19" s="152">
        <v>1</v>
      </c>
      <c r="S19" s="153">
        <v>15760</v>
      </c>
      <c r="T19" s="13"/>
      <c r="U19" s="128">
        <v>12067.273999999999</v>
      </c>
      <c r="V19" s="154">
        <v>2.9599999999999998E-4</v>
      </c>
      <c r="W19" s="154">
        <v>3.0416404536361599E-2</v>
      </c>
      <c r="X19" s="154">
        <v>4.1981927314744703E-3</v>
      </c>
    </row>
    <row r="20" spans="1:24">
      <c r="A20" s="3">
        <v>382</v>
      </c>
      <c r="B20" s="3">
        <v>382</v>
      </c>
      <c r="C20" s="3" t="s">
        <v>1580</v>
      </c>
      <c r="D20" s="3" t="s">
        <v>1581</v>
      </c>
      <c r="E20" s="11" t="s">
        <v>1322</v>
      </c>
      <c r="F20" s="3" t="s">
        <v>1582</v>
      </c>
      <c r="G20" s="3" t="s">
        <v>1583</v>
      </c>
      <c r="H20" s="11" t="s">
        <v>184</v>
      </c>
      <c r="I20" s="3" t="s">
        <v>941</v>
      </c>
      <c r="J20" s="3" t="s">
        <v>30</v>
      </c>
      <c r="K20" s="11" t="s">
        <v>30</v>
      </c>
      <c r="L20" s="13" t="s">
        <v>337</v>
      </c>
      <c r="M20" s="11" t="s">
        <v>44</v>
      </c>
      <c r="N20" s="13" t="s">
        <v>485</v>
      </c>
      <c r="O20" s="3" t="s">
        <v>144</v>
      </c>
      <c r="P20" s="3" t="s">
        <v>34</v>
      </c>
      <c r="Q20" s="126">
        <v>76700</v>
      </c>
      <c r="R20" s="143">
        <v>1</v>
      </c>
      <c r="S20" s="145">
        <v>8550</v>
      </c>
      <c r="T20" s="125">
        <v>58.234000000000002</v>
      </c>
      <c r="U20" s="126">
        <v>6616.0839999999998</v>
      </c>
      <c r="V20" s="142">
        <v>1.1950000000000001E-3</v>
      </c>
      <c r="W20" s="142">
        <v>1.6676299212172702E-2</v>
      </c>
      <c r="X20" s="142">
        <v>2.30172892580852E-3</v>
      </c>
    </row>
    <row r="21" spans="1:24">
      <c r="A21" s="3">
        <v>382</v>
      </c>
      <c r="B21" s="3">
        <v>382</v>
      </c>
      <c r="C21" s="3" t="s">
        <v>1584</v>
      </c>
      <c r="D21" s="3" t="s">
        <v>1585</v>
      </c>
      <c r="E21" s="3" t="s">
        <v>1322</v>
      </c>
      <c r="F21" s="3" t="s">
        <v>1586</v>
      </c>
      <c r="G21" s="3" t="s">
        <v>1587</v>
      </c>
      <c r="H21" s="3" t="s">
        <v>184</v>
      </c>
      <c r="I21" s="3" t="s">
        <v>941</v>
      </c>
      <c r="J21" s="3" t="s">
        <v>30</v>
      </c>
      <c r="K21" s="3" t="s">
        <v>30</v>
      </c>
      <c r="L21" s="2" t="s">
        <v>337</v>
      </c>
      <c r="M21" s="3" t="s">
        <v>44</v>
      </c>
      <c r="N21" s="13" t="s">
        <v>472</v>
      </c>
      <c r="O21" s="3" t="s">
        <v>144</v>
      </c>
      <c r="P21" s="3" t="s">
        <v>34</v>
      </c>
      <c r="Q21" s="126">
        <v>26850</v>
      </c>
      <c r="R21" s="143">
        <v>1</v>
      </c>
      <c r="S21" s="145">
        <v>32400</v>
      </c>
      <c r="T21" s="2"/>
      <c r="U21" s="126">
        <v>8699.4</v>
      </c>
      <c r="V21" s="142">
        <v>5.6400000000000005E-4</v>
      </c>
      <c r="W21" s="142">
        <v>2.1927442838593599E-2</v>
      </c>
      <c r="X21" s="142">
        <v>3.02651258582377E-3</v>
      </c>
    </row>
    <row r="22" spans="1:24">
      <c r="A22" s="3">
        <v>382</v>
      </c>
      <c r="B22" s="3">
        <v>382</v>
      </c>
      <c r="C22" s="3" t="s">
        <v>1588</v>
      </c>
      <c r="D22" s="3" t="s">
        <v>1589</v>
      </c>
      <c r="E22" s="3" t="s">
        <v>1322</v>
      </c>
      <c r="F22" s="3" t="s">
        <v>1590</v>
      </c>
      <c r="G22" s="3" t="s">
        <v>1591</v>
      </c>
      <c r="H22" s="3" t="s">
        <v>184</v>
      </c>
      <c r="I22" s="3" t="s">
        <v>941</v>
      </c>
      <c r="J22" s="3" t="s">
        <v>30</v>
      </c>
      <c r="K22" s="3" t="s">
        <v>30</v>
      </c>
      <c r="L22" s="2" t="s">
        <v>337</v>
      </c>
      <c r="M22" s="3" t="s">
        <v>44</v>
      </c>
      <c r="N22" s="3" t="s">
        <v>472</v>
      </c>
      <c r="O22" s="3" t="s">
        <v>144</v>
      </c>
      <c r="P22" s="3" t="s">
        <v>34</v>
      </c>
      <c r="Q22" s="126">
        <v>1349479</v>
      </c>
      <c r="R22" s="143">
        <v>1</v>
      </c>
      <c r="S22" s="145">
        <v>198</v>
      </c>
      <c r="T22" s="2"/>
      <c r="U22" s="126">
        <v>2671.9679999999998</v>
      </c>
      <c r="V22" s="142">
        <v>1.776E-3</v>
      </c>
      <c r="W22" s="142">
        <v>6.7348822672916898E-3</v>
      </c>
      <c r="X22" s="142">
        <v>9.2957514909691101E-4</v>
      </c>
    </row>
    <row r="23" spans="1:24">
      <c r="A23" s="3">
        <v>382</v>
      </c>
      <c r="B23" s="3">
        <v>382</v>
      </c>
      <c r="C23" s="3" t="s">
        <v>1592</v>
      </c>
      <c r="D23" s="3" t="s">
        <v>1593</v>
      </c>
      <c r="E23" s="3" t="s">
        <v>324</v>
      </c>
      <c r="F23" s="3" t="s">
        <v>1594</v>
      </c>
      <c r="G23" s="3" t="s">
        <v>1595</v>
      </c>
      <c r="H23" s="3" t="s">
        <v>184</v>
      </c>
      <c r="I23" s="3" t="s">
        <v>941</v>
      </c>
      <c r="J23" s="3" t="s">
        <v>30</v>
      </c>
      <c r="K23" s="3" t="s">
        <v>94</v>
      </c>
      <c r="L23" s="2" t="s">
        <v>337</v>
      </c>
      <c r="M23" s="2" t="s">
        <v>44</v>
      </c>
      <c r="N23" s="3" t="s">
        <v>462</v>
      </c>
      <c r="O23" s="3" t="s">
        <v>144</v>
      </c>
      <c r="P23" s="3" t="s">
        <v>34</v>
      </c>
      <c r="Q23" s="126">
        <v>85130</v>
      </c>
      <c r="R23" s="143">
        <v>1</v>
      </c>
      <c r="S23" s="145">
        <v>7320</v>
      </c>
      <c r="T23" s="2"/>
      <c r="U23" s="126">
        <v>6231.5159999999996</v>
      </c>
      <c r="V23" s="142">
        <v>8.4699999999999999E-4</v>
      </c>
      <c r="W23" s="142">
        <v>1.5706969548219599E-2</v>
      </c>
      <c r="X23" s="142">
        <v>2.1679382029521801E-3</v>
      </c>
    </row>
    <row r="24" spans="1:24">
      <c r="A24" s="3">
        <v>382</v>
      </c>
      <c r="B24" s="3">
        <v>382</v>
      </c>
      <c r="C24" s="3" t="s">
        <v>1596</v>
      </c>
      <c r="D24" s="3" t="s">
        <v>1597</v>
      </c>
      <c r="E24" s="3" t="s">
        <v>324</v>
      </c>
      <c r="F24" s="3" t="s">
        <v>1598</v>
      </c>
      <c r="G24" s="3" t="s">
        <v>1599</v>
      </c>
      <c r="H24" s="3" t="s">
        <v>184</v>
      </c>
      <c r="I24" s="3" t="s">
        <v>941</v>
      </c>
      <c r="J24" s="3" t="s">
        <v>30</v>
      </c>
      <c r="K24" s="3" t="s">
        <v>30</v>
      </c>
      <c r="L24" s="2" t="s">
        <v>337</v>
      </c>
      <c r="M24" s="2" t="s">
        <v>44</v>
      </c>
      <c r="N24" s="3" t="s">
        <v>462</v>
      </c>
      <c r="O24" s="3" t="s">
        <v>144</v>
      </c>
      <c r="P24" s="3" t="s">
        <v>34</v>
      </c>
      <c r="Q24" s="126">
        <v>200000</v>
      </c>
      <c r="R24" s="143">
        <v>1</v>
      </c>
      <c r="S24" s="145">
        <v>1114</v>
      </c>
      <c r="T24" s="2"/>
      <c r="U24" s="126">
        <v>2228</v>
      </c>
      <c r="V24" s="142">
        <v>1.7000000000000001E-4</v>
      </c>
      <c r="W24" s="142">
        <v>5.6158289818132997E-3</v>
      </c>
      <c r="X24" s="142">
        <v>7.7511897846005103E-4</v>
      </c>
    </row>
    <row r="25" spans="1:24">
      <c r="A25" s="3">
        <v>382</v>
      </c>
      <c r="B25" s="3">
        <v>382</v>
      </c>
      <c r="C25" s="3" t="s">
        <v>1600</v>
      </c>
      <c r="D25" s="3" t="s">
        <v>1601</v>
      </c>
      <c r="E25" s="3" t="s">
        <v>1322</v>
      </c>
      <c r="F25" s="3" t="s">
        <v>1602</v>
      </c>
      <c r="G25" s="3" t="s">
        <v>1603</v>
      </c>
      <c r="H25" s="3" t="s">
        <v>184</v>
      </c>
      <c r="I25" s="3" t="s">
        <v>941</v>
      </c>
      <c r="J25" s="3" t="s">
        <v>30</v>
      </c>
      <c r="K25" s="3" t="s">
        <v>94</v>
      </c>
      <c r="L25" s="2" t="s">
        <v>337</v>
      </c>
      <c r="M25" s="2" t="s">
        <v>44</v>
      </c>
      <c r="N25" s="3" t="s">
        <v>489</v>
      </c>
      <c r="O25" s="3" t="s">
        <v>144</v>
      </c>
      <c r="P25" s="3" t="s">
        <v>34</v>
      </c>
      <c r="Q25" s="126">
        <v>17198</v>
      </c>
      <c r="R25" s="143">
        <v>1</v>
      </c>
      <c r="S25" s="145">
        <v>62120</v>
      </c>
      <c r="T25" s="2"/>
      <c r="U25" s="126">
        <v>10683.397999999999</v>
      </c>
      <c r="V25" s="142">
        <v>2.3000000000000001E-4</v>
      </c>
      <c r="W25" s="142">
        <v>2.69282467981664E-2</v>
      </c>
      <c r="X25" s="142">
        <v>3.7167433726187399E-3</v>
      </c>
    </row>
    <row r="26" spans="1:24">
      <c r="A26" s="3">
        <v>382</v>
      </c>
      <c r="B26" s="3">
        <v>382</v>
      </c>
      <c r="C26" s="3" t="s">
        <v>1604</v>
      </c>
      <c r="D26" s="3" t="s">
        <v>1605</v>
      </c>
      <c r="E26" s="3" t="s">
        <v>1322</v>
      </c>
      <c r="F26" s="3" t="s">
        <v>1604</v>
      </c>
      <c r="G26" s="3" t="s">
        <v>1606</v>
      </c>
      <c r="H26" s="3" t="s">
        <v>184</v>
      </c>
      <c r="I26" s="3" t="s">
        <v>941</v>
      </c>
      <c r="J26" s="3" t="s">
        <v>30</v>
      </c>
      <c r="K26" s="3" t="s">
        <v>30</v>
      </c>
      <c r="L26" s="2" t="s">
        <v>337</v>
      </c>
      <c r="M26" s="2" t="s">
        <v>44</v>
      </c>
      <c r="N26" s="3" t="s">
        <v>447</v>
      </c>
      <c r="O26" s="3" t="s">
        <v>144</v>
      </c>
      <c r="P26" s="3" t="s">
        <v>34</v>
      </c>
      <c r="Q26" s="126">
        <v>106000</v>
      </c>
      <c r="R26" s="143">
        <v>1</v>
      </c>
      <c r="S26" s="145">
        <v>6044</v>
      </c>
      <c r="T26" s="2"/>
      <c r="U26" s="126">
        <v>6406.64</v>
      </c>
      <c r="V26" s="142">
        <v>1.3240000000000001E-3</v>
      </c>
      <c r="W26" s="142">
        <v>1.61483817720127E-2</v>
      </c>
      <c r="X26" s="142">
        <v>2.2288636679359498E-3</v>
      </c>
    </row>
    <row r="27" spans="1:24">
      <c r="A27" s="3">
        <v>382</v>
      </c>
      <c r="B27" s="3">
        <v>382</v>
      </c>
      <c r="C27" s="3" t="s">
        <v>1607</v>
      </c>
      <c r="D27" s="3" t="s">
        <v>1608</v>
      </c>
      <c r="E27" s="3" t="s">
        <v>1322</v>
      </c>
      <c r="F27" s="3" t="s">
        <v>1609</v>
      </c>
      <c r="G27" s="3" t="s">
        <v>1610</v>
      </c>
      <c r="H27" s="3" t="s">
        <v>184</v>
      </c>
      <c r="I27" s="3" t="s">
        <v>941</v>
      </c>
      <c r="J27" s="3" t="s">
        <v>30</v>
      </c>
      <c r="K27" s="3" t="s">
        <v>30</v>
      </c>
      <c r="L27" s="2" t="s">
        <v>337</v>
      </c>
      <c r="M27" s="2" t="s">
        <v>44</v>
      </c>
      <c r="N27" s="3" t="s">
        <v>472</v>
      </c>
      <c r="O27" s="3" t="s">
        <v>144</v>
      </c>
      <c r="P27" s="3" t="s">
        <v>34</v>
      </c>
      <c r="Q27" s="126">
        <v>29250</v>
      </c>
      <c r="R27" s="143">
        <v>1</v>
      </c>
      <c r="S27" s="145">
        <v>30090</v>
      </c>
      <c r="T27" s="2"/>
      <c r="U27" s="126">
        <v>8801.3250000000007</v>
      </c>
      <c r="V27" s="142">
        <v>2.41E-4</v>
      </c>
      <c r="W27" s="142">
        <v>2.21843518910942E-2</v>
      </c>
      <c r="X27" s="142">
        <v>3.0619721916942998E-3</v>
      </c>
    </row>
    <row r="28" spans="1:24">
      <c r="A28" s="3">
        <v>382</v>
      </c>
      <c r="B28" s="3">
        <v>382</v>
      </c>
      <c r="C28" s="3" t="s">
        <v>1611</v>
      </c>
      <c r="D28" s="3" t="s">
        <v>1612</v>
      </c>
      <c r="E28" s="3" t="s">
        <v>1322</v>
      </c>
      <c r="F28" s="3" t="s">
        <v>1613</v>
      </c>
      <c r="G28" s="3" t="s">
        <v>1614</v>
      </c>
      <c r="H28" s="3" t="s">
        <v>184</v>
      </c>
      <c r="I28" s="3" t="s">
        <v>941</v>
      </c>
      <c r="J28" s="3" t="s">
        <v>30</v>
      </c>
      <c r="K28" s="3" t="s">
        <v>30</v>
      </c>
      <c r="L28" s="2" t="s">
        <v>337</v>
      </c>
      <c r="M28" s="2" t="s">
        <v>44</v>
      </c>
      <c r="N28" s="3" t="s">
        <v>456</v>
      </c>
      <c r="O28" s="3" t="s">
        <v>144</v>
      </c>
      <c r="P28" s="3" t="s">
        <v>34</v>
      </c>
      <c r="Q28" s="126">
        <v>692368</v>
      </c>
      <c r="R28" s="143">
        <v>1</v>
      </c>
      <c r="S28" s="145">
        <v>4402</v>
      </c>
      <c r="T28" s="2"/>
      <c r="U28" s="126">
        <v>30478.039000000001</v>
      </c>
      <c r="V28" s="142">
        <v>5.1800000000000001E-4</v>
      </c>
      <c r="W28" s="142">
        <v>7.6822018288480398E-2</v>
      </c>
      <c r="X28" s="142">
        <v>1.0603279503675201E-2</v>
      </c>
    </row>
    <row r="29" spans="1:24">
      <c r="A29" s="3">
        <v>382</v>
      </c>
      <c r="B29" s="3">
        <v>382</v>
      </c>
      <c r="C29" s="3" t="s">
        <v>1615</v>
      </c>
      <c r="D29" s="3" t="s">
        <v>1616</v>
      </c>
      <c r="E29" s="3" t="s">
        <v>1322</v>
      </c>
      <c r="F29" s="3" t="s">
        <v>1617</v>
      </c>
      <c r="G29" s="3" t="s">
        <v>1618</v>
      </c>
      <c r="H29" s="3" t="s">
        <v>184</v>
      </c>
      <c r="I29" s="3" t="s">
        <v>941</v>
      </c>
      <c r="J29" s="3" t="s">
        <v>30</v>
      </c>
      <c r="K29" s="3" t="s">
        <v>30</v>
      </c>
      <c r="L29" s="2" t="s">
        <v>337</v>
      </c>
      <c r="M29" s="2" t="s">
        <v>44</v>
      </c>
      <c r="N29" s="3" t="s">
        <v>484</v>
      </c>
      <c r="O29" s="3" t="s">
        <v>144</v>
      </c>
      <c r="P29" s="3" t="s">
        <v>34</v>
      </c>
      <c r="Q29" s="126">
        <v>14950</v>
      </c>
      <c r="R29" s="143">
        <v>1</v>
      </c>
      <c r="S29" s="145">
        <v>29900</v>
      </c>
      <c r="T29" s="2"/>
      <c r="U29" s="126">
        <v>4470.05</v>
      </c>
      <c r="V29" s="142">
        <v>1.083E-3</v>
      </c>
      <c r="W29" s="142">
        <v>1.12670719659581E-2</v>
      </c>
      <c r="X29" s="142">
        <v>1.55512593791084E-3</v>
      </c>
    </row>
    <row r="30" spans="1:24">
      <c r="A30" s="3">
        <v>382</v>
      </c>
      <c r="B30" s="3">
        <v>382</v>
      </c>
      <c r="C30" s="3" t="s">
        <v>1619</v>
      </c>
      <c r="D30" s="3" t="s">
        <v>1620</v>
      </c>
      <c r="E30" s="3" t="s">
        <v>1322</v>
      </c>
      <c r="F30" s="3" t="s">
        <v>1621</v>
      </c>
      <c r="G30" s="3" t="s">
        <v>1622</v>
      </c>
      <c r="H30" s="3" t="s">
        <v>184</v>
      </c>
      <c r="I30" s="3" t="s">
        <v>941</v>
      </c>
      <c r="J30" s="3" t="s">
        <v>30</v>
      </c>
      <c r="K30" s="3" t="s">
        <v>30</v>
      </c>
      <c r="L30" s="2" t="s">
        <v>337</v>
      </c>
      <c r="M30" s="2" t="s">
        <v>44</v>
      </c>
      <c r="N30" s="3" t="s">
        <v>485</v>
      </c>
      <c r="O30" s="3" t="s">
        <v>144</v>
      </c>
      <c r="P30" s="3" t="s">
        <v>34</v>
      </c>
      <c r="Q30" s="126">
        <v>16800</v>
      </c>
      <c r="R30" s="143">
        <v>1</v>
      </c>
      <c r="S30" s="145">
        <v>30600</v>
      </c>
      <c r="T30" s="2"/>
      <c r="U30" s="126">
        <v>5140.8</v>
      </c>
      <c r="V30" s="142">
        <v>1.057E-3</v>
      </c>
      <c r="W30" s="142">
        <v>1.29577439989703E-2</v>
      </c>
      <c r="X30" s="142">
        <v>1.7884791941056701E-3</v>
      </c>
    </row>
    <row r="31" spans="1:24">
      <c r="A31" s="3">
        <v>382</v>
      </c>
      <c r="B31" s="3">
        <v>382</v>
      </c>
      <c r="C31" s="3" t="s">
        <v>1623</v>
      </c>
      <c r="D31" s="3" t="s">
        <v>1624</v>
      </c>
      <c r="E31" s="3" t="s">
        <v>1322</v>
      </c>
      <c r="F31" s="3" t="s">
        <v>1625</v>
      </c>
      <c r="G31" s="3" t="s">
        <v>1626</v>
      </c>
      <c r="H31" s="3" t="s">
        <v>184</v>
      </c>
      <c r="I31" s="3" t="s">
        <v>941</v>
      </c>
      <c r="J31" s="3" t="s">
        <v>30</v>
      </c>
      <c r="K31" s="3" t="s">
        <v>30</v>
      </c>
      <c r="L31" s="2" t="s">
        <v>337</v>
      </c>
      <c r="M31" s="2" t="s">
        <v>44</v>
      </c>
      <c r="N31" s="3" t="s">
        <v>484</v>
      </c>
      <c r="O31" s="3" t="s">
        <v>144</v>
      </c>
      <c r="P31" s="3" t="s">
        <v>34</v>
      </c>
      <c r="Q31" s="126">
        <v>107000</v>
      </c>
      <c r="R31" s="143">
        <v>1</v>
      </c>
      <c r="S31" s="145">
        <v>3795</v>
      </c>
      <c r="T31" s="2"/>
      <c r="U31" s="126">
        <v>4060.65</v>
      </c>
      <c r="V31" s="142">
        <v>3.8900000000000002E-4</v>
      </c>
      <c r="W31" s="142">
        <v>1.02351507877021E-2</v>
      </c>
      <c r="X31" s="142">
        <v>1.4126960861237899E-3</v>
      </c>
    </row>
    <row r="32" spans="1:24">
      <c r="A32" s="3">
        <v>382</v>
      </c>
      <c r="B32" s="3">
        <v>382</v>
      </c>
      <c r="C32" s="3" t="s">
        <v>1627</v>
      </c>
      <c r="D32" s="3" t="s">
        <v>1628</v>
      </c>
      <c r="E32" s="3" t="s">
        <v>181</v>
      </c>
      <c r="F32" s="3" t="s">
        <v>1629</v>
      </c>
      <c r="G32" s="3" t="s">
        <v>1630</v>
      </c>
      <c r="H32" s="3" t="s">
        <v>184</v>
      </c>
      <c r="I32" s="3" t="s">
        <v>941</v>
      </c>
      <c r="J32" s="3" t="s">
        <v>85</v>
      </c>
      <c r="K32" s="3" t="s">
        <v>303</v>
      </c>
      <c r="L32" s="2" t="s">
        <v>337</v>
      </c>
      <c r="M32" s="2" t="s">
        <v>356</v>
      </c>
      <c r="N32" s="3" t="s">
        <v>557</v>
      </c>
      <c r="O32" s="3" t="s">
        <v>144</v>
      </c>
      <c r="P32" s="3" t="s">
        <v>89</v>
      </c>
      <c r="Q32" s="126">
        <v>9225</v>
      </c>
      <c r="R32" s="143">
        <v>3.6469999999999998</v>
      </c>
      <c r="S32" s="145">
        <v>12079</v>
      </c>
      <c r="T32" s="2"/>
      <c r="U32" s="126">
        <v>4063.8069999999998</v>
      </c>
      <c r="V32" s="142">
        <v>6.0000000000000002E-6</v>
      </c>
      <c r="W32" s="142">
        <v>1.02431092951576E-2</v>
      </c>
      <c r="X32" s="142">
        <v>1.4137945508721E-3</v>
      </c>
    </row>
    <row r="33" spans="1:24">
      <c r="A33" s="3">
        <v>382</v>
      </c>
      <c r="B33" s="3">
        <v>382</v>
      </c>
      <c r="C33" s="3" t="s">
        <v>1631</v>
      </c>
      <c r="D33" s="3" t="s">
        <v>1632</v>
      </c>
      <c r="E33" s="3" t="s">
        <v>181</v>
      </c>
      <c r="F33" s="3" t="s">
        <v>1633</v>
      </c>
      <c r="G33" s="3" t="s">
        <v>1634</v>
      </c>
      <c r="H33" s="3" t="s">
        <v>184</v>
      </c>
      <c r="I33" s="3" t="s">
        <v>941</v>
      </c>
      <c r="J33" s="3" t="s">
        <v>85</v>
      </c>
      <c r="K33" s="3" t="s">
        <v>94</v>
      </c>
      <c r="L33" s="2" t="s">
        <v>337</v>
      </c>
      <c r="M33" s="2" t="s">
        <v>356</v>
      </c>
      <c r="N33" s="3" t="s">
        <v>553</v>
      </c>
      <c r="O33" s="3" t="s">
        <v>144</v>
      </c>
      <c r="P33" s="3" t="s">
        <v>89</v>
      </c>
      <c r="Q33" s="126">
        <v>23200</v>
      </c>
      <c r="R33" s="143">
        <v>3.6469999999999998</v>
      </c>
      <c r="S33" s="145">
        <v>18930</v>
      </c>
      <c r="T33" s="2"/>
      <c r="U33" s="126">
        <v>16016.749</v>
      </c>
      <c r="V33" s="142">
        <v>3.9999999999999998E-6</v>
      </c>
      <c r="W33" s="142">
        <v>4.0371329289136899E-2</v>
      </c>
      <c r="X33" s="142">
        <v>5.57221090937959E-3</v>
      </c>
    </row>
    <row r="34" spans="1:24">
      <c r="A34" s="3">
        <v>382</v>
      </c>
      <c r="B34" s="3">
        <v>382</v>
      </c>
      <c r="C34" s="3" t="s">
        <v>1635</v>
      </c>
      <c r="D34" s="3" t="s">
        <v>1636</v>
      </c>
      <c r="E34" s="3" t="s">
        <v>181</v>
      </c>
      <c r="F34" s="3" t="s">
        <v>1637</v>
      </c>
      <c r="G34" s="3" t="s">
        <v>1638</v>
      </c>
      <c r="H34" s="3" t="s">
        <v>184</v>
      </c>
      <c r="I34" s="3" t="s">
        <v>941</v>
      </c>
      <c r="J34" s="3" t="s">
        <v>85</v>
      </c>
      <c r="K34" s="3" t="s">
        <v>94</v>
      </c>
      <c r="L34" s="2" t="s">
        <v>337</v>
      </c>
      <c r="M34" s="2" t="s">
        <v>356</v>
      </c>
      <c r="N34" s="3" t="s">
        <v>509</v>
      </c>
      <c r="O34" s="3" t="s">
        <v>144</v>
      </c>
      <c r="P34" s="3" t="s">
        <v>89</v>
      </c>
      <c r="Q34" s="126">
        <v>9950</v>
      </c>
      <c r="R34" s="143">
        <v>3.6469999999999998</v>
      </c>
      <c r="S34" s="145">
        <v>21939</v>
      </c>
      <c r="T34" s="2"/>
      <c r="U34" s="126">
        <v>7961.1480000000001</v>
      </c>
      <c r="V34" s="142">
        <v>9.9999999999999995E-7</v>
      </c>
      <c r="W34" s="142">
        <v>2.0066626143231899E-2</v>
      </c>
      <c r="X34" s="142">
        <v>2.7696752888403402E-3</v>
      </c>
    </row>
    <row r="35" spans="1:24">
      <c r="A35" s="3">
        <v>382</v>
      </c>
      <c r="B35" s="3">
        <v>382</v>
      </c>
      <c r="C35" s="3" t="s">
        <v>1639</v>
      </c>
      <c r="D35" s="3" t="s">
        <v>1640</v>
      </c>
      <c r="E35" s="3" t="s">
        <v>181</v>
      </c>
      <c r="F35" s="3" t="s">
        <v>1641</v>
      </c>
      <c r="G35" s="3" t="s">
        <v>1642</v>
      </c>
      <c r="H35" s="3" t="s">
        <v>184</v>
      </c>
      <c r="I35" s="3" t="s">
        <v>941</v>
      </c>
      <c r="J35" s="3" t="s">
        <v>85</v>
      </c>
      <c r="K35" s="3" t="s">
        <v>94</v>
      </c>
      <c r="L35" s="2" t="s">
        <v>337</v>
      </c>
      <c r="M35" s="2" t="s">
        <v>356</v>
      </c>
      <c r="N35" s="3" t="s">
        <v>557</v>
      </c>
      <c r="O35" s="3" t="s">
        <v>144</v>
      </c>
      <c r="P35" s="3" t="s">
        <v>89</v>
      </c>
      <c r="Q35" s="126">
        <v>3320</v>
      </c>
      <c r="R35" s="143">
        <v>3.6469999999999998</v>
      </c>
      <c r="S35" s="145">
        <v>69308</v>
      </c>
      <c r="T35" s="2"/>
      <c r="U35" s="126">
        <v>8391.84</v>
      </c>
      <c r="V35" s="142">
        <v>7.9999999999999996E-6</v>
      </c>
      <c r="W35" s="142">
        <v>2.11522173798964E-2</v>
      </c>
      <c r="X35" s="142">
        <v>2.9195128948489302E-3</v>
      </c>
    </row>
    <row r="36" spans="1:24">
      <c r="A36" s="3">
        <v>382</v>
      </c>
      <c r="B36" s="3">
        <v>382</v>
      </c>
      <c r="C36" s="3" t="s">
        <v>1643</v>
      </c>
      <c r="D36" s="3" t="s">
        <v>1644</v>
      </c>
      <c r="E36" s="3" t="s">
        <v>181</v>
      </c>
      <c r="F36" s="3" t="s">
        <v>1645</v>
      </c>
      <c r="G36" s="3" t="s">
        <v>1646</v>
      </c>
      <c r="H36" s="3" t="s">
        <v>184</v>
      </c>
      <c r="I36" s="3" t="s">
        <v>941</v>
      </c>
      <c r="J36" s="3" t="s">
        <v>85</v>
      </c>
      <c r="K36" s="3" t="s">
        <v>94</v>
      </c>
      <c r="L36" s="2" t="s">
        <v>337</v>
      </c>
      <c r="M36" s="2" t="s">
        <v>356</v>
      </c>
      <c r="N36" s="3" t="s">
        <v>557</v>
      </c>
      <c r="O36" s="3" t="s">
        <v>144</v>
      </c>
      <c r="P36" s="3" t="s">
        <v>89</v>
      </c>
      <c r="Q36" s="126">
        <v>7750</v>
      </c>
      <c r="R36" s="143">
        <v>3.6469999999999998</v>
      </c>
      <c r="S36" s="145">
        <v>23184</v>
      </c>
      <c r="T36" s="125">
        <v>4.5720000000000001</v>
      </c>
      <c r="U36" s="126">
        <v>6569.46</v>
      </c>
      <c r="V36" s="142">
        <v>1.7E-5</v>
      </c>
      <c r="W36" s="142">
        <v>1.65587799690157E-2</v>
      </c>
      <c r="X36" s="142">
        <v>2.2855084539956699E-3</v>
      </c>
    </row>
    <row r="37" spans="1:24">
      <c r="A37" s="3">
        <v>382</v>
      </c>
      <c r="B37" s="3">
        <v>382</v>
      </c>
      <c r="C37" s="3" t="s">
        <v>1647</v>
      </c>
      <c r="D37" s="3" t="s">
        <v>1648</v>
      </c>
      <c r="E37" s="3" t="s">
        <v>1322</v>
      </c>
      <c r="F37" s="3" t="s">
        <v>1649</v>
      </c>
      <c r="G37" s="3" t="s">
        <v>1650</v>
      </c>
      <c r="H37" s="3" t="s">
        <v>184</v>
      </c>
      <c r="I37" s="3" t="s">
        <v>941</v>
      </c>
      <c r="J37" s="3" t="s">
        <v>85</v>
      </c>
      <c r="K37" s="3" t="s">
        <v>310</v>
      </c>
      <c r="L37" s="2" t="s">
        <v>337</v>
      </c>
      <c r="M37" s="2" t="s">
        <v>356</v>
      </c>
      <c r="N37" s="3" t="s">
        <v>557</v>
      </c>
      <c r="O37" s="3" t="s">
        <v>144</v>
      </c>
      <c r="P37" s="3" t="s">
        <v>89</v>
      </c>
      <c r="Q37" s="126">
        <v>28700</v>
      </c>
      <c r="R37" s="143">
        <v>3.6469999999999998</v>
      </c>
      <c r="S37" s="145">
        <v>8077</v>
      </c>
      <c r="T37" s="2"/>
      <c r="U37" s="126">
        <v>8454.107</v>
      </c>
      <c r="V37" s="142">
        <v>6.6299999999999996E-4</v>
      </c>
      <c r="W37" s="142">
        <v>2.13091649028679E-2</v>
      </c>
      <c r="X37" s="142">
        <v>2.9411754141442001E-3</v>
      </c>
    </row>
    <row r="38" spans="1:24">
      <c r="A38" s="3">
        <v>382</v>
      </c>
      <c r="B38" s="3">
        <v>382</v>
      </c>
      <c r="C38" s="3" t="s">
        <v>1651</v>
      </c>
      <c r="D38" s="3" t="s">
        <v>1652</v>
      </c>
      <c r="E38" s="3" t="s">
        <v>181</v>
      </c>
      <c r="F38" s="3" t="s">
        <v>1653</v>
      </c>
      <c r="G38" s="3" t="s">
        <v>1654</v>
      </c>
      <c r="H38" s="3" t="s">
        <v>184</v>
      </c>
      <c r="I38" s="3" t="s">
        <v>941</v>
      </c>
      <c r="J38" s="3" t="s">
        <v>85</v>
      </c>
      <c r="K38" s="3" t="s">
        <v>94</v>
      </c>
      <c r="L38" s="2" t="s">
        <v>337</v>
      </c>
      <c r="M38" s="2" t="s">
        <v>356</v>
      </c>
      <c r="N38" s="3" t="s">
        <v>1655</v>
      </c>
      <c r="O38" s="3" t="s">
        <v>144</v>
      </c>
      <c r="P38" s="3" t="s">
        <v>89</v>
      </c>
      <c r="Q38" s="126">
        <v>2180</v>
      </c>
      <c r="R38" s="143">
        <v>3.6469999999999998</v>
      </c>
      <c r="S38" s="145">
        <v>91627</v>
      </c>
      <c r="T38" s="2"/>
      <c r="U38" s="126">
        <v>7284.768</v>
      </c>
      <c r="V38" s="142">
        <v>5.0000000000000004E-6</v>
      </c>
      <c r="W38" s="142">
        <v>1.83617644396122E-2</v>
      </c>
      <c r="X38" s="142">
        <v>2.5343635180572698E-3</v>
      </c>
    </row>
    <row r="39" spans="1:24">
      <c r="A39" s="3">
        <v>382</v>
      </c>
      <c r="B39" s="3">
        <v>382</v>
      </c>
      <c r="C39" s="3" t="s">
        <v>1656</v>
      </c>
      <c r="D39" s="3" t="s">
        <v>1657</v>
      </c>
      <c r="E39" s="3" t="s">
        <v>1322</v>
      </c>
      <c r="F39" s="3" t="s">
        <v>1658</v>
      </c>
      <c r="G39" s="3" t="s">
        <v>1659</v>
      </c>
      <c r="H39" s="3" t="s">
        <v>184</v>
      </c>
      <c r="I39" s="3" t="s">
        <v>941</v>
      </c>
      <c r="J39" s="3" t="s">
        <v>85</v>
      </c>
      <c r="K39" s="3" t="s">
        <v>94</v>
      </c>
      <c r="L39" s="2" t="s">
        <v>337</v>
      </c>
      <c r="M39" s="2" t="s">
        <v>354</v>
      </c>
      <c r="N39" s="3" t="s">
        <v>509</v>
      </c>
      <c r="O39" s="3" t="s">
        <v>144</v>
      </c>
      <c r="P39" s="3" t="s">
        <v>89</v>
      </c>
      <c r="Q39" s="126">
        <v>3797</v>
      </c>
      <c r="R39" s="143">
        <v>3.6469999999999998</v>
      </c>
      <c r="S39" s="145">
        <v>3173</v>
      </c>
      <c r="T39" s="2"/>
      <c r="U39" s="126">
        <v>439.38600000000002</v>
      </c>
      <c r="V39" s="142">
        <v>9.7999999999999997E-5</v>
      </c>
      <c r="W39" s="142">
        <v>1.1075035318126099E-3</v>
      </c>
      <c r="X39" s="142">
        <v>1.5286202785012599E-4</v>
      </c>
    </row>
    <row r="40" spans="1:24">
      <c r="A40" s="3">
        <v>382</v>
      </c>
      <c r="B40" s="3">
        <v>382</v>
      </c>
      <c r="C40" s="3" t="s">
        <v>1660</v>
      </c>
      <c r="D40" s="3" t="s">
        <v>1661</v>
      </c>
      <c r="E40" s="3" t="s">
        <v>181</v>
      </c>
      <c r="F40" s="3" t="s">
        <v>1662</v>
      </c>
      <c r="G40" s="3" t="s">
        <v>1663</v>
      </c>
      <c r="H40" s="3" t="s">
        <v>184</v>
      </c>
      <c r="I40" s="3" t="s">
        <v>941</v>
      </c>
      <c r="J40" s="3" t="s">
        <v>85</v>
      </c>
      <c r="K40" s="3" t="s">
        <v>282</v>
      </c>
      <c r="L40" s="2" t="s">
        <v>337</v>
      </c>
      <c r="M40" s="2" t="s">
        <v>380</v>
      </c>
      <c r="N40" s="3" t="s">
        <v>524</v>
      </c>
      <c r="O40" s="3" t="s">
        <v>144</v>
      </c>
      <c r="P40" s="3" t="s">
        <v>1180</v>
      </c>
      <c r="Q40" s="126">
        <v>1964</v>
      </c>
      <c r="R40" s="143">
        <v>0.47010000000000002</v>
      </c>
      <c r="S40" s="145">
        <v>13600</v>
      </c>
      <c r="T40" s="2"/>
      <c r="U40" s="126">
        <v>125.566</v>
      </c>
      <c r="V40" s="142">
        <v>9.9999999999999995E-7</v>
      </c>
      <c r="W40" s="142">
        <v>3.1649680506589702E-4</v>
      </c>
      <c r="X40" s="142">
        <v>4.3684143698645103E-5</v>
      </c>
    </row>
    <row r="41" spans="1:24">
      <c r="A41" s="3">
        <v>382</v>
      </c>
      <c r="B41" s="3">
        <v>382</v>
      </c>
      <c r="C41" s="3" t="s">
        <v>1664</v>
      </c>
      <c r="D41" s="3" t="s">
        <v>1665</v>
      </c>
      <c r="E41" s="3" t="s">
        <v>181</v>
      </c>
      <c r="F41" s="3" t="s">
        <v>1666</v>
      </c>
      <c r="G41" s="3" t="s">
        <v>1667</v>
      </c>
      <c r="H41" s="3" t="s">
        <v>184</v>
      </c>
      <c r="I41" s="3" t="s">
        <v>941</v>
      </c>
      <c r="J41" s="3" t="s">
        <v>85</v>
      </c>
      <c r="K41" s="3" t="s">
        <v>94</v>
      </c>
      <c r="L41" s="2" t="s">
        <v>337</v>
      </c>
      <c r="M41" s="2" t="s">
        <v>354</v>
      </c>
      <c r="N41" s="3" t="s">
        <v>1668</v>
      </c>
      <c r="O41" s="3" t="s">
        <v>144</v>
      </c>
      <c r="P41" s="3" t="s">
        <v>89</v>
      </c>
      <c r="Q41" s="126">
        <v>4727</v>
      </c>
      <c r="R41" s="143">
        <v>3.6469999999999998</v>
      </c>
      <c r="S41" s="145">
        <v>52657</v>
      </c>
      <c r="T41" s="2"/>
      <c r="U41" s="126">
        <v>9077.7350000000006</v>
      </c>
      <c r="V41" s="142">
        <v>3.0000000000000001E-6</v>
      </c>
      <c r="W41" s="142">
        <v>2.28810613496849E-2</v>
      </c>
      <c r="X41" s="142">
        <v>3.1581347930796201E-3</v>
      </c>
    </row>
    <row r="42" spans="1:24">
      <c r="A42" s="3">
        <v>382</v>
      </c>
      <c r="B42" s="3">
        <v>382</v>
      </c>
      <c r="C42" s="3" t="s">
        <v>1669</v>
      </c>
      <c r="D42" s="3" t="s">
        <v>1670</v>
      </c>
      <c r="E42" s="3" t="s">
        <v>181</v>
      </c>
      <c r="F42" s="3" t="s">
        <v>1671</v>
      </c>
      <c r="G42" s="3" t="s">
        <v>1672</v>
      </c>
      <c r="H42" s="3" t="s">
        <v>184</v>
      </c>
      <c r="I42" s="3" t="s">
        <v>941</v>
      </c>
      <c r="J42" s="3" t="s">
        <v>85</v>
      </c>
      <c r="K42" s="3" t="s">
        <v>94</v>
      </c>
      <c r="L42" s="2" t="s">
        <v>337</v>
      </c>
      <c r="M42" s="2" t="s">
        <v>356</v>
      </c>
      <c r="N42" s="3" t="s">
        <v>553</v>
      </c>
      <c r="O42" s="3" t="s">
        <v>144</v>
      </c>
      <c r="P42" s="3" t="s">
        <v>89</v>
      </c>
      <c r="Q42" s="126">
        <v>5540</v>
      </c>
      <c r="R42" s="143">
        <v>3.6469999999999998</v>
      </c>
      <c r="S42" s="145">
        <v>42150</v>
      </c>
      <c r="T42" s="2"/>
      <c r="U42" s="126">
        <v>8516.1460000000006</v>
      </c>
      <c r="V42" s="142">
        <v>9.9999999999999995E-7</v>
      </c>
      <c r="W42" s="142">
        <v>2.1465538812766801E-2</v>
      </c>
      <c r="X42" s="142">
        <v>2.96275876108926E-3</v>
      </c>
    </row>
    <row r="43" spans="1:24">
      <c r="A43" s="3">
        <v>382</v>
      </c>
      <c r="B43" s="3">
        <v>382</v>
      </c>
      <c r="C43" s="3" t="s">
        <v>1673</v>
      </c>
      <c r="D43" s="3" t="s">
        <v>1674</v>
      </c>
      <c r="E43" s="3" t="s">
        <v>1322</v>
      </c>
      <c r="F43" s="3" t="s">
        <v>1675</v>
      </c>
      <c r="G43" s="3" t="s">
        <v>1676</v>
      </c>
      <c r="H43" s="3" t="s">
        <v>184</v>
      </c>
      <c r="I43" s="3" t="s">
        <v>941</v>
      </c>
      <c r="J43" s="3" t="s">
        <v>85</v>
      </c>
      <c r="K43" s="3" t="s">
        <v>310</v>
      </c>
      <c r="L43" s="2" t="s">
        <v>337</v>
      </c>
      <c r="M43" s="2" t="s">
        <v>356</v>
      </c>
      <c r="N43" s="3" t="s">
        <v>466</v>
      </c>
      <c r="O43" s="3" t="s">
        <v>144</v>
      </c>
      <c r="P43" s="3" t="s">
        <v>89</v>
      </c>
      <c r="Q43" s="126">
        <v>10228</v>
      </c>
      <c r="R43" s="143">
        <v>3.6469999999999998</v>
      </c>
      <c r="S43" s="145">
        <v>19695</v>
      </c>
      <c r="T43" s="2"/>
      <c r="U43" s="126">
        <v>7346.5339999999997</v>
      </c>
      <c r="V43" s="142">
        <v>3.5199999999999999E-4</v>
      </c>
      <c r="W43" s="142">
        <v>1.85174489107219E-2</v>
      </c>
      <c r="X43" s="142">
        <v>2.5558517059275599E-3</v>
      </c>
    </row>
    <row r="44" spans="1:24">
      <c r="A44" s="3">
        <v>382</v>
      </c>
      <c r="B44" s="3">
        <v>382</v>
      </c>
      <c r="C44" s="3" t="s">
        <v>1677</v>
      </c>
      <c r="D44" s="3" t="s">
        <v>1678</v>
      </c>
      <c r="E44" s="3" t="s">
        <v>181</v>
      </c>
      <c r="F44" s="3" t="s">
        <v>1679</v>
      </c>
      <c r="G44" s="3" t="s">
        <v>1680</v>
      </c>
      <c r="H44" s="3" t="s">
        <v>184</v>
      </c>
      <c r="I44" s="3" t="s">
        <v>941</v>
      </c>
      <c r="J44" s="3" t="s">
        <v>85</v>
      </c>
      <c r="K44" s="3" t="s">
        <v>94</v>
      </c>
      <c r="L44" s="2" t="s">
        <v>337</v>
      </c>
      <c r="M44" s="2" t="s">
        <v>356</v>
      </c>
      <c r="N44" s="3" t="s">
        <v>557</v>
      </c>
      <c r="O44" s="3" t="s">
        <v>144</v>
      </c>
      <c r="P44" s="3" t="s">
        <v>89</v>
      </c>
      <c r="Q44" s="126">
        <v>22110</v>
      </c>
      <c r="R44" s="143">
        <v>3.6469999999999998</v>
      </c>
      <c r="S44" s="145">
        <v>13429</v>
      </c>
      <c r="T44" s="2"/>
      <c r="U44" s="126">
        <v>10828.496999999999</v>
      </c>
      <c r="V44" s="142">
        <v>9.9999999999999995E-7</v>
      </c>
      <c r="W44" s="142">
        <v>2.7293979876943798E-2</v>
      </c>
      <c r="X44" s="142">
        <v>3.76722330199855E-3</v>
      </c>
    </row>
    <row r="45" spans="1:24">
      <c r="A45" s="3">
        <v>382</v>
      </c>
      <c r="B45" s="3">
        <v>382</v>
      </c>
      <c r="C45" s="3" t="s">
        <v>1681</v>
      </c>
      <c r="D45" s="3" t="s">
        <v>1682</v>
      </c>
      <c r="E45" s="3" t="s">
        <v>181</v>
      </c>
      <c r="F45" s="3" t="s">
        <v>1683</v>
      </c>
      <c r="G45" s="3" t="s">
        <v>1684</v>
      </c>
      <c r="H45" s="3" t="s">
        <v>184</v>
      </c>
      <c r="I45" s="3" t="s">
        <v>941</v>
      </c>
      <c r="J45" s="3" t="s">
        <v>85</v>
      </c>
      <c r="K45" s="3" t="s">
        <v>94</v>
      </c>
      <c r="L45" s="2" t="s">
        <v>337</v>
      </c>
      <c r="M45" s="2" t="s">
        <v>354</v>
      </c>
      <c r="N45" s="3" t="s">
        <v>566</v>
      </c>
      <c r="O45" s="3" t="s">
        <v>144</v>
      </c>
      <c r="P45" s="3" t="s">
        <v>89</v>
      </c>
      <c r="Q45" s="126">
        <v>41250</v>
      </c>
      <c r="R45" s="143">
        <v>3.6469999999999998</v>
      </c>
      <c r="S45" s="145">
        <v>6772</v>
      </c>
      <c r="T45" s="2"/>
      <c r="U45" s="126">
        <v>10187.712</v>
      </c>
      <c r="V45" s="142">
        <v>6.8000000000000005E-4</v>
      </c>
      <c r="W45" s="142">
        <v>2.5678837141086801E-2</v>
      </c>
      <c r="X45" s="142">
        <v>3.5442948988119601E-3</v>
      </c>
    </row>
    <row r="46" spans="1:24">
      <c r="A46" s="3">
        <v>382</v>
      </c>
      <c r="B46" s="3">
        <v>382</v>
      </c>
      <c r="C46" s="3" t="s">
        <v>1685</v>
      </c>
      <c r="D46" s="3" t="s">
        <v>1686</v>
      </c>
      <c r="E46" s="3" t="s">
        <v>181</v>
      </c>
      <c r="F46" s="3" t="s">
        <v>1687</v>
      </c>
      <c r="G46" s="3" t="s">
        <v>1688</v>
      </c>
      <c r="H46" s="3" t="s">
        <v>184</v>
      </c>
      <c r="I46" s="3" t="s">
        <v>941</v>
      </c>
      <c r="J46" s="3" t="s">
        <v>85</v>
      </c>
      <c r="K46" s="3" t="s">
        <v>303</v>
      </c>
      <c r="L46" s="2" t="s">
        <v>337</v>
      </c>
      <c r="M46" s="2" t="s">
        <v>390</v>
      </c>
      <c r="N46" s="3" t="s">
        <v>555</v>
      </c>
      <c r="O46" s="3" t="s">
        <v>144</v>
      </c>
      <c r="P46" s="3" t="s">
        <v>89</v>
      </c>
      <c r="Q46" s="126">
        <v>880</v>
      </c>
      <c r="R46" s="143">
        <v>3.6469999999999998</v>
      </c>
      <c r="S46" s="145">
        <v>91000</v>
      </c>
      <c r="T46" s="125">
        <v>7.0000000000000001E-3</v>
      </c>
      <c r="U46" s="126">
        <v>2920.5450000000001</v>
      </c>
      <c r="V46" s="142">
        <v>3.9999999999999998E-6</v>
      </c>
      <c r="W46" s="142">
        <v>7.3614365248292103E-3</v>
      </c>
      <c r="X46" s="142">
        <v>1.0160546515221201E-3</v>
      </c>
    </row>
    <row r="47" spans="1:24">
      <c r="A47" s="3">
        <v>382</v>
      </c>
      <c r="B47" s="3">
        <v>382</v>
      </c>
      <c r="C47" s="3" t="s">
        <v>1689</v>
      </c>
      <c r="D47" s="3" t="s">
        <v>1690</v>
      </c>
      <c r="E47" s="3" t="s">
        <v>181</v>
      </c>
      <c r="F47" s="3" t="s">
        <v>1689</v>
      </c>
      <c r="G47" s="3" t="s">
        <v>1691</v>
      </c>
      <c r="H47" s="3" t="s">
        <v>184</v>
      </c>
      <c r="I47" s="3" t="s">
        <v>941</v>
      </c>
      <c r="J47" s="3" t="s">
        <v>85</v>
      </c>
      <c r="K47" s="3" t="s">
        <v>94</v>
      </c>
      <c r="L47" s="2" t="s">
        <v>337</v>
      </c>
      <c r="M47" s="2" t="s">
        <v>356</v>
      </c>
      <c r="N47" s="3" t="s">
        <v>521</v>
      </c>
      <c r="O47" s="3" t="s">
        <v>144</v>
      </c>
      <c r="P47" s="3" t="s">
        <v>89</v>
      </c>
      <c r="Q47" s="126">
        <v>2800</v>
      </c>
      <c r="R47" s="143">
        <v>3.6469999999999998</v>
      </c>
      <c r="S47" s="145">
        <v>40384</v>
      </c>
      <c r="T47" s="2"/>
      <c r="U47" s="126">
        <v>4123.8530000000001</v>
      </c>
      <c r="V47" s="142">
        <v>9.9999999999999995E-7</v>
      </c>
      <c r="W47" s="142">
        <v>1.0394457196283499E-2</v>
      </c>
      <c r="X47" s="142">
        <v>1.4346841881620999E-3</v>
      </c>
    </row>
    <row r="48" spans="1:24">
      <c r="A48" s="3">
        <v>382</v>
      </c>
      <c r="B48" s="3">
        <v>382</v>
      </c>
      <c r="C48" s="3" t="s">
        <v>1692</v>
      </c>
      <c r="D48" s="3" t="s">
        <v>1693</v>
      </c>
      <c r="E48" s="3" t="s">
        <v>181</v>
      </c>
      <c r="F48" s="3" t="s">
        <v>1694</v>
      </c>
      <c r="G48" s="3" t="s">
        <v>1695</v>
      </c>
      <c r="H48" s="3" t="s">
        <v>184</v>
      </c>
      <c r="I48" s="3" t="s">
        <v>941</v>
      </c>
      <c r="J48" s="3" t="s">
        <v>85</v>
      </c>
      <c r="K48" s="3" t="s">
        <v>94</v>
      </c>
      <c r="L48" s="2" t="s">
        <v>337</v>
      </c>
      <c r="M48" s="2" t="s">
        <v>354</v>
      </c>
      <c r="N48" s="3" t="s">
        <v>1668</v>
      </c>
      <c r="O48" s="3" t="s">
        <v>144</v>
      </c>
      <c r="P48" s="3" t="s">
        <v>89</v>
      </c>
      <c r="Q48" s="126">
        <v>7940</v>
      </c>
      <c r="R48" s="143">
        <v>3.6469999999999998</v>
      </c>
      <c r="S48" s="145">
        <v>31604</v>
      </c>
      <c r="T48" s="2"/>
      <c r="U48" s="126">
        <v>9151.6270000000004</v>
      </c>
      <c r="V48" s="142">
        <v>5.0000000000000004E-6</v>
      </c>
      <c r="W48" s="142">
        <v>2.3067312870875999E-2</v>
      </c>
      <c r="X48" s="142">
        <v>3.1838419663767102E-3</v>
      </c>
    </row>
    <row r="49" spans="1:24">
      <c r="A49" s="3">
        <v>382</v>
      </c>
      <c r="B49" s="3">
        <v>7635</v>
      </c>
      <c r="C49" s="3" t="s">
        <v>1514</v>
      </c>
      <c r="D49" s="3" t="s">
        <v>1515</v>
      </c>
      <c r="E49" s="3" t="s">
        <v>1322</v>
      </c>
      <c r="F49" s="3" t="s">
        <v>1516</v>
      </c>
      <c r="G49" s="3" t="s">
        <v>1517</v>
      </c>
      <c r="H49" s="3" t="s">
        <v>184</v>
      </c>
      <c r="I49" s="3" t="s">
        <v>941</v>
      </c>
      <c r="J49" s="3" t="s">
        <v>30</v>
      </c>
      <c r="K49" s="3" t="s">
        <v>30</v>
      </c>
      <c r="L49" s="2" t="s">
        <v>337</v>
      </c>
      <c r="M49" s="2" t="s">
        <v>44</v>
      </c>
      <c r="N49" s="3" t="s">
        <v>472</v>
      </c>
      <c r="O49" s="3" t="s">
        <v>144</v>
      </c>
      <c r="P49" s="3" t="s">
        <v>34</v>
      </c>
      <c r="Q49" s="126">
        <v>600</v>
      </c>
      <c r="R49" s="143">
        <v>1</v>
      </c>
      <c r="S49" s="145">
        <v>3040</v>
      </c>
      <c r="T49" s="2"/>
      <c r="U49" s="126">
        <v>18.239999999999998</v>
      </c>
      <c r="V49" s="142">
        <v>3.0000000000000001E-6</v>
      </c>
      <c r="W49" s="142">
        <v>4.9151316042156702E-2</v>
      </c>
      <c r="X49" s="142">
        <v>9.9108363679618807E-4</v>
      </c>
    </row>
    <row r="50" spans="1:24">
      <c r="A50" s="3">
        <v>382</v>
      </c>
      <c r="B50" s="3">
        <v>7635</v>
      </c>
      <c r="C50" s="3" t="s">
        <v>1522</v>
      </c>
      <c r="D50" s="3" t="s">
        <v>1523</v>
      </c>
      <c r="E50" s="3" t="s">
        <v>1322</v>
      </c>
      <c r="F50" s="3" t="s">
        <v>1524</v>
      </c>
      <c r="G50" s="3" t="s">
        <v>1525</v>
      </c>
      <c r="H50" s="3" t="s">
        <v>184</v>
      </c>
      <c r="I50" s="3" t="s">
        <v>941</v>
      </c>
      <c r="J50" s="3" t="s">
        <v>30</v>
      </c>
      <c r="K50" s="3" t="s">
        <v>94</v>
      </c>
      <c r="L50" s="2" t="s">
        <v>337</v>
      </c>
      <c r="M50" s="2" t="s">
        <v>44</v>
      </c>
      <c r="N50" s="3" t="s">
        <v>449</v>
      </c>
      <c r="O50" s="3" t="s">
        <v>144</v>
      </c>
      <c r="P50" s="3" t="s">
        <v>34</v>
      </c>
      <c r="Q50" s="126">
        <v>96.9</v>
      </c>
      <c r="R50" s="143">
        <v>1</v>
      </c>
      <c r="S50" s="145">
        <v>6305</v>
      </c>
      <c r="T50" s="2"/>
      <c r="U50" s="126">
        <v>6.11</v>
      </c>
      <c r="V50" s="142">
        <v>9.9999999999999995E-7</v>
      </c>
      <c r="W50" s="142">
        <v>1.6463386906183E-2</v>
      </c>
      <c r="X50" s="142">
        <v>3.3196656128124799E-4</v>
      </c>
    </row>
    <row r="51" spans="1:24">
      <c r="A51" s="3">
        <v>382</v>
      </c>
      <c r="B51" s="3">
        <v>7635</v>
      </c>
      <c r="C51" s="3" t="s">
        <v>1526</v>
      </c>
      <c r="D51" s="3" t="s">
        <v>1527</v>
      </c>
      <c r="E51" s="3" t="s">
        <v>1322</v>
      </c>
      <c r="F51" s="3" t="s">
        <v>1528</v>
      </c>
      <c r="G51" s="3" t="s">
        <v>1529</v>
      </c>
      <c r="H51" s="3" t="s">
        <v>184</v>
      </c>
      <c r="I51" s="3" t="s">
        <v>941</v>
      </c>
      <c r="J51" s="3" t="s">
        <v>30</v>
      </c>
      <c r="K51" s="3" t="s">
        <v>30</v>
      </c>
      <c r="L51" s="2" t="s">
        <v>337</v>
      </c>
      <c r="M51" s="2" t="s">
        <v>44</v>
      </c>
      <c r="N51" s="3" t="s">
        <v>449</v>
      </c>
      <c r="O51" s="3" t="s">
        <v>144</v>
      </c>
      <c r="P51" s="3" t="s">
        <v>34</v>
      </c>
      <c r="Q51" s="126">
        <v>900</v>
      </c>
      <c r="R51" s="143">
        <v>1</v>
      </c>
      <c r="S51" s="145">
        <v>1250</v>
      </c>
      <c r="T51" s="2"/>
      <c r="U51" s="126">
        <v>11.25</v>
      </c>
      <c r="V51" s="142">
        <v>1.9999999999999999E-6</v>
      </c>
      <c r="W51" s="142">
        <v>3.0315367624685501E-2</v>
      </c>
      <c r="X51" s="142">
        <v>6.1127691414238604E-4</v>
      </c>
    </row>
    <row r="52" spans="1:24">
      <c r="A52" s="3">
        <v>382</v>
      </c>
      <c r="B52" s="3">
        <v>7635</v>
      </c>
      <c r="C52" s="3" t="s">
        <v>1542</v>
      </c>
      <c r="D52" s="3" t="s">
        <v>1543</v>
      </c>
      <c r="E52" s="3" t="s">
        <v>1322</v>
      </c>
      <c r="F52" s="3" t="s">
        <v>1544</v>
      </c>
      <c r="G52" s="3" t="s">
        <v>1545</v>
      </c>
      <c r="H52" s="3" t="s">
        <v>184</v>
      </c>
      <c r="I52" s="3" t="s">
        <v>941</v>
      </c>
      <c r="J52" s="3" t="s">
        <v>30</v>
      </c>
      <c r="K52" s="3" t="s">
        <v>30</v>
      </c>
      <c r="L52" s="2" t="s">
        <v>337</v>
      </c>
      <c r="M52" s="2" t="s">
        <v>44</v>
      </c>
      <c r="N52" s="3" t="s">
        <v>456</v>
      </c>
      <c r="O52" s="3" t="s">
        <v>144</v>
      </c>
      <c r="P52" s="3" t="s">
        <v>34</v>
      </c>
      <c r="Q52" s="126">
        <v>1730</v>
      </c>
      <c r="R52" s="143">
        <v>1</v>
      </c>
      <c r="S52" s="145">
        <v>2492</v>
      </c>
      <c r="T52" s="2"/>
      <c r="U52" s="126">
        <v>43.112000000000002</v>
      </c>
      <c r="V52" s="142">
        <v>9.9999999999999995E-7</v>
      </c>
      <c r="W52" s="142">
        <v>0.11617280025674601</v>
      </c>
      <c r="X52" s="142">
        <v>2.34250007215475E-3</v>
      </c>
    </row>
    <row r="53" spans="1:24">
      <c r="A53" s="3">
        <v>382</v>
      </c>
      <c r="B53" s="3">
        <v>7635</v>
      </c>
      <c r="C53" s="3" t="s">
        <v>1550</v>
      </c>
      <c r="D53" s="3" t="s">
        <v>1551</v>
      </c>
      <c r="E53" s="3" t="s">
        <v>1322</v>
      </c>
      <c r="F53" s="3" t="s">
        <v>1552</v>
      </c>
      <c r="G53" s="3" t="s">
        <v>1553</v>
      </c>
      <c r="H53" s="3" t="s">
        <v>184</v>
      </c>
      <c r="I53" s="3" t="s">
        <v>941</v>
      </c>
      <c r="J53" s="3" t="s">
        <v>30</v>
      </c>
      <c r="K53" s="3" t="s">
        <v>30</v>
      </c>
      <c r="L53" s="2" t="s">
        <v>337</v>
      </c>
      <c r="M53" s="2" t="s">
        <v>44</v>
      </c>
      <c r="N53" s="3" t="s">
        <v>453</v>
      </c>
      <c r="O53" s="3" t="s">
        <v>144</v>
      </c>
      <c r="P53" s="3" t="s">
        <v>34</v>
      </c>
      <c r="Q53" s="126">
        <v>340</v>
      </c>
      <c r="R53" s="143">
        <v>1</v>
      </c>
      <c r="S53" s="145">
        <v>5318</v>
      </c>
      <c r="T53" s="2"/>
      <c r="U53" s="126">
        <v>18.081</v>
      </c>
      <c r="V53" s="142">
        <v>9.9999999999999995E-7</v>
      </c>
      <c r="W53" s="142">
        <v>4.8723397786263403E-2</v>
      </c>
      <c r="X53" s="142">
        <v>9.8245512355478307E-4</v>
      </c>
    </row>
    <row r="54" spans="1:24">
      <c r="A54" s="3">
        <v>382</v>
      </c>
      <c r="B54" s="3">
        <v>7635</v>
      </c>
      <c r="C54" s="3" t="s">
        <v>1566</v>
      </c>
      <c r="D54" s="3" t="s">
        <v>1567</v>
      </c>
      <c r="E54" s="3" t="s">
        <v>1322</v>
      </c>
      <c r="F54" s="3" t="s">
        <v>1568</v>
      </c>
      <c r="G54" s="3" t="s">
        <v>1569</v>
      </c>
      <c r="H54" s="3" t="s">
        <v>184</v>
      </c>
      <c r="I54" s="3" t="s">
        <v>941</v>
      </c>
      <c r="J54" s="3" t="s">
        <v>30</v>
      </c>
      <c r="K54" s="3" t="s">
        <v>30</v>
      </c>
      <c r="L54" s="2" t="s">
        <v>337</v>
      </c>
      <c r="M54" s="2" t="s">
        <v>44</v>
      </c>
      <c r="N54" s="3" t="s">
        <v>453</v>
      </c>
      <c r="O54" s="3" t="s">
        <v>144</v>
      </c>
      <c r="P54" s="3" t="s">
        <v>34</v>
      </c>
      <c r="Q54" s="126">
        <v>150</v>
      </c>
      <c r="R54" s="143">
        <v>1</v>
      </c>
      <c r="S54" s="145">
        <v>8570</v>
      </c>
      <c r="T54" s="2"/>
      <c r="U54" s="126">
        <v>12.855</v>
      </c>
      <c r="V54" s="142">
        <v>1.9999999999999999E-6</v>
      </c>
      <c r="W54" s="142">
        <v>3.4640360072473897E-2</v>
      </c>
      <c r="X54" s="142">
        <v>6.9848575389336602E-4</v>
      </c>
    </row>
    <row r="55" spans="1:24">
      <c r="A55" s="3">
        <v>382</v>
      </c>
      <c r="B55" s="3">
        <v>7635</v>
      </c>
      <c r="C55" s="3" t="s">
        <v>1177</v>
      </c>
      <c r="D55" s="3" t="s">
        <v>1570</v>
      </c>
      <c r="E55" s="3" t="s">
        <v>1322</v>
      </c>
      <c r="F55" s="3" t="s">
        <v>1302</v>
      </c>
      <c r="G55" s="3" t="s">
        <v>1571</v>
      </c>
      <c r="H55" s="3" t="s">
        <v>184</v>
      </c>
      <c r="I55" s="3" t="s">
        <v>941</v>
      </c>
      <c r="J55" s="3" t="s">
        <v>30</v>
      </c>
      <c r="K55" s="3" t="s">
        <v>30</v>
      </c>
      <c r="L55" s="2" t="s">
        <v>337</v>
      </c>
      <c r="M55" s="2" t="s">
        <v>44</v>
      </c>
      <c r="N55" s="3" t="s">
        <v>456</v>
      </c>
      <c r="O55" s="3" t="s">
        <v>144</v>
      </c>
      <c r="P55" s="3" t="s">
        <v>34</v>
      </c>
      <c r="Q55" s="126">
        <v>1124</v>
      </c>
      <c r="R55" s="143">
        <v>1</v>
      </c>
      <c r="S55" s="145">
        <v>4335</v>
      </c>
      <c r="T55" s="2"/>
      <c r="U55" s="126">
        <v>48.725000000000001</v>
      </c>
      <c r="V55" s="142">
        <v>9.9999999999999995E-7</v>
      </c>
      <c r="W55" s="142">
        <v>0.13130030343643101</v>
      </c>
      <c r="X55" s="142">
        <v>2.64752996909808E-3</v>
      </c>
    </row>
    <row r="56" spans="1:24">
      <c r="A56" s="3">
        <v>382</v>
      </c>
      <c r="B56" s="3">
        <v>7635</v>
      </c>
      <c r="C56" s="3" t="s">
        <v>1576</v>
      </c>
      <c r="D56" s="3" t="s">
        <v>1577</v>
      </c>
      <c r="E56" s="3" t="s">
        <v>1322</v>
      </c>
      <c r="F56" s="3" t="s">
        <v>1578</v>
      </c>
      <c r="G56" s="3" t="s">
        <v>1579</v>
      </c>
      <c r="H56" s="3" t="s">
        <v>184</v>
      </c>
      <c r="I56" s="3" t="s">
        <v>941</v>
      </c>
      <c r="J56" s="3" t="s">
        <v>30</v>
      </c>
      <c r="K56" s="3" t="s">
        <v>30</v>
      </c>
      <c r="L56" s="2" t="s">
        <v>337</v>
      </c>
      <c r="M56" s="2" t="s">
        <v>44</v>
      </c>
      <c r="N56" s="3" t="s">
        <v>456</v>
      </c>
      <c r="O56" s="3" t="s">
        <v>144</v>
      </c>
      <c r="P56" s="3" t="s">
        <v>34</v>
      </c>
      <c r="Q56" s="126">
        <v>124</v>
      </c>
      <c r="R56" s="143">
        <v>1</v>
      </c>
      <c r="S56" s="145">
        <v>15760</v>
      </c>
      <c r="T56" s="2"/>
      <c r="U56" s="126">
        <v>19.542000000000002</v>
      </c>
      <c r="V56" s="142">
        <v>0</v>
      </c>
      <c r="W56" s="142">
        <v>5.2660892468324803E-2</v>
      </c>
      <c r="X56" s="142">
        <v>1.06185048594988E-3</v>
      </c>
    </row>
    <row r="57" spans="1:24">
      <c r="A57" s="3">
        <v>382</v>
      </c>
      <c r="B57" s="3">
        <v>7635</v>
      </c>
      <c r="C57" s="3" t="s">
        <v>1580</v>
      </c>
      <c r="D57" s="3" t="s">
        <v>1581</v>
      </c>
      <c r="E57" s="3" t="s">
        <v>1322</v>
      </c>
      <c r="F57" s="3" t="s">
        <v>1582</v>
      </c>
      <c r="G57" s="3" t="s">
        <v>1583</v>
      </c>
      <c r="H57" s="3" t="s">
        <v>184</v>
      </c>
      <c r="I57" s="3" t="s">
        <v>941</v>
      </c>
      <c r="J57" s="3" t="s">
        <v>30</v>
      </c>
      <c r="K57" s="3" t="s">
        <v>30</v>
      </c>
      <c r="L57" s="2" t="s">
        <v>337</v>
      </c>
      <c r="M57" s="2" t="s">
        <v>44</v>
      </c>
      <c r="N57" s="3" t="s">
        <v>485</v>
      </c>
      <c r="O57" s="3" t="s">
        <v>144</v>
      </c>
      <c r="P57" s="3" t="s">
        <v>34</v>
      </c>
      <c r="Q57" s="126">
        <v>150</v>
      </c>
      <c r="R57" s="143">
        <v>1</v>
      </c>
      <c r="S57" s="145">
        <v>8550</v>
      </c>
      <c r="T57" s="125">
        <v>0.105</v>
      </c>
      <c r="U57" s="126">
        <v>12.930999999999999</v>
      </c>
      <c r="V57" s="142">
        <v>1.9999999999999999E-6</v>
      </c>
      <c r="W57" s="142">
        <v>3.4843809872977402E-2</v>
      </c>
      <c r="X57" s="142">
        <v>7.0258810118383299E-4</v>
      </c>
    </row>
    <row r="58" spans="1:24">
      <c r="A58" s="3">
        <v>382</v>
      </c>
      <c r="B58" s="3">
        <v>7635</v>
      </c>
      <c r="C58" s="3" t="s">
        <v>1584</v>
      </c>
      <c r="D58" s="3" t="s">
        <v>1585</v>
      </c>
      <c r="E58" s="3" t="s">
        <v>1322</v>
      </c>
      <c r="F58" s="3" t="s">
        <v>1586</v>
      </c>
      <c r="G58" s="3" t="s">
        <v>1587</v>
      </c>
      <c r="H58" s="3" t="s">
        <v>184</v>
      </c>
      <c r="I58" s="3" t="s">
        <v>941</v>
      </c>
      <c r="J58" s="3" t="s">
        <v>30</v>
      </c>
      <c r="K58" s="3" t="s">
        <v>30</v>
      </c>
      <c r="L58" s="2" t="s">
        <v>337</v>
      </c>
      <c r="M58" s="2" t="s">
        <v>44</v>
      </c>
      <c r="N58" s="3" t="s">
        <v>472</v>
      </c>
      <c r="O58" s="3" t="s">
        <v>144</v>
      </c>
      <c r="P58" s="3" t="s">
        <v>34</v>
      </c>
      <c r="Q58" s="126">
        <v>150</v>
      </c>
      <c r="R58" s="143">
        <v>1</v>
      </c>
      <c r="S58" s="145">
        <v>32400</v>
      </c>
      <c r="T58" s="2"/>
      <c r="U58" s="126">
        <v>48.6</v>
      </c>
      <c r="V58" s="142">
        <v>3.0000000000000001E-6</v>
      </c>
      <c r="W58" s="142">
        <v>0.130962388138641</v>
      </c>
      <c r="X58" s="142">
        <v>2.6407162690951099E-3</v>
      </c>
    </row>
    <row r="59" spans="1:24">
      <c r="A59" s="3">
        <v>382</v>
      </c>
      <c r="B59" s="3">
        <v>7635</v>
      </c>
      <c r="C59" s="3" t="s">
        <v>1592</v>
      </c>
      <c r="D59" s="3" t="s">
        <v>1593</v>
      </c>
      <c r="E59" s="3" t="s">
        <v>324</v>
      </c>
      <c r="F59" s="3" t="s">
        <v>1594</v>
      </c>
      <c r="G59" s="3" t="s">
        <v>1595</v>
      </c>
      <c r="H59" s="3" t="s">
        <v>184</v>
      </c>
      <c r="I59" s="3" t="s">
        <v>941</v>
      </c>
      <c r="J59" s="3" t="s">
        <v>30</v>
      </c>
      <c r="K59" s="3" t="s">
        <v>94</v>
      </c>
      <c r="L59" s="2" t="s">
        <v>337</v>
      </c>
      <c r="M59" s="2" t="s">
        <v>44</v>
      </c>
      <c r="N59" s="3" t="s">
        <v>462</v>
      </c>
      <c r="O59" s="3" t="s">
        <v>144</v>
      </c>
      <c r="P59" s="3" t="s">
        <v>34</v>
      </c>
      <c r="Q59" s="126">
        <v>275</v>
      </c>
      <c r="R59" s="143">
        <v>1</v>
      </c>
      <c r="S59" s="145">
        <v>7320</v>
      </c>
      <c r="T59" s="2"/>
      <c r="U59" s="126">
        <v>20.13</v>
      </c>
      <c r="V59" s="142">
        <v>3.0000000000000001E-6</v>
      </c>
      <c r="W59" s="142">
        <v>5.42442978031039E-2</v>
      </c>
      <c r="X59" s="142">
        <v>1.09377815837211E-3</v>
      </c>
    </row>
    <row r="60" spans="1:24">
      <c r="A60" s="3">
        <v>382</v>
      </c>
      <c r="B60" s="3">
        <v>7635</v>
      </c>
      <c r="C60" s="3" t="s">
        <v>1607</v>
      </c>
      <c r="D60" s="3" t="s">
        <v>1608</v>
      </c>
      <c r="E60" s="3" t="s">
        <v>1322</v>
      </c>
      <c r="F60" s="3" t="s">
        <v>1609</v>
      </c>
      <c r="G60" s="3" t="s">
        <v>1610</v>
      </c>
      <c r="H60" s="3" t="s">
        <v>184</v>
      </c>
      <c r="I60" s="3" t="s">
        <v>941</v>
      </c>
      <c r="J60" s="3" t="s">
        <v>30</v>
      </c>
      <c r="K60" s="3" t="s">
        <v>30</v>
      </c>
      <c r="L60" s="2" t="s">
        <v>337</v>
      </c>
      <c r="M60" s="2" t="s">
        <v>44</v>
      </c>
      <c r="N60" s="3" t="s">
        <v>472</v>
      </c>
      <c r="O60" s="3" t="s">
        <v>144</v>
      </c>
      <c r="P60" s="3" t="s">
        <v>34</v>
      </c>
      <c r="Q60" s="126">
        <v>70</v>
      </c>
      <c r="R60" s="143">
        <v>1</v>
      </c>
      <c r="S60" s="145">
        <v>30090</v>
      </c>
      <c r="T60" s="2"/>
      <c r="U60" s="126">
        <v>21.062999999999999</v>
      </c>
      <c r="V60" s="142">
        <v>9.9999999999999995E-7</v>
      </c>
      <c r="W60" s="142">
        <v>5.6758452291444397E-2</v>
      </c>
      <c r="X60" s="142">
        <v>1.14447339045165E-3</v>
      </c>
    </row>
    <row r="61" spans="1:24">
      <c r="A61" s="3">
        <v>382</v>
      </c>
      <c r="B61" s="3">
        <v>7635</v>
      </c>
      <c r="C61" s="3" t="s">
        <v>1611</v>
      </c>
      <c r="D61" s="3" t="s">
        <v>1612</v>
      </c>
      <c r="E61" s="3" t="s">
        <v>1322</v>
      </c>
      <c r="F61" s="3" t="s">
        <v>1613</v>
      </c>
      <c r="G61" s="3" t="s">
        <v>1614</v>
      </c>
      <c r="H61" s="3" t="s">
        <v>184</v>
      </c>
      <c r="I61" s="3" t="s">
        <v>941</v>
      </c>
      <c r="J61" s="3" t="s">
        <v>30</v>
      </c>
      <c r="K61" s="3" t="s">
        <v>30</v>
      </c>
      <c r="L61" s="2" t="s">
        <v>337</v>
      </c>
      <c r="M61" s="2" t="s">
        <v>44</v>
      </c>
      <c r="N61" s="3" t="s">
        <v>456</v>
      </c>
      <c r="O61" s="3" t="s">
        <v>144</v>
      </c>
      <c r="P61" s="3" t="s">
        <v>34</v>
      </c>
      <c r="Q61" s="126">
        <v>905</v>
      </c>
      <c r="R61" s="143">
        <v>1</v>
      </c>
      <c r="S61" s="145">
        <v>4402</v>
      </c>
      <c r="T61" s="2"/>
      <c r="U61" s="126">
        <v>39.838000000000001</v>
      </c>
      <c r="V61" s="142">
        <v>9.9999999999999995E-7</v>
      </c>
      <c r="W61" s="142">
        <v>0.107351701952798</v>
      </c>
      <c r="X61" s="142">
        <v>2.1646320740707401E-3</v>
      </c>
    </row>
    <row r="62" spans="1:24">
      <c r="A62" s="3">
        <v>382</v>
      </c>
      <c r="B62" s="3">
        <v>7635</v>
      </c>
      <c r="C62" s="3" t="s">
        <v>1615</v>
      </c>
      <c r="D62" s="3" t="s">
        <v>1616</v>
      </c>
      <c r="E62" s="3" t="s">
        <v>1322</v>
      </c>
      <c r="F62" s="3" t="s">
        <v>1617</v>
      </c>
      <c r="G62" s="3" t="s">
        <v>1618</v>
      </c>
      <c r="H62" s="3" t="s">
        <v>184</v>
      </c>
      <c r="I62" s="3" t="s">
        <v>941</v>
      </c>
      <c r="J62" s="3" t="s">
        <v>30</v>
      </c>
      <c r="K62" s="3" t="s">
        <v>30</v>
      </c>
      <c r="L62" s="2" t="s">
        <v>337</v>
      </c>
      <c r="M62" s="2" t="s">
        <v>44</v>
      </c>
      <c r="N62" s="3" t="s">
        <v>484</v>
      </c>
      <c r="O62" s="3" t="s">
        <v>144</v>
      </c>
      <c r="P62" s="3" t="s">
        <v>34</v>
      </c>
      <c r="Q62" s="126">
        <v>45</v>
      </c>
      <c r="R62" s="143">
        <v>1</v>
      </c>
      <c r="S62" s="145">
        <v>29900</v>
      </c>
      <c r="T62" s="2"/>
      <c r="U62" s="126">
        <v>13.455</v>
      </c>
      <c r="V62" s="142">
        <v>3.0000000000000001E-6</v>
      </c>
      <c r="W62" s="142">
        <v>3.6257179679123799E-2</v>
      </c>
      <c r="X62" s="142">
        <v>7.3108718931429401E-4</v>
      </c>
    </row>
    <row r="63" spans="1:24">
      <c r="A63" s="3">
        <v>382</v>
      </c>
      <c r="B63" s="3">
        <v>7635</v>
      </c>
      <c r="C63" s="3" t="s">
        <v>1619</v>
      </c>
      <c r="D63" s="3" t="s">
        <v>1620</v>
      </c>
      <c r="E63" s="3" t="s">
        <v>1322</v>
      </c>
      <c r="F63" s="3" t="s">
        <v>1621</v>
      </c>
      <c r="G63" s="3" t="s">
        <v>1622</v>
      </c>
      <c r="H63" s="3" t="s">
        <v>184</v>
      </c>
      <c r="I63" s="3" t="s">
        <v>941</v>
      </c>
      <c r="J63" s="3" t="s">
        <v>30</v>
      </c>
      <c r="K63" s="3" t="s">
        <v>30</v>
      </c>
      <c r="L63" s="2" t="s">
        <v>337</v>
      </c>
      <c r="M63" s="2" t="s">
        <v>44</v>
      </c>
      <c r="N63" s="3" t="s">
        <v>485</v>
      </c>
      <c r="O63" s="3" t="s">
        <v>144</v>
      </c>
      <c r="P63" s="3" t="s">
        <v>34</v>
      </c>
      <c r="Q63" s="126">
        <v>35</v>
      </c>
      <c r="R63" s="143">
        <v>1</v>
      </c>
      <c r="S63" s="145">
        <v>30600</v>
      </c>
      <c r="T63" s="2"/>
      <c r="U63" s="126">
        <v>10.71</v>
      </c>
      <c r="V63" s="142">
        <v>1.9999999999999999E-6</v>
      </c>
      <c r="W63" s="142">
        <v>2.8860229978700601E-2</v>
      </c>
      <c r="X63" s="142">
        <v>5.81935622263552E-4</v>
      </c>
    </row>
    <row r="64" spans="1:24">
      <c r="A64" s="3">
        <v>382</v>
      </c>
      <c r="B64" s="3">
        <v>7635</v>
      </c>
      <c r="C64" s="3" t="s">
        <v>1623</v>
      </c>
      <c r="D64" s="3" t="s">
        <v>1624</v>
      </c>
      <c r="E64" s="3" t="s">
        <v>1322</v>
      </c>
      <c r="F64" s="3" t="s">
        <v>1625</v>
      </c>
      <c r="G64" s="3" t="s">
        <v>1626</v>
      </c>
      <c r="H64" s="3" t="s">
        <v>184</v>
      </c>
      <c r="I64" s="3" t="s">
        <v>941</v>
      </c>
      <c r="J64" s="3" t="s">
        <v>30</v>
      </c>
      <c r="K64" s="3" t="s">
        <v>30</v>
      </c>
      <c r="L64" s="2" t="s">
        <v>337</v>
      </c>
      <c r="M64" s="2" t="s">
        <v>44</v>
      </c>
      <c r="N64" s="3" t="s">
        <v>484</v>
      </c>
      <c r="O64" s="3" t="s">
        <v>144</v>
      </c>
      <c r="P64" s="3" t="s">
        <v>34</v>
      </c>
      <c r="Q64" s="126">
        <v>310</v>
      </c>
      <c r="R64" s="143">
        <v>1</v>
      </c>
      <c r="S64" s="145">
        <v>3795</v>
      </c>
      <c r="T64" s="2"/>
      <c r="U64" s="126">
        <v>11.763999999999999</v>
      </c>
      <c r="V64" s="142">
        <v>9.9999999999999995E-7</v>
      </c>
      <c r="W64" s="142">
        <v>3.17017904373878E-2</v>
      </c>
      <c r="X64" s="142">
        <v>6.39232645015831E-4</v>
      </c>
    </row>
    <row r="65" spans="1:24">
      <c r="A65" s="3">
        <v>382</v>
      </c>
      <c r="B65" s="3">
        <v>7635</v>
      </c>
      <c r="C65" s="3" t="s">
        <v>1677</v>
      </c>
      <c r="D65" s="3" t="s">
        <v>1678</v>
      </c>
      <c r="E65" s="3" t="s">
        <v>181</v>
      </c>
      <c r="F65" s="3" t="s">
        <v>1679</v>
      </c>
      <c r="G65" s="3" t="s">
        <v>1680</v>
      </c>
      <c r="H65" s="3" t="s">
        <v>184</v>
      </c>
      <c r="I65" s="3" t="s">
        <v>941</v>
      </c>
      <c r="J65" s="3" t="s">
        <v>85</v>
      </c>
      <c r="K65" s="3" t="s">
        <v>94</v>
      </c>
      <c r="L65" s="2" t="s">
        <v>337</v>
      </c>
      <c r="M65" s="2" t="s">
        <v>356</v>
      </c>
      <c r="N65" s="3" t="s">
        <v>557</v>
      </c>
      <c r="O65" s="3" t="s">
        <v>144</v>
      </c>
      <c r="P65" s="3" t="s">
        <v>89</v>
      </c>
      <c r="Q65" s="126">
        <v>30</v>
      </c>
      <c r="R65" s="143">
        <v>3.6469999999999998</v>
      </c>
      <c r="S65" s="145">
        <v>13429</v>
      </c>
      <c r="T65" s="2"/>
      <c r="U65" s="126">
        <v>14.693</v>
      </c>
      <c r="V65" s="142">
        <v>0</v>
      </c>
      <c r="W65" s="142">
        <v>3.95923252525585E-2</v>
      </c>
      <c r="X65" s="142">
        <v>7.9833682717402705E-4</v>
      </c>
    </row>
    <row r="66" spans="1:24">
      <c r="A66" s="3">
        <v>382</v>
      </c>
      <c r="B66" s="3">
        <v>9479</v>
      </c>
      <c r="C66" s="3" t="s">
        <v>1510</v>
      </c>
      <c r="D66" s="3" t="s">
        <v>1511</v>
      </c>
      <c r="E66" s="3" t="s">
        <v>1322</v>
      </c>
      <c r="F66" s="3" t="s">
        <v>1512</v>
      </c>
      <c r="G66" s="3" t="s">
        <v>1513</v>
      </c>
      <c r="H66" s="3" t="s">
        <v>184</v>
      </c>
      <c r="I66" s="3" t="s">
        <v>941</v>
      </c>
      <c r="J66" s="3" t="s">
        <v>30</v>
      </c>
      <c r="K66" s="3" t="s">
        <v>30</v>
      </c>
      <c r="L66" s="2" t="s">
        <v>337</v>
      </c>
      <c r="M66" s="2" t="s">
        <v>44</v>
      </c>
      <c r="N66" s="3" t="s">
        <v>454</v>
      </c>
      <c r="O66" s="3" t="s">
        <v>144</v>
      </c>
      <c r="P66" s="3" t="s">
        <v>34</v>
      </c>
      <c r="Q66" s="126">
        <v>75</v>
      </c>
      <c r="R66" s="143">
        <v>1</v>
      </c>
      <c r="S66" s="145">
        <v>95300</v>
      </c>
      <c r="T66" s="125">
        <v>0.128</v>
      </c>
      <c r="U66" s="126">
        <v>71.602999999999994</v>
      </c>
      <c r="V66" s="142">
        <v>1.9999999999999999E-6</v>
      </c>
      <c r="W66" s="142">
        <v>7.4856178098777404E-3</v>
      </c>
      <c r="X66" s="142">
        <v>1.03356679967395E-3</v>
      </c>
    </row>
    <row r="67" spans="1:24">
      <c r="A67" s="3">
        <v>382</v>
      </c>
      <c r="B67" s="3">
        <v>9479</v>
      </c>
      <c r="C67" s="3" t="s">
        <v>1514</v>
      </c>
      <c r="D67" s="3" t="s">
        <v>1515</v>
      </c>
      <c r="E67" s="3" t="s">
        <v>1322</v>
      </c>
      <c r="F67" s="3" t="s">
        <v>1516</v>
      </c>
      <c r="G67" s="3" t="s">
        <v>1517</v>
      </c>
      <c r="H67" s="3" t="s">
        <v>184</v>
      </c>
      <c r="I67" s="3" t="s">
        <v>941</v>
      </c>
      <c r="J67" s="3" t="s">
        <v>30</v>
      </c>
      <c r="K67" s="3" t="s">
        <v>30</v>
      </c>
      <c r="L67" s="2" t="s">
        <v>337</v>
      </c>
      <c r="M67" s="2" t="s">
        <v>44</v>
      </c>
      <c r="N67" s="3" t="s">
        <v>472</v>
      </c>
      <c r="O67" s="3" t="s">
        <v>144</v>
      </c>
      <c r="P67" s="3" t="s">
        <v>34</v>
      </c>
      <c r="Q67" s="126">
        <v>10700</v>
      </c>
      <c r="R67" s="143">
        <v>1</v>
      </c>
      <c r="S67" s="145">
        <v>3040</v>
      </c>
      <c r="T67" s="2"/>
      <c r="U67" s="126">
        <v>325.27999999999997</v>
      </c>
      <c r="V67" s="142">
        <v>5.0000000000000002E-5</v>
      </c>
      <c r="W67" s="142">
        <v>3.4005700868102402E-2</v>
      </c>
      <c r="X67" s="142">
        <v>4.69529226706384E-3</v>
      </c>
    </row>
    <row r="68" spans="1:24">
      <c r="A68" s="3">
        <v>382</v>
      </c>
      <c r="B68" s="3">
        <v>9479</v>
      </c>
      <c r="C68" s="3" t="s">
        <v>1518</v>
      </c>
      <c r="D68" s="3" t="s">
        <v>1519</v>
      </c>
      <c r="E68" s="3" t="s">
        <v>1322</v>
      </c>
      <c r="F68" s="3" t="s">
        <v>1520</v>
      </c>
      <c r="G68" s="3" t="s">
        <v>1521</v>
      </c>
      <c r="H68" s="3" t="s">
        <v>184</v>
      </c>
      <c r="I68" s="3" t="s">
        <v>941</v>
      </c>
      <c r="J68" s="3" t="s">
        <v>30</v>
      </c>
      <c r="K68" s="3" t="s">
        <v>30</v>
      </c>
      <c r="L68" s="2" t="s">
        <v>337</v>
      </c>
      <c r="M68" s="2" t="s">
        <v>44</v>
      </c>
      <c r="N68" s="3" t="s">
        <v>472</v>
      </c>
      <c r="O68" s="3" t="s">
        <v>144</v>
      </c>
      <c r="P68" s="3" t="s">
        <v>34</v>
      </c>
      <c r="Q68" s="126">
        <v>8400</v>
      </c>
      <c r="R68" s="143">
        <v>1</v>
      </c>
      <c r="S68" s="145">
        <v>2064</v>
      </c>
      <c r="T68" s="2"/>
      <c r="U68" s="126">
        <v>173.376</v>
      </c>
      <c r="V68" s="142">
        <v>1.8E-5</v>
      </c>
      <c r="W68" s="142">
        <v>1.8125222558128699E-2</v>
      </c>
      <c r="X68" s="142">
        <v>2.5026161832712099E-3</v>
      </c>
    </row>
    <row r="69" spans="1:24">
      <c r="A69" s="3">
        <v>382</v>
      </c>
      <c r="B69" s="3">
        <v>9479</v>
      </c>
      <c r="C69" s="3" t="s">
        <v>1522</v>
      </c>
      <c r="D69" s="3" t="s">
        <v>1523</v>
      </c>
      <c r="E69" s="3" t="s">
        <v>1322</v>
      </c>
      <c r="F69" s="3" t="s">
        <v>1524</v>
      </c>
      <c r="G69" s="3" t="s">
        <v>1525</v>
      </c>
      <c r="H69" s="3" t="s">
        <v>184</v>
      </c>
      <c r="I69" s="3" t="s">
        <v>941</v>
      </c>
      <c r="J69" s="3" t="s">
        <v>30</v>
      </c>
      <c r="K69" s="3" t="s">
        <v>94</v>
      </c>
      <c r="L69" s="2" t="s">
        <v>337</v>
      </c>
      <c r="M69" s="2" t="s">
        <v>44</v>
      </c>
      <c r="N69" s="3" t="s">
        <v>449</v>
      </c>
      <c r="O69" s="3" t="s">
        <v>144</v>
      </c>
      <c r="P69" s="3" t="s">
        <v>34</v>
      </c>
      <c r="Q69" s="126">
        <v>3794.1</v>
      </c>
      <c r="R69" s="143">
        <v>1</v>
      </c>
      <c r="S69" s="145">
        <v>6305</v>
      </c>
      <c r="T69" s="2"/>
      <c r="U69" s="126">
        <v>239.21799999999999</v>
      </c>
      <c r="V69" s="142">
        <v>3.1999999999999999E-5</v>
      </c>
      <c r="W69" s="142">
        <v>2.5008533940894698E-2</v>
      </c>
      <c r="X69" s="142">
        <v>3.4530203179381999E-3</v>
      </c>
    </row>
    <row r="70" spans="1:24">
      <c r="A70" s="3">
        <v>382</v>
      </c>
      <c r="B70" s="3">
        <v>9479</v>
      </c>
      <c r="C70" s="3" t="s">
        <v>1526</v>
      </c>
      <c r="D70" s="3" t="s">
        <v>1527</v>
      </c>
      <c r="E70" s="3" t="s">
        <v>1322</v>
      </c>
      <c r="F70" s="3" t="s">
        <v>1528</v>
      </c>
      <c r="G70" s="3" t="s">
        <v>1529</v>
      </c>
      <c r="H70" s="3" t="s">
        <v>184</v>
      </c>
      <c r="I70" s="3" t="s">
        <v>941</v>
      </c>
      <c r="J70" s="3" t="s">
        <v>30</v>
      </c>
      <c r="K70" s="3" t="s">
        <v>30</v>
      </c>
      <c r="L70" s="2" t="s">
        <v>337</v>
      </c>
      <c r="M70" s="2" t="s">
        <v>44</v>
      </c>
      <c r="N70" s="3" t="s">
        <v>449</v>
      </c>
      <c r="O70" s="3" t="s">
        <v>144</v>
      </c>
      <c r="P70" s="3" t="s">
        <v>34</v>
      </c>
      <c r="Q70" s="126">
        <v>20520</v>
      </c>
      <c r="R70" s="143">
        <v>1</v>
      </c>
      <c r="S70" s="145">
        <v>1250</v>
      </c>
      <c r="T70" s="2"/>
      <c r="U70" s="126">
        <v>256.5</v>
      </c>
      <c r="V70" s="142">
        <v>3.6999999999999998E-5</v>
      </c>
      <c r="W70" s="142">
        <v>2.6815243091085399E-2</v>
      </c>
      <c r="X70" s="142">
        <v>3.7024792993786098E-3</v>
      </c>
    </row>
    <row r="71" spans="1:24">
      <c r="A71" s="3">
        <v>382</v>
      </c>
      <c r="B71" s="3">
        <v>9479</v>
      </c>
      <c r="C71" s="3" t="s">
        <v>1530</v>
      </c>
      <c r="D71" s="3" t="s">
        <v>1531</v>
      </c>
      <c r="E71" s="3" t="s">
        <v>1322</v>
      </c>
      <c r="F71" s="3" t="s">
        <v>1532</v>
      </c>
      <c r="G71" s="3" t="s">
        <v>1533</v>
      </c>
      <c r="H71" s="3" t="s">
        <v>184</v>
      </c>
      <c r="I71" s="3" t="s">
        <v>941</v>
      </c>
      <c r="J71" s="3" t="s">
        <v>30</v>
      </c>
      <c r="K71" s="3" t="s">
        <v>30</v>
      </c>
      <c r="L71" s="2" t="s">
        <v>337</v>
      </c>
      <c r="M71" s="2" t="s">
        <v>44</v>
      </c>
      <c r="N71" s="3" t="s">
        <v>455</v>
      </c>
      <c r="O71" s="3" t="s">
        <v>144</v>
      </c>
      <c r="P71" s="3" t="s">
        <v>34</v>
      </c>
      <c r="Q71" s="126">
        <v>389</v>
      </c>
      <c r="R71" s="143">
        <v>1</v>
      </c>
      <c r="S71" s="145">
        <v>27280</v>
      </c>
      <c r="T71" s="2"/>
      <c r="U71" s="126">
        <v>106.119</v>
      </c>
      <c r="V71" s="142">
        <v>3.1000000000000001E-5</v>
      </c>
      <c r="W71" s="142">
        <v>1.1094004462501E-2</v>
      </c>
      <c r="X71" s="142">
        <v>1.5317900244312601E-3</v>
      </c>
    </row>
    <row r="72" spans="1:24">
      <c r="A72" s="3">
        <v>382</v>
      </c>
      <c r="B72" s="3">
        <v>9479</v>
      </c>
      <c r="C72" s="3" t="s">
        <v>1534</v>
      </c>
      <c r="D72" s="3" t="s">
        <v>1535</v>
      </c>
      <c r="E72" s="3" t="s">
        <v>1322</v>
      </c>
      <c r="F72" s="3" t="s">
        <v>1536</v>
      </c>
      <c r="G72" s="3" t="s">
        <v>1537</v>
      </c>
      <c r="H72" s="3" t="s">
        <v>184</v>
      </c>
      <c r="I72" s="3" t="s">
        <v>941</v>
      </c>
      <c r="J72" s="3" t="s">
        <v>30</v>
      </c>
      <c r="K72" s="3" t="s">
        <v>30</v>
      </c>
      <c r="L72" s="2" t="s">
        <v>337</v>
      </c>
      <c r="M72" s="2" t="s">
        <v>44</v>
      </c>
      <c r="N72" s="3" t="s">
        <v>493</v>
      </c>
      <c r="O72" s="3" t="s">
        <v>144</v>
      </c>
      <c r="P72" s="3" t="s">
        <v>34</v>
      </c>
      <c r="Q72" s="126">
        <v>69325</v>
      </c>
      <c r="R72" s="143">
        <v>1</v>
      </c>
      <c r="S72" s="145">
        <v>519</v>
      </c>
      <c r="T72" s="2"/>
      <c r="U72" s="126">
        <v>359.79700000000003</v>
      </c>
      <c r="V72" s="142">
        <v>2.5000000000000001E-5</v>
      </c>
      <c r="W72" s="142">
        <v>3.7614180563869302E-2</v>
      </c>
      <c r="X72" s="142">
        <v>5.1935283386304199E-3</v>
      </c>
    </row>
    <row r="73" spans="1:24">
      <c r="A73" s="3">
        <v>382</v>
      </c>
      <c r="B73" s="3">
        <v>9479</v>
      </c>
      <c r="C73" s="3" t="s">
        <v>1542</v>
      </c>
      <c r="D73" s="3" t="s">
        <v>1543</v>
      </c>
      <c r="E73" s="3" t="s">
        <v>1322</v>
      </c>
      <c r="F73" s="3" t="s">
        <v>1544</v>
      </c>
      <c r="G73" s="3" t="s">
        <v>1545</v>
      </c>
      <c r="H73" s="3" t="s">
        <v>184</v>
      </c>
      <c r="I73" s="3" t="s">
        <v>941</v>
      </c>
      <c r="J73" s="3" t="s">
        <v>30</v>
      </c>
      <c r="K73" s="3" t="s">
        <v>30</v>
      </c>
      <c r="L73" s="2" t="s">
        <v>337</v>
      </c>
      <c r="M73" s="2" t="s">
        <v>44</v>
      </c>
      <c r="N73" s="3" t="s">
        <v>456</v>
      </c>
      <c r="O73" s="3" t="s">
        <v>144</v>
      </c>
      <c r="P73" s="3" t="s">
        <v>34</v>
      </c>
      <c r="Q73" s="126">
        <v>21834</v>
      </c>
      <c r="R73" s="143">
        <v>1</v>
      </c>
      <c r="S73" s="145">
        <v>2492</v>
      </c>
      <c r="T73" s="2"/>
      <c r="U73" s="126">
        <v>544.10299999999995</v>
      </c>
      <c r="V73" s="142">
        <v>1.8E-5</v>
      </c>
      <c r="W73" s="142">
        <v>5.6882111968252998E-2</v>
      </c>
      <c r="X73" s="142">
        <v>7.8539225377154201E-3</v>
      </c>
    </row>
    <row r="74" spans="1:24">
      <c r="A74" s="3">
        <v>382</v>
      </c>
      <c r="B74" s="3">
        <v>9479</v>
      </c>
      <c r="C74" s="3" t="s">
        <v>1546</v>
      </c>
      <c r="D74" s="3" t="s">
        <v>1547</v>
      </c>
      <c r="E74" s="3" t="s">
        <v>1322</v>
      </c>
      <c r="F74" s="3" t="s">
        <v>1548</v>
      </c>
      <c r="G74" s="3" t="s">
        <v>1549</v>
      </c>
      <c r="H74" s="3" t="s">
        <v>184</v>
      </c>
      <c r="I74" s="3" t="s">
        <v>941</v>
      </c>
      <c r="J74" s="3" t="s">
        <v>30</v>
      </c>
      <c r="K74" s="3" t="s">
        <v>30</v>
      </c>
      <c r="L74" s="2" t="s">
        <v>337</v>
      </c>
      <c r="M74" s="2" t="s">
        <v>44</v>
      </c>
      <c r="N74" s="3" t="s">
        <v>455</v>
      </c>
      <c r="O74" s="3" t="s">
        <v>144</v>
      </c>
      <c r="P74" s="3" t="s">
        <v>34</v>
      </c>
      <c r="Q74" s="126">
        <v>553</v>
      </c>
      <c r="R74" s="143">
        <v>1</v>
      </c>
      <c r="S74" s="145">
        <v>36080</v>
      </c>
      <c r="T74" s="2"/>
      <c r="U74" s="126">
        <v>199.52199999999999</v>
      </c>
      <c r="V74" s="142">
        <v>2.5999999999999998E-5</v>
      </c>
      <c r="W74" s="142">
        <v>2.08586419419757E-2</v>
      </c>
      <c r="X74" s="142">
        <v>2.88002945716312E-3</v>
      </c>
    </row>
    <row r="75" spans="1:24">
      <c r="A75" s="3">
        <v>382</v>
      </c>
      <c r="B75" s="3">
        <v>9479</v>
      </c>
      <c r="C75" s="3" t="s">
        <v>1550</v>
      </c>
      <c r="D75" s="3" t="s">
        <v>1551</v>
      </c>
      <c r="E75" s="3" t="s">
        <v>1322</v>
      </c>
      <c r="F75" s="3" t="s">
        <v>1552</v>
      </c>
      <c r="G75" s="3" t="s">
        <v>1553</v>
      </c>
      <c r="H75" s="3" t="s">
        <v>184</v>
      </c>
      <c r="I75" s="3" t="s">
        <v>941</v>
      </c>
      <c r="J75" s="3" t="s">
        <v>30</v>
      </c>
      <c r="K75" s="3" t="s">
        <v>30</v>
      </c>
      <c r="L75" s="2" t="s">
        <v>337</v>
      </c>
      <c r="M75" s="2" t="s">
        <v>44</v>
      </c>
      <c r="N75" s="3" t="s">
        <v>453</v>
      </c>
      <c r="O75" s="3" t="s">
        <v>144</v>
      </c>
      <c r="P75" s="3" t="s">
        <v>34</v>
      </c>
      <c r="Q75" s="126">
        <v>2895</v>
      </c>
      <c r="R75" s="143">
        <v>1</v>
      </c>
      <c r="S75" s="145">
        <v>5318</v>
      </c>
      <c r="T75" s="2"/>
      <c r="U75" s="126">
        <v>153.95599999999999</v>
      </c>
      <c r="V75" s="142">
        <v>1.1E-5</v>
      </c>
      <c r="W75" s="142">
        <v>1.6095010708988101E-2</v>
      </c>
      <c r="X75" s="142">
        <v>2.22229736164937E-3</v>
      </c>
    </row>
    <row r="76" spans="1:24">
      <c r="A76" s="3">
        <v>382</v>
      </c>
      <c r="B76" s="3">
        <v>9479</v>
      </c>
      <c r="C76" s="3" t="s">
        <v>1554</v>
      </c>
      <c r="D76" s="3" t="s">
        <v>1555</v>
      </c>
      <c r="E76" s="3" t="s">
        <v>1322</v>
      </c>
      <c r="F76" s="3" t="s">
        <v>1556</v>
      </c>
      <c r="G76" s="3" t="s">
        <v>1557</v>
      </c>
      <c r="H76" s="3" t="s">
        <v>184</v>
      </c>
      <c r="I76" s="3" t="s">
        <v>941</v>
      </c>
      <c r="J76" s="3" t="s">
        <v>30</v>
      </c>
      <c r="K76" s="3" t="s">
        <v>94</v>
      </c>
      <c r="L76" s="2" t="s">
        <v>337</v>
      </c>
      <c r="M76" s="2" t="s">
        <v>44</v>
      </c>
      <c r="N76" s="3" t="s">
        <v>475</v>
      </c>
      <c r="O76" s="3" t="s">
        <v>144</v>
      </c>
      <c r="P76" s="3" t="s">
        <v>34</v>
      </c>
      <c r="Q76" s="126">
        <v>3200</v>
      </c>
      <c r="R76" s="143">
        <v>1</v>
      </c>
      <c r="S76" s="145">
        <v>8101</v>
      </c>
      <c r="T76" s="2"/>
      <c r="U76" s="126">
        <v>259.23200000000003</v>
      </c>
      <c r="V76" s="142">
        <v>3.0000000000000001E-6</v>
      </c>
      <c r="W76" s="142">
        <v>2.7100854179291398E-2</v>
      </c>
      <c r="X76" s="142">
        <v>3.7419146734367099E-3</v>
      </c>
    </row>
    <row r="77" spans="1:24">
      <c r="A77" s="3">
        <v>382</v>
      </c>
      <c r="B77" s="3">
        <v>9479</v>
      </c>
      <c r="C77" s="3" t="s">
        <v>1558</v>
      </c>
      <c r="D77" s="3" t="s">
        <v>1559</v>
      </c>
      <c r="E77" s="3" t="s">
        <v>1322</v>
      </c>
      <c r="F77" s="3" t="s">
        <v>1560</v>
      </c>
      <c r="G77" s="3" t="s">
        <v>1561</v>
      </c>
      <c r="H77" s="3" t="s">
        <v>184</v>
      </c>
      <c r="I77" s="3" t="s">
        <v>941</v>
      </c>
      <c r="J77" s="3" t="s">
        <v>30</v>
      </c>
      <c r="K77" s="3" t="s">
        <v>30</v>
      </c>
      <c r="L77" s="2" t="s">
        <v>337</v>
      </c>
      <c r="M77" s="2" t="s">
        <v>44</v>
      </c>
      <c r="N77" s="3" t="s">
        <v>484</v>
      </c>
      <c r="O77" s="3" t="s">
        <v>144</v>
      </c>
      <c r="P77" s="3" t="s">
        <v>34</v>
      </c>
      <c r="Q77" s="126">
        <v>3750</v>
      </c>
      <c r="R77" s="143">
        <v>1</v>
      </c>
      <c r="S77" s="145">
        <v>500.5</v>
      </c>
      <c r="T77" s="2"/>
      <c r="U77" s="126">
        <v>18.768999999999998</v>
      </c>
      <c r="V77" s="142">
        <v>3.0000000000000001E-5</v>
      </c>
      <c r="W77" s="142">
        <v>1.9621387671181602E-3</v>
      </c>
      <c r="X77" s="142">
        <v>2.7091972066359602E-4</v>
      </c>
    </row>
    <row r="78" spans="1:24">
      <c r="A78" s="3">
        <v>382</v>
      </c>
      <c r="B78" s="3">
        <v>9479</v>
      </c>
      <c r="C78" s="3" t="s">
        <v>1562</v>
      </c>
      <c r="D78" s="3" t="s">
        <v>1563</v>
      </c>
      <c r="E78" s="3" t="s">
        <v>1322</v>
      </c>
      <c r="F78" s="3" t="s">
        <v>1564</v>
      </c>
      <c r="G78" s="3" t="s">
        <v>1565</v>
      </c>
      <c r="H78" s="3" t="s">
        <v>184</v>
      </c>
      <c r="I78" s="3" t="s">
        <v>941</v>
      </c>
      <c r="J78" s="3" t="s">
        <v>30</v>
      </c>
      <c r="K78" s="3" t="s">
        <v>30</v>
      </c>
      <c r="L78" s="2" t="s">
        <v>337</v>
      </c>
      <c r="M78" s="2" t="s">
        <v>44</v>
      </c>
      <c r="N78" s="3" t="s">
        <v>455</v>
      </c>
      <c r="O78" s="3" t="s">
        <v>144</v>
      </c>
      <c r="P78" s="3" t="s">
        <v>34</v>
      </c>
      <c r="Q78" s="126">
        <v>10800</v>
      </c>
      <c r="R78" s="143">
        <v>1</v>
      </c>
      <c r="S78" s="145">
        <v>1412</v>
      </c>
      <c r="T78" s="2"/>
      <c r="U78" s="126">
        <v>152.49600000000001</v>
      </c>
      <c r="V78" s="142">
        <v>3.3000000000000003E-5</v>
      </c>
      <c r="W78" s="142">
        <v>1.5942367681942099E-2</v>
      </c>
      <c r="X78" s="142">
        <v>2.2012213771463599E-3</v>
      </c>
    </row>
    <row r="79" spans="1:24">
      <c r="A79" s="3">
        <v>382</v>
      </c>
      <c r="B79" s="3">
        <v>9479</v>
      </c>
      <c r="C79" s="3" t="s">
        <v>1566</v>
      </c>
      <c r="D79" s="3" t="s">
        <v>1567</v>
      </c>
      <c r="E79" s="3" t="s">
        <v>1322</v>
      </c>
      <c r="F79" s="3" t="s">
        <v>1568</v>
      </c>
      <c r="G79" s="3" t="s">
        <v>1569</v>
      </c>
      <c r="H79" s="3" t="s">
        <v>184</v>
      </c>
      <c r="I79" s="3" t="s">
        <v>941</v>
      </c>
      <c r="J79" s="3" t="s">
        <v>30</v>
      </c>
      <c r="K79" s="3" t="s">
        <v>30</v>
      </c>
      <c r="L79" s="2" t="s">
        <v>337</v>
      </c>
      <c r="M79" s="2" t="s">
        <v>44</v>
      </c>
      <c r="N79" s="3" t="s">
        <v>453</v>
      </c>
      <c r="O79" s="3" t="s">
        <v>144</v>
      </c>
      <c r="P79" s="3" t="s">
        <v>34</v>
      </c>
      <c r="Q79" s="126">
        <v>2100</v>
      </c>
      <c r="R79" s="143">
        <v>1</v>
      </c>
      <c r="S79" s="145">
        <v>8570</v>
      </c>
      <c r="T79" s="2"/>
      <c r="U79" s="126">
        <v>179.97</v>
      </c>
      <c r="V79" s="142">
        <v>2.5999999999999998E-5</v>
      </c>
      <c r="W79" s="142">
        <v>1.8814578164142799E-2</v>
      </c>
      <c r="X79" s="142">
        <v>2.5977980487686902E-3</v>
      </c>
    </row>
    <row r="80" spans="1:24">
      <c r="A80" s="3">
        <v>382</v>
      </c>
      <c r="B80" s="3">
        <v>9479</v>
      </c>
      <c r="C80" s="3" t="s">
        <v>1177</v>
      </c>
      <c r="D80" s="3" t="s">
        <v>1570</v>
      </c>
      <c r="E80" s="3" t="s">
        <v>1322</v>
      </c>
      <c r="F80" s="3" t="s">
        <v>1302</v>
      </c>
      <c r="G80" s="3" t="s">
        <v>1571</v>
      </c>
      <c r="H80" s="3" t="s">
        <v>184</v>
      </c>
      <c r="I80" s="3" t="s">
        <v>941</v>
      </c>
      <c r="J80" s="3" t="s">
        <v>30</v>
      </c>
      <c r="K80" s="3" t="s">
        <v>30</v>
      </c>
      <c r="L80" s="2" t="s">
        <v>337</v>
      </c>
      <c r="M80" s="2" t="s">
        <v>44</v>
      </c>
      <c r="N80" s="3" t="s">
        <v>456</v>
      </c>
      <c r="O80" s="3" t="s">
        <v>144</v>
      </c>
      <c r="P80" s="3" t="s">
        <v>34</v>
      </c>
      <c r="Q80" s="126">
        <v>17810</v>
      </c>
      <c r="R80" s="143">
        <v>1</v>
      </c>
      <c r="S80" s="145">
        <v>4335</v>
      </c>
      <c r="T80" s="2"/>
      <c r="U80" s="126">
        <v>772.06299999999999</v>
      </c>
      <c r="V80" s="142">
        <v>1.1E-5</v>
      </c>
      <c r="W80" s="142">
        <v>8.0713724889880004E-2</v>
      </c>
      <c r="X80" s="142">
        <v>1.11444410392039E-2</v>
      </c>
    </row>
    <row r="81" spans="1:24">
      <c r="A81" s="3">
        <v>382</v>
      </c>
      <c r="B81" s="3">
        <v>9479</v>
      </c>
      <c r="C81" s="3" t="s">
        <v>1572</v>
      </c>
      <c r="D81" s="3" t="s">
        <v>1573</v>
      </c>
      <c r="E81" s="3" t="s">
        <v>1322</v>
      </c>
      <c r="F81" s="3" t="s">
        <v>1574</v>
      </c>
      <c r="G81" s="3" t="s">
        <v>1575</v>
      </c>
      <c r="H81" s="3" t="s">
        <v>184</v>
      </c>
      <c r="I81" s="3" t="s">
        <v>941</v>
      </c>
      <c r="J81" s="3" t="s">
        <v>30</v>
      </c>
      <c r="K81" s="3" t="s">
        <v>30</v>
      </c>
      <c r="L81" s="2" t="s">
        <v>337</v>
      </c>
      <c r="M81" s="2" t="s">
        <v>44</v>
      </c>
      <c r="N81" s="3" t="s">
        <v>487</v>
      </c>
      <c r="O81" s="3" t="s">
        <v>144</v>
      </c>
      <c r="P81" s="3" t="s">
        <v>34</v>
      </c>
      <c r="Q81" s="126">
        <v>3000</v>
      </c>
      <c r="R81" s="143">
        <v>1</v>
      </c>
      <c r="S81" s="145">
        <v>1490</v>
      </c>
      <c r="T81" s="2"/>
      <c r="U81" s="126">
        <v>44.7</v>
      </c>
      <c r="V81" s="142">
        <v>4.1999999999999998E-5</v>
      </c>
      <c r="W81" s="142">
        <v>4.6730657550546504E-3</v>
      </c>
      <c r="X81" s="142">
        <v>6.4522738667533699E-4</v>
      </c>
    </row>
    <row r="82" spans="1:24">
      <c r="A82" s="3">
        <v>382</v>
      </c>
      <c r="B82" s="3">
        <v>9479</v>
      </c>
      <c r="C82" s="3" t="s">
        <v>1576</v>
      </c>
      <c r="D82" s="3" t="s">
        <v>1577</v>
      </c>
      <c r="E82" s="3" t="s">
        <v>1322</v>
      </c>
      <c r="F82" s="3" t="s">
        <v>1578</v>
      </c>
      <c r="G82" s="3" t="s">
        <v>1579</v>
      </c>
      <c r="H82" s="3" t="s">
        <v>184</v>
      </c>
      <c r="I82" s="3" t="s">
        <v>941</v>
      </c>
      <c r="J82" s="3" t="s">
        <v>30</v>
      </c>
      <c r="K82" s="3" t="s">
        <v>30</v>
      </c>
      <c r="L82" s="2" t="s">
        <v>337</v>
      </c>
      <c r="M82" s="2" t="s">
        <v>44</v>
      </c>
      <c r="N82" s="3" t="s">
        <v>456</v>
      </c>
      <c r="O82" s="3" t="s">
        <v>144</v>
      </c>
      <c r="P82" s="3" t="s">
        <v>34</v>
      </c>
      <c r="Q82" s="126">
        <v>1972</v>
      </c>
      <c r="R82" s="143">
        <v>1</v>
      </c>
      <c r="S82" s="145">
        <v>15760</v>
      </c>
      <c r="T82" s="2"/>
      <c r="U82" s="126">
        <v>310.78699999999998</v>
      </c>
      <c r="V82" s="142">
        <v>7.9999999999999996E-6</v>
      </c>
      <c r="W82" s="142">
        <v>3.2490582134884101E-2</v>
      </c>
      <c r="X82" s="142">
        <v>4.4860942476095201E-3</v>
      </c>
    </row>
    <row r="83" spans="1:24">
      <c r="A83" s="3">
        <v>382</v>
      </c>
      <c r="B83" s="3">
        <v>9479</v>
      </c>
      <c r="C83" s="3" t="s">
        <v>1580</v>
      </c>
      <c r="D83" s="3" t="s">
        <v>1581</v>
      </c>
      <c r="E83" s="3" t="s">
        <v>1322</v>
      </c>
      <c r="F83" s="3" t="s">
        <v>1582</v>
      </c>
      <c r="G83" s="3" t="s">
        <v>1583</v>
      </c>
      <c r="H83" s="3" t="s">
        <v>184</v>
      </c>
      <c r="I83" s="3" t="s">
        <v>941</v>
      </c>
      <c r="J83" s="3" t="s">
        <v>30</v>
      </c>
      <c r="K83" s="3" t="s">
        <v>30</v>
      </c>
      <c r="L83" s="2" t="s">
        <v>337</v>
      </c>
      <c r="M83" s="2" t="s">
        <v>44</v>
      </c>
      <c r="N83" s="3" t="s">
        <v>485</v>
      </c>
      <c r="O83" s="3" t="s">
        <v>144</v>
      </c>
      <c r="P83" s="3" t="s">
        <v>34</v>
      </c>
      <c r="Q83" s="126">
        <v>1355</v>
      </c>
      <c r="R83" s="143">
        <v>1</v>
      </c>
      <c r="S83" s="145">
        <v>8550</v>
      </c>
      <c r="T83" s="125">
        <v>1.0209999999999999</v>
      </c>
      <c r="U83" s="126">
        <v>116.874</v>
      </c>
      <c r="V83" s="142">
        <v>2.0999999999999999E-5</v>
      </c>
      <c r="W83" s="142">
        <v>1.2218321083738401E-2</v>
      </c>
      <c r="X83" s="142">
        <v>1.68702855804958E-3</v>
      </c>
    </row>
    <row r="84" spans="1:24">
      <c r="A84" s="3">
        <v>382</v>
      </c>
      <c r="B84" s="3">
        <v>9479</v>
      </c>
      <c r="C84" s="3" t="s">
        <v>1584</v>
      </c>
      <c r="D84" s="3" t="s">
        <v>1585</v>
      </c>
      <c r="E84" s="3" t="s">
        <v>1322</v>
      </c>
      <c r="F84" s="3" t="s">
        <v>1586</v>
      </c>
      <c r="G84" s="3" t="s">
        <v>1587</v>
      </c>
      <c r="H84" s="3" t="s">
        <v>184</v>
      </c>
      <c r="I84" s="3" t="s">
        <v>941</v>
      </c>
      <c r="J84" s="3" t="s">
        <v>30</v>
      </c>
      <c r="K84" s="3" t="s">
        <v>30</v>
      </c>
      <c r="L84" s="2" t="s">
        <v>337</v>
      </c>
      <c r="M84" s="2" t="s">
        <v>44</v>
      </c>
      <c r="N84" s="3" t="s">
        <v>472</v>
      </c>
      <c r="O84" s="3" t="s">
        <v>144</v>
      </c>
      <c r="P84" s="3" t="s">
        <v>34</v>
      </c>
      <c r="Q84" s="126">
        <v>1225</v>
      </c>
      <c r="R84" s="143">
        <v>1</v>
      </c>
      <c r="S84" s="145">
        <v>32400</v>
      </c>
      <c r="T84" s="2"/>
      <c r="U84" s="126">
        <v>396.9</v>
      </c>
      <c r="V84" s="142">
        <v>2.5999999999999998E-5</v>
      </c>
      <c r="W84" s="142">
        <v>4.14930603619953E-2</v>
      </c>
      <c r="X84" s="142">
        <v>5.72909954745954E-3</v>
      </c>
    </row>
    <row r="85" spans="1:24">
      <c r="A85" s="3">
        <v>382</v>
      </c>
      <c r="B85" s="3">
        <v>9479</v>
      </c>
      <c r="C85" s="3" t="s">
        <v>1588</v>
      </c>
      <c r="D85" s="3" t="s">
        <v>1589</v>
      </c>
      <c r="E85" s="3" t="s">
        <v>1322</v>
      </c>
      <c r="F85" s="3" t="s">
        <v>1590</v>
      </c>
      <c r="G85" s="3" t="s">
        <v>1591</v>
      </c>
      <c r="H85" s="3" t="s">
        <v>184</v>
      </c>
      <c r="I85" s="3" t="s">
        <v>941</v>
      </c>
      <c r="J85" s="3" t="s">
        <v>30</v>
      </c>
      <c r="K85" s="3" t="s">
        <v>30</v>
      </c>
      <c r="L85" s="2" t="s">
        <v>337</v>
      </c>
      <c r="M85" s="2" t="s">
        <v>44</v>
      </c>
      <c r="N85" s="3" t="s">
        <v>472</v>
      </c>
      <c r="O85" s="3" t="s">
        <v>144</v>
      </c>
      <c r="P85" s="3" t="s">
        <v>34</v>
      </c>
      <c r="Q85" s="126">
        <v>23600</v>
      </c>
      <c r="R85" s="143">
        <v>1</v>
      </c>
      <c r="S85" s="145">
        <v>198</v>
      </c>
      <c r="T85" s="2"/>
      <c r="U85" s="126">
        <v>46.728000000000002</v>
      </c>
      <c r="V85" s="142">
        <v>3.1000000000000001E-5</v>
      </c>
      <c r="W85" s="142">
        <v>4.88507867119001E-3</v>
      </c>
      <c r="X85" s="142">
        <v>6.74500790258728E-4</v>
      </c>
    </row>
    <row r="86" spans="1:24">
      <c r="A86" s="3">
        <v>382</v>
      </c>
      <c r="B86" s="3">
        <v>9479</v>
      </c>
      <c r="C86" s="3" t="s">
        <v>1592</v>
      </c>
      <c r="D86" s="3" t="s">
        <v>1593</v>
      </c>
      <c r="E86" s="3" t="s">
        <v>324</v>
      </c>
      <c r="F86" s="3" t="s">
        <v>1594</v>
      </c>
      <c r="G86" s="3" t="s">
        <v>1595</v>
      </c>
      <c r="H86" s="3" t="s">
        <v>184</v>
      </c>
      <c r="I86" s="3" t="s">
        <v>941</v>
      </c>
      <c r="J86" s="3" t="s">
        <v>30</v>
      </c>
      <c r="K86" s="3" t="s">
        <v>94</v>
      </c>
      <c r="L86" s="2" t="s">
        <v>337</v>
      </c>
      <c r="M86" s="2" t="s">
        <v>44</v>
      </c>
      <c r="N86" s="3" t="s">
        <v>462</v>
      </c>
      <c r="O86" s="3" t="s">
        <v>144</v>
      </c>
      <c r="P86" s="3" t="s">
        <v>34</v>
      </c>
      <c r="Q86" s="126">
        <v>3993</v>
      </c>
      <c r="R86" s="143">
        <v>1</v>
      </c>
      <c r="S86" s="145">
        <v>7320</v>
      </c>
      <c r="T86" s="2"/>
      <c r="U86" s="126">
        <v>292.28800000000001</v>
      </c>
      <c r="V86" s="142">
        <v>4.0000000000000003E-5</v>
      </c>
      <c r="W86" s="142">
        <v>3.0556581078011399E-2</v>
      </c>
      <c r="X86" s="142">
        <v>4.2190596041522697E-3</v>
      </c>
    </row>
    <row r="87" spans="1:24">
      <c r="A87" s="3">
        <v>382</v>
      </c>
      <c r="B87" s="3">
        <v>9479</v>
      </c>
      <c r="C87" s="3" t="s">
        <v>1673</v>
      </c>
      <c r="D87" s="3" t="s">
        <v>1674</v>
      </c>
      <c r="E87" s="3" t="s">
        <v>1322</v>
      </c>
      <c r="F87" s="3" t="s">
        <v>1696</v>
      </c>
      <c r="G87" s="3" t="s">
        <v>1676</v>
      </c>
      <c r="H87" s="3" t="s">
        <v>184</v>
      </c>
      <c r="I87" s="3" t="s">
        <v>941</v>
      </c>
      <c r="J87" s="3" t="s">
        <v>30</v>
      </c>
      <c r="K87" s="3" t="s">
        <v>310</v>
      </c>
      <c r="L87" s="2" t="s">
        <v>337</v>
      </c>
      <c r="M87" s="2" t="s">
        <v>44</v>
      </c>
      <c r="N87" s="3" t="s">
        <v>466</v>
      </c>
      <c r="O87" s="3" t="s">
        <v>144</v>
      </c>
      <c r="P87" s="3" t="s">
        <v>34</v>
      </c>
      <c r="Q87" s="126">
        <v>70</v>
      </c>
      <c r="R87" s="143">
        <v>1</v>
      </c>
      <c r="S87" s="145">
        <v>71910</v>
      </c>
      <c r="T87" s="2"/>
      <c r="U87" s="126">
        <v>50.337000000000003</v>
      </c>
      <c r="V87" s="142">
        <v>1.9999999999999999E-6</v>
      </c>
      <c r="W87" s="142">
        <v>5.2623738459102003E-3</v>
      </c>
      <c r="X87" s="142">
        <v>7.2659532355875695E-4</v>
      </c>
    </row>
    <row r="88" spans="1:24">
      <c r="A88" s="3">
        <v>382</v>
      </c>
      <c r="B88" s="3">
        <v>9479</v>
      </c>
      <c r="C88" s="3" t="s">
        <v>1596</v>
      </c>
      <c r="D88" s="3" t="s">
        <v>1597</v>
      </c>
      <c r="E88" s="3" t="s">
        <v>324</v>
      </c>
      <c r="F88" s="3" t="s">
        <v>1598</v>
      </c>
      <c r="G88" s="3" t="s">
        <v>1599</v>
      </c>
      <c r="H88" s="3" t="s">
        <v>184</v>
      </c>
      <c r="I88" s="3" t="s">
        <v>941</v>
      </c>
      <c r="J88" s="3" t="s">
        <v>30</v>
      </c>
      <c r="K88" s="3" t="s">
        <v>30</v>
      </c>
      <c r="L88" s="2" t="s">
        <v>337</v>
      </c>
      <c r="M88" s="2" t="s">
        <v>44</v>
      </c>
      <c r="N88" s="3" t="s">
        <v>462</v>
      </c>
      <c r="O88" s="3" t="s">
        <v>144</v>
      </c>
      <c r="P88" s="3" t="s">
        <v>34</v>
      </c>
      <c r="Q88" s="126">
        <v>7300</v>
      </c>
      <c r="R88" s="143">
        <v>1</v>
      </c>
      <c r="S88" s="145">
        <v>1114</v>
      </c>
      <c r="T88" s="2"/>
      <c r="U88" s="126">
        <v>81.322000000000003</v>
      </c>
      <c r="V88" s="142">
        <v>6.0000000000000002E-6</v>
      </c>
      <c r="W88" s="142">
        <v>8.5016343027417007E-3</v>
      </c>
      <c r="X88" s="142">
        <v>1.17385193600026E-3</v>
      </c>
    </row>
    <row r="89" spans="1:24">
      <c r="A89" s="3">
        <v>382</v>
      </c>
      <c r="B89" s="3">
        <v>9479</v>
      </c>
      <c r="C89" s="3" t="s">
        <v>1600</v>
      </c>
      <c r="D89" s="3" t="s">
        <v>1601</v>
      </c>
      <c r="E89" s="3" t="s">
        <v>1322</v>
      </c>
      <c r="F89" s="3" t="s">
        <v>1602</v>
      </c>
      <c r="G89" s="3" t="s">
        <v>1603</v>
      </c>
      <c r="H89" s="3" t="s">
        <v>184</v>
      </c>
      <c r="I89" s="3" t="s">
        <v>941</v>
      </c>
      <c r="J89" s="3" t="s">
        <v>30</v>
      </c>
      <c r="K89" s="3" t="s">
        <v>94</v>
      </c>
      <c r="L89" s="2" t="s">
        <v>337</v>
      </c>
      <c r="M89" s="2" t="s">
        <v>44</v>
      </c>
      <c r="N89" s="3" t="s">
        <v>489</v>
      </c>
      <c r="O89" s="3" t="s">
        <v>144</v>
      </c>
      <c r="P89" s="3" t="s">
        <v>34</v>
      </c>
      <c r="Q89" s="126">
        <v>543</v>
      </c>
      <c r="R89" s="143">
        <v>1</v>
      </c>
      <c r="S89" s="145">
        <v>62120</v>
      </c>
      <c r="T89" s="2"/>
      <c r="U89" s="126">
        <v>337.31200000000001</v>
      </c>
      <c r="V89" s="142">
        <v>6.9999999999999999E-6</v>
      </c>
      <c r="W89" s="142">
        <v>3.5263518719075897E-2</v>
      </c>
      <c r="X89" s="142">
        <v>4.8689638067847098E-3</v>
      </c>
    </row>
    <row r="90" spans="1:24">
      <c r="A90" s="3">
        <v>382</v>
      </c>
      <c r="B90" s="3">
        <v>9479</v>
      </c>
      <c r="C90" s="3" t="s">
        <v>1604</v>
      </c>
      <c r="D90" s="3" t="s">
        <v>1605</v>
      </c>
      <c r="E90" s="3" t="s">
        <v>1322</v>
      </c>
      <c r="F90" s="3" t="s">
        <v>1604</v>
      </c>
      <c r="G90" s="3" t="s">
        <v>1606</v>
      </c>
      <c r="H90" s="3" t="s">
        <v>184</v>
      </c>
      <c r="I90" s="3" t="s">
        <v>941</v>
      </c>
      <c r="J90" s="3" t="s">
        <v>30</v>
      </c>
      <c r="K90" s="3" t="s">
        <v>30</v>
      </c>
      <c r="L90" s="2" t="s">
        <v>337</v>
      </c>
      <c r="M90" s="2" t="s">
        <v>44</v>
      </c>
      <c r="N90" s="3" t="s">
        <v>447</v>
      </c>
      <c r="O90" s="3" t="s">
        <v>144</v>
      </c>
      <c r="P90" s="3" t="s">
        <v>34</v>
      </c>
      <c r="Q90" s="126">
        <v>4500</v>
      </c>
      <c r="R90" s="143">
        <v>1</v>
      </c>
      <c r="S90" s="145">
        <v>6044</v>
      </c>
      <c r="T90" s="2"/>
      <c r="U90" s="126">
        <v>271.98</v>
      </c>
      <c r="V90" s="142">
        <v>5.5999999999999999E-5</v>
      </c>
      <c r="W90" s="142">
        <v>2.84335665337755E-2</v>
      </c>
      <c r="X90" s="142">
        <v>3.9259271728849703E-3</v>
      </c>
    </row>
    <row r="91" spans="1:24">
      <c r="A91" s="3">
        <v>382</v>
      </c>
      <c r="B91" s="3">
        <v>9479</v>
      </c>
      <c r="C91" s="3" t="s">
        <v>1607</v>
      </c>
      <c r="D91" s="3" t="s">
        <v>1608</v>
      </c>
      <c r="E91" s="3" t="s">
        <v>1322</v>
      </c>
      <c r="F91" s="3" t="s">
        <v>1609</v>
      </c>
      <c r="G91" s="3" t="s">
        <v>1610</v>
      </c>
      <c r="H91" s="3" t="s">
        <v>184</v>
      </c>
      <c r="I91" s="3" t="s">
        <v>941</v>
      </c>
      <c r="J91" s="3" t="s">
        <v>30</v>
      </c>
      <c r="K91" s="3" t="s">
        <v>30</v>
      </c>
      <c r="L91" s="2" t="s">
        <v>337</v>
      </c>
      <c r="M91" s="2" t="s">
        <v>44</v>
      </c>
      <c r="N91" s="3" t="s">
        <v>472</v>
      </c>
      <c r="O91" s="3" t="s">
        <v>144</v>
      </c>
      <c r="P91" s="3" t="s">
        <v>34</v>
      </c>
      <c r="Q91" s="126">
        <v>665</v>
      </c>
      <c r="R91" s="143">
        <v>1</v>
      </c>
      <c r="S91" s="145">
        <v>30090</v>
      </c>
      <c r="T91" s="2"/>
      <c r="U91" s="126">
        <v>200.09899999999999</v>
      </c>
      <c r="V91" s="142">
        <v>5.0000000000000004E-6</v>
      </c>
      <c r="W91" s="142">
        <v>2.09188690825012E-2</v>
      </c>
      <c r="X91" s="142">
        <v>2.8883452401041402E-3</v>
      </c>
    </row>
    <row r="92" spans="1:24">
      <c r="A92" s="3">
        <v>382</v>
      </c>
      <c r="B92" s="3">
        <v>9479</v>
      </c>
      <c r="C92" s="3" t="s">
        <v>1611</v>
      </c>
      <c r="D92" s="3" t="s">
        <v>1612</v>
      </c>
      <c r="E92" s="3" t="s">
        <v>1322</v>
      </c>
      <c r="F92" s="3" t="s">
        <v>1613</v>
      </c>
      <c r="G92" s="3" t="s">
        <v>1614</v>
      </c>
      <c r="H92" s="3" t="s">
        <v>184</v>
      </c>
      <c r="I92" s="3" t="s">
        <v>941</v>
      </c>
      <c r="J92" s="3" t="s">
        <v>30</v>
      </c>
      <c r="K92" s="3" t="s">
        <v>30</v>
      </c>
      <c r="L92" s="2" t="s">
        <v>337</v>
      </c>
      <c r="M92" s="2" t="s">
        <v>44</v>
      </c>
      <c r="N92" s="3" t="s">
        <v>456</v>
      </c>
      <c r="O92" s="3" t="s">
        <v>144</v>
      </c>
      <c r="P92" s="3" t="s">
        <v>34</v>
      </c>
      <c r="Q92" s="126">
        <v>18238</v>
      </c>
      <c r="R92" s="143">
        <v>1</v>
      </c>
      <c r="S92" s="145">
        <v>4402</v>
      </c>
      <c r="T92" s="2"/>
      <c r="U92" s="126">
        <v>802.83699999999999</v>
      </c>
      <c r="V92" s="142">
        <v>1.4E-5</v>
      </c>
      <c r="W92" s="142">
        <v>8.3930849441946898E-2</v>
      </c>
      <c r="X92" s="142">
        <v>1.1588641265809701E-2</v>
      </c>
    </row>
    <row r="93" spans="1:24">
      <c r="A93" s="3">
        <v>382</v>
      </c>
      <c r="B93" s="3">
        <v>9479</v>
      </c>
      <c r="C93" s="3" t="s">
        <v>1615</v>
      </c>
      <c r="D93" s="3" t="s">
        <v>1616</v>
      </c>
      <c r="E93" s="3" t="s">
        <v>1322</v>
      </c>
      <c r="F93" s="3" t="s">
        <v>1617</v>
      </c>
      <c r="G93" s="3" t="s">
        <v>1618</v>
      </c>
      <c r="H93" s="3" t="s">
        <v>184</v>
      </c>
      <c r="I93" s="3" t="s">
        <v>941</v>
      </c>
      <c r="J93" s="3" t="s">
        <v>30</v>
      </c>
      <c r="K93" s="3" t="s">
        <v>30</v>
      </c>
      <c r="L93" s="2" t="s">
        <v>337</v>
      </c>
      <c r="M93" s="2" t="s">
        <v>44</v>
      </c>
      <c r="N93" s="3" t="s">
        <v>484</v>
      </c>
      <c r="O93" s="3" t="s">
        <v>144</v>
      </c>
      <c r="P93" s="3" t="s">
        <v>34</v>
      </c>
      <c r="Q93" s="126">
        <v>387</v>
      </c>
      <c r="R93" s="143">
        <v>1</v>
      </c>
      <c r="S93" s="145">
        <v>29900</v>
      </c>
      <c r="T93" s="2"/>
      <c r="U93" s="126">
        <v>115.71299999999999</v>
      </c>
      <c r="V93" s="142">
        <v>2.8E-5</v>
      </c>
      <c r="W93" s="142">
        <v>1.20969677341082E-2</v>
      </c>
      <c r="X93" s="142">
        <v>1.6702728544600301E-3</v>
      </c>
    </row>
    <row r="94" spans="1:24">
      <c r="A94" s="3">
        <v>382</v>
      </c>
      <c r="B94" s="3">
        <v>9479</v>
      </c>
      <c r="C94" s="3" t="s">
        <v>1619</v>
      </c>
      <c r="D94" s="3" t="s">
        <v>1620</v>
      </c>
      <c r="E94" s="3" t="s">
        <v>1322</v>
      </c>
      <c r="F94" s="3" t="s">
        <v>1621</v>
      </c>
      <c r="G94" s="3" t="s">
        <v>1622</v>
      </c>
      <c r="H94" s="3" t="s">
        <v>184</v>
      </c>
      <c r="I94" s="3" t="s">
        <v>941</v>
      </c>
      <c r="J94" s="3" t="s">
        <v>30</v>
      </c>
      <c r="K94" s="3" t="s">
        <v>30</v>
      </c>
      <c r="L94" s="2" t="s">
        <v>337</v>
      </c>
      <c r="M94" s="2" t="s">
        <v>44</v>
      </c>
      <c r="N94" s="3" t="s">
        <v>485</v>
      </c>
      <c r="O94" s="3" t="s">
        <v>144</v>
      </c>
      <c r="P94" s="3" t="s">
        <v>34</v>
      </c>
      <c r="Q94" s="126">
        <v>355</v>
      </c>
      <c r="R94" s="143">
        <v>1</v>
      </c>
      <c r="S94" s="145">
        <v>30600</v>
      </c>
      <c r="T94" s="2"/>
      <c r="U94" s="126">
        <v>108.63</v>
      </c>
      <c r="V94" s="142">
        <v>2.1999999999999999E-5</v>
      </c>
      <c r="W94" s="142">
        <v>1.1356490670505299E-2</v>
      </c>
      <c r="X94" s="142">
        <v>1.5680324611754299E-3</v>
      </c>
    </row>
    <row r="95" spans="1:24">
      <c r="A95" s="3">
        <v>382</v>
      </c>
      <c r="B95" s="3">
        <v>9479</v>
      </c>
      <c r="C95" s="3" t="s">
        <v>1623</v>
      </c>
      <c r="D95" s="3" t="s">
        <v>1624</v>
      </c>
      <c r="E95" s="3" t="s">
        <v>1322</v>
      </c>
      <c r="F95" s="3" t="s">
        <v>1625</v>
      </c>
      <c r="G95" s="3" t="s">
        <v>1626</v>
      </c>
      <c r="H95" s="3" t="s">
        <v>184</v>
      </c>
      <c r="I95" s="3" t="s">
        <v>941</v>
      </c>
      <c r="J95" s="3" t="s">
        <v>30</v>
      </c>
      <c r="K95" s="3" t="s">
        <v>30</v>
      </c>
      <c r="L95" s="2" t="s">
        <v>337</v>
      </c>
      <c r="M95" s="2" t="s">
        <v>44</v>
      </c>
      <c r="N95" s="3" t="s">
        <v>484</v>
      </c>
      <c r="O95" s="3" t="s">
        <v>144</v>
      </c>
      <c r="P95" s="3" t="s">
        <v>34</v>
      </c>
      <c r="Q95" s="126">
        <v>5100</v>
      </c>
      <c r="R95" s="143">
        <v>1</v>
      </c>
      <c r="S95" s="145">
        <v>3795</v>
      </c>
      <c r="T95" s="2"/>
      <c r="U95" s="126">
        <v>193.54499999999999</v>
      </c>
      <c r="V95" s="142">
        <v>1.9000000000000001E-5</v>
      </c>
      <c r="W95" s="142">
        <v>2.02337474622383E-2</v>
      </c>
      <c r="X95" s="142">
        <v>2.7937479766012999E-3</v>
      </c>
    </row>
    <row r="96" spans="1:24">
      <c r="A96" s="3">
        <v>382</v>
      </c>
      <c r="B96" s="3">
        <v>9479</v>
      </c>
      <c r="C96" s="3" t="s">
        <v>1627</v>
      </c>
      <c r="D96" s="3" t="s">
        <v>1628</v>
      </c>
      <c r="E96" s="3" t="s">
        <v>181</v>
      </c>
      <c r="F96" s="3" t="s">
        <v>1629</v>
      </c>
      <c r="G96" s="3" t="s">
        <v>1630</v>
      </c>
      <c r="H96" s="3" t="s">
        <v>184</v>
      </c>
      <c r="I96" s="3" t="s">
        <v>941</v>
      </c>
      <c r="J96" s="3" t="s">
        <v>85</v>
      </c>
      <c r="K96" s="3" t="s">
        <v>303</v>
      </c>
      <c r="L96" s="2" t="s">
        <v>337</v>
      </c>
      <c r="M96" s="2" t="s">
        <v>356</v>
      </c>
      <c r="N96" s="3" t="s">
        <v>557</v>
      </c>
      <c r="O96" s="3" t="s">
        <v>144</v>
      </c>
      <c r="P96" s="3" t="s">
        <v>89</v>
      </c>
      <c r="Q96" s="126">
        <v>193</v>
      </c>
      <c r="R96" s="143">
        <v>3.6469999999999998</v>
      </c>
      <c r="S96" s="145">
        <v>12079</v>
      </c>
      <c r="T96" s="2"/>
      <c r="U96" s="126">
        <v>85.021000000000001</v>
      </c>
      <c r="V96" s="142">
        <v>0</v>
      </c>
      <c r="W96" s="142">
        <v>8.8882942270095897E-3</v>
      </c>
      <c r="X96" s="142">
        <v>1.22723949473461E-3</v>
      </c>
    </row>
    <row r="97" spans="1:24">
      <c r="A97" s="3">
        <v>382</v>
      </c>
      <c r="B97" s="3">
        <v>9479</v>
      </c>
      <c r="C97" s="3" t="s">
        <v>1631</v>
      </c>
      <c r="D97" s="3" t="s">
        <v>1632</v>
      </c>
      <c r="E97" s="3" t="s">
        <v>181</v>
      </c>
      <c r="F97" s="3" t="s">
        <v>1633</v>
      </c>
      <c r="G97" s="3" t="s">
        <v>1634</v>
      </c>
      <c r="H97" s="3" t="s">
        <v>184</v>
      </c>
      <c r="I97" s="3" t="s">
        <v>941</v>
      </c>
      <c r="J97" s="3" t="s">
        <v>85</v>
      </c>
      <c r="K97" s="3" t="s">
        <v>94</v>
      </c>
      <c r="L97" s="2" t="s">
        <v>337</v>
      </c>
      <c r="M97" s="2" t="s">
        <v>356</v>
      </c>
      <c r="N97" s="3" t="s">
        <v>553</v>
      </c>
      <c r="O97" s="3" t="s">
        <v>144</v>
      </c>
      <c r="P97" s="3" t="s">
        <v>89</v>
      </c>
      <c r="Q97" s="126">
        <v>240</v>
      </c>
      <c r="R97" s="143">
        <v>3.6469999999999998</v>
      </c>
      <c r="S97" s="145">
        <v>18930</v>
      </c>
      <c r="T97" s="2"/>
      <c r="U97" s="126">
        <v>165.691</v>
      </c>
      <c r="V97" s="142">
        <v>0</v>
      </c>
      <c r="W97" s="142">
        <v>1.7321758840719102E-2</v>
      </c>
      <c r="X97" s="142">
        <v>2.39167899089126E-3</v>
      </c>
    </row>
    <row r="98" spans="1:24">
      <c r="A98" s="3">
        <v>382</v>
      </c>
      <c r="B98" s="3">
        <v>9479</v>
      </c>
      <c r="C98" s="3" t="s">
        <v>1635</v>
      </c>
      <c r="D98" s="3" t="s">
        <v>1636</v>
      </c>
      <c r="E98" s="3" t="s">
        <v>181</v>
      </c>
      <c r="F98" s="3" t="s">
        <v>1637</v>
      </c>
      <c r="G98" s="3" t="s">
        <v>1638</v>
      </c>
      <c r="H98" s="3" t="s">
        <v>184</v>
      </c>
      <c r="I98" s="3" t="s">
        <v>941</v>
      </c>
      <c r="J98" s="3" t="s">
        <v>85</v>
      </c>
      <c r="K98" s="3" t="s">
        <v>94</v>
      </c>
      <c r="L98" s="2" t="s">
        <v>337</v>
      </c>
      <c r="M98" s="2" t="s">
        <v>356</v>
      </c>
      <c r="N98" s="3" t="s">
        <v>509</v>
      </c>
      <c r="O98" s="3" t="s">
        <v>144</v>
      </c>
      <c r="P98" s="3" t="s">
        <v>89</v>
      </c>
      <c r="Q98" s="126">
        <v>180</v>
      </c>
      <c r="R98" s="143">
        <v>3.6469999999999998</v>
      </c>
      <c r="S98" s="145">
        <v>21939</v>
      </c>
      <c r="T98" s="2"/>
      <c r="U98" s="126">
        <v>144.02099999999999</v>
      </c>
      <c r="V98" s="142">
        <v>0</v>
      </c>
      <c r="W98" s="142">
        <v>1.50563418069151E-2</v>
      </c>
      <c r="X98" s="142">
        <v>2.0788845238178901E-3</v>
      </c>
    </row>
    <row r="99" spans="1:24">
      <c r="A99" s="3">
        <v>382</v>
      </c>
      <c r="B99" s="3">
        <v>9479</v>
      </c>
      <c r="C99" s="3" t="s">
        <v>1639</v>
      </c>
      <c r="D99" s="3" t="s">
        <v>1640</v>
      </c>
      <c r="E99" s="3" t="s">
        <v>181</v>
      </c>
      <c r="F99" s="3" t="s">
        <v>1641</v>
      </c>
      <c r="G99" s="3" t="s">
        <v>1642</v>
      </c>
      <c r="H99" s="3" t="s">
        <v>184</v>
      </c>
      <c r="I99" s="3" t="s">
        <v>941</v>
      </c>
      <c r="J99" s="3" t="s">
        <v>85</v>
      </c>
      <c r="K99" s="3" t="s">
        <v>94</v>
      </c>
      <c r="L99" s="2" t="s">
        <v>337</v>
      </c>
      <c r="M99" s="2" t="s">
        <v>356</v>
      </c>
      <c r="N99" s="3" t="s">
        <v>557</v>
      </c>
      <c r="O99" s="3" t="s">
        <v>144</v>
      </c>
      <c r="P99" s="3" t="s">
        <v>89</v>
      </c>
      <c r="Q99" s="126">
        <v>36</v>
      </c>
      <c r="R99" s="143">
        <v>3.6469999999999998</v>
      </c>
      <c r="S99" s="145">
        <v>69308</v>
      </c>
      <c r="T99" s="2"/>
      <c r="U99" s="126">
        <v>90.995999999999995</v>
      </c>
      <c r="V99" s="142">
        <v>0</v>
      </c>
      <c r="W99" s="142">
        <v>9.5129672086573802E-3</v>
      </c>
      <c r="X99" s="142">
        <v>1.31349039224003E-3</v>
      </c>
    </row>
    <row r="100" spans="1:24">
      <c r="A100" s="3">
        <v>382</v>
      </c>
      <c r="B100" s="3">
        <v>9479</v>
      </c>
      <c r="C100" s="3" t="s">
        <v>1697</v>
      </c>
      <c r="D100" s="3" t="s">
        <v>1698</v>
      </c>
      <c r="E100" s="3" t="s">
        <v>181</v>
      </c>
      <c r="F100" s="3" t="s">
        <v>1699</v>
      </c>
      <c r="G100" s="3" t="s">
        <v>1700</v>
      </c>
      <c r="H100" s="3" t="s">
        <v>184</v>
      </c>
      <c r="I100" s="3" t="s">
        <v>941</v>
      </c>
      <c r="J100" s="3" t="s">
        <v>85</v>
      </c>
      <c r="K100" s="3" t="s">
        <v>94</v>
      </c>
      <c r="L100" s="2" t="s">
        <v>337</v>
      </c>
      <c r="M100" s="2" t="s">
        <v>354</v>
      </c>
      <c r="N100" s="3" t="s">
        <v>545</v>
      </c>
      <c r="O100" s="3" t="s">
        <v>144</v>
      </c>
      <c r="P100" s="3" t="s">
        <v>89</v>
      </c>
      <c r="Q100" s="126">
        <v>230</v>
      </c>
      <c r="R100" s="143">
        <v>3.6469999999999998</v>
      </c>
      <c r="S100" s="145">
        <v>4395</v>
      </c>
      <c r="T100" s="2"/>
      <c r="U100" s="126">
        <v>36.866</v>
      </c>
      <c r="V100" s="142">
        <v>0</v>
      </c>
      <c r="W100" s="142">
        <v>3.8540455899236099E-3</v>
      </c>
      <c r="X100" s="142">
        <v>5.3214225830745603E-4</v>
      </c>
    </row>
    <row r="101" spans="1:24">
      <c r="A101" s="3">
        <v>382</v>
      </c>
      <c r="B101" s="3">
        <v>9479</v>
      </c>
      <c r="C101" s="3" t="s">
        <v>1643</v>
      </c>
      <c r="D101" s="3" t="s">
        <v>1644</v>
      </c>
      <c r="E101" s="3" t="s">
        <v>181</v>
      </c>
      <c r="F101" s="3" t="s">
        <v>1645</v>
      </c>
      <c r="G101" s="3" t="s">
        <v>1646</v>
      </c>
      <c r="H101" s="3" t="s">
        <v>184</v>
      </c>
      <c r="I101" s="3" t="s">
        <v>941</v>
      </c>
      <c r="J101" s="3" t="s">
        <v>85</v>
      </c>
      <c r="K101" s="3" t="s">
        <v>94</v>
      </c>
      <c r="L101" s="2" t="s">
        <v>337</v>
      </c>
      <c r="M101" s="2" t="s">
        <v>356</v>
      </c>
      <c r="N101" s="3" t="s">
        <v>557</v>
      </c>
      <c r="O101" s="3" t="s">
        <v>144</v>
      </c>
      <c r="P101" s="3" t="s">
        <v>89</v>
      </c>
      <c r="Q101" s="126">
        <v>160</v>
      </c>
      <c r="R101" s="143">
        <v>3.6469999999999998</v>
      </c>
      <c r="S101" s="145">
        <v>23184</v>
      </c>
      <c r="T101" s="125">
        <v>9.4E-2</v>
      </c>
      <c r="U101" s="126">
        <v>135.62799999999999</v>
      </c>
      <c r="V101" s="142">
        <v>0</v>
      </c>
      <c r="W101" s="142">
        <v>1.417889208434E-2</v>
      </c>
      <c r="X101" s="142">
        <v>1.9577318114205201E-3</v>
      </c>
    </row>
    <row r="102" spans="1:24">
      <c r="A102" s="3">
        <v>382</v>
      </c>
      <c r="B102" s="3">
        <v>9479</v>
      </c>
      <c r="C102" s="3" t="s">
        <v>1647</v>
      </c>
      <c r="D102" s="3" t="s">
        <v>1648</v>
      </c>
      <c r="E102" s="3" t="s">
        <v>1322</v>
      </c>
      <c r="F102" s="3" t="s">
        <v>1649</v>
      </c>
      <c r="G102" s="3" t="s">
        <v>1650</v>
      </c>
      <c r="H102" s="3" t="s">
        <v>184</v>
      </c>
      <c r="I102" s="3" t="s">
        <v>941</v>
      </c>
      <c r="J102" s="3" t="s">
        <v>85</v>
      </c>
      <c r="K102" s="3" t="s">
        <v>310</v>
      </c>
      <c r="L102" s="2" t="s">
        <v>337</v>
      </c>
      <c r="M102" s="2" t="s">
        <v>356</v>
      </c>
      <c r="N102" s="3" t="s">
        <v>557</v>
      </c>
      <c r="O102" s="3" t="s">
        <v>144</v>
      </c>
      <c r="P102" s="3" t="s">
        <v>89</v>
      </c>
      <c r="Q102" s="126">
        <v>1013</v>
      </c>
      <c r="R102" s="143">
        <v>3.6469999999999998</v>
      </c>
      <c r="S102" s="145">
        <v>8077</v>
      </c>
      <c r="T102" s="2"/>
      <c r="U102" s="126">
        <v>298.39800000000002</v>
      </c>
      <c r="V102" s="142">
        <v>2.3E-5</v>
      </c>
      <c r="W102" s="142">
        <v>3.1195335480833499E-2</v>
      </c>
      <c r="X102" s="142">
        <v>4.30725477530184E-3</v>
      </c>
    </row>
    <row r="103" spans="1:24">
      <c r="A103" s="3">
        <v>382</v>
      </c>
      <c r="B103" s="3">
        <v>9479</v>
      </c>
      <c r="C103" s="3" t="s">
        <v>1651</v>
      </c>
      <c r="D103" s="3" t="s">
        <v>1652</v>
      </c>
      <c r="E103" s="3" t="s">
        <v>181</v>
      </c>
      <c r="F103" s="3" t="s">
        <v>1653</v>
      </c>
      <c r="G103" s="3" t="s">
        <v>1654</v>
      </c>
      <c r="H103" s="3" t="s">
        <v>184</v>
      </c>
      <c r="I103" s="3" t="s">
        <v>941</v>
      </c>
      <c r="J103" s="3" t="s">
        <v>85</v>
      </c>
      <c r="K103" s="3" t="s">
        <v>94</v>
      </c>
      <c r="L103" s="2" t="s">
        <v>337</v>
      </c>
      <c r="M103" s="2" t="s">
        <v>356</v>
      </c>
      <c r="N103" s="3" t="s">
        <v>1655</v>
      </c>
      <c r="O103" s="3" t="s">
        <v>144</v>
      </c>
      <c r="P103" s="3" t="s">
        <v>89</v>
      </c>
      <c r="Q103" s="126">
        <v>34</v>
      </c>
      <c r="R103" s="143">
        <v>3.6469999999999998</v>
      </c>
      <c r="S103" s="145">
        <v>91627</v>
      </c>
      <c r="T103" s="2"/>
      <c r="U103" s="126">
        <v>113.616</v>
      </c>
      <c r="V103" s="142">
        <v>0</v>
      </c>
      <c r="W103" s="142">
        <v>1.1877704505227901E-2</v>
      </c>
      <c r="X103" s="142">
        <v>1.63999837351325E-3</v>
      </c>
    </row>
    <row r="104" spans="1:24">
      <c r="A104" s="3">
        <v>382</v>
      </c>
      <c r="B104" s="3">
        <v>9479</v>
      </c>
      <c r="C104" s="3" t="s">
        <v>1656</v>
      </c>
      <c r="D104" s="3" t="s">
        <v>1657</v>
      </c>
      <c r="E104" s="3" t="s">
        <v>1322</v>
      </c>
      <c r="F104" s="3" t="s">
        <v>1658</v>
      </c>
      <c r="G104" s="3" t="s">
        <v>1659</v>
      </c>
      <c r="H104" s="3" t="s">
        <v>184</v>
      </c>
      <c r="I104" s="3" t="s">
        <v>941</v>
      </c>
      <c r="J104" s="3" t="s">
        <v>85</v>
      </c>
      <c r="K104" s="3" t="s">
        <v>94</v>
      </c>
      <c r="L104" s="2" t="s">
        <v>337</v>
      </c>
      <c r="M104" s="2" t="s">
        <v>354</v>
      </c>
      <c r="N104" s="3" t="s">
        <v>509</v>
      </c>
      <c r="O104" s="3" t="s">
        <v>144</v>
      </c>
      <c r="P104" s="3" t="s">
        <v>89</v>
      </c>
      <c r="Q104" s="126">
        <v>47</v>
      </c>
      <c r="R104" s="143">
        <v>3.6469999999999998</v>
      </c>
      <c r="S104" s="145">
        <v>3173</v>
      </c>
      <c r="T104" s="2"/>
      <c r="U104" s="126">
        <v>5.4390000000000001</v>
      </c>
      <c r="V104" s="142">
        <v>9.9999999999999995E-7</v>
      </c>
      <c r="W104" s="142">
        <v>5.6858848777850105E-4</v>
      </c>
      <c r="X104" s="142">
        <v>7.8507105034030002E-5</v>
      </c>
    </row>
    <row r="105" spans="1:24">
      <c r="A105" s="3">
        <v>382</v>
      </c>
      <c r="B105" s="3">
        <v>9479</v>
      </c>
      <c r="C105" s="3" t="s">
        <v>1660</v>
      </c>
      <c r="D105" s="3" t="s">
        <v>1661</v>
      </c>
      <c r="E105" s="3" t="s">
        <v>181</v>
      </c>
      <c r="F105" s="3" t="s">
        <v>1662</v>
      </c>
      <c r="G105" s="3" t="s">
        <v>1663</v>
      </c>
      <c r="H105" s="3" t="s">
        <v>184</v>
      </c>
      <c r="I105" s="3" t="s">
        <v>941</v>
      </c>
      <c r="J105" s="3" t="s">
        <v>85</v>
      </c>
      <c r="K105" s="3" t="s">
        <v>282</v>
      </c>
      <c r="L105" s="2" t="s">
        <v>337</v>
      </c>
      <c r="M105" s="2" t="s">
        <v>380</v>
      </c>
      <c r="N105" s="3" t="s">
        <v>524</v>
      </c>
      <c r="O105" s="3" t="s">
        <v>144</v>
      </c>
      <c r="P105" s="3" t="s">
        <v>1180</v>
      </c>
      <c r="Q105" s="126">
        <v>16</v>
      </c>
      <c r="R105" s="143">
        <v>0.47010000000000002</v>
      </c>
      <c r="S105" s="145">
        <v>13600</v>
      </c>
      <c r="T105" s="2"/>
      <c r="U105" s="126">
        <v>1.0229999999999999</v>
      </c>
      <c r="V105" s="142">
        <v>0</v>
      </c>
      <c r="W105" s="142">
        <v>1.0694082031583399E-4</v>
      </c>
      <c r="X105" s="142">
        <v>1.4765712625949501E-5</v>
      </c>
    </row>
    <row r="106" spans="1:24">
      <c r="A106" s="3">
        <v>382</v>
      </c>
      <c r="B106" s="3">
        <v>9479</v>
      </c>
      <c r="C106" s="3" t="s">
        <v>1701</v>
      </c>
      <c r="D106" s="3" t="s">
        <v>1702</v>
      </c>
      <c r="E106" s="3" t="s">
        <v>181</v>
      </c>
      <c r="F106" s="3" t="s">
        <v>1703</v>
      </c>
      <c r="G106" s="3" t="s">
        <v>1704</v>
      </c>
      <c r="H106" s="3" t="s">
        <v>184</v>
      </c>
      <c r="I106" s="3" t="s">
        <v>941</v>
      </c>
      <c r="J106" s="3" t="s">
        <v>85</v>
      </c>
      <c r="K106" s="3" t="s">
        <v>94</v>
      </c>
      <c r="L106" s="2" t="s">
        <v>337</v>
      </c>
      <c r="M106" s="2" t="s">
        <v>354</v>
      </c>
      <c r="N106" s="3" t="s">
        <v>545</v>
      </c>
      <c r="O106" s="3" t="s">
        <v>144</v>
      </c>
      <c r="P106" s="3" t="s">
        <v>89</v>
      </c>
      <c r="Q106" s="126">
        <v>60</v>
      </c>
      <c r="R106" s="143">
        <v>3.6469999999999998</v>
      </c>
      <c r="S106" s="145">
        <v>23971</v>
      </c>
      <c r="T106" s="2"/>
      <c r="U106" s="126">
        <v>52.453000000000003</v>
      </c>
      <c r="V106" s="142">
        <v>0</v>
      </c>
      <c r="W106" s="142">
        <v>5.4836223081204203E-3</v>
      </c>
      <c r="X106" s="142">
        <v>7.5714391297747601E-4</v>
      </c>
    </row>
    <row r="107" spans="1:24">
      <c r="A107" s="3">
        <v>382</v>
      </c>
      <c r="B107" s="3">
        <v>9479</v>
      </c>
      <c r="C107" s="3" t="s">
        <v>1705</v>
      </c>
      <c r="D107" s="3" t="s">
        <v>1706</v>
      </c>
      <c r="E107" s="3" t="s">
        <v>181</v>
      </c>
      <c r="F107" s="3" t="s">
        <v>1707</v>
      </c>
      <c r="G107" s="3" t="s">
        <v>1708</v>
      </c>
      <c r="H107" s="3" t="s">
        <v>184</v>
      </c>
      <c r="I107" s="3" t="s">
        <v>941</v>
      </c>
      <c r="J107" s="3" t="s">
        <v>85</v>
      </c>
      <c r="K107" s="3" t="s">
        <v>94</v>
      </c>
      <c r="L107" s="2" t="s">
        <v>337</v>
      </c>
      <c r="M107" s="2" t="s">
        <v>354</v>
      </c>
      <c r="N107" s="3" t="s">
        <v>1655</v>
      </c>
      <c r="O107" s="3" t="s">
        <v>144</v>
      </c>
      <c r="P107" s="3" t="s">
        <v>89</v>
      </c>
      <c r="Q107" s="126">
        <v>35</v>
      </c>
      <c r="R107" s="143">
        <v>3.6469999999999998</v>
      </c>
      <c r="S107" s="145">
        <v>48594</v>
      </c>
      <c r="T107" s="2"/>
      <c r="U107" s="126">
        <v>62.027999999999999</v>
      </c>
      <c r="V107" s="142">
        <v>0</v>
      </c>
      <c r="W107" s="142">
        <v>6.4845646721928803E-3</v>
      </c>
      <c r="X107" s="142">
        <v>8.95347708865547E-4</v>
      </c>
    </row>
    <row r="108" spans="1:24">
      <c r="A108" s="3">
        <v>382</v>
      </c>
      <c r="B108" s="3">
        <v>9479</v>
      </c>
      <c r="C108" s="3" t="s">
        <v>1664</v>
      </c>
      <c r="D108" s="3" t="s">
        <v>1665</v>
      </c>
      <c r="E108" s="3" t="s">
        <v>181</v>
      </c>
      <c r="F108" s="3" t="s">
        <v>1666</v>
      </c>
      <c r="G108" s="3" t="s">
        <v>1667</v>
      </c>
      <c r="H108" s="3" t="s">
        <v>184</v>
      </c>
      <c r="I108" s="3" t="s">
        <v>941</v>
      </c>
      <c r="J108" s="3" t="s">
        <v>85</v>
      </c>
      <c r="K108" s="3" t="s">
        <v>94</v>
      </c>
      <c r="L108" s="2" t="s">
        <v>337</v>
      </c>
      <c r="M108" s="2" t="s">
        <v>354</v>
      </c>
      <c r="N108" s="3" t="s">
        <v>1668</v>
      </c>
      <c r="O108" s="3" t="s">
        <v>144</v>
      </c>
      <c r="P108" s="3" t="s">
        <v>89</v>
      </c>
      <c r="Q108" s="126">
        <v>66</v>
      </c>
      <c r="R108" s="143">
        <v>3.6469999999999998</v>
      </c>
      <c r="S108" s="145">
        <v>52657</v>
      </c>
      <c r="T108" s="2"/>
      <c r="U108" s="126">
        <v>126.746</v>
      </c>
      <c r="V108" s="142">
        <v>0</v>
      </c>
      <c r="W108" s="142">
        <v>1.3250436355036E-2</v>
      </c>
      <c r="X108" s="142">
        <v>1.82953651196114E-3</v>
      </c>
    </row>
    <row r="109" spans="1:24">
      <c r="A109" s="3">
        <v>382</v>
      </c>
      <c r="B109" s="3">
        <v>9479</v>
      </c>
      <c r="C109" s="3" t="s">
        <v>1669</v>
      </c>
      <c r="D109" s="3" t="s">
        <v>1670</v>
      </c>
      <c r="E109" s="3" t="s">
        <v>181</v>
      </c>
      <c r="F109" s="3" t="s">
        <v>1671</v>
      </c>
      <c r="G109" s="3" t="s">
        <v>1672</v>
      </c>
      <c r="H109" s="3" t="s">
        <v>184</v>
      </c>
      <c r="I109" s="3" t="s">
        <v>941</v>
      </c>
      <c r="J109" s="3" t="s">
        <v>85</v>
      </c>
      <c r="K109" s="3" t="s">
        <v>94</v>
      </c>
      <c r="L109" s="2" t="s">
        <v>337</v>
      </c>
      <c r="M109" s="2" t="s">
        <v>356</v>
      </c>
      <c r="N109" s="3" t="s">
        <v>553</v>
      </c>
      <c r="O109" s="3" t="s">
        <v>144</v>
      </c>
      <c r="P109" s="3" t="s">
        <v>89</v>
      </c>
      <c r="Q109" s="126">
        <v>67</v>
      </c>
      <c r="R109" s="143">
        <v>3.6469999999999998</v>
      </c>
      <c r="S109" s="145">
        <v>42150</v>
      </c>
      <c r="T109" s="2"/>
      <c r="U109" s="126">
        <v>102.99299999999999</v>
      </c>
      <c r="V109" s="142">
        <v>0</v>
      </c>
      <c r="W109" s="142">
        <v>1.07671933998356E-2</v>
      </c>
      <c r="X109" s="142">
        <v>1.4866660182748901E-3</v>
      </c>
    </row>
    <row r="110" spans="1:24">
      <c r="A110" s="3">
        <v>382</v>
      </c>
      <c r="B110" s="3">
        <v>9479</v>
      </c>
      <c r="C110" s="3" t="s">
        <v>1673</v>
      </c>
      <c r="D110" s="3" t="s">
        <v>1674</v>
      </c>
      <c r="E110" s="3" t="s">
        <v>1322</v>
      </c>
      <c r="F110" s="3" t="s">
        <v>1675</v>
      </c>
      <c r="G110" s="3" t="s">
        <v>1676</v>
      </c>
      <c r="H110" s="3" t="s">
        <v>184</v>
      </c>
      <c r="I110" s="3" t="s">
        <v>941</v>
      </c>
      <c r="J110" s="3" t="s">
        <v>85</v>
      </c>
      <c r="K110" s="3" t="s">
        <v>310</v>
      </c>
      <c r="L110" s="2" t="s">
        <v>337</v>
      </c>
      <c r="M110" s="2" t="s">
        <v>356</v>
      </c>
      <c r="N110" s="3" t="s">
        <v>466</v>
      </c>
      <c r="O110" s="3" t="s">
        <v>144</v>
      </c>
      <c r="P110" s="3" t="s">
        <v>89</v>
      </c>
      <c r="Q110" s="126">
        <v>200</v>
      </c>
      <c r="R110" s="143">
        <v>3.6469999999999998</v>
      </c>
      <c r="S110" s="145">
        <v>19695</v>
      </c>
      <c r="T110" s="2"/>
      <c r="U110" s="126">
        <v>143.655</v>
      </c>
      <c r="V110" s="142">
        <v>6.9999999999999999E-6</v>
      </c>
      <c r="W110" s="142">
        <v>1.50181387730218E-2</v>
      </c>
      <c r="X110" s="142">
        <v>2.0736096903329602E-3</v>
      </c>
    </row>
    <row r="111" spans="1:24">
      <c r="A111" s="3">
        <v>382</v>
      </c>
      <c r="B111" s="3">
        <v>9479</v>
      </c>
      <c r="C111" s="3" t="s">
        <v>1677</v>
      </c>
      <c r="D111" s="3" t="s">
        <v>1678</v>
      </c>
      <c r="E111" s="3" t="s">
        <v>181</v>
      </c>
      <c r="F111" s="3" t="s">
        <v>1679</v>
      </c>
      <c r="G111" s="3" t="s">
        <v>1680</v>
      </c>
      <c r="H111" s="3" t="s">
        <v>184</v>
      </c>
      <c r="I111" s="3" t="s">
        <v>941</v>
      </c>
      <c r="J111" s="3" t="s">
        <v>85</v>
      </c>
      <c r="K111" s="3" t="s">
        <v>94</v>
      </c>
      <c r="L111" s="2" t="s">
        <v>337</v>
      </c>
      <c r="M111" s="2" t="s">
        <v>356</v>
      </c>
      <c r="N111" s="3" t="s">
        <v>557</v>
      </c>
      <c r="O111" s="3" t="s">
        <v>144</v>
      </c>
      <c r="P111" s="3" t="s">
        <v>89</v>
      </c>
      <c r="Q111" s="126">
        <v>620</v>
      </c>
      <c r="R111" s="143">
        <v>3.6469999999999998</v>
      </c>
      <c r="S111" s="145">
        <v>13429</v>
      </c>
      <c r="T111" s="2"/>
      <c r="U111" s="126">
        <v>303.64800000000002</v>
      </c>
      <c r="V111" s="142">
        <v>0</v>
      </c>
      <c r="W111" s="142">
        <v>3.1744281051384597E-2</v>
      </c>
      <c r="X111" s="142">
        <v>4.3830497104641796E-3</v>
      </c>
    </row>
    <row r="112" spans="1:24">
      <c r="A112" s="3">
        <v>382</v>
      </c>
      <c r="B112" s="3">
        <v>9479</v>
      </c>
      <c r="C112" s="3" t="s">
        <v>1681</v>
      </c>
      <c r="D112" s="3" t="s">
        <v>1682</v>
      </c>
      <c r="E112" s="3" t="s">
        <v>181</v>
      </c>
      <c r="F112" s="3" t="s">
        <v>1683</v>
      </c>
      <c r="G112" s="3" t="s">
        <v>1684</v>
      </c>
      <c r="H112" s="3" t="s">
        <v>184</v>
      </c>
      <c r="I112" s="3" t="s">
        <v>941</v>
      </c>
      <c r="J112" s="3" t="s">
        <v>85</v>
      </c>
      <c r="K112" s="3" t="s">
        <v>94</v>
      </c>
      <c r="L112" s="2" t="s">
        <v>337</v>
      </c>
      <c r="M112" s="2" t="s">
        <v>354</v>
      </c>
      <c r="N112" s="3" t="s">
        <v>566</v>
      </c>
      <c r="O112" s="3" t="s">
        <v>144</v>
      </c>
      <c r="P112" s="3" t="s">
        <v>89</v>
      </c>
      <c r="Q112" s="126">
        <v>870</v>
      </c>
      <c r="R112" s="143">
        <v>3.6469999999999998</v>
      </c>
      <c r="S112" s="145">
        <v>6772</v>
      </c>
      <c r="T112" s="2"/>
      <c r="U112" s="126">
        <v>214.86799999999999</v>
      </c>
      <c r="V112" s="142">
        <v>1.4E-5</v>
      </c>
      <c r="W112" s="142">
        <v>2.2462926407891898E-2</v>
      </c>
      <c r="X112" s="142">
        <v>3.1015389174798799E-3</v>
      </c>
    </row>
    <row r="113" spans="1:24">
      <c r="A113" s="3">
        <v>382</v>
      </c>
      <c r="B113" s="3">
        <v>9479</v>
      </c>
      <c r="C113" s="3" t="s">
        <v>1685</v>
      </c>
      <c r="D113" s="3" t="s">
        <v>1686</v>
      </c>
      <c r="E113" s="3" t="s">
        <v>181</v>
      </c>
      <c r="F113" s="3" t="s">
        <v>1687</v>
      </c>
      <c r="G113" s="3" t="s">
        <v>1688</v>
      </c>
      <c r="H113" s="3" t="s">
        <v>184</v>
      </c>
      <c r="I113" s="3" t="s">
        <v>941</v>
      </c>
      <c r="J113" s="3" t="s">
        <v>85</v>
      </c>
      <c r="K113" s="3" t="s">
        <v>303</v>
      </c>
      <c r="L113" s="2" t="s">
        <v>337</v>
      </c>
      <c r="M113" s="2" t="s">
        <v>390</v>
      </c>
      <c r="N113" s="3" t="s">
        <v>555</v>
      </c>
      <c r="O113" s="3" t="s">
        <v>144</v>
      </c>
      <c r="P113" s="3" t="s">
        <v>89</v>
      </c>
      <c r="Q113" s="126">
        <v>8</v>
      </c>
      <c r="R113" s="143">
        <v>3.6469999999999998</v>
      </c>
      <c r="S113" s="145">
        <v>91000</v>
      </c>
      <c r="T113" s="125">
        <v>0</v>
      </c>
      <c r="U113" s="126">
        <v>26.55</v>
      </c>
      <c r="V113" s="142">
        <v>0</v>
      </c>
      <c r="W113" s="142">
        <v>2.7756562969614802E-3</v>
      </c>
      <c r="X113" s="142">
        <v>3.8324507992643401E-4</v>
      </c>
    </row>
    <row r="114" spans="1:24">
      <c r="A114" s="3">
        <v>382</v>
      </c>
      <c r="B114" s="3">
        <v>9479</v>
      </c>
      <c r="C114" s="3" t="s">
        <v>1689</v>
      </c>
      <c r="D114" s="3" t="s">
        <v>1690</v>
      </c>
      <c r="E114" s="3" t="s">
        <v>181</v>
      </c>
      <c r="F114" s="3" t="s">
        <v>1689</v>
      </c>
      <c r="G114" s="3" t="s">
        <v>1691</v>
      </c>
      <c r="H114" s="3" t="s">
        <v>184</v>
      </c>
      <c r="I114" s="3" t="s">
        <v>941</v>
      </c>
      <c r="J114" s="3" t="s">
        <v>85</v>
      </c>
      <c r="K114" s="3" t="s">
        <v>94</v>
      </c>
      <c r="L114" s="2" t="s">
        <v>337</v>
      </c>
      <c r="M114" s="2" t="s">
        <v>356</v>
      </c>
      <c r="N114" s="3" t="s">
        <v>521</v>
      </c>
      <c r="O114" s="3" t="s">
        <v>144</v>
      </c>
      <c r="P114" s="3" t="s">
        <v>89</v>
      </c>
      <c r="Q114" s="126">
        <v>50</v>
      </c>
      <c r="R114" s="143">
        <v>3.6469999999999998</v>
      </c>
      <c r="S114" s="145">
        <v>40384</v>
      </c>
      <c r="T114" s="2"/>
      <c r="U114" s="126">
        <v>73.64</v>
      </c>
      <c r="V114" s="142">
        <v>0</v>
      </c>
      <c r="W114" s="142">
        <v>7.6985594847640603E-3</v>
      </c>
      <c r="X114" s="142">
        <v>1.06296844039612E-3</v>
      </c>
    </row>
    <row r="115" spans="1:24">
      <c r="A115" s="3">
        <v>382</v>
      </c>
      <c r="B115" s="3">
        <v>9479</v>
      </c>
      <c r="C115" s="3" t="s">
        <v>1692</v>
      </c>
      <c r="D115" s="3" t="s">
        <v>1693</v>
      </c>
      <c r="E115" s="3" t="s">
        <v>181</v>
      </c>
      <c r="F115" s="3" t="s">
        <v>1694</v>
      </c>
      <c r="G115" s="3" t="s">
        <v>1695</v>
      </c>
      <c r="H115" s="3" t="s">
        <v>184</v>
      </c>
      <c r="I115" s="3" t="s">
        <v>941</v>
      </c>
      <c r="J115" s="3" t="s">
        <v>85</v>
      </c>
      <c r="K115" s="3" t="s">
        <v>94</v>
      </c>
      <c r="L115" s="2" t="s">
        <v>337</v>
      </c>
      <c r="M115" s="2" t="s">
        <v>354</v>
      </c>
      <c r="N115" s="3" t="s">
        <v>1668</v>
      </c>
      <c r="O115" s="3" t="s">
        <v>144</v>
      </c>
      <c r="P115" s="3" t="s">
        <v>89</v>
      </c>
      <c r="Q115" s="126">
        <v>86</v>
      </c>
      <c r="R115" s="143">
        <v>3.6469999999999998</v>
      </c>
      <c r="S115" s="145">
        <v>31604</v>
      </c>
      <c r="T115" s="2"/>
      <c r="U115" s="126">
        <v>99.123000000000005</v>
      </c>
      <c r="V115" s="142">
        <v>0</v>
      </c>
      <c r="W115" s="142">
        <v>1.03626453844382E-2</v>
      </c>
      <c r="X115" s="142">
        <v>1.43080858496632E-3</v>
      </c>
    </row>
    <row r="116" spans="1:24">
      <c r="A116" s="3">
        <v>382</v>
      </c>
      <c r="B116" s="3">
        <v>9479</v>
      </c>
      <c r="C116" s="3" t="s">
        <v>1709</v>
      </c>
      <c r="D116" s="3" t="s">
        <v>1710</v>
      </c>
      <c r="E116" s="3" t="s">
        <v>181</v>
      </c>
      <c r="F116" s="3" t="s">
        <v>1711</v>
      </c>
      <c r="G116" s="3" t="s">
        <v>1712</v>
      </c>
      <c r="H116" s="3" t="s">
        <v>184</v>
      </c>
      <c r="I116" s="3" t="s">
        <v>941</v>
      </c>
      <c r="J116" s="3" t="s">
        <v>85</v>
      </c>
      <c r="K116" s="3" t="s">
        <v>94</v>
      </c>
      <c r="L116" s="2" t="s">
        <v>337</v>
      </c>
      <c r="M116" s="2" t="s">
        <v>354</v>
      </c>
      <c r="N116" s="3" t="s">
        <v>1655</v>
      </c>
      <c r="O116" s="3" t="s">
        <v>144</v>
      </c>
      <c r="P116" s="3" t="s">
        <v>89</v>
      </c>
      <c r="Q116" s="126">
        <v>306</v>
      </c>
      <c r="R116" s="143">
        <v>3.6469999999999998</v>
      </c>
      <c r="S116" s="145">
        <v>9035</v>
      </c>
      <c r="T116" s="125">
        <v>4.5999999999999999E-2</v>
      </c>
      <c r="U116" s="126">
        <v>100.997</v>
      </c>
      <c r="V116" s="142">
        <v>0</v>
      </c>
      <c r="W116" s="142">
        <v>1.0558468340904599E-2</v>
      </c>
      <c r="X116" s="142">
        <v>1.45784658123572E-3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117"/>
  <sheetViews>
    <sheetView rightToLeft="1" topLeftCell="A11" zoomScale="70" zoomScaleNormal="70" workbookViewId="0">
      <selection activeCell="A2" sqref="A2"/>
    </sheetView>
  </sheetViews>
  <sheetFormatPr defaultColWidth="0" defaultRowHeight="14.25" zeroHeight="1"/>
  <cols>
    <col min="1" max="23" width="11.625" customWidth="1"/>
    <col min="24" max="24" width="11.625" hidden="1" customWidth="1"/>
  </cols>
  <sheetData>
    <row r="1" spans="1:23" ht="66.75" customHeight="1">
      <c r="A1" s="12" t="s">
        <v>0</v>
      </c>
      <c r="B1" s="12" t="s">
        <v>1</v>
      </c>
      <c r="C1" s="12" t="s">
        <v>2</v>
      </c>
      <c r="D1" s="12" t="s">
        <v>151</v>
      </c>
      <c r="E1" s="12" t="s">
        <v>152</v>
      </c>
      <c r="F1" s="12" t="s">
        <v>3</v>
      </c>
      <c r="G1" s="12" t="s">
        <v>4</v>
      </c>
      <c r="H1" s="12" t="s">
        <v>153</v>
      </c>
      <c r="I1" s="12" t="s">
        <v>5</v>
      </c>
      <c r="J1" s="12" t="s">
        <v>6</v>
      </c>
      <c r="K1" s="12" t="s">
        <v>7</v>
      </c>
      <c r="L1" s="12" t="s">
        <v>8</v>
      </c>
      <c r="M1" s="12" t="s">
        <v>579</v>
      </c>
      <c r="N1" s="12" t="s">
        <v>130</v>
      </c>
      <c r="O1" s="12" t="s">
        <v>11</v>
      </c>
      <c r="P1" s="12" t="s">
        <v>17</v>
      </c>
      <c r="Q1" s="133" t="s">
        <v>18</v>
      </c>
      <c r="R1" s="144" t="s">
        <v>19</v>
      </c>
      <c r="S1" s="12" t="s">
        <v>16</v>
      </c>
      <c r="T1" s="12" t="s">
        <v>20</v>
      </c>
      <c r="U1" s="139" t="s">
        <v>23</v>
      </c>
      <c r="V1" s="139" t="s">
        <v>24</v>
      </c>
      <c r="W1" s="139" t="s">
        <v>25</v>
      </c>
    </row>
    <row r="2" spans="1:23">
      <c r="A2" s="13">
        <v>382</v>
      </c>
      <c r="B2" s="13">
        <v>382</v>
      </c>
      <c r="C2" s="13" t="s">
        <v>1363</v>
      </c>
      <c r="D2" s="13" t="s">
        <v>1364</v>
      </c>
      <c r="E2" s="11" t="s">
        <v>1322</v>
      </c>
      <c r="F2" s="13" t="s">
        <v>1365</v>
      </c>
      <c r="G2" s="13" t="s">
        <v>1366</v>
      </c>
      <c r="H2" s="11" t="s">
        <v>184</v>
      </c>
      <c r="I2" s="13" t="s">
        <v>992</v>
      </c>
      <c r="J2" s="11" t="s">
        <v>30</v>
      </c>
      <c r="K2" s="11" t="s">
        <v>94</v>
      </c>
      <c r="L2" s="11" t="s">
        <v>44</v>
      </c>
      <c r="M2" s="13" t="s">
        <v>1367</v>
      </c>
      <c r="N2" s="13" t="s">
        <v>144</v>
      </c>
      <c r="O2" s="11" t="s">
        <v>34</v>
      </c>
      <c r="P2" s="128">
        <v>92333.33</v>
      </c>
      <c r="Q2" s="149">
        <v>1</v>
      </c>
      <c r="R2" s="150">
        <v>10800</v>
      </c>
      <c r="S2" s="114"/>
      <c r="T2" s="127">
        <v>9972</v>
      </c>
      <c r="U2" s="148">
        <v>9.2329999999999999E-3</v>
      </c>
      <c r="V2" s="148">
        <v>9.9507745693440397E-3</v>
      </c>
      <c r="W2" s="148">
        <v>3.46924873167002E-3</v>
      </c>
    </row>
    <row r="3" spans="1:23">
      <c r="A3" s="13">
        <v>382</v>
      </c>
      <c r="B3" s="13">
        <v>382</v>
      </c>
      <c r="C3" s="13" t="s">
        <v>1363</v>
      </c>
      <c r="D3" s="13" t="s">
        <v>1364</v>
      </c>
      <c r="E3" s="11" t="s">
        <v>1322</v>
      </c>
      <c r="F3" s="13" t="s">
        <v>1368</v>
      </c>
      <c r="G3" s="13" t="s">
        <v>1369</v>
      </c>
      <c r="H3" s="11" t="s">
        <v>184</v>
      </c>
      <c r="I3" s="13" t="s">
        <v>991</v>
      </c>
      <c r="J3" s="11" t="s">
        <v>30</v>
      </c>
      <c r="K3" s="11" t="s">
        <v>30</v>
      </c>
      <c r="L3" s="11" t="s">
        <v>44</v>
      </c>
      <c r="M3" s="13" t="s">
        <v>1346</v>
      </c>
      <c r="N3" s="13" t="s">
        <v>144</v>
      </c>
      <c r="O3" s="11" t="s">
        <v>34</v>
      </c>
      <c r="P3" s="128">
        <v>434000</v>
      </c>
      <c r="Q3" s="149">
        <v>1</v>
      </c>
      <c r="R3" s="150">
        <v>3748</v>
      </c>
      <c r="S3" s="114"/>
      <c r="T3" s="127">
        <v>16266.32</v>
      </c>
      <c r="U3" s="148">
        <v>5.1060000000000003E-3</v>
      </c>
      <c r="V3" s="148">
        <v>1.6231697677118299E-2</v>
      </c>
      <c r="W3" s="148">
        <v>5.6590365088439402E-3</v>
      </c>
    </row>
    <row r="4" spans="1:23">
      <c r="A4" s="13">
        <v>382</v>
      </c>
      <c r="B4" s="13">
        <v>382</v>
      </c>
      <c r="C4" s="13" t="s">
        <v>1363</v>
      </c>
      <c r="D4" s="13" t="s">
        <v>1364</v>
      </c>
      <c r="E4" s="11" t="s">
        <v>1322</v>
      </c>
      <c r="F4" s="13" t="s">
        <v>1370</v>
      </c>
      <c r="G4" s="13" t="s">
        <v>1371</v>
      </c>
      <c r="H4" s="11" t="s">
        <v>184</v>
      </c>
      <c r="I4" s="13" t="s">
        <v>991</v>
      </c>
      <c r="J4" s="11" t="s">
        <v>30</v>
      </c>
      <c r="K4" s="11" t="s">
        <v>30</v>
      </c>
      <c r="L4" s="11" t="s">
        <v>44</v>
      </c>
      <c r="M4" s="13" t="s">
        <v>1346</v>
      </c>
      <c r="N4" s="13" t="s">
        <v>144</v>
      </c>
      <c r="O4" s="11" t="s">
        <v>34</v>
      </c>
      <c r="P4" s="128">
        <v>985000</v>
      </c>
      <c r="Q4" s="149">
        <v>1</v>
      </c>
      <c r="R4" s="150">
        <v>3630</v>
      </c>
      <c r="S4" s="114"/>
      <c r="T4" s="127">
        <v>35755.5</v>
      </c>
      <c r="U4" s="148">
        <v>1.9234000000000001E-2</v>
      </c>
      <c r="V4" s="148">
        <v>3.5679395603566297E-2</v>
      </c>
      <c r="W4" s="148">
        <v>1.24393027981725E-2</v>
      </c>
    </row>
    <row r="5" spans="1:23">
      <c r="A5" s="13">
        <v>382</v>
      </c>
      <c r="B5" s="13">
        <v>382</v>
      </c>
      <c r="C5" s="13" t="s">
        <v>1372</v>
      </c>
      <c r="D5" s="13" t="s">
        <v>1373</v>
      </c>
      <c r="E5" s="11" t="s">
        <v>1322</v>
      </c>
      <c r="F5" s="13" t="s">
        <v>1374</v>
      </c>
      <c r="G5" s="13" t="s">
        <v>1375</v>
      </c>
      <c r="H5" s="11" t="s">
        <v>184</v>
      </c>
      <c r="I5" s="13" t="s">
        <v>991</v>
      </c>
      <c r="J5" s="11" t="s">
        <v>30</v>
      </c>
      <c r="K5" s="11" t="s">
        <v>30</v>
      </c>
      <c r="L5" s="11" t="s">
        <v>44</v>
      </c>
      <c r="M5" s="13" t="s">
        <v>1346</v>
      </c>
      <c r="N5" s="13" t="s">
        <v>144</v>
      </c>
      <c r="O5" s="11" t="s">
        <v>34</v>
      </c>
      <c r="P5" s="128">
        <v>398500</v>
      </c>
      <c r="Q5" s="149">
        <v>1</v>
      </c>
      <c r="R5" s="150">
        <v>2414</v>
      </c>
      <c r="S5" s="114"/>
      <c r="T5" s="127">
        <v>9619.7900000000009</v>
      </c>
      <c r="U5" s="148">
        <v>1.593E-3</v>
      </c>
      <c r="V5" s="148">
        <v>9.5993145958868202E-3</v>
      </c>
      <c r="W5" s="148">
        <v>3.3467153491024298E-3</v>
      </c>
    </row>
    <row r="6" spans="1:23">
      <c r="A6" s="13">
        <v>382</v>
      </c>
      <c r="B6" s="13">
        <v>382</v>
      </c>
      <c r="C6" s="13" t="s">
        <v>1372</v>
      </c>
      <c r="D6" s="13" t="s">
        <v>1373</v>
      </c>
      <c r="E6" s="11" t="s">
        <v>1322</v>
      </c>
      <c r="F6" s="13" t="s">
        <v>1376</v>
      </c>
      <c r="G6" s="13" t="s">
        <v>1377</v>
      </c>
      <c r="H6" s="11" t="s">
        <v>184</v>
      </c>
      <c r="I6" s="13" t="s">
        <v>993</v>
      </c>
      <c r="J6" s="11" t="s">
        <v>30</v>
      </c>
      <c r="K6" s="11" t="s">
        <v>30</v>
      </c>
      <c r="L6" s="11" t="s">
        <v>44</v>
      </c>
      <c r="M6" s="13" t="s">
        <v>1378</v>
      </c>
      <c r="N6" s="13" t="s">
        <v>144</v>
      </c>
      <c r="O6" s="11" t="s">
        <v>34</v>
      </c>
      <c r="P6" s="128">
        <v>7220000</v>
      </c>
      <c r="Q6" s="149">
        <v>1</v>
      </c>
      <c r="R6" s="150">
        <v>403.49</v>
      </c>
      <c r="S6" s="114"/>
      <c r="T6" s="127">
        <v>29131.977999999999</v>
      </c>
      <c r="U6" s="148">
        <v>2.6452E-2</v>
      </c>
      <c r="V6" s="148">
        <v>2.90699715505696E-2</v>
      </c>
      <c r="W6" s="148">
        <v>1.0134986098689701E-2</v>
      </c>
    </row>
    <row r="7" spans="1:23">
      <c r="A7" s="13">
        <v>382</v>
      </c>
      <c r="B7" s="13">
        <v>382</v>
      </c>
      <c r="C7" s="13" t="s">
        <v>1372</v>
      </c>
      <c r="D7" s="13" t="s">
        <v>1373</v>
      </c>
      <c r="E7" s="11" t="s">
        <v>1322</v>
      </c>
      <c r="F7" s="13" t="s">
        <v>1379</v>
      </c>
      <c r="G7" s="13" t="s">
        <v>1380</v>
      </c>
      <c r="H7" s="11" t="s">
        <v>184</v>
      </c>
      <c r="I7" s="13" t="s">
        <v>991</v>
      </c>
      <c r="J7" s="11" t="s">
        <v>30</v>
      </c>
      <c r="K7" s="11" t="s">
        <v>30</v>
      </c>
      <c r="L7" s="11" t="s">
        <v>44</v>
      </c>
      <c r="M7" s="13" t="s">
        <v>1346</v>
      </c>
      <c r="N7" s="13" t="s">
        <v>144</v>
      </c>
      <c r="O7" s="11" t="s">
        <v>34</v>
      </c>
      <c r="P7" s="128">
        <v>477000</v>
      </c>
      <c r="Q7" s="149">
        <v>1</v>
      </c>
      <c r="R7" s="150">
        <v>2386</v>
      </c>
      <c r="S7" s="114"/>
      <c r="T7" s="127">
        <v>11381.22</v>
      </c>
      <c r="U7" s="148">
        <v>2.31E-3</v>
      </c>
      <c r="V7" s="148">
        <v>1.13569954505243E-2</v>
      </c>
      <c r="W7" s="148">
        <v>3.9595150897796701E-3</v>
      </c>
    </row>
    <row r="8" spans="1:23">
      <c r="A8" s="13">
        <v>382</v>
      </c>
      <c r="B8" s="13">
        <v>382</v>
      </c>
      <c r="C8" s="13" t="s">
        <v>1381</v>
      </c>
      <c r="D8" s="13" t="s">
        <v>1382</v>
      </c>
      <c r="E8" s="11" t="s">
        <v>1322</v>
      </c>
      <c r="F8" s="13" t="s">
        <v>1383</v>
      </c>
      <c r="G8" s="13" t="s">
        <v>1384</v>
      </c>
      <c r="H8" s="11" t="s">
        <v>184</v>
      </c>
      <c r="I8" s="13" t="s">
        <v>991</v>
      </c>
      <c r="J8" s="11" t="s">
        <v>30</v>
      </c>
      <c r="K8" s="11" t="s">
        <v>30</v>
      </c>
      <c r="L8" s="11" t="s">
        <v>44</v>
      </c>
      <c r="M8" s="13" t="s">
        <v>1346</v>
      </c>
      <c r="N8" s="13" t="s">
        <v>144</v>
      </c>
      <c r="O8" s="11" t="s">
        <v>34</v>
      </c>
      <c r="P8" s="128">
        <v>246000</v>
      </c>
      <c r="Q8" s="149">
        <v>1</v>
      </c>
      <c r="R8" s="150">
        <v>6621</v>
      </c>
      <c r="S8" s="114"/>
      <c r="T8" s="127">
        <v>16287.66</v>
      </c>
      <c r="U8" s="148">
        <v>2.2363999999999998E-2</v>
      </c>
      <c r="V8" s="148">
        <v>1.6252992255635701E-2</v>
      </c>
      <c r="W8" s="148">
        <v>5.6664606735658202E-3</v>
      </c>
    </row>
    <row r="9" spans="1:23">
      <c r="A9" s="13">
        <v>382</v>
      </c>
      <c r="B9" s="13">
        <v>382</v>
      </c>
      <c r="C9" s="13" t="s">
        <v>1385</v>
      </c>
      <c r="D9" s="13" t="s">
        <v>1386</v>
      </c>
      <c r="E9" s="11" t="s">
        <v>1322</v>
      </c>
      <c r="F9" s="13" t="s">
        <v>1387</v>
      </c>
      <c r="G9" s="13" t="s">
        <v>1388</v>
      </c>
      <c r="H9" s="11" t="s">
        <v>184</v>
      </c>
      <c r="I9" s="13" t="s">
        <v>992</v>
      </c>
      <c r="J9" s="11" t="s">
        <v>30</v>
      </c>
      <c r="K9" s="11" t="s">
        <v>307</v>
      </c>
      <c r="L9" s="11" t="s">
        <v>44</v>
      </c>
      <c r="M9" s="13" t="s">
        <v>1367</v>
      </c>
      <c r="N9" s="13" t="s">
        <v>144</v>
      </c>
      <c r="O9" s="11" t="s">
        <v>34</v>
      </c>
      <c r="P9" s="128">
        <v>40000</v>
      </c>
      <c r="Q9" s="149">
        <v>1</v>
      </c>
      <c r="R9" s="150">
        <v>19630</v>
      </c>
      <c r="S9" s="114"/>
      <c r="T9" s="127">
        <v>7852</v>
      </c>
      <c r="U9" s="148">
        <v>1.4795000000000001E-2</v>
      </c>
      <c r="V9" s="148">
        <v>7.8352872782985195E-3</v>
      </c>
      <c r="W9" s="148">
        <v>2.7317029707667499E-3</v>
      </c>
    </row>
    <row r="10" spans="1:23">
      <c r="A10" s="13">
        <v>382</v>
      </c>
      <c r="B10" s="13">
        <v>382</v>
      </c>
      <c r="C10" s="13" t="s">
        <v>1385</v>
      </c>
      <c r="D10" s="13" t="s">
        <v>1386</v>
      </c>
      <c r="E10" s="11" t="s">
        <v>1322</v>
      </c>
      <c r="F10" s="13" t="s">
        <v>1389</v>
      </c>
      <c r="G10" s="13" t="s">
        <v>1390</v>
      </c>
      <c r="H10" s="11" t="s">
        <v>184</v>
      </c>
      <c r="I10" s="13" t="s">
        <v>992</v>
      </c>
      <c r="J10" s="11" t="s">
        <v>30</v>
      </c>
      <c r="K10" s="11" t="s">
        <v>94</v>
      </c>
      <c r="L10" s="11" t="s">
        <v>44</v>
      </c>
      <c r="M10" s="13" t="s">
        <v>1367</v>
      </c>
      <c r="N10" s="13" t="s">
        <v>144</v>
      </c>
      <c r="O10" s="11" t="s">
        <v>34</v>
      </c>
      <c r="P10" s="128">
        <v>277680</v>
      </c>
      <c r="Q10" s="149">
        <v>1</v>
      </c>
      <c r="R10" s="150">
        <v>23720</v>
      </c>
      <c r="S10" s="114"/>
      <c r="T10" s="127">
        <v>65865.695999999996</v>
      </c>
      <c r="U10" s="148">
        <v>9.4590000000000004E-3</v>
      </c>
      <c r="V10" s="148">
        <v>6.5725503049551395E-2</v>
      </c>
      <c r="W10" s="148">
        <v>2.29146099636806E-2</v>
      </c>
    </row>
    <row r="11" spans="1:23">
      <c r="A11" s="13">
        <v>382</v>
      </c>
      <c r="B11" s="13">
        <v>382</v>
      </c>
      <c r="C11" s="13" t="s">
        <v>1385</v>
      </c>
      <c r="D11" s="13" t="s">
        <v>1386</v>
      </c>
      <c r="E11" s="11" t="s">
        <v>1322</v>
      </c>
      <c r="F11" s="13" t="s">
        <v>1391</v>
      </c>
      <c r="G11" s="13" t="s">
        <v>1392</v>
      </c>
      <c r="H11" s="11" t="s">
        <v>184</v>
      </c>
      <c r="I11" s="13" t="s">
        <v>991</v>
      </c>
      <c r="J11" s="11" t="s">
        <v>30</v>
      </c>
      <c r="K11" s="11" t="s">
        <v>30</v>
      </c>
      <c r="L11" s="11" t="s">
        <v>44</v>
      </c>
      <c r="M11" s="13" t="s">
        <v>1346</v>
      </c>
      <c r="N11" s="13" t="s">
        <v>144</v>
      </c>
      <c r="O11" s="11" t="s">
        <v>34</v>
      </c>
      <c r="P11" s="128">
        <v>124850</v>
      </c>
      <c r="Q11" s="149">
        <v>1</v>
      </c>
      <c r="R11" s="150">
        <v>23840</v>
      </c>
      <c r="S11" s="114"/>
      <c r="T11" s="127">
        <v>29764.240000000002</v>
      </c>
      <c r="U11" s="148">
        <v>3.5249999999999999E-3</v>
      </c>
      <c r="V11" s="148">
        <v>2.9700887801862402E-2</v>
      </c>
      <c r="W11" s="148">
        <v>1.0354949418060901E-2</v>
      </c>
    </row>
    <row r="12" spans="1:23">
      <c r="A12" s="13">
        <v>382</v>
      </c>
      <c r="B12" s="13">
        <v>382</v>
      </c>
      <c r="C12" s="13" t="s">
        <v>1385</v>
      </c>
      <c r="D12" s="13" t="s">
        <v>1386</v>
      </c>
      <c r="E12" s="11" t="s">
        <v>1322</v>
      </c>
      <c r="F12" s="13" t="s">
        <v>1393</v>
      </c>
      <c r="G12" s="13" t="s">
        <v>1394</v>
      </c>
      <c r="H12" s="11" t="s">
        <v>184</v>
      </c>
      <c r="I12" s="13" t="s">
        <v>991</v>
      </c>
      <c r="J12" s="11" t="s">
        <v>30</v>
      </c>
      <c r="K12" s="11" t="s">
        <v>30</v>
      </c>
      <c r="L12" s="11" t="s">
        <v>44</v>
      </c>
      <c r="M12" s="13" t="s">
        <v>1346</v>
      </c>
      <c r="N12" s="13" t="s">
        <v>144</v>
      </c>
      <c r="O12" s="11" t="s">
        <v>34</v>
      </c>
      <c r="P12" s="128">
        <v>61012</v>
      </c>
      <c r="Q12" s="149">
        <v>1</v>
      </c>
      <c r="R12" s="150">
        <v>23190</v>
      </c>
      <c r="S12" s="114"/>
      <c r="T12" s="127">
        <v>14148.683000000001</v>
      </c>
      <c r="U12" s="148">
        <v>2.019E-3</v>
      </c>
      <c r="V12" s="148">
        <v>1.41185677976975E-2</v>
      </c>
      <c r="W12" s="148">
        <v>4.9223126384610799E-3</v>
      </c>
    </row>
    <row r="13" spans="1:23">
      <c r="A13" s="13">
        <v>382</v>
      </c>
      <c r="B13" s="13">
        <v>382</v>
      </c>
      <c r="C13" s="13" t="s">
        <v>1385</v>
      </c>
      <c r="D13" s="13" t="s">
        <v>1386</v>
      </c>
      <c r="E13" s="11" t="s">
        <v>1322</v>
      </c>
      <c r="F13" s="13" t="s">
        <v>1395</v>
      </c>
      <c r="G13" s="13" t="s">
        <v>1396</v>
      </c>
      <c r="H13" s="11" t="s">
        <v>184</v>
      </c>
      <c r="I13" s="13" t="s">
        <v>991</v>
      </c>
      <c r="J13" s="11" t="s">
        <v>30</v>
      </c>
      <c r="K13" s="11" t="s">
        <v>30</v>
      </c>
      <c r="L13" s="11" t="s">
        <v>44</v>
      </c>
      <c r="M13" s="13" t="s">
        <v>1346</v>
      </c>
      <c r="N13" s="13" t="s">
        <v>144</v>
      </c>
      <c r="O13" s="11" t="s">
        <v>34</v>
      </c>
      <c r="P13" s="128">
        <v>105000</v>
      </c>
      <c r="Q13" s="149">
        <v>1</v>
      </c>
      <c r="R13" s="150">
        <v>10850</v>
      </c>
      <c r="S13" s="114"/>
      <c r="T13" s="127">
        <v>11392.5</v>
      </c>
      <c r="U13" s="148">
        <v>1.1467E-2</v>
      </c>
      <c r="V13" s="148">
        <v>1.13682514414182E-2</v>
      </c>
      <c r="W13" s="148">
        <v>3.9634393905323799E-3</v>
      </c>
    </row>
    <row r="14" spans="1:23">
      <c r="A14" s="13">
        <v>382</v>
      </c>
      <c r="B14" s="13">
        <v>382</v>
      </c>
      <c r="C14" s="13" t="s">
        <v>1397</v>
      </c>
      <c r="D14" s="13" t="s">
        <v>1398</v>
      </c>
      <c r="E14" s="11" t="s">
        <v>1322</v>
      </c>
      <c r="F14" s="13" t="s">
        <v>1399</v>
      </c>
      <c r="G14" s="13" t="s">
        <v>1400</v>
      </c>
      <c r="H14" s="11" t="s">
        <v>184</v>
      </c>
      <c r="I14" s="13" t="s">
        <v>991</v>
      </c>
      <c r="J14" s="11" t="s">
        <v>30</v>
      </c>
      <c r="K14" s="11" t="s">
        <v>30</v>
      </c>
      <c r="L14" s="11" t="s">
        <v>44</v>
      </c>
      <c r="M14" s="13" t="s">
        <v>1346</v>
      </c>
      <c r="N14" s="13" t="s">
        <v>144</v>
      </c>
      <c r="O14" s="11" t="s">
        <v>34</v>
      </c>
      <c r="P14" s="128">
        <v>590710</v>
      </c>
      <c r="Q14" s="149">
        <v>1</v>
      </c>
      <c r="R14" s="150">
        <v>2405</v>
      </c>
      <c r="S14" s="114"/>
      <c r="T14" s="127">
        <v>14206.575999999999</v>
      </c>
      <c r="U14" s="148">
        <v>1.449E-3</v>
      </c>
      <c r="V14" s="148">
        <v>1.4176337275004801E-2</v>
      </c>
      <c r="W14" s="148">
        <v>4.9424534510662402E-3</v>
      </c>
    </row>
    <row r="15" spans="1:23">
      <c r="A15" s="13">
        <v>382</v>
      </c>
      <c r="B15" s="13">
        <v>382</v>
      </c>
      <c r="C15" s="13" t="s">
        <v>1401</v>
      </c>
      <c r="D15" s="13" t="s">
        <v>1402</v>
      </c>
      <c r="E15" s="11" t="s">
        <v>181</v>
      </c>
      <c r="F15" s="13" t="s">
        <v>1403</v>
      </c>
      <c r="G15" s="13" t="s">
        <v>1404</v>
      </c>
      <c r="H15" s="11" t="s">
        <v>184</v>
      </c>
      <c r="I15" s="13" t="s">
        <v>992</v>
      </c>
      <c r="J15" s="11" t="s">
        <v>85</v>
      </c>
      <c r="K15" s="11" t="s">
        <v>94</v>
      </c>
      <c r="L15" s="11" t="s">
        <v>374</v>
      </c>
      <c r="M15" s="13" t="s">
        <v>745</v>
      </c>
      <c r="N15" s="13" t="s">
        <v>144</v>
      </c>
      <c r="O15" s="11" t="s">
        <v>89</v>
      </c>
      <c r="P15" s="128">
        <v>144850</v>
      </c>
      <c r="Q15" s="149">
        <v>3.6469999999999998</v>
      </c>
      <c r="R15" s="150">
        <v>11638.61</v>
      </c>
      <c r="S15" s="114"/>
      <c r="T15" s="127">
        <v>61483.046000000002</v>
      </c>
      <c r="U15" s="148">
        <v>3.104E-3</v>
      </c>
      <c r="V15" s="148">
        <v>6.1352181829314401E-2</v>
      </c>
      <c r="W15" s="148">
        <v>2.1389890557089401E-2</v>
      </c>
    </row>
    <row r="16" spans="1:23">
      <c r="A16" s="13">
        <v>382</v>
      </c>
      <c r="B16" s="13">
        <v>382</v>
      </c>
      <c r="C16" s="13" t="s">
        <v>1405</v>
      </c>
      <c r="D16" s="13" t="s">
        <v>1406</v>
      </c>
      <c r="E16" s="11" t="s">
        <v>181</v>
      </c>
      <c r="F16" s="13" t="s">
        <v>1407</v>
      </c>
      <c r="G16" s="13" t="s">
        <v>1408</v>
      </c>
      <c r="H16" s="11" t="s">
        <v>184</v>
      </c>
      <c r="I16" s="13" t="s">
        <v>992</v>
      </c>
      <c r="J16" s="11" t="s">
        <v>85</v>
      </c>
      <c r="K16" s="11" t="s">
        <v>94</v>
      </c>
      <c r="L16" s="11" t="s">
        <v>354</v>
      </c>
      <c r="M16" s="13" t="s">
        <v>745</v>
      </c>
      <c r="N16" s="13" t="s">
        <v>144</v>
      </c>
      <c r="O16" s="11" t="s">
        <v>89</v>
      </c>
      <c r="P16" s="128">
        <v>18600</v>
      </c>
      <c r="Q16" s="149">
        <v>3.6469999999999998</v>
      </c>
      <c r="R16" s="150">
        <v>22096</v>
      </c>
      <c r="S16" s="114"/>
      <c r="T16" s="127">
        <v>14988.645</v>
      </c>
      <c r="U16" s="148">
        <v>6.4999999999999994E-5</v>
      </c>
      <c r="V16" s="148">
        <v>1.4956741998357699E-2</v>
      </c>
      <c r="W16" s="148">
        <v>5.2145345918673102E-3</v>
      </c>
    </row>
    <row r="17" spans="1:23">
      <c r="A17" s="13">
        <v>382</v>
      </c>
      <c r="B17" s="13">
        <v>382</v>
      </c>
      <c r="C17" s="13" t="s">
        <v>1409</v>
      </c>
      <c r="D17" s="13" t="s">
        <v>1410</v>
      </c>
      <c r="E17" s="11" t="s">
        <v>181</v>
      </c>
      <c r="F17" s="13" t="s">
        <v>1411</v>
      </c>
      <c r="G17" s="13" t="s">
        <v>1412</v>
      </c>
      <c r="H17" s="11" t="s">
        <v>184</v>
      </c>
      <c r="I17" s="13" t="s">
        <v>992</v>
      </c>
      <c r="J17" s="11" t="s">
        <v>85</v>
      </c>
      <c r="K17" s="11" t="s">
        <v>282</v>
      </c>
      <c r="L17" s="11" t="s">
        <v>380</v>
      </c>
      <c r="M17" s="13" t="s">
        <v>745</v>
      </c>
      <c r="N17" s="13" t="s">
        <v>144</v>
      </c>
      <c r="O17" s="11" t="s">
        <v>1180</v>
      </c>
      <c r="P17" s="128">
        <v>99000</v>
      </c>
      <c r="Q17" s="149">
        <v>0.47010000000000002</v>
      </c>
      <c r="R17" s="150">
        <v>7428</v>
      </c>
      <c r="S17" s="114"/>
      <c r="T17" s="127">
        <v>3456.9839999999999</v>
      </c>
      <c r="U17" s="148">
        <v>2.0900000000000001E-4</v>
      </c>
      <c r="V17" s="148">
        <v>3.44962569664239E-3</v>
      </c>
      <c r="W17" s="148">
        <v>1.2026812073185E-3</v>
      </c>
    </row>
    <row r="18" spans="1:23">
      <c r="A18" s="13">
        <v>382</v>
      </c>
      <c r="B18" s="13">
        <v>382</v>
      </c>
      <c r="C18" s="13" t="s">
        <v>1405</v>
      </c>
      <c r="D18" s="13" t="s">
        <v>1406</v>
      </c>
      <c r="E18" s="11" t="s">
        <v>181</v>
      </c>
      <c r="F18" s="13" t="s">
        <v>1413</v>
      </c>
      <c r="G18" s="13" t="s">
        <v>1414</v>
      </c>
      <c r="H18" s="11" t="s">
        <v>184</v>
      </c>
      <c r="I18" s="13" t="s">
        <v>994</v>
      </c>
      <c r="J18" s="11" t="s">
        <v>85</v>
      </c>
      <c r="K18" s="11" t="s">
        <v>310</v>
      </c>
      <c r="L18" s="11" t="s">
        <v>390</v>
      </c>
      <c r="M18" s="13" t="s">
        <v>742</v>
      </c>
      <c r="N18" s="13" t="s">
        <v>144</v>
      </c>
      <c r="O18" s="11" t="s">
        <v>89</v>
      </c>
      <c r="P18" s="128">
        <v>792600</v>
      </c>
      <c r="Q18" s="149">
        <v>3.6469999999999998</v>
      </c>
      <c r="R18" s="150">
        <v>586.15</v>
      </c>
      <c r="S18" s="114"/>
      <c r="T18" s="127">
        <v>16943.323</v>
      </c>
      <c r="U18" s="148">
        <v>2.3379999999999998E-3</v>
      </c>
      <c r="V18" s="148">
        <v>1.69072601081025E-2</v>
      </c>
      <c r="W18" s="148">
        <v>5.8945653202468603E-3</v>
      </c>
    </row>
    <row r="19" spans="1:23">
      <c r="A19" s="13">
        <v>382</v>
      </c>
      <c r="B19" s="13">
        <v>382</v>
      </c>
      <c r="C19" s="13" t="s">
        <v>1405</v>
      </c>
      <c r="D19" s="13" t="s">
        <v>1406</v>
      </c>
      <c r="E19" s="11" t="s">
        <v>181</v>
      </c>
      <c r="F19" s="13" t="s">
        <v>1415</v>
      </c>
      <c r="G19" s="13" t="s">
        <v>1416</v>
      </c>
      <c r="H19" s="11" t="s">
        <v>184</v>
      </c>
      <c r="I19" s="13" t="s">
        <v>992</v>
      </c>
      <c r="J19" s="11" t="s">
        <v>85</v>
      </c>
      <c r="K19" s="11" t="s">
        <v>307</v>
      </c>
      <c r="L19" s="11" t="s">
        <v>378</v>
      </c>
      <c r="M19" s="13" t="s">
        <v>745</v>
      </c>
      <c r="N19" s="13" t="s">
        <v>144</v>
      </c>
      <c r="O19" s="11" t="s">
        <v>1181</v>
      </c>
      <c r="P19" s="128">
        <v>124900</v>
      </c>
      <c r="Q19" s="149">
        <v>3.7964000000000002</v>
      </c>
      <c r="R19" s="150">
        <v>4909</v>
      </c>
      <c r="S19" s="114"/>
      <c r="T19" s="127">
        <v>23277.023000000001</v>
      </c>
      <c r="U19" s="148">
        <v>8.7900000000000001E-4</v>
      </c>
      <c r="V19" s="148">
        <v>2.3227478600650501E-2</v>
      </c>
      <c r="W19" s="148">
        <v>8.0980530825663592E-3</v>
      </c>
    </row>
    <row r="20" spans="1:23">
      <c r="A20" s="2">
        <v>382</v>
      </c>
      <c r="B20" s="2">
        <v>382</v>
      </c>
      <c r="C20" s="2" t="s">
        <v>1405</v>
      </c>
      <c r="D20" s="2" t="s">
        <v>1406</v>
      </c>
      <c r="E20" s="11" t="s">
        <v>181</v>
      </c>
      <c r="F20" s="2" t="s">
        <v>1417</v>
      </c>
      <c r="G20" s="2" t="s">
        <v>1418</v>
      </c>
      <c r="H20" s="11" t="s">
        <v>184</v>
      </c>
      <c r="I20" s="13" t="s">
        <v>992</v>
      </c>
      <c r="J20" s="11" t="s">
        <v>85</v>
      </c>
      <c r="K20" s="11" t="s">
        <v>94</v>
      </c>
      <c r="L20" s="11" t="s">
        <v>86</v>
      </c>
      <c r="M20" s="13" t="s">
        <v>745</v>
      </c>
      <c r="N20" s="13" t="s">
        <v>144</v>
      </c>
      <c r="O20" s="2" t="s">
        <v>89</v>
      </c>
      <c r="P20" s="128">
        <v>570320</v>
      </c>
      <c r="Q20" s="134">
        <v>3.6469999999999998</v>
      </c>
      <c r="R20" s="151">
        <v>639.75</v>
      </c>
      <c r="S20" s="115"/>
      <c r="T20" s="125">
        <v>13306.525</v>
      </c>
      <c r="U20" s="140">
        <v>0</v>
      </c>
      <c r="V20" s="140">
        <v>1.3278202665708999E-2</v>
      </c>
      <c r="W20" s="140">
        <v>4.6293268364037601E-3</v>
      </c>
    </row>
    <row r="21" spans="1:23">
      <c r="A21" s="2">
        <v>382</v>
      </c>
      <c r="B21" s="2">
        <v>382</v>
      </c>
      <c r="C21" s="2" t="s">
        <v>1405</v>
      </c>
      <c r="D21" s="2" t="s">
        <v>1406</v>
      </c>
      <c r="E21" s="3" t="s">
        <v>181</v>
      </c>
      <c r="F21" s="2" t="s">
        <v>1419</v>
      </c>
      <c r="G21" s="2" t="s">
        <v>1420</v>
      </c>
      <c r="H21" s="3" t="s">
        <v>184</v>
      </c>
      <c r="I21" s="2" t="s">
        <v>992</v>
      </c>
      <c r="J21" s="2" t="s">
        <v>85</v>
      </c>
      <c r="K21" s="2" t="s">
        <v>94</v>
      </c>
      <c r="L21" s="3" t="s">
        <v>86</v>
      </c>
      <c r="M21" s="2" t="s">
        <v>745</v>
      </c>
      <c r="N21" s="2" t="s">
        <v>144</v>
      </c>
      <c r="O21" s="2" t="s">
        <v>89</v>
      </c>
      <c r="P21" s="126">
        <v>323390</v>
      </c>
      <c r="Q21" s="134">
        <v>3.6469999999999998</v>
      </c>
      <c r="R21" s="151">
        <v>1105.1559999999999</v>
      </c>
      <c r="S21" s="115"/>
      <c r="T21" s="125">
        <v>13034.249</v>
      </c>
      <c r="U21" s="140">
        <v>9.8589999999999997E-3</v>
      </c>
      <c r="V21" s="140">
        <v>1.3006506057546E-2</v>
      </c>
      <c r="W21" s="140">
        <v>4.5346022391676401E-3</v>
      </c>
    </row>
    <row r="22" spans="1:23">
      <c r="A22" s="2">
        <v>382</v>
      </c>
      <c r="B22" s="2">
        <v>382</v>
      </c>
      <c r="C22" s="2" t="s">
        <v>1405</v>
      </c>
      <c r="D22" s="2" t="s">
        <v>1406</v>
      </c>
      <c r="E22" s="3" t="s">
        <v>181</v>
      </c>
      <c r="F22" s="2" t="s">
        <v>1421</v>
      </c>
      <c r="G22" s="2" t="s">
        <v>1422</v>
      </c>
      <c r="H22" s="2" t="s">
        <v>184</v>
      </c>
      <c r="I22" s="2" t="s">
        <v>994</v>
      </c>
      <c r="J22" s="2" t="s">
        <v>85</v>
      </c>
      <c r="K22" s="2" t="s">
        <v>94</v>
      </c>
      <c r="L22" s="3" t="s">
        <v>390</v>
      </c>
      <c r="M22" s="2" t="s">
        <v>742</v>
      </c>
      <c r="N22" s="2" t="s">
        <v>144</v>
      </c>
      <c r="O22" s="2" t="s">
        <v>89</v>
      </c>
      <c r="P22" s="126">
        <v>260000</v>
      </c>
      <c r="Q22" s="134">
        <v>3.6469999999999998</v>
      </c>
      <c r="R22" s="151">
        <v>595.1</v>
      </c>
      <c r="S22" s="115"/>
      <c r="T22" s="125">
        <v>5642.857</v>
      </c>
      <c r="U22" s="140">
        <v>0</v>
      </c>
      <c r="V22" s="140">
        <v>5.6308465854713399E-3</v>
      </c>
      <c r="W22" s="140">
        <v>1.96314440034216E-3</v>
      </c>
    </row>
    <row r="23" spans="1:23">
      <c r="A23" s="2">
        <v>382</v>
      </c>
      <c r="B23" s="2">
        <v>382</v>
      </c>
      <c r="C23" s="2" t="s">
        <v>1405</v>
      </c>
      <c r="D23" s="2" t="s">
        <v>1406</v>
      </c>
      <c r="E23" s="3" t="s">
        <v>181</v>
      </c>
      <c r="F23" s="2" t="s">
        <v>1423</v>
      </c>
      <c r="G23" s="2" t="s">
        <v>1424</v>
      </c>
      <c r="H23" s="2" t="s">
        <v>184</v>
      </c>
      <c r="I23" s="2" t="s">
        <v>992</v>
      </c>
      <c r="J23" s="2" t="s">
        <v>85</v>
      </c>
      <c r="K23" s="2" t="s">
        <v>310</v>
      </c>
      <c r="L23" s="2" t="s">
        <v>378</v>
      </c>
      <c r="M23" s="2" t="s">
        <v>745</v>
      </c>
      <c r="N23" s="2" t="s">
        <v>144</v>
      </c>
      <c r="O23" s="2" t="s">
        <v>1181</v>
      </c>
      <c r="P23" s="126">
        <v>21860</v>
      </c>
      <c r="Q23" s="134">
        <v>3.7964000000000002</v>
      </c>
      <c r="R23" s="151">
        <v>16566</v>
      </c>
      <c r="S23" s="115"/>
      <c r="T23" s="125">
        <v>13748.008</v>
      </c>
      <c r="U23" s="140">
        <v>5.1199999999999998E-4</v>
      </c>
      <c r="V23" s="140">
        <v>1.3718745921152501E-2</v>
      </c>
      <c r="W23" s="140">
        <v>4.7829183100666899E-3</v>
      </c>
    </row>
    <row r="24" spans="1:23">
      <c r="A24" s="2">
        <v>382</v>
      </c>
      <c r="B24" s="2">
        <v>382</v>
      </c>
      <c r="C24" s="2" t="s">
        <v>1405</v>
      </c>
      <c r="D24" s="2" t="s">
        <v>1406</v>
      </c>
      <c r="E24" s="3" t="s">
        <v>181</v>
      </c>
      <c r="F24" s="2" t="s">
        <v>1425</v>
      </c>
      <c r="G24" s="2" t="s">
        <v>1426</v>
      </c>
      <c r="H24" s="2" t="s">
        <v>184</v>
      </c>
      <c r="I24" s="2" t="s">
        <v>992</v>
      </c>
      <c r="J24" s="2" t="s">
        <v>85</v>
      </c>
      <c r="K24" s="2" t="s">
        <v>94</v>
      </c>
      <c r="L24" s="2" t="s">
        <v>354</v>
      </c>
      <c r="M24" s="2" t="s">
        <v>745</v>
      </c>
      <c r="N24" s="2" t="s">
        <v>144</v>
      </c>
      <c r="O24" s="2" t="s">
        <v>89</v>
      </c>
      <c r="P24" s="126">
        <v>31500</v>
      </c>
      <c r="Q24" s="134">
        <v>3.6469999999999998</v>
      </c>
      <c r="R24" s="151">
        <v>10339</v>
      </c>
      <c r="S24" s="115"/>
      <c r="T24" s="125">
        <v>11877.495000000001</v>
      </c>
      <c r="U24" s="140">
        <v>1.23E-3</v>
      </c>
      <c r="V24" s="140">
        <v>1.18522140408621E-2</v>
      </c>
      <c r="W24" s="140">
        <v>4.1321686309142196E-3</v>
      </c>
    </row>
    <row r="25" spans="1:23">
      <c r="A25" s="2">
        <v>382</v>
      </c>
      <c r="B25" s="2">
        <v>382</v>
      </c>
      <c r="C25" s="2" t="s">
        <v>1405</v>
      </c>
      <c r="D25" s="2" t="s">
        <v>1406</v>
      </c>
      <c r="E25" s="3" t="s">
        <v>181</v>
      </c>
      <c r="F25" s="2" t="s">
        <v>1427</v>
      </c>
      <c r="G25" s="2" t="s">
        <v>1428</v>
      </c>
      <c r="H25" s="2" t="s">
        <v>184</v>
      </c>
      <c r="I25" s="2" t="s">
        <v>992</v>
      </c>
      <c r="J25" s="2" t="s">
        <v>85</v>
      </c>
      <c r="K25" s="2" t="s">
        <v>94</v>
      </c>
      <c r="L25" s="2" t="s">
        <v>390</v>
      </c>
      <c r="M25" s="2" t="s">
        <v>745</v>
      </c>
      <c r="N25" s="2" t="s">
        <v>144</v>
      </c>
      <c r="O25" s="2" t="s">
        <v>89</v>
      </c>
      <c r="P25" s="126">
        <v>2600</v>
      </c>
      <c r="Q25" s="134">
        <v>3.6469999999999998</v>
      </c>
      <c r="R25" s="151">
        <v>121767</v>
      </c>
      <c r="S25" s="115"/>
      <c r="T25" s="125">
        <v>11546.19</v>
      </c>
      <c r="U25" s="140">
        <v>2.4499999999999999E-4</v>
      </c>
      <c r="V25" s="140">
        <v>1.15216147903392E-2</v>
      </c>
      <c r="W25" s="140">
        <v>4.01690815319212E-3</v>
      </c>
    </row>
    <row r="26" spans="1:23">
      <c r="A26" s="2">
        <v>382</v>
      </c>
      <c r="B26" s="2">
        <v>382</v>
      </c>
      <c r="C26" s="2" t="s">
        <v>1429</v>
      </c>
      <c r="D26" s="2" t="s">
        <v>1402</v>
      </c>
      <c r="E26" s="3" t="s">
        <v>181</v>
      </c>
      <c r="F26" s="2" t="s">
        <v>1430</v>
      </c>
      <c r="G26" s="4" t="s">
        <v>1431</v>
      </c>
      <c r="H26" s="2" t="s">
        <v>184</v>
      </c>
      <c r="I26" s="2" t="s">
        <v>992</v>
      </c>
      <c r="J26" s="2" t="s">
        <v>85</v>
      </c>
      <c r="K26" s="2" t="s">
        <v>94</v>
      </c>
      <c r="L26" s="2" t="s">
        <v>390</v>
      </c>
      <c r="M26" s="2" t="s">
        <v>745</v>
      </c>
      <c r="N26" s="2" t="s">
        <v>144</v>
      </c>
      <c r="O26" s="2" t="s">
        <v>89</v>
      </c>
      <c r="P26" s="126">
        <v>43600</v>
      </c>
      <c r="Q26" s="134">
        <v>3.6469999999999998</v>
      </c>
      <c r="R26" s="151">
        <v>42367.5</v>
      </c>
      <c r="S26" s="115"/>
      <c r="T26" s="125">
        <v>67368.222999999998</v>
      </c>
      <c r="U26" s="140">
        <v>4.914E-3</v>
      </c>
      <c r="V26" s="140">
        <v>6.7224831781046004E-2</v>
      </c>
      <c r="W26" s="140">
        <v>2.34373375427093E-2</v>
      </c>
    </row>
    <row r="27" spans="1:23">
      <c r="A27" s="2">
        <v>382</v>
      </c>
      <c r="B27" s="2">
        <v>382</v>
      </c>
      <c r="C27" s="2" t="s">
        <v>1338</v>
      </c>
      <c r="D27" s="2" t="s">
        <v>1339</v>
      </c>
      <c r="E27" s="3" t="s">
        <v>181</v>
      </c>
      <c r="F27" s="2" t="s">
        <v>1432</v>
      </c>
      <c r="G27" s="2" t="s">
        <v>1433</v>
      </c>
      <c r="H27" s="2" t="s">
        <v>184</v>
      </c>
      <c r="I27" s="2" t="s">
        <v>992</v>
      </c>
      <c r="J27" s="2" t="s">
        <v>85</v>
      </c>
      <c r="K27" s="2" t="s">
        <v>265</v>
      </c>
      <c r="L27" s="2" t="s">
        <v>358</v>
      </c>
      <c r="M27" s="2" t="s">
        <v>745</v>
      </c>
      <c r="N27" s="2" t="s">
        <v>144</v>
      </c>
      <c r="O27" s="2" t="s">
        <v>1182</v>
      </c>
      <c r="P27" s="126">
        <v>234300</v>
      </c>
      <c r="Q27" s="134">
        <v>2.3285</v>
      </c>
      <c r="R27" s="151">
        <v>2919</v>
      </c>
      <c r="S27" s="115"/>
      <c r="T27" s="125">
        <v>15925.117</v>
      </c>
      <c r="U27" s="140">
        <v>2.9E-5</v>
      </c>
      <c r="V27" s="140">
        <v>1.5891220701351402E-2</v>
      </c>
      <c r="W27" s="140">
        <v>5.5403322503853897E-3</v>
      </c>
    </row>
    <row r="28" spans="1:23">
      <c r="A28" s="2">
        <v>382</v>
      </c>
      <c r="B28" s="2">
        <v>382</v>
      </c>
      <c r="C28" s="2" t="s">
        <v>1359</v>
      </c>
      <c r="D28" s="2" t="s">
        <v>1360</v>
      </c>
      <c r="E28" s="3" t="s">
        <v>181</v>
      </c>
      <c r="F28" s="2" t="s">
        <v>1434</v>
      </c>
      <c r="G28" s="2" t="s">
        <v>1435</v>
      </c>
      <c r="H28" s="2" t="s">
        <v>184</v>
      </c>
      <c r="I28" s="2" t="s">
        <v>992</v>
      </c>
      <c r="J28" s="2" t="s">
        <v>85</v>
      </c>
      <c r="K28" s="2" t="s">
        <v>94</v>
      </c>
      <c r="L28" s="2" t="s">
        <v>390</v>
      </c>
      <c r="M28" s="2" t="s">
        <v>745</v>
      </c>
      <c r="N28" s="2" t="s">
        <v>144</v>
      </c>
      <c r="O28" s="2" t="s">
        <v>89</v>
      </c>
      <c r="P28" s="126">
        <v>8115</v>
      </c>
      <c r="Q28" s="134">
        <v>3.6469999999999998</v>
      </c>
      <c r="R28" s="151">
        <v>116945.5</v>
      </c>
      <c r="S28" s="115"/>
      <c r="T28" s="125">
        <v>34610.493999999999</v>
      </c>
      <c r="U28" s="140">
        <v>3.7300000000000001E-4</v>
      </c>
      <c r="V28" s="140">
        <v>3.4536827064400602E-2</v>
      </c>
      <c r="W28" s="140">
        <v>1.2040956475710501E-2</v>
      </c>
    </row>
    <row r="29" spans="1:23">
      <c r="A29" s="2">
        <v>382</v>
      </c>
      <c r="B29" s="2">
        <v>382</v>
      </c>
      <c r="C29" s="2" t="s">
        <v>1436</v>
      </c>
      <c r="D29" s="2" t="s">
        <v>1437</v>
      </c>
      <c r="E29" s="3" t="s">
        <v>181</v>
      </c>
      <c r="F29" s="2" t="s">
        <v>1438</v>
      </c>
      <c r="G29" s="2" t="s">
        <v>1439</v>
      </c>
      <c r="H29" s="2" t="s">
        <v>184</v>
      </c>
      <c r="I29" s="2" t="s">
        <v>994</v>
      </c>
      <c r="J29" s="2" t="s">
        <v>85</v>
      </c>
      <c r="K29" s="2" t="s">
        <v>94</v>
      </c>
      <c r="L29" s="2" t="s">
        <v>1440</v>
      </c>
      <c r="M29" s="2" t="s">
        <v>742</v>
      </c>
      <c r="N29" s="2" t="s">
        <v>144</v>
      </c>
      <c r="O29" s="2" t="s">
        <v>89</v>
      </c>
      <c r="P29" s="126">
        <v>146000</v>
      </c>
      <c r="Q29" s="134">
        <v>3.6469999999999998</v>
      </c>
      <c r="R29" s="151">
        <v>1080.5999999999999</v>
      </c>
      <c r="S29" s="115"/>
      <c r="T29" s="125">
        <v>5753.7839999999997</v>
      </c>
      <c r="U29" s="140">
        <v>8.9569999999999997E-3</v>
      </c>
      <c r="V29" s="140">
        <v>5.7415376327056003E-3</v>
      </c>
      <c r="W29" s="140">
        <v>2.00173584591744E-3</v>
      </c>
    </row>
    <row r="30" spans="1:23">
      <c r="A30" s="2">
        <v>382</v>
      </c>
      <c r="B30" s="2">
        <v>382</v>
      </c>
      <c r="C30" s="2" t="s">
        <v>1436</v>
      </c>
      <c r="D30" s="2" t="s">
        <v>1437</v>
      </c>
      <c r="E30" s="3" t="s">
        <v>181</v>
      </c>
      <c r="F30" s="2" t="s">
        <v>1441</v>
      </c>
      <c r="G30" s="2" t="s">
        <v>1442</v>
      </c>
      <c r="H30" s="2" t="s">
        <v>184</v>
      </c>
      <c r="I30" s="2" t="s">
        <v>992</v>
      </c>
      <c r="J30" s="2" t="s">
        <v>85</v>
      </c>
      <c r="K30" s="2" t="s">
        <v>94</v>
      </c>
      <c r="L30" s="2" t="s">
        <v>354</v>
      </c>
      <c r="M30" s="2" t="s">
        <v>745</v>
      </c>
      <c r="N30" s="2" t="s">
        <v>144</v>
      </c>
      <c r="O30" s="2" t="s">
        <v>89</v>
      </c>
      <c r="P30" s="126">
        <v>531700</v>
      </c>
      <c r="Q30" s="134">
        <v>3.6469999999999998</v>
      </c>
      <c r="R30" s="151">
        <v>6894</v>
      </c>
      <c r="S30" s="115"/>
      <c r="T30" s="125">
        <v>133682.23699999999</v>
      </c>
      <c r="U30" s="140">
        <v>1.7600000000000001E-3</v>
      </c>
      <c r="V30" s="140">
        <v>0.13339769829724299</v>
      </c>
      <c r="W30" s="140">
        <v>4.6507916785810399E-2</v>
      </c>
    </row>
    <row r="31" spans="1:23">
      <c r="A31" s="2">
        <v>382</v>
      </c>
      <c r="B31" s="2">
        <v>382</v>
      </c>
      <c r="C31" s="2" t="s">
        <v>1436</v>
      </c>
      <c r="D31" s="2" t="s">
        <v>1437</v>
      </c>
      <c r="E31" s="3" t="s">
        <v>181</v>
      </c>
      <c r="F31" s="2" t="s">
        <v>1443</v>
      </c>
      <c r="G31" s="2" t="s">
        <v>1444</v>
      </c>
      <c r="H31" s="2" t="s">
        <v>184</v>
      </c>
      <c r="I31" s="2" t="s">
        <v>992</v>
      </c>
      <c r="J31" s="2" t="s">
        <v>85</v>
      </c>
      <c r="K31" s="2" t="s">
        <v>94</v>
      </c>
      <c r="L31" s="2" t="s">
        <v>390</v>
      </c>
      <c r="M31" s="2" t="s">
        <v>745</v>
      </c>
      <c r="N31" s="2" t="s">
        <v>144</v>
      </c>
      <c r="O31" s="2" t="s">
        <v>89</v>
      </c>
      <c r="P31" s="126">
        <v>1686180</v>
      </c>
      <c r="Q31" s="134">
        <v>3.6469999999999998</v>
      </c>
      <c r="R31" s="151">
        <v>1443.9</v>
      </c>
      <c r="S31" s="115"/>
      <c r="T31" s="125">
        <v>88792.607999999993</v>
      </c>
      <c r="U31" s="140">
        <v>0</v>
      </c>
      <c r="V31" s="140">
        <v>8.8603616140778496E-2</v>
      </c>
      <c r="W31" s="140">
        <v>3.0890859879869201E-2</v>
      </c>
    </row>
    <row r="32" spans="1:23">
      <c r="A32" s="2">
        <v>382</v>
      </c>
      <c r="B32" s="2">
        <v>382</v>
      </c>
      <c r="C32" s="2" t="s">
        <v>1436</v>
      </c>
      <c r="D32" s="2" t="s">
        <v>1437</v>
      </c>
      <c r="E32" s="3" t="s">
        <v>181</v>
      </c>
      <c r="F32" s="2" t="s">
        <v>1445</v>
      </c>
      <c r="G32" s="2" t="s">
        <v>1446</v>
      </c>
      <c r="H32" s="2" t="s">
        <v>184</v>
      </c>
      <c r="I32" s="2" t="s">
        <v>994</v>
      </c>
      <c r="J32" s="2" t="s">
        <v>85</v>
      </c>
      <c r="K32" s="2" t="s">
        <v>94</v>
      </c>
      <c r="L32" s="2" t="s">
        <v>390</v>
      </c>
      <c r="M32" s="2" t="s">
        <v>742</v>
      </c>
      <c r="N32" s="2" t="s">
        <v>144</v>
      </c>
      <c r="O32" s="2" t="s">
        <v>89</v>
      </c>
      <c r="P32" s="126">
        <v>227000</v>
      </c>
      <c r="Q32" s="134">
        <v>3.6469999999999998</v>
      </c>
      <c r="R32" s="151">
        <v>2832</v>
      </c>
      <c r="S32" s="115"/>
      <c r="T32" s="125">
        <v>23445.25</v>
      </c>
      <c r="U32" s="140">
        <v>9.1799999999999998E-4</v>
      </c>
      <c r="V32" s="140">
        <v>2.3395347642428801E-2</v>
      </c>
      <c r="W32" s="140">
        <v>8.1565791255610604E-3</v>
      </c>
    </row>
    <row r="33" spans="1:23">
      <c r="A33" s="2">
        <v>382</v>
      </c>
      <c r="B33" s="2">
        <v>382</v>
      </c>
      <c r="C33" s="2" t="s">
        <v>1436</v>
      </c>
      <c r="D33" s="2" t="s">
        <v>1437</v>
      </c>
      <c r="E33" s="3" t="s">
        <v>181</v>
      </c>
      <c r="F33" s="2" t="s">
        <v>1447</v>
      </c>
      <c r="G33" s="2" t="s">
        <v>1448</v>
      </c>
      <c r="H33" s="2" t="s">
        <v>184</v>
      </c>
      <c r="I33" s="2" t="s">
        <v>992</v>
      </c>
      <c r="J33" s="2" t="s">
        <v>85</v>
      </c>
      <c r="K33" s="2" t="s">
        <v>94</v>
      </c>
      <c r="L33" s="2" t="s">
        <v>390</v>
      </c>
      <c r="M33" s="2" t="s">
        <v>745</v>
      </c>
      <c r="N33" s="2" t="s">
        <v>144</v>
      </c>
      <c r="O33" s="2" t="s">
        <v>89</v>
      </c>
      <c r="P33" s="126">
        <v>117000</v>
      </c>
      <c r="Q33" s="134">
        <v>3.6469999999999998</v>
      </c>
      <c r="R33" s="151">
        <v>3282</v>
      </c>
      <c r="S33" s="115"/>
      <c r="T33" s="125">
        <v>14004.261</v>
      </c>
      <c r="U33" s="140">
        <v>0</v>
      </c>
      <c r="V33" s="140">
        <v>1.3974453574328E-2</v>
      </c>
      <c r="W33" s="140">
        <v>4.8720685008659601E-3</v>
      </c>
    </row>
    <row r="34" spans="1:23">
      <c r="A34" s="2">
        <v>382</v>
      </c>
      <c r="B34" s="2">
        <v>382</v>
      </c>
      <c r="C34" s="2" t="s">
        <v>1436</v>
      </c>
      <c r="D34" s="2" t="s">
        <v>1437</v>
      </c>
      <c r="E34" s="3" t="s">
        <v>181</v>
      </c>
      <c r="F34" s="2" t="s">
        <v>1449</v>
      </c>
      <c r="G34" s="2" t="s">
        <v>1450</v>
      </c>
      <c r="H34" s="2" t="s">
        <v>184</v>
      </c>
      <c r="I34" s="2" t="s">
        <v>992</v>
      </c>
      <c r="J34" s="2" t="s">
        <v>85</v>
      </c>
      <c r="K34" s="2" t="s">
        <v>94</v>
      </c>
      <c r="L34" s="2" t="s">
        <v>390</v>
      </c>
      <c r="M34" s="2" t="s">
        <v>745</v>
      </c>
      <c r="N34" s="2" t="s">
        <v>144</v>
      </c>
      <c r="O34" s="2" t="s">
        <v>89</v>
      </c>
      <c r="P34" s="126">
        <v>45000</v>
      </c>
      <c r="Q34" s="134">
        <v>3.6469999999999998</v>
      </c>
      <c r="R34" s="151">
        <v>5653.25</v>
      </c>
      <c r="S34" s="115"/>
      <c r="T34" s="125">
        <v>9277.8310000000001</v>
      </c>
      <c r="U34" s="140">
        <v>1.36E-4</v>
      </c>
      <c r="V34" s="140">
        <v>9.2580836812766604E-3</v>
      </c>
      <c r="W34" s="140">
        <v>3.2277482365959398E-3</v>
      </c>
    </row>
    <row r="35" spans="1:23">
      <c r="A35" s="2">
        <v>382</v>
      </c>
      <c r="B35" s="2">
        <v>382</v>
      </c>
      <c r="C35" s="2" t="s">
        <v>1436</v>
      </c>
      <c r="D35" s="2" t="s">
        <v>1437</v>
      </c>
      <c r="E35" s="3" t="s">
        <v>181</v>
      </c>
      <c r="F35" s="2" t="s">
        <v>1451</v>
      </c>
      <c r="G35" s="2" t="s">
        <v>1452</v>
      </c>
      <c r="H35" s="2" t="s">
        <v>184</v>
      </c>
      <c r="I35" s="2" t="s">
        <v>992</v>
      </c>
      <c r="J35" s="2" t="s">
        <v>85</v>
      </c>
      <c r="K35" s="2" t="s">
        <v>94</v>
      </c>
      <c r="L35" s="2" t="s">
        <v>390</v>
      </c>
      <c r="M35" s="2" t="s">
        <v>745</v>
      </c>
      <c r="N35" s="2" t="s">
        <v>144</v>
      </c>
      <c r="O35" s="2" t="s">
        <v>89</v>
      </c>
      <c r="P35" s="126">
        <v>17000</v>
      </c>
      <c r="Q35" s="134">
        <v>3.6469999999999998</v>
      </c>
      <c r="R35" s="151">
        <v>12384.5</v>
      </c>
      <c r="S35" s="115"/>
      <c r="T35" s="125">
        <v>7678.2659999999996</v>
      </c>
      <c r="U35" s="140">
        <v>0</v>
      </c>
      <c r="V35" s="140">
        <v>7.6619232200282198E-3</v>
      </c>
      <c r="W35" s="140">
        <v>2.6712611393213599E-3</v>
      </c>
    </row>
    <row r="36" spans="1:23">
      <c r="A36" s="2">
        <v>382</v>
      </c>
      <c r="B36" s="2">
        <v>382</v>
      </c>
      <c r="C36" s="2" t="s">
        <v>1453</v>
      </c>
      <c r="D36" s="2" t="s">
        <v>1454</v>
      </c>
      <c r="E36" s="3" t="s">
        <v>181</v>
      </c>
      <c r="F36" s="2" t="s">
        <v>1455</v>
      </c>
      <c r="G36" s="2" t="s">
        <v>1456</v>
      </c>
      <c r="H36" s="2" t="s">
        <v>184</v>
      </c>
      <c r="I36" s="2" t="s">
        <v>994</v>
      </c>
      <c r="J36" s="2" t="s">
        <v>85</v>
      </c>
      <c r="K36" s="2" t="s">
        <v>94</v>
      </c>
      <c r="L36" s="2" t="s">
        <v>390</v>
      </c>
      <c r="M36" s="2" t="s">
        <v>742</v>
      </c>
      <c r="N36" s="2" t="s">
        <v>144</v>
      </c>
      <c r="O36" s="2" t="s">
        <v>89</v>
      </c>
      <c r="P36" s="126">
        <v>139500</v>
      </c>
      <c r="Q36" s="134">
        <v>3.6469999999999998</v>
      </c>
      <c r="R36" s="151">
        <v>5691</v>
      </c>
      <c r="S36" s="115"/>
      <c r="T36" s="125">
        <v>28953.331999999999</v>
      </c>
      <c r="U36" s="140">
        <v>0</v>
      </c>
      <c r="V36" s="140">
        <v>2.8891706206775E-2</v>
      </c>
      <c r="W36" s="140">
        <v>1.00728354777958E-2</v>
      </c>
    </row>
    <row r="37" spans="1:23">
      <c r="A37" s="2">
        <v>382</v>
      </c>
      <c r="B37" s="2">
        <v>382</v>
      </c>
      <c r="C37" s="2" t="s">
        <v>1453</v>
      </c>
      <c r="D37" s="2" t="s">
        <v>1454</v>
      </c>
      <c r="E37" s="3" t="s">
        <v>181</v>
      </c>
      <c r="F37" s="2" t="s">
        <v>1457</v>
      </c>
      <c r="G37" s="2" t="s">
        <v>1458</v>
      </c>
      <c r="H37" s="2" t="s">
        <v>184</v>
      </c>
      <c r="I37" s="2" t="s">
        <v>992</v>
      </c>
      <c r="J37" s="2" t="s">
        <v>85</v>
      </c>
      <c r="K37" s="2" t="s">
        <v>1459</v>
      </c>
      <c r="L37" s="2" t="s">
        <v>390</v>
      </c>
      <c r="M37" s="2" t="s">
        <v>745</v>
      </c>
      <c r="N37" s="2" t="s">
        <v>144</v>
      </c>
      <c r="O37" s="2" t="s">
        <v>89</v>
      </c>
      <c r="P37" s="126">
        <v>41790</v>
      </c>
      <c r="Q37" s="134">
        <v>3.6469999999999998</v>
      </c>
      <c r="R37" s="151">
        <v>6302.5</v>
      </c>
      <c r="S37" s="115"/>
      <c r="T37" s="125">
        <v>9605.5220000000008</v>
      </c>
      <c r="U37" s="140">
        <v>0</v>
      </c>
      <c r="V37" s="140">
        <v>9.5850773572648002E-3</v>
      </c>
      <c r="W37" s="140">
        <v>3.3417516629403398E-3</v>
      </c>
    </row>
    <row r="38" spans="1:23">
      <c r="A38" s="2">
        <v>382</v>
      </c>
      <c r="B38" s="2">
        <v>382</v>
      </c>
      <c r="C38" s="2" t="s">
        <v>1453</v>
      </c>
      <c r="D38" s="2" t="s">
        <v>1454</v>
      </c>
      <c r="E38" s="3" t="s">
        <v>181</v>
      </c>
      <c r="F38" s="2" t="s">
        <v>1460</v>
      </c>
      <c r="G38" s="2" t="s">
        <v>1461</v>
      </c>
      <c r="H38" s="2" t="s">
        <v>184</v>
      </c>
      <c r="I38" s="2" t="s">
        <v>992</v>
      </c>
      <c r="J38" s="2" t="s">
        <v>85</v>
      </c>
      <c r="K38" s="2" t="s">
        <v>94</v>
      </c>
      <c r="L38" s="2" t="s">
        <v>354</v>
      </c>
      <c r="M38" s="2" t="s">
        <v>745</v>
      </c>
      <c r="N38" s="2" t="s">
        <v>144</v>
      </c>
      <c r="O38" s="2" t="s">
        <v>89</v>
      </c>
      <c r="P38" s="126">
        <v>43652</v>
      </c>
      <c r="Q38" s="134">
        <v>3.6469999999999998</v>
      </c>
      <c r="R38" s="151">
        <v>53881</v>
      </c>
      <c r="S38" s="115"/>
      <c r="T38" s="125">
        <v>85777.929000000004</v>
      </c>
      <c r="U38" s="140">
        <v>5.1E-5</v>
      </c>
      <c r="V38" s="140">
        <v>8.5595353657064596E-2</v>
      </c>
      <c r="W38" s="140">
        <v>2.9842056017071801E-2</v>
      </c>
    </row>
    <row r="39" spans="1:23">
      <c r="A39" s="2">
        <v>382</v>
      </c>
      <c r="B39" s="2">
        <v>382</v>
      </c>
      <c r="C39" s="2" t="s">
        <v>1462</v>
      </c>
      <c r="D39" s="2" t="s">
        <v>1463</v>
      </c>
      <c r="E39" s="3" t="s">
        <v>181</v>
      </c>
      <c r="F39" s="2" t="s">
        <v>1464</v>
      </c>
      <c r="G39" s="2" t="s">
        <v>1465</v>
      </c>
      <c r="H39" s="2" t="s">
        <v>184</v>
      </c>
      <c r="I39" s="2" t="s">
        <v>992</v>
      </c>
      <c r="J39" s="2" t="s">
        <v>85</v>
      </c>
      <c r="K39" s="2" t="s">
        <v>265</v>
      </c>
      <c r="L39" s="2" t="s">
        <v>354</v>
      </c>
      <c r="M39" s="2" t="s">
        <v>745</v>
      </c>
      <c r="N39" s="2" t="s">
        <v>144</v>
      </c>
      <c r="O39" s="2" t="s">
        <v>89</v>
      </c>
      <c r="P39" s="126">
        <v>18400</v>
      </c>
      <c r="Q39" s="134">
        <v>3.6469999999999998</v>
      </c>
      <c r="R39" s="151">
        <v>11029</v>
      </c>
      <c r="S39" s="115"/>
      <c r="T39" s="125">
        <v>7400.9880000000003</v>
      </c>
      <c r="U39" s="140">
        <v>5.8299999999999997E-4</v>
      </c>
      <c r="V39" s="140">
        <v>7.3852356335548401E-3</v>
      </c>
      <c r="W39" s="140">
        <v>2.57479648204746E-3</v>
      </c>
    </row>
    <row r="40" spans="1:23">
      <c r="A40" s="2">
        <v>382</v>
      </c>
      <c r="B40" s="2">
        <v>382</v>
      </c>
      <c r="C40" s="2" t="s">
        <v>1462</v>
      </c>
      <c r="D40" s="2" t="s">
        <v>1463</v>
      </c>
      <c r="E40" s="3" t="s">
        <v>181</v>
      </c>
      <c r="F40" s="2" t="s">
        <v>1466</v>
      </c>
      <c r="G40" s="2" t="s">
        <v>1467</v>
      </c>
      <c r="H40" s="2" t="s">
        <v>184</v>
      </c>
      <c r="I40" s="2" t="s">
        <v>992</v>
      </c>
      <c r="J40" s="2" t="s">
        <v>85</v>
      </c>
      <c r="K40" s="2" t="s">
        <v>94</v>
      </c>
      <c r="L40" s="2" t="s">
        <v>390</v>
      </c>
      <c r="M40" s="2" t="s">
        <v>745</v>
      </c>
      <c r="N40" s="2" t="s">
        <v>144</v>
      </c>
      <c r="O40" s="2" t="s">
        <v>89</v>
      </c>
      <c r="P40" s="126">
        <v>57000</v>
      </c>
      <c r="Q40" s="134">
        <v>3.6469999999999998</v>
      </c>
      <c r="R40" s="151">
        <v>4285.5</v>
      </c>
      <c r="S40" s="115"/>
      <c r="T40" s="125">
        <v>8908.6550000000007</v>
      </c>
      <c r="U40" s="140">
        <v>0</v>
      </c>
      <c r="V40" s="140">
        <v>8.8896927691282102E-3</v>
      </c>
      <c r="W40" s="140">
        <v>3.0993120333814598E-3</v>
      </c>
    </row>
    <row r="41" spans="1:23">
      <c r="A41" s="2">
        <v>382</v>
      </c>
      <c r="B41" s="2">
        <v>1404</v>
      </c>
      <c r="C41" s="2" t="s">
        <v>1372</v>
      </c>
      <c r="D41" s="2" t="s">
        <v>1373</v>
      </c>
      <c r="E41" s="3" t="s">
        <v>1322</v>
      </c>
      <c r="F41" s="2" t="s">
        <v>1376</v>
      </c>
      <c r="G41" s="2" t="s">
        <v>1377</v>
      </c>
      <c r="H41" s="2" t="s">
        <v>184</v>
      </c>
      <c r="I41" s="2" t="s">
        <v>993</v>
      </c>
      <c r="J41" s="2" t="s">
        <v>30</v>
      </c>
      <c r="K41" s="2" t="s">
        <v>30</v>
      </c>
      <c r="L41" s="2" t="s">
        <v>44</v>
      </c>
      <c r="M41" s="2" t="s">
        <v>1378</v>
      </c>
      <c r="N41" s="2" t="s">
        <v>144</v>
      </c>
      <c r="O41" s="2" t="s">
        <v>34</v>
      </c>
      <c r="P41" s="126">
        <v>48000</v>
      </c>
      <c r="Q41" s="134">
        <v>1</v>
      </c>
      <c r="R41" s="151">
        <v>403.49</v>
      </c>
      <c r="S41" s="115"/>
      <c r="T41" s="125">
        <v>193.67500000000001</v>
      </c>
      <c r="U41" s="140">
        <v>1.76E-4</v>
      </c>
      <c r="V41" s="140">
        <v>0.231917993969671</v>
      </c>
      <c r="W41" s="140">
        <v>7.1142099172603101E-3</v>
      </c>
    </row>
    <row r="42" spans="1:23">
      <c r="A42" s="2">
        <v>382</v>
      </c>
      <c r="B42" s="2">
        <v>1404</v>
      </c>
      <c r="C42" s="2" t="s">
        <v>1405</v>
      </c>
      <c r="D42" s="2" t="s">
        <v>1406</v>
      </c>
      <c r="E42" s="3" t="s">
        <v>181</v>
      </c>
      <c r="F42" s="2" t="s">
        <v>1413</v>
      </c>
      <c r="G42" s="2" t="s">
        <v>1414</v>
      </c>
      <c r="H42" s="2" t="s">
        <v>184</v>
      </c>
      <c r="I42" s="2" t="s">
        <v>994</v>
      </c>
      <c r="J42" s="2" t="s">
        <v>85</v>
      </c>
      <c r="K42" s="2" t="s">
        <v>310</v>
      </c>
      <c r="L42" s="2" t="s">
        <v>390</v>
      </c>
      <c r="M42" s="2" t="s">
        <v>742</v>
      </c>
      <c r="N42" s="2" t="s">
        <v>144</v>
      </c>
      <c r="O42" s="2" t="s">
        <v>89</v>
      </c>
      <c r="P42" s="126">
        <v>13300</v>
      </c>
      <c r="Q42" s="134">
        <v>3.6469999999999998</v>
      </c>
      <c r="R42" s="151">
        <v>586.15</v>
      </c>
      <c r="S42" s="115"/>
      <c r="T42" s="125">
        <v>284.31299999999999</v>
      </c>
      <c r="U42" s="140">
        <v>3.8999999999999999E-5</v>
      </c>
      <c r="V42" s="140">
        <v>0.34045256168844401</v>
      </c>
      <c r="W42" s="140">
        <v>1.04435664920306E-2</v>
      </c>
    </row>
    <row r="43" spans="1:23">
      <c r="A43" s="2">
        <v>382</v>
      </c>
      <c r="B43" s="2">
        <v>1404</v>
      </c>
      <c r="C43" s="2" t="s">
        <v>1436</v>
      </c>
      <c r="D43" s="2" t="s">
        <v>1437</v>
      </c>
      <c r="E43" s="3" t="s">
        <v>181</v>
      </c>
      <c r="F43" s="2" t="s">
        <v>1445</v>
      </c>
      <c r="G43" s="2" t="s">
        <v>1446</v>
      </c>
      <c r="H43" s="2" t="s">
        <v>184</v>
      </c>
      <c r="I43" s="2" t="s">
        <v>994</v>
      </c>
      <c r="J43" s="2" t="s">
        <v>85</v>
      </c>
      <c r="K43" s="2" t="s">
        <v>94</v>
      </c>
      <c r="L43" s="2" t="s">
        <v>390</v>
      </c>
      <c r="M43" s="2" t="s">
        <v>742</v>
      </c>
      <c r="N43" s="2" t="s">
        <v>144</v>
      </c>
      <c r="O43" s="2" t="s">
        <v>89</v>
      </c>
      <c r="P43" s="126">
        <v>1850</v>
      </c>
      <c r="Q43" s="134">
        <v>3.6469999999999998</v>
      </c>
      <c r="R43" s="151">
        <v>2832</v>
      </c>
      <c r="S43" s="115"/>
      <c r="T43" s="125">
        <v>191.07400000000001</v>
      </c>
      <c r="U43" s="140">
        <v>6.9999999999999999E-6</v>
      </c>
      <c r="V43" s="140">
        <v>0.228802714950572</v>
      </c>
      <c r="W43" s="140">
        <v>7.0186470481903001E-3</v>
      </c>
    </row>
    <row r="44" spans="1:23">
      <c r="A44" s="2">
        <v>382</v>
      </c>
      <c r="B44" s="2">
        <v>1404</v>
      </c>
      <c r="C44" s="2" t="s">
        <v>1453</v>
      </c>
      <c r="D44" s="2" t="s">
        <v>1454</v>
      </c>
      <c r="E44" s="3" t="s">
        <v>181</v>
      </c>
      <c r="F44" s="2" t="s">
        <v>1455</v>
      </c>
      <c r="G44" s="2" t="s">
        <v>1456</v>
      </c>
      <c r="H44" s="2" t="s">
        <v>184</v>
      </c>
      <c r="I44" s="2" t="s">
        <v>994</v>
      </c>
      <c r="J44" s="2" t="s">
        <v>85</v>
      </c>
      <c r="K44" s="2" t="s">
        <v>94</v>
      </c>
      <c r="L44" s="2" t="s">
        <v>390</v>
      </c>
      <c r="M44" s="2" t="s">
        <v>742</v>
      </c>
      <c r="N44" s="2" t="s">
        <v>144</v>
      </c>
      <c r="O44" s="2" t="s">
        <v>89</v>
      </c>
      <c r="P44" s="126">
        <v>800</v>
      </c>
      <c r="Q44" s="134">
        <v>3.6469999999999998</v>
      </c>
      <c r="R44" s="151">
        <v>5691</v>
      </c>
      <c r="S44" s="115"/>
      <c r="T44" s="125">
        <v>166.041</v>
      </c>
      <c r="U44" s="140">
        <v>0</v>
      </c>
      <c r="V44" s="140">
        <v>0.19882672939131299</v>
      </c>
      <c r="W44" s="140">
        <v>6.0991174761415501E-3</v>
      </c>
    </row>
    <row r="45" spans="1:23">
      <c r="A45" s="2">
        <v>382</v>
      </c>
      <c r="B45" s="2">
        <v>7635</v>
      </c>
      <c r="C45" s="2" t="s">
        <v>1359</v>
      </c>
      <c r="D45" s="2" t="s">
        <v>1360</v>
      </c>
      <c r="E45" s="3" t="s">
        <v>181</v>
      </c>
      <c r="F45" s="2" t="s">
        <v>1468</v>
      </c>
      <c r="G45" s="2" t="s">
        <v>1435</v>
      </c>
      <c r="H45" s="2" t="s">
        <v>184</v>
      </c>
      <c r="I45" s="2" t="s">
        <v>992</v>
      </c>
      <c r="J45" s="2" t="s">
        <v>30</v>
      </c>
      <c r="K45" s="2" t="s">
        <v>94</v>
      </c>
      <c r="L45" s="2" t="s">
        <v>31</v>
      </c>
      <c r="M45" s="2" t="s">
        <v>745</v>
      </c>
      <c r="N45" s="2" t="s">
        <v>144</v>
      </c>
      <c r="O45" s="2" t="s">
        <v>34</v>
      </c>
      <c r="P45" s="126">
        <v>17</v>
      </c>
      <c r="Q45" s="134">
        <v>1</v>
      </c>
      <c r="R45" s="151">
        <v>425800</v>
      </c>
      <c r="S45" s="115"/>
      <c r="T45" s="125">
        <v>72.385999999999996</v>
      </c>
      <c r="U45" s="140">
        <v>9.9999999999999995E-7</v>
      </c>
      <c r="V45" s="140">
        <v>1.01887248734978E-2</v>
      </c>
      <c r="W45" s="140">
        <v>3.9331458406320699E-3</v>
      </c>
    </row>
    <row r="46" spans="1:23">
      <c r="A46" s="2">
        <v>382</v>
      </c>
      <c r="B46" s="2">
        <v>7635</v>
      </c>
      <c r="C46" s="2" t="s">
        <v>1363</v>
      </c>
      <c r="D46" s="2" t="s">
        <v>1364</v>
      </c>
      <c r="E46" s="3" t="s">
        <v>1322</v>
      </c>
      <c r="F46" s="2" t="s">
        <v>1368</v>
      </c>
      <c r="G46" s="2" t="s">
        <v>1369</v>
      </c>
      <c r="H46" s="2" t="s">
        <v>184</v>
      </c>
      <c r="I46" s="2" t="s">
        <v>991</v>
      </c>
      <c r="J46" s="2" t="s">
        <v>30</v>
      </c>
      <c r="K46" s="2" t="s">
        <v>30</v>
      </c>
      <c r="L46" s="2" t="s">
        <v>44</v>
      </c>
      <c r="M46" s="2" t="s">
        <v>1346</v>
      </c>
      <c r="N46" s="2" t="s">
        <v>144</v>
      </c>
      <c r="O46" s="2" t="s">
        <v>34</v>
      </c>
      <c r="P46" s="126">
        <v>1070</v>
      </c>
      <c r="Q46" s="134">
        <v>1</v>
      </c>
      <c r="R46" s="151">
        <v>3748</v>
      </c>
      <c r="S46" s="115"/>
      <c r="T46" s="125">
        <v>40.103999999999999</v>
      </c>
      <c r="U46" s="140">
        <v>1.2999999999999999E-5</v>
      </c>
      <c r="V46" s="140">
        <v>5.6448007465090596E-3</v>
      </c>
      <c r="W46" s="140">
        <v>2.1790582092445E-3</v>
      </c>
    </row>
    <row r="47" spans="1:23">
      <c r="A47" s="2">
        <v>382</v>
      </c>
      <c r="B47" s="2">
        <v>7635</v>
      </c>
      <c r="C47" s="2" t="s">
        <v>1363</v>
      </c>
      <c r="D47" s="2" t="s">
        <v>1364</v>
      </c>
      <c r="E47" s="3" t="s">
        <v>1322</v>
      </c>
      <c r="F47" s="2" t="s">
        <v>1370</v>
      </c>
      <c r="G47" s="2" t="s">
        <v>1371</v>
      </c>
      <c r="H47" s="2" t="s">
        <v>184</v>
      </c>
      <c r="I47" s="2" t="s">
        <v>991</v>
      </c>
      <c r="J47" s="2" t="s">
        <v>30</v>
      </c>
      <c r="K47" s="2" t="s">
        <v>30</v>
      </c>
      <c r="L47" s="2" t="s">
        <v>44</v>
      </c>
      <c r="M47" s="2" t="s">
        <v>1346</v>
      </c>
      <c r="N47" s="2" t="s">
        <v>144</v>
      </c>
      <c r="O47" s="2" t="s">
        <v>34</v>
      </c>
      <c r="P47" s="126">
        <v>3730</v>
      </c>
      <c r="Q47" s="134">
        <v>1</v>
      </c>
      <c r="R47" s="151">
        <v>3630</v>
      </c>
      <c r="S47" s="115"/>
      <c r="T47" s="125">
        <v>135.399</v>
      </c>
      <c r="U47" s="140">
        <v>7.2999999999999999E-5</v>
      </c>
      <c r="V47" s="140">
        <v>1.9058148801518598E-2</v>
      </c>
      <c r="W47" s="140">
        <v>7.3570029242635499E-3</v>
      </c>
    </row>
    <row r="48" spans="1:23">
      <c r="A48" s="2">
        <v>382</v>
      </c>
      <c r="B48" s="2">
        <v>7635</v>
      </c>
      <c r="C48" s="2" t="s">
        <v>1372</v>
      </c>
      <c r="D48" s="2" t="s">
        <v>1373</v>
      </c>
      <c r="E48" s="3" t="s">
        <v>1322</v>
      </c>
      <c r="F48" s="2" t="s">
        <v>1469</v>
      </c>
      <c r="G48" s="2" t="s">
        <v>1470</v>
      </c>
      <c r="H48" s="2" t="s">
        <v>184</v>
      </c>
      <c r="I48" s="2" t="s">
        <v>992</v>
      </c>
      <c r="J48" s="2" t="s">
        <v>30</v>
      </c>
      <c r="K48" s="2" t="s">
        <v>1459</v>
      </c>
      <c r="L48" s="2" t="s">
        <v>44</v>
      </c>
      <c r="M48" s="2" t="s">
        <v>1367</v>
      </c>
      <c r="N48" s="2" t="s">
        <v>144</v>
      </c>
      <c r="O48" s="2" t="s">
        <v>34</v>
      </c>
      <c r="P48" s="126">
        <v>12900</v>
      </c>
      <c r="Q48" s="134">
        <v>1</v>
      </c>
      <c r="R48" s="151">
        <v>3500</v>
      </c>
      <c r="S48" s="115"/>
      <c r="T48" s="125">
        <v>451.5</v>
      </c>
      <c r="U48" s="140">
        <v>6.1200000000000002E-4</v>
      </c>
      <c r="V48" s="140">
        <v>6.3551091100271406E-2</v>
      </c>
      <c r="W48" s="140">
        <v>2.45325801542478E-2</v>
      </c>
    </row>
    <row r="49" spans="1:23">
      <c r="A49" s="2">
        <v>382</v>
      </c>
      <c r="B49" s="2">
        <v>7635</v>
      </c>
      <c r="C49" s="2" t="s">
        <v>1372</v>
      </c>
      <c r="D49" s="2" t="s">
        <v>1373</v>
      </c>
      <c r="E49" s="3" t="s">
        <v>1322</v>
      </c>
      <c r="F49" s="2" t="s">
        <v>1376</v>
      </c>
      <c r="G49" s="2" t="s">
        <v>1377</v>
      </c>
      <c r="H49" s="2" t="s">
        <v>184</v>
      </c>
      <c r="I49" s="2" t="s">
        <v>993</v>
      </c>
      <c r="J49" s="2" t="s">
        <v>30</v>
      </c>
      <c r="K49" s="2" t="s">
        <v>30</v>
      </c>
      <c r="L49" s="2" t="s">
        <v>44</v>
      </c>
      <c r="M49" s="2" t="s">
        <v>1378</v>
      </c>
      <c r="N49" s="2" t="s">
        <v>144</v>
      </c>
      <c r="O49" s="2" t="s">
        <v>34</v>
      </c>
      <c r="P49" s="126">
        <v>113000</v>
      </c>
      <c r="Q49" s="134">
        <v>1</v>
      </c>
      <c r="R49" s="151">
        <v>403.49</v>
      </c>
      <c r="S49" s="115"/>
      <c r="T49" s="125">
        <v>455.94400000000002</v>
      </c>
      <c r="U49" s="140">
        <v>4.1399999999999998E-4</v>
      </c>
      <c r="V49" s="140">
        <v>6.4176566146832398E-2</v>
      </c>
      <c r="W49" s="140">
        <v>2.47740318185477E-2</v>
      </c>
    </row>
    <row r="50" spans="1:23">
      <c r="A50" s="2">
        <v>382</v>
      </c>
      <c r="B50" s="2">
        <v>7635</v>
      </c>
      <c r="C50" s="2" t="s">
        <v>1381</v>
      </c>
      <c r="D50" s="2" t="s">
        <v>1382</v>
      </c>
      <c r="E50" s="3" t="s">
        <v>1322</v>
      </c>
      <c r="F50" s="2" t="s">
        <v>1383</v>
      </c>
      <c r="G50" s="2" t="s">
        <v>1384</v>
      </c>
      <c r="H50" s="2" t="s">
        <v>184</v>
      </c>
      <c r="I50" s="2" t="s">
        <v>991</v>
      </c>
      <c r="J50" s="2" t="s">
        <v>30</v>
      </c>
      <c r="K50" s="2" t="s">
        <v>30</v>
      </c>
      <c r="L50" s="2" t="s">
        <v>44</v>
      </c>
      <c r="M50" s="2" t="s">
        <v>1346</v>
      </c>
      <c r="N50" s="2" t="s">
        <v>144</v>
      </c>
      <c r="O50" s="2" t="s">
        <v>34</v>
      </c>
      <c r="P50" s="126">
        <v>2200</v>
      </c>
      <c r="Q50" s="134">
        <v>1</v>
      </c>
      <c r="R50" s="151">
        <v>6621</v>
      </c>
      <c r="S50" s="115"/>
      <c r="T50" s="125">
        <v>145.66200000000001</v>
      </c>
      <c r="U50" s="140">
        <v>2.0000000000000001E-4</v>
      </c>
      <c r="V50" s="140">
        <v>2.0502722108189899E-2</v>
      </c>
      <c r="W50" s="140">
        <v>7.9146504771385098E-3</v>
      </c>
    </row>
    <row r="51" spans="1:23">
      <c r="A51" s="2">
        <v>382</v>
      </c>
      <c r="B51" s="2">
        <v>7635</v>
      </c>
      <c r="C51" s="2" t="s">
        <v>1385</v>
      </c>
      <c r="D51" s="2" t="s">
        <v>1386</v>
      </c>
      <c r="E51" s="3" t="s">
        <v>1322</v>
      </c>
      <c r="F51" s="2" t="s">
        <v>1471</v>
      </c>
      <c r="G51" s="2" t="s">
        <v>1472</v>
      </c>
      <c r="H51" s="2" t="s">
        <v>184</v>
      </c>
      <c r="I51" s="2" t="s">
        <v>992</v>
      </c>
      <c r="J51" s="2" t="s">
        <v>30</v>
      </c>
      <c r="K51" s="2" t="s">
        <v>94</v>
      </c>
      <c r="L51" s="2" t="s">
        <v>44</v>
      </c>
      <c r="M51" s="2" t="s">
        <v>1473</v>
      </c>
      <c r="N51" s="2" t="s">
        <v>144</v>
      </c>
      <c r="O51" s="2" t="s">
        <v>34</v>
      </c>
      <c r="P51" s="126">
        <v>3300</v>
      </c>
      <c r="Q51" s="134">
        <v>1</v>
      </c>
      <c r="R51" s="151">
        <v>5666</v>
      </c>
      <c r="S51" s="115"/>
      <c r="T51" s="125">
        <v>186.97800000000001</v>
      </c>
      <c r="U51" s="140">
        <v>4.6999999999999997E-5</v>
      </c>
      <c r="V51" s="140">
        <v>2.6318174776847301E-2</v>
      </c>
      <c r="W51" s="140">
        <v>1.01595853202236E-2</v>
      </c>
    </row>
    <row r="52" spans="1:23">
      <c r="A52" s="2">
        <v>382</v>
      </c>
      <c r="B52" s="2">
        <v>7635</v>
      </c>
      <c r="C52" s="2" t="s">
        <v>1385</v>
      </c>
      <c r="D52" s="2" t="s">
        <v>1386</v>
      </c>
      <c r="E52" s="3" t="s">
        <v>1322</v>
      </c>
      <c r="F52" s="2" t="s">
        <v>1389</v>
      </c>
      <c r="G52" s="2" t="s">
        <v>1390</v>
      </c>
      <c r="H52" s="2" t="s">
        <v>184</v>
      </c>
      <c r="I52" s="2" t="s">
        <v>992</v>
      </c>
      <c r="J52" s="2" t="s">
        <v>30</v>
      </c>
      <c r="K52" s="2" t="s">
        <v>94</v>
      </c>
      <c r="L52" s="2" t="s">
        <v>44</v>
      </c>
      <c r="M52" s="2" t="s">
        <v>1367</v>
      </c>
      <c r="N52" s="2" t="s">
        <v>144</v>
      </c>
      <c r="O52" s="2" t="s">
        <v>34</v>
      </c>
      <c r="P52" s="126">
        <v>800</v>
      </c>
      <c r="Q52" s="134">
        <v>1</v>
      </c>
      <c r="R52" s="151">
        <v>23720</v>
      </c>
      <c r="S52" s="115"/>
      <c r="T52" s="125">
        <v>189.76</v>
      </c>
      <c r="U52" s="140">
        <v>2.6999999999999999E-5</v>
      </c>
      <c r="V52" s="140">
        <v>2.6709756472176101E-2</v>
      </c>
      <c r="W52" s="140">
        <v>1.03107473091253E-2</v>
      </c>
    </row>
    <row r="53" spans="1:23">
      <c r="A53" s="2">
        <v>382</v>
      </c>
      <c r="B53" s="2">
        <v>7635</v>
      </c>
      <c r="C53" s="2" t="s">
        <v>1385</v>
      </c>
      <c r="D53" s="2" t="s">
        <v>1386</v>
      </c>
      <c r="E53" s="3" t="s">
        <v>1322</v>
      </c>
      <c r="F53" s="2" t="s">
        <v>1393</v>
      </c>
      <c r="G53" s="2" t="s">
        <v>1394</v>
      </c>
      <c r="H53" s="2" t="s">
        <v>184</v>
      </c>
      <c r="I53" s="2" t="s">
        <v>991</v>
      </c>
      <c r="J53" s="2" t="s">
        <v>30</v>
      </c>
      <c r="K53" s="2" t="s">
        <v>30</v>
      </c>
      <c r="L53" s="2" t="s">
        <v>44</v>
      </c>
      <c r="M53" s="2" t="s">
        <v>1346</v>
      </c>
      <c r="N53" s="2" t="s">
        <v>144</v>
      </c>
      <c r="O53" s="2" t="s">
        <v>34</v>
      </c>
      <c r="P53" s="126">
        <v>311</v>
      </c>
      <c r="Q53" s="134">
        <v>1</v>
      </c>
      <c r="R53" s="151">
        <v>23190</v>
      </c>
      <c r="S53" s="115"/>
      <c r="T53" s="125">
        <v>72.120999999999995</v>
      </c>
      <c r="U53" s="140">
        <v>1.0000000000000001E-5</v>
      </c>
      <c r="V53" s="140">
        <v>1.01514106005173E-2</v>
      </c>
      <c r="W53" s="140">
        <v>3.9187414397485899E-3</v>
      </c>
    </row>
    <row r="54" spans="1:23">
      <c r="A54" s="2">
        <v>382</v>
      </c>
      <c r="B54" s="2">
        <v>7635</v>
      </c>
      <c r="C54" s="2" t="s">
        <v>1385</v>
      </c>
      <c r="D54" s="2" t="s">
        <v>1386</v>
      </c>
      <c r="E54" s="3" t="s">
        <v>1322</v>
      </c>
      <c r="F54" s="2" t="s">
        <v>1474</v>
      </c>
      <c r="G54" s="2" t="s">
        <v>1475</v>
      </c>
      <c r="H54" s="2" t="s">
        <v>184</v>
      </c>
      <c r="I54" s="2" t="s">
        <v>993</v>
      </c>
      <c r="J54" s="2" t="s">
        <v>30</v>
      </c>
      <c r="K54" s="2" t="s">
        <v>30</v>
      </c>
      <c r="L54" s="2" t="s">
        <v>44</v>
      </c>
      <c r="M54" s="2" t="s">
        <v>1378</v>
      </c>
      <c r="N54" s="2" t="s">
        <v>144</v>
      </c>
      <c r="O54" s="2" t="s">
        <v>34</v>
      </c>
      <c r="P54" s="126">
        <v>13600</v>
      </c>
      <c r="Q54" s="134">
        <v>1</v>
      </c>
      <c r="R54" s="151">
        <v>4053.22</v>
      </c>
      <c r="S54" s="115"/>
      <c r="T54" s="125">
        <v>551.23800000000006</v>
      </c>
      <c r="U54" s="140">
        <v>3.4900000000000003E-4</v>
      </c>
      <c r="V54" s="140">
        <v>7.7589748110396706E-2</v>
      </c>
      <c r="W54" s="140">
        <v>2.9951912417410399E-2</v>
      </c>
    </row>
    <row r="55" spans="1:23">
      <c r="A55" s="2">
        <v>382</v>
      </c>
      <c r="B55" s="2">
        <v>7635</v>
      </c>
      <c r="C55" s="2" t="s">
        <v>1397</v>
      </c>
      <c r="D55" s="2" t="s">
        <v>1398</v>
      </c>
      <c r="E55" s="3" t="s">
        <v>1322</v>
      </c>
      <c r="F55" s="2" t="s">
        <v>1399</v>
      </c>
      <c r="G55" s="2" t="s">
        <v>1400</v>
      </c>
      <c r="H55" s="2" t="s">
        <v>184</v>
      </c>
      <c r="I55" s="2" t="s">
        <v>991</v>
      </c>
      <c r="J55" s="2" t="s">
        <v>30</v>
      </c>
      <c r="K55" s="2" t="s">
        <v>30</v>
      </c>
      <c r="L55" s="2" t="s">
        <v>44</v>
      </c>
      <c r="M55" s="2" t="s">
        <v>1346</v>
      </c>
      <c r="N55" s="2" t="s">
        <v>144</v>
      </c>
      <c r="O55" s="2" t="s">
        <v>34</v>
      </c>
      <c r="P55" s="126">
        <v>3057</v>
      </c>
      <c r="Q55" s="134">
        <v>1</v>
      </c>
      <c r="R55" s="151">
        <v>2405</v>
      </c>
      <c r="S55" s="115"/>
      <c r="T55" s="125">
        <v>73.521000000000001</v>
      </c>
      <c r="U55" s="140">
        <v>6.9999999999999999E-6</v>
      </c>
      <c r="V55" s="140">
        <v>1.0348461209566701E-2</v>
      </c>
      <c r="W55" s="140">
        <v>3.9948087389444697E-3</v>
      </c>
    </row>
    <row r="56" spans="1:23">
      <c r="A56" s="2">
        <v>382</v>
      </c>
      <c r="B56" s="2">
        <v>7635</v>
      </c>
      <c r="C56" s="2" t="s">
        <v>1397</v>
      </c>
      <c r="D56" s="2" t="s">
        <v>1398</v>
      </c>
      <c r="E56" s="3" t="s">
        <v>1322</v>
      </c>
      <c r="F56" s="2" t="s">
        <v>1476</v>
      </c>
      <c r="G56" s="2" t="s">
        <v>1477</v>
      </c>
      <c r="H56" s="2" t="s">
        <v>184</v>
      </c>
      <c r="I56" s="2" t="s">
        <v>993</v>
      </c>
      <c r="J56" s="2" t="s">
        <v>30</v>
      </c>
      <c r="K56" s="2" t="s">
        <v>30</v>
      </c>
      <c r="L56" s="2" t="s">
        <v>44</v>
      </c>
      <c r="M56" s="2" t="s">
        <v>1378</v>
      </c>
      <c r="N56" s="2" t="s">
        <v>144</v>
      </c>
      <c r="O56" s="2" t="s">
        <v>34</v>
      </c>
      <c r="P56" s="126">
        <v>8700</v>
      </c>
      <c r="Q56" s="134">
        <v>1</v>
      </c>
      <c r="R56" s="151">
        <v>3990.02</v>
      </c>
      <c r="S56" s="115"/>
      <c r="T56" s="125">
        <v>347.13200000000001</v>
      </c>
      <c r="U56" s="140">
        <v>5.4000000000000001E-4</v>
      </c>
      <c r="V56" s="140">
        <v>4.88606884441544E-2</v>
      </c>
      <c r="W56" s="140">
        <v>1.88616550069402E-2</v>
      </c>
    </row>
    <row r="57" spans="1:23">
      <c r="A57" s="2">
        <v>382</v>
      </c>
      <c r="B57" s="2">
        <v>7635</v>
      </c>
      <c r="C57" s="2" t="s">
        <v>1397</v>
      </c>
      <c r="D57" s="2" t="s">
        <v>1398</v>
      </c>
      <c r="E57" s="3" t="s">
        <v>1322</v>
      </c>
      <c r="F57" s="2" t="s">
        <v>1478</v>
      </c>
      <c r="G57" s="2" t="s">
        <v>1479</v>
      </c>
      <c r="H57" s="2" t="s">
        <v>184</v>
      </c>
      <c r="I57" s="2" t="s">
        <v>991</v>
      </c>
      <c r="J57" s="2" t="s">
        <v>30</v>
      </c>
      <c r="K57" s="2" t="s">
        <v>30</v>
      </c>
      <c r="L57" s="2" t="s">
        <v>44</v>
      </c>
      <c r="M57" s="2" t="s">
        <v>1346</v>
      </c>
      <c r="N57" s="2" t="s">
        <v>144</v>
      </c>
      <c r="O57" s="2" t="s">
        <v>34</v>
      </c>
      <c r="P57" s="126">
        <v>23800</v>
      </c>
      <c r="Q57" s="134">
        <v>1</v>
      </c>
      <c r="R57" s="151">
        <v>2393</v>
      </c>
      <c r="S57" s="115"/>
      <c r="T57" s="125">
        <v>569.53399999999999</v>
      </c>
      <c r="U57" s="140">
        <v>5.3999999999999998E-5</v>
      </c>
      <c r="V57" s="140">
        <v>8.0165021303880299E-2</v>
      </c>
      <c r="W57" s="140">
        <v>3.0946043201704E-2</v>
      </c>
    </row>
    <row r="58" spans="1:23">
      <c r="A58" s="2">
        <v>382</v>
      </c>
      <c r="B58" s="2">
        <v>7635</v>
      </c>
      <c r="C58" s="2" t="s">
        <v>1397</v>
      </c>
      <c r="D58" s="2" t="s">
        <v>1398</v>
      </c>
      <c r="E58" s="3" t="s">
        <v>1322</v>
      </c>
      <c r="F58" s="2" t="s">
        <v>1480</v>
      </c>
      <c r="G58" s="2" t="s">
        <v>1481</v>
      </c>
      <c r="H58" s="2" t="s">
        <v>184</v>
      </c>
      <c r="I58" s="2" t="s">
        <v>993</v>
      </c>
      <c r="J58" s="2" t="s">
        <v>30</v>
      </c>
      <c r="K58" s="2" t="s">
        <v>30</v>
      </c>
      <c r="L58" s="2" t="s">
        <v>44</v>
      </c>
      <c r="M58" s="2" t="s">
        <v>1378</v>
      </c>
      <c r="N58" s="2" t="s">
        <v>144</v>
      </c>
      <c r="O58" s="2" t="s">
        <v>34</v>
      </c>
      <c r="P58" s="126">
        <v>232000</v>
      </c>
      <c r="Q58" s="134">
        <v>1</v>
      </c>
      <c r="R58" s="151">
        <v>373.4</v>
      </c>
      <c r="S58" s="115"/>
      <c r="T58" s="125">
        <v>866.28800000000001</v>
      </c>
      <c r="U58" s="140">
        <v>1.7000000000000001E-4</v>
      </c>
      <c r="V58" s="140">
        <v>0.121934767679007</v>
      </c>
      <c r="W58" s="140">
        <v>4.7070387146540403E-2</v>
      </c>
    </row>
    <row r="59" spans="1:23">
      <c r="A59" s="2">
        <v>382</v>
      </c>
      <c r="B59" s="2">
        <v>7635</v>
      </c>
      <c r="C59" s="2" t="s">
        <v>1401</v>
      </c>
      <c r="D59" s="2" t="s">
        <v>1402</v>
      </c>
      <c r="E59" s="3" t="s">
        <v>181</v>
      </c>
      <c r="F59" s="2" t="s">
        <v>1403</v>
      </c>
      <c r="G59" s="2" t="s">
        <v>1404</v>
      </c>
      <c r="H59" s="2" t="s">
        <v>184</v>
      </c>
      <c r="I59" s="2" t="s">
        <v>992</v>
      </c>
      <c r="J59" s="2" t="s">
        <v>85</v>
      </c>
      <c r="K59" s="2" t="s">
        <v>94</v>
      </c>
      <c r="L59" s="2" t="s">
        <v>374</v>
      </c>
      <c r="M59" s="2" t="s">
        <v>745</v>
      </c>
      <c r="N59" s="2" t="s">
        <v>144</v>
      </c>
      <c r="O59" s="2" t="s">
        <v>89</v>
      </c>
      <c r="P59" s="126">
        <v>535</v>
      </c>
      <c r="Q59" s="134">
        <v>3.6469999999999998</v>
      </c>
      <c r="R59" s="151">
        <v>11638.61</v>
      </c>
      <c r="S59" s="115"/>
      <c r="T59" s="125">
        <v>227.08600000000001</v>
      </c>
      <c r="U59" s="140">
        <v>1.1E-5</v>
      </c>
      <c r="V59" s="140">
        <v>3.19636169578906E-2</v>
      </c>
      <c r="W59" s="140">
        <v>1.23388911419614E-2</v>
      </c>
    </row>
    <row r="60" spans="1:23">
      <c r="A60" s="2">
        <v>382</v>
      </c>
      <c r="B60" s="2">
        <v>7635</v>
      </c>
      <c r="C60" s="2" t="s">
        <v>1359</v>
      </c>
      <c r="D60" s="2" t="s">
        <v>1360</v>
      </c>
      <c r="E60" s="3" t="s">
        <v>181</v>
      </c>
      <c r="F60" s="2" t="s">
        <v>1482</v>
      </c>
      <c r="G60" s="2" t="s">
        <v>1483</v>
      </c>
      <c r="H60" s="2" t="s">
        <v>184</v>
      </c>
      <c r="I60" s="2" t="s">
        <v>992</v>
      </c>
      <c r="J60" s="2" t="s">
        <v>85</v>
      </c>
      <c r="K60" s="2" t="s">
        <v>94</v>
      </c>
      <c r="L60" s="2" t="s">
        <v>356</v>
      </c>
      <c r="M60" s="2" t="s">
        <v>745</v>
      </c>
      <c r="N60" s="2" t="s">
        <v>144</v>
      </c>
      <c r="O60" s="2" t="s">
        <v>89</v>
      </c>
      <c r="P60" s="126">
        <v>143</v>
      </c>
      <c r="Q60" s="134">
        <v>3.6469999999999998</v>
      </c>
      <c r="R60" s="151">
        <v>51123</v>
      </c>
      <c r="S60" s="129">
        <v>0.11899999999999999</v>
      </c>
      <c r="T60" s="125">
        <v>267.05200000000002</v>
      </c>
      <c r="U60" s="140">
        <v>0</v>
      </c>
      <c r="V60" s="140">
        <v>3.7589096155045999E-2</v>
      </c>
      <c r="W60" s="140">
        <v>1.45104906679636E-2</v>
      </c>
    </row>
    <row r="61" spans="1:23">
      <c r="A61" s="2">
        <v>382</v>
      </c>
      <c r="B61" s="2">
        <v>7635</v>
      </c>
      <c r="C61" s="2" t="s">
        <v>1405</v>
      </c>
      <c r="D61" s="2" t="s">
        <v>1406</v>
      </c>
      <c r="E61" s="3" t="s">
        <v>181</v>
      </c>
      <c r="F61" s="2" t="s">
        <v>1413</v>
      </c>
      <c r="G61" s="2" t="s">
        <v>1414</v>
      </c>
      <c r="H61" s="2" t="s">
        <v>184</v>
      </c>
      <c r="I61" s="2" t="s">
        <v>994</v>
      </c>
      <c r="J61" s="2" t="s">
        <v>85</v>
      </c>
      <c r="K61" s="2" t="s">
        <v>310</v>
      </c>
      <c r="L61" s="2" t="s">
        <v>390</v>
      </c>
      <c r="M61" s="2" t="s">
        <v>742</v>
      </c>
      <c r="N61" s="2" t="s">
        <v>144</v>
      </c>
      <c r="O61" s="2" t="s">
        <v>89</v>
      </c>
      <c r="P61" s="126">
        <v>34780</v>
      </c>
      <c r="Q61" s="134">
        <v>3.6469999999999998</v>
      </c>
      <c r="R61" s="151">
        <v>586.15</v>
      </c>
      <c r="S61" s="115"/>
      <c r="T61" s="125">
        <v>743.48800000000006</v>
      </c>
      <c r="U61" s="140">
        <v>1.03E-4</v>
      </c>
      <c r="V61" s="140">
        <v>0.104650032356096</v>
      </c>
      <c r="W61" s="140">
        <v>4.0397973700715802E-2</v>
      </c>
    </row>
    <row r="62" spans="1:23">
      <c r="A62" s="2">
        <v>382</v>
      </c>
      <c r="B62" s="2">
        <v>7635</v>
      </c>
      <c r="C62" s="2" t="s">
        <v>1405</v>
      </c>
      <c r="D62" s="2" t="s">
        <v>1406</v>
      </c>
      <c r="E62" s="3" t="s">
        <v>181</v>
      </c>
      <c r="F62" s="2" t="s">
        <v>1417</v>
      </c>
      <c r="G62" s="2" t="s">
        <v>1418</v>
      </c>
      <c r="H62" s="2" t="s">
        <v>184</v>
      </c>
      <c r="I62" s="2" t="s">
        <v>992</v>
      </c>
      <c r="J62" s="2" t="s">
        <v>85</v>
      </c>
      <c r="K62" s="2" t="s">
        <v>94</v>
      </c>
      <c r="L62" s="2" t="s">
        <v>86</v>
      </c>
      <c r="M62" s="2" t="s">
        <v>745</v>
      </c>
      <c r="N62" s="2" t="s">
        <v>144</v>
      </c>
      <c r="O62" s="2" t="s">
        <v>89</v>
      </c>
      <c r="P62" s="126">
        <v>1725</v>
      </c>
      <c r="Q62" s="134">
        <v>3.6469999999999998</v>
      </c>
      <c r="R62" s="151">
        <v>639.75</v>
      </c>
      <c r="S62" s="115"/>
      <c r="T62" s="125">
        <v>40.247</v>
      </c>
      <c r="U62" s="140">
        <v>0</v>
      </c>
      <c r="V62" s="140">
        <v>5.6650065185784798E-3</v>
      </c>
      <c r="W62" s="140">
        <v>2.18685822832032E-3</v>
      </c>
    </row>
    <row r="63" spans="1:23">
      <c r="A63" s="2">
        <v>382</v>
      </c>
      <c r="B63" s="2">
        <v>7635</v>
      </c>
      <c r="C63" s="2" t="s">
        <v>1405</v>
      </c>
      <c r="D63" s="2" t="s">
        <v>1406</v>
      </c>
      <c r="E63" s="3" t="s">
        <v>181</v>
      </c>
      <c r="F63" s="2" t="s">
        <v>1419</v>
      </c>
      <c r="G63" s="2" t="s">
        <v>1420</v>
      </c>
      <c r="H63" s="2" t="s">
        <v>184</v>
      </c>
      <c r="I63" s="2" t="s">
        <v>992</v>
      </c>
      <c r="J63" s="2" t="s">
        <v>85</v>
      </c>
      <c r="K63" s="2" t="s">
        <v>94</v>
      </c>
      <c r="L63" s="2" t="s">
        <v>86</v>
      </c>
      <c r="M63" s="2" t="s">
        <v>745</v>
      </c>
      <c r="N63" s="2" t="s">
        <v>144</v>
      </c>
      <c r="O63" s="2" t="s">
        <v>89</v>
      </c>
      <c r="P63" s="126">
        <v>980</v>
      </c>
      <c r="Q63" s="134">
        <v>3.6469999999999998</v>
      </c>
      <c r="R63" s="151">
        <v>1105.1559999999999</v>
      </c>
      <c r="S63" s="115"/>
      <c r="T63" s="125">
        <v>39.499000000000002</v>
      </c>
      <c r="U63" s="140">
        <v>3.0000000000000001E-5</v>
      </c>
      <c r="V63" s="140">
        <v>5.5596923485795296E-3</v>
      </c>
      <c r="W63" s="140">
        <v>2.14620387806218E-3</v>
      </c>
    </row>
    <row r="64" spans="1:23">
      <c r="A64" s="2">
        <v>382</v>
      </c>
      <c r="B64" s="2">
        <v>7635</v>
      </c>
      <c r="C64" s="2" t="s">
        <v>1405</v>
      </c>
      <c r="D64" s="2" t="s">
        <v>1406</v>
      </c>
      <c r="E64" s="3" t="s">
        <v>181</v>
      </c>
      <c r="F64" s="2" t="s">
        <v>1421</v>
      </c>
      <c r="G64" s="2" t="s">
        <v>1422</v>
      </c>
      <c r="H64" s="2" t="s">
        <v>184</v>
      </c>
      <c r="I64" s="2" t="s">
        <v>994</v>
      </c>
      <c r="J64" s="2" t="s">
        <v>85</v>
      </c>
      <c r="K64" s="2" t="s">
        <v>94</v>
      </c>
      <c r="L64" s="2" t="s">
        <v>390</v>
      </c>
      <c r="M64" s="2" t="s">
        <v>742</v>
      </c>
      <c r="N64" s="2" t="s">
        <v>144</v>
      </c>
      <c r="O64" s="2" t="s">
        <v>89</v>
      </c>
      <c r="P64" s="126">
        <v>3525</v>
      </c>
      <c r="Q64" s="134">
        <v>3.6469999999999998</v>
      </c>
      <c r="R64" s="151">
        <v>595.1</v>
      </c>
      <c r="S64" s="115"/>
      <c r="T64" s="125">
        <v>76.504000000000005</v>
      </c>
      <c r="U64" s="140">
        <v>0</v>
      </c>
      <c r="V64" s="140">
        <v>1.07683730276898E-2</v>
      </c>
      <c r="W64" s="140">
        <v>4.1569069839543903E-3</v>
      </c>
    </row>
    <row r="65" spans="1:23">
      <c r="A65" s="2">
        <v>382</v>
      </c>
      <c r="B65" s="2">
        <v>7635</v>
      </c>
      <c r="C65" s="2" t="s">
        <v>1405</v>
      </c>
      <c r="D65" s="2" t="s">
        <v>1406</v>
      </c>
      <c r="E65" s="3" t="s">
        <v>181</v>
      </c>
      <c r="F65" s="2" t="s">
        <v>1484</v>
      </c>
      <c r="G65" s="2" t="s">
        <v>1485</v>
      </c>
      <c r="H65" s="2" t="s">
        <v>184</v>
      </c>
      <c r="I65" s="2" t="s">
        <v>992</v>
      </c>
      <c r="J65" s="2" t="s">
        <v>85</v>
      </c>
      <c r="K65" s="2" t="s">
        <v>94</v>
      </c>
      <c r="L65" s="2" t="s">
        <v>354</v>
      </c>
      <c r="M65" s="2" t="s">
        <v>745</v>
      </c>
      <c r="N65" s="2" t="s">
        <v>144</v>
      </c>
      <c r="O65" s="2" t="s">
        <v>89</v>
      </c>
      <c r="P65" s="126">
        <v>87</v>
      </c>
      <c r="Q65" s="134">
        <v>3.6469999999999998</v>
      </c>
      <c r="R65" s="151">
        <v>58868</v>
      </c>
      <c r="S65" s="115"/>
      <c r="T65" s="125">
        <v>186.78200000000001</v>
      </c>
      <c r="U65" s="140">
        <v>0</v>
      </c>
      <c r="V65" s="140">
        <v>2.62905428637808E-2</v>
      </c>
      <c r="W65" s="140">
        <v>1.01489185934942E-2</v>
      </c>
    </row>
    <row r="66" spans="1:23">
      <c r="A66" s="2">
        <v>382</v>
      </c>
      <c r="B66" s="2">
        <v>7635</v>
      </c>
      <c r="C66" s="2" t="s">
        <v>1405</v>
      </c>
      <c r="D66" s="2" t="s">
        <v>1406</v>
      </c>
      <c r="E66" s="3" t="s">
        <v>181</v>
      </c>
      <c r="F66" s="2" t="s">
        <v>1425</v>
      </c>
      <c r="G66" s="2" t="s">
        <v>1426</v>
      </c>
      <c r="H66" s="2" t="s">
        <v>184</v>
      </c>
      <c r="I66" s="2" t="s">
        <v>992</v>
      </c>
      <c r="J66" s="2" t="s">
        <v>85</v>
      </c>
      <c r="K66" s="2" t="s">
        <v>94</v>
      </c>
      <c r="L66" s="2" t="s">
        <v>354</v>
      </c>
      <c r="M66" s="2" t="s">
        <v>745</v>
      </c>
      <c r="N66" s="2" t="s">
        <v>144</v>
      </c>
      <c r="O66" s="2" t="s">
        <v>89</v>
      </c>
      <c r="P66" s="126">
        <v>160</v>
      </c>
      <c r="Q66" s="134">
        <v>3.6469999999999998</v>
      </c>
      <c r="R66" s="151">
        <v>10339</v>
      </c>
      <c r="S66" s="115"/>
      <c r="T66" s="125">
        <v>60.33</v>
      </c>
      <c r="U66" s="140">
        <v>6.0000000000000002E-6</v>
      </c>
      <c r="V66" s="140">
        <v>8.4917957157569605E-3</v>
      </c>
      <c r="W66" s="140">
        <v>3.2780815473586098E-3</v>
      </c>
    </row>
    <row r="67" spans="1:23">
      <c r="A67" s="2">
        <v>382</v>
      </c>
      <c r="B67" s="2">
        <v>7635</v>
      </c>
      <c r="C67" s="2" t="s">
        <v>1338</v>
      </c>
      <c r="D67" s="2" t="s">
        <v>1339</v>
      </c>
      <c r="E67" s="3" t="s">
        <v>181</v>
      </c>
      <c r="F67" s="2" t="s">
        <v>1432</v>
      </c>
      <c r="G67" s="2" t="s">
        <v>1433</v>
      </c>
      <c r="H67" s="2" t="s">
        <v>184</v>
      </c>
      <c r="I67" s="2" t="s">
        <v>992</v>
      </c>
      <c r="J67" s="2" t="s">
        <v>85</v>
      </c>
      <c r="K67" s="2" t="s">
        <v>265</v>
      </c>
      <c r="L67" s="2" t="s">
        <v>358</v>
      </c>
      <c r="M67" s="2" t="s">
        <v>745</v>
      </c>
      <c r="N67" s="2" t="s">
        <v>144</v>
      </c>
      <c r="O67" s="2" t="s">
        <v>1182</v>
      </c>
      <c r="P67" s="126">
        <v>330</v>
      </c>
      <c r="Q67" s="134">
        <v>2.3285</v>
      </c>
      <c r="R67" s="151">
        <v>2919</v>
      </c>
      <c r="S67" s="115"/>
      <c r="T67" s="125">
        <v>22.43</v>
      </c>
      <c r="U67" s="140">
        <v>0</v>
      </c>
      <c r="V67" s="140">
        <v>3.1571086910742599E-3</v>
      </c>
      <c r="W67" s="140">
        <v>1.21873630615165E-3</v>
      </c>
    </row>
    <row r="68" spans="1:23">
      <c r="A68" s="2">
        <v>382</v>
      </c>
      <c r="B68" s="2">
        <v>7635</v>
      </c>
      <c r="C68" s="2" t="s">
        <v>1359</v>
      </c>
      <c r="D68" s="2" t="s">
        <v>1360</v>
      </c>
      <c r="E68" s="3" t="s">
        <v>181</v>
      </c>
      <c r="F68" s="2" t="s">
        <v>1434</v>
      </c>
      <c r="G68" s="2" t="s">
        <v>1435</v>
      </c>
      <c r="H68" s="2" t="s">
        <v>184</v>
      </c>
      <c r="I68" s="2" t="s">
        <v>992</v>
      </c>
      <c r="J68" s="2" t="s">
        <v>85</v>
      </c>
      <c r="K68" s="2" t="s">
        <v>94</v>
      </c>
      <c r="L68" s="2" t="s">
        <v>390</v>
      </c>
      <c r="M68" s="2" t="s">
        <v>745</v>
      </c>
      <c r="N68" s="2" t="s">
        <v>144</v>
      </c>
      <c r="O68" s="2" t="s">
        <v>89</v>
      </c>
      <c r="P68" s="126">
        <v>121</v>
      </c>
      <c r="Q68" s="134">
        <v>3.6469999999999998</v>
      </c>
      <c r="R68" s="151">
        <v>116945.5</v>
      </c>
      <c r="S68" s="115"/>
      <c r="T68" s="125">
        <v>516.06500000000005</v>
      </c>
      <c r="U68" s="140">
        <v>6.0000000000000002E-6</v>
      </c>
      <c r="V68" s="140">
        <v>7.2639008125256199E-2</v>
      </c>
      <c r="W68" s="140">
        <v>2.8040781964643401E-2</v>
      </c>
    </row>
    <row r="69" spans="1:23">
      <c r="A69" s="2">
        <v>382</v>
      </c>
      <c r="B69" s="2">
        <v>7635</v>
      </c>
      <c r="C69" s="2" t="s">
        <v>1436</v>
      </c>
      <c r="D69" s="2" t="s">
        <v>1437</v>
      </c>
      <c r="E69" s="3" t="s">
        <v>181</v>
      </c>
      <c r="F69" s="2" t="s">
        <v>1438</v>
      </c>
      <c r="G69" s="2" t="s">
        <v>1439</v>
      </c>
      <c r="H69" s="2" t="s">
        <v>184</v>
      </c>
      <c r="I69" s="2" t="s">
        <v>994</v>
      </c>
      <c r="J69" s="2" t="s">
        <v>85</v>
      </c>
      <c r="K69" s="2" t="s">
        <v>94</v>
      </c>
      <c r="L69" s="2" t="s">
        <v>1440</v>
      </c>
      <c r="M69" s="2" t="s">
        <v>742</v>
      </c>
      <c r="N69" s="2" t="s">
        <v>144</v>
      </c>
      <c r="O69" s="2" t="s">
        <v>89</v>
      </c>
      <c r="P69" s="126">
        <v>780</v>
      </c>
      <c r="Q69" s="134">
        <v>3.6469999999999998</v>
      </c>
      <c r="R69" s="151">
        <v>1080.5999999999999</v>
      </c>
      <c r="S69" s="115"/>
      <c r="T69" s="125">
        <v>30.739000000000001</v>
      </c>
      <c r="U69" s="140">
        <v>4.8000000000000001E-5</v>
      </c>
      <c r="V69" s="140">
        <v>4.3267378804457898E-3</v>
      </c>
      <c r="W69" s="140">
        <v>1.67024738711375E-3</v>
      </c>
    </row>
    <row r="70" spans="1:23">
      <c r="A70" s="2">
        <v>382</v>
      </c>
      <c r="B70" s="2">
        <v>7635</v>
      </c>
      <c r="C70" s="2" t="s">
        <v>1436</v>
      </c>
      <c r="D70" s="2" t="s">
        <v>1437</v>
      </c>
      <c r="E70" s="3" t="s">
        <v>181</v>
      </c>
      <c r="F70" s="2" t="s">
        <v>1441</v>
      </c>
      <c r="G70" s="2" t="s">
        <v>1442</v>
      </c>
      <c r="H70" s="2" t="s">
        <v>184</v>
      </c>
      <c r="I70" s="2" t="s">
        <v>992</v>
      </c>
      <c r="J70" s="2" t="s">
        <v>85</v>
      </c>
      <c r="K70" s="2" t="s">
        <v>94</v>
      </c>
      <c r="L70" s="2" t="s">
        <v>354</v>
      </c>
      <c r="M70" s="2" t="s">
        <v>745</v>
      </c>
      <c r="N70" s="2" t="s">
        <v>144</v>
      </c>
      <c r="O70" s="2" t="s">
        <v>89</v>
      </c>
      <c r="P70" s="126">
        <v>1090</v>
      </c>
      <c r="Q70" s="134">
        <v>3.6469999999999998</v>
      </c>
      <c r="R70" s="151">
        <v>6894</v>
      </c>
      <c r="S70" s="115"/>
      <c r="T70" s="125">
        <v>274.05200000000002</v>
      </c>
      <c r="U70" s="140">
        <v>3.9999999999999998E-6</v>
      </c>
      <c r="V70" s="140">
        <v>3.8574366013533097E-2</v>
      </c>
      <c r="W70" s="140">
        <v>1.48908336543454E-2</v>
      </c>
    </row>
    <row r="71" spans="1:23">
      <c r="A71" s="2">
        <v>382</v>
      </c>
      <c r="B71" s="2">
        <v>7635</v>
      </c>
      <c r="C71" s="2" t="s">
        <v>1436</v>
      </c>
      <c r="D71" s="2" t="s">
        <v>1437</v>
      </c>
      <c r="E71" s="3" t="s">
        <v>181</v>
      </c>
      <c r="F71" s="2" t="s">
        <v>1445</v>
      </c>
      <c r="G71" s="2" t="s">
        <v>1446</v>
      </c>
      <c r="H71" s="2" t="s">
        <v>184</v>
      </c>
      <c r="I71" s="2" t="s">
        <v>994</v>
      </c>
      <c r="J71" s="2" t="s">
        <v>85</v>
      </c>
      <c r="K71" s="2" t="s">
        <v>94</v>
      </c>
      <c r="L71" s="2" t="s">
        <v>390</v>
      </c>
      <c r="M71" s="2" t="s">
        <v>742</v>
      </c>
      <c r="N71" s="2" t="s">
        <v>144</v>
      </c>
      <c r="O71" s="2" t="s">
        <v>89</v>
      </c>
      <c r="P71" s="126">
        <v>660</v>
      </c>
      <c r="Q71" s="134">
        <v>3.6469999999999998</v>
      </c>
      <c r="R71" s="151">
        <v>2832</v>
      </c>
      <c r="S71" s="115"/>
      <c r="T71" s="125">
        <v>68.167000000000002</v>
      </c>
      <c r="U71" s="140">
        <v>3.0000000000000001E-6</v>
      </c>
      <c r="V71" s="140">
        <v>9.5948503289943806E-3</v>
      </c>
      <c r="W71" s="140">
        <v>3.7038928945007498E-3</v>
      </c>
    </row>
    <row r="72" spans="1:23">
      <c r="A72" s="2">
        <v>382</v>
      </c>
      <c r="B72" s="2">
        <v>7635</v>
      </c>
      <c r="C72" s="2" t="s">
        <v>1453</v>
      </c>
      <c r="D72" s="2" t="s">
        <v>1454</v>
      </c>
      <c r="E72" s="3" t="s">
        <v>181</v>
      </c>
      <c r="F72" s="2" t="s">
        <v>1455</v>
      </c>
      <c r="G72" s="2" t="s">
        <v>1456</v>
      </c>
      <c r="H72" s="2" t="s">
        <v>184</v>
      </c>
      <c r="I72" s="2" t="s">
        <v>994</v>
      </c>
      <c r="J72" s="2" t="s">
        <v>85</v>
      </c>
      <c r="K72" s="2" t="s">
        <v>94</v>
      </c>
      <c r="L72" s="2" t="s">
        <v>390</v>
      </c>
      <c r="M72" s="2" t="s">
        <v>742</v>
      </c>
      <c r="N72" s="2" t="s">
        <v>144</v>
      </c>
      <c r="O72" s="2" t="s">
        <v>89</v>
      </c>
      <c r="P72" s="126">
        <v>405</v>
      </c>
      <c r="Q72" s="134">
        <v>3.6469999999999998</v>
      </c>
      <c r="R72" s="151">
        <v>5691</v>
      </c>
      <c r="S72" s="115"/>
      <c r="T72" s="125">
        <v>84.058000000000007</v>
      </c>
      <c r="U72" s="140">
        <v>0</v>
      </c>
      <c r="V72" s="140">
        <v>1.1831631331875101E-2</v>
      </c>
      <c r="W72" s="140">
        <v>4.5673557916851397E-3</v>
      </c>
    </row>
    <row r="73" spans="1:23">
      <c r="A73" s="2">
        <v>382</v>
      </c>
      <c r="B73" s="2">
        <v>7635</v>
      </c>
      <c r="C73" s="2" t="s">
        <v>1453</v>
      </c>
      <c r="D73" s="2" t="s">
        <v>1454</v>
      </c>
      <c r="E73" s="3" t="s">
        <v>181</v>
      </c>
      <c r="F73" s="2" t="s">
        <v>1457</v>
      </c>
      <c r="G73" s="2" t="s">
        <v>1458</v>
      </c>
      <c r="H73" s="2" t="s">
        <v>184</v>
      </c>
      <c r="I73" s="2" t="s">
        <v>992</v>
      </c>
      <c r="J73" s="2" t="s">
        <v>85</v>
      </c>
      <c r="K73" s="2" t="s">
        <v>1459</v>
      </c>
      <c r="L73" s="2" t="s">
        <v>390</v>
      </c>
      <c r="M73" s="2" t="s">
        <v>745</v>
      </c>
      <c r="N73" s="2" t="s">
        <v>144</v>
      </c>
      <c r="O73" s="2" t="s">
        <v>89</v>
      </c>
      <c r="P73" s="126">
        <v>17</v>
      </c>
      <c r="Q73" s="134">
        <v>3.6469999999999998</v>
      </c>
      <c r="R73" s="151">
        <v>6302.5</v>
      </c>
      <c r="S73" s="115"/>
      <c r="T73" s="125">
        <v>3.907</v>
      </c>
      <c r="U73" s="140">
        <v>0</v>
      </c>
      <c r="V73" s="140">
        <v>5.5000013448803695E-4</v>
      </c>
      <c r="W73" s="140">
        <v>2.1231614045596101E-4</v>
      </c>
    </row>
    <row r="74" spans="1:23">
      <c r="A74" s="2">
        <v>382</v>
      </c>
      <c r="B74" s="2">
        <v>7635</v>
      </c>
      <c r="C74" s="2" t="s">
        <v>1453</v>
      </c>
      <c r="D74" s="2" t="s">
        <v>1454</v>
      </c>
      <c r="E74" s="3" t="s">
        <v>181</v>
      </c>
      <c r="F74" s="2" t="s">
        <v>1460</v>
      </c>
      <c r="G74" s="2" t="s">
        <v>1461</v>
      </c>
      <c r="H74" s="2" t="s">
        <v>184</v>
      </c>
      <c r="I74" s="2" t="s">
        <v>992</v>
      </c>
      <c r="J74" s="2" t="s">
        <v>85</v>
      </c>
      <c r="K74" s="2" t="s">
        <v>94</v>
      </c>
      <c r="L74" s="2" t="s">
        <v>354</v>
      </c>
      <c r="M74" s="2" t="s">
        <v>745</v>
      </c>
      <c r="N74" s="2" t="s">
        <v>144</v>
      </c>
      <c r="O74" s="2" t="s">
        <v>89</v>
      </c>
      <c r="P74" s="126">
        <v>156</v>
      </c>
      <c r="Q74" s="134">
        <v>3.6469999999999998</v>
      </c>
      <c r="R74" s="151">
        <v>53881</v>
      </c>
      <c r="S74" s="115"/>
      <c r="T74" s="125">
        <v>306.54599999999999</v>
      </c>
      <c r="U74" s="140">
        <v>0</v>
      </c>
      <c r="V74" s="140">
        <v>4.3148059177549401E-2</v>
      </c>
      <c r="W74" s="140">
        <v>1.66564130048262E-2</v>
      </c>
    </row>
    <row r="75" spans="1:23">
      <c r="A75" s="2">
        <v>382</v>
      </c>
      <c r="B75" s="2">
        <v>9479</v>
      </c>
      <c r="C75" s="2" t="s">
        <v>1363</v>
      </c>
      <c r="D75" s="2" t="s">
        <v>1364</v>
      </c>
      <c r="E75" s="3" t="s">
        <v>1322</v>
      </c>
      <c r="F75" s="2" t="s">
        <v>1368</v>
      </c>
      <c r="G75" s="2" t="s">
        <v>1369</v>
      </c>
      <c r="H75" s="2" t="s">
        <v>184</v>
      </c>
      <c r="I75" s="2" t="s">
        <v>991</v>
      </c>
      <c r="J75" s="2" t="s">
        <v>30</v>
      </c>
      <c r="K75" s="2" t="s">
        <v>30</v>
      </c>
      <c r="L75" s="2" t="s">
        <v>44</v>
      </c>
      <c r="M75" s="2" t="s">
        <v>1346</v>
      </c>
      <c r="N75" s="2" t="s">
        <v>144</v>
      </c>
      <c r="O75" s="2" t="s">
        <v>34</v>
      </c>
      <c r="P75" s="126">
        <v>27500</v>
      </c>
      <c r="Q75" s="134">
        <v>1</v>
      </c>
      <c r="R75" s="151">
        <v>3748</v>
      </c>
      <c r="S75" s="115"/>
      <c r="T75" s="125">
        <v>1030.7</v>
      </c>
      <c r="U75" s="140">
        <v>3.2400000000000001E-4</v>
      </c>
      <c r="V75" s="140">
        <v>1.8557216429127599E-2</v>
      </c>
      <c r="W75" s="140">
        <v>1.4877759898126799E-2</v>
      </c>
    </row>
    <row r="76" spans="1:23">
      <c r="A76" s="2">
        <v>382</v>
      </c>
      <c r="B76" s="2">
        <v>9479</v>
      </c>
      <c r="C76" s="2" t="s">
        <v>1363</v>
      </c>
      <c r="D76" s="2" t="s">
        <v>1364</v>
      </c>
      <c r="E76" s="3" t="s">
        <v>1322</v>
      </c>
      <c r="F76" s="2" t="s">
        <v>1370</v>
      </c>
      <c r="G76" s="2" t="s">
        <v>1371</v>
      </c>
      <c r="H76" s="2" t="s">
        <v>184</v>
      </c>
      <c r="I76" s="2" t="s">
        <v>991</v>
      </c>
      <c r="J76" s="2" t="s">
        <v>30</v>
      </c>
      <c r="K76" s="2" t="s">
        <v>30</v>
      </c>
      <c r="L76" s="2" t="s">
        <v>44</v>
      </c>
      <c r="M76" s="2" t="s">
        <v>1346</v>
      </c>
      <c r="N76" s="2" t="s">
        <v>144</v>
      </c>
      <c r="O76" s="2" t="s">
        <v>34</v>
      </c>
      <c r="P76" s="126">
        <v>69850</v>
      </c>
      <c r="Q76" s="134">
        <v>1</v>
      </c>
      <c r="R76" s="151">
        <v>3630</v>
      </c>
      <c r="S76" s="115"/>
      <c r="T76" s="125">
        <v>2535.5549999999998</v>
      </c>
      <c r="U76" s="140">
        <v>1.364E-3</v>
      </c>
      <c r="V76" s="140">
        <v>4.56513465634584E-2</v>
      </c>
      <c r="W76" s="140">
        <v>3.6599765691757997E-2</v>
      </c>
    </row>
    <row r="77" spans="1:23">
      <c r="A77" s="2">
        <v>382</v>
      </c>
      <c r="B77" s="2">
        <v>9479</v>
      </c>
      <c r="C77" s="2" t="s">
        <v>1363</v>
      </c>
      <c r="D77" s="2" t="s">
        <v>1364</v>
      </c>
      <c r="E77" s="3" t="s">
        <v>1322</v>
      </c>
      <c r="F77" s="2" t="s">
        <v>1486</v>
      </c>
      <c r="G77" s="2" t="s">
        <v>1487</v>
      </c>
      <c r="H77" s="2" t="s">
        <v>184</v>
      </c>
      <c r="I77" s="2" t="s">
        <v>992</v>
      </c>
      <c r="J77" s="2" t="s">
        <v>30</v>
      </c>
      <c r="K77" s="2" t="s">
        <v>94</v>
      </c>
      <c r="L77" s="2" t="s">
        <v>44</v>
      </c>
      <c r="M77" s="2" t="s">
        <v>1473</v>
      </c>
      <c r="N77" s="2" t="s">
        <v>144</v>
      </c>
      <c r="O77" s="2" t="s">
        <v>34</v>
      </c>
      <c r="P77" s="126">
        <v>52200</v>
      </c>
      <c r="Q77" s="134">
        <v>1</v>
      </c>
      <c r="R77" s="151">
        <v>7564</v>
      </c>
      <c r="S77" s="115"/>
      <c r="T77" s="125">
        <v>3948.4079999999999</v>
      </c>
      <c r="U77" s="140">
        <v>2.1419999999999998E-3</v>
      </c>
      <c r="V77" s="140">
        <v>7.1089028627630502E-2</v>
      </c>
      <c r="W77" s="140">
        <v>5.6993757838210202E-2</v>
      </c>
    </row>
    <row r="78" spans="1:23">
      <c r="A78" s="2">
        <v>382</v>
      </c>
      <c r="B78" s="2">
        <v>9479</v>
      </c>
      <c r="C78" s="2" t="s">
        <v>1372</v>
      </c>
      <c r="D78" s="2" t="s">
        <v>1373</v>
      </c>
      <c r="E78" s="3" t="s">
        <v>1322</v>
      </c>
      <c r="F78" s="2" t="s">
        <v>1488</v>
      </c>
      <c r="G78" s="2" t="s">
        <v>1489</v>
      </c>
      <c r="H78" s="2" t="s">
        <v>184</v>
      </c>
      <c r="I78" s="2" t="s">
        <v>992</v>
      </c>
      <c r="J78" s="2" t="s">
        <v>30</v>
      </c>
      <c r="K78" s="2" t="s">
        <v>94</v>
      </c>
      <c r="L78" s="2" t="s">
        <v>44</v>
      </c>
      <c r="M78" s="2" t="s">
        <v>1473</v>
      </c>
      <c r="N78" s="2" t="s">
        <v>144</v>
      </c>
      <c r="O78" s="2" t="s">
        <v>34</v>
      </c>
      <c r="P78" s="126">
        <v>52000</v>
      </c>
      <c r="Q78" s="134">
        <v>1</v>
      </c>
      <c r="R78" s="151">
        <v>5752</v>
      </c>
      <c r="S78" s="115"/>
      <c r="T78" s="125">
        <v>2991.04</v>
      </c>
      <c r="U78" s="140">
        <v>4.28E-4</v>
      </c>
      <c r="V78" s="140">
        <v>5.3852116647111398E-2</v>
      </c>
      <c r="W78" s="140">
        <v>4.3174517285042499E-2</v>
      </c>
    </row>
    <row r="79" spans="1:23">
      <c r="A79" s="2">
        <v>382</v>
      </c>
      <c r="B79" s="2">
        <v>9479</v>
      </c>
      <c r="C79" s="2" t="s">
        <v>1372</v>
      </c>
      <c r="D79" s="2" t="s">
        <v>1373</v>
      </c>
      <c r="E79" s="3" t="s">
        <v>1322</v>
      </c>
      <c r="F79" s="2" t="s">
        <v>1374</v>
      </c>
      <c r="G79" s="2" t="s">
        <v>1375</v>
      </c>
      <c r="H79" s="2" t="s">
        <v>184</v>
      </c>
      <c r="I79" s="2" t="s">
        <v>991</v>
      </c>
      <c r="J79" s="2" t="s">
        <v>30</v>
      </c>
      <c r="K79" s="2" t="s">
        <v>30</v>
      </c>
      <c r="L79" s="2" t="s">
        <v>44</v>
      </c>
      <c r="M79" s="2" t="s">
        <v>1346</v>
      </c>
      <c r="N79" s="2" t="s">
        <v>144</v>
      </c>
      <c r="O79" s="2" t="s">
        <v>34</v>
      </c>
      <c r="P79" s="126">
        <v>65520</v>
      </c>
      <c r="Q79" s="134">
        <v>1</v>
      </c>
      <c r="R79" s="151">
        <v>2414</v>
      </c>
      <c r="S79" s="115"/>
      <c r="T79" s="125">
        <v>1581.653</v>
      </c>
      <c r="U79" s="140">
        <v>2.6200000000000003E-4</v>
      </c>
      <c r="V79" s="140">
        <v>2.84768345060014E-2</v>
      </c>
      <c r="W79" s="140">
        <v>2.2830552634714299E-2</v>
      </c>
    </row>
    <row r="80" spans="1:23">
      <c r="A80" s="2">
        <v>382</v>
      </c>
      <c r="B80" s="2">
        <v>9479</v>
      </c>
      <c r="C80" s="2" t="s">
        <v>1372</v>
      </c>
      <c r="D80" s="2" t="s">
        <v>1373</v>
      </c>
      <c r="E80" s="3" t="s">
        <v>1322</v>
      </c>
      <c r="F80" s="2" t="s">
        <v>1379</v>
      </c>
      <c r="G80" s="2" t="s">
        <v>1380</v>
      </c>
      <c r="H80" s="2" t="s">
        <v>184</v>
      </c>
      <c r="I80" s="2" t="s">
        <v>991</v>
      </c>
      <c r="J80" s="2" t="s">
        <v>30</v>
      </c>
      <c r="K80" s="2" t="s">
        <v>30</v>
      </c>
      <c r="L80" s="2" t="s">
        <v>44</v>
      </c>
      <c r="M80" s="2" t="s">
        <v>1346</v>
      </c>
      <c r="N80" s="2" t="s">
        <v>144</v>
      </c>
      <c r="O80" s="2" t="s">
        <v>34</v>
      </c>
      <c r="P80" s="126">
        <v>91100</v>
      </c>
      <c r="Q80" s="134">
        <v>1</v>
      </c>
      <c r="R80" s="151">
        <v>2386</v>
      </c>
      <c r="S80" s="115"/>
      <c r="T80" s="125">
        <v>2173.6460000000002</v>
      </c>
      <c r="U80" s="140">
        <v>4.4099999999999999E-4</v>
      </c>
      <c r="V80" s="140">
        <v>3.9135363599793797E-2</v>
      </c>
      <c r="W80" s="140">
        <v>3.1375747833049202E-2</v>
      </c>
    </row>
    <row r="81" spans="1:23">
      <c r="A81" s="2">
        <v>382</v>
      </c>
      <c r="B81" s="2">
        <v>9479</v>
      </c>
      <c r="C81" s="2" t="s">
        <v>1381</v>
      </c>
      <c r="D81" s="2" t="s">
        <v>1382</v>
      </c>
      <c r="E81" s="3" t="s">
        <v>1322</v>
      </c>
      <c r="F81" s="2" t="s">
        <v>1383</v>
      </c>
      <c r="G81" s="2" t="s">
        <v>1384</v>
      </c>
      <c r="H81" s="2" t="s">
        <v>184</v>
      </c>
      <c r="I81" s="2" t="s">
        <v>991</v>
      </c>
      <c r="J81" s="2" t="s">
        <v>30</v>
      </c>
      <c r="K81" s="2" t="s">
        <v>30</v>
      </c>
      <c r="L81" s="2" t="s">
        <v>44</v>
      </c>
      <c r="M81" s="2" t="s">
        <v>1346</v>
      </c>
      <c r="N81" s="2" t="s">
        <v>144</v>
      </c>
      <c r="O81" s="2" t="s">
        <v>34</v>
      </c>
      <c r="P81" s="126">
        <v>10200</v>
      </c>
      <c r="Q81" s="134">
        <v>1</v>
      </c>
      <c r="R81" s="151">
        <v>6621</v>
      </c>
      <c r="S81" s="115"/>
      <c r="T81" s="125">
        <v>675.34199999999998</v>
      </c>
      <c r="U81" s="140">
        <v>9.2699999999999998E-4</v>
      </c>
      <c r="V81" s="140">
        <v>1.21591808069078E-2</v>
      </c>
      <c r="W81" s="140">
        <v>9.7483032163779796E-3</v>
      </c>
    </row>
    <row r="82" spans="1:23">
      <c r="A82" s="2">
        <v>382</v>
      </c>
      <c r="B82" s="2">
        <v>9479</v>
      </c>
      <c r="C82" s="2" t="s">
        <v>1381</v>
      </c>
      <c r="D82" s="2" t="s">
        <v>1382</v>
      </c>
      <c r="E82" s="3" t="s">
        <v>1322</v>
      </c>
      <c r="F82" s="2" t="s">
        <v>1490</v>
      </c>
      <c r="G82" s="2" t="s">
        <v>1491</v>
      </c>
      <c r="H82" s="2" t="s">
        <v>184</v>
      </c>
      <c r="I82" s="2" t="s">
        <v>992</v>
      </c>
      <c r="J82" s="2" t="s">
        <v>30</v>
      </c>
      <c r="K82" s="2" t="s">
        <v>94</v>
      </c>
      <c r="L82" s="2" t="s">
        <v>44</v>
      </c>
      <c r="M82" s="2" t="s">
        <v>1473</v>
      </c>
      <c r="N82" s="2" t="s">
        <v>144</v>
      </c>
      <c r="O82" s="2" t="s">
        <v>34</v>
      </c>
      <c r="P82" s="126">
        <v>22300</v>
      </c>
      <c r="Q82" s="134">
        <v>1</v>
      </c>
      <c r="R82" s="151">
        <v>10010</v>
      </c>
      <c r="S82" s="115"/>
      <c r="T82" s="125">
        <v>2232.23</v>
      </c>
      <c r="U82" s="140">
        <v>1.6770000000000001E-3</v>
      </c>
      <c r="V82" s="140">
        <v>4.0190137993200203E-2</v>
      </c>
      <c r="W82" s="140">
        <v>3.2221385444256997E-2</v>
      </c>
    </row>
    <row r="83" spans="1:23">
      <c r="A83" s="2">
        <v>382</v>
      </c>
      <c r="B83" s="2">
        <v>9479</v>
      </c>
      <c r="C83" s="2" t="s">
        <v>1381</v>
      </c>
      <c r="D83" s="2" t="s">
        <v>1382</v>
      </c>
      <c r="E83" s="3" t="s">
        <v>1322</v>
      </c>
      <c r="F83" s="2" t="s">
        <v>1492</v>
      </c>
      <c r="G83" s="2" t="s">
        <v>1493</v>
      </c>
      <c r="H83" s="2" t="s">
        <v>184</v>
      </c>
      <c r="I83" s="2" t="s">
        <v>992</v>
      </c>
      <c r="J83" s="2" t="s">
        <v>30</v>
      </c>
      <c r="K83" s="2" t="s">
        <v>94</v>
      </c>
      <c r="L83" s="2" t="s">
        <v>44</v>
      </c>
      <c r="M83" s="2" t="s">
        <v>1473</v>
      </c>
      <c r="N83" s="2" t="s">
        <v>144</v>
      </c>
      <c r="O83" s="2" t="s">
        <v>34</v>
      </c>
      <c r="P83" s="126">
        <v>43900</v>
      </c>
      <c r="Q83" s="134">
        <v>1</v>
      </c>
      <c r="R83" s="151">
        <v>9295</v>
      </c>
      <c r="S83" s="115"/>
      <c r="T83" s="125">
        <v>4080.5050000000001</v>
      </c>
      <c r="U83" s="140">
        <v>3.2520000000000001E-3</v>
      </c>
      <c r="V83" s="140">
        <v>7.3467366280331001E-2</v>
      </c>
      <c r="W83" s="140">
        <v>5.8900527460081599E-2</v>
      </c>
    </row>
    <row r="84" spans="1:23">
      <c r="A84" s="2">
        <v>382</v>
      </c>
      <c r="B84" s="2">
        <v>9479</v>
      </c>
      <c r="C84" s="2" t="s">
        <v>1385</v>
      </c>
      <c r="D84" s="2" t="s">
        <v>1386</v>
      </c>
      <c r="E84" s="3" t="s">
        <v>1322</v>
      </c>
      <c r="F84" s="2" t="s">
        <v>1471</v>
      </c>
      <c r="G84" s="2" t="s">
        <v>1472</v>
      </c>
      <c r="H84" s="2" t="s">
        <v>184</v>
      </c>
      <c r="I84" s="2" t="s">
        <v>992</v>
      </c>
      <c r="J84" s="2" t="s">
        <v>30</v>
      </c>
      <c r="K84" s="2" t="s">
        <v>94</v>
      </c>
      <c r="L84" s="2" t="s">
        <v>44</v>
      </c>
      <c r="M84" s="2" t="s">
        <v>1473</v>
      </c>
      <c r="N84" s="2" t="s">
        <v>144</v>
      </c>
      <c r="O84" s="2" t="s">
        <v>34</v>
      </c>
      <c r="P84" s="126">
        <v>75300</v>
      </c>
      <c r="Q84" s="134">
        <v>1</v>
      </c>
      <c r="R84" s="151">
        <v>5666</v>
      </c>
      <c r="S84" s="115"/>
      <c r="T84" s="125">
        <v>4266.4979999999996</v>
      </c>
      <c r="U84" s="140">
        <v>1.0820000000000001E-3</v>
      </c>
      <c r="V84" s="140">
        <v>7.6816073329232501E-2</v>
      </c>
      <c r="W84" s="140">
        <v>6.1585265207954203E-2</v>
      </c>
    </row>
    <row r="85" spans="1:23">
      <c r="A85" s="2">
        <v>382</v>
      </c>
      <c r="B85" s="2">
        <v>9479</v>
      </c>
      <c r="C85" s="2" t="s">
        <v>1385</v>
      </c>
      <c r="D85" s="2" t="s">
        <v>1386</v>
      </c>
      <c r="E85" s="3" t="s">
        <v>1322</v>
      </c>
      <c r="F85" s="2" t="s">
        <v>1391</v>
      </c>
      <c r="G85" s="2" t="s">
        <v>1392</v>
      </c>
      <c r="H85" s="2" t="s">
        <v>184</v>
      </c>
      <c r="I85" s="2" t="s">
        <v>991</v>
      </c>
      <c r="J85" s="2" t="s">
        <v>30</v>
      </c>
      <c r="K85" s="2" t="s">
        <v>30</v>
      </c>
      <c r="L85" s="2" t="s">
        <v>44</v>
      </c>
      <c r="M85" s="2" t="s">
        <v>1346</v>
      </c>
      <c r="N85" s="2" t="s">
        <v>144</v>
      </c>
      <c r="O85" s="2" t="s">
        <v>34</v>
      </c>
      <c r="P85" s="126">
        <v>6124</v>
      </c>
      <c r="Q85" s="134">
        <v>1</v>
      </c>
      <c r="R85" s="151">
        <v>23840</v>
      </c>
      <c r="S85" s="115"/>
      <c r="T85" s="125">
        <v>1459.962</v>
      </c>
      <c r="U85" s="140">
        <v>1.73E-4</v>
      </c>
      <c r="V85" s="140">
        <v>2.6285847860110002E-2</v>
      </c>
      <c r="W85" s="140">
        <v>2.1073986751998699E-2</v>
      </c>
    </row>
    <row r="86" spans="1:23">
      <c r="A86" s="2">
        <v>382</v>
      </c>
      <c r="B86" s="2">
        <v>9479</v>
      </c>
      <c r="C86" s="2" t="s">
        <v>1385</v>
      </c>
      <c r="D86" s="2" t="s">
        <v>1386</v>
      </c>
      <c r="E86" s="3" t="s">
        <v>1322</v>
      </c>
      <c r="F86" s="2" t="s">
        <v>1393</v>
      </c>
      <c r="G86" s="2" t="s">
        <v>1394</v>
      </c>
      <c r="H86" s="2" t="s">
        <v>184</v>
      </c>
      <c r="I86" s="2" t="s">
        <v>991</v>
      </c>
      <c r="J86" s="2" t="s">
        <v>30</v>
      </c>
      <c r="K86" s="2" t="s">
        <v>30</v>
      </c>
      <c r="L86" s="2" t="s">
        <v>44</v>
      </c>
      <c r="M86" s="2" t="s">
        <v>1346</v>
      </c>
      <c r="N86" s="2" t="s">
        <v>144</v>
      </c>
      <c r="O86" s="2" t="s">
        <v>34</v>
      </c>
      <c r="P86" s="126">
        <v>2928</v>
      </c>
      <c r="Q86" s="134">
        <v>1</v>
      </c>
      <c r="R86" s="151">
        <v>23190</v>
      </c>
      <c r="S86" s="115"/>
      <c r="T86" s="125">
        <v>679.00300000000004</v>
      </c>
      <c r="U86" s="140">
        <v>9.7E-5</v>
      </c>
      <c r="V86" s="140">
        <v>1.2225098805152001E-2</v>
      </c>
      <c r="W86" s="140">
        <v>9.8011512366933205E-3</v>
      </c>
    </row>
    <row r="87" spans="1:23">
      <c r="A87" s="2">
        <v>382</v>
      </c>
      <c r="B87" s="2">
        <v>9479</v>
      </c>
      <c r="C87" s="2" t="s">
        <v>1385</v>
      </c>
      <c r="D87" s="2" t="s">
        <v>1386</v>
      </c>
      <c r="E87" s="3" t="s">
        <v>1322</v>
      </c>
      <c r="F87" s="2" t="s">
        <v>1395</v>
      </c>
      <c r="G87" s="2" t="s">
        <v>1396</v>
      </c>
      <c r="H87" s="2" t="s">
        <v>184</v>
      </c>
      <c r="I87" s="2" t="s">
        <v>991</v>
      </c>
      <c r="J87" s="2" t="s">
        <v>30</v>
      </c>
      <c r="K87" s="2" t="s">
        <v>30</v>
      </c>
      <c r="L87" s="2" t="s">
        <v>44</v>
      </c>
      <c r="M87" s="2" t="s">
        <v>1346</v>
      </c>
      <c r="N87" s="2" t="s">
        <v>144</v>
      </c>
      <c r="O87" s="2" t="s">
        <v>34</v>
      </c>
      <c r="P87" s="126">
        <v>8680</v>
      </c>
      <c r="Q87" s="134">
        <v>1</v>
      </c>
      <c r="R87" s="151">
        <v>10850</v>
      </c>
      <c r="S87" s="115"/>
      <c r="T87" s="125">
        <v>941.78</v>
      </c>
      <c r="U87" s="140">
        <v>9.4799999999999995E-4</v>
      </c>
      <c r="V87" s="140">
        <v>1.69562581630191E-2</v>
      </c>
      <c r="W87" s="140">
        <v>1.3594233741008901E-2</v>
      </c>
    </row>
    <row r="88" spans="1:23">
      <c r="A88" s="2">
        <v>382</v>
      </c>
      <c r="B88" s="2">
        <v>9479</v>
      </c>
      <c r="C88" s="2" t="s">
        <v>1397</v>
      </c>
      <c r="D88" s="2" t="s">
        <v>1398</v>
      </c>
      <c r="E88" s="3" t="s">
        <v>1322</v>
      </c>
      <c r="F88" s="2" t="s">
        <v>1399</v>
      </c>
      <c r="G88" s="2" t="s">
        <v>1400</v>
      </c>
      <c r="H88" s="2" t="s">
        <v>184</v>
      </c>
      <c r="I88" s="2" t="s">
        <v>991</v>
      </c>
      <c r="J88" s="2" t="s">
        <v>30</v>
      </c>
      <c r="K88" s="2" t="s">
        <v>30</v>
      </c>
      <c r="L88" s="2" t="s">
        <v>44</v>
      </c>
      <c r="M88" s="2" t="s">
        <v>1346</v>
      </c>
      <c r="N88" s="2" t="s">
        <v>144</v>
      </c>
      <c r="O88" s="2" t="s">
        <v>34</v>
      </c>
      <c r="P88" s="126">
        <v>28418</v>
      </c>
      <c r="Q88" s="134">
        <v>1</v>
      </c>
      <c r="R88" s="151">
        <v>2405</v>
      </c>
      <c r="S88" s="115"/>
      <c r="T88" s="125">
        <v>683.45299999999997</v>
      </c>
      <c r="U88" s="140">
        <v>6.9999999999999994E-5</v>
      </c>
      <c r="V88" s="140">
        <v>1.23052133350295E-2</v>
      </c>
      <c r="W88" s="140">
        <v>9.8653809526326706E-3</v>
      </c>
    </row>
    <row r="89" spans="1:23">
      <c r="A89" s="2">
        <v>382</v>
      </c>
      <c r="B89" s="2">
        <v>9479</v>
      </c>
      <c r="C89" s="2" t="s">
        <v>1397</v>
      </c>
      <c r="D89" s="2" t="s">
        <v>1398</v>
      </c>
      <c r="E89" s="3" t="s">
        <v>1322</v>
      </c>
      <c r="F89" s="2" t="s">
        <v>1478</v>
      </c>
      <c r="G89" s="2" t="s">
        <v>1479</v>
      </c>
      <c r="H89" s="2" t="s">
        <v>184</v>
      </c>
      <c r="I89" s="2" t="s">
        <v>991</v>
      </c>
      <c r="J89" s="2" t="s">
        <v>30</v>
      </c>
      <c r="K89" s="2" t="s">
        <v>30</v>
      </c>
      <c r="L89" s="2" t="s">
        <v>44</v>
      </c>
      <c r="M89" s="2" t="s">
        <v>1346</v>
      </c>
      <c r="N89" s="2" t="s">
        <v>144</v>
      </c>
      <c r="O89" s="2" t="s">
        <v>34</v>
      </c>
      <c r="P89" s="126">
        <v>129500</v>
      </c>
      <c r="Q89" s="134">
        <v>1</v>
      </c>
      <c r="R89" s="151">
        <v>2393</v>
      </c>
      <c r="S89" s="115"/>
      <c r="T89" s="125">
        <v>3098.9349999999999</v>
      </c>
      <c r="U89" s="140">
        <v>2.9500000000000001E-4</v>
      </c>
      <c r="V89" s="140">
        <v>5.57947099008426E-2</v>
      </c>
      <c r="W89" s="140">
        <v>4.4731940302611503E-2</v>
      </c>
    </row>
    <row r="90" spans="1:23">
      <c r="A90" s="2">
        <v>382</v>
      </c>
      <c r="B90" s="2">
        <v>9479</v>
      </c>
      <c r="C90" s="2" t="s">
        <v>1401</v>
      </c>
      <c r="D90" s="2" t="s">
        <v>1402</v>
      </c>
      <c r="E90" s="3" t="s">
        <v>181</v>
      </c>
      <c r="F90" s="2" t="s">
        <v>1403</v>
      </c>
      <c r="G90" s="2" t="s">
        <v>1404</v>
      </c>
      <c r="H90" s="2" t="s">
        <v>184</v>
      </c>
      <c r="I90" s="2" t="s">
        <v>992</v>
      </c>
      <c r="J90" s="2" t="s">
        <v>85</v>
      </c>
      <c r="K90" s="2" t="s">
        <v>94</v>
      </c>
      <c r="L90" s="2" t="s">
        <v>374</v>
      </c>
      <c r="M90" s="2" t="s">
        <v>745</v>
      </c>
      <c r="N90" s="2" t="s">
        <v>144</v>
      </c>
      <c r="O90" s="2" t="s">
        <v>89</v>
      </c>
      <c r="P90" s="126">
        <v>7230</v>
      </c>
      <c r="Q90" s="134">
        <v>3.6469999999999998</v>
      </c>
      <c r="R90" s="151">
        <v>11638.61</v>
      </c>
      <c r="S90" s="115"/>
      <c r="T90" s="125">
        <v>3068.8470000000002</v>
      </c>
      <c r="U90" s="140">
        <v>1.55E-4</v>
      </c>
      <c r="V90" s="140">
        <v>5.5252983422932701E-2</v>
      </c>
      <c r="W90" s="140">
        <v>4.4297625355669903E-2</v>
      </c>
    </row>
    <row r="91" spans="1:23">
      <c r="A91" s="2">
        <v>382</v>
      </c>
      <c r="B91" s="2">
        <v>9479</v>
      </c>
      <c r="C91" s="2" t="s">
        <v>1405</v>
      </c>
      <c r="D91" s="2" t="s">
        <v>1406</v>
      </c>
      <c r="E91" s="3" t="s">
        <v>181</v>
      </c>
      <c r="F91" s="2" t="s">
        <v>1407</v>
      </c>
      <c r="G91" s="2" t="s">
        <v>1408</v>
      </c>
      <c r="H91" s="2" t="s">
        <v>184</v>
      </c>
      <c r="I91" s="2" t="s">
        <v>992</v>
      </c>
      <c r="J91" s="2" t="s">
        <v>85</v>
      </c>
      <c r="K91" s="2" t="s">
        <v>94</v>
      </c>
      <c r="L91" s="2" t="s">
        <v>354</v>
      </c>
      <c r="M91" s="2" t="s">
        <v>745</v>
      </c>
      <c r="N91" s="2" t="s">
        <v>144</v>
      </c>
      <c r="O91" s="2" t="s">
        <v>89</v>
      </c>
      <c r="P91" s="126">
        <v>450</v>
      </c>
      <c r="Q91" s="134">
        <v>3.6469999999999998</v>
      </c>
      <c r="R91" s="151">
        <v>22096</v>
      </c>
      <c r="S91" s="115"/>
      <c r="T91" s="125">
        <v>362.62900000000002</v>
      </c>
      <c r="U91" s="140">
        <v>1.9999999999999999E-6</v>
      </c>
      <c r="V91" s="140">
        <v>6.5289372582698702E-3</v>
      </c>
      <c r="W91" s="140">
        <v>5.2344036234878502E-3</v>
      </c>
    </row>
    <row r="92" spans="1:23">
      <c r="A92" s="2">
        <v>382</v>
      </c>
      <c r="B92" s="2">
        <v>9479</v>
      </c>
      <c r="C92" s="2" t="s">
        <v>1494</v>
      </c>
      <c r="D92" s="2" t="s">
        <v>1495</v>
      </c>
      <c r="E92" s="3" t="s">
        <v>181</v>
      </c>
      <c r="F92" s="2" t="s">
        <v>1496</v>
      </c>
      <c r="G92" s="2" t="s">
        <v>1497</v>
      </c>
      <c r="H92" s="2" t="s">
        <v>184</v>
      </c>
      <c r="I92" s="2" t="s">
        <v>992</v>
      </c>
      <c r="J92" s="2" t="s">
        <v>85</v>
      </c>
      <c r="K92" s="2" t="s">
        <v>310</v>
      </c>
      <c r="L92" s="2" t="s">
        <v>356</v>
      </c>
      <c r="M92" s="2" t="s">
        <v>745</v>
      </c>
      <c r="N92" s="2" t="s">
        <v>144</v>
      </c>
      <c r="O92" s="2" t="s">
        <v>89</v>
      </c>
      <c r="P92" s="126">
        <v>1120</v>
      </c>
      <c r="Q92" s="134">
        <v>3.6469999999999998</v>
      </c>
      <c r="R92" s="151">
        <v>3209</v>
      </c>
      <c r="S92" s="129">
        <v>2.4E-2</v>
      </c>
      <c r="T92" s="125">
        <v>131.16300000000001</v>
      </c>
      <c r="U92" s="140">
        <v>2.5999999999999998E-5</v>
      </c>
      <c r="V92" s="140">
        <v>2.3615301064922102E-3</v>
      </c>
      <c r="W92" s="140">
        <v>1.8932946140263801E-3</v>
      </c>
    </row>
    <row r="93" spans="1:23">
      <c r="A93" s="2">
        <v>382</v>
      </c>
      <c r="B93" s="2">
        <v>9479</v>
      </c>
      <c r="C93" s="2" t="s">
        <v>1359</v>
      </c>
      <c r="D93" s="2" t="s">
        <v>1360</v>
      </c>
      <c r="E93" s="3" t="s">
        <v>181</v>
      </c>
      <c r="F93" s="2" t="s">
        <v>1482</v>
      </c>
      <c r="G93" s="2" t="s">
        <v>1483</v>
      </c>
      <c r="H93" s="2" t="s">
        <v>184</v>
      </c>
      <c r="I93" s="2" t="s">
        <v>992</v>
      </c>
      <c r="J93" s="2" t="s">
        <v>85</v>
      </c>
      <c r="K93" s="2" t="s">
        <v>94</v>
      </c>
      <c r="L93" s="2" t="s">
        <v>356</v>
      </c>
      <c r="M93" s="2" t="s">
        <v>745</v>
      </c>
      <c r="N93" s="2" t="s">
        <v>144</v>
      </c>
      <c r="O93" s="2" t="s">
        <v>89</v>
      </c>
      <c r="P93" s="126">
        <v>754</v>
      </c>
      <c r="Q93" s="134">
        <v>3.6469999999999998</v>
      </c>
      <c r="R93" s="151">
        <v>51123</v>
      </c>
      <c r="S93" s="129">
        <v>0.629</v>
      </c>
      <c r="T93" s="125">
        <v>1408.095</v>
      </c>
      <c r="U93" s="140">
        <v>9.9999999999999995E-7</v>
      </c>
      <c r="V93" s="140">
        <v>2.5352014003257602E-2</v>
      </c>
      <c r="W93" s="140">
        <v>2.0325310033157198E-2</v>
      </c>
    </row>
    <row r="94" spans="1:23">
      <c r="A94" s="2">
        <v>382</v>
      </c>
      <c r="B94" s="2">
        <v>9479</v>
      </c>
      <c r="C94" s="2" t="s">
        <v>1405</v>
      </c>
      <c r="D94" s="2" t="s">
        <v>1406</v>
      </c>
      <c r="E94" s="3" t="s">
        <v>181</v>
      </c>
      <c r="F94" s="2" t="s">
        <v>1415</v>
      </c>
      <c r="G94" s="2" t="s">
        <v>1416</v>
      </c>
      <c r="H94" s="2" t="s">
        <v>184</v>
      </c>
      <c r="I94" s="2" t="s">
        <v>992</v>
      </c>
      <c r="J94" s="2" t="s">
        <v>85</v>
      </c>
      <c r="K94" s="2" t="s">
        <v>307</v>
      </c>
      <c r="L94" s="2" t="s">
        <v>378</v>
      </c>
      <c r="M94" s="2" t="s">
        <v>745</v>
      </c>
      <c r="N94" s="2" t="s">
        <v>144</v>
      </c>
      <c r="O94" s="2" t="s">
        <v>1181</v>
      </c>
      <c r="P94" s="126">
        <v>10600</v>
      </c>
      <c r="Q94" s="134">
        <v>3.7964000000000002</v>
      </c>
      <c r="R94" s="151">
        <v>4909</v>
      </c>
      <c r="S94" s="115"/>
      <c r="T94" s="125">
        <v>1975.472</v>
      </c>
      <c r="U94" s="140">
        <v>7.4999999999999993E-5</v>
      </c>
      <c r="V94" s="140">
        <v>3.5567342653560298E-2</v>
      </c>
      <c r="W94" s="140">
        <v>2.8515180939717801E-2</v>
      </c>
    </row>
    <row r="95" spans="1:23">
      <c r="A95" s="2">
        <v>382</v>
      </c>
      <c r="B95" s="2">
        <v>9479</v>
      </c>
      <c r="C95" s="2" t="s">
        <v>1405</v>
      </c>
      <c r="D95" s="2" t="s">
        <v>1406</v>
      </c>
      <c r="E95" s="3" t="s">
        <v>181</v>
      </c>
      <c r="F95" s="2" t="s">
        <v>1417</v>
      </c>
      <c r="G95" s="2" t="s">
        <v>1418</v>
      </c>
      <c r="H95" s="2" t="s">
        <v>184</v>
      </c>
      <c r="I95" s="2" t="s">
        <v>992</v>
      </c>
      <c r="J95" s="2" t="s">
        <v>85</v>
      </c>
      <c r="K95" s="2" t="s">
        <v>94</v>
      </c>
      <c r="L95" s="2" t="s">
        <v>86</v>
      </c>
      <c r="M95" s="2" t="s">
        <v>745</v>
      </c>
      <c r="N95" s="2" t="s">
        <v>144</v>
      </c>
      <c r="O95" s="2" t="s">
        <v>89</v>
      </c>
      <c r="P95" s="126">
        <v>23590</v>
      </c>
      <c r="Q95" s="134">
        <v>3.6469999999999998</v>
      </c>
      <c r="R95" s="151">
        <v>639.75</v>
      </c>
      <c r="S95" s="115"/>
      <c r="T95" s="125">
        <v>550.39400000000001</v>
      </c>
      <c r="U95" s="140">
        <v>0</v>
      </c>
      <c r="V95" s="140">
        <v>9.9095641989474705E-3</v>
      </c>
      <c r="W95" s="140">
        <v>7.9447323045499108E-3</v>
      </c>
    </row>
    <row r="96" spans="1:23">
      <c r="A96" s="2">
        <v>382</v>
      </c>
      <c r="B96" s="2">
        <v>9479</v>
      </c>
      <c r="C96" s="2" t="s">
        <v>1405</v>
      </c>
      <c r="D96" s="2" t="s">
        <v>1406</v>
      </c>
      <c r="E96" s="3" t="s">
        <v>181</v>
      </c>
      <c r="F96" s="2" t="s">
        <v>1419</v>
      </c>
      <c r="G96" s="2" t="s">
        <v>1420</v>
      </c>
      <c r="H96" s="2" t="s">
        <v>184</v>
      </c>
      <c r="I96" s="2" t="s">
        <v>992</v>
      </c>
      <c r="J96" s="2" t="s">
        <v>85</v>
      </c>
      <c r="K96" s="2" t="s">
        <v>94</v>
      </c>
      <c r="L96" s="2" t="s">
        <v>86</v>
      </c>
      <c r="M96" s="2" t="s">
        <v>745</v>
      </c>
      <c r="N96" s="2" t="s">
        <v>144</v>
      </c>
      <c r="O96" s="2" t="s">
        <v>89</v>
      </c>
      <c r="P96" s="126">
        <v>13370</v>
      </c>
      <c r="Q96" s="134">
        <v>3.6469999999999998</v>
      </c>
      <c r="R96" s="151">
        <v>1105.1559999999999</v>
      </c>
      <c r="S96" s="115"/>
      <c r="T96" s="125">
        <v>538.87800000000004</v>
      </c>
      <c r="U96" s="140">
        <v>4.08E-4</v>
      </c>
      <c r="V96" s="140">
        <v>9.7022261149817806E-3</v>
      </c>
      <c r="W96" s="140">
        <v>7.7785044522876799E-3</v>
      </c>
    </row>
    <row r="97" spans="1:23">
      <c r="A97" s="2">
        <v>382</v>
      </c>
      <c r="B97" s="2">
        <v>9479</v>
      </c>
      <c r="C97" s="2" t="s">
        <v>1405</v>
      </c>
      <c r="D97" s="2" t="s">
        <v>1406</v>
      </c>
      <c r="E97" s="3" t="s">
        <v>181</v>
      </c>
      <c r="F97" s="2" t="s">
        <v>1484</v>
      </c>
      <c r="G97" s="2" t="s">
        <v>1485</v>
      </c>
      <c r="H97" s="2" t="s">
        <v>184</v>
      </c>
      <c r="I97" s="2" t="s">
        <v>992</v>
      </c>
      <c r="J97" s="2" t="s">
        <v>85</v>
      </c>
      <c r="K97" s="2" t="s">
        <v>94</v>
      </c>
      <c r="L97" s="2" t="s">
        <v>354</v>
      </c>
      <c r="M97" s="2" t="s">
        <v>745</v>
      </c>
      <c r="N97" s="2" t="s">
        <v>144</v>
      </c>
      <c r="O97" s="2" t="s">
        <v>89</v>
      </c>
      <c r="P97" s="126">
        <v>607</v>
      </c>
      <c r="Q97" s="134">
        <v>3.6469999999999998</v>
      </c>
      <c r="R97" s="151">
        <v>58868</v>
      </c>
      <c r="S97" s="115"/>
      <c r="T97" s="125">
        <v>1303.1780000000001</v>
      </c>
      <c r="U97" s="140">
        <v>9.9999999999999995E-7</v>
      </c>
      <c r="V97" s="140">
        <v>2.34630406168575E-2</v>
      </c>
      <c r="W97" s="140">
        <v>1.8810875333096201E-2</v>
      </c>
    </row>
    <row r="98" spans="1:23">
      <c r="A98" s="2">
        <v>382</v>
      </c>
      <c r="B98" s="2">
        <v>9479</v>
      </c>
      <c r="C98" s="2" t="s">
        <v>1405</v>
      </c>
      <c r="D98" s="2" t="s">
        <v>1406</v>
      </c>
      <c r="E98" s="3" t="s">
        <v>181</v>
      </c>
      <c r="F98" s="2" t="s">
        <v>1425</v>
      </c>
      <c r="G98" s="2" t="s">
        <v>1426</v>
      </c>
      <c r="H98" s="2" t="s">
        <v>184</v>
      </c>
      <c r="I98" s="2" t="s">
        <v>992</v>
      </c>
      <c r="J98" s="2" t="s">
        <v>85</v>
      </c>
      <c r="K98" s="2" t="s">
        <v>94</v>
      </c>
      <c r="L98" s="2" t="s">
        <v>354</v>
      </c>
      <c r="M98" s="2" t="s">
        <v>745</v>
      </c>
      <c r="N98" s="2" t="s">
        <v>144</v>
      </c>
      <c r="O98" s="2" t="s">
        <v>89</v>
      </c>
      <c r="P98" s="126">
        <v>610</v>
      </c>
      <c r="Q98" s="134">
        <v>3.6469999999999998</v>
      </c>
      <c r="R98" s="151">
        <v>10339</v>
      </c>
      <c r="S98" s="115"/>
      <c r="T98" s="125">
        <v>230.00899999999999</v>
      </c>
      <c r="U98" s="140">
        <v>2.4000000000000001E-5</v>
      </c>
      <c r="V98" s="140">
        <v>4.1411855550611302E-3</v>
      </c>
      <c r="W98" s="140">
        <v>3.3200865343729299E-3</v>
      </c>
    </row>
    <row r="99" spans="1:23">
      <c r="A99" s="2">
        <v>382</v>
      </c>
      <c r="B99" s="2">
        <v>9479</v>
      </c>
      <c r="C99" s="2" t="s">
        <v>1405</v>
      </c>
      <c r="D99" s="2" t="s">
        <v>1406</v>
      </c>
      <c r="E99" s="3" t="s">
        <v>181</v>
      </c>
      <c r="F99" s="2" t="s">
        <v>1498</v>
      </c>
      <c r="G99" s="2" t="s">
        <v>1499</v>
      </c>
      <c r="H99" s="2" t="s">
        <v>184</v>
      </c>
      <c r="I99" s="2" t="s">
        <v>992</v>
      </c>
      <c r="J99" s="2" t="s">
        <v>85</v>
      </c>
      <c r="K99" s="2" t="s">
        <v>265</v>
      </c>
      <c r="L99" s="2" t="s">
        <v>356</v>
      </c>
      <c r="M99" s="2" t="s">
        <v>745</v>
      </c>
      <c r="N99" s="2" t="s">
        <v>144</v>
      </c>
      <c r="O99" s="2" t="s">
        <v>89</v>
      </c>
      <c r="P99" s="126">
        <v>300</v>
      </c>
      <c r="Q99" s="134">
        <v>3.6469999999999998</v>
      </c>
      <c r="R99" s="151">
        <v>7218</v>
      </c>
      <c r="S99" s="115"/>
      <c r="T99" s="125">
        <v>78.971999999999994</v>
      </c>
      <c r="U99" s="140">
        <v>6.0000000000000002E-6</v>
      </c>
      <c r="V99" s="140">
        <v>1.42185219436978E-3</v>
      </c>
      <c r="W99" s="140">
        <v>1.13993257767123E-3</v>
      </c>
    </row>
    <row r="100" spans="1:23">
      <c r="A100" s="2">
        <v>382</v>
      </c>
      <c r="B100" s="2">
        <v>9479</v>
      </c>
      <c r="C100" s="2" t="s">
        <v>1405</v>
      </c>
      <c r="D100" s="2" t="s">
        <v>1406</v>
      </c>
      <c r="E100" s="3" t="s">
        <v>181</v>
      </c>
      <c r="F100" s="2" t="s">
        <v>1427</v>
      </c>
      <c r="G100" s="2" t="s">
        <v>1428</v>
      </c>
      <c r="H100" s="2" t="s">
        <v>184</v>
      </c>
      <c r="I100" s="2" t="s">
        <v>992</v>
      </c>
      <c r="J100" s="2" t="s">
        <v>85</v>
      </c>
      <c r="K100" s="2" t="s">
        <v>94</v>
      </c>
      <c r="L100" s="2" t="s">
        <v>390</v>
      </c>
      <c r="M100" s="2" t="s">
        <v>745</v>
      </c>
      <c r="N100" s="2" t="s">
        <v>144</v>
      </c>
      <c r="O100" s="2" t="s">
        <v>89</v>
      </c>
      <c r="P100" s="126">
        <v>38</v>
      </c>
      <c r="Q100" s="134">
        <v>3.6469999999999998</v>
      </c>
      <c r="R100" s="151">
        <v>121767</v>
      </c>
      <c r="S100" s="115"/>
      <c r="T100" s="125">
        <v>168.75200000000001</v>
      </c>
      <c r="U100" s="140">
        <v>3.9999999999999998E-6</v>
      </c>
      <c r="V100" s="140">
        <v>3.0382920909621E-3</v>
      </c>
      <c r="W100" s="140">
        <v>2.4358707245964398E-3</v>
      </c>
    </row>
    <row r="101" spans="1:23">
      <c r="A101" s="2">
        <v>382</v>
      </c>
      <c r="B101" s="2">
        <v>9479</v>
      </c>
      <c r="C101" s="2" t="s">
        <v>1429</v>
      </c>
      <c r="D101" s="2" t="s">
        <v>1402</v>
      </c>
      <c r="E101" s="3" t="s">
        <v>181</v>
      </c>
      <c r="F101" s="2" t="s">
        <v>1500</v>
      </c>
      <c r="G101" s="2" t="s">
        <v>1501</v>
      </c>
      <c r="H101" s="2" t="s">
        <v>184</v>
      </c>
      <c r="I101" s="2" t="s">
        <v>992</v>
      </c>
      <c r="J101" s="2" t="s">
        <v>85</v>
      </c>
      <c r="K101" s="2" t="s">
        <v>307</v>
      </c>
      <c r="L101" s="2" t="s">
        <v>86</v>
      </c>
      <c r="M101" s="2" t="s">
        <v>745</v>
      </c>
      <c r="N101" s="2" t="s">
        <v>144</v>
      </c>
      <c r="O101" s="2" t="s">
        <v>1181</v>
      </c>
      <c r="P101" s="126">
        <v>280</v>
      </c>
      <c r="Q101" s="134">
        <v>3.7964000000000002</v>
      </c>
      <c r="R101" s="151">
        <v>23846</v>
      </c>
      <c r="S101" s="115"/>
      <c r="T101" s="125">
        <v>253.48099999999999</v>
      </c>
      <c r="U101" s="140">
        <v>7.9999999999999996E-6</v>
      </c>
      <c r="V101" s="140">
        <v>4.5637946247497601E-3</v>
      </c>
      <c r="W101" s="140">
        <v>3.6589022341095199E-3</v>
      </c>
    </row>
    <row r="102" spans="1:23">
      <c r="A102" s="2">
        <v>382</v>
      </c>
      <c r="B102" s="2">
        <v>9479</v>
      </c>
      <c r="C102" s="2" t="s">
        <v>1429</v>
      </c>
      <c r="D102" s="2" t="s">
        <v>1402</v>
      </c>
      <c r="E102" s="3" t="s">
        <v>181</v>
      </c>
      <c r="F102" s="2" t="s">
        <v>1430</v>
      </c>
      <c r="G102" s="2" t="s">
        <v>1431</v>
      </c>
      <c r="H102" s="2" t="s">
        <v>184</v>
      </c>
      <c r="I102" s="2" t="s">
        <v>992</v>
      </c>
      <c r="J102" s="2" t="s">
        <v>85</v>
      </c>
      <c r="K102" s="2" t="s">
        <v>94</v>
      </c>
      <c r="L102" s="2" t="s">
        <v>390</v>
      </c>
      <c r="M102" s="2" t="s">
        <v>745</v>
      </c>
      <c r="N102" s="2" t="s">
        <v>144</v>
      </c>
      <c r="O102" s="2" t="s">
        <v>89</v>
      </c>
      <c r="P102" s="126">
        <v>2095</v>
      </c>
      <c r="Q102" s="134">
        <v>3.6469999999999998</v>
      </c>
      <c r="R102" s="151">
        <v>42367.5</v>
      </c>
      <c r="S102" s="115"/>
      <c r="T102" s="125">
        <v>3237.0740000000001</v>
      </c>
      <c r="U102" s="140">
        <v>2.3599999999999999E-4</v>
      </c>
      <c r="V102" s="140">
        <v>5.8281830775004401E-2</v>
      </c>
      <c r="W102" s="140">
        <v>4.6725924009420002E-2</v>
      </c>
    </row>
    <row r="103" spans="1:23">
      <c r="A103" s="2">
        <v>382</v>
      </c>
      <c r="B103" s="2">
        <v>9479</v>
      </c>
      <c r="C103" s="2" t="s">
        <v>1338</v>
      </c>
      <c r="D103" s="2" t="s">
        <v>1339</v>
      </c>
      <c r="E103" s="3" t="s">
        <v>181</v>
      </c>
      <c r="F103" s="2" t="s">
        <v>1432</v>
      </c>
      <c r="G103" s="2" t="s">
        <v>1433</v>
      </c>
      <c r="H103" s="2" t="s">
        <v>184</v>
      </c>
      <c r="I103" s="2" t="s">
        <v>992</v>
      </c>
      <c r="J103" s="2" t="s">
        <v>85</v>
      </c>
      <c r="K103" s="2" t="s">
        <v>265</v>
      </c>
      <c r="L103" s="2" t="s">
        <v>358</v>
      </c>
      <c r="M103" s="2" t="s">
        <v>745</v>
      </c>
      <c r="N103" s="2" t="s">
        <v>144</v>
      </c>
      <c r="O103" s="2" t="s">
        <v>1182</v>
      </c>
      <c r="P103" s="126">
        <v>1510</v>
      </c>
      <c r="Q103" s="134">
        <v>2.3285</v>
      </c>
      <c r="R103" s="151">
        <v>2919</v>
      </c>
      <c r="S103" s="115"/>
      <c r="T103" s="125">
        <v>102.633</v>
      </c>
      <c r="U103" s="140">
        <v>0</v>
      </c>
      <c r="V103" s="140">
        <v>1.8478547955981799E-3</v>
      </c>
      <c r="W103" s="140">
        <v>1.4814689520115899E-3</v>
      </c>
    </row>
    <row r="104" spans="1:23">
      <c r="A104" s="2">
        <v>382</v>
      </c>
      <c r="B104" s="2">
        <v>9479</v>
      </c>
      <c r="C104" s="2" t="s">
        <v>1359</v>
      </c>
      <c r="D104" s="2" t="s">
        <v>1360</v>
      </c>
      <c r="E104" s="3" t="s">
        <v>181</v>
      </c>
      <c r="F104" s="2" t="s">
        <v>1434</v>
      </c>
      <c r="G104" s="2" t="s">
        <v>1435</v>
      </c>
      <c r="H104" s="2" t="s">
        <v>184</v>
      </c>
      <c r="I104" s="2" t="s">
        <v>992</v>
      </c>
      <c r="J104" s="2" t="s">
        <v>85</v>
      </c>
      <c r="K104" s="2" t="s">
        <v>94</v>
      </c>
      <c r="L104" s="2" t="s">
        <v>390</v>
      </c>
      <c r="M104" s="2" t="s">
        <v>745</v>
      </c>
      <c r="N104" s="2" t="s">
        <v>144</v>
      </c>
      <c r="O104" s="2" t="s">
        <v>89</v>
      </c>
      <c r="P104" s="126">
        <v>910</v>
      </c>
      <c r="Q104" s="134">
        <v>3.6469999999999998</v>
      </c>
      <c r="R104" s="151">
        <v>116945.5</v>
      </c>
      <c r="S104" s="115"/>
      <c r="T104" s="125">
        <v>3881.152</v>
      </c>
      <c r="U104" s="140">
        <v>4.1999999999999998E-5</v>
      </c>
      <c r="V104" s="140">
        <v>6.9878122460039896E-2</v>
      </c>
      <c r="W104" s="140">
        <v>5.6022945686000997E-2</v>
      </c>
    </row>
    <row r="105" spans="1:23">
      <c r="A105" s="2">
        <v>382</v>
      </c>
      <c r="B105" s="2">
        <v>9479</v>
      </c>
      <c r="C105" s="2" t="s">
        <v>1436</v>
      </c>
      <c r="D105" s="2" t="s">
        <v>1437</v>
      </c>
      <c r="E105" s="3" t="s">
        <v>181</v>
      </c>
      <c r="F105" s="2" t="s">
        <v>1443</v>
      </c>
      <c r="G105" s="2" t="s">
        <v>1444</v>
      </c>
      <c r="H105" s="2" t="s">
        <v>184</v>
      </c>
      <c r="I105" s="2" t="s">
        <v>992</v>
      </c>
      <c r="J105" s="2" t="s">
        <v>85</v>
      </c>
      <c r="K105" s="2" t="s">
        <v>94</v>
      </c>
      <c r="L105" s="2" t="s">
        <v>390</v>
      </c>
      <c r="M105" s="2" t="s">
        <v>745</v>
      </c>
      <c r="N105" s="2" t="s">
        <v>144</v>
      </c>
      <c r="O105" s="2" t="s">
        <v>89</v>
      </c>
      <c r="P105" s="126">
        <v>35330</v>
      </c>
      <c r="Q105" s="134">
        <v>3.6469999999999998</v>
      </c>
      <c r="R105" s="151">
        <v>1443.9</v>
      </c>
      <c r="S105" s="115"/>
      <c r="T105" s="125">
        <v>1860.444</v>
      </c>
      <c r="U105" s="140">
        <v>0</v>
      </c>
      <c r="V105" s="140">
        <v>3.3496318235571698E-2</v>
      </c>
      <c r="W105" s="140">
        <v>2.68547916161536E-2</v>
      </c>
    </row>
    <row r="106" spans="1:23">
      <c r="A106" s="2">
        <v>382</v>
      </c>
      <c r="B106" s="2">
        <v>9479</v>
      </c>
      <c r="C106" s="2" t="s">
        <v>1436</v>
      </c>
      <c r="D106" s="2" t="s">
        <v>1437</v>
      </c>
      <c r="E106" s="3" t="s">
        <v>181</v>
      </c>
      <c r="F106" s="2" t="s">
        <v>1502</v>
      </c>
      <c r="G106" s="2" t="s">
        <v>1503</v>
      </c>
      <c r="H106" s="2" t="s">
        <v>184</v>
      </c>
      <c r="I106" s="2" t="s">
        <v>992</v>
      </c>
      <c r="J106" s="2" t="s">
        <v>85</v>
      </c>
      <c r="K106" s="2" t="s">
        <v>282</v>
      </c>
      <c r="L106" s="2" t="s">
        <v>354</v>
      </c>
      <c r="M106" s="2" t="s">
        <v>745</v>
      </c>
      <c r="N106" s="2" t="s">
        <v>144</v>
      </c>
      <c r="O106" s="2" t="s">
        <v>89</v>
      </c>
      <c r="P106" s="126">
        <v>5</v>
      </c>
      <c r="Q106" s="134">
        <v>3.6469999999999998</v>
      </c>
      <c r="R106" s="151">
        <v>7588</v>
      </c>
      <c r="S106" s="115"/>
      <c r="T106" s="125">
        <v>1.3839999999999999</v>
      </c>
      <c r="U106" s="140">
        <v>0</v>
      </c>
      <c r="V106" s="140">
        <v>2.49122897637339E-5</v>
      </c>
      <c r="W106" s="140">
        <v>1.9972772696428598E-5</v>
      </c>
    </row>
    <row r="107" spans="1:23">
      <c r="A107" s="2">
        <v>382</v>
      </c>
      <c r="B107" s="2">
        <v>9479</v>
      </c>
      <c r="C107" s="2" t="s">
        <v>1436</v>
      </c>
      <c r="D107" s="2" t="s">
        <v>1437</v>
      </c>
      <c r="E107" s="3" t="s">
        <v>181</v>
      </c>
      <c r="F107" s="2" t="s">
        <v>1447</v>
      </c>
      <c r="G107" s="2" t="s">
        <v>1448</v>
      </c>
      <c r="H107" s="2" t="s">
        <v>184</v>
      </c>
      <c r="I107" s="2" t="s">
        <v>992</v>
      </c>
      <c r="J107" s="2" t="s">
        <v>85</v>
      </c>
      <c r="K107" s="2" t="s">
        <v>94</v>
      </c>
      <c r="L107" s="2" t="s">
        <v>390</v>
      </c>
      <c r="M107" s="2" t="s">
        <v>745</v>
      </c>
      <c r="N107" s="2" t="s">
        <v>144</v>
      </c>
      <c r="O107" s="2" t="s">
        <v>89</v>
      </c>
      <c r="P107" s="126">
        <v>3440</v>
      </c>
      <c r="Q107" s="134">
        <v>3.6469999999999998</v>
      </c>
      <c r="R107" s="151">
        <v>3282</v>
      </c>
      <c r="S107" s="115"/>
      <c r="T107" s="125">
        <v>411.74900000000002</v>
      </c>
      <c r="U107" s="140">
        <v>0</v>
      </c>
      <c r="V107" s="140">
        <v>7.4133301111158796E-3</v>
      </c>
      <c r="W107" s="140">
        <v>5.9434423185159404E-3</v>
      </c>
    </row>
    <row r="108" spans="1:23">
      <c r="A108" s="2">
        <v>382</v>
      </c>
      <c r="B108" s="2">
        <v>9479</v>
      </c>
      <c r="C108" s="2" t="s">
        <v>1436</v>
      </c>
      <c r="D108" s="2" t="s">
        <v>1437</v>
      </c>
      <c r="E108" s="3" t="s">
        <v>181</v>
      </c>
      <c r="F108" s="2" t="s">
        <v>1449</v>
      </c>
      <c r="G108" s="2" t="s">
        <v>1450</v>
      </c>
      <c r="H108" s="2" t="s">
        <v>184</v>
      </c>
      <c r="I108" s="2" t="s">
        <v>992</v>
      </c>
      <c r="J108" s="2" t="s">
        <v>85</v>
      </c>
      <c r="K108" s="2" t="s">
        <v>94</v>
      </c>
      <c r="L108" s="2" t="s">
        <v>390</v>
      </c>
      <c r="M108" s="2" t="s">
        <v>745</v>
      </c>
      <c r="N108" s="2" t="s">
        <v>144</v>
      </c>
      <c r="O108" s="2" t="s">
        <v>89</v>
      </c>
      <c r="P108" s="126">
        <v>730</v>
      </c>
      <c r="Q108" s="134">
        <v>3.6469999999999998</v>
      </c>
      <c r="R108" s="151">
        <v>5653.25</v>
      </c>
      <c r="S108" s="115"/>
      <c r="T108" s="125">
        <v>150.50700000000001</v>
      </c>
      <c r="U108" s="140">
        <v>1.9999999999999999E-6</v>
      </c>
      <c r="V108" s="140">
        <v>2.7098008312594901E-3</v>
      </c>
      <c r="W108" s="140">
        <v>2.1725115020991598E-3</v>
      </c>
    </row>
    <row r="109" spans="1:23">
      <c r="A109" s="2">
        <v>382</v>
      </c>
      <c r="B109" s="2">
        <v>9479</v>
      </c>
      <c r="C109" s="2" t="s">
        <v>1436</v>
      </c>
      <c r="D109" s="2" t="s">
        <v>1437</v>
      </c>
      <c r="E109" s="3" t="s">
        <v>181</v>
      </c>
      <c r="F109" s="2" t="s">
        <v>1451</v>
      </c>
      <c r="G109" s="2" t="s">
        <v>1452</v>
      </c>
      <c r="H109" s="2" t="s">
        <v>184</v>
      </c>
      <c r="I109" s="2" t="s">
        <v>992</v>
      </c>
      <c r="J109" s="2" t="s">
        <v>85</v>
      </c>
      <c r="K109" s="2" t="s">
        <v>94</v>
      </c>
      <c r="L109" s="2" t="s">
        <v>390</v>
      </c>
      <c r="M109" s="2" t="s">
        <v>745</v>
      </c>
      <c r="N109" s="2" t="s">
        <v>144</v>
      </c>
      <c r="O109" s="2" t="s">
        <v>89</v>
      </c>
      <c r="P109" s="126">
        <v>1075</v>
      </c>
      <c r="Q109" s="134">
        <v>3.6469999999999998</v>
      </c>
      <c r="R109" s="151">
        <v>12384.5</v>
      </c>
      <c r="S109" s="115"/>
      <c r="T109" s="125">
        <v>485.53699999999998</v>
      </c>
      <c r="U109" s="140">
        <v>0</v>
      </c>
      <c r="V109" s="140">
        <v>8.7418482214650598E-3</v>
      </c>
      <c r="W109" s="140">
        <v>7.0085467506151604E-3</v>
      </c>
    </row>
    <row r="110" spans="1:23">
      <c r="A110" s="2">
        <v>382</v>
      </c>
      <c r="B110" s="2">
        <v>9479</v>
      </c>
      <c r="C110" s="2" t="s">
        <v>1453</v>
      </c>
      <c r="D110" s="2" t="s">
        <v>1454</v>
      </c>
      <c r="E110" s="3" t="s">
        <v>181</v>
      </c>
      <c r="F110" s="2" t="s">
        <v>1457</v>
      </c>
      <c r="G110" s="2" t="s">
        <v>1458</v>
      </c>
      <c r="H110" s="2" t="s">
        <v>184</v>
      </c>
      <c r="I110" s="2" t="s">
        <v>992</v>
      </c>
      <c r="J110" s="2" t="s">
        <v>85</v>
      </c>
      <c r="K110" s="2" t="s">
        <v>1459</v>
      </c>
      <c r="L110" s="2" t="s">
        <v>390</v>
      </c>
      <c r="M110" s="2" t="s">
        <v>745</v>
      </c>
      <c r="N110" s="2" t="s">
        <v>144</v>
      </c>
      <c r="O110" s="2" t="s">
        <v>89</v>
      </c>
      <c r="P110" s="126">
        <v>228</v>
      </c>
      <c r="Q110" s="134">
        <v>3.6469999999999998</v>
      </c>
      <c r="R110" s="151">
        <v>6302.5</v>
      </c>
      <c r="S110" s="115"/>
      <c r="T110" s="125">
        <v>52.405999999999999</v>
      </c>
      <c r="U110" s="140">
        <v>0</v>
      </c>
      <c r="V110" s="140">
        <v>9.4354805012632301E-4</v>
      </c>
      <c r="W110" s="140">
        <v>7.5646481764857795E-4</v>
      </c>
    </row>
    <row r="111" spans="1:23">
      <c r="A111" s="2">
        <v>382</v>
      </c>
      <c r="B111" s="2">
        <v>9479</v>
      </c>
      <c r="C111" s="2" t="s">
        <v>1453</v>
      </c>
      <c r="D111" s="2" t="s">
        <v>1454</v>
      </c>
      <c r="E111" s="3" t="s">
        <v>181</v>
      </c>
      <c r="F111" s="2" t="s">
        <v>1460</v>
      </c>
      <c r="G111" s="2" t="s">
        <v>1461</v>
      </c>
      <c r="H111" s="2" t="s">
        <v>184</v>
      </c>
      <c r="I111" s="2" t="s">
        <v>992</v>
      </c>
      <c r="J111" s="2" t="s">
        <v>85</v>
      </c>
      <c r="K111" s="2" t="s">
        <v>94</v>
      </c>
      <c r="L111" s="2" t="s">
        <v>354</v>
      </c>
      <c r="M111" s="2" t="s">
        <v>745</v>
      </c>
      <c r="N111" s="2" t="s">
        <v>144</v>
      </c>
      <c r="O111" s="2" t="s">
        <v>89</v>
      </c>
      <c r="P111" s="126">
        <v>828</v>
      </c>
      <c r="Q111" s="134">
        <v>3.6469999999999998</v>
      </c>
      <c r="R111" s="151">
        <v>53881</v>
      </c>
      <c r="S111" s="115"/>
      <c r="T111" s="125">
        <v>1627.0530000000001</v>
      </c>
      <c r="U111" s="140">
        <v>9.9999999999999995E-7</v>
      </c>
      <c r="V111" s="140">
        <v>2.9294244654218999E-2</v>
      </c>
      <c r="W111" s="140">
        <v>2.3485889709103602E-2</v>
      </c>
    </row>
    <row r="112" spans="1:23">
      <c r="A112" s="2">
        <v>382</v>
      </c>
      <c r="B112" s="2">
        <v>9479</v>
      </c>
      <c r="C112" s="2" t="s">
        <v>1462</v>
      </c>
      <c r="D112" s="2" t="s">
        <v>1463</v>
      </c>
      <c r="E112" s="3" t="s">
        <v>181</v>
      </c>
      <c r="F112" s="2" t="s">
        <v>1464</v>
      </c>
      <c r="G112" s="2" t="s">
        <v>1465</v>
      </c>
      <c r="H112" s="2" t="s">
        <v>184</v>
      </c>
      <c r="I112" s="2" t="s">
        <v>992</v>
      </c>
      <c r="J112" s="2" t="s">
        <v>85</v>
      </c>
      <c r="K112" s="2" t="s">
        <v>265</v>
      </c>
      <c r="L112" s="2" t="s">
        <v>354</v>
      </c>
      <c r="M112" s="2" t="s">
        <v>745</v>
      </c>
      <c r="N112" s="2" t="s">
        <v>144</v>
      </c>
      <c r="O112" s="2" t="s">
        <v>89</v>
      </c>
      <c r="P112" s="126">
        <v>2180</v>
      </c>
      <c r="Q112" s="134">
        <v>3.6469999999999998</v>
      </c>
      <c r="R112" s="151">
        <v>11029</v>
      </c>
      <c r="S112" s="115"/>
      <c r="T112" s="125">
        <v>876.85599999999999</v>
      </c>
      <c r="U112" s="140">
        <v>6.8999999999999997E-5</v>
      </c>
      <c r="V112" s="140">
        <v>1.5787339575466599E-2</v>
      </c>
      <c r="W112" s="140">
        <v>1.26570840260998E-2</v>
      </c>
    </row>
    <row r="113" spans="1:23">
      <c r="A113" s="2">
        <v>382</v>
      </c>
      <c r="B113" s="2">
        <v>9479</v>
      </c>
      <c r="C113" s="2" t="s">
        <v>1462</v>
      </c>
      <c r="D113" s="2" t="s">
        <v>1463</v>
      </c>
      <c r="E113" s="3" t="s">
        <v>181</v>
      </c>
      <c r="F113" s="2" t="s">
        <v>1466</v>
      </c>
      <c r="G113" s="2" t="s">
        <v>1467</v>
      </c>
      <c r="H113" s="2" t="s">
        <v>184</v>
      </c>
      <c r="I113" s="2" t="s">
        <v>992</v>
      </c>
      <c r="J113" s="2" t="s">
        <v>85</v>
      </c>
      <c r="K113" s="2" t="s">
        <v>94</v>
      </c>
      <c r="L113" s="2" t="s">
        <v>390</v>
      </c>
      <c r="M113" s="2" t="s">
        <v>745</v>
      </c>
      <c r="N113" s="2" t="s">
        <v>144</v>
      </c>
      <c r="O113" s="2" t="s">
        <v>89</v>
      </c>
      <c r="P113" s="126">
        <v>2600</v>
      </c>
      <c r="Q113" s="134">
        <v>3.6469999999999998</v>
      </c>
      <c r="R113" s="151">
        <v>4285.5</v>
      </c>
      <c r="S113" s="115"/>
      <c r="T113" s="125">
        <v>406.36</v>
      </c>
      <c r="U113" s="140">
        <v>0</v>
      </c>
      <c r="V113" s="140">
        <v>7.3162943129797603E-3</v>
      </c>
      <c r="W113" s="140">
        <v>5.8656464210705504E-3</v>
      </c>
    </row>
    <row r="114" spans="1:23">
      <c r="A114" s="2">
        <v>382</v>
      </c>
      <c r="B114" s="2">
        <v>11414</v>
      </c>
      <c r="C114" s="2" t="s">
        <v>1372</v>
      </c>
      <c r="D114" s="2" t="s">
        <v>1373</v>
      </c>
      <c r="E114" s="3" t="s">
        <v>1322</v>
      </c>
      <c r="F114" s="2" t="s">
        <v>1504</v>
      </c>
      <c r="G114" s="2" t="s">
        <v>1505</v>
      </c>
      <c r="H114" s="2" t="s">
        <v>184</v>
      </c>
      <c r="I114" s="2" t="s">
        <v>992</v>
      </c>
      <c r="J114" s="2" t="s">
        <v>30</v>
      </c>
      <c r="K114" s="2" t="s">
        <v>94</v>
      </c>
      <c r="L114" s="2" t="s">
        <v>44</v>
      </c>
      <c r="M114" s="2" t="s">
        <v>1367</v>
      </c>
      <c r="N114" s="2" t="s">
        <v>144</v>
      </c>
      <c r="O114" s="2" t="s">
        <v>34</v>
      </c>
      <c r="P114" s="126">
        <v>7255</v>
      </c>
      <c r="Q114" s="134">
        <v>1</v>
      </c>
      <c r="R114" s="151">
        <v>8239</v>
      </c>
      <c r="S114" s="115"/>
      <c r="T114" s="125">
        <v>597.73900000000003</v>
      </c>
      <c r="U114" s="140">
        <v>7.2999999999999999E-5</v>
      </c>
      <c r="V114" s="140">
        <v>0.24595877153755299</v>
      </c>
      <c r="W114" s="140">
        <v>3.94141944427309E-2</v>
      </c>
    </row>
    <row r="115" spans="1:23">
      <c r="A115" s="2">
        <v>382</v>
      </c>
      <c r="B115" s="2">
        <v>11414</v>
      </c>
      <c r="C115" s="2" t="s">
        <v>1372</v>
      </c>
      <c r="D115" s="2" t="s">
        <v>1373</v>
      </c>
      <c r="E115" s="3" t="s">
        <v>1322</v>
      </c>
      <c r="F115" s="2" t="s">
        <v>1506</v>
      </c>
      <c r="G115" s="2" t="s">
        <v>1507</v>
      </c>
      <c r="H115" s="2" t="s">
        <v>184</v>
      </c>
      <c r="I115" s="2" t="s">
        <v>992</v>
      </c>
      <c r="J115" s="2" t="s">
        <v>30</v>
      </c>
      <c r="K115" s="2" t="s">
        <v>94</v>
      </c>
      <c r="L115" s="2" t="s">
        <v>44</v>
      </c>
      <c r="M115" s="2" t="s">
        <v>1367</v>
      </c>
      <c r="N115" s="2" t="s">
        <v>144</v>
      </c>
      <c r="O115" s="2" t="s">
        <v>34</v>
      </c>
      <c r="P115" s="126">
        <v>41470</v>
      </c>
      <c r="Q115" s="134">
        <v>1</v>
      </c>
      <c r="R115" s="151">
        <v>2515</v>
      </c>
      <c r="S115" s="115"/>
      <c r="T115" s="125">
        <v>1042.97</v>
      </c>
      <c r="U115" s="140">
        <v>1.0900000000000001E-4</v>
      </c>
      <c r="V115" s="140">
        <v>0.42916314613316398</v>
      </c>
      <c r="W115" s="140">
        <v>6.8772175042206604E-2</v>
      </c>
    </row>
    <row r="116" spans="1:23">
      <c r="A116" s="2">
        <v>382</v>
      </c>
      <c r="B116" s="2">
        <v>11414</v>
      </c>
      <c r="C116" s="2" t="s">
        <v>1372</v>
      </c>
      <c r="D116" s="2" t="s">
        <v>1373</v>
      </c>
      <c r="E116" s="3" t="s">
        <v>1322</v>
      </c>
      <c r="F116" s="2" t="s">
        <v>1508</v>
      </c>
      <c r="G116" s="2" t="s">
        <v>1509</v>
      </c>
      <c r="H116" s="2" t="s">
        <v>184</v>
      </c>
      <c r="I116" s="2" t="s">
        <v>992</v>
      </c>
      <c r="J116" s="2" t="s">
        <v>30</v>
      </c>
      <c r="K116" s="2" t="s">
        <v>252</v>
      </c>
      <c r="L116" s="2" t="s">
        <v>44</v>
      </c>
      <c r="M116" s="2" t="s">
        <v>1367</v>
      </c>
      <c r="N116" s="2" t="s">
        <v>144</v>
      </c>
      <c r="O116" s="2" t="s">
        <v>34</v>
      </c>
      <c r="P116" s="126">
        <v>2951</v>
      </c>
      <c r="Q116" s="134">
        <v>1</v>
      </c>
      <c r="R116" s="151">
        <v>6901</v>
      </c>
      <c r="S116" s="115"/>
      <c r="T116" s="125">
        <v>203.649</v>
      </c>
      <c r="U116" s="140">
        <v>2.0100000000000001E-4</v>
      </c>
      <c r="V116" s="140">
        <v>8.3797610054101399E-2</v>
      </c>
      <c r="W116" s="140">
        <v>1.3428328966931099E-2</v>
      </c>
    </row>
    <row r="117" spans="1:23">
      <c r="A117" s="2">
        <v>382</v>
      </c>
      <c r="B117" s="2">
        <v>11414</v>
      </c>
      <c r="C117" s="2" t="s">
        <v>1385</v>
      </c>
      <c r="D117" s="2" t="s">
        <v>1386</v>
      </c>
      <c r="E117" s="3" t="s">
        <v>1322</v>
      </c>
      <c r="F117" s="2" t="s">
        <v>1389</v>
      </c>
      <c r="G117" s="2" t="s">
        <v>1390</v>
      </c>
      <c r="H117" s="2" t="s">
        <v>184</v>
      </c>
      <c r="I117" s="2" t="s">
        <v>992</v>
      </c>
      <c r="J117" s="2" t="s">
        <v>30</v>
      </c>
      <c r="K117" s="2" t="s">
        <v>94</v>
      </c>
      <c r="L117" s="2" t="s">
        <v>44</v>
      </c>
      <c r="M117" s="2" t="s">
        <v>1367</v>
      </c>
      <c r="N117" s="2" t="s">
        <v>144</v>
      </c>
      <c r="O117" s="2" t="s">
        <v>34</v>
      </c>
      <c r="P117" s="126">
        <v>2470</v>
      </c>
      <c r="Q117" s="134">
        <v>1</v>
      </c>
      <c r="R117" s="151">
        <v>23720</v>
      </c>
      <c r="S117" s="115"/>
      <c r="T117" s="125">
        <v>585.88400000000001</v>
      </c>
      <c r="U117" s="140">
        <v>8.3999999999999995E-5</v>
      </c>
      <c r="V117" s="140">
        <v>0.24108047227518201</v>
      </c>
      <c r="W117" s="140">
        <v>3.8632460843742202E-2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10"/>
  <sheetViews>
    <sheetView rightToLeft="1" zoomScale="70" zoomScaleNormal="70" workbookViewId="0"/>
  </sheetViews>
  <sheetFormatPr defaultColWidth="0" defaultRowHeight="14.25" zeroHeight="1"/>
  <cols>
    <col min="1" max="23" width="11.625" customWidth="1"/>
    <col min="24" max="24" width="11.625" hidden="1" customWidth="1"/>
  </cols>
  <sheetData>
    <row r="1" spans="1:23" ht="66.75" customHeight="1">
      <c r="A1" s="12" t="s">
        <v>0</v>
      </c>
      <c r="B1" s="12" t="s">
        <v>1</v>
      </c>
      <c r="C1" s="12" t="s">
        <v>2</v>
      </c>
      <c r="D1" s="12" t="s">
        <v>151</v>
      </c>
      <c r="E1" s="12" t="s">
        <v>152</v>
      </c>
      <c r="F1" s="12" t="s">
        <v>1115</v>
      </c>
      <c r="G1" s="12" t="s">
        <v>4</v>
      </c>
      <c r="H1" s="12" t="s">
        <v>153</v>
      </c>
      <c r="I1" s="12" t="s">
        <v>5</v>
      </c>
      <c r="J1" s="12" t="s">
        <v>6</v>
      </c>
      <c r="K1" s="12" t="s">
        <v>7</v>
      </c>
      <c r="L1" s="12" t="s">
        <v>336</v>
      </c>
      <c r="M1" s="12" t="s">
        <v>8</v>
      </c>
      <c r="N1" s="12" t="s">
        <v>579</v>
      </c>
      <c r="O1" s="12" t="s">
        <v>130</v>
      </c>
      <c r="P1" s="12" t="s">
        <v>11</v>
      </c>
      <c r="Q1" s="12" t="s">
        <v>17</v>
      </c>
      <c r="R1" s="133" t="s">
        <v>18</v>
      </c>
      <c r="S1" s="144" t="s">
        <v>19</v>
      </c>
      <c r="T1" s="12" t="s">
        <v>20</v>
      </c>
      <c r="U1" s="139" t="s">
        <v>23</v>
      </c>
      <c r="V1" s="139" t="s">
        <v>24</v>
      </c>
      <c r="W1" s="139" t="s">
        <v>25</v>
      </c>
    </row>
    <row r="2" spans="1:23">
      <c r="A2" s="11">
        <v>382</v>
      </c>
      <c r="B2" s="11">
        <v>382</v>
      </c>
      <c r="C2" s="11" t="s">
        <v>1338</v>
      </c>
      <c r="D2" s="11" t="s">
        <v>1339</v>
      </c>
      <c r="E2" s="11" t="s">
        <v>181</v>
      </c>
      <c r="F2" s="11" t="s">
        <v>1340</v>
      </c>
      <c r="G2" s="11" t="s">
        <v>1341</v>
      </c>
      <c r="H2" s="11" t="s">
        <v>184</v>
      </c>
      <c r="I2" s="11" t="s">
        <v>997</v>
      </c>
      <c r="J2" s="11" t="s">
        <v>85</v>
      </c>
      <c r="K2" s="11" t="s">
        <v>94</v>
      </c>
      <c r="L2" s="3" t="s">
        <v>337</v>
      </c>
      <c r="M2" s="11" t="s">
        <v>86</v>
      </c>
      <c r="N2" s="13" t="s">
        <v>742</v>
      </c>
      <c r="O2" s="13" t="s">
        <v>144</v>
      </c>
      <c r="P2" s="11" t="s">
        <v>89</v>
      </c>
      <c r="Q2" s="128">
        <v>16550</v>
      </c>
      <c r="R2" s="152">
        <v>3.6469999999999998</v>
      </c>
      <c r="S2" s="153">
        <v>40155.33</v>
      </c>
      <c r="T2" s="128">
        <v>24236.894</v>
      </c>
      <c r="U2" s="154">
        <v>3.2810000000000001E-3</v>
      </c>
      <c r="V2" s="154">
        <v>0.23516873941340199</v>
      </c>
      <c r="W2" s="154">
        <v>8.43199120324074E-3</v>
      </c>
    </row>
    <row r="3" spans="1:23">
      <c r="A3" s="11">
        <v>382</v>
      </c>
      <c r="B3" s="11">
        <v>382</v>
      </c>
      <c r="C3" s="11" t="s">
        <v>1342</v>
      </c>
      <c r="D3" s="11" t="s">
        <v>1343</v>
      </c>
      <c r="E3" s="11" t="s">
        <v>1322</v>
      </c>
      <c r="F3" s="11" t="s">
        <v>1344</v>
      </c>
      <c r="G3" s="11" t="s">
        <v>1345</v>
      </c>
      <c r="H3" s="11" t="s">
        <v>184</v>
      </c>
      <c r="I3" s="11" t="s">
        <v>941</v>
      </c>
      <c r="J3" s="11" t="s">
        <v>30</v>
      </c>
      <c r="K3" s="11" t="s">
        <v>30</v>
      </c>
      <c r="L3" s="3" t="s">
        <v>337</v>
      </c>
      <c r="M3" s="11" t="s">
        <v>44</v>
      </c>
      <c r="N3" s="13" t="s">
        <v>1346</v>
      </c>
      <c r="O3" s="13" t="s">
        <v>350</v>
      </c>
      <c r="P3" s="11" t="s">
        <v>34</v>
      </c>
      <c r="Q3" s="128">
        <v>7395360.0499999998</v>
      </c>
      <c r="R3" s="152">
        <v>1</v>
      </c>
      <c r="S3" s="153">
        <v>75.400000000000006</v>
      </c>
      <c r="T3" s="128">
        <v>5576.1009999999997</v>
      </c>
      <c r="U3" s="154">
        <v>2.2110999999999999E-2</v>
      </c>
      <c r="V3" s="154">
        <v>5.41044889478779E-2</v>
      </c>
      <c r="W3" s="154">
        <v>1.9399201441581699E-3</v>
      </c>
    </row>
    <row r="4" spans="1:23">
      <c r="A4" s="11">
        <v>382</v>
      </c>
      <c r="B4" s="11">
        <v>382</v>
      </c>
      <c r="C4" s="11" t="s">
        <v>1347</v>
      </c>
      <c r="D4" s="11" t="s">
        <v>1348</v>
      </c>
      <c r="E4" s="11" t="s">
        <v>181</v>
      </c>
      <c r="F4" s="11" t="s">
        <v>1349</v>
      </c>
      <c r="G4" s="11" t="s">
        <v>1350</v>
      </c>
      <c r="H4" s="11" t="s">
        <v>184</v>
      </c>
      <c r="I4" s="11" t="s">
        <v>941</v>
      </c>
      <c r="J4" s="11" t="s">
        <v>85</v>
      </c>
      <c r="K4" s="11" t="s">
        <v>282</v>
      </c>
      <c r="L4" s="3" t="s">
        <v>337</v>
      </c>
      <c r="M4" s="11" t="s">
        <v>86</v>
      </c>
      <c r="N4" s="13" t="s">
        <v>745</v>
      </c>
      <c r="O4" s="13" t="s">
        <v>144</v>
      </c>
      <c r="P4" s="11" t="s">
        <v>89</v>
      </c>
      <c r="Q4" s="128">
        <v>25762.48</v>
      </c>
      <c r="R4" s="152">
        <v>3.6469999999999998</v>
      </c>
      <c r="S4" s="153">
        <v>11705</v>
      </c>
      <c r="T4" s="128">
        <v>10997.522000000001</v>
      </c>
      <c r="U4" s="154">
        <v>0.153476</v>
      </c>
      <c r="V4" s="154">
        <v>0.106708122684332</v>
      </c>
      <c r="W4" s="154">
        <v>3.82602702226903E-3</v>
      </c>
    </row>
    <row r="5" spans="1:23">
      <c r="A5" s="11">
        <v>382</v>
      </c>
      <c r="B5" s="11">
        <v>382</v>
      </c>
      <c r="C5" s="11" t="s">
        <v>1351</v>
      </c>
      <c r="D5" s="11" t="s">
        <v>1352</v>
      </c>
      <c r="E5" s="11" t="s">
        <v>181</v>
      </c>
      <c r="F5" s="11" t="s">
        <v>1353</v>
      </c>
      <c r="G5" s="11" t="s">
        <v>1354</v>
      </c>
      <c r="H5" s="11" t="s">
        <v>184</v>
      </c>
      <c r="I5" s="11" t="s">
        <v>997</v>
      </c>
      <c r="J5" s="11" t="s">
        <v>85</v>
      </c>
      <c r="K5" s="11" t="s">
        <v>94</v>
      </c>
      <c r="L5" s="3" t="s">
        <v>337</v>
      </c>
      <c r="M5" s="11" t="s">
        <v>86</v>
      </c>
      <c r="N5" s="13" t="s">
        <v>742</v>
      </c>
      <c r="O5" s="13" t="s">
        <v>144</v>
      </c>
      <c r="P5" s="11" t="s">
        <v>89</v>
      </c>
      <c r="Q5" s="128">
        <v>4539.28</v>
      </c>
      <c r="R5" s="152">
        <v>3.6469999999999998</v>
      </c>
      <c r="S5" s="153">
        <v>168274.48</v>
      </c>
      <c r="T5" s="128">
        <v>27857.425999999999</v>
      </c>
      <c r="U5" s="154">
        <v>0</v>
      </c>
      <c r="V5" s="154">
        <v>0.27029849241874798</v>
      </c>
      <c r="W5" s="154">
        <v>9.6915708950482803E-3</v>
      </c>
    </row>
    <row r="6" spans="1:23">
      <c r="A6" s="11">
        <v>382</v>
      </c>
      <c r="B6" s="11">
        <v>382</v>
      </c>
      <c r="C6" s="11" t="s">
        <v>1355</v>
      </c>
      <c r="D6" s="11" t="s">
        <v>1356</v>
      </c>
      <c r="E6" s="11" t="s">
        <v>181</v>
      </c>
      <c r="F6" s="11" t="s">
        <v>1357</v>
      </c>
      <c r="G6" s="11" t="s">
        <v>1358</v>
      </c>
      <c r="H6" s="11" t="s">
        <v>184</v>
      </c>
      <c r="I6" s="11" t="s">
        <v>997</v>
      </c>
      <c r="J6" s="11" t="s">
        <v>85</v>
      </c>
      <c r="K6" s="11" t="s">
        <v>94</v>
      </c>
      <c r="L6" s="3" t="s">
        <v>337</v>
      </c>
      <c r="M6" s="11" t="s">
        <v>86</v>
      </c>
      <c r="N6" s="13" t="s">
        <v>742</v>
      </c>
      <c r="O6" s="13" t="s">
        <v>144</v>
      </c>
      <c r="P6" s="11" t="s">
        <v>89</v>
      </c>
      <c r="Q6" s="128">
        <v>378000</v>
      </c>
      <c r="R6" s="152">
        <v>3.6469999999999998</v>
      </c>
      <c r="S6" s="153">
        <v>1732</v>
      </c>
      <c r="T6" s="128">
        <v>23876.762999999999</v>
      </c>
      <c r="U6" s="154">
        <v>2.9E-5</v>
      </c>
      <c r="V6" s="154">
        <v>0.23167441831958699</v>
      </c>
      <c r="W6" s="154">
        <v>8.3067020819151804E-3</v>
      </c>
    </row>
    <row r="7" spans="1:23">
      <c r="A7" s="11">
        <v>382</v>
      </c>
      <c r="B7" s="11">
        <v>382</v>
      </c>
      <c r="C7" s="11" t="s">
        <v>1359</v>
      </c>
      <c r="D7" s="11" t="s">
        <v>1360</v>
      </c>
      <c r="E7" s="11" t="s">
        <v>181</v>
      </c>
      <c r="F7" s="11" t="s">
        <v>1361</v>
      </c>
      <c r="G7" s="11" t="s">
        <v>1362</v>
      </c>
      <c r="H7" s="11" t="s">
        <v>184</v>
      </c>
      <c r="I7" s="11" t="s">
        <v>997</v>
      </c>
      <c r="J7" s="11" t="s">
        <v>85</v>
      </c>
      <c r="K7" s="11" t="s">
        <v>310</v>
      </c>
      <c r="L7" s="3" t="s">
        <v>337</v>
      </c>
      <c r="M7" s="11" t="s">
        <v>86</v>
      </c>
      <c r="N7" s="13" t="s">
        <v>742</v>
      </c>
      <c r="O7" s="13" t="s">
        <v>144</v>
      </c>
      <c r="P7" s="11" t="s">
        <v>89</v>
      </c>
      <c r="Q7" s="128">
        <v>15450</v>
      </c>
      <c r="R7" s="152">
        <v>3.6469999999999998</v>
      </c>
      <c r="S7" s="153">
        <v>18665</v>
      </c>
      <c r="T7" s="128">
        <v>10517.009</v>
      </c>
      <c r="U7" s="154">
        <v>1.6949999999999999E-3</v>
      </c>
      <c r="V7" s="154">
        <v>0.10204573821605301</v>
      </c>
      <c r="W7" s="154">
        <v>3.65885690892526E-3</v>
      </c>
    </row>
    <row r="8" spans="1:23">
      <c r="A8" s="11">
        <v>382</v>
      </c>
      <c r="B8" s="11">
        <v>7635</v>
      </c>
      <c r="C8" s="11" t="s">
        <v>1338</v>
      </c>
      <c r="D8" s="11" t="s">
        <v>1339</v>
      </c>
      <c r="E8" s="11" t="s">
        <v>181</v>
      </c>
      <c r="F8" s="11" t="s">
        <v>1340</v>
      </c>
      <c r="G8" s="11" t="s">
        <v>1341</v>
      </c>
      <c r="H8" s="11" t="s">
        <v>184</v>
      </c>
      <c r="I8" s="11" t="s">
        <v>997</v>
      </c>
      <c r="J8" s="11" t="s">
        <v>85</v>
      </c>
      <c r="K8" s="11" t="s">
        <v>94</v>
      </c>
      <c r="L8" s="3" t="s">
        <v>337</v>
      </c>
      <c r="M8" s="11" t="s">
        <v>86</v>
      </c>
      <c r="N8" s="13" t="s">
        <v>742</v>
      </c>
      <c r="O8" s="13" t="s">
        <v>144</v>
      </c>
      <c r="P8" s="11" t="s">
        <v>89</v>
      </c>
      <c r="Q8" s="128">
        <v>35</v>
      </c>
      <c r="R8" s="152">
        <v>3.6469999999999998</v>
      </c>
      <c r="S8" s="153">
        <v>40155.33</v>
      </c>
      <c r="T8" s="128">
        <v>51.256</v>
      </c>
      <c r="U8" s="154">
        <v>6.9999999999999999E-6</v>
      </c>
      <c r="V8" s="154">
        <v>0.31647515203200899</v>
      </c>
      <c r="W8" s="154">
        <v>2.7850466803718602E-3</v>
      </c>
    </row>
    <row r="9" spans="1:23">
      <c r="A9" s="11">
        <v>382</v>
      </c>
      <c r="B9" s="11">
        <v>7635</v>
      </c>
      <c r="C9" s="11" t="s">
        <v>1351</v>
      </c>
      <c r="D9" s="11" t="s">
        <v>1352</v>
      </c>
      <c r="E9" s="11" t="s">
        <v>181</v>
      </c>
      <c r="F9" s="11" t="s">
        <v>1353</v>
      </c>
      <c r="G9" s="11" t="s">
        <v>1354</v>
      </c>
      <c r="H9" s="11" t="s">
        <v>184</v>
      </c>
      <c r="I9" s="11" t="s">
        <v>997</v>
      </c>
      <c r="J9" s="11" t="s">
        <v>85</v>
      </c>
      <c r="K9" s="11" t="s">
        <v>94</v>
      </c>
      <c r="L9" s="3" t="s">
        <v>337</v>
      </c>
      <c r="M9" s="11" t="s">
        <v>86</v>
      </c>
      <c r="N9" s="13" t="s">
        <v>742</v>
      </c>
      <c r="O9" s="13" t="s">
        <v>144</v>
      </c>
      <c r="P9" s="11" t="s">
        <v>89</v>
      </c>
      <c r="Q9" s="128">
        <v>9.2899999999999991</v>
      </c>
      <c r="R9" s="152">
        <v>3.6469999999999998</v>
      </c>
      <c r="S9" s="153">
        <v>168274.48</v>
      </c>
      <c r="T9" s="128">
        <v>57.012</v>
      </c>
      <c r="U9" s="154">
        <v>0</v>
      </c>
      <c r="V9" s="154">
        <v>0.35201595215798698</v>
      </c>
      <c r="W9" s="154">
        <v>3.0978130595743698E-3</v>
      </c>
    </row>
    <row r="10" spans="1:23">
      <c r="A10" s="11">
        <v>382</v>
      </c>
      <c r="B10" s="11">
        <v>7635</v>
      </c>
      <c r="C10" s="11" t="s">
        <v>1355</v>
      </c>
      <c r="D10" s="11" t="s">
        <v>1356</v>
      </c>
      <c r="E10" s="11" t="s">
        <v>181</v>
      </c>
      <c r="F10" s="11" t="s">
        <v>1357</v>
      </c>
      <c r="G10" s="11" t="s">
        <v>1358</v>
      </c>
      <c r="H10" s="11" t="s">
        <v>184</v>
      </c>
      <c r="I10" s="11" t="s">
        <v>997</v>
      </c>
      <c r="J10" s="11" t="s">
        <v>85</v>
      </c>
      <c r="K10" s="11" t="s">
        <v>94</v>
      </c>
      <c r="L10" s="3" t="s">
        <v>337</v>
      </c>
      <c r="M10" s="11" t="s">
        <v>86</v>
      </c>
      <c r="N10" s="13" t="s">
        <v>742</v>
      </c>
      <c r="O10" s="13" t="s">
        <v>144</v>
      </c>
      <c r="P10" s="11" t="s">
        <v>89</v>
      </c>
      <c r="Q10" s="128">
        <v>850</v>
      </c>
      <c r="R10" s="152">
        <v>3.6469999999999998</v>
      </c>
      <c r="S10" s="153">
        <v>1732</v>
      </c>
      <c r="T10" s="128">
        <v>53.691000000000003</v>
      </c>
      <c r="U10" s="154">
        <v>0</v>
      </c>
      <c r="V10" s="154">
        <v>0.33150889581000498</v>
      </c>
      <c r="W10" s="154">
        <v>2.9173467296289201E-3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10" xr:uid="{00000000-0002-0000-0800-000000000000}">
      <formula1>israel_abroad</formula1>
    </dataValidation>
    <dataValidation type="list" allowBlank="1" showInputMessage="1" showErrorMessage="1" sqref="O2:O10" xr:uid="{00000000-0002-0000-0800-000001000000}">
      <formula1>Holding_interest</formula1>
    </dataValidation>
    <dataValidation type="list" allowBlank="1" showInputMessage="1" showErrorMessage="1" sqref="N2:N10" xr:uid="{00000000-0002-0000-0800-000002000000}">
      <formula1>Fund_type</formula1>
    </dataValidation>
    <dataValidation type="list" allowBlank="1" showInputMessage="1" showErrorMessage="1" sqref="E2:E10" xr:uid="{00000000-0002-0000-0800-000003000000}">
      <formula1>Issuer_Type_TFunds</formula1>
    </dataValidation>
    <dataValidation type="list" allowBlank="1" showInputMessage="1" showErrorMessage="1" sqref="H2:H10" xr:uid="{00000000-0002-0000-0800-000004000000}">
      <formula1>Security_ID_Number_Type</formula1>
    </dataValidation>
    <dataValidation type="list" allowBlank="1" showInputMessage="1" showErrorMessage="1" sqref="L2:L10" xr:uid="{00000000-0002-0000-0800-000005000000}">
      <formula1>tradeable_status_funds</formula1>
    </dataValidation>
    <dataValidation type="list" allowBlank="1" showInputMessage="1" showErrorMessage="1" sqref="K2:K10" xr:uid="{00000000-0002-0000-0800-000006000000}">
      <formula1>Country_list_funds</formula1>
    </dataValidation>
    <dataValidation type="list" allowBlank="1" showInputMessage="1" showErrorMessage="1" sqref="M2:M1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I2:I10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3"/>
  <sheetViews>
    <sheetView rightToLeft="1" zoomScale="70" zoomScaleNormal="70" workbookViewId="0"/>
  </sheetViews>
  <sheetFormatPr defaultColWidth="0" defaultRowHeight="14.25" zeroHeight="1"/>
  <cols>
    <col min="1" max="25" width="11.625" customWidth="1"/>
    <col min="26" max="27" width="11.625" hidden="1" customWidth="1"/>
  </cols>
  <sheetData>
    <row r="1" spans="1:25" ht="66.75" customHeight="1">
      <c r="A1" s="12" t="s">
        <v>0</v>
      </c>
      <c r="B1" s="12" t="s">
        <v>1</v>
      </c>
      <c r="C1" s="12" t="s">
        <v>2</v>
      </c>
      <c r="D1" s="12" t="s">
        <v>151</v>
      </c>
      <c r="E1" s="12" t="s">
        <v>152</v>
      </c>
      <c r="F1" s="12" t="s">
        <v>3</v>
      </c>
      <c r="G1" s="12" t="s">
        <v>4</v>
      </c>
      <c r="H1" s="12" t="s">
        <v>153</v>
      </c>
      <c r="I1" s="12" t="s">
        <v>6</v>
      </c>
      <c r="J1" s="12" t="s">
        <v>7</v>
      </c>
      <c r="K1" s="12" t="s">
        <v>336</v>
      </c>
      <c r="L1" s="12" t="s">
        <v>8</v>
      </c>
      <c r="M1" s="12" t="s">
        <v>1120</v>
      </c>
      <c r="N1" s="12" t="s">
        <v>154</v>
      </c>
      <c r="O1" s="155" t="s">
        <v>1121</v>
      </c>
      <c r="P1" s="12" t="s">
        <v>130</v>
      </c>
      <c r="Q1" s="12" t="s">
        <v>11</v>
      </c>
      <c r="R1" s="144" t="s">
        <v>1122</v>
      </c>
      <c r="S1" s="12" t="s">
        <v>1123</v>
      </c>
      <c r="T1" s="12" t="s">
        <v>17</v>
      </c>
      <c r="U1" s="133" t="s">
        <v>18</v>
      </c>
      <c r="V1" s="144" t="s">
        <v>19</v>
      </c>
      <c r="W1" s="12" t="s">
        <v>20</v>
      </c>
      <c r="X1" s="139" t="s">
        <v>24</v>
      </c>
      <c r="Y1" s="139" t="s">
        <v>25</v>
      </c>
    </row>
    <row r="2" spans="1:25">
      <c r="A2" s="18">
        <v>382</v>
      </c>
      <c r="B2" s="13">
        <v>382</v>
      </c>
      <c r="C2" s="13" t="s">
        <v>1747</v>
      </c>
      <c r="D2" s="13" t="s">
        <v>1748</v>
      </c>
      <c r="E2" s="11" t="s">
        <v>1322</v>
      </c>
      <c r="F2" s="13" t="s">
        <v>2122</v>
      </c>
      <c r="G2" s="13" t="s">
        <v>2123</v>
      </c>
      <c r="H2" s="11" t="s">
        <v>184</v>
      </c>
      <c r="I2" s="11" t="s">
        <v>30</v>
      </c>
      <c r="J2" s="11" t="s">
        <v>30</v>
      </c>
      <c r="K2" s="13" t="s">
        <v>337</v>
      </c>
      <c r="L2" s="11" t="s">
        <v>31</v>
      </c>
      <c r="M2" s="13" t="s">
        <v>2124</v>
      </c>
      <c r="N2" s="13" t="s">
        <v>472</v>
      </c>
      <c r="O2" s="156" t="s">
        <v>2125</v>
      </c>
      <c r="P2" s="13" t="s">
        <v>144</v>
      </c>
      <c r="Q2" s="11" t="s">
        <v>34</v>
      </c>
      <c r="R2" s="153">
        <v>58000</v>
      </c>
      <c r="S2" s="128">
        <v>1</v>
      </c>
      <c r="T2" s="127">
        <v>6606</v>
      </c>
      <c r="U2" s="149">
        <v>1</v>
      </c>
      <c r="V2" s="150">
        <v>3857</v>
      </c>
      <c r="W2" s="127">
        <v>254.79300000000001</v>
      </c>
      <c r="X2" s="148">
        <v>1</v>
      </c>
      <c r="Y2" s="148">
        <v>8.86423767633496E-5</v>
      </c>
    </row>
    <row r="3" spans="1:25">
      <c r="A3" s="13">
        <v>382</v>
      </c>
      <c r="B3" s="13">
        <v>7635</v>
      </c>
      <c r="C3" s="13" t="s">
        <v>1747</v>
      </c>
      <c r="D3" s="13" t="s">
        <v>1748</v>
      </c>
      <c r="E3" s="11" t="s">
        <v>1322</v>
      </c>
      <c r="F3" s="13" t="s">
        <v>2122</v>
      </c>
      <c r="G3" s="13" t="s">
        <v>2123</v>
      </c>
      <c r="H3" s="11" t="s">
        <v>184</v>
      </c>
      <c r="I3" s="11" t="s">
        <v>30</v>
      </c>
      <c r="J3" s="11" t="s">
        <v>30</v>
      </c>
      <c r="K3" s="13" t="s">
        <v>337</v>
      </c>
      <c r="L3" s="11" t="s">
        <v>31</v>
      </c>
      <c r="M3" s="13" t="s">
        <v>2124</v>
      </c>
      <c r="N3" s="13" t="s">
        <v>472</v>
      </c>
      <c r="O3" s="156" t="s">
        <v>2125</v>
      </c>
      <c r="P3" s="13" t="s">
        <v>144</v>
      </c>
      <c r="Q3" s="11" t="s">
        <v>34</v>
      </c>
      <c r="R3" s="153">
        <v>58000</v>
      </c>
      <c r="S3" s="128">
        <v>1</v>
      </c>
      <c r="T3" s="127">
        <v>51</v>
      </c>
      <c r="U3" s="149">
        <v>1</v>
      </c>
      <c r="V3" s="150">
        <v>3857</v>
      </c>
      <c r="W3" s="127">
        <v>1.9670000000000001</v>
      </c>
      <c r="X3" s="148">
        <v>1</v>
      </c>
      <c r="Y3" s="148">
        <v>1.06882175955739E-4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3" xr:uid="{00000000-0002-0000-0900-000000000000}">
      <formula1>israel_abroad</formula1>
    </dataValidation>
    <dataValidation type="list" allowBlank="1" showInputMessage="1" showErrorMessage="1" sqref="N2:N3" xr:uid="{00000000-0002-0000-0900-000001000000}">
      <formula1>Industry_sectors</formula1>
    </dataValidation>
    <dataValidation type="list" allowBlank="1" showInputMessage="1" showErrorMessage="1" sqref="P2:P3" xr:uid="{00000000-0002-0000-0900-000002000000}">
      <formula1>Holding_interest</formula1>
    </dataValidation>
    <dataValidation type="list" allowBlank="1" showInputMessage="1" showErrorMessage="1" sqref="J2:J3" xr:uid="{00000000-0002-0000-0900-000003000000}">
      <formula1>Country_list</formula1>
    </dataValidation>
    <dataValidation type="list" allowBlank="1" showInputMessage="1" showErrorMessage="1" sqref="E2:E3" xr:uid="{00000000-0002-0000-0900-000004000000}">
      <formula1>Issuer_Type_TFunds</formula1>
    </dataValidation>
    <dataValidation type="list" allowBlank="1" showInputMessage="1" showErrorMessage="1" sqref="H2:H3" xr:uid="{00000000-0002-0000-0900-000005000000}">
      <formula1>Security_ID_Number_Type</formula1>
    </dataValidation>
    <dataValidation type="list" allowBlank="1" showInputMessage="1" showErrorMessage="1" sqref="K2:K3" xr:uid="{00000000-0002-0000-0900-000006000000}">
      <formula1>tradeable_status_warrants</formula1>
    </dataValidation>
    <dataValidation type="list" allowBlank="1" showInputMessage="1" showErrorMessage="1" sqref="L2:L3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3"/>
  <sheetViews>
    <sheetView rightToLeft="1" topLeftCell="G1" zoomScale="70" zoomScaleNormal="70" workbookViewId="0"/>
  </sheetViews>
  <sheetFormatPr defaultColWidth="0" defaultRowHeight="14.25" zeroHeight="1"/>
  <cols>
    <col min="1" max="24" width="11.625" customWidth="1"/>
    <col min="25" max="25" width="11.625" hidden="1" customWidth="1"/>
  </cols>
  <sheetData>
    <row r="1" spans="1:24" ht="66.75" customHeight="1">
      <c r="A1" s="12" t="s">
        <v>0</v>
      </c>
      <c r="B1" s="12" t="s">
        <v>1</v>
      </c>
      <c r="C1" s="12" t="s">
        <v>2</v>
      </c>
      <c r="D1" s="12" t="s">
        <v>151</v>
      </c>
      <c r="E1" s="12" t="s">
        <v>152</v>
      </c>
      <c r="F1" s="12" t="s">
        <v>3</v>
      </c>
      <c r="G1" s="12" t="s">
        <v>4</v>
      </c>
      <c r="H1" s="12" t="s">
        <v>153</v>
      </c>
      <c r="I1" s="12" t="s">
        <v>5</v>
      </c>
      <c r="J1" s="12" t="s">
        <v>6</v>
      </c>
      <c r="K1" s="12" t="s">
        <v>7</v>
      </c>
      <c r="L1" s="12" t="s">
        <v>8</v>
      </c>
      <c r="M1" s="12" t="s">
        <v>154</v>
      </c>
      <c r="N1" s="12" t="s">
        <v>177</v>
      </c>
      <c r="O1" s="155" t="s">
        <v>1121</v>
      </c>
      <c r="P1" s="12" t="s">
        <v>130</v>
      </c>
      <c r="Q1" s="12" t="s">
        <v>11</v>
      </c>
      <c r="R1" s="144" t="s">
        <v>1122</v>
      </c>
      <c r="S1" s="12" t="s">
        <v>17</v>
      </c>
      <c r="T1" s="133" t="s">
        <v>18</v>
      </c>
      <c r="U1" s="144" t="s">
        <v>19</v>
      </c>
      <c r="V1" s="12" t="s">
        <v>20</v>
      </c>
      <c r="W1" s="139" t="s">
        <v>24</v>
      </c>
      <c r="X1" s="139" t="s">
        <v>25</v>
      </c>
    </row>
    <row r="2" spans="1:24">
      <c r="A2" s="13">
        <v>382</v>
      </c>
      <c r="B2" s="13">
        <v>11414</v>
      </c>
      <c r="C2" s="13" t="s">
        <v>1329</v>
      </c>
      <c r="D2" s="13" t="s">
        <v>1330</v>
      </c>
      <c r="E2" s="11" t="s">
        <v>1322</v>
      </c>
      <c r="F2" s="13" t="s">
        <v>1331</v>
      </c>
      <c r="G2" s="13" t="s">
        <v>1332</v>
      </c>
      <c r="H2" s="11" t="s">
        <v>184</v>
      </c>
      <c r="I2" s="13" t="s">
        <v>1000</v>
      </c>
      <c r="J2" s="11" t="s">
        <v>30</v>
      </c>
      <c r="K2" s="11"/>
      <c r="L2" s="11" t="s">
        <v>86</v>
      </c>
      <c r="M2" s="13" t="s">
        <v>1333</v>
      </c>
      <c r="N2" s="13" t="s">
        <v>757</v>
      </c>
      <c r="O2" s="156" t="s">
        <v>1334</v>
      </c>
      <c r="P2" s="13" t="s">
        <v>144</v>
      </c>
      <c r="Q2" s="11" t="s">
        <v>34</v>
      </c>
      <c r="R2" s="153">
        <v>2400</v>
      </c>
      <c r="S2" s="127">
        <v>16</v>
      </c>
      <c r="T2" s="149">
        <v>1</v>
      </c>
      <c r="U2" s="150">
        <v>178200</v>
      </c>
      <c r="V2" s="127">
        <v>28.512</v>
      </c>
      <c r="W2" s="148">
        <v>-61.448275862069003</v>
      </c>
      <c r="X2" s="148">
        <v>1.88004574894822E-3</v>
      </c>
    </row>
    <row r="3" spans="1:24">
      <c r="A3" s="13">
        <v>382</v>
      </c>
      <c r="B3" s="13">
        <v>11414</v>
      </c>
      <c r="C3" s="13" t="s">
        <v>1329</v>
      </c>
      <c r="D3" s="13" t="s">
        <v>1330</v>
      </c>
      <c r="E3" s="11" t="s">
        <v>1322</v>
      </c>
      <c r="F3" s="13" t="s">
        <v>1335</v>
      </c>
      <c r="G3" s="13" t="s">
        <v>1336</v>
      </c>
      <c r="H3" s="11" t="s">
        <v>184</v>
      </c>
      <c r="I3" s="13" t="s">
        <v>1000</v>
      </c>
      <c r="J3" s="11" t="s">
        <v>30</v>
      </c>
      <c r="K3" s="11"/>
      <c r="L3" s="11" t="s">
        <v>86</v>
      </c>
      <c r="M3" s="13" t="s">
        <v>1333</v>
      </c>
      <c r="N3" s="13" t="s">
        <v>757</v>
      </c>
      <c r="O3" s="156" t="s">
        <v>1334</v>
      </c>
      <c r="P3" s="13" t="s">
        <v>144</v>
      </c>
      <c r="Q3" s="11" t="s">
        <v>34</v>
      </c>
      <c r="R3" s="153">
        <v>2400</v>
      </c>
      <c r="S3" s="127">
        <v>-16</v>
      </c>
      <c r="T3" s="149">
        <v>1</v>
      </c>
      <c r="U3" s="150">
        <v>181100</v>
      </c>
      <c r="V3" s="127">
        <v>-28.975999999999999</v>
      </c>
      <c r="W3" s="148">
        <v>62.448275862069003</v>
      </c>
      <c r="X3" s="148">
        <v>-1.91064133072122E-3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3" xr:uid="{00000000-0002-0000-0A00-000000000000}">
      <formula1>israel_abroad</formula1>
    </dataValidation>
    <dataValidation type="list" allowBlank="1" showInputMessage="1" showErrorMessage="1" sqref="P2:P3" xr:uid="{00000000-0002-0000-0A00-000001000000}">
      <formula1>Holding_interest</formula1>
    </dataValidation>
    <dataValidation type="list" allowBlank="1" showInputMessage="1" showErrorMessage="1" sqref="N2:N3" xr:uid="{00000000-0002-0000-0A00-000002000000}">
      <formula1>Underlying_Asset</formula1>
    </dataValidation>
    <dataValidation type="list" allowBlank="1" showInputMessage="1" showErrorMessage="1" sqref="K2:K3" xr:uid="{00000000-0002-0000-0A00-000003000000}">
      <formula1>Country_list</formula1>
    </dataValidation>
    <dataValidation type="list" allowBlank="1" showInputMessage="1" showErrorMessage="1" sqref="E2:E3" xr:uid="{00000000-0002-0000-0A00-000004000000}">
      <formula1>Issuer_Type_TFunds</formula1>
    </dataValidation>
    <dataValidation type="list" allowBlank="1" showInputMessage="1" showErrorMessage="1" sqref="H2:H3" xr:uid="{00000000-0002-0000-0A00-000005000000}">
      <formula1>Security_ID_Number_Type</formula1>
    </dataValidation>
    <dataValidation type="list" allowBlank="1" showInputMessage="1" showErrorMessage="1" sqref="M2:M3" xr:uid="{00000000-0002-0000-0A00-000006000000}">
      <formula1>Industry_Sector</formula1>
    </dataValidation>
    <dataValidation type="list" allowBlank="1" showInputMessage="1" showErrorMessage="1" sqref="L2:L3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2"/>
  <sheetViews>
    <sheetView rightToLeft="1" zoomScale="70" zoomScaleNormal="70" workbookViewId="0"/>
  </sheetViews>
  <sheetFormatPr defaultColWidth="0" defaultRowHeight="14.25" zeroHeight="1"/>
  <cols>
    <col min="1" max="20" width="11.625" customWidth="1"/>
  </cols>
  <sheetData>
    <row r="1" spans="1:20" ht="66.75" customHeight="1">
      <c r="A1" s="12" t="s">
        <v>0</v>
      </c>
      <c r="B1" s="12" t="s">
        <v>1</v>
      </c>
      <c r="C1" s="12" t="s">
        <v>2</v>
      </c>
      <c r="D1" s="12" t="s">
        <v>151</v>
      </c>
      <c r="E1" s="12" t="s">
        <v>152</v>
      </c>
      <c r="F1" s="12" t="s">
        <v>3</v>
      </c>
      <c r="G1" s="12" t="s">
        <v>4</v>
      </c>
      <c r="H1" s="12" t="s">
        <v>153</v>
      </c>
      <c r="I1" s="12" t="s">
        <v>6</v>
      </c>
      <c r="J1" s="12" t="s">
        <v>7</v>
      </c>
      <c r="K1" s="12" t="s">
        <v>8</v>
      </c>
      <c r="L1" s="12" t="s">
        <v>177</v>
      </c>
      <c r="M1" s="12" t="s">
        <v>130</v>
      </c>
      <c r="N1" s="12" t="s">
        <v>11</v>
      </c>
      <c r="O1" s="12" t="s">
        <v>17</v>
      </c>
      <c r="P1" s="133" t="s">
        <v>18</v>
      </c>
      <c r="Q1" s="144" t="s">
        <v>19</v>
      </c>
      <c r="R1" s="12" t="s">
        <v>20</v>
      </c>
      <c r="S1" s="139" t="s">
        <v>24</v>
      </c>
      <c r="T1" s="139" t="s">
        <v>25</v>
      </c>
    </row>
    <row r="2" spans="1:20">
      <c r="A2" s="13">
        <v>382</v>
      </c>
      <c r="B2" s="13">
        <v>11414</v>
      </c>
      <c r="C2" s="2" t="s">
        <v>2117</v>
      </c>
      <c r="D2" s="2" t="s">
        <v>2118</v>
      </c>
      <c r="E2" s="11" t="s">
        <v>33</v>
      </c>
      <c r="F2" s="13" t="s">
        <v>2119</v>
      </c>
      <c r="G2" s="13" t="s">
        <v>2120</v>
      </c>
      <c r="H2" s="11" t="s">
        <v>86</v>
      </c>
      <c r="I2" s="11" t="s">
        <v>85</v>
      </c>
      <c r="J2" s="11" t="s">
        <v>94</v>
      </c>
      <c r="K2" s="11" t="s">
        <v>2121</v>
      </c>
      <c r="L2" s="13" t="s">
        <v>757</v>
      </c>
      <c r="M2" s="13" t="s">
        <v>144</v>
      </c>
      <c r="N2" s="11" t="s">
        <v>89</v>
      </c>
      <c r="O2" s="127">
        <v>2</v>
      </c>
      <c r="P2" s="149">
        <v>3.6469999999999998</v>
      </c>
      <c r="Q2" s="150">
        <v>5935.75</v>
      </c>
      <c r="R2" s="127">
        <v>-69.858000000000004</v>
      </c>
      <c r="S2" s="148">
        <v>1</v>
      </c>
      <c r="T2" s="148">
        <v>-4.6063682569817297E-3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" xr:uid="{00000000-0002-0000-0B00-000000000000}">
      <formula1>israel_abroad</formula1>
    </dataValidation>
    <dataValidation type="list" allowBlank="1" showInputMessage="1" showErrorMessage="1" sqref="M2" xr:uid="{00000000-0002-0000-0B00-000001000000}">
      <formula1>Holding_interest</formula1>
    </dataValidation>
    <dataValidation type="list" allowBlank="1" showInputMessage="1" showErrorMessage="1" sqref="L2" xr:uid="{00000000-0002-0000-0B00-000002000000}">
      <formula1>Underlying_Asset</formula1>
    </dataValidation>
    <dataValidation type="list" allowBlank="1" showInputMessage="1" showErrorMessage="1" sqref="J2" xr:uid="{00000000-0002-0000-0B00-000003000000}">
      <formula1>Country_list</formula1>
    </dataValidation>
    <dataValidation type="list" allowBlank="1" showInputMessage="1" showErrorMessage="1" sqref="E2" xr:uid="{00000000-0002-0000-0B00-000004000000}">
      <formula1>Issuer_Type_TFunds</formula1>
    </dataValidation>
    <dataValidation type="list" allowBlank="1" showInputMessage="1" showErrorMessage="1" sqref="H2" xr:uid="{00000000-0002-0000-0B00-000005000000}">
      <formula1>Security_ID_Number_Type</formula1>
    </dataValidation>
    <dataValidation type="list" allowBlank="1" showInputMessage="1" showErrorMessage="1" sqref="K2" xr:uid="{00000000-0002-0000-0B00-000006000000}">
      <formula1>Stock_Exchange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1"/>
  <sheetViews>
    <sheetView rightToLeft="1" zoomScale="70" zoomScaleNormal="70" workbookViewId="0">
      <selection activeCell="A2" sqref="A2"/>
    </sheetView>
  </sheetViews>
  <sheetFormatPr defaultColWidth="0" defaultRowHeight="14.25" zeroHeight="1"/>
  <cols>
    <col min="1" max="28" width="11.625" customWidth="1"/>
  </cols>
  <sheetData>
    <row r="1" spans="1:28" ht="66.75" customHeight="1">
      <c r="A1" s="12" t="s">
        <v>0</v>
      </c>
      <c r="B1" s="12" t="s">
        <v>1</v>
      </c>
      <c r="C1" s="12" t="s">
        <v>2</v>
      </c>
      <c r="D1" s="12" t="s">
        <v>151</v>
      </c>
      <c r="E1" s="12" t="s">
        <v>152</v>
      </c>
      <c r="F1" s="12" t="s">
        <v>3</v>
      </c>
      <c r="G1" s="12" t="s">
        <v>4</v>
      </c>
      <c r="H1" s="12" t="s">
        <v>153</v>
      </c>
      <c r="I1" s="12" t="s">
        <v>5</v>
      </c>
      <c r="J1" s="12" t="s">
        <v>6</v>
      </c>
      <c r="K1" s="12" t="s">
        <v>7</v>
      </c>
      <c r="L1" s="12" t="s">
        <v>336</v>
      </c>
      <c r="M1" s="12" t="s">
        <v>8</v>
      </c>
      <c r="N1" s="12" t="s">
        <v>177</v>
      </c>
      <c r="O1" s="12" t="s">
        <v>130</v>
      </c>
      <c r="P1" s="12" t="s">
        <v>12</v>
      </c>
      <c r="Q1" s="120" t="s">
        <v>14</v>
      </c>
      <c r="R1" s="12" t="s">
        <v>15</v>
      </c>
      <c r="S1" s="12" t="s">
        <v>9</v>
      </c>
      <c r="T1" s="12" t="s">
        <v>10</v>
      </c>
      <c r="U1" s="12" t="s">
        <v>178</v>
      </c>
      <c r="V1" s="12" t="s">
        <v>11</v>
      </c>
      <c r="W1" s="12" t="s">
        <v>17</v>
      </c>
      <c r="X1" s="12" t="s">
        <v>18</v>
      </c>
      <c r="Y1" s="12" t="s">
        <v>19</v>
      </c>
      <c r="Z1" s="12" t="s">
        <v>20</v>
      </c>
      <c r="AA1" s="12" t="s">
        <v>24</v>
      </c>
      <c r="AB1" s="12" t="s">
        <v>25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1"/>
  <sheetViews>
    <sheetView rightToLeft="1" zoomScale="70" zoomScaleNormal="70" workbookViewId="0">
      <selection activeCell="A2" sqref="A2"/>
    </sheetView>
  </sheetViews>
  <sheetFormatPr defaultColWidth="0" defaultRowHeight="14.25" zeroHeight="1"/>
  <cols>
    <col min="1" max="25" width="11.625" customWidth="1"/>
    <col min="26" max="27" width="0" hidden="1" customWidth="1"/>
  </cols>
  <sheetData>
    <row r="1" spans="1:25" ht="66.75" customHeight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153</v>
      </c>
      <c r="G1" s="12" t="s">
        <v>5</v>
      </c>
      <c r="H1" s="12" t="s">
        <v>6</v>
      </c>
      <c r="I1" s="12" t="s">
        <v>7</v>
      </c>
      <c r="J1" s="12" t="s">
        <v>162</v>
      </c>
      <c r="K1" s="12" t="s">
        <v>9</v>
      </c>
      <c r="L1" s="12" t="s">
        <v>10</v>
      </c>
      <c r="M1" s="12" t="s">
        <v>11</v>
      </c>
      <c r="N1" s="12" t="s">
        <v>12</v>
      </c>
      <c r="O1" s="12" t="s">
        <v>13</v>
      </c>
      <c r="P1" s="120" t="s">
        <v>14</v>
      </c>
      <c r="Q1" s="12" t="s">
        <v>15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24</v>
      </c>
      <c r="Y1" s="12" t="s">
        <v>25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S1"/>
  <sheetViews>
    <sheetView rightToLeft="1" zoomScale="70" zoomScaleNormal="70" workbookViewId="0"/>
  </sheetViews>
  <sheetFormatPr defaultColWidth="0" defaultRowHeight="14.25" zeroHeight="1"/>
  <cols>
    <col min="1" max="18" width="11.625" customWidth="1"/>
    <col min="19" max="19" width="11.625" hidden="1" customWidth="1"/>
  </cols>
  <sheetData>
    <row r="1" spans="1:18" ht="66.75" customHeight="1">
      <c r="A1" s="12" t="s">
        <v>0</v>
      </c>
      <c r="B1" s="12" t="s">
        <v>1</v>
      </c>
      <c r="C1" s="12" t="s">
        <v>5</v>
      </c>
      <c r="D1" s="12" t="s">
        <v>3</v>
      </c>
      <c r="E1" s="12" t="s">
        <v>4</v>
      </c>
      <c r="F1" s="12" t="s">
        <v>162</v>
      </c>
      <c r="G1" s="12" t="s">
        <v>12</v>
      </c>
      <c r="H1" s="12" t="s">
        <v>763</v>
      </c>
      <c r="I1" s="12" t="s">
        <v>13</v>
      </c>
      <c r="J1" s="120" t="s">
        <v>14</v>
      </c>
      <c r="K1" s="12" t="s">
        <v>15</v>
      </c>
      <c r="L1" s="12" t="s">
        <v>17</v>
      </c>
      <c r="M1" s="12" t="s">
        <v>19</v>
      </c>
      <c r="N1" s="12" t="s">
        <v>20</v>
      </c>
      <c r="O1" s="12" t="s">
        <v>21</v>
      </c>
      <c r="P1" s="12" t="s">
        <v>22</v>
      </c>
      <c r="Q1" s="12" t="s">
        <v>24</v>
      </c>
      <c r="R1" s="12" t="s">
        <v>25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H1"/>
  <sheetViews>
    <sheetView rightToLeft="1" zoomScale="70" zoomScaleNormal="70" workbookViewId="0"/>
  </sheetViews>
  <sheetFormatPr defaultColWidth="0" defaultRowHeight="14.25" zeroHeight="1"/>
  <cols>
    <col min="1" max="7" width="11.625" customWidth="1"/>
    <col min="8" max="8" width="11.625" hidden="1" customWidth="1"/>
  </cols>
  <sheetData>
    <row r="1" spans="1:7" ht="66.75" customHeight="1">
      <c r="A1" s="12" t="s">
        <v>1125</v>
      </c>
      <c r="B1" s="12" t="s">
        <v>1</v>
      </c>
      <c r="C1" s="12" t="s">
        <v>5</v>
      </c>
      <c r="D1" s="12" t="s">
        <v>1126</v>
      </c>
      <c r="E1" s="12" t="s">
        <v>1127</v>
      </c>
      <c r="F1" s="12" t="s">
        <v>1128</v>
      </c>
      <c r="G1" s="12" t="s">
        <v>25</v>
      </c>
    </row>
  </sheetData>
  <sheetProtection formatColumns="0"/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1"/>
  <sheetViews>
    <sheetView rightToLeft="1" zoomScale="70" zoomScaleNormal="70" workbookViewId="0"/>
  </sheetViews>
  <sheetFormatPr defaultColWidth="0" defaultRowHeight="14.25" zeroHeight="1"/>
  <cols>
    <col min="1" max="40" width="11.625" customWidth="1"/>
  </cols>
  <sheetData>
    <row r="1" spans="1:40" ht="66.75" customHeight="1">
      <c r="A1" s="12" t="s">
        <v>0</v>
      </c>
      <c r="B1" s="12" t="s">
        <v>1</v>
      </c>
      <c r="C1" s="12" t="s">
        <v>2</v>
      </c>
      <c r="D1" s="12" t="s">
        <v>151</v>
      </c>
      <c r="E1" s="12" t="s">
        <v>152</v>
      </c>
      <c r="F1" s="12" t="s">
        <v>3</v>
      </c>
      <c r="G1" s="12" t="s">
        <v>4</v>
      </c>
      <c r="H1" s="12" t="s">
        <v>153</v>
      </c>
      <c r="I1" s="12" t="s">
        <v>5</v>
      </c>
      <c r="J1" s="12" t="s">
        <v>6</v>
      </c>
      <c r="K1" s="12" t="s">
        <v>7</v>
      </c>
      <c r="L1" s="12" t="s">
        <v>154</v>
      </c>
      <c r="M1" s="12" t="s">
        <v>130</v>
      </c>
      <c r="N1" s="12" t="s">
        <v>162</v>
      </c>
      <c r="O1" s="12" t="s">
        <v>9</v>
      </c>
      <c r="P1" s="12" t="s">
        <v>10</v>
      </c>
      <c r="Q1" s="12" t="s">
        <v>178</v>
      </c>
      <c r="R1" s="12" t="s">
        <v>11</v>
      </c>
      <c r="S1" s="12" t="s">
        <v>12</v>
      </c>
      <c r="T1" s="12" t="s">
        <v>763</v>
      </c>
      <c r="U1" s="12" t="s">
        <v>919</v>
      </c>
      <c r="V1" s="12" t="s">
        <v>13</v>
      </c>
      <c r="W1" s="12" t="s">
        <v>14</v>
      </c>
      <c r="X1" s="12" t="s">
        <v>15</v>
      </c>
      <c r="Y1" s="12" t="s">
        <v>420</v>
      </c>
      <c r="Z1" s="12" t="s">
        <v>841</v>
      </c>
      <c r="AA1" s="12" t="s">
        <v>155</v>
      </c>
      <c r="AB1" s="12" t="s">
        <v>156</v>
      </c>
      <c r="AC1" s="12" t="s">
        <v>168</v>
      </c>
      <c r="AD1" s="12" t="s">
        <v>139</v>
      </c>
      <c r="AE1" s="12" t="s">
        <v>157</v>
      </c>
      <c r="AF1" s="12" t="s">
        <v>17</v>
      </c>
      <c r="AG1" s="12" t="s">
        <v>18</v>
      </c>
      <c r="AH1" s="12" t="s">
        <v>19</v>
      </c>
      <c r="AI1" s="12" t="s">
        <v>20</v>
      </c>
      <c r="AJ1" s="12" t="s">
        <v>21</v>
      </c>
      <c r="AK1" s="12" t="s">
        <v>170</v>
      </c>
      <c r="AL1" s="12" t="s">
        <v>22</v>
      </c>
      <c r="AM1" s="12" t="s">
        <v>24</v>
      </c>
      <c r="AN1" s="12" t="s">
        <v>25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12"/>
  <sheetViews>
    <sheetView rightToLeft="1" zoomScale="70" zoomScaleNormal="70" workbookViewId="0">
      <selection activeCell="N6" sqref="N6"/>
    </sheetView>
  </sheetViews>
  <sheetFormatPr defaultColWidth="0" defaultRowHeight="14.25" zeroHeight="1"/>
  <cols>
    <col min="1" max="38" width="11.625" customWidth="1"/>
  </cols>
  <sheetData>
    <row r="1" spans="1:38" ht="66.75" customHeight="1">
      <c r="A1" s="12" t="s">
        <v>0</v>
      </c>
      <c r="B1" s="12" t="s">
        <v>1</v>
      </c>
      <c r="C1" s="12" t="s">
        <v>2</v>
      </c>
      <c r="D1" s="12" t="s">
        <v>151</v>
      </c>
      <c r="E1" s="12" t="s">
        <v>152</v>
      </c>
      <c r="F1" s="12" t="s">
        <v>3</v>
      </c>
      <c r="G1" s="12" t="s">
        <v>4</v>
      </c>
      <c r="H1" s="12" t="s">
        <v>153</v>
      </c>
      <c r="I1" s="12" t="s">
        <v>5</v>
      </c>
      <c r="J1" s="12" t="s">
        <v>6</v>
      </c>
      <c r="K1" s="12" t="s">
        <v>7</v>
      </c>
      <c r="L1" s="12" t="s">
        <v>336</v>
      </c>
      <c r="M1" s="12" t="s">
        <v>154</v>
      </c>
      <c r="N1" s="12" t="s">
        <v>130</v>
      </c>
      <c r="O1" s="155" t="s">
        <v>162</v>
      </c>
      <c r="P1" s="12" t="s">
        <v>9</v>
      </c>
      <c r="Q1" s="12" t="s">
        <v>10</v>
      </c>
      <c r="R1" s="12" t="s">
        <v>178</v>
      </c>
      <c r="S1" s="12" t="s">
        <v>11</v>
      </c>
      <c r="T1" s="12" t="s">
        <v>12</v>
      </c>
      <c r="U1" s="12" t="s">
        <v>13</v>
      </c>
      <c r="V1" s="139" t="s">
        <v>15</v>
      </c>
      <c r="W1" s="139" t="s">
        <v>14</v>
      </c>
      <c r="X1" s="12" t="s">
        <v>420</v>
      </c>
      <c r="Y1" s="12" t="s">
        <v>841</v>
      </c>
      <c r="Z1" s="12" t="s">
        <v>155</v>
      </c>
      <c r="AA1" s="12" t="s">
        <v>156</v>
      </c>
      <c r="AB1" s="155" t="s">
        <v>139</v>
      </c>
      <c r="AC1" s="155" t="s">
        <v>157</v>
      </c>
      <c r="AD1" s="12" t="s">
        <v>17</v>
      </c>
      <c r="AE1" s="133" t="s">
        <v>18</v>
      </c>
      <c r="AF1" s="144" t="s">
        <v>19</v>
      </c>
      <c r="AG1" s="12" t="s">
        <v>20</v>
      </c>
      <c r="AH1" s="12" t="s">
        <v>21</v>
      </c>
      <c r="AI1" s="12" t="s">
        <v>170</v>
      </c>
      <c r="AJ1" s="12" t="s">
        <v>22</v>
      </c>
      <c r="AK1" s="139" t="s">
        <v>24</v>
      </c>
      <c r="AL1" s="139" t="s">
        <v>25</v>
      </c>
    </row>
    <row r="2" spans="1:38">
      <c r="A2" s="2">
        <v>382</v>
      </c>
      <c r="B2" s="13">
        <v>382</v>
      </c>
      <c r="C2" s="13" t="s">
        <v>2419</v>
      </c>
      <c r="D2" s="13" t="s">
        <v>2420</v>
      </c>
      <c r="E2" s="11" t="s">
        <v>181</v>
      </c>
      <c r="F2" s="13" t="s">
        <v>2421</v>
      </c>
      <c r="G2" s="13" t="s">
        <v>2422</v>
      </c>
      <c r="H2" s="13" t="s">
        <v>184</v>
      </c>
      <c r="I2" s="13" t="s">
        <v>766</v>
      </c>
      <c r="J2" s="11" t="s">
        <v>85</v>
      </c>
      <c r="K2" s="11" t="s">
        <v>232</v>
      </c>
      <c r="L2" s="18" t="s">
        <v>338</v>
      </c>
      <c r="M2" s="13" t="s">
        <v>1655</v>
      </c>
      <c r="N2" s="13" t="s">
        <v>144</v>
      </c>
      <c r="O2" s="156" t="s">
        <v>2411</v>
      </c>
      <c r="P2" s="13" t="s">
        <v>186</v>
      </c>
      <c r="Q2" s="13" t="s">
        <v>186</v>
      </c>
      <c r="R2" s="13" t="s">
        <v>186</v>
      </c>
      <c r="S2" s="11" t="s">
        <v>89</v>
      </c>
      <c r="T2" s="127">
        <v>17.510000000000002</v>
      </c>
      <c r="U2" s="13" t="s">
        <v>2423</v>
      </c>
      <c r="V2" s="148">
        <v>1.1039999999999999E-2</v>
      </c>
      <c r="W2" s="140">
        <v>0</v>
      </c>
      <c r="X2" s="11" t="s">
        <v>422</v>
      </c>
      <c r="Y2" s="11" t="s">
        <v>144</v>
      </c>
      <c r="Z2" s="13" t="s">
        <v>86</v>
      </c>
      <c r="AA2" s="13" t="s">
        <v>187</v>
      </c>
      <c r="AB2" s="157" t="s">
        <v>188</v>
      </c>
      <c r="AC2" s="13"/>
      <c r="AD2" s="127">
        <v>400000</v>
      </c>
      <c r="AE2" s="149">
        <v>3.6469999999999998</v>
      </c>
      <c r="AF2" s="150">
        <v>0.1</v>
      </c>
      <c r="AG2" s="127">
        <v>1.4590000000000001</v>
      </c>
      <c r="AH2" s="13"/>
      <c r="AI2" s="18"/>
      <c r="AJ2" s="13" t="s">
        <v>36</v>
      </c>
      <c r="AK2" s="140">
        <v>7.6042696190518701E-5</v>
      </c>
      <c r="AL2" s="140">
        <v>5.0751506542976803E-7</v>
      </c>
    </row>
    <row r="3" spans="1:38">
      <c r="A3" s="13">
        <v>382</v>
      </c>
      <c r="B3" s="13">
        <v>382</v>
      </c>
      <c r="C3" s="13" t="s">
        <v>2424</v>
      </c>
      <c r="D3" s="13" t="s">
        <v>2425</v>
      </c>
      <c r="E3" s="11" t="s">
        <v>1322</v>
      </c>
      <c r="F3" s="13" t="s">
        <v>2426</v>
      </c>
      <c r="G3" s="13" t="s">
        <v>2427</v>
      </c>
      <c r="H3" s="13" t="s">
        <v>184</v>
      </c>
      <c r="I3" s="13" t="s">
        <v>765</v>
      </c>
      <c r="J3" s="11" t="s">
        <v>30</v>
      </c>
      <c r="K3" s="11" t="s">
        <v>30</v>
      </c>
      <c r="L3" s="18" t="s">
        <v>338</v>
      </c>
      <c r="M3" s="13" t="s">
        <v>459</v>
      </c>
      <c r="N3" s="13" t="s">
        <v>144</v>
      </c>
      <c r="O3" s="156" t="s">
        <v>2428</v>
      </c>
      <c r="P3" s="13" t="s">
        <v>2429</v>
      </c>
      <c r="Q3" s="13" t="s">
        <v>423</v>
      </c>
      <c r="R3" s="13" t="s">
        <v>417</v>
      </c>
      <c r="S3" s="11" t="s">
        <v>34</v>
      </c>
      <c r="T3" s="127">
        <v>0.01</v>
      </c>
      <c r="U3" s="13" t="s">
        <v>2430</v>
      </c>
      <c r="V3" s="148">
        <v>1E-4</v>
      </c>
      <c r="W3" s="140">
        <v>5.7000000000000002E-2</v>
      </c>
      <c r="X3" s="11" t="s">
        <v>421</v>
      </c>
      <c r="Y3" s="11" t="s">
        <v>350</v>
      </c>
      <c r="Z3" s="13" t="s">
        <v>86</v>
      </c>
      <c r="AA3" s="13" t="s">
        <v>187</v>
      </c>
      <c r="AB3" s="157" t="s">
        <v>2431</v>
      </c>
      <c r="AC3" s="13"/>
      <c r="AD3" s="127">
        <v>296667.31</v>
      </c>
      <c r="AE3" s="149">
        <v>1</v>
      </c>
      <c r="AF3" s="150">
        <v>0</v>
      </c>
      <c r="AG3" s="127">
        <v>0</v>
      </c>
      <c r="AH3" s="13"/>
      <c r="AI3" s="13"/>
      <c r="AJ3" s="13" t="s">
        <v>36</v>
      </c>
      <c r="AK3" s="140">
        <v>1.5464342009863201E-10</v>
      </c>
      <c r="AL3" s="140">
        <v>1.0321026134187199E-12</v>
      </c>
    </row>
    <row r="4" spans="1:38">
      <c r="A4" s="13">
        <v>382</v>
      </c>
      <c r="B4" s="13">
        <v>382</v>
      </c>
      <c r="C4" s="13" t="s">
        <v>2432</v>
      </c>
      <c r="D4" s="13" t="s">
        <v>2433</v>
      </c>
      <c r="E4" s="11" t="s">
        <v>1322</v>
      </c>
      <c r="F4" s="13" t="s">
        <v>2434</v>
      </c>
      <c r="G4" s="13" t="s">
        <v>2435</v>
      </c>
      <c r="H4" s="13" t="s">
        <v>184</v>
      </c>
      <c r="I4" s="13" t="s">
        <v>765</v>
      </c>
      <c r="J4" s="11" t="s">
        <v>30</v>
      </c>
      <c r="K4" s="11" t="s">
        <v>30</v>
      </c>
      <c r="L4" s="18" t="s">
        <v>338</v>
      </c>
      <c r="M4" s="13" t="s">
        <v>459</v>
      </c>
      <c r="N4" s="13" t="s">
        <v>144</v>
      </c>
      <c r="O4" s="157" t="s">
        <v>2436</v>
      </c>
      <c r="P4" s="13" t="s">
        <v>2437</v>
      </c>
      <c r="Q4" s="13" t="s">
        <v>423</v>
      </c>
      <c r="R4" s="13" t="s">
        <v>417</v>
      </c>
      <c r="S4" s="13" t="s">
        <v>34</v>
      </c>
      <c r="T4" s="127">
        <v>0.01</v>
      </c>
      <c r="U4" s="13" t="s">
        <v>2438</v>
      </c>
      <c r="V4" s="148">
        <v>3.4099999999999998E-2</v>
      </c>
      <c r="W4" s="140">
        <v>5.3499999999999999E-2</v>
      </c>
      <c r="X4" s="11" t="s">
        <v>421</v>
      </c>
      <c r="Y4" s="11" t="s">
        <v>144</v>
      </c>
      <c r="Z4" s="13" t="s">
        <v>86</v>
      </c>
      <c r="AA4" s="13" t="s">
        <v>1328</v>
      </c>
      <c r="AB4" s="157" t="s">
        <v>145</v>
      </c>
      <c r="AC4" s="2"/>
      <c r="AD4" s="125">
        <v>2218959.4500000002</v>
      </c>
      <c r="AE4" s="149">
        <v>1</v>
      </c>
      <c r="AF4" s="150">
        <v>15.04</v>
      </c>
      <c r="AG4" s="127">
        <v>333.73200000000003</v>
      </c>
      <c r="AH4" s="13"/>
      <c r="AI4" s="13"/>
      <c r="AJ4" s="13" t="s">
        <v>36</v>
      </c>
      <c r="AK4" s="140">
        <v>1.7396382753661101E-2</v>
      </c>
      <c r="AL4" s="140">
        <v>1.1610485653146E-4</v>
      </c>
    </row>
    <row r="5" spans="1:38">
      <c r="A5" s="13">
        <v>382</v>
      </c>
      <c r="B5" s="13">
        <v>382</v>
      </c>
      <c r="C5" s="13" t="s">
        <v>2439</v>
      </c>
      <c r="D5" s="13" t="s">
        <v>2440</v>
      </c>
      <c r="E5" s="11" t="s">
        <v>1322</v>
      </c>
      <c r="F5" s="13" t="s">
        <v>2441</v>
      </c>
      <c r="G5" s="13" t="s">
        <v>2442</v>
      </c>
      <c r="H5" s="13" t="s">
        <v>184</v>
      </c>
      <c r="I5" s="13" t="s">
        <v>977</v>
      </c>
      <c r="J5" s="11" t="s">
        <v>30</v>
      </c>
      <c r="K5" s="11" t="s">
        <v>30</v>
      </c>
      <c r="L5" s="18" t="s">
        <v>338</v>
      </c>
      <c r="M5" s="13" t="s">
        <v>459</v>
      </c>
      <c r="N5" s="13" t="s">
        <v>144</v>
      </c>
      <c r="O5" s="156" t="s">
        <v>2443</v>
      </c>
      <c r="P5" s="13" t="s">
        <v>1730</v>
      </c>
      <c r="Q5" s="13" t="s">
        <v>425</v>
      </c>
      <c r="R5" s="13" t="s">
        <v>417</v>
      </c>
      <c r="S5" s="11" t="s">
        <v>34</v>
      </c>
      <c r="T5" s="127">
        <v>1.54</v>
      </c>
      <c r="U5" s="13" t="s">
        <v>2444</v>
      </c>
      <c r="V5" s="148">
        <v>5.0999999999999997E-2</v>
      </c>
      <c r="W5" s="140">
        <v>2.1000000000000001E-2</v>
      </c>
      <c r="X5" s="11" t="s">
        <v>422</v>
      </c>
      <c r="Y5" s="11" t="s">
        <v>144</v>
      </c>
      <c r="Z5" s="13" t="s">
        <v>86</v>
      </c>
      <c r="AA5" s="13" t="s">
        <v>1328</v>
      </c>
      <c r="AB5" s="157" t="s">
        <v>145</v>
      </c>
      <c r="AC5" s="13"/>
      <c r="AD5" s="127">
        <v>2314858.86</v>
      </c>
      <c r="AE5" s="149">
        <v>1</v>
      </c>
      <c r="AF5" s="150">
        <v>97.34</v>
      </c>
      <c r="AG5" s="125">
        <v>2253.2840000000001</v>
      </c>
      <c r="AH5" s="2"/>
      <c r="AI5" s="2"/>
      <c r="AJ5" s="13" t="s">
        <v>36</v>
      </c>
      <c r="AK5" s="140">
        <v>0.11745665020229901</v>
      </c>
      <c r="AL5" s="140">
        <v>7.8391512267306598E-4</v>
      </c>
    </row>
    <row r="6" spans="1:38">
      <c r="A6" s="13">
        <v>382</v>
      </c>
      <c r="B6" s="13">
        <v>382</v>
      </c>
      <c r="C6" s="13" t="s">
        <v>2445</v>
      </c>
      <c r="D6" s="13" t="s">
        <v>2446</v>
      </c>
      <c r="E6" s="11" t="s">
        <v>1322</v>
      </c>
      <c r="F6" s="13" t="s">
        <v>2447</v>
      </c>
      <c r="G6" s="13" t="s">
        <v>2448</v>
      </c>
      <c r="H6" s="13" t="s">
        <v>33</v>
      </c>
      <c r="I6" s="13" t="s">
        <v>977</v>
      </c>
      <c r="J6" s="11" t="s">
        <v>30</v>
      </c>
      <c r="K6" s="11" t="s">
        <v>30</v>
      </c>
      <c r="L6" s="18" t="s">
        <v>338</v>
      </c>
      <c r="M6" s="13" t="s">
        <v>471</v>
      </c>
      <c r="N6" s="13" t="s">
        <v>144</v>
      </c>
      <c r="O6" s="156" t="s">
        <v>2190</v>
      </c>
      <c r="P6" s="13" t="s">
        <v>186</v>
      </c>
      <c r="Q6" s="13" t="s">
        <v>186</v>
      </c>
      <c r="R6" s="13" t="s">
        <v>186</v>
      </c>
      <c r="S6" s="11" t="s">
        <v>34</v>
      </c>
      <c r="T6" s="127">
        <v>0</v>
      </c>
      <c r="U6" s="13" t="s">
        <v>2449</v>
      </c>
      <c r="V6" s="148">
        <v>0</v>
      </c>
      <c r="W6" s="140">
        <v>0</v>
      </c>
      <c r="X6" s="11" t="s">
        <v>421</v>
      </c>
      <c r="Y6" s="11" t="s">
        <v>350</v>
      </c>
      <c r="Z6" s="13" t="s">
        <v>86</v>
      </c>
      <c r="AA6" s="13" t="s">
        <v>187</v>
      </c>
      <c r="AB6" s="157" t="s">
        <v>2450</v>
      </c>
      <c r="AC6" s="13" t="s">
        <v>2451</v>
      </c>
      <c r="AD6" s="127">
        <v>43880.43</v>
      </c>
      <c r="AE6" s="149">
        <v>1</v>
      </c>
      <c r="AF6" s="150">
        <v>0</v>
      </c>
      <c r="AG6" s="125">
        <v>0</v>
      </c>
      <c r="AH6" s="2"/>
      <c r="AI6" s="2"/>
      <c r="AJ6" s="13" t="s">
        <v>36</v>
      </c>
      <c r="AK6" s="140">
        <v>2.2873500186450002E-11</v>
      </c>
      <c r="AL6" s="140">
        <v>1.5265957843800601E-13</v>
      </c>
    </row>
    <row r="7" spans="1:38">
      <c r="A7" s="13">
        <v>382</v>
      </c>
      <c r="B7" s="13">
        <v>382</v>
      </c>
      <c r="C7" s="13" t="s">
        <v>2452</v>
      </c>
      <c r="D7" s="13" t="s">
        <v>2453</v>
      </c>
      <c r="E7" s="11" t="s">
        <v>1322</v>
      </c>
      <c r="F7" s="13" t="s">
        <v>2454</v>
      </c>
      <c r="G7" s="13" t="s">
        <v>2455</v>
      </c>
      <c r="H7" s="13" t="s">
        <v>184</v>
      </c>
      <c r="I7" s="13" t="s">
        <v>765</v>
      </c>
      <c r="J7" s="11" t="s">
        <v>30</v>
      </c>
      <c r="K7" s="11" t="s">
        <v>30</v>
      </c>
      <c r="L7" s="18" t="s">
        <v>338</v>
      </c>
      <c r="M7" s="13" t="s">
        <v>86</v>
      </c>
      <c r="N7" s="13" t="s">
        <v>144</v>
      </c>
      <c r="O7" s="156" t="s">
        <v>2456</v>
      </c>
      <c r="P7" s="13" t="s">
        <v>1767</v>
      </c>
      <c r="Q7" s="13" t="s">
        <v>425</v>
      </c>
      <c r="R7" s="13" t="s">
        <v>417</v>
      </c>
      <c r="S7" s="11" t="s">
        <v>34</v>
      </c>
      <c r="T7" s="127">
        <v>3.48</v>
      </c>
      <c r="U7" s="13" t="s">
        <v>1986</v>
      </c>
      <c r="V7" s="148">
        <v>3.78E-2</v>
      </c>
      <c r="W7" s="140">
        <v>4.4499999999999998E-2</v>
      </c>
      <c r="X7" s="11" t="s">
        <v>422</v>
      </c>
      <c r="Y7" s="11" t="s">
        <v>144</v>
      </c>
      <c r="Z7" s="13" t="s">
        <v>86</v>
      </c>
      <c r="AA7" s="13"/>
      <c r="AB7" s="157" t="s">
        <v>145</v>
      </c>
      <c r="AC7" s="13"/>
      <c r="AD7" s="127">
        <v>2660000</v>
      </c>
      <c r="AE7" s="149">
        <v>1</v>
      </c>
      <c r="AF7" s="150">
        <v>106.12</v>
      </c>
      <c r="AG7" s="127">
        <v>2822.7919999999999</v>
      </c>
      <c r="AH7" s="13"/>
      <c r="AI7" s="13"/>
      <c r="AJ7" s="13" t="s">
        <v>36</v>
      </c>
      <c r="AK7" s="140">
        <v>0.14714334690500899</v>
      </c>
      <c r="AL7" s="140">
        <v>9.82046522192641E-4</v>
      </c>
    </row>
    <row r="8" spans="1:38">
      <c r="A8" s="13">
        <v>382</v>
      </c>
      <c r="B8" s="13">
        <v>382</v>
      </c>
      <c r="C8" s="13" t="s">
        <v>2445</v>
      </c>
      <c r="D8" s="13" t="s">
        <v>2446</v>
      </c>
      <c r="E8" s="11" t="s">
        <v>1322</v>
      </c>
      <c r="F8" s="13" t="s">
        <v>2457</v>
      </c>
      <c r="G8" s="13" t="s">
        <v>2458</v>
      </c>
      <c r="H8" s="13" t="s">
        <v>184</v>
      </c>
      <c r="I8" s="13" t="s">
        <v>765</v>
      </c>
      <c r="J8" s="11" t="s">
        <v>30</v>
      </c>
      <c r="K8" s="11" t="s">
        <v>30</v>
      </c>
      <c r="L8" s="18" t="s">
        <v>338</v>
      </c>
      <c r="M8" s="13" t="s">
        <v>471</v>
      </c>
      <c r="N8" s="13" t="s">
        <v>144</v>
      </c>
      <c r="O8" s="156" t="s">
        <v>2190</v>
      </c>
      <c r="P8" s="13" t="s">
        <v>186</v>
      </c>
      <c r="Q8" s="13" t="s">
        <v>186</v>
      </c>
      <c r="R8" s="13" t="s">
        <v>186</v>
      </c>
      <c r="S8" s="11" t="s">
        <v>34</v>
      </c>
      <c r="T8" s="127">
        <v>0</v>
      </c>
      <c r="U8" s="13" t="s">
        <v>2449</v>
      </c>
      <c r="V8" s="148">
        <v>0</v>
      </c>
      <c r="W8" s="140">
        <v>0</v>
      </c>
      <c r="X8" s="11" t="s">
        <v>421</v>
      </c>
      <c r="Y8" s="11" t="s">
        <v>350</v>
      </c>
      <c r="Z8" s="13" t="s">
        <v>86</v>
      </c>
      <c r="AA8" s="13" t="s">
        <v>187</v>
      </c>
      <c r="AB8" s="157" t="s">
        <v>2450</v>
      </c>
      <c r="AC8" s="13" t="s">
        <v>2451</v>
      </c>
      <c r="AD8" s="127">
        <v>32173.599999999999</v>
      </c>
      <c r="AE8" s="149">
        <v>1</v>
      </c>
      <c r="AF8" s="150">
        <v>0</v>
      </c>
      <c r="AG8" s="127">
        <v>0</v>
      </c>
      <c r="AH8" s="13"/>
      <c r="AI8" s="13"/>
      <c r="AJ8" s="13" t="s">
        <v>36</v>
      </c>
      <c r="AK8" s="140">
        <v>1.6771094667913899E-11</v>
      </c>
      <c r="AL8" s="140">
        <v>1.11931633596868E-13</v>
      </c>
    </row>
    <row r="9" spans="1:38">
      <c r="A9" s="13">
        <v>382</v>
      </c>
      <c r="B9" s="13">
        <v>382</v>
      </c>
      <c r="C9" s="13" t="s">
        <v>2459</v>
      </c>
      <c r="D9" s="13" t="s">
        <v>2460</v>
      </c>
      <c r="E9" s="11" t="s">
        <v>1322</v>
      </c>
      <c r="F9" s="13" t="s">
        <v>2461</v>
      </c>
      <c r="G9" s="13" t="s">
        <v>2462</v>
      </c>
      <c r="H9" s="13" t="s">
        <v>184</v>
      </c>
      <c r="I9" s="13" t="s">
        <v>977</v>
      </c>
      <c r="J9" s="11" t="s">
        <v>30</v>
      </c>
      <c r="K9" s="11" t="s">
        <v>30</v>
      </c>
      <c r="L9" s="18" t="s">
        <v>338</v>
      </c>
      <c r="M9" s="13" t="s">
        <v>487</v>
      </c>
      <c r="N9" s="13" t="s">
        <v>144</v>
      </c>
      <c r="O9" s="156" t="s">
        <v>2463</v>
      </c>
      <c r="P9" s="13" t="s">
        <v>1730</v>
      </c>
      <c r="Q9" s="13" t="s">
        <v>425</v>
      </c>
      <c r="R9" s="13" t="s">
        <v>417</v>
      </c>
      <c r="S9" s="11" t="s">
        <v>34</v>
      </c>
      <c r="T9" s="127">
        <v>3.42</v>
      </c>
      <c r="U9" s="13" t="s">
        <v>2464</v>
      </c>
      <c r="V9" s="148">
        <v>6.08E-2</v>
      </c>
      <c r="W9" s="140">
        <v>7.3099999999999998E-2</v>
      </c>
      <c r="X9" s="11" t="s">
        <v>422</v>
      </c>
      <c r="Y9" s="11" t="s">
        <v>144</v>
      </c>
      <c r="Z9" s="13" t="s">
        <v>86</v>
      </c>
      <c r="AA9" s="13" t="s">
        <v>1328</v>
      </c>
      <c r="AB9" s="157" t="s">
        <v>145</v>
      </c>
      <c r="AC9" s="13"/>
      <c r="AD9" s="127">
        <v>6300000</v>
      </c>
      <c r="AE9" s="149">
        <v>1</v>
      </c>
      <c r="AF9" s="150">
        <v>107.55</v>
      </c>
      <c r="AG9" s="127">
        <v>6775.65</v>
      </c>
      <c r="AH9" s="13"/>
      <c r="AI9" s="13"/>
      <c r="AJ9" s="13" t="s">
        <v>36</v>
      </c>
      <c r="AK9" s="140">
        <v>0.35319351140888999</v>
      </c>
      <c r="AL9" s="140">
        <v>2.3572418789958899E-3</v>
      </c>
    </row>
    <row r="10" spans="1:38">
      <c r="A10" s="13">
        <v>382</v>
      </c>
      <c r="B10" s="13">
        <v>382</v>
      </c>
      <c r="C10" s="13" t="s">
        <v>2465</v>
      </c>
      <c r="D10" s="13" t="s">
        <v>2466</v>
      </c>
      <c r="E10" s="11" t="s">
        <v>1322</v>
      </c>
      <c r="F10" s="13" t="s">
        <v>2467</v>
      </c>
      <c r="G10" s="13" t="s">
        <v>2468</v>
      </c>
      <c r="H10" s="13" t="s">
        <v>184</v>
      </c>
      <c r="I10" s="13" t="s">
        <v>765</v>
      </c>
      <c r="J10" s="11" t="s">
        <v>30</v>
      </c>
      <c r="K10" s="11" t="s">
        <v>30</v>
      </c>
      <c r="L10" s="18" t="s">
        <v>338</v>
      </c>
      <c r="M10" s="13" t="s">
        <v>486</v>
      </c>
      <c r="N10" s="13" t="s">
        <v>144</v>
      </c>
      <c r="O10" s="156" t="s">
        <v>2190</v>
      </c>
      <c r="P10" s="13" t="s">
        <v>95</v>
      </c>
      <c r="Q10" s="13" t="s">
        <v>423</v>
      </c>
      <c r="R10" s="13" t="s">
        <v>417</v>
      </c>
      <c r="S10" s="11" t="s">
        <v>34</v>
      </c>
      <c r="T10" s="127">
        <v>1.08</v>
      </c>
      <c r="U10" s="13" t="s">
        <v>2469</v>
      </c>
      <c r="V10" s="148">
        <v>2.53E-2</v>
      </c>
      <c r="W10" s="140">
        <v>5.6000000000000001E-2</v>
      </c>
      <c r="X10" s="11" t="s">
        <v>422</v>
      </c>
      <c r="Y10" s="11" t="s">
        <v>144</v>
      </c>
      <c r="Z10" s="13" t="s">
        <v>904</v>
      </c>
      <c r="AA10" s="13" t="s">
        <v>1328</v>
      </c>
      <c r="AB10" s="157" t="s">
        <v>145</v>
      </c>
      <c r="AC10" s="13" t="s">
        <v>2451</v>
      </c>
      <c r="AD10" s="127">
        <v>800773.72</v>
      </c>
      <c r="AE10" s="149">
        <v>1</v>
      </c>
      <c r="AF10" s="150">
        <v>143.86000000000001</v>
      </c>
      <c r="AG10" s="127">
        <v>1151.9929999999999</v>
      </c>
      <c r="AH10" s="13"/>
      <c r="AI10" s="13"/>
      <c r="AJ10" s="13" t="s">
        <v>36</v>
      </c>
      <c r="AK10" s="140">
        <v>6.0049807587564001E-2</v>
      </c>
      <c r="AL10" s="140">
        <v>4.0077724164976899E-4</v>
      </c>
    </row>
    <row r="11" spans="1:38">
      <c r="A11" s="13">
        <v>382</v>
      </c>
      <c r="B11" s="13">
        <v>382</v>
      </c>
      <c r="C11" s="13" t="s">
        <v>2470</v>
      </c>
      <c r="D11" s="13" t="s">
        <v>2471</v>
      </c>
      <c r="E11" s="11" t="s">
        <v>1322</v>
      </c>
      <c r="F11" s="13" t="s">
        <v>2472</v>
      </c>
      <c r="G11" s="13" t="s">
        <v>2473</v>
      </c>
      <c r="H11" s="13" t="s">
        <v>184</v>
      </c>
      <c r="I11" s="13" t="s">
        <v>765</v>
      </c>
      <c r="J11" s="11" t="s">
        <v>30</v>
      </c>
      <c r="K11" s="11" t="s">
        <v>30</v>
      </c>
      <c r="L11" s="18" t="s">
        <v>338</v>
      </c>
      <c r="M11" s="13" t="s">
        <v>454</v>
      </c>
      <c r="N11" s="13" t="s">
        <v>144</v>
      </c>
      <c r="O11" s="156" t="s">
        <v>2474</v>
      </c>
      <c r="P11" s="13" t="s">
        <v>1179</v>
      </c>
      <c r="Q11" s="13" t="s">
        <v>423</v>
      </c>
      <c r="R11" s="13" t="s">
        <v>417</v>
      </c>
      <c r="S11" s="11" t="s">
        <v>34</v>
      </c>
      <c r="T11" s="127">
        <v>4.84</v>
      </c>
      <c r="U11" s="13" t="s">
        <v>2475</v>
      </c>
      <c r="V11" s="148">
        <v>2.3800000000000002E-2</v>
      </c>
      <c r="W11" s="140">
        <v>2.1399999999999999E-2</v>
      </c>
      <c r="X11" s="11" t="s">
        <v>422</v>
      </c>
      <c r="Y11" s="11" t="s">
        <v>144</v>
      </c>
      <c r="Z11" s="13" t="s">
        <v>904</v>
      </c>
      <c r="AA11" s="13" t="s">
        <v>1328</v>
      </c>
      <c r="AB11" s="157" t="s">
        <v>145</v>
      </c>
      <c r="AC11" s="13"/>
      <c r="AD11" s="127">
        <v>1790052.57</v>
      </c>
      <c r="AE11" s="149">
        <v>1</v>
      </c>
      <c r="AF11" s="150">
        <v>116.3</v>
      </c>
      <c r="AG11" s="127">
        <v>2081.8310000000001</v>
      </c>
      <c r="AH11" s="13"/>
      <c r="AI11" s="13"/>
      <c r="AJ11" s="13" t="s">
        <v>36</v>
      </c>
      <c r="AK11" s="140">
        <v>0.10851936716211601</v>
      </c>
      <c r="AL11" s="140">
        <v>7.2426697743188705E-4</v>
      </c>
    </row>
    <row r="12" spans="1:38">
      <c r="A12" s="13">
        <v>382</v>
      </c>
      <c r="B12" s="13">
        <v>382</v>
      </c>
      <c r="C12" s="13" t="s">
        <v>2470</v>
      </c>
      <c r="D12" s="13" t="s">
        <v>2471</v>
      </c>
      <c r="E12" s="11" t="s">
        <v>1322</v>
      </c>
      <c r="F12" s="13" t="s">
        <v>2476</v>
      </c>
      <c r="G12" s="13" t="s">
        <v>2477</v>
      </c>
      <c r="H12" s="13" t="s">
        <v>184</v>
      </c>
      <c r="I12" s="13" t="s">
        <v>977</v>
      </c>
      <c r="J12" s="11" t="s">
        <v>30</v>
      </c>
      <c r="K12" s="11" t="s">
        <v>30</v>
      </c>
      <c r="L12" s="18" t="s">
        <v>338</v>
      </c>
      <c r="M12" s="13" t="s">
        <v>454</v>
      </c>
      <c r="N12" s="13" t="s">
        <v>144</v>
      </c>
      <c r="O12" s="156" t="s">
        <v>2478</v>
      </c>
      <c r="P12" s="13" t="s">
        <v>1179</v>
      </c>
      <c r="Q12" s="13" t="s">
        <v>423</v>
      </c>
      <c r="R12" s="13" t="s">
        <v>417</v>
      </c>
      <c r="S12" s="11" t="s">
        <v>34</v>
      </c>
      <c r="T12" s="127">
        <v>4.51</v>
      </c>
      <c r="U12" s="13" t="s">
        <v>2475</v>
      </c>
      <c r="V12" s="148">
        <v>5.0200000000000002E-2</v>
      </c>
      <c r="W12" s="140">
        <v>3.7400000000000003E-2</v>
      </c>
      <c r="X12" s="11" t="s">
        <v>422</v>
      </c>
      <c r="Y12" s="11" t="s">
        <v>144</v>
      </c>
      <c r="Z12" s="13" t="s">
        <v>904</v>
      </c>
      <c r="AA12" s="13" t="s">
        <v>1328</v>
      </c>
      <c r="AB12" s="157" t="s">
        <v>145</v>
      </c>
      <c r="AC12" s="13"/>
      <c r="AD12" s="127">
        <v>3930255.16</v>
      </c>
      <c r="AE12" s="149">
        <v>1</v>
      </c>
      <c r="AF12" s="150">
        <v>95.75</v>
      </c>
      <c r="AG12" s="127">
        <v>3763.2190000000001</v>
      </c>
      <c r="AH12" s="13"/>
      <c r="AI12" s="13"/>
      <c r="AJ12" s="13" t="s">
        <v>36</v>
      </c>
      <c r="AK12" s="140">
        <v>0.196164891089983</v>
      </c>
      <c r="AL12" s="140">
        <v>1.3092202476241101E-3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12" xr:uid="{00000000-0002-0000-1100-000000000000}">
      <formula1>israel_abroad</formula1>
    </dataValidation>
    <dataValidation type="list" allowBlank="1" showInputMessage="1" showErrorMessage="1" sqref="N2:N12" xr:uid="{00000000-0002-0000-1100-000001000000}">
      <formula1>Holding_interest</formula1>
    </dataValidation>
    <dataValidation type="list" allowBlank="1" showInputMessage="1" showErrorMessage="1" sqref="K2:K12" xr:uid="{00000000-0002-0000-1100-000002000000}">
      <formula1>Country_list</formula1>
    </dataValidation>
    <dataValidation type="list" allowBlank="1" showInputMessage="1" showErrorMessage="1" sqref="E3:E12" xr:uid="{00000000-0002-0000-1100-000003000000}">
      <formula1>Issuer_Number_Type_2</formula1>
    </dataValidation>
    <dataValidation type="list" allowBlank="1" showInputMessage="1" showErrorMessage="1" sqref="P8 P2 P6 Q2:Q12" xr:uid="{00000000-0002-0000-1100-000004000000}">
      <formula1>Rating_Agency</formula1>
    </dataValidation>
    <dataValidation type="list" allowBlank="1" showInputMessage="1" showErrorMessage="1" sqref="P4 R2:R12" xr:uid="{00000000-0002-0000-1100-000005000000}">
      <formula1>What_is_rated</formula1>
    </dataValidation>
    <dataValidation type="list" allowBlank="1" showInputMessage="1" showErrorMessage="1" sqref="V4 X2:X12" xr:uid="{00000000-0002-0000-1100-000006000000}">
      <formula1>Subordination_Risk</formula1>
    </dataValidation>
    <dataValidation type="list" allowBlank="1" showInputMessage="1" showErrorMessage="1" sqref="Z2:Z12" xr:uid="{00000000-0002-0000-1100-000007000000}">
      <formula1>Valuation</formula1>
    </dataValidation>
    <dataValidation type="list" allowBlank="1" showInputMessage="1" showErrorMessage="1" sqref="AA2:AA12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12" xr:uid="{00000000-0002-0000-1100-00000A000000}">
      <formula1>Yes_No_Bad_Debt</formula1>
    </dataValidation>
    <dataValidation type="list" allowBlank="1" showInputMessage="1" showErrorMessage="1" sqref="H2:H12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12" xr:uid="{00000000-0002-0000-1100-00000D000000}">
      <formula1>In_the_books</formula1>
    </dataValidation>
    <dataValidation type="list" allowBlank="1" showInputMessage="1" showErrorMessage="1" sqref="M2:M12" xr:uid="{00000000-0002-0000-1100-00000E000000}">
      <formula1>Industry_Sector</formula1>
    </dataValidation>
    <dataValidation type="list" allowBlank="1" showInputMessage="1" showErrorMessage="1" sqref="L2:L12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I2:I12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9"/>
  <sheetViews>
    <sheetView rightToLeft="1" topLeftCell="H1" zoomScale="70" zoomScaleNormal="70" workbookViewId="0">
      <selection activeCell="J23" sqref="J23"/>
    </sheetView>
  </sheetViews>
  <sheetFormatPr defaultColWidth="0" defaultRowHeight="14.25" zeroHeight="1"/>
  <cols>
    <col min="1" max="26" width="11.625" customWidth="1"/>
  </cols>
  <sheetData>
    <row r="1" spans="1:26" ht="66.75" customHeight="1">
      <c r="A1" s="12" t="s">
        <v>0</v>
      </c>
      <c r="B1" s="12" t="s">
        <v>1</v>
      </c>
      <c r="C1" s="12" t="s">
        <v>2</v>
      </c>
      <c r="D1" s="12" t="s">
        <v>151</v>
      </c>
      <c r="E1" s="12" t="s">
        <v>152</v>
      </c>
      <c r="F1" s="12" t="s">
        <v>3</v>
      </c>
      <c r="G1" s="12" t="s">
        <v>4</v>
      </c>
      <c r="H1" s="12" t="s">
        <v>153</v>
      </c>
      <c r="I1" s="12" t="s">
        <v>5</v>
      </c>
      <c r="J1" s="12" t="s">
        <v>6</v>
      </c>
      <c r="K1" s="12" t="s">
        <v>7</v>
      </c>
      <c r="L1" s="12" t="s">
        <v>336</v>
      </c>
      <c r="M1" s="12" t="s">
        <v>154</v>
      </c>
      <c r="N1" s="12" t="s">
        <v>130</v>
      </c>
      <c r="O1" s="155" t="s">
        <v>162</v>
      </c>
      <c r="P1" s="12" t="s">
        <v>11</v>
      </c>
      <c r="Q1" s="12" t="s">
        <v>155</v>
      </c>
      <c r="R1" s="12" t="s">
        <v>156</v>
      </c>
      <c r="S1" s="155" t="s">
        <v>139</v>
      </c>
      <c r="T1" s="155" t="s">
        <v>157</v>
      </c>
      <c r="U1" s="12" t="s">
        <v>17</v>
      </c>
      <c r="V1" s="133" t="s">
        <v>18</v>
      </c>
      <c r="W1" s="144" t="s">
        <v>19</v>
      </c>
      <c r="X1" s="12" t="s">
        <v>20</v>
      </c>
      <c r="Y1" s="139" t="s">
        <v>24</v>
      </c>
      <c r="Z1" s="139" t="s">
        <v>25</v>
      </c>
    </row>
    <row r="2" spans="1:26">
      <c r="A2" s="13">
        <v>382</v>
      </c>
      <c r="B2" s="13">
        <v>382</v>
      </c>
      <c r="C2" s="13" t="s">
        <v>2386</v>
      </c>
      <c r="D2" s="13" t="s">
        <v>2387</v>
      </c>
      <c r="E2" s="11" t="s">
        <v>1322</v>
      </c>
      <c r="F2" s="13" t="s">
        <v>2386</v>
      </c>
      <c r="G2" s="13" t="s">
        <v>2388</v>
      </c>
      <c r="H2" s="11" t="s">
        <v>184</v>
      </c>
      <c r="I2" s="13" t="s">
        <v>777</v>
      </c>
      <c r="J2" s="11" t="s">
        <v>30</v>
      </c>
      <c r="K2" s="11" t="s">
        <v>30</v>
      </c>
      <c r="L2" s="18" t="s">
        <v>338</v>
      </c>
      <c r="M2" s="13" t="s">
        <v>474</v>
      </c>
      <c r="N2" s="13" t="s">
        <v>144</v>
      </c>
      <c r="O2" s="156" t="s">
        <v>2190</v>
      </c>
      <c r="P2" s="11" t="s">
        <v>34</v>
      </c>
      <c r="Q2" s="13" t="s">
        <v>86</v>
      </c>
      <c r="R2" s="13" t="s">
        <v>187</v>
      </c>
      <c r="S2" s="156" t="s">
        <v>2389</v>
      </c>
      <c r="T2" s="156" t="s">
        <v>2390</v>
      </c>
      <c r="U2" s="127">
        <v>12282</v>
      </c>
      <c r="V2" s="149">
        <v>1</v>
      </c>
      <c r="W2" s="150">
        <v>0</v>
      </c>
      <c r="X2" s="127">
        <v>0</v>
      </c>
      <c r="Y2" s="148">
        <v>4.2685341316263695E-11</v>
      </c>
      <c r="Z2" s="148">
        <v>4.2728955536114702E-14</v>
      </c>
    </row>
    <row r="3" spans="1:26">
      <c r="A3" s="13">
        <v>382</v>
      </c>
      <c r="B3" s="13">
        <v>382</v>
      </c>
      <c r="C3" s="13" t="s">
        <v>2391</v>
      </c>
      <c r="D3" s="13" t="s">
        <v>2392</v>
      </c>
      <c r="E3" s="11" t="s">
        <v>1322</v>
      </c>
      <c r="F3" s="13" t="s">
        <v>2393</v>
      </c>
      <c r="G3" s="13" t="s">
        <v>2394</v>
      </c>
      <c r="H3" s="11" t="s">
        <v>33</v>
      </c>
      <c r="I3" s="13" t="s">
        <v>777</v>
      </c>
      <c r="J3" s="11" t="s">
        <v>30</v>
      </c>
      <c r="K3" s="11" t="s">
        <v>30</v>
      </c>
      <c r="L3" s="18" t="s">
        <v>338</v>
      </c>
      <c r="M3" s="13" t="s">
        <v>487</v>
      </c>
      <c r="N3" s="13" t="s">
        <v>144</v>
      </c>
      <c r="O3" s="156" t="s">
        <v>2395</v>
      </c>
      <c r="P3" s="11" t="s">
        <v>34</v>
      </c>
      <c r="Q3" s="13" t="s">
        <v>86</v>
      </c>
      <c r="R3" s="13" t="s">
        <v>187</v>
      </c>
      <c r="S3" s="156" t="s">
        <v>2396</v>
      </c>
      <c r="T3" s="13"/>
      <c r="U3" s="127">
        <v>1325</v>
      </c>
      <c r="V3" s="149">
        <v>1</v>
      </c>
      <c r="W3" s="150">
        <v>126936.906</v>
      </c>
      <c r="X3" s="127">
        <v>1681.914</v>
      </c>
      <c r="Y3" s="148">
        <v>0.58453894599158396</v>
      </c>
      <c r="Z3" s="148">
        <v>5.8513620512822895E-4</v>
      </c>
    </row>
    <row r="4" spans="1:26">
      <c r="A4" s="13">
        <v>382</v>
      </c>
      <c r="B4" s="13">
        <v>382</v>
      </c>
      <c r="C4" s="13" t="s">
        <v>1588</v>
      </c>
      <c r="D4" s="13" t="s">
        <v>1589</v>
      </c>
      <c r="E4" s="11" t="s">
        <v>1322</v>
      </c>
      <c r="F4" s="13" t="s">
        <v>2397</v>
      </c>
      <c r="G4" s="13" t="s">
        <v>2398</v>
      </c>
      <c r="H4" s="11" t="s">
        <v>33</v>
      </c>
      <c r="I4" s="13" t="s">
        <v>777</v>
      </c>
      <c r="J4" s="11" t="s">
        <v>30</v>
      </c>
      <c r="K4" s="11" t="s">
        <v>30</v>
      </c>
      <c r="L4" s="18" t="s">
        <v>338</v>
      </c>
      <c r="M4" s="13" t="s">
        <v>472</v>
      </c>
      <c r="N4" s="13" t="s">
        <v>144</v>
      </c>
      <c r="O4" s="157" t="s">
        <v>2395</v>
      </c>
      <c r="P4" s="11" t="s">
        <v>34</v>
      </c>
      <c r="Q4" s="13" t="s">
        <v>86</v>
      </c>
      <c r="R4" s="13" t="s">
        <v>187</v>
      </c>
      <c r="S4" s="156" t="s">
        <v>2352</v>
      </c>
      <c r="T4" s="13"/>
      <c r="U4" s="127">
        <v>150</v>
      </c>
      <c r="V4" s="149">
        <v>1</v>
      </c>
      <c r="W4" s="150">
        <v>570012</v>
      </c>
      <c r="X4" s="127">
        <v>855.01800000000003</v>
      </c>
      <c r="Y4" s="148">
        <v>0.29715628693656698</v>
      </c>
      <c r="Z4" s="148">
        <v>2.97459909661111E-4</v>
      </c>
    </row>
    <row r="5" spans="1:26">
      <c r="A5" s="13">
        <v>382</v>
      </c>
      <c r="B5" s="13">
        <v>382</v>
      </c>
      <c r="C5" s="13" t="s">
        <v>2399</v>
      </c>
      <c r="D5" s="13" t="s">
        <v>2400</v>
      </c>
      <c r="E5" s="11" t="s">
        <v>181</v>
      </c>
      <c r="F5" s="13" t="s">
        <v>2401</v>
      </c>
      <c r="G5" s="13" t="s">
        <v>2402</v>
      </c>
      <c r="H5" s="11" t="s">
        <v>184</v>
      </c>
      <c r="I5" s="13" t="s">
        <v>777</v>
      </c>
      <c r="J5" s="11" t="s">
        <v>30</v>
      </c>
      <c r="K5" s="11" t="s">
        <v>30</v>
      </c>
      <c r="L5" s="18" t="s">
        <v>338</v>
      </c>
      <c r="M5" s="13" t="s">
        <v>486</v>
      </c>
      <c r="N5" s="13" t="s">
        <v>144</v>
      </c>
      <c r="O5" s="156" t="s">
        <v>2403</v>
      </c>
      <c r="P5" s="11" t="s">
        <v>89</v>
      </c>
      <c r="Q5" s="13" t="s">
        <v>86</v>
      </c>
      <c r="R5" s="13" t="s">
        <v>187</v>
      </c>
      <c r="S5" s="156" t="s">
        <v>2403</v>
      </c>
      <c r="T5" s="13"/>
      <c r="U5" s="127">
        <v>820</v>
      </c>
      <c r="V5" s="149">
        <v>3.6469999999999998</v>
      </c>
      <c r="W5" s="150">
        <v>40.9</v>
      </c>
      <c r="X5" s="127">
        <v>1.2230000000000001</v>
      </c>
      <c r="Y5" s="148">
        <v>4.2509166449727302E-4</v>
      </c>
      <c r="Z5" s="148">
        <v>4.2552600660958901E-7</v>
      </c>
    </row>
    <row r="6" spans="1:26">
      <c r="A6" s="13">
        <v>382</v>
      </c>
      <c r="B6" s="13">
        <v>382</v>
      </c>
      <c r="C6" s="13" t="s">
        <v>2404</v>
      </c>
      <c r="D6" s="13" t="s">
        <v>2405</v>
      </c>
      <c r="E6" s="11" t="s">
        <v>1322</v>
      </c>
      <c r="F6" s="13" t="s">
        <v>2406</v>
      </c>
      <c r="G6" s="13" t="s">
        <v>2407</v>
      </c>
      <c r="H6" s="11" t="s">
        <v>33</v>
      </c>
      <c r="I6" s="13" t="s">
        <v>777</v>
      </c>
      <c r="J6" s="11" t="s">
        <v>30</v>
      </c>
      <c r="K6" s="11" t="s">
        <v>30</v>
      </c>
      <c r="L6" s="18" t="s">
        <v>338</v>
      </c>
      <c r="M6" s="13" t="s">
        <v>455</v>
      </c>
      <c r="N6" s="13" t="s">
        <v>144</v>
      </c>
      <c r="O6" s="156" t="s">
        <v>2190</v>
      </c>
      <c r="P6" s="11" t="s">
        <v>34</v>
      </c>
      <c r="Q6" s="13" t="s">
        <v>86</v>
      </c>
      <c r="R6" s="13" t="s">
        <v>187</v>
      </c>
      <c r="S6" s="156" t="s">
        <v>2408</v>
      </c>
      <c r="T6" s="13"/>
      <c r="U6" s="127">
        <v>2156</v>
      </c>
      <c r="V6" s="149">
        <v>1</v>
      </c>
      <c r="W6" s="150">
        <v>0</v>
      </c>
      <c r="X6" s="127">
        <v>0</v>
      </c>
      <c r="Y6" s="148">
        <v>7.4930463994353093E-12</v>
      </c>
      <c r="Z6" s="148">
        <v>7.5007025025129E-15</v>
      </c>
    </row>
    <row r="7" spans="1:26">
      <c r="A7" s="13">
        <v>382</v>
      </c>
      <c r="B7" s="13">
        <v>382</v>
      </c>
      <c r="C7" s="13" t="s">
        <v>179</v>
      </c>
      <c r="D7" s="13" t="s">
        <v>180</v>
      </c>
      <c r="E7" s="11" t="s">
        <v>181</v>
      </c>
      <c r="F7" s="13" t="s">
        <v>2409</v>
      </c>
      <c r="G7" s="13" t="s">
        <v>2410</v>
      </c>
      <c r="H7" s="11" t="s">
        <v>184</v>
      </c>
      <c r="I7" s="13" t="s">
        <v>777</v>
      </c>
      <c r="J7" s="11" t="s">
        <v>85</v>
      </c>
      <c r="K7" s="11" t="s">
        <v>94</v>
      </c>
      <c r="L7" s="18" t="s">
        <v>338</v>
      </c>
      <c r="M7" s="13" t="s">
        <v>1668</v>
      </c>
      <c r="N7" s="13" t="s">
        <v>144</v>
      </c>
      <c r="O7" s="156" t="s">
        <v>2411</v>
      </c>
      <c r="P7" s="11" t="s">
        <v>89</v>
      </c>
      <c r="Q7" s="13" t="s">
        <v>86</v>
      </c>
      <c r="R7" s="13" t="s">
        <v>187</v>
      </c>
      <c r="S7" s="156" t="s">
        <v>2412</v>
      </c>
      <c r="T7" s="13"/>
      <c r="U7" s="127">
        <v>89</v>
      </c>
      <c r="V7" s="149">
        <v>3.6469999999999998</v>
      </c>
      <c r="W7" s="150">
        <v>0</v>
      </c>
      <c r="X7" s="127">
        <v>0</v>
      </c>
      <c r="Y7" s="148">
        <v>1.1280684042058999E-12</v>
      </c>
      <c r="Z7" s="148">
        <v>1.1292210205812E-15</v>
      </c>
    </row>
    <row r="8" spans="1:26">
      <c r="A8" s="13">
        <v>382</v>
      </c>
      <c r="B8" s="13">
        <v>382</v>
      </c>
      <c r="C8" s="13" t="s">
        <v>179</v>
      </c>
      <c r="D8" s="13" t="s">
        <v>180</v>
      </c>
      <c r="E8" s="11" t="s">
        <v>181</v>
      </c>
      <c r="F8" s="13" t="s">
        <v>2413</v>
      </c>
      <c r="G8" s="13" t="s">
        <v>2414</v>
      </c>
      <c r="H8" s="11" t="s">
        <v>184</v>
      </c>
      <c r="I8" s="13" t="s">
        <v>777</v>
      </c>
      <c r="J8" s="11" t="s">
        <v>85</v>
      </c>
      <c r="K8" s="11" t="s">
        <v>94</v>
      </c>
      <c r="L8" s="18" t="s">
        <v>338</v>
      </c>
      <c r="M8" s="13" t="s">
        <v>1668</v>
      </c>
      <c r="N8" s="13" t="s">
        <v>144</v>
      </c>
      <c r="O8" s="156" t="s">
        <v>2411</v>
      </c>
      <c r="P8" s="11" t="s">
        <v>89</v>
      </c>
      <c r="Q8" s="13" t="s">
        <v>86</v>
      </c>
      <c r="R8" s="13" t="s">
        <v>187</v>
      </c>
      <c r="S8" s="156" t="s">
        <v>2415</v>
      </c>
      <c r="T8" s="13"/>
      <c r="U8" s="127">
        <v>0</v>
      </c>
      <c r="V8" s="149">
        <v>3.6469999999999998</v>
      </c>
      <c r="W8" s="150">
        <v>0</v>
      </c>
      <c r="X8" s="127">
        <v>339.17099999999999</v>
      </c>
      <c r="Y8" s="148">
        <v>0.117876810776571</v>
      </c>
      <c r="Z8" s="148">
        <v>1.1799725271242101E-4</v>
      </c>
    </row>
    <row r="9" spans="1:26">
      <c r="A9" s="13">
        <v>382</v>
      </c>
      <c r="B9" s="13">
        <v>382</v>
      </c>
      <c r="C9" s="13" t="s">
        <v>179</v>
      </c>
      <c r="D9" s="13" t="s">
        <v>180</v>
      </c>
      <c r="E9" s="11" t="s">
        <v>181</v>
      </c>
      <c r="F9" s="13" t="s">
        <v>2416</v>
      </c>
      <c r="G9" s="13" t="s">
        <v>2417</v>
      </c>
      <c r="H9" s="11" t="s">
        <v>184</v>
      </c>
      <c r="I9" s="13" t="s">
        <v>777</v>
      </c>
      <c r="J9" s="11" t="s">
        <v>85</v>
      </c>
      <c r="K9" s="11" t="s">
        <v>94</v>
      </c>
      <c r="L9" s="18" t="s">
        <v>338</v>
      </c>
      <c r="M9" s="13" t="s">
        <v>498</v>
      </c>
      <c r="N9" s="13" t="s">
        <v>144</v>
      </c>
      <c r="O9" s="156" t="s">
        <v>2418</v>
      </c>
      <c r="P9" s="11" t="s">
        <v>89</v>
      </c>
      <c r="Q9" s="13" t="s">
        <v>86</v>
      </c>
      <c r="R9" s="13" t="s">
        <v>187</v>
      </c>
      <c r="S9" s="156" t="s">
        <v>145</v>
      </c>
      <c r="T9" s="13"/>
      <c r="U9" s="127">
        <v>133</v>
      </c>
      <c r="V9" s="149">
        <v>3.6469999999999998</v>
      </c>
      <c r="W9" s="150">
        <v>0</v>
      </c>
      <c r="X9" s="127">
        <v>8.0000000000000002E-3</v>
      </c>
      <c r="Y9" s="148">
        <v>2.8645794744677599E-6</v>
      </c>
      <c r="Z9" s="148">
        <v>2.8675063902455701E-9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9" xr:uid="{00000000-0002-0000-1200-000000000000}">
      <formula1>israel_abroad</formula1>
    </dataValidation>
    <dataValidation type="list" allowBlank="1" showInputMessage="1" showErrorMessage="1" sqref="N2:N9" xr:uid="{00000000-0002-0000-1200-000001000000}">
      <formula1>Holding_interest</formula1>
    </dataValidation>
    <dataValidation type="list" allowBlank="1" showInputMessage="1" showErrorMessage="1" sqref="Q2:Q9" xr:uid="{00000000-0002-0000-1200-000002000000}">
      <formula1>Valuation</formula1>
    </dataValidation>
    <dataValidation type="list" allowBlank="1" showInputMessage="1" showErrorMessage="1" sqref="R2:R9" xr:uid="{00000000-0002-0000-1200-000003000000}">
      <formula1>Dependence_Independence</formula1>
    </dataValidation>
    <dataValidation type="list" allowBlank="1" showInputMessage="1" showErrorMessage="1" sqref="K2:K9" xr:uid="{00000000-0002-0000-1200-000004000000}">
      <formula1>Country_list</formula1>
    </dataValidation>
    <dataValidation type="list" allowBlank="1" showInputMessage="1" showErrorMessage="1" sqref="E3:E9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9" xr:uid="{00000000-0002-0000-1200-000009000000}">
      <formula1>Industry_Sector</formula1>
    </dataValidation>
    <dataValidation type="list" allowBlank="1" showInputMessage="1" showErrorMessage="1" sqref="L2:L9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I2:I9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65"/>
  <sheetViews>
    <sheetView rightToLeft="1" zoomScale="70" zoomScaleNormal="70" workbookViewId="0"/>
  </sheetViews>
  <sheetFormatPr defaultColWidth="0" defaultRowHeight="14.25" zeroHeight="1"/>
  <cols>
    <col min="1" max="26" width="11.625" customWidth="1"/>
  </cols>
  <sheetData>
    <row r="1" spans="1:26" ht="66.75" customHeight="1">
      <c r="A1" s="12" t="s">
        <v>0</v>
      </c>
      <c r="B1" s="12" t="s">
        <v>1</v>
      </c>
      <c r="C1" s="12" t="s">
        <v>204</v>
      </c>
      <c r="D1" s="12" t="s">
        <v>205</v>
      </c>
      <c r="E1" s="12" t="s">
        <v>206</v>
      </c>
      <c r="F1" s="12" t="s">
        <v>207</v>
      </c>
      <c r="G1" s="12" t="s">
        <v>208</v>
      </c>
      <c r="H1" s="12" t="s">
        <v>209</v>
      </c>
      <c r="I1" s="12" t="s">
        <v>5</v>
      </c>
      <c r="J1" s="12" t="s">
        <v>842</v>
      </c>
      <c r="K1" s="12" t="s">
        <v>6</v>
      </c>
      <c r="L1" s="12" t="s">
        <v>1131</v>
      </c>
      <c r="M1" s="12" t="s">
        <v>1132</v>
      </c>
      <c r="N1" s="12" t="s">
        <v>7</v>
      </c>
      <c r="O1" s="12" t="s">
        <v>130</v>
      </c>
      <c r="P1" s="158" t="s">
        <v>162</v>
      </c>
      <c r="Q1" s="12" t="s">
        <v>11</v>
      </c>
      <c r="R1" s="12" t="s">
        <v>155</v>
      </c>
      <c r="S1" s="12" t="s">
        <v>156</v>
      </c>
      <c r="T1" s="155" t="s">
        <v>139</v>
      </c>
      <c r="U1" s="133" t="s">
        <v>18</v>
      </c>
      <c r="V1" s="91" t="s">
        <v>2126</v>
      </c>
      <c r="W1" s="12" t="s">
        <v>20</v>
      </c>
      <c r="X1" s="139" t="s">
        <v>1134</v>
      </c>
      <c r="Y1" s="139" t="s">
        <v>24</v>
      </c>
      <c r="Z1" s="139" t="s">
        <v>25</v>
      </c>
    </row>
    <row r="2" spans="1:26">
      <c r="A2" s="13">
        <v>382</v>
      </c>
      <c r="B2" s="13">
        <v>382</v>
      </c>
      <c r="C2" s="13" t="s">
        <v>2127</v>
      </c>
      <c r="D2" s="13" t="s">
        <v>2128</v>
      </c>
      <c r="E2" s="13" t="s">
        <v>33</v>
      </c>
      <c r="F2" s="13" t="s">
        <v>2129</v>
      </c>
      <c r="G2" s="13">
        <v>603978741</v>
      </c>
      <c r="H2" s="13" t="s">
        <v>33</v>
      </c>
      <c r="I2" s="2" t="s">
        <v>1036</v>
      </c>
      <c r="J2" s="13" t="s">
        <v>844</v>
      </c>
      <c r="K2" s="11" t="s">
        <v>85</v>
      </c>
      <c r="L2" s="13" t="s">
        <v>2130</v>
      </c>
      <c r="M2" s="13" t="s">
        <v>2131</v>
      </c>
      <c r="N2" s="11" t="s">
        <v>30</v>
      </c>
      <c r="O2" s="13" t="s">
        <v>144</v>
      </c>
      <c r="P2" s="159" t="s">
        <v>2132</v>
      </c>
      <c r="Q2" s="11" t="s">
        <v>89</v>
      </c>
      <c r="R2" s="13" t="s">
        <v>905</v>
      </c>
      <c r="S2" s="13" t="s">
        <v>187</v>
      </c>
      <c r="T2" s="156" t="s">
        <v>2133</v>
      </c>
      <c r="U2" s="149">
        <v>3.6469999999999998</v>
      </c>
      <c r="V2" s="127">
        <v>1610.49</v>
      </c>
      <c r="W2" s="127">
        <v>5873.4560000000001</v>
      </c>
      <c r="X2" s="148">
        <v>0</v>
      </c>
      <c r="Y2" s="148">
        <v>1.32926939524042E-2</v>
      </c>
      <c r="Z2" s="148">
        <v>2.0433696138016199E-3</v>
      </c>
    </row>
    <row r="3" spans="1:26">
      <c r="A3" s="13">
        <v>382</v>
      </c>
      <c r="B3" s="13">
        <v>382</v>
      </c>
      <c r="C3" s="13" t="s">
        <v>2134</v>
      </c>
      <c r="D3" s="2" t="s">
        <v>2135</v>
      </c>
      <c r="E3" s="13" t="s">
        <v>181</v>
      </c>
      <c r="F3" s="13" t="s">
        <v>2136</v>
      </c>
      <c r="G3" s="13">
        <v>27940028</v>
      </c>
      <c r="H3" s="13" t="s">
        <v>33</v>
      </c>
      <c r="I3" s="2" t="s">
        <v>1036</v>
      </c>
      <c r="J3" s="13" t="s">
        <v>858</v>
      </c>
      <c r="K3" s="11" t="s">
        <v>30</v>
      </c>
      <c r="L3" s="13" t="s">
        <v>232</v>
      </c>
      <c r="M3" s="13" t="s">
        <v>2137</v>
      </c>
      <c r="N3" s="11" t="s">
        <v>30</v>
      </c>
      <c r="O3" s="13" t="s">
        <v>144</v>
      </c>
      <c r="P3" s="159" t="s">
        <v>2138</v>
      </c>
      <c r="Q3" s="11" t="s">
        <v>34</v>
      </c>
      <c r="R3" s="13" t="s">
        <v>905</v>
      </c>
      <c r="S3" s="13" t="s">
        <v>187</v>
      </c>
      <c r="T3" s="160" t="s">
        <v>1312</v>
      </c>
      <c r="U3" s="149">
        <v>1</v>
      </c>
      <c r="V3" s="127">
        <v>3819.4059999999999</v>
      </c>
      <c r="W3" s="127">
        <v>3819.4059999999999</v>
      </c>
      <c r="X3" s="161">
        <v>0</v>
      </c>
      <c r="Y3" s="148">
        <v>8.6440063676939006E-3</v>
      </c>
      <c r="Z3" s="148">
        <v>1.32876751819437E-3</v>
      </c>
    </row>
    <row r="4" spans="1:26">
      <c r="A4" s="13">
        <v>382</v>
      </c>
      <c r="B4" s="13">
        <v>382</v>
      </c>
      <c r="C4" s="13" t="s">
        <v>2139</v>
      </c>
      <c r="D4" s="2" t="s">
        <v>2140</v>
      </c>
      <c r="E4" s="13" t="s">
        <v>1322</v>
      </c>
      <c r="F4" s="13" t="s">
        <v>2141</v>
      </c>
      <c r="G4" s="13">
        <v>27940008</v>
      </c>
      <c r="H4" s="13" t="s">
        <v>33</v>
      </c>
      <c r="I4" s="2" t="s">
        <v>1036</v>
      </c>
      <c r="J4" s="13" t="s">
        <v>849</v>
      </c>
      <c r="K4" s="11" t="s">
        <v>30</v>
      </c>
      <c r="L4" s="13" t="s">
        <v>30</v>
      </c>
      <c r="M4" s="13" t="s">
        <v>2142</v>
      </c>
      <c r="N4" s="11" t="s">
        <v>30</v>
      </c>
      <c r="O4" s="13" t="s">
        <v>144</v>
      </c>
      <c r="P4" s="159" t="s">
        <v>2143</v>
      </c>
      <c r="Q4" s="11" t="s">
        <v>89</v>
      </c>
      <c r="R4" s="13" t="s">
        <v>903</v>
      </c>
      <c r="S4" s="13" t="s">
        <v>906</v>
      </c>
      <c r="T4" s="156" t="s">
        <v>2144</v>
      </c>
      <c r="U4" s="149">
        <v>3.6469999999999998</v>
      </c>
      <c r="V4" s="127">
        <v>2581.373</v>
      </c>
      <c r="W4" s="127">
        <v>9414.2669999999998</v>
      </c>
      <c r="X4" s="161">
        <v>1.1908E-2</v>
      </c>
      <c r="Y4" s="148">
        <v>2.1306189536603602E-2</v>
      </c>
      <c r="Z4" s="148">
        <v>3.2752142222547301E-3</v>
      </c>
    </row>
    <row r="5" spans="1:26">
      <c r="A5" s="13">
        <v>382</v>
      </c>
      <c r="B5" s="13">
        <v>382</v>
      </c>
      <c r="C5" s="13" t="s">
        <v>2145</v>
      </c>
      <c r="D5" s="2" t="s">
        <v>2146</v>
      </c>
      <c r="E5" s="13" t="s">
        <v>1322</v>
      </c>
      <c r="F5" s="13" t="s">
        <v>2147</v>
      </c>
      <c r="G5" s="13">
        <v>620120592</v>
      </c>
      <c r="H5" s="13" t="s">
        <v>33</v>
      </c>
      <c r="I5" s="2" t="s">
        <v>1036</v>
      </c>
      <c r="J5" s="13" t="s">
        <v>844</v>
      </c>
      <c r="K5" s="11" t="s">
        <v>30</v>
      </c>
      <c r="L5" s="13" t="s">
        <v>30</v>
      </c>
      <c r="M5" s="13" t="s">
        <v>2148</v>
      </c>
      <c r="N5" s="11" t="s">
        <v>30</v>
      </c>
      <c r="O5" s="13" t="s">
        <v>144</v>
      </c>
      <c r="P5" s="159" t="s">
        <v>2149</v>
      </c>
      <c r="Q5" s="11" t="s">
        <v>89</v>
      </c>
      <c r="R5" s="13" t="s">
        <v>903</v>
      </c>
      <c r="S5" s="13" t="s">
        <v>906</v>
      </c>
      <c r="T5" s="156" t="s">
        <v>145</v>
      </c>
      <c r="U5" s="149">
        <v>3.6469999999999998</v>
      </c>
      <c r="V5" s="127">
        <v>1808.9010000000001</v>
      </c>
      <c r="W5" s="127">
        <v>6597.0609999999997</v>
      </c>
      <c r="X5" s="161">
        <v>0</v>
      </c>
      <c r="Y5" s="148">
        <v>1.4930341966531599E-2</v>
      </c>
      <c r="Z5" s="148">
        <v>2.2951109238891201E-3</v>
      </c>
    </row>
    <row r="6" spans="1:26">
      <c r="A6" s="13">
        <v>382</v>
      </c>
      <c r="B6" s="13">
        <v>382</v>
      </c>
      <c r="C6" s="13" t="s">
        <v>2150</v>
      </c>
      <c r="D6" s="2" t="s">
        <v>2151</v>
      </c>
      <c r="E6" s="13" t="s">
        <v>325</v>
      </c>
      <c r="F6" s="13" t="s">
        <v>2152</v>
      </c>
      <c r="G6" s="13">
        <v>27940001</v>
      </c>
      <c r="H6" s="13" t="s">
        <v>33</v>
      </c>
      <c r="I6" s="2" t="s">
        <v>1036</v>
      </c>
      <c r="J6" s="13" t="s">
        <v>856</v>
      </c>
      <c r="K6" s="11" t="s">
        <v>30</v>
      </c>
      <c r="L6" s="13" t="s">
        <v>232</v>
      </c>
      <c r="M6" s="13" t="s">
        <v>2153</v>
      </c>
      <c r="N6" s="11" t="s">
        <v>30</v>
      </c>
      <c r="O6" s="13" t="s">
        <v>144</v>
      </c>
      <c r="P6" s="159" t="s">
        <v>2154</v>
      </c>
      <c r="Q6" s="11" t="s">
        <v>34</v>
      </c>
      <c r="R6" s="13" t="s">
        <v>903</v>
      </c>
      <c r="S6" s="13" t="s">
        <v>906</v>
      </c>
      <c r="T6" s="156" t="s">
        <v>2155</v>
      </c>
      <c r="U6" s="149">
        <v>1</v>
      </c>
      <c r="V6" s="127">
        <v>5540.8370000000004</v>
      </c>
      <c r="W6" s="127">
        <v>5540.8370000000004</v>
      </c>
      <c r="X6" s="148">
        <v>0</v>
      </c>
      <c r="Y6" s="148">
        <v>1.25399170762028E-2</v>
      </c>
      <c r="Z6" s="148">
        <v>1.9276518066881701E-3</v>
      </c>
    </row>
    <row r="7" spans="1:26">
      <c r="A7" s="13">
        <v>382</v>
      </c>
      <c r="B7" s="13">
        <v>382</v>
      </c>
      <c r="C7" s="13" t="s">
        <v>2150</v>
      </c>
      <c r="D7" s="2" t="s">
        <v>2151</v>
      </c>
      <c r="E7" s="13" t="s">
        <v>325</v>
      </c>
      <c r="F7" s="13" t="s">
        <v>2156</v>
      </c>
      <c r="G7" s="13">
        <v>27940027</v>
      </c>
      <c r="H7" s="13" t="s">
        <v>33</v>
      </c>
      <c r="I7" s="2" t="s">
        <v>1036</v>
      </c>
      <c r="J7" s="13" t="s">
        <v>856</v>
      </c>
      <c r="K7" s="11" t="s">
        <v>30</v>
      </c>
      <c r="L7" s="13" t="s">
        <v>232</v>
      </c>
      <c r="M7" s="13" t="s">
        <v>2153</v>
      </c>
      <c r="N7" s="11" t="s">
        <v>30</v>
      </c>
      <c r="O7" s="13" t="s">
        <v>144</v>
      </c>
      <c r="P7" s="159" t="s">
        <v>2157</v>
      </c>
      <c r="Q7" s="11" t="s">
        <v>34</v>
      </c>
      <c r="R7" s="13" t="s">
        <v>903</v>
      </c>
      <c r="S7" s="13" t="s">
        <v>906</v>
      </c>
      <c r="T7" s="156" t="s">
        <v>2158</v>
      </c>
      <c r="U7" s="149">
        <v>1</v>
      </c>
      <c r="V7" s="127">
        <v>3729.9349999999999</v>
      </c>
      <c r="W7" s="127">
        <v>3729.9349999999999</v>
      </c>
      <c r="X7" s="148">
        <v>0</v>
      </c>
      <c r="Y7" s="148">
        <v>8.4415169973483008E-3</v>
      </c>
      <c r="Z7" s="148">
        <v>1.2976405978000901E-3</v>
      </c>
    </row>
    <row r="8" spans="1:26">
      <c r="A8" s="13">
        <v>382</v>
      </c>
      <c r="B8" s="13">
        <v>382</v>
      </c>
      <c r="C8" s="13" t="s">
        <v>2159</v>
      </c>
      <c r="D8" s="2" t="s">
        <v>2160</v>
      </c>
      <c r="E8" s="13" t="s">
        <v>325</v>
      </c>
      <c r="F8" s="13" t="s">
        <v>2161</v>
      </c>
      <c r="G8" s="13">
        <v>27940011</v>
      </c>
      <c r="H8" s="13" t="s">
        <v>33</v>
      </c>
      <c r="I8" s="2" t="s">
        <v>1036</v>
      </c>
      <c r="J8" s="13" t="s">
        <v>862</v>
      </c>
      <c r="K8" s="11" t="s">
        <v>30</v>
      </c>
      <c r="L8" s="13" t="s">
        <v>232</v>
      </c>
      <c r="M8" s="13" t="s">
        <v>2162</v>
      </c>
      <c r="N8" s="11" t="s">
        <v>30</v>
      </c>
      <c r="O8" s="13" t="s">
        <v>144</v>
      </c>
      <c r="P8" s="159" t="s">
        <v>2163</v>
      </c>
      <c r="Q8" s="11" t="s">
        <v>89</v>
      </c>
      <c r="R8" s="13" t="s">
        <v>903</v>
      </c>
      <c r="S8" s="13" t="s">
        <v>906</v>
      </c>
      <c r="T8" s="156" t="s">
        <v>1312</v>
      </c>
      <c r="U8" s="149">
        <v>3.6469999999999998</v>
      </c>
      <c r="V8" s="127">
        <v>2399.1759999999999</v>
      </c>
      <c r="W8" s="127">
        <v>8749.7950000000001</v>
      </c>
      <c r="X8" s="148">
        <v>0</v>
      </c>
      <c r="Y8" s="148">
        <v>1.9802368198847599E-2</v>
      </c>
      <c r="Z8" s="148">
        <v>3.0440449169837499E-3</v>
      </c>
    </row>
    <row r="9" spans="1:26">
      <c r="A9" s="13">
        <v>382</v>
      </c>
      <c r="B9" s="13">
        <v>382</v>
      </c>
      <c r="C9" s="13" t="s">
        <v>2164</v>
      </c>
      <c r="D9" s="2" t="s">
        <v>2165</v>
      </c>
      <c r="E9" s="13" t="s">
        <v>1322</v>
      </c>
      <c r="F9" s="13" t="s">
        <v>2166</v>
      </c>
      <c r="G9" s="13">
        <v>27940019</v>
      </c>
      <c r="H9" s="13" t="s">
        <v>33</v>
      </c>
      <c r="I9" s="2" t="s">
        <v>1038</v>
      </c>
      <c r="J9" s="13" t="s">
        <v>860</v>
      </c>
      <c r="K9" s="11" t="s">
        <v>85</v>
      </c>
      <c r="L9" s="13" t="s">
        <v>30</v>
      </c>
      <c r="M9" s="13" t="s">
        <v>2167</v>
      </c>
      <c r="N9" s="11" t="s">
        <v>310</v>
      </c>
      <c r="O9" s="13" t="s">
        <v>144</v>
      </c>
      <c r="P9" s="159" t="s">
        <v>2168</v>
      </c>
      <c r="Q9" s="11" t="s">
        <v>34</v>
      </c>
      <c r="R9" s="13" t="s">
        <v>905</v>
      </c>
      <c r="S9" s="13" t="s">
        <v>187</v>
      </c>
      <c r="T9" s="156" t="s">
        <v>2169</v>
      </c>
      <c r="U9" s="149">
        <v>1</v>
      </c>
      <c r="V9" s="127">
        <v>5366.6469999999999</v>
      </c>
      <c r="W9" s="127">
        <v>5366.6469999999999</v>
      </c>
      <c r="X9" s="148">
        <v>0</v>
      </c>
      <c r="Y9" s="148">
        <v>1.21456926321336E-2</v>
      </c>
      <c r="Z9" s="148">
        <v>1.86705112988682E-3</v>
      </c>
    </row>
    <row r="10" spans="1:26">
      <c r="A10" s="13">
        <v>382</v>
      </c>
      <c r="B10" s="13">
        <v>382</v>
      </c>
      <c r="C10" s="13" t="s">
        <v>2170</v>
      </c>
      <c r="D10" s="2" t="s">
        <v>2171</v>
      </c>
      <c r="E10" s="13" t="s">
        <v>33</v>
      </c>
      <c r="F10" s="13" t="s">
        <v>2172</v>
      </c>
      <c r="G10" s="13">
        <v>62006168</v>
      </c>
      <c r="H10" s="13" t="s">
        <v>33</v>
      </c>
      <c r="I10" s="2" t="s">
        <v>1036</v>
      </c>
      <c r="J10" s="13" t="s">
        <v>849</v>
      </c>
      <c r="K10" s="11" t="s">
        <v>30</v>
      </c>
      <c r="L10" s="13" t="s">
        <v>232</v>
      </c>
      <c r="M10" s="13" t="s">
        <v>2173</v>
      </c>
      <c r="N10" s="11" t="s">
        <v>30</v>
      </c>
      <c r="O10" s="13" t="s">
        <v>144</v>
      </c>
      <c r="P10" s="159" t="s">
        <v>2174</v>
      </c>
      <c r="Q10" s="11" t="s">
        <v>89</v>
      </c>
      <c r="R10" s="13" t="s">
        <v>903</v>
      </c>
      <c r="S10" s="13" t="s">
        <v>906</v>
      </c>
      <c r="T10" s="156" t="s">
        <v>2144</v>
      </c>
      <c r="U10" s="149">
        <v>3.6469999999999998</v>
      </c>
      <c r="V10" s="127">
        <v>403.43599999999998</v>
      </c>
      <c r="W10" s="127">
        <v>1471.33</v>
      </c>
      <c r="X10" s="148">
        <v>0</v>
      </c>
      <c r="Y10" s="148">
        <v>3.32988520954422E-3</v>
      </c>
      <c r="Z10" s="148">
        <v>5.1187413770249703E-4</v>
      </c>
    </row>
    <row r="11" spans="1:26">
      <c r="A11" s="13">
        <v>382</v>
      </c>
      <c r="B11" s="13">
        <v>382</v>
      </c>
      <c r="C11" s="13" t="s">
        <v>2175</v>
      </c>
      <c r="D11" s="2" t="s">
        <v>2176</v>
      </c>
      <c r="E11" s="13" t="s">
        <v>1322</v>
      </c>
      <c r="F11" s="13" t="s">
        <v>2177</v>
      </c>
      <c r="G11" s="13">
        <v>27940015</v>
      </c>
      <c r="H11" s="13" t="s">
        <v>33</v>
      </c>
      <c r="I11" s="2" t="s">
        <v>1036</v>
      </c>
      <c r="J11" s="13" t="s">
        <v>860</v>
      </c>
      <c r="K11" s="11" t="s">
        <v>30</v>
      </c>
      <c r="L11" s="13" t="s">
        <v>232</v>
      </c>
      <c r="M11" s="13" t="s">
        <v>2178</v>
      </c>
      <c r="N11" s="11" t="s">
        <v>30</v>
      </c>
      <c r="O11" s="13" t="s">
        <v>144</v>
      </c>
      <c r="P11" s="159" t="s">
        <v>2179</v>
      </c>
      <c r="Q11" s="11" t="s">
        <v>34</v>
      </c>
      <c r="R11" s="13" t="s">
        <v>905</v>
      </c>
      <c r="S11" s="13" t="s">
        <v>187</v>
      </c>
      <c r="T11" s="156" t="s">
        <v>2180</v>
      </c>
      <c r="U11" s="149">
        <v>1</v>
      </c>
      <c r="V11" s="127">
        <v>4084.1559999999999</v>
      </c>
      <c r="W11" s="127">
        <v>4084.1559999999999</v>
      </c>
      <c r="X11" s="148">
        <v>0</v>
      </c>
      <c r="Y11" s="148">
        <v>9.2431835717590206E-3</v>
      </c>
      <c r="Z11" s="148">
        <v>1.42087379074177E-3</v>
      </c>
    </row>
    <row r="12" spans="1:26">
      <c r="A12" s="13">
        <v>382</v>
      </c>
      <c r="B12" s="13">
        <v>382</v>
      </c>
      <c r="C12" s="13" t="s">
        <v>2181</v>
      </c>
      <c r="D12" s="2" t="s">
        <v>2182</v>
      </c>
      <c r="E12" s="13" t="s">
        <v>324</v>
      </c>
      <c r="F12" s="13" t="s">
        <v>2183</v>
      </c>
      <c r="G12" s="13">
        <v>27940003</v>
      </c>
      <c r="H12" s="13" t="s">
        <v>33</v>
      </c>
      <c r="I12" s="2" t="s">
        <v>1036</v>
      </c>
      <c r="J12" s="13" t="s">
        <v>858</v>
      </c>
      <c r="K12" s="11" t="s">
        <v>30</v>
      </c>
      <c r="L12" s="13" t="s">
        <v>30</v>
      </c>
      <c r="M12" s="13" t="s">
        <v>2184</v>
      </c>
      <c r="N12" s="11" t="s">
        <v>30</v>
      </c>
      <c r="O12" s="13" t="s">
        <v>144</v>
      </c>
      <c r="P12" s="159" t="s">
        <v>2185</v>
      </c>
      <c r="Q12" s="11" t="s">
        <v>34</v>
      </c>
      <c r="R12" s="13" t="s">
        <v>905</v>
      </c>
      <c r="S12" s="13" t="s">
        <v>187</v>
      </c>
      <c r="T12" s="156" t="s">
        <v>2144</v>
      </c>
      <c r="U12" s="149">
        <v>1</v>
      </c>
      <c r="V12" s="127">
        <v>6100.42</v>
      </c>
      <c r="W12" s="127">
        <v>6100.42</v>
      </c>
      <c r="X12" s="148">
        <v>2.954E-3</v>
      </c>
      <c r="Y12" s="148">
        <v>1.3806353877469301E-2</v>
      </c>
      <c r="Z12" s="148">
        <v>2.1223300627868798E-3</v>
      </c>
    </row>
    <row r="13" spans="1:26">
      <c r="A13" s="13">
        <v>382</v>
      </c>
      <c r="B13" s="13">
        <v>382</v>
      </c>
      <c r="C13" s="13" t="s">
        <v>2186</v>
      </c>
      <c r="D13" s="2" t="s">
        <v>2187</v>
      </c>
      <c r="E13" s="13" t="s">
        <v>1322</v>
      </c>
      <c r="F13" s="13" t="s">
        <v>2188</v>
      </c>
      <c r="G13" s="13">
        <v>32623</v>
      </c>
      <c r="H13" s="13" t="s">
        <v>33</v>
      </c>
      <c r="I13" s="2" t="s">
        <v>1036</v>
      </c>
      <c r="J13" s="13" t="s">
        <v>849</v>
      </c>
      <c r="K13" s="11" t="s">
        <v>30</v>
      </c>
      <c r="L13" s="13" t="s">
        <v>30</v>
      </c>
      <c r="M13" s="13" t="s">
        <v>2189</v>
      </c>
      <c r="N13" s="11" t="s">
        <v>30</v>
      </c>
      <c r="O13" s="13" t="s">
        <v>144</v>
      </c>
      <c r="P13" s="159" t="s">
        <v>2190</v>
      </c>
      <c r="Q13" s="11" t="s">
        <v>34</v>
      </c>
      <c r="R13" s="13" t="s">
        <v>903</v>
      </c>
      <c r="S13" s="13" t="s">
        <v>906</v>
      </c>
      <c r="T13" s="156" t="s">
        <v>2133</v>
      </c>
      <c r="U13" s="149">
        <v>1</v>
      </c>
      <c r="V13" s="127">
        <v>1.131</v>
      </c>
      <c r="W13" s="127">
        <v>1.131</v>
      </c>
      <c r="X13" s="148">
        <v>0</v>
      </c>
      <c r="Y13" s="148">
        <v>2.5590155601302602E-6</v>
      </c>
      <c r="Z13" s="148">
        <v>3.9337508676109601E-7</v>
      </c>
    </row>
    <row r="14" spans="1:26">
      <c r="A14" s="13">
        <v>382</v>
      </c>
      <c r="B14" s="13">
        <v>382</v>
      </c>
      <c r="C14" s="13" t="s">
        <v>2191</v>
      </c>
      <c r="D14" s="2" t="s">
        <v>2192</v>
      </c>
      <c r="E14" s="13" t="s">
        <v>1322</v>
      </c>
      <c r="F14" s="13" t="s">
        <v>2193</v>
      </c>
      <c r="G14" s="13">
        <v>34934</v>
      </c>
      <c r="H14" s="13" t="s">
        <v>33</v>
      </c>
      <c r="I14" s="2" t="s">
        <v>1036</v>
      </c>
      <c r="J14" s="13" t="s">
        <v>860</v>
      </c>
      <c r="K14" s="11" t="s">
        <v>30</v>
      </c>
      <c r="L14" s="13" t="s">
        <v>232</v>
      </c>
      <c r="M14" s="13" t="s">
        <v>2194</v>
      </c>
      <c r="N14" s="11" t="s">
        <v>30</v>
      </c>
      <c r="O14" s="13" t="s">
        <v>144</v>
      </c>
      <c r="P14" s="159" t="s">
        <v>2190</v>
      </c>
      <c r="Q14" s="11" t="s">
        <v>34</v>
      </c>
      <c r="R14" s="13" t="s">
        <v>905</v>
      </c>
      <c r="S14" s="13" t="s">
        <v>187</v>
      </c>
      <c r="T14" s="156" t="s">
        <v>1312</v>
      </c>
      <c r="U14" s="149">
        <v>1</v>
      </c>
      <c r="V14" s="127">
        <v>21167.241000000002</v>
      </c>
      <c r="W14" s="127">
        <v>21167.241000000002</v>
      </c>
      <c r="X14" s="148">
        <v>0</v>
      </c>
      <c r="Y14" s="148">
        <v>4.7905293541375599E-2</v>
      </c>
      <c r="Z14" s="148">
        <v>7.3640619059757396E-3</v>
      </c>
    </row>
    <row r="15" spans="1:26">
      <c r="A15" s="13">
        <v>382</v>
      </c>
      <c r="B15" s="13">
        <v>382</v>
      </c>
      <c r="C15" s="13" t="s">
        <v>2195</v>
      </c>
      <c r="D15" s="2" t="s">
        <v>2192</v>
      </c>
      <c r="E15" s="13" t="s">
        <v>1322</v>
      </c>
      <c r="F15" s="13" t="s">
        <v>2195</v>
      </c>
      <c r="G15" s="13">
        <v>27940018</v>
      </c>
      <c r="H15" s="13" t="s">
        <v>33</v>
      </c>
      <c r="I15" s="2" t="s">
        <v>1036</v>
      </c>
      <c r="J15" s="13" t="s">
        <v>850</v>
      </c>
      <c r="K15" s="11" t="s">
        <v>30</v>
      </c>
      <c r="L15" s="13" t="s">
        <v>30</v>
      </c>
      <c r="M15" s="13" t="s">
        <v>2196</v>
      </c>
      <c r="N15" s="11" t="s">
        <v>30</v>
      </c>
      <c r="O15" s="13" t="s">
        <v>144</v>
      </c>
      <c r="P15" s="159" t="s">
        <v>2197</v>
      </c>
      <c r="Q15" s="11" t="s">
        <v>34</v>
      </c>
      <c r="R15" s="13" t="s">
        <v>905</v>
      </c>
      <c r="S15" s="13" t="s">
        <v>187</v>
      </c>
      <c r="T15" s="156" t="s">
        <v>2198</v>
      </c>
      <c r="U15" s="149">
        <v>1</v>
      </c>
      <c r="V15" s="127">
        <v>6475.4660000000003</v>
      </c>
      <c r="W15" s="127">
        <v>6475.4660000000003</v>
      </c>
      <c r="X15" s="148">
        <v>0</v>
      </c>
      <c r="Y15" s="148">
        <v>1.4655150644769001E-2</v>
      </c>
      <c r="Z15" s="148">
        <v>2.2528081681884998E-3</v>
      </c>
    </row>
    <row r="16" spans="1:26">
      <c r="A16" s="13">
        <v>382</v>
      </c>
      <c r="B16" s="13">
        <v>382</v>
      </c>
      <c r="C16" s="13" t="s">
        <v>2199</v>
      </c>
      <c r="D16" s="2" t="s">
        <v>2200</v>
      </c>
      <c r="E16" s="13" t="s">
        <v>33</v>
      </c>
      <c r="F16" s="13" t="s">
        <v>2201</v>
      </c>
      <c r="G16" s="13">
        <v>27940035</v>
      </c>
      <c r="H16" s="13" t="s">
        <v>33</v>
      </c>
      <c r="I16" s="2" t="s">
        <v>1036</v>
      </c>
      <c r="J16" s="13" t="s">
        <v>578</v>
      </c>
      <c r="K16" s="11" t="s">
        <v>30</v>
      </c>
      <c r="L16" s="13"/>
      <c r="M16" s="13"/>
      <c r="N16" s="11"/>
      <c r="O16" s="13" t="s">
        <v>144</v>
      </c>
      <c r="P16" s="159" t="s">
        <v>2202</v>
      </c>
      <c r="Q16" s="11" t="s">
        <v>34</v>
      </c>
      <c r="R16" s="13" t="s">
        <v>86</v>
      </c>
      <c r="S16" s="13"/>
      <c r="T16" s="156" t="s">
        <v>1312</v>
      </c>
      <c r="U16" s="149">
        <v>1</v>
      </c>
      <c r="V16" s="127">
        <v>2366.6060000000002</v>
      </c>
      <c r="W16" s="127">
        <v>2366.6060000000002</v>
      </c>
      <c r="X16" s="148">
        <v>0</v>
      </c>
      <c r="Y16" s="148">
        <v>5.3560573699643404E-3</v>
      </c>
      <c r="Z16" s="148">
        <v>8.2333986765593698E-4</v>
      </c>
    </row>
    <row r="17" spans="1:26">
      <c r="A17" s="13">
        <v>382</v>
      </c>
      <c r="B17" s="13">
        <v>382</v>
      </c>
      <c r="C17" s="13" t="s">
        <v>2175</v>
      </c>
      <c r="D17" s="2" t="s">
        <v>2176</v>
      </c>
      <c r="E17" s="13" t="s">
        <v>1322</v>
      </c>
      <c r="F17" s="13" t="s">
        <v>2201</v>
      </c>
      <c r="G17" s="13">
        <v>35170</v>
      </c>
      <c r="H17" s="13" t="s">
        <v>33</v>
      </c>
      <c r="I17" s="2" t="s">
        <v>1036</v>
      </c>
      <c r="J17" s="13" t="s">
        <v>860</v>
      </c>
      <c r="K17" s="11" t="s">
        <v>30</v>
      </c>
      <c r="L17" s="13" t="s">
        <v>232</v>
      </c>
      <c r="M17" s="13" t="s">
        <v>2178</v>
      </c>
      <c r="N17" s="11" t="s">
        <v>30</v>
      </c>
      <c r="O17" s="13" t="s">
        <v>144</v>
      </c>
      <c r="P17" s="159" t="s">
        <v>2190</v>
      </c>
      <c r="Q17" s="11" t="s">
        <v>34</v>
      </c>
      <c r="R17" s="13" t="s">
        <v>905</v>
      </c>
      <c r="S17" s="13" t="s">
        <v>187</v>
      </c>
      <c r="T17" s="156" t="s">
        <v>1312</v>
      </c>
      <c r="U17" s="149">
        <v>1</v>
      </c>
      <c r="V17" s="127">
        <v>14428.537</v>
      </c>
      <c r="W17" s="127">
        <v>14428.537</v>
      </c>
      <c r="X17" s="148">
        <v>0</v>
      </c>
      <c r="Y17" s="148">
        <v>3.2654389374342598E-2</v>
      </c>
      <c r="Z17" s="148">
        <v>5.0196737579074301E-3</v>
      </c>
    </row>
    <row r="18" spans="1:26">
      <c r="A18" s="13">
        <v>382</v>
      </c>
      <c r="B18" s="13">
        <v>382</v>
      </c>
      <c r="C18" s="13" t="s">
        <v>2175</v>
      </c>
      <c r="D18" s="2" t="s">
        <v>2203</v>
      </c>
      <c r="E18" s="13" t="s">
        <v>1322</v>
      </c>
      <c r="F18" s="13" t="s">
        <v>2204</v>
      </c>
      <c r="G18" s="13">
        <v>36996</v>
      </c>
      <c r="H18" s="13" t="s">
        <v>33</v>
      </c>
      <c r="I18" s="2" t="s">
        <v>1036</v>
      </c>
      <c r="J18" s="13" t="s">
        <v>860</v>
      </c>
      <c r="K18" s="11" t="s">
        <v>30</v>
      </c>
      <c r="L18" s="13" t="s">
        <v>232</v>
      </c>
      <c r="M18" s="13" t="s">
        <v>2178</v>
      </c>
      <c r="N18" s="11" t="s">
        <v>30</v>
      </c>
      <c r="O18" s="13" t="s">
        <v>144</v>
      </c>
      <c r="P18" s="159" t="s">
        <v>2205</v>
      </c>
      <c r="Q18" s="11" t="s">
        <v>34</v>
      </c>
      <c r="R18" s="13" t="s">
        <v>905</v>
      </c>
      <c r="S18" s="13" t="s">
        <v>187</v>
      </c>
      <c r="T18" s="156" t="s">
        <v>2180</v>
      </c>
      <c r="U18" s="149">
        <v>1</v>
      </c>
      <c r="V18" s="127">
        <v>8928.2099999999991</v>
      </c>
      <c r="W18" s="127">
        <v>8928.2099999999991</v>
      </c>
      <c r="X18" s="148">
        <v>0</v>
      </c>
      <c r="Y18" s="148">
        <v>2.0206153798198598E-2</v>
      </c>
      <c r="Z18" s="148">
        <v>3.1061153465865702E-3</v>
      </c>
    </row>
    <row r="19" spans="1:26">
      <c r="A19" s="13">
        <v>382</v>
      </c>
      <c r="B19" s="13">
        <v>382</v>
      </c>
      <c r="C19" s="13" t="s">
        <v>2206</v>
      </c>
      <c r="D19" s="2" t="s">
        <v>2207</v>
      </c>
      <c r="E19" s="13" t="s">
        <v>1322</v>
      </c>
      <c r="F19" s="13" t="s">
        <v>2208</v>
      </c>
      <c r="G19" s="13">
        <v>18978</v>
      </c>
      <c r="H19" s="13" t="s">
        <v>33</v>
      </c>
      <c r="I19" s="2" t="s">
        <v>1036</v>
      </c>
      <c r="J19" s="13" t="s">
        <v>860</v>
      </c>
      <c r="K19" s="11" t="s">
        <v>30</v>
      </c>
      <c r="L19" s="13" t="s">
        <v>30</v>
      </c>
      <c r="M19" s="13" t="s">
        <v>2209</v>
      </c>
      <c r="N19" s="11" t="s">
        <v>30</v>
      </c>
      <c r="O19" s="13" t="s">
        <v>144</v>
      </c>
      <c r="P19" s="159" t="s">
        <v>2210</v>
      </c>
      <c r="Q19" s="11" t="s">
        <v>34</v>
      </c>
      <c r="R19" s="13" t="s">
        <v>903</v>
      </c>
      <c r="S19" s="13" t="s">
        <v>906</v>
      </c>
      <c r="T19" s="156" t="s">
        <v>2144</v>
      </c>
      <c r="U19" s="149">
        <v>1</v>
      </c>
      <c r="V19" s="127">
        <v>3321.2840000000001</v>
      </c>
      <c r="W19" s="127">
        <v>3321.2840000000001</v>
      </c>
      <c r="X19" s="148">
        <v>0</v>
      </c>
      <c r="Y19" s="148">
        <v>7.5166659887259402E-3</v>
      </c>
      <c r="Z19" s="148">
        <v>1.1554713388764E-3</v>
      </c>
    </row>
    <row r="20" spans="1:26">
      <c r="A20" s="2">
        <v>382</v>
      </c>
      <c r="B20" s="2">
        <v>382</v>
      </c>
      <c r="C20" s="2" t="s">
        <v>2211</v>
      </c>
      <c r="D20" s="2" t="s">
        <v>2212</v>
      </c>
      <c r="E20" s="13" t="s">
        <v>1322</v>
      </c>
      <c r="F20" s="2" t="s">
        <v>2213</v>
      </c>
      <c r="G20" s="2">
        <v>201400031</v>
      </c>
      <c r="H20" s="13" t="s">
        <v>33</v>
      </c>
      <c r="I20" s="2" t="s">
        <v>1036</v>
      </c>
      <c r="J20" s="13" t="s">
        <v>844</v>
      </c>
      <c r="K20" s="11" t="s">
        <v>30</v>
      </c>
      <c r="L20" s="13" t="s">
        <v>30</v>
      </c>
      <c r="M20" s="13" t="s">
        <v>2214</v>
      </c>
      <c r="N20" s="11" t="s">
        <v>30</v>
      </c>
      <c r="O20" s="13" t="s">
        <v>144</v>
      </c>
      <c r="P20" s="159" t="s">
        <v>2215</v>
      </c>
      <c r="Q20" s="2" t="s">
        <v>89</v>
      </c>
      <c r="R20" s="13" t="s">
        <v>903</v>
      </c>
      <c r="S20" s="13" t="s">
        <v>906</v>
      </c>
      <c r="T20" s="157" t="s">
        <v>2216</v>
      </c>
      <c r="U20" s="134">
        <v>3.6469999999999998</v>
      </c>
      <c r="V20" s="125">
        <v>3825.1129999999998</v>
      </c>
      <c r="W20" s="125">
        <v>13950.184999999999</v>
      </c>
      <c r="X20" s="140">
        <v>0</v>
      </c>
      <c r="Y20" s="140">
        <v>3.1571792557848498E-2</v>
      </c>
      <c r="Z20" s="140">
        <v>4.8532556152236896E-3</v>
      </c>
    </row>
    <row r="21" spans="1:26">
      <c r="A21" s="2">
        <v>382</v>
      </c>
      <c r="B21" s="2">
        <v>382</v>
      </c>
      <c r="C21" s="2" t="s">
        <v>2211</v>
      </c>
      <c r="D21" s="2" t="s">
        <v>2212</v>
      </c>
      <c r="E21" s="2" t="s">
        <v>1322</v>
      </c>
      <c r="F21" s="2" t="s">
        <v>2213</v>
      </c>
      <c r="G21" s="2">
        <v>27940032</v>
      </c>
      <c r="H21" s="2" t="s">
        <v>33</v>
      </c>
      <c r="I21" s="2" t="s">
        <v>1036</v>
      </c>
      <c r="J21" s="2" t="s">
        <v>844</v>
      </c>
      <c r="K21" s="2" t="s">
        <v>30</v>
      </c>
      <c r="L21" s="2" t="s">
        <v>30</v>
      </c>
      <c r="M21" s="2" t="s">
        <v>2214</v>
      </c>
      <c r="N21" s="2" t="s">
        <v>30</v>
      </c>
      <c r="O21" s="2" t="s">
        <v>144</v>
      </c>
      <c r="P21" s="159" t="s">
        <v>2217</v>
      </c>
      <c r="Q21" s="2" t="s">
        <v>89</v>
      </c>
      <c r="R21" s="2" t="s">
        <v>903</v>
      </c>
      <c r="S21" s="2" t="s">
        <v>906</v>
      </c>
      <c r="T21" s="157" t="s">
        <v>2144</v>
      </c>
      <c r="U21" s="134">
        <v>3.6469999999999998</v>
      </c>
      <c r="V21" s="125">
        <v>874.06799999999998</v>
      </c>
      <c r="W21" s="125">
        <v>3187.7249999999999</v>
      </c>
      <c r="X21" s="140">
        <v>0</v>
      </c>
      <c r="Y21" s="140">
        <v>7.2143990555539996E-3</v>
      </c>
      <c r="Z21" s="140">
        <v>1.1090064861752E-3</v>
      </c>
    </row>
    <row r="22" spans="1:26">
      <c r="A22" s="2">
        <v>382</v>
      </c>
      <c r="B22" s="2">
        <v>382</v>
      </c>
      <c r="C22" s="2" t="s">
        <v>2218</v>
      </c>
      <c r="D22" s="2" t="s">
        <v>2219</v>
      </c>
      <c r="E22" s="2" t="s">
        <v>33</v>
      </c>
      <c r="F22" s="2" t="s">
        <v>2220</v>
      </c>
      <c r="G22" s="2">
        <v>27940005</v>
      </c>
      <c r="H22" s="2" t="s">
        <v>33</v>
      </c>
      <c r="I22" s="2" t="s">
        <v>1038</v>
      </c>
      <c r="J22" s="2" t="s">
        <v>860</v>
      </c>
      <c r="K22" s="2" t="s">
        <v>30</v>
      </c>
      <c r="L22" s="2" t="s">
        <v>232</v>
      </c>
      <c r="M22" s="2" t="s">
        <v>2221</v>
      </c>
      <c r="N22" s="2" t="s">
        <v>30</v>
      </c>
      <c r="O22" s="2" t="s">
        <v>144</v>
      </c>
      <c r="P22" s="159" t="s">
        <v>2222</v>
      </c>
      <c r="Q22" s="2" t="s">
        <v>34</v>
      </c>
      <c r="R22" s="2" t="s">
        <v>905</v>
      </c>
      <c r="S22" s="2" t="s">
        <v>187</v>
      </c>
      <c r="T22" s="157" t="s">
        <v>1312</v>
      </c>
      <c r="U22" s="134">
        <v>1</v>
      </c>
      <c r="V22" s="125">
        <v>6370.7169999999996</v>
      </c>
      <c r="W22" s="125">
        <v>6370.7169999999996</v>
      </c>
      <c r="X22" s="140">
        <v>0</v>
      </c>
      <c r="Y22" s="140">
        <v>1.4418084434017601E-2</v>
      </c>
      <c r="Z22" s="140">
        <v>2.2163660524486201E-3</v>
      </c>
    </row>
    <row r="23" spans="1:26">
      <c r="A23" s="2">
        <v>382</v>
      </c>
      <c r="B23" s="2">
        <v>382</v>
      </c>
      <c r="C23" s="2" t="s">
        <v>2218</v>
      </c>
      <c r="D23" s="2" t="s">
        <v>2219</v>
      </c>
      <c r="E23" s="2" t="s">
        <v>33</v>
      </c>
      <c r="F23" s="2" t="s">
        <v>2223</v>
      </c>
      <c r="G23" s="2">
        <v>500052</v>
      </c>
      <c r="H23" s="2" t="s">
        <v>33</v>
      </c>
      <c r="I23" s="2" t="s">
        <v>1038</v>
      </c>
      <c r="J23" s="2" t="s">
        <v>860</v>
      </c>
      <c r="K23" s="2" t="s">
        <v>30</v>
      </c>
      <c r="L23" s="2" t="s">
        <v>232</v>
      </c>
      <c r="M23" s="2" t="s">
        <v>2221</v>
      </c>
      <c r="N23" s="2" t="s">
        <v>30</v>
      </c>
      <c r="O23" s="2" t="s">
        <v>144</v>
      </c>
      <c r="P23" s="159" t="s">
        <v>2224</v>
      </c>
      <c r="Q23" s="2" t="s">
        <v>34</v>
      </c>
      <c r="R23" s="2" t="s">
        <v>905</v>
      </c>
      <c r="S23" s="2" t="s">
        <v>187</v>
      </c>
      <c r="T23" s="157" t="s">
        <v>2180</v>
      </c>
      <c r="U23" s="134">
        <v>1</v>
      </c>
      <c r="V23" s="125">
        <v>15607.022000000001</v>
      </c>
      <c r="W23" s="125">
        <v>15607.022000000001</v>
      </c>
      <c r="X23" s="140">
        <v>0</v>
      </c>
      <c r="Y23" s="140">
        <v>3.5321513187196098E-2</v>
      </c>
      <c r="Z23" s="140">
        <v>5.4296673810921197E-3</v>
      </c>
    </row>
    <row r="24" spans="1:26">
      <c r="A24" s="2">
        <v>382</v>
      </c>
      <c r="B24" s="2">
        <v>382</v>
      </c>
      <c r="C24" s="2" t="s">
        <v>2225</v>
      </c>
      <c r="D24" s="2" t="s">
        <v>2226</v>
      </c>
      <c r="E24" s="2" t="s">
        <v>1322</v>
      </c>
      <c r="F24" s="2" t="s">
        <v>2227</v>
      </c>
      <c r="G24" s="2">
        <v>36459</v>
      </c>
      <c r="H24" s="2" t="s">
        <v>33</v>
      </c>
      <c r="I24" s="2" t="s">
        <v>1038</v>
      </c>
      <c r="J24" s="2" t="s">
        <v>860</v>
      </c>
      <c r="K24" s="2" t="s">
        <v>30</v>
      </c>
      <c r="L24" s="2" t="s">
        <v>30</v>
      </c>
      <c r="M24" s="2" t="s">
        <v>2228</v>
      </c>
      <c r="N24" s="2" t="s">
        <v>30</v>
      </c>
      <c r="O24" s="2" t="s">
        <v>144</v>
      </c>
      <c r="P24" s="159" t="s">
        <v>2229</v>
      </c>
      <c r="Q24" s="2" t="s">
        <v>34</v>
      </c>
      <c r="R24" s="2" t="s">
        <v>905</v>
      </c>
      <c r="S24" s="2" t="s">
        <v>187</v>
      </c>
      <c r="T24" s="157" t="s">
        <v>1312</v>
      </c>
      <c r="U24" s="134">
        <v>1</v>
      </c>
      <c r="V24" s="125">
        <v>10779.838</v>
      </c>
      <c r="W24" s="125">
        <v>10779.838</v>
      </c>
      <c r="X24" s="140">
        <v>0</v>
      </c>
      <c r="Y24" s="140">
        <v>2.43967228188679E-2</v>
      </c>
      <c r="Z24" s="140">
        <v>3.7502948810010702E-3</v>
      </c>
    </row>
    <row r="25" spans="1:26">
      <c r="A25" s="2">
        <v>382</v>
      </c>
      <c r="B25" s="2">
        <v>382</v>
      </c>
      <c r="C25" s="2" t="s">
        <v>2230</v>
      </c>
      <c r="D25" s="2" t="s">
        <v>2231</v>
      </c>
      <c r="E25" s="2" t="s">
        <v>324</v>
      </c>
      <c r="F25" s="2" t="s">
        <v>2232</v>
      </c>
      <c r="G25" s="2">
        <v>47852</v>
      </c>
      <c r="H25" s="2" t="s">
        <v>33</v>
      </c>
      <c r="I25" s="2" t="s">
        <v>1036</v>
      </c>
      <c r="J25" s="2" t="s">
        <v>849</v>
      </c>
      <c r="K25" s="2" t="s">
        <v>85</v>
      </c>
      <c r="L25" s="2" t="s">
        <v>30</v>
      </c>
      <c r="M25" s="2" t="s">
        <v>2189</v>
      </c>
      <c r="N25" s="2" t="s">
        <v>307</v>
      </c>
      <c r="O25" s="2" t="s">
        <v>144</v>
      </c>
      <c r="P25" s="159" t="s">
        <v>2233</v>
      </c>
      <c r="Q25" s="2" t="s">
        <v>34</v>
      </c>
      <c r="R25" s="4" t="s">
        <v>903</v>
      </c>
      <c r="S25" s="2" t="s">
        <v>906</v>
      </c>
      <c r="T25" s="157" t="s">
        <v>1308</v>
      </c>
      <c r="U25" s="134">
        <v>1</v>
      </c>
      <c r="V25" s="125">
        <v>4646.32</v>
      </c>
      <c r="W25" s="125">
        <v>4646.32</v>
      </c>
      <c r="X25" s="140">
        <v>0</v>
      </c>
      <c r="Y25" s="140">
        <v>1.0515463159581901E-2</v>
      </c>
      <c r="Z25" s="140">
        <v>1.6164502073301599E-3</v>
      </c>
    </row>
    <row r="26" spans="1:26">
      <c r="A26" s="2">
        <v>382</v>
      </c>
      <c r="B26" s="2">
        <v>382</v>
      </c>
      <c r="C26" s="2" t="s">
        <v>2191</v>
      </c>
      <c r="D26" s="2" t="s">
        <v>2192</v>
      </c>
      <c r="E26" s="2" t="s">
        <v>1322</v>
      </c>
      <c r="F26" s="2" t="s">
        <v>2234</v>
      </c>
      <c r="G26" s="2">
        <v>36384</v>
      </c>
      <c r="H26" s="2" t="s">
        <v>33</v>
      </c>
      <c r="I26" s="2" t="s">
        <v>1036</v>
      </c>
      <c r="J26" s="2" t="s">
        <v>860</v>
      </c>
      <c r="K26" s="2" t="s">
        <v>30</v>
      </c>
      <c r="L26" s="2" t="s">
        <v>232</v>
      </c>
      <c r="M26" s="2" t="s">
        <v>2194</v>
      </c>
      <c r="N26" s="2" t="s">
        <v>30</v>
      </c>
      <c r="O26" s="2" t="s">
        <v>144</v>
      </c>
      <c r="P26" s="159" t="s">
        <v>2235</v>
      </c>
      <c r="Q26" s="2" t="s">
        <v>34</v>
      </c>
      <c r="R26" s="4" t="s">
        <v>905</v>
      </c>
      <c r="S26" s="2" t="s">
        <v>187</v>
      </c>
      <c r="T26" s="157" t="s">
        <v>1312</v>
      </c>
      <c r="U26" s="134">
        <v>1</v>
      </c>
      <c r="V26" s="125">
        <v>3904.8319999999999</v>
      </c>
      <c r="W26" s="125">
        <v>3904.8319999999999</v>
      </c>
      <c r="X26" s="140">
        <v>0</v>
      </c>
      <c r="Y26" s="140">
        <v>8.8373419864513792E-3</v>
      </c>
      <c r="Z26" s="140">
        <v>1.35848731239478E-3</v>
      </c>
    </row>
    <row r="27" spans="1:26">
      <c r="A27" s="2">
        <v>382</v>
      </c>
      <c r="B27" s="2">
        <v>382</v>
      </c>
      <c r="C27" s="2" t="s">
        <v>2236</v>
      </c>
      <c r="D27" s="2" t="s">
        <v>2237</v>
      </c>
      <c r="E27" s="2" t="s">
        <v>325</v>
      </c>
      <c r="F27" s="2" t="s">
        <v>2238</v>
      </c>
      <c r="G27" s="2">
        <v>620000732</v>
      </c>
      <c r="H27" s="2" t="s">
        <v>33</v>
      </c>
      <c r="I27" s="2" t="s">
        <v>1040</v>
      </c>
      <c r="J27" s="2" t="s">
        <v>850</v>
      </c>
      <c r="K27" s="2" t="s">
        <v>85</v>
      </c>
      <c r="L27" s="2" t="s">
        <v>94</v>
      </c>
      <c r="M27" s="2" t="s">
        <v>2239</v>
      </c>
      <c r="N27" s="2" t="s">
        <v>94</v>
      </c>
      <c r="O27" s="2" t="s">
        <v>144</v>
      </c>
      <c r="P27" s="159" t="s">
        <v>2240</v>
      </c>
      <c r="Q27" s="2" t="s">
        <v>89</v>
      </c>
      <c r="R27" s="2" t="s">
        <v>903</v>
      </c>
      <c r="S27" s="2" t="s">
        <v>906</v>
      </c>
      <c r="T27" s="157" t="s">
        <v>2169</v>
      </c>
      <c r="U27" s="134">
        <v>3.6469999999999998</v>
      </c>
      <c r="V27" s="125">
        <v>1104.55</v>
      </c>
      <c r="W27" s="125">
        <v>4028.2939999999999</v>
      </c>
      <c r="X27" s="140">
        <v>0</v>
      </c>
      <c r="Y27" s="140">
        <v>9.1167574846317996E-3</v>
      </c>
      <c r="Z27" s="140">
        <v>1.4014394138011201E-3</v>
      </c>
    </row>
    <row r="28" spans="1:26">
      <c r="A28" s="2">
        <v>382</v>
      </c>
      <c r="B28" s="2">
        <v>382</v>
      </c>
      <c r="C28" s="2" t="s">
        <v>2241</v>
      </c>
      <c r="D28" s="2" t="s">
        <v>2237</v>
      </c>
      <c r="E28" s="2" t="s">
        <v>325</v>
      </c>
      <c r="F28" s="2" t="s">
        <v>2241</v>
      </c>
      <c r="G28" s="2">
        <v>603880223</v>
      </c>
      <c r="H28" s="2" t="s">
        <v>33</v>
      </c>
      <c r="I28" s="2" t="s">
        <v>1036</v>
      </c>
      <c r="J28" s="2" t="s">
        <v>850</v>
      </c>
      <c r="K28" s="2" t="s">
        <v>85</v>
      </c>
      <c r="L28" s="2" t="s">
        <v>94</v>
      </c>
      <c r="M28" s="2" t="s">
        <v>2239</v>
      </c>
      <c r="N28" s="2" t="s">
        <v>94</v>
      </c>
      <c r="O28" s="2" t="s">
        <v>144</v>
      </c>
      <c r="P28" s="159" t="s">
        <v>2242</v>
      </c>
      <c r="Q28" s="2" t="s">
        <v>89</v>
      </c>
      <c r="R28" s="2" t="s">
        <v>903</v>
      </c>
      <c r="S28" s="2" t="s">
        <v>906</v>
      </c>
      <c r="T28" s="157" t="s">
        <v>2243</v>
      </c>
      <c r="U28" s="134">
        <v>3.6469999999999998</v>
      </c>
      <c r="V28" s="125">
        <v>828.91499999999996</v>
      </c>
      <c r="W28" s="125">
        <v>3023.0529999999999</v>
      </c>
      <c r="X28" s="140">
        <v>0</v>
      </c>
      <c r="Y28" s="140">
        <v>6.8417156582984704E-3</v>
      </c>
      <c r="Z28" s="140">
        <v>1.0517171261517899E-3</v>
      </c>
    </row>
    <row r="29" spans="1:26">
      <c r="A29" s="2">
        <v>382</v>
      </c>
      <c r="B29" s="2">
        <v>382</v>
      </c>
      <c r="C29" s="2" t="s">
        <v>2244</v>
      </c>
      <c r="D29" s="2" t="s">
        <v>2245</v>
      </c>
      <c r="E29" s="2" t="s">
        <v>33</v>
      </c>
      <c r="F29" s="2" t="s">
        <v>2246</v>
      </c>
      <c r="G29" s="2">
        <v>27940006</v>
      </c>
      <c r="H29" s="2" t="s">
        <v>33</v>
      </c>
      <c r="I29" s="2" t="s">
        <v>1036</v>
      </c>
      <c r="J29" s="2" t="s">
        <v>856</v>
      </c>
      <c r="K29" s="2" t="s">
        <v>85</v>
      </c>
      <c r="L29" s="2" t="s">
        <v>232</v>
      </c>
      <c r="M29" s="2" t="s">
        <v>2247</v>
      </c>
      <c r="N29" s="2" t="s">
        <v>310</v>
      </c>
      <c r="O29" s="2" t="s">
        <v>144</v>
      </c>
      <c r="P29" s="159" t="s">
        <v>2222</v>
      </c>
      <c r="Q29" s="2" t="s">
        <v>89</v>
      </c>
      <c r="R29" s="2" t="s">
        <v>903</v>
      </c>
      <c r="S29" s="2" t="s">
        <v>906</v>
      </c>
      <c r="T29" s="157" t="s">
        <v>2248</v>
      </c>
      <c r="U29" s="134">
        <v>3.6469999999999998</v>
      </c>
      <c r="V29" s="125">
        <v>2658.9549999999999</v>
      </c>
      <c r="W29" s="125">
        <v>9697.2090000000007</v>
      </c>
      <c r="X29" s="140">
        <v>6.3299999999999999E-4</v>
      </c>
      <c r="Y29" s="140">
        <v>2.19465374112074E-2</v>
      </c>
      <c r="Z29" s="140">
        <v>3.3736493019995198E-3</v>
      </c>
    </row>
    <row r="30" spans="1:26">
      <c r="A30" s="2">
        <v>382</v>
      </c>
      <c r="B30" s="2">
        <v>382</v>
      </c>
      <c r="C30" s="2" t="s">
        <v>2249</v>
      </c>
      <c r="D30" s="2" t="s">
        <v>2250</v>
      </c>
      <c r="E30" s="2" t="s">
        <v>181</v>
      </c>
      <c r="F30" s="2" t="s">
        <v>2251</v>
      </c>
      <c r="G30" s="2">
        <v>9840572</v>
      </c>
      <c r="H30" s="2" t="s">
        <v>33</v>
      </c>
      <c r="I30" s="2" t="s">
        <v>1040</v>
      </c>
      <c r="J30" s="2" t="s">
        <v>850</v>
      </c>
      <c r="K30" s="2" t="s">
        <v>85</v>
      </c>
      <c r="L30" s="2" t="s">
        <v>297</v>
      </c>
      <c r="M30" s="2" t="s">
        <v>2252</v>
      </c>
      <c r="N30" s="2" t="s">
        <v>30</v>
      </c>
      <c r="O30" s="2" t="s">
        <v>144</v>
      </c>
      <c r="P30" s="159" t="s">
        <v>2253</v>
      </c>
      <c r="Q30" s="2" t="s">
        <v>89</v>
      </c>
      <c r="R30" s="2" t="s">
        <v>903</v>
      </c>
      <c r="S30" s="2" t="s">
        <v>906</v>
      </c>
      <c r="T30" s="157" t="s">
        <v>2254</v>
      </c>
      <c r="U30" s="134">
        <v>3.6469999999999998</v>
      </c>
      <c r="V30" s="125">
        <v>95.277000000000001</v>
      </c>
      <c r="W30" s="125">
        <v>347.47500000000002</v>
      </c>
      <c r="X30" s="140">
        <v>0</v>
      </c>
      <c r="Y30" s="140">
        <v>7.8639846165133099E-4</v>
      </c>
      <c r="Z30" s="140">
        <v>1.20886159467174E-4</v>
      </c>
    </row>
    <row r="31" spans="1:26">
      <c r="A31" s="2">
        <v>382</v>
      </c>
      <c r="B31" s="2">
        <v>382</v>
      </c>
      <c r="C31" s="2" t="s">
        <v>2255</v>
      </c>
      <c r="D31" s="2" t="s">
        <v>2256</v>
      </c>
      <c r="E31" s="2" t="s">
        <v>181</v>
      </c>
      <c r="F31" s="2" t="s">
        <v>2257</v>
      </c>
      <c r="G31" s="2">
        <v>27940026</v>
      </c>
      <c r="H31" s="2" t="s">
        <v>33</v>
      </c>
      <c r="I31" s="2" t="s">
        <v>1039</v>
      </c>
      <c r="J31" s="2" t="s">
        <v>844</v>
      </c>
      <c r="K31" s="2" t="s">
        <v>85</v>
      </c>
      <c r="L31" s="2" t="s">
        <v>2258</v>
      </c>
      <c r="M31" s="2" t="s">
        <v>2259</v>
      </c>
      <c r="N31" s="2" t="s">
        <v>307</v>
      </c>
      <c r="O31" s="2" t="s">
        <v>144</v>
      </c>
      <c r="P31" s="159" t="s">
        <v>2260</v>
      </c>
      <c r="Q31" s="2" t="s">
        <v>1181</v>
      </c>
      <c r="R31" s="2" t="s">
        <v>905</v>
      </c>
      <c r="S31" s="2" t="s">
        <v>187</v>
      </c>
      <c r="T31" s="157" t="s">
        <v>1312</v>
      </c>
      <c r="U31" s="134">
        <v>3.7964000000000002</v>
      </c>
      <c r="V31" s="125">
        <v>3336.41</v>
      </c>
      <c r="W31" s="125">
        <v>12666.347</v>
      </c>
      <c r="X31" s="140">
        <v>0</v>
      </c>
      <c r="Y31" s="140">
        <v>2.86662335468965E-2</v>
      </c>
      <c r="Z31" s="140">
        <v>4.4066094338442597E-3</v>
      </c>
    </row>
    <row r="32" spans="1:26">
      <c r="A32" s="2">
        <v>382</v>
      </c>
      <c r="B32" s="2">
        <v>382</v>
      </c>
      <c r="C32" s="2" t="s">
        <v>2261</v>
      </c>
      <c r="D32" s="2" t="s">
        <v>1727</v>
      </c>
      <c r="E32" s="2" t="s">
        <v>1322</v>
      </c>
      <c r="F32" s="2" t="s">
        <v>2262</v>
      </c>
      <c r="G32" s="2">
        <v>27940007</v>
      </c>
      <c r="H32" s="2" t="s">
        <v>33</v>
      </c>
      <c r="I32" s="2" t="s">
        <v>1036</v>
      </c>
      <c r="J32" s="2" t="s">
        <v>578</v>
      </c>
      <c r="K32" s="2" t="s">
        <v>85</v>
      </c>
      <c r="L32" s="2" t="s">
        <v>232</v>
      </c>
      <c r="M32" s="2" t="s">
        <v>2263</v>
      </c>
      <c r="N32" s="2" t="s">
        <v>94</v>
      </c>
      <c r="O32" s="2" t="s">
        <v>144</v>
      </c>
      <c r="P32" s="159" t="s">
        <v>2264</v>
      </c>
      <c r="Q32" s="2" t="s">
        <v>89</v>
      </c>
      <c r="R32" s="2" t="s">
        <v>905</v>
      </c>
      <c r="S32" s="2" t="s">
        <v>187</v>
      </c>
      <c r="T32" s="157" t="s">
        <v>2265</v>
      </c>
      <c r="U32" s="134">
        <v>3.6469999999999998</v>
      </c>
      <c r="V32" s="125">
        <v>1535.5830000000001</v>
      </c>
      <c r="W32" s="125">
        <v>5600.2709999999997</v>
      </c>
      <c r="X32" s="140">
        <v>5.2499999999999997E-4</v>
      </c>
      <c r="Y32" s="140">
        <v>1.2674426516249501E-2</v>
      </c>
      <c r="Z32" s="140">
        <v>1.9483287667946001E-3</v>
      </c>
    </row>
    <row r="33" spans="1:26">
      <c r="A33" s="2">
        <v>382</v>
      </c>
      <c r="B33" s="2">
        <v>382</v>
      </c>
      <c r="C33" s="2" t="s">
        <v>2261</v>
      </c>
      <c r="D33" s="2" t="s">
        <v>1727</v>
      </c>
      <c r="E33" s="2" t="s">
        <v>1322</v>
      </c>
      <c r="F33" s="2" t="s">
        <v>2266</v>
      </c>
      <c r="G33" s="2">
        <v>27940029</v>
      </c>
      <c r="H33" s="2" t="s">
        <v>33</v>
      </c>
      <c r="I33" s="2" t="s">
        <v>1036</v>
      </c>
      <c r="J33" s="2" t="s">
        <v>578</v>
      </c>
      <c r="K33" s="2" t="s">
        <v>85</v>
      </c>
      <c r="L33" s="2" t="s">
        <v>232</v>
      </c>
      <c r="M33" s="2" t="s">
        <v>2263</v>
      </c>
      <c r="N33" s="2" t="s">
        <v>94</v>
      </c>
      <c r="O33" s="2" t="s">
        <v>144</v>
      </c>
      <c r="P33" s="159" t="s">
        <v>2267</v>
      </c>
      <c r="Q33" s="2" t="s">
        <v>89</v>
      </c>
      <c r="R33" s="2" t="s">
        <v>905</v>
      </c>
      <c r="S33" s="2" t="s">
        <v>187</v>
      </c>
      <c r="T33" s="157" t="s">
        <v>2265</v>
      </c>
      <c r="U33" s="134">
        <v>3.6469999999999998</v>
      </c>
      <c r="V33" s="125">
        <v>1275.1790000000001</v>
      </c>
      <c r="W33" s="125">
        <v>4650.576</v>
      </c>
      <c r="X33" s="140">
        <v>0</v>
      </c>
      <c r="Y33" s="140">
        <v>1.05250953291316E-2</v>
      </c>
      <c r="Z33" s="140">
        <v>1.6179308765340999E-3</v>
      </c>
    </row>
    <row r="34" spans="1:26">
      <c r="A34" s="2">
        <v>382</v>
      </c>
      <c r="B34" s="2">
        <v>382</v>
      </c>
      <c r="C34" s="2" t="s">
        <v>2268</v>
      </c>
      <c r="D34" s="2" t="s">
        <v>2269</v>
      </c>
      <c r="E34" s="2" t="s">
        <v>33</v>
      </c>
      <c r="F34" s="2" t="s">
        <v>2270</v>
      </c>
      <c r="G34" s="2">
        <v>27940034</v>
      </c>
      <c r="H34" s="2" t="s">
        <v>33</v>
      </c>
      <c r="I34" s="2" t="s">
        <v>1036</v>
      </c>
      <c r="J34" s="2" t="s">
        <v>578</v>
      </c>
      <c r="K34" s="2" t="s">
        <v>85</v>
      </c>
      <c r="L34" s="2"/>
      <c r="M34" s="2"/>
      <c r="N34" s="2"/>
      <c r="O34" s="2" t="s">
        <v>144</v>
      </c>
      <c r="P34" s="159" t="s">
        <v>2271</v>
      </c>
      <c r="Q34" s="2" t="s">
        <v>1183</v>
      </c>
      <c r="R34" s="2" t="s">
        <v>86</v>
      </c>
      <c r="S34" s="2"/>
      <c r="T34" s="157" t="s">
        <v>2265</v>
      </c>
      <c r="U34" s="134">
        <v>4.5743</v>
      </c>
      <c r="V34" s="125">
        <v>235.71199999999999</v>
      </c>
      <c r="W34" s="125">
        <v>1078.2190000000001</v>
      </c>
      <c r="X34" s="140">
        <v>0</v>
      </c>
      <c r="Y34" s="140">
        <v>2.4402051124474398E-3</v>
      </c>
      <c r="Z34" s="140">
        <v>3.7511139548327598E-4</v>
      </c>
    </row>
    <row r="35" spans="1:26">
      <c r="A35" s="2">
        <v>382</v>
      </c>
      <c r="B35" s="2">
        <v>382</v>
      </c>
      <c r="C35" s="2" t="s">
        <v>2272</v>
      </c>
      <c r="D35" s="2" t="s">
        <v>2273</v>
      </c>
      <c r="E35" s="2" t="s">
        <v>1322</v>
      </c>
      <c r="F35" s="2" t="s">
        <v>2274</v>
      </c>
      <c r="G35" s="2">
        <v>27940014</v>
      </c>
      <c r="H35" s="2" t="s">
        <v>33</v>
      </c>
      <c r="I35" s="2" t="s">
        <v>1036</v>
      </c>
      <c r="J35" s="2" t="s">
        <v>849</v>
      </c>
      <c r="K35" s="2" t="s">
        <v>85</v>
      </c>
      <c r="L35" s="2" t="s">
        <v>2258</v>
      </c>
      <c r="M35" s="2" t="s">
        <v>2275</v>
      </c>
      <c r="N35" s="2" t="s">
        <v>307</v>
      </c>
      <c r="O35" s="2" t="s">
        <v>144</v>
      </c>
      <c r="P35" s="159" t="s">
        <v>2276</v>
      </c>
      <c r="Q35" s="2" t="s">
        <v>1181</v>
      </c>
      <c r="R35" s="2" t="s">
        <v>903</v>
      </c>
      <c r="S35" s="2" t="s">
        <v>906</v>
      </c>
      <c r="T35" s="157" t="s">
        <v>2169</v>
      </c>
      <c r="U35" s="134">
        <v>3.7964000000000002</v>
      </c>
      <c r="V35" s="125">
        <v>3082.6489999999999</v>
      </c>
      <c r="W35" s="125">
        <v>11702.968999999999</v>
      </c>
      <c r="X35" s="140">
        <v>0</v>
      </c>
      <c r="Y35" s="140">
        <v>2.64859345313074E-2</v>
      </c>
      <c r="Z35" s="140">
        <v>4.0714511300866899E-3</v>
      </c>
    </row>
    <row r="36" spans="1:26">
      <c r="A36" s="2">
        <v>382</v>
      </c>
      <c r="B36" s="2">
        <v>382</v>
      </c>
      <c r="C36" s="2" t="s">
        <v>2274</v>
      </c>
      <c r="D36" s="2" t="s">
        <v>2273</v>
      </c>
      <c r="E36" s="2" t="s">
        <v>1322</v>
      </c>
      <c r="F36" s="2" t="s">
        <v>2277</v>
      </c>
      <c r="G36" s="2">
        <v>27940033</v>
      </c>
      <c r="H36" s="2" t="s">
        <v>33</v>
      </c>
      <c r="I36" s="2" t="s">
        <v>1036</v>
      </c>
      <c r="J36" s="2" t="s">
        <v>578</v>
      </c>
      <c r="K36" s="2" t="s">
        <v>85</v>
      </c>
      <c r="L36" s="2"/>
      <c r="M36" s="2"/>
      <c r="N36" s="2" t="s">
        <v>307</v>
      </c>
      <c r="O36" s="2" t="s">
        <v>144</v>
      </c>
      <c r="P36" s="159" t="s">
        <v>2278</v>
      </c>
      <c r="Q36" s="2" t="s">
        <v>1181</v>
      </c>
      <c r="R36" s="2" t="s">
        <v>86</v>
      </c>
      <c r="S36" s="2"/>
      <c r="T36" s="157" t="s">
        <v>1312</v>
      </c>
      <c r="U36" s="134">
        <v>3.7964000000000002</v>
      </c>
      <c r="V36" s="125">
        <v>755.11099999999999</v>
      </c>
      <c r="W36" s="125">
        <v>2866.7049999999999</v>
      </c>
      <c r="X36" s="140">
        <v>0</v>
      </c>
      <c r="Y36" s="140">
        <v>6.4878721363128703E-3</v>
      </c>
      <c r="Z36" s="140">
        <v>9.9732385542316204E-4</v>
      </c>
    </row>
    <row r="37" spans="1:26">
      <c r="A37" s="2">
        <v>382</v>
      </c>
      <c r="B37" s="2">
        <v>382</v>
      </c>
      <c r="C37" s="2" t="s">
        <v>2272</v>
      </c>
      <c r="D37" s="2" t="s">
        <v>2273</v>
      </c>
      <c r="E37" s="2" t="s">
        <v>1322</v>
      </c>
      <c r="F37" s="2" t="s">
        <v>2279</v>
      </c>
      <c r="G37" s="2">
        <v>27940031</v>
      </c>
      <c r="H37" s="2" t="s">
        <v>33</v>
      </c>
      <c r="I37" s="2" t="s">
        <v>1036</v>
      </c>
      <c r="J37" s="2" t="s">
        <v>844</v>
      </c>
      <c r="K37" s="2" t="s">
        <v>85</v>
      </c>
      <c r="L37" s="2" t="s">
        <v>2258</v>
      </c>
      <c r="M37" s="2" t="s">
        <v>2275</v>
      </c>
      <c r="N37" s="2" t="s">
        <v>307</v>
      </c>
      <c r="O37" s="2" t="s">
        <v>144</v>
      </c>
      <c r="P37" s="159" t="s">
        <v>2280</v>
      </c>
      <c r="Q37" s="2" t="s">
        <v>1181</v>
      </c>
      <c r="R37" s="2" t="s">
        <v>903</v>
      </c>
      <c r="S37" s="2" t="s">
        <v>906</v>
      </c>
      <c r="T37" s="157" t="s">
        <v>2281</v>
      </c>
      <c r="U37" s="134">
        <v>3.7964000000000002</v>
      </c>
      <c r="V37" s="125">
        <v>739.17700000000002</v>
      </c>
      <c r="W37" s="125">
        <v>2806.212</v>
      </c>
      <c r="X37" s="140">
        <v>0</v>
      </c>
      <c r="Y37" s="140">
        <v>6.3509662712257896E-3</v>
      </c>
      <c r="Z37" s="140">
        <v>9.7627851384892404E-4</v>
      </c>
    </row>
    <row r="38" spans="1:26">
      <c r="A38" s="2">
        <v>382</v>
      </c>
      <c r="B38" s="2">
        <v>382</v>
      </c>
      <c r="C38" s="2" t="s">
        <v>2282</v>
      </c>
      <c r="D38" s="2" t="s">
        <v>2283</v>
      </c>
      <c r="E38" s="2" t="s">
        <v>325</v>
      </c>
      <c r="F38" s="2" t="s">
        <v>2284</v>
      </c>
      <c r="G38" s="2">
        <v>27940030</v>
      </c>
      <c r="H38" s="2" t="s">
        <v>33</v>
      </c>
      <c r="I38" s="2" t="s">
        <v>1036</v>
      </c>
      <c r="J38" s="2" t="s">
        <v>850</v>
      </c>
      <c r="K38" s="2" t="s">
        <v>85</v>
      </c>
      <c r="L38" s="2" t="s">
        <v>94</v>
      </c>
      <c r="M38" s="2" t="s">
        <v>2285</v>
      </c>
      <c r="N38" s="2" t="s">
        <v>94</v>
      </c>
      <c r="O38" s="2" t="s">
        <v>144</v>
      </c>
      <c r="P38" s="159" t="s">
        <v>2286</v>
      </c>
      <c r="Q38" s="2" t="s">
        <v>89</v>
      </c>
      <c r="R38" s="2" t="s">
        <v>905</v>
      </c>
      <c r="S38" s="2" t="s">
        <v>187</v>
      </c>
      <c r="T38" s="157" t="s">
        <v>2265</v>
      </c>
      <c r="U38" s="134">
        <v>3.6469999999999998</v>
      </c>
      <c r="V38" s="125">
        <v>1016.665</v>
      </c>
      <c r="W38" s="125">
        <v>3707.779</v>
      </c>
      <c r="X38" s="140">
        <v>0</v>
      </c>
      <c r="Y38" s="140">
        <v>8.3913739523168301E-3</v>
      </c>
      <c r="Z38" s="140">
        <v>1.2899325459238E-3</v>
      </c>
    </row>
    <row r="39" spans="1:26">
      <c r="A39" s="2">
        <v>382</v>
      </c>
      <c r="B39" s="2">
        <v>382</v>
      </c>
      <c r="C39" s="2" t="s">
        <v>2287</v>
      </c>
      <c r="D39" s="2" t="s">
        <v>2288</v>
      </c>
      <c r="E39" s="2" t="s">
        <v>1322</v>
      </c>
      <c r="F39" s="2" t="s">
        <v>2289</v>
      </c>
      <c r="G39" s="2">
        <v>620020351</v>
      </c>
      <c r="H39" s="2" t="s">
        <v>33</v>
      </c>
      <c r="I39" s="2" t="s">
        <v>1040</v>
      </c>
      <c r="J39" s="2" t="s">
        <v>850</v>
      </c>
      <c r="K39" s="2" t="s">
        <v>85</v>
      </c>
      <c r="L39" s="2" t="s">
        <v>307</v>
      </c>
      <c r="M39" s="2" t="s">
        <v>2290</v>
      </c>
      <c r="N39" s="2" t="s">
        <v>307</v>
      </c>
      <c r="O39" s="2" t="s">
        <v>144</v>
      </c>
      <c r="P39" s="159" t="s">
        <v>2291</v>
      </c>
      <c r="Q39" s="2" t="s">
        <v>1181</v>
      </c>
      <c r="R39" s="2" t="s">
        <v>903</v>
      </c>
      <c r="S39" s="2" t="s">
        <v>906</v>
      </c>
      <c r="T39" s="157" t="s">
        <v>2243</v>
      </c>
      <c r="U39" s="134">
        <v>3.7964000000000002</v>
      </c>
      <c r="V39" s="125">
        <v>1518.472</v>
      </c>
      <c r="W39" s="125">
        <v>5764.7280000000001</v>
      </c>
      <c r="X39" s="140">
        <v>0</v>
      </c>
      <c r="Y39" s="140">
        <v>1.3046622070982099E-2</v>
      </c>
      <c r="Z39" s="140">
        <v>2.0055431350525202E-3</v>
      </c>
    </row>
    <row r="40" spans="1:26">
      <c r="A40" s="2">
        <v>382</v>
      </c>
      <c r="B40" s="2">
        <v>382</v>
      </c>
      <c r="C40" s="2" t="s">
        <v>2287</v>
      </c>
      <c r="D40" s="2" t="s">
        <v>2288</v>
      </c>
      <c r="E40" s="2" t="s">
        <v>1322</v>
      </c>
      <c r="F40" s="2" t="s">
        <v>2292</v>
      </c>
      <c r="G40" s="2">
        <v>620020352</v>
      </c>
      <c r="H40" s="2" t="s">
        <v>33</v>
      </c>
      <c r="I40" s="2" t="s">
        <v>1040</v>
      </c>
      <c r="J40" s="2" t="s">
        <v>850</v>
      </c>
      <c r="K40" s="2" t="s">
        <v>85</v>
      </c>
      <c r="L40" s="2" t="s">
        <v>30</v>
      </c>
      <c r="M40" s="2" t="s">
        <v>2290</v>
      </c>
      <c r="N40" s="2" t="s">
        <v>307</v>
      </c>
      <c r="O40" s="2" t="s">
        <v>144</v>
      </c>
      <c r="P40" s="159" t="s">
        <v>2293</v>
      </c>
      <c r="Q40" s="2" t="s">
        <v>1181</v>
      </c>
      <c r="R40" s="2" t="s">
        <v>903</v>
      </c>
      <c r="S40" s="2" t="s">
        <v>906</v>
      </c>
      <c r="T40" s="157" t="s">
        <v>2294</v>
      </c>
      <c r="U40" s="134">
        <v>3.7964000000000002</v>
      </c>
      <c r="V40" s="125">
        <v>844.81500000000005</v>
      </c>
      <c r="W40" s="125">
        <v>3207.2539999999999</v>
      </c>
      <c r="X40" s="140">
        <v>0</v>
      </c>
      <c r="Y40" s="140">
        <v>7.2585955797336097E-3</v>
      </c>
      <c r="Z40" s="140">
        <v>1.1158004313956099E-3</v>
      </c>
    </row>
    <row r="41" spans="1:26">
      <c r="A41" s="2">
        <v>382</v>
      </c>
      <c r="B41" s="2">
        <v>382</v>
      </c>
      <c r="C41" s="2" t="s">
        <v>2295</v>
      </c>
      <c r="D41" s="2" t="s">
        <v>2296</v>
      </c>
      <c r="E41" s="2" t="s">
        <v>325</v>
      </c>
      <c r="F41" s="2" t="s">
        <v>2297</v>
      </c>
      <c r="G41" s="2">
        <v>27940009</v>
      </c>
      <c r="H41" s="2" t="s">
        <v>33</v>
      </c>
      <c r="I41" s="2" t="s">
        <v>1039</v>
      </c>
      <c r="J41" s="2" t="s">
        <v>844</v>
      </c>
      <c r="K41" s="2" t="s">
        <v>85</v>
      </c>
      <c r="L41" s="2" t="s">
        <v>232</v>
      </c>
      <c r="M41" s="2" t="s">
        <v>2298</v>
      </c>
      <c r="N41" s="2" t="s">
        <v>94</v>
      </c>
      <c r="O41" s="2" t="s">
        <v>144</v>
      </c>
      <c r="P41" s="159" t="s">
        <v>2299</v>
      </c>
      <c r="Q41" s="2" t="s">
        <v>89</v>
      </c>
      <c r="R41" s="2" t="s">
        <v>905</v>
      </c>
      <c r="S41" s="2" t="s">
        <v>187</v>
      </c>
      <c r="T41" s="157" t="s">
        <v>2243</v>
      </c>
      <c r="U41" s="134">
        <v>3.6469999999999998</v>
      </c>
      <c r="V41" s="125">
        <v>1303.74</v>
      </c>
      <c r="W41" s="125">
        <v>4754.74</v>
      </c>
      <c r="X41" s="140">
        <v>0</v>
      </c>
      <c r="Y41" s="140">
        <v>1.0760836976540599E-2</v>
      </c>
      <c r="Z41" s="140">
        <v>1.6541693787329699E-3</v>
      </c>
    </row>
    <row r="42" spans="1:26">
      <c r="A42" s="2">
        <v>382</v>
      </c>
      <c r="B42" s="2">
        <v>382</v>
      </c>
      <c r="C42" s="2" t="s">
        <v>2295</v>
      </c>
      <c r="D42" s="2" t="s">
        <v>2296</v>
      </c>
      <c r="E42" s="2" t="s">
        <v>325</v>
      </c>
      <c r="F42" s="2" t="s">
        <v>2300</v>
      </c>
      <c r="G42" s="2">
        <v>27940023</v>
      </c>
      <c r="H42" s="2" t="s">
        <v>33</v>
      </c>
      <c r="I42" s="2" t="s">
        <v>1039</v>
      </c>
      <c r="J42" s="2" t="s">
        <v>844</v>
      </c>
      <c r="K42" s="2" t="s">
        <v>85</v>
      </c>
      <c r="L42" s="2" t="s">
        <v>232</v>
      </c>
      <c r="M42" s="2" t="s">
        <v>2298</v>
      </c>
      <c r="N42" s="2" t="s">
        <v>232</v>
      </c>
      <c r="O42" s="2" t="s">
        <v>144</v>
      </c>
      <c r="P42" s="159" t="s">
        <v>2301</v>
      </c>
      <c r="Q42" s="2" t="s">
        <v>89</v>
      </c>
      <c r="R42" s="2" t="s">
        <v>905</v>
      </c>
      <c r="S42" s="2" t="s">
        <v>187</v>
      </c>
      <c r="T42" s="157" t="s">
        <v>2302</v>
      </c>
      <c r="U42" s="134">
        <v>3.6469999999999998</v>
      </c>
      <c r="V42" s="125">
        <v>3378.8510000000001</v>
      </c>
      <c r="W42" s="125">
        <v>12322.669</v>
      </c>
      <c r="X42" s="140">
        <v>0</v>
      </c>
      <c r="Y42" s="140">
        <v>2.7888428314974199E-2</v>
      </c>
      <c r="Z42" s="140">
        <v>4.28704423644659E-3</v>
      </c>
    </row>
    <row r="43" spans="1:26">
      <c r="A43" s="2">
        <v>382</v>
      </c>
      <c r="B43" s="2">
        <v>382</v>
      </c>
      <c r="C43" s="2" t="s">
        <v>2295</v>
      </c>
      <c r="D43" s="2" t="s">
        <v>2296</v>
      </c>
      <c r="E43" s="2" t="s">
        <v>325</v>
      </c>
      <c r="F43" s="2" t="s">
        <v>2303</v>
      </c>
      <c r="G43" s="2">
        <v>60408895</v>
      </c>
      <c r="H43" s="2" t="s">
        <v>33</v>
      </c>
      <c r="I43" s="2" t="s">
        <v>1039</v>
      </c>
      <c r="J43" s="2" t="s">
        <v>844</v>
      </c>
      <c r="K43" s="2" t="s">
        <v>85</v>
      </c>
      <c r="L43" s="2" t="s">
        <v>232</v>
      </c>
      <c r="M43" s="2" t="s">
        <v>2298</v>
      </c>
      <c r="N43" s="2" t="s">
        <v>232</v>
      </c>
      <c r="O43" s="2" t="s">
        <v>144</v>
      </c>
      <c r="P43" s="159" t="s">
        <v>2304</v>
      </c>
      <c r="Q43" s="2" t="s">
        <v>89</v>
      </c>
      <c r="R43" s="2" t="s">
        <v>905</v>
      </c>
      <c r="S43" s="2" t="s">
        <v>187</v>
      </c>
      <c r="T43" s="157" t="s">
        <v>2305</v>
      </c>
      <c r="U43" s="134">
        <v>3.6469999999999998</v>
      </c>
      <c r="V43" s="125">
        <v>109.417</v>
      </c>
      <c r="W43" s="125">
        <v>399.04399999999998</v>
      </c>
      <c r="X43" s="140">
        <v>0</v>
      </c>
      <c r="Y43" s="140">
        <v>9.0310823175380204E-4</v>
      </c>
      <c r="Z43" s="140">
        <v>1.38826931948287E-4</v>
      </c>
    </row>
    <row r="44" spans="1:26">
      <c r="A44" s="2">
        <v>382</v>
      </c>
      <c r="B44" s="2">
        <v>382</v>
      </c>
      <c r="C44" s="2" t="s">
        <v>2306</v>
      </c>
      <c r="D44" s="2" t="s">
        <v>2307</v>
      </c>
      <c r="E44" s="2" t="s">
        <v>33</v>
      </c>
      <c r="F44" s="2" t="s">
        <v>2308</v>
      </c>
      <c r="G44" s="2">
        <v>62010971</v>
      </c>
      <c r="H44" s="2" t="s">
        <v>33</v>
      </c>
      <c r="I44" s="2" t="s">
        <v>1036</v>
      </c>
      <c r="J44" s="2" t="s">
        <v>844</v>
      </c>
      <c r="K44" s="2" t="s">
        <v>85</v>
      </c>
      <c r="L44" s="2" t="s">
        <v>232</v>
      </c>
      <c r="M44" s="2" t="s">
        <v>2309</v>
      </c>
      <c r="N44" s="2" t="s">
        <v>310</v>
      </c>
      <c r="O44" s="2" t="s">
        <v>144</v>
      </c>
      <c r="P44" s="159" t="s">
        <v>2310</v>
      </c>
      <c r="Q44" s="2" t="s">
        <v>89</v>
      </c>
      <c r="R44" s="2" t="s">
        <v>903</v>
      </c>
      <c r="S44" s="2" t="s">
        <v>906</v>
      </c>
      <c r="T44" s="157" t="s">
        <v>2243</v>
      </c>
      <c r="U44" s="134">
        <v>3.6469999999999998</v>
      </c>
      <c r="V44" s="125">
        <v>3189.4659999999999</v>
      </c>
      <c r="W44" s="125">
        <v>11631.983</v>
      </c>
      <c r="X44" s="140">
        <v>0</v>
      </c>
      <c r="Y44" s="140">
        <v>2.63252800031494E-2</v>
      </c>
      <c r="Z44" s="140">
        <v>4.0467551141900497E-3</v>
      </c>
    </row>
    <row r="45" spans="1:26">
      <c r="A45" s="2">
        <v>382</v>
      </c>
      <c r="B45" s="2">
        <v>382</v>
      </c>
      <c r="C45" s="2" t="s">
        <v>2306</v>
      </c>
      <c r="D45" s="2" t="s">
        <v>2307</v>
      </c>
      <c r="E45" s="2" t="s">
        <v>33</v>
      </c>
      <c r="F45" s="2" t="s">
        <v>2311</v>
      </c>
      <c r="G45" s="2">
        <v>27940004</v>
      </c>
      <c r="H45" s="2" t="s">
        <v>33</v>
      </c>
      <c r="I45" s="2" t="s">
        <v>1036</v>
      </c>
      <c r="J45" s="2" t="s">
        <v>864</v>
      </c>
      <c r="K45" s="2" t="s">
        <v>85</v>
      </c>
      <c r="L45" s="2" t="s">
        <v>232</v>
      </c>
      <c r="M45" s="2" t="s">
        <v>2309</v>
      </c>
      <c r="N45" s="2" t="s">
        <v>310</v>
      </c>
      <c r="O45" s="2" t="s">
        <v>144</v>
      </c>
      <c r="P45" s="159" t="s">
        <v>2312</v>
      </c>
      <c r="Q45" s="2" t="s">
        <v>89</v>
      </c>
      <c r="R45" s="2" t="s">
        <v>903</v>
      </c>
      <c r="S45" s="2" t="s">
        <v>906</v>
      </c>
      <c r="T45" s="157" t="s">
        <v>2158</v>
      </c>
      <c r="U45" s="134">
        <v>3.6469999999999998</v>
      </c>
      <c r="V45" s="125">
        <v>3755.203</v>
      </c>
      <c r="W45" s="125">
        <v>13695.226000000001</v>
      </c>
      <c r="X45" s="140">
        <v>0</v>
      </c>
      <c r="Y45" s="140">
        <v>3.09947733284263E-2</v>
      </c>
      <c r="Z45" s="140">
        <v>4.7645554943751799E-3</v>
      </c>
    </row>
    <row r="46" spans="1:26">
      <c r="A46" s="2">
        <v>382</v>
      </c>
      <c r="B46" s="2">
        <v>382</v>
      </c>
      <c r="C46" s="2" t="s">
        <v>2313</v>
      </c>
      <c r="D46" s="2" t="s">
        <v>2314</v>
      </c>
      <c r="E46" s="2" t="s">
        <v>33</v>
      </c>
      <c r="F46" s="2" t="s">
        <v>2315</v>
      </c>
      <c r="G46" s="2">
        <v>27940010</v>
      </c>
      <c r="H46" s="2" t="s">
        <v>33</v>
      </c>
      <c r="I46" s="2" t="s">
        <v>1036</v>
      </c>
      <c r="J46" s="2" t="s">
        <v>858</v>
      </c>
      <c r="K46" s="2" t="s">
        <v>85</v>
      </c>
      <c r="L46" s="2" t="s">
        <v>232</v>
      </c>
      <c r="M46" s="2" t="s">
        <v>2316</v>
      </c>
      <c r="N46" s="2" t="s">
        <v>94</v>
      </c>
      <c r="O46" s="2" t="s">
        <v>350</v>
      </c>
      <c r="P46" s="159" t="s">
        <v>2317</v>
      </c>
      <c r="Q46" s="2" t="s">
        <v>89</v>
      </c>
      <c r="R46" s="2" t="s">
        <v>905</v>
      </c>
      <c r="S46" s="2" t="s">
        <v>187</v>
      </c>
      <c r="T46" s="157" t="s">
        <v>145</v>
      </c>
      <c r="U46" s="134">
        <v>3.6469999999999998</v>
      </c>
      <c r="V46" s="125">
        <v>2857.6840000000002</v>
      </c>
      <c r="W46" s="125">
        <v>10421.973</v>
      </c>
      <c r="X46" s="140">
        <v>0</v>
      </c>
      <c r="Y46" s="140">
        <v>2.3586810249520598E-2</v>
      </c>
      <c r="Z46" s="140">
        <v>3.6257941033583899E-3</v>
      </c>
    </row>
    <row r="47" spans="1:26">
      <c r="A47" s="2">
        <v>382</v>
      </c>
      <c r="B47" s="2">
        <v>382</v>
      </c>
      <c r="C47" s="2" t="s">
        <v>2318</v>
      </c>
      <c r="D47" s="2" t="s">
        <v>2314</v>
      </c>
      <c r="E47" s="2" t="s">
        <v>33</v>
      </c>
      <c r="F47" s="2" t="s">
        <v>2319</v>
      </c>
      <c r="G47" s="2">
        <v>620022591</v>
      </c>
      <c r="H47" s="2" t="s">
        <v>33</v>
      </c>
      <c r="I47" s="2" t="s">
        <v>1036</v>
      </c>
      <c r="J47" s="2" t="s">
        <v>578</v>
      </c>
      <c r="K47" s="2" t="s">
        <v>85</v>
      </c>
      <c r="L47" s="2"/>
      <c r="M47" s="2"/>
      <c r="N47" s="2"/>
      <c r="O47" s="2" t="s">
        <v>144</v>
      </c>
      <c r="P47" s="159" t="s">
        <v>2320</v>
      </c>
      <c r="Q47" s="2" t="s">
        <v>89</v>
      </c>
      <c r="R47" s="2" t="s">
        <v>86</v>
      </c>
      <c r="S47" s="2"/>
      <c r="T47" s="157" t="s">
        <v>145</v>
      </c>
      <c r="U47" s="134">
        <v>3.6469999999999998</v>
      </c>
      <c r="V47" s="125">
        <v>1406.867</v>
      </c>
      <c r="W47" s="125">
        <v>5130.8440000000001</v>
      </c>
      <c r="X47" s="140">
        <v>0</v>
      </c>
      <c r="Y47" s="140">
        <v>1.16120278512407E-2</v>
      </c>
      <c r="Z47" s="140">
        <v>1.7850155093318599E-3</v>
      </c>
    </row>
    <row r="48" spans="1:26">
      <c r="A48" s="2">
        <v>382</v>
      </c>
      <c r="B48" s="2">
        <v>382</v>
      </c>
      <c r="C48" s="2" t="s">
        <v>2313</v>
      </c>
      <c r="D48" s="2" t="s">
        <v>2321</v>
      </c>
      <c r="E48" s="2" t="s">
        <v>324</v>
      </c>
      <c r="F48" s="2" t="s">
        <v>2322</v>
      </c>
      <c r="G48" s="2">
        <v>27940016</v>
      </c>
      <c r="H48" s="2" t="s">
        <v>33</v>
      </c>
      <c r="I48" s="2" t="s">
        <v>1036</v>
      </c>
      <c r="J48" s="2" t="s">
        <v>850</v>
      </c>
      <c r="K48" s="2" t="s">
        <v>85</v>
      </c>
      <c r="L48" s="2" t="s">
        <v>30</v>
      </c>
      <c r="M48" s="2" t="s">
        <v>2316</v>
      </c>
      <c r="N48" s="2" t="s">
        <v>307</v>
      </c>
      <c r="O48" s="2" t="s">
        <v>144</v>
      </c>
      <c r="P48" s="159" t="s">
        <v>2323</v>
      </c>
      <c r="Q48" s="2" t="s">
        <v>1181</v>
      </c>
      <c r="R48" s="2" t="s">
        <v>905</v>
      </c>
      <c r="S48" s="2" t="s">
        <v>187</v>
      </c>
      <c r="T48" s="157" t="s">
        <v>2243</v>
      </c>
      <c r="U48" s="134">
        <v>3.7964000000000002</v>
      </c>
      <c r="V48" s="125">
        <v>730.16700000000003</v>
      </c>
      <c r="W48" s="125">
        <v>2772.0050000000001</v>
      </c>
      <c r="X48" s="140">
        <v>0</v>
      </c>
      <c r="Y48" s="140">
        <v>6.2735494733335596E-3</v>
      </c>
      <c r="Z48" s="140">
        <v>9.6437790641921701E-4</v>
      </c>
    </row>
    <row r="49" spans="1:26">
      <c r="A49" s="2">
        <v>382</v>
      </c>
      <c r="B49" s="2">
        <v>382</v>
      </c>
      <c r="C49" s="2" t="s">
        <v>2324</v>
      </c>
      <c r="D49" s="2" t="s">
        <v>2325</v>
      </c>
      <c r="E49" s="2" t="s">
        <v>33</v>
      </c>
      <c r="F49" s="2" t="s">
        <v>2326</v>
      </c>
      <c r="G49" s="2">
        <v>27940012</v>
      </c>
      <c r="H49" s="2" t="s">
        <v>33</v>
      </c>
      <c r="I49" s="2" t="s">
        <v>1036</v>
      </c>
      <c r="J49" s="2" t="s">
        <v>849</v>
      </c>
      <c r="K49" s="2" t="s">
        <v>85</v>
      </c>
      <c r="L49" s="2" t="s">
        <v>94</v>
      </c>
      <c r="M49" s="2" t="s">
        <v>2327</v>
      </c>
      <c r="N49" s="2" t="s">
        <v>310</v>
      </c>
      <c r="O49" s="2" t="s">
        <v>144</v>
      </c>
      <c r="P49" s="159" t="s">
        <v>2328</v>
      </c>
      <c r="Q49" s="2" t="s">
        <v>89</v>
      </c>
      <c r="R49" s="2" t="s">
        <v>903</v>
      </c>
      <c r="S49" s="2" t="s">
        <v>906</v>
      </c>
      <c r="T49" s="157" t="s">
        <v>1308</v>
      </c>
      <c r="U49" s="134">
        <v>3.6469999999999998</v>
      </c>
      <c r="V49" s="125">
        <v>3386.511</v>
      </c>
      <c r="W49" s="125">
        <v>12350.605</v>
      </c>
      <c r="X49" s="140">
        <v>0</v>
      </c>
      <c r="Y49" s="140">
        <v>2.7951651824392899E-2</v>
      </c>
      <c r="Z49" s="140">
        <v>4.2967630337413104E-3</v>
      </c>
    </row>
    <row r="50" spans="1:26">
      <c r="A50" s="2">
        <v>382</v>
      </c>
      <c r="B50" s="2">
        <v>382</v>
      </c>
      <c r="C50" s="2" t="s">
        <v>2329</v>
      </c>
      <c r="D50" s="2" t="s">
        <v>1360</v>
      </c>
      <c r="E50" s="2" t="s">
        <v>181</v>
      </c>
      <c r="F50" s="2" t="s">
        <v>2330</v>
      </c>
      <c r="G50" s="2">
        <v>27940024</v>
      </c>
      <c r="H50" s="2" t="s">
        <v>33</v>
      </c>
      <c r="I50" s="2" t="s">
        <v>1039</v>
      </c>
      <c r="J50" s="2" t="s">
        <v>856</v>
      </c>
      <c r="K50" s="2" t="s">
        <v>85</v>
      </c>
      <c r="L50" s="2" t="s">
        <v>232</v>
      </c>
      <c r="M50" s="2" t="s">
        <v>2331</v>
      </c>
      <c r="N50" s="2" t="s">
        <v>94</v>
      </c>
      <c r="O50" s="2" t="s">
        <v>144</v>
      </c>
      <c r="P50" s="159" t="s">
        <v>2332</v>
      </c>
      <c r="Q50" s="2" t="s">
        <v>89</v>
      </c>
      <c r="R50" s="2" t="s">
        <v>905</v>
      </c>
      <c r="S50" s="2" t="s">
        <v>187</v>
      </c>
      <c r="T50" s="157" t="s">
        <v>2144</v>
      </c>
      <c r="U50" s="134">
        <v>3.6469999999999998</v>
      </c>
      <c r="V50" s="125">
        <v>1622.8620000000001</v>
      </c>
      <c r="W50" s="125">
        <v>5918.5789999999997</v>
      </c>
      <c r="X50" s="140">
        <v>0</v>
      </c>
      <c r="Y50" s="140">
        <v>1.3394814496807499E-2</v>
      </c>
      <c r="Z50" s="140">
        <v>2.0590677121800102E-3</v>
      </c>
    </row>
    <row r="51" spans="1:26">
      <c r="A51" s="2">
        <v>382</v>
      </c>
      <c r="B51" s="2">
        <v>382</v>
      </c>
      <c r="C51" s="2" t="s">
        <v>2333</v>
      </c>
      <c r="D51" s="2" t="s">
        <v>2334</v>
      </c>
      <c r="E51" s="2" t="s">
        <v>181</v>
      </c>
      <c r="F51" s="2" t="s">
        <v>2335</v>
      </c>
      <c r="G51" s="2">
        <v>27940036</v>
      </c>
      <c r="H51" s="2" t="s">
        <v>33</v>
      </c>
      <c r="I51" s="2" t="s">
        <v>1039</v>
      </c>
      <c r="J51" s="2" t="s">
        <v>578</v>
      </c>
      <c r="K51" s="2" t="s">
        <v>85</v>
      </c>
      <c r="L51" s="2"/>
      <c r="M51" s="2"/>
      <c r="N51" s="2"/>
      <c r="O51" s="2" t="s">
        <v>144</v>
      </c>
      <c r="P51" s="159" t="s">
        <v>2336</v>
      </c>
      <c r="Q51" s="2" t="s">
        <v>89</v>
      </c>
      <c r="R51" s="2" t="s">
        <v>86</v>
      </c>
      <c r="S51" s="2"/>
      <c r="T51" s="157" t="s">
        <v>2169</v>
      </c>
      <c r="U51" s="134">
        <v>3.6469999999999998</v>
      </c>
      <c r="V51" s="125">
        <v>767.947</v>
      </c>
      <c r="W51" s="125">
        <v>2800.701</v>
      </c>
      <c r="X51" s="140">
        <v>0</v>
      </c>
      <c r="Y51" s="140">
        <v>6.3384928507303597E-3</v>
      </c>
      <c r="Z51" s="140">
        <v>9.7436108398017099E-4</v>
      </c>
    </row>
    <row r="52" spans="1:26">
      <c r="A52" s="2">
        <v>382</v>
      </c>
      <c r="B52" s="2">
        <v>382</v>
      </c>
      <c r="C52" s="2" t="s">
        <v>2337</v>
      </c>
      <c r="D52" s="2" t="s">
        <v>2338</v>
      </c>
      <c r="E52" s="2" t="s">
        <v>181</v>
      </c>
      <c r="F52" s="2" t="s">
        <v>2339</v>
      </c>
      <c r="G52" s="2">
        <v>620109701</v>
      </c>
      <c r="H52" s="2" t="s">
        <v>33</v>
      </c>
      <c r="I52" s="2" t="s">
        <v>1036</v>
      </c>
      <c r="J52" s="2" t="s">
        <v>849</v>
      </c>
      <c r="K52" s="2" t="s">
        <v>85</v>
      </c>
      <c r="L52" s="2" t="s">
        <v>94</v>
      </c>
      <c r="M52" s="2" t="s">
        <v>2340</v>
      </c>
      <c r="N52" s="2" t="s">
        <v>94</v>
      </c>
      <c r="O52" s="2" t="s">
        <v>144</v>
      </c>
      <c r="P52" s="159" t="s">
        <v>2341</v>
      </c>
      <c r="Q52" s="2" t="s">
        <v>89</v>
      </c>
      <c r="R52" s="2" t="s">
        <v>903</v>
      </c>
      <c r="S52" s="2" t="s">
        <v>906</v>
      </c>
      <c r="T52" s="157" t="s">
        <v>2144</v>
      </c>
      <c r="U52" s="134">
        <v>3.6469999999999998</v>
      </c>
      <c r="V52" s="125">
        <v>3875.9639999999999</v>
      </c>
      <c r="W52" s="125">
        <v>14135.638999999999</v>
      </c>
      <c r="X52" s="140">
        <v>0</v>
      </c>
      <c r="Y52" s="140">
        <v>3.1991508032610402E-2</v>
      </c>
      <c r="Z52" s="140">
        <v>4.9177748052871596E-3</v>
      </c>
    </row>
    <row r="53" spans="1:26">
      <c r="A53" s="2">
        <v>382</v>
      </c>
      <c r="B53" s="2">
        <v>382</v>
      </c>
      <c r="C53" s="2" t="s">
        <v>2342</v>
      </c>
      <c r="D53" s="2" t="s">
        <v>2192</v>
      </c>
      <c r="E53" s="2" t="s">
        <v>1322</v>
      </c>
      <c r="F53" s="2" t="s">
        <v>2342</v>
      </c>
      <c r="G53" s="2">
        <v>620005541</v>
      </c>
      <c r="H53" s="2" t="s">
        <v>33</v>
      </c>
      <c r="I53" s="2" t="s">
        <v>1036</v>
      </c>
      <c r="J53" s="2" t="s">
        <v>578</v>
      </c>
      <c r="K53" s="2" t="s">
        <v>85</v>
      </c>
      <c r="L53" s="2"/>
      <c r="M53" s="2"/>
      <c r="N53" s="2"/>
      <c r="O53" s="2" t="s">
        <v>144</v>
      </c>
      <c r="P53" s="159" t="s">
        <v>2343</v>
      </c>
      <c r="Q53" s="2" t="s">
        <v>1181</v>
      </c>
      <c r="R53" s="2" t="s">
        <v>86</v>
      </c>
      <c r="S53" s="2"/>
      <c r="T53" s="157" t="s">
        <v>1308</v>
      </c>
      <c r="U53" s="134">
        <v>3.7964000000000002</v>
      </c>
      <c r="V53" s="125">
        <v>1485.9670000000001</v>
      </c>
      <c r="W53" s="125">
        <v>5641.3249999999998</v>
      </c>
      <c r="X53" s="140">
        <v>0</v>
      </c>
      <c r="Y53" s="140">
        <v>1.2767338815479701E-2</v>
      </c>
      <c r="Z53" s="140">
        <v>1.9626113621567698E-3</v>
      </c>
    </row>
    <row r="54" spans="1:26">
      <c r="A54" s="2">
        <v>382</v>
      </c>
      <c r="B54" s="2">
        <v>382</v>
      </c>
      <c r="C54" s="2" t="s">
        <v>2344</v>
      </c>
      <c r="D54" s="2" t="s">
        <v>2345</v>
      </c>
      <c r="E54" s="2" t="s">
        <v>1322</v>
      </c>
      <c r="F54" s="2" t="s">
        <v>2346</v>
      </c>
      <c r="G54" s="2">
        <v>620107071</v>
      </c>
      <c r="H54" s="2" t="s">
        <v>33</v>
      </c>
      <c r="I54" s="2" t="s">
        <v>1036</v>
      </c>
      <c r="J54" s="2" t="s">
        <v>849</v>
      </c>
      <c r="K54" s="2" t="s">
        <v>30</v>
      </c>
      <c r="L54" s="2" t="s">
        <v>30</v>
      </c>
      <c r="M54" s="2" t="s">
        <v>2347</v>
      </c>
      <c r="N54" s="2" t="s">
        <v>30</v>
      </c>
      <c r="O54" s="2" t="s">
        <v>144</v>
      </c>
      <c r="P54" s="159" t="s">
        <v>2240</v>
      </c>
      <c r="Q54" s="2" t="s">
        <v>89</v>
      </c>
      <c r="R54" s="2" t="s">
        <v>903</v>
      </c>
      <c r="S54" s="2" t="s">
        <v>906</v>
      </c>
      <c r="T54" s="157" t="s">
        <v>2144</v>
      </c>
      <c r="U54" s="134">
        <v>3.6469999999999998</v>
      </c>
      <c r="V54" s="125">
        <v>1196.4359999999999</v>
      </c>
      <c r="W54" s="125">
        <v>4363.4009999999998</v>
      </c>
      <c r="X54" s="140">
        <v>0</v>
      </c>
      <c r="Y54" s="140">
        <v>9.8751649441843996E-3</v>
      </c>
      <c r="Z54" s="140">
        <v>1.5180227612609501E-3</v>
      </c>
    </row>
    <row r="55" spans="1:26">
      <c r="A55" s="2">
        <v>382</v>
      </c>
      <c r="B55" s="2">
        <v>382</v>
      </c>
      <c r="C55" s="2" t="s">
        <v>2348</v>
      </c>
      <c r="D55" s="2" t="s">
        <v>2349</v>
      </c>
      <c r="E55" s="2" t="s">
        <v>33</v>
      </c>
      <c r="F55" s="2" t="s">
        <v>2350</v>
      </c>
      <c r="G55" s="2">
        <v>27940037</v>
      </c>
      <c r="H55" s="2" t="s">
        <v>33</v>
      </c>
      <c r="I55" s="2" t="s">
        <v>1038</v>
      </c>
      <c r="J55" s="2" t="s">
        <v>578</v>
      </c>
      <c r="K55" s="2" t="s">
        <v>85</v>
      </c>
      <c r="L55" s="2"/>
      <c r="M55" s="2"/>
      <c r="N55" s="2"/>
      <c r="O55" s="2" t="s">
        <v>144</v>
      </c>
      <c r="P55" s="159" t="s">
        <v>2351</v>
      </c>
      <c r="Q55" s="2" t="s">
        <v>89</v>
      </c>
      <c r="R55" s="2" t="s">
        <v>86</v>
      </c>
      <c r="S55" s="2"/>
      <c r="T55" s="157" t="s">
        <v>2352</v>
      </c>
      <c r="U55" s="134">
        <v>3.6469999999999998</v>
      </c>
      <c r="V55" s="125">
        <v>1869.1569999999999</v>
      </c>
      <c r="W55" s="125">
        <v>6816.8159999999998</v>
      </c>
      <c r="X55" s="140">
        <v>0</v>
      </c>
      <c r="Y55" s="140">
        <v>1.5427687517000801E-2</v>
      </c>
      <c r="Z55" s="140">
        <v>2.3715635067159801E-3</v>
      </c>
    </row>
    <row r="56" spans="1:26">
      <c r="A56" s="2">
        <v>382</v>
      </c>
      <c r="B56" s="2">
        <v>382</v>
      </c>
      <c r="C56" s="2" t="s">
        <v>2353</v>
      </c>
      <c r="D56" s="2" t="s">
        <v>2354</v>
      </c>
      <c r="E56" s="2" t="s">
        <v>33</v>
      </c>
      <c r="F56" s="2" t="s">
        <v>2355</v>
      </c>
      <c r="G56" s="2">
        <v>27940013</v>
      </c>
      <c r="H56" s="2" t="s">
        <v>33</v>
      </c>
      <c r="I56" s="2" t="s">
        <v>1036</v>
      </c>
      <c r="J56" s="2" t="s">
        <v>854</v>
      </c>
      <c r="K56" s="2" t="s">
        <v>85</v>
      </c>
      <c r="L56" s="2" t="s">
        <v>2258</v>
      </c>
      <c r="M56" s="2" t="s">
        <v>2356</v>
      </c>
      <c r="N56" s="2" t="s">
        <v>307</v>
      </c>
      <c r="O56" s="2" t="s">
        <v>144</v>
      </c>
      <c r="P56" s="159" t="s">
        <v>2357</v>
      </c>
      <c r="Q56" s="2" t="s">
        <v>1181</v>
      </c>
      <c r="R56" s="2" t="s">
        <v>905</v>
      </c>
      <c r="S56" s="2" t="s">
        <v>187</v>
      </c>
      <c r="T56" s="157" t="s">
        <v>1310</v>
      </c>
      <c r="U56" s="134">
        <v>3.7964000000000002</v>
      </c>
      <c r="V56" s="125">
        <v>770.97299999999996</v>
      </c>
      <c r="W56" s="125">
        <v>2926.9209999999998</v>
      </c>
      <c r="X56" s="140">
        <v>0</v>
      </c>
      <c r="Y56" s="140">
        <v>6.6241511294579704E-3</v>
      </c>
      <c r="Z56" s="140">
        <v>1.01827283345495E-3</v>
      </c>
    </row>
    <row r="57" spans="1:26">
      <c r="A57" s="2">
        <v>382</v>
      </c>
      <c r="B57" s="2">
        <v>382</v>
      </c>
      <c r="C57" s="2" t="s">
        <v>2358</v>
      </c>
      <c r="D57" s="2"/>
      <c r="E57" s="2" t="s">
        <v>86</v>
      </c>
      <c r="F57" s="2" t="s">
        <v>2359</v>
      </c>
      <c r="G57" s="2">
        <v>27940020</v>
      </c>
      <c r="H57" s="2" t="s">
        <v>33</v>
      </c>
      <c r="I57" s="2" t="s">
        <v>1036</v>
      </c>
      <c r="J57" s="2" t="s">
        <v>858</v>
      </c>
      <c r="K57" s="2" t="s">
        <v>85</v>
      </c>
      <c r="L57" s="2" t="s">
        <v>232</v>
      </c>
      <c r="M57" s="2" t="s">
        <v>2360</v>
      </c>
      <c r="N57" s="2" t="s">
        <v>94</v>
      </c>
      <c r="O57" s="2" t="s">
        <v>144</v>
      </c>
      <c r="P57" s="159" t="s">
        <v>2361</v>
      </c>
      <c r="Q57" s="2" t="s">
        <v>89</v>
      </c>
      <c r="R57" s="2" t="s">
        <v>905</v>
      </c>
      <c r="S57" s="2" t="s">
        <v>187</v>
      </c>
      <c r="T57" s="157" t="s">
        <v>2352</v>
      </c>
      <c r="U57" s="134">
        <v>3.6469999999999998</v>
      </c>
      <c r="V57" s="125">
        <v>1864.0740000000001</v>
      </c>
      <c r="W57" s="125">
        <v>6798.2780000000002</v>
      </c>
      <c r="X57" s="140">
        <v>0</v>
      </c>
      <c r="Y57" s="140">
        <v>1.53857327662178E-2</v>
      </c>
      <c r="Z57" s="140">
        <v>2.3651141697184101E-3</v>
      </c>
    </row>
    <row r="58" spans="1:26">
      <c r="A58" s="2">
        <v>382</v>
      </c>
      <c r="B58" s="2">
        <v>382</v>
      </c>
      <c r="C58" s="2" t="s">
        <v>2358</v>
      </c>
      <c r="D58" s="2" t="s">
        <v>2362</v>
      </c>
      <c r="E58" s="2" t="s">
        <v>33</v>
      </c>
      <c r="F58" s="2" t="s">
        <v>2363</v>
      </c>
      <c r="G58" s="2">
        <v>27940017</v>
      </c>
      <c r="H58" s="2" t="s">
        <v>33</v>
      </c>
      <c r="I58" s="2" t="s">
        <v>1036</v>
      </c>
      <c r="J58" s="2" t="s">
        <v>858</v>
      </c>
      <c r="K58" s="2" t="s">
        <v>85</v>
      </c>
      <c r="L58" s="2" t="s">
        <v>232</v>
      </c>
      <c r="M58" s="2" t="s">
        <v>2360</v>
      </c>
      <c r="N58" s="2" t="s">
        <v>94</v>
      </c>
      <c r="O58" s="2" t="s">
        <v>144</v>
      </c>
      <c r="P58" s="159" t="s">
        <v>2364</v>
      </c>
      <c r="Q58" s="2" t="s">
        <v>89</v>
      </c>
      <c r="R58" s="2" t="s">
        <v>905</v>
      </c>
      <c r="S58" s="2" t="s">
        <v>187</v>
      </c>
      <c r="T58" s="157" t="s">
        <v>145</v>
      </c>
      <c r="U58" s="134">
        <v>3.6469999999999998</v>
      </c>
      <c r="V58" s="125">
        <v>4063.3049999999998</v>
      </c>
      <c r="W58" s="125">
        <v>14818.874</v>
      </c>
      <c r="X58" s="140">
        <v>4.6799999999999999E-4</v>
      </c>
      <c r="Y58" s="140">
        <v>3.3537791339616901E-2</v>
      </c>
      <c r="Z58" s="140">
        <v>5.1554714178157603E-3</v>
      </c>
    </row>
    <row r="59" spans="1:26">
      <c r="A59" s="2">
        <v>382</v>
      </c>
      <c r="B59" s="2">
        <v>382</v>
      </c>
      <c r="C59" s="2" t="s">
        <v>2365</v>
      </c>
      <c r="D59" s="2" t="s">
        <v>2366</v>
      </c>
      <c r="E59" s="2" t="s">
        <v>33</v>
      </c>
      <c r="F59" s="2" t="s">
        <v>2367</v>
      </c>
      <c r="G59" s="2">
        <v>27940000</v>
      </c>
      <c r="H59" s="2" t="s">
        <v>33</v>
      </c>
      <c r="I59" s="2" t="s">
        <v>1036</v>
      </c>
      <c r="J59" s="2" t="s">
        <v>864</v>
      </c>
      <c r="K59" s="2" t="s">
        <v>85</v>
      </c>
      <c r="L59" s="2" t="s">
        <v>2258</v>
      </c>
      <c r="M59" s="2" t="s">
        <v>2368</v>
      </c>
      <c r="N59" s="2" t="s">
        <v>94</v>
      </c>
      <c r="O59" s="2" t="s">
        <v>144</v>
      </c>
      <c r="P59" s="159" t="s">
        <v>2341</v>
      </c>
      <c r="Q59" s="2" t="s">
        <v>89</v>
      </c>
      <c r="R59" s="2" t="s">
        <v>903</v>
      </c>
      <c r="S59" s="2" t="s">
        <v>906</v>
      </c>
      <c r="T59" s="157" t="s">
        <v>2369</v>
      </c>
      <c r="U59" s="134">
        <v>3.6469999999999998</v>
      </c>
      <c r="V59" s="125">
        <v>2836.5650000000001</v>
      </c>
      <c r="W59" s="125">
        <v>10344.953</v>
      </c>
      <c r="X59" s="140">
        <v>0</v>
      </c>
      <c r="Y59" s="140">
        <v>2.3412498555267901E-2</v>
      </c>
      <c r="Z59" s="140">
        <v>3.5989986907323602E-3</v>
      </c>
    </row>
    <row r="60" spans="1:26">
      <c r="A60" s="2">
        <v>382</v>
      </c>
      <c r="B60" s="2">
        <v>382</v>
      </c>
      <c r="C60" s="2" t="s">
        <v>2370</v>
      </c>
      <c r="D60" s="2" t="s">
        <v>2371</v>
      </c>
      <c r="E60" s="2" t="s">
        <v>33</v>
      </c>
      <c r="F60" s="2" t="s">
        <v>2372</v>
      </c>
      <c r="G60" s="2">
        <v>27940038</v>
      </c>
      <c r="H60" s="2" t="s">
        <v>33</v>
      </c>
      <c r="I60" s="2" t="s">
        <v>1038</v>
      </c>
      <c r="J60" s="2" t="s">
        <v>578</v>
      </c>
      <c r="K60" s="2" t="s">
        <v>85</v>
      </c>
      <c r="L60" s="2"/>
      <c r="M60" s="2"/>
      <c r="N60" s="2"/>
      <c r="O60" s="2" t="s">
        <v>144</v>
      </c>
      <c r="P60" s="159" t="s">
        <v>2373</v>
      </c>
      <c r="Q60" s="2" t="s">
        <v>89</v>
      </c>
      <c r="R60" s="2" t="s">
        <v>86</v>
      </c>
      <c r="S60" s="2"/>
      <c r="T60" s="157" t="s">
        <v>2352</v>
      </c>
      <c r="U60" s="134">
        <v>3.6469999999999998</v>
      </c>
      <c r="V60" s="125">
        <v>1841.229</v>
      </c>
      <c r="W60" s="125">
        <v>6714.9620000000004</v>
      </c>
      <c r="X60" s="140">
        <v>0</v>
      </c>
      <c r="Y60" s="140">
        <v>1.5197172780195899E-2</v>
      </c>
      <c r="Z60" s="140">
        <v>2.3361284917816799E-3</v>
      </c>
    </row>
    <row r="61" spans="1:26">
      <c r="A61" s="2">
        <v>382</v>
      </c>
      <c r="B61" s="2">
        <v>382</v>
      </c>
      <c r="C61" s="2" t="s">
        <v>2374</v>
      </c>
      <c r="D61" s="2" t="s">
        <v>2375</v>
      </c>
      <c r="E61" s="2" t="s">
        <v>33</v>
      </c>
      <c r="F61" s="2" t="s">
        <v>2376</v>
      </c>
      <c r="G61" s="2">
        <v>27940021</v>
      </c>
      <c r="H61" s="2" t="s">
        <v>33</v>
      </c>
      <c r="I61" s="2" t="s">
        <v>1036</v>
      </c>
      <c r="J61" s="2" t="s">
        <v>860</v>
      </c>
      <c r="K61" s="2" t="s">
        <v>85</v>
      </c>
      <c r="L61" s="2" t="s">
        <v>232</v>
      </c>
      <c r="M61" s="2" t="s">
        <v>2377</v>
      </c>
      <c r="N61" s="2" t="s">
        <v>232</v>
      </c>
      <c r="O61" s="2" t="s">
        <v>144</v>
      </c>
      <c r="P61" s="159" t="s">
        <v>2378</v>
      </c>
      <c r="Q61" s="2" t="s">
        <v>89</v>
      </c>
      <c r="R61" s="2" t="s">
        <v>903</v>
      </c>
      <c r="S61" s="2" t="s">
        <v>906</v>
      </c>
      <c r="T61" s="157" t="s">
        <v>2144</v>
      </c>
      <c r="U61" s="134">
        <v>3.6469999999999998</v>
      </c>
      <c r="V61" s="125">
        <v>3421.4520000000002</v>
      </c>
      <c r="W61" s="125">
        <v>12478.035</v>
      </c>
      <c r="X61" s="140">
        <v>0</v>
      </c>
      <c r="Y61" s="140">
        <v>2.8240050915494599E-2</v>
      </c>
      <c r="Z61" s="140">
        <v>4.3410961043374796E-3</v>
      </c>
    </row>
    <row r="62" spans="1:26">
      <c r="A62" s="2">
        <v>382</v>
      </c>
      <c r="B62" s="2">
        <v>382</v>
      </c>
      <c r="C62" s="2" t="s">
        <v>2358</v>
      </c>
      <c r="D62" s="2"/>
      <c r="E62" s="2" t="s">
        <v>86</v>
      </c>
      <c r="F62" s="2" t="s">
        <v>2379</v>
      </c>
      <c r="G62" s="2">
        <v>27940022</v>
      </c>
      <c r="H62" s="2" t="s">
        <v>33</v>
      </c>
      <c r="I62" s="2" t="s">
        <v>1036</v>
      </c>
      <c r="J62" s="2" t="s">
        <v>858</v>
      </c>
      <c r="K62" s="2" t="s">
        <v>85</v>
      </c>
      <c r="L62" s="2" t="s">
        <v>232</v>
      </c>
      <c r="M62" s="2" t="s">
        <v>2360</v>
      </c>
      <c r="N62" s="2" t="s">
        <v>94</v>
      </c>
      <c r="O62" s="2" t="s">
        <v>144</v>
      </c>
      <c r="P62" s="159" t="s">
        <v>2380</v>
      </c>
      <c r="Q62" s="2" t="s">
        <v>89</v>
      </c>
      <c r="R62" s="2" t="s">
        <v>905</v>
      </c>
      <c r="S62" s="2" t="s">
        <v>187</v>
      </c>
      <c r="T62" s="157" t="s">
        <v>2352</v>
      </c>
      <c r="U62" s="134">
        <v>3.6469999999999998</v>
      </c>
      <c r="V62" s="125">
        <v>1858.058</v>
      </c>
      <c r="W62" s="125">
        <v>6776.3379999999997</v>
      </c>
      <c r="X62" s="140">
        <v>0</v>
      </c>
      <c r="Y62" s="140">
        <v>1.5336077551190101E-2</v>
      </c>
      <c r="Z62" s="140">
        <v>2.35748110768315E-3</v>
      </c>
    </row>
    <row r="63" spans="1:26">
      <c r="A63" s="2">
        <v>382</v>
      </c>
      <c r="B63" s="2">
        <v>382</v>
      </c>
      <c r="C63" s="2" t="s">
        <v>2358</v>
      </c>
      <c r="D63" s="2" t="s">
        <v>2362</v>
      </c>
      <c r="E63" s="2" t="s">
        <v>33</v>
      </c>
      <c r="F63" s="2" t="s">
        <v>2381</v>
      </c>
      <c r="G63" s="2">
        <v>27940025</v>
      </c>
      <c r="H63" s="2" t="s">
        <v>33</v>
      </c>
      <c r="I63" s="2" t="s">
        <v>1036</v>
      </c>
      <c r="J63" s="2" t="s">
        <v>858</v>
      </c>
      <c r="K63" s="2" t="s">
        <v>85</v>
      </c>
      <c r="L63" s="2" t="s">
        <v>232</v>
      </c>
      <c r="M63" s="2" t="s">
        <v>2360</v>
      </c>
      <c r="N63" s="2" t="s">
        <v>94</v>
      </c>
      <c r="O63" s="2" t="s">
        <v>144</v>
      </c>
      <c r="P63" s="159" t="s">
        <v>2382</v>
      </c>
      <c r="Q63" s="2" t="s">
        <v>89</v>
      </c>
      <c r="R63" s="2" t="s">
        <v>905</v>
      </c>
      <c r="S63" s="2" t="s">
        <v>187</v>
      </c>
      <c r="T63" s="157" t="s">
        <v>145</v>
      </c>
      <c r="U63" s="134">
        <v>3.6469999999999998</v>
      </c>
      <c r="V63" s="125">
        <v>1426.9390000000001</v>
      </c>
      <c r="W63" s="125">
        <v>5204.0469999999996</v>
      </c>
      <c r="X63" s="140">
        <v>0</v>
      </c>
      <c r="Y63" s="140">
        <v>1.1777698913880001E-2</v>
      </c>
      <c r="Z63" s="140">
        <v>1.8104826732111799E-3</v>
      </c>
    </row>
    <row r="64" spans="1:26">
      <c r="A64" s="2">
        <v>382</v>
      </c>
      <c r="B64" s="2">
        <v>382</v>
      </c>
      <c r="C64" s="2" t="s">
        <v>2365</v>
      </c>
      <c r="D64" s="2" t="s">
        <v>2383</v>
      </c>
      <c r="E64" s="2" t="s">
        <v>33</v>
      </c>
      <c r="F64" s="2" t="s">
        <v>2384</v>
      </c>
      <c r="G64" s="2">
        <v>27940002</v>
      </c>
      <c r="H64" s="2" t="s">
        <v>33</v>
      </c>
      <c r="I64" s="2" t="s">
        <v>1036</v>
      </c>
      <c r="J64" s="2" t="s">
        <v>844</v>
      </c>
      <c r="K64" s="2" t="s">
        <v>85</v>
      </c>
      <c r="L64" s="2" t="s">
        <v>2258</v>
      </c>
      <c r="M64" s="2" t="s">
        <v>2368</v>
      </c>
      <c r="N64" s="2" t="s">
        <v>94</v>
      </c>
      <c r="O64" s="2" t="s">
        <v>144</v>
      </c>
      <c r="P64" s="159" t="s">
        <v>2385</v>
      </c>
      <c r="Q64" s="2" t="s">
        <v>89</v>
      </c>
      <c r="R64" s="2" t="s">
        <v>903</v>
      </c>
      <c r="S64" s="2" t="s">
        <v>906</v>
      </c>
      <c r="T64" s="157" t="s">
        <v>145</v>
      </c>
      <c r="U64" s="134">
        <v>3.6469999999999998</v>
      </c>
      <c r="V64" s="125">
        <v>4279.8220000000001</v>
      </c>
      <c r="W64" s="125">
        <v>15608.511</v>
      </c>
      <c r="X64" s="140">
        <v>0</v>
      </c>
      <c r="Y64" s="140">
        <v>3.5324882757149401E-2</v>
      </c>
      <c r="Z64" s="140">
        <v>5.4301853556184901E-3</v>
      </c>
    </row>
    <row r="65" spans="1:26">
      <c r="A65" s="2">
        <v>382</v>
      </c>
      <c r="B65" s="2">
        <v>9479</v>
      </c>
      <c r="C65" s="2" t="s">
        <v>2199</v>
      </c>
      <c r="D65" s="2" t="s">
        <v>2200</v>
      </c>
      <c r="E65" s="2" t="s">
        <v>33</v>
      </c>
      <c r="F65" s="2" t="s">
        <v>2201</v>
      </c>
      <c r="G65" s="2">
        <v>27940035</v>
      </c>
      <c r="H65" s="2" t="s">
        <v>33</v>
      </c>
      <c r="I65" s="2" t="s">
        <v>1036</v>
      </c>
      <c r="J65" s="2" t="s">
        <v>578</v>
      </c>
      <c r="K65" s="2" t="s">
        <v>30</v>
      </c>
      <c r="L65" s="2"/>
      <c r="M65" s="2"/>
      <c r="N65" s="2"/>
      <c r="O65" s="2" t="s">
        <v>144</v>
      </c>
      <c r="P65" s="159" t="s">
        <v>2202</v>
      </c>
      <c r="Q65" s="2" t="s">
        <v>34</v>
      </c>
      <c r="R65" s="2" t="s">
        <v>86</v>
      </c>
      <c r="S65" s="2"/>
      <c r="T65" s="157" t="s">
        <v>1312</v>
      </c>
      <c r="U65" s="134">
        <v>1</v>
      </c>
      <c r="V65" s="125">
        <v>322.71899999999999</v>
      </c>
      <c r="W65" s="125">
        <v>322.71899999999999</v>
      </c>
      <c r="X65" s="140">
        <v>0</v>
      </c>
      <c r="Y65" s="140">
        <v>1</v>
      </c>
      <c r="Z65" s="140">
        <v>4.6583252125386599E-3</v>
      </c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9">
    <dataValidation type="list" allowBlank="1" showInputMessage="1" showErrorMessage="1" sqref="J2:J20" xr:uid="{00000000-0002-0000-1300-000000000000}">
      <formula1>Fund_Strategy</formula1>
    </dataValidation>
    <dataValidation type="list" allowBlank="1" showInputMessage="1" showErrorMessage="1" sqref="K2:K20" xr:uid="{00000000-0002-0000-1300-000001000000}">
      <formula1>israel_abroad</formula1>
    </dataValidation>
    <dataValidation type="list" allowBlank="1" showInputMessage="1" showErrorMessage="1" sqref="O2:O20" xr:uid="{00000000-0002-0000-1300-000002000000}">
      <formula1>Holding_interest</formula1>
    </dataValidation>
    <dataValidation type="list" allowBlank="1" showInputMessage="1" showErrorMessage="1" sqref="R2:R20" xr:uid="{00000000-0002-0000-1300-000003000000}">
      <formula1>Valuation</formula1>
    </dataValidation>
    <dataValidation type="list" allowBlank="1" showInputMessage="1" showErrorMessage="1" sqref="S2:S20" xr:uid="{00000000-0002-0000-1300-000004000000}">
      <formula1>Dependence_Independence</formula1>
    </dataValidation>
    <dataValidation type="list" allowBlank="1" showInputMessage="1" showErrorMessage="1" sqref="L2:M20" xr:uid="{00000000-0002-0000-1300-000005000000}">
      <formula1>Country_list</formula1>
    </dataValidation>
    <dataValidation type="list" allowBlank="1" showInputMessage="1" showErrorMessage="1" sqref="E2:E20" xr:uid="{00000000-0002-0000-1300-000007000000}">
      <formula1>Issuer_Number_Fund</formula1>
    </dataValidation>
    <dataValidation type="list" allowBlank="1" showInputMessage="1" showErrorMessage="1" sqref="H2:H20" xr:uid="{00000000-0002-0000-1300-000008000000}">
      <formula1>Type_of_Security_ID_Fund</formula1>
    </dataValidation>
    <dataValidation type="list" allowBlank="1" showInputMessage="1" showErrorMessage="1" sqref="N2:N20" xr:uid="{00000000-0002-0000-1300-000009000000}">
      <formula1>Country_list_funds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I2:I24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1"/>
  <sheetViews>
    <sheetView rightToLeft="1" zoomScale="70" zoomScaleNormal="70" workbookViewId="0"/>
  </sheetViews>
  <sheetFormatPr defaultColWidth="0" defaultRowHeight="14.25" zeroHeight="1"/>
  <cols>
    <col min="1" max="28" width="11.625" customWidth="1"/>
    <col min="29" max="29" width="11.625" hidden="1" customWidth="1"/>
  </cols>
  <sheetData>
    <row r="1" spans="1:28" ht="66.75" customHeight="1">
      <c r="A1" s="12" t="s">
        <v>0</v>
      </c>
      <c r="B1" s="12" t="s">
        <v>1</v>
      </c>
      <c r="C1" s="12" t="s">
        <v>2</v>
      </c>
      <c r="D1" s="12" t="s">
        <v>151</v>
      </c>
      <c r="E1" s="12" t="s">
        <v>152</v>
      </c>
      <c r="F1" s="12" t="s">
        <v>3</v>
      </c>
      <c r="G1" s="12" t="s">
        <v>4</v>
      </c>
      <c r="H1" s="12" t="s">
        <v>153</v>
      </c>
      <c r="I1" s="12" t="s">
        <v>6</v>
      </c>
      <c r="J1" s="12" t="s">
        <v>7</v>
      </c>
      <c r="K1" s="12" t="s">
        <v>336</v>
      </c>
      <c r="L1" s="12" t="s">
        <v>1120</v>
      </c>
      <c r="M1" s="12" t="s">
        <v>154</v>
      </c>
      <c r="N1" s="12" t="s">
        <v>1121</v>
      </c>
      <c r="O1" s="12" t="s">
        <v>130</v>
      </c>
      <c r="P1" s="12" t="s">
        <v>162</v>
      </c>
      <c r="Q1" s="12" t="s">
        <v>11</v>
      </c>
      <c r="R1" s="12" t="s">
        <v>155</v>
      </c>
      <c r="S1" s="12" t="s">
        <v>156</v>
      </c>
      <c r="T1" s="12" t="s">
        <v>139</v>
      </c>
      <c r="U1" s="12" t="s">
        <v>1122</v>
      </c>
      <c r="V1" s="12" t="s">
        <v>1123</v>
      </c>
      <c r="W1" s="12" t="s">
        <v>17</v>
      </c>
      <c r="X1" s="12" t="s">
        <v>19</v>
      </c>
      <c r="Y1" s="12" t="s">
        <v>18</v>
      </c>
      <c r="Z1" s="12" t="s">
        <v>20</v>
      </c>
      <c r="AA1" s="12" t="s">
        <v>24</v>
      </c>
      <c r="AB1" s="12" t="s">
        <v>25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1"/>
  <sheetViews>
    <sheetView rightToLeft="1" zoomScale="70" zoomScaleNormal="70" workbookViewId="0"/>
  </sheetViews>
  <sheetFormatPr defaultColWidth="0" defaultRowHeight="14.25" zeroHeight="1"/>
  <cols>
    <col min="1" max="28" width="11.625" customWidth="1"/>
    <col min="29" max="29" width="11.625" hidden="1" customWidth="1"/>
  </cols>
  <sheetData>
    <row r="1" spans="1:28" ht="66.75" customHeight="1">
      <c r="A1" s="12" t="s">
        <v>0</v>
      </c>
      <c r="B1" s="12" t="s">
        <v>1</v>
      </c>
      <c r="C1" s="12" t="s">
        <v>2</v>
      </c>
      <c r="D1" s="12" t="s">
        <v>151</v>
      </c>
      <c r="E1" s="12" t="s">
        <v>152</v>
      </c>
      <c r="F1" s="12" t="s">
        <v>3</v>
      </c>
      <c r="G1" s="12" t="s">
        <v>4</v>
      </c>
      <c r="H1" s="12" t="s">
        <v>153</v>
      </c>
      <c r="I1" s="12" t="s">
        <v>5</v>
      </c>
      <c r="J1" s="12" t="s">
        <v>6</v>
      </c>
      <c r="K1" s="12" t="s">
        <v>7</v>
      </c>
      <c r="L1" s="12" t="s">
        <v>154</v>
      </c>
      <c r="M1" s="12" t="s">
        <v>177</v>
      </c>
      <c r="N1" s="12" t="s">
        <v>1121</v>
      </c>
      <c r="O1" s="12" t="s">
        <v>130</v>
      </c>
      <c r="P1" s="12" t="s">
        <v>162</v>
      </c>
      <c r="Q1" s="12" t="s">
        <v>11</v>
      </c>
      <c r="R1" s="12" t="s">
        <v>155</v>
      </c>
      <c r="S1" s="12" t="s">
        <v>156</v>
      </c>
      <c r="T1" s="12" t="s">
        <v>139</v>
      </c>
      <c r="U1" s="12" t="s">
        <v>1122</v>
      </c>
      <c r="V1" s="12" t="s">
        <v>1123</v>
      </c>
      <c r="W1" s="12" t="s">
        <v>17</v>
      </c>
      <c r="X1" s="12" t="s">
        <v>19</v>
      </c>
      <c r="Y1" s="12" t="s">
        <v>18</v>
      </c>
      <c r="Z1" s="12" t="s">
        <v>1337</v>
      </c>
      <c r="AA1" s="12" t="s">
        <v>24</v>
      </c>
      <c r="AB1" s="12" t="s">
        <v>25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13"/>
  <sheetViews>
    <sheetView rightToLeft="1" topLeftCell="Y1" zoomScale="70" zoomScaleNormal="70" workbookViewId="0">
      <selection activeCell="AB7" sqref="AB7"/>
    </sheetView>
  </sheetViews>
  <sheetFormatPr defaultColWidth="0" defaultRowHeight="14.25" zeroHeight="1"/>
  <cols>
    <col min="1" max="41" width="11.625" customWidth="1"/>
  </cols>
  <sheetData>
    <row r="1" spans="1:41" ht="66.75" customHeight="1">
      <c r="A1" s="12" t="s">
        <v>0</v>
      </c>
      <c r="B1" s="12" t="s">
        <v>1</v>
      </c>
      <c r="C1" s="12" t="s">
        <v>5</v>
      </c>
      <c r="D1" s="12" t="s">
        <v>1136</v>
      </c>
      <c r="E1" s="12" t="s">
        <v>1137</v>
      </c>
      <c r="F1" s="144" t="s">
        <v>18</v>
      </c>
      <c r="G1" s="12" t="s">
        <v>1138</v>
      </c>
      <c r="H1" s="12" t="s">
        <v>1139</v>
      </c>
      <c r="I1" s="12" t="s">
        <v>1140</v>
      </c>
      <c r="J1" s="12" t="s">
        <v>1141</v>
      </c>
      <c r="K1" s="12" t="s">
        <v>1142</v>
      </c>
      <c r="L1" s="12" t="s">
        <v>1143</v>
      </c>
      <c r="M1" s="144" t="s">
        <v>18</v>
      </c>
      <c r="N1" s="12" t="s">
        <v>1144</v>
      </c>
      <c r="O1" s="12" t="s">
        <v>1145</v>
      </c>
      <c r="P1" s="12" t="s">
        <v>1294</v>
      </c>
      <c r="Q1" s="12" t="s">
        <v>1295</v>
      </c>
      <c r="R1" s="12" t="s">
        <v>1296</v>
      </c>
      <c r="S1" s="12" t="s">
        <v>6</v>
      </c>
      <c r="T1" s="12" t="s">
        <v>7</v>
      </c>
      <c r="U1" s="12" t="s">
        <v>1149</v>
      </c>
      <c r="V1" s="12" t="s">
        <v>937</v>
      </c>
      <c r="W1" s="12" t="s">
        <v>944</v>
      </c>
      <c r="X1" s="12" t="s">
        <v>334</v>
      </c>
      <c r="Y1" s="12" t="s">
        <v>130</v>
      </c>
      <c r="Z1" s="12" t="s">
        <v>1150</v>
      </c>
      <c r="AA1" s="12" t="s">
        <v>1151</v>
      </c>
      <c r="AB1" s="12" t="s">
        <v>908</v>
      </c>
      <c r="AC1" s="12" t="s">
        <v>916</v>
      </c>
      <c r="AD1" s="12" t="s">
        <v>1152</v>
      </c>
      <c r="AE1" s="12" t="s">
        <v>934</v>
      </c>
      <c r="AF1" s="12" t="s">
        <v>919</v>
      </c>
      <c r="AG1" s="12" t="s">
        <v>930</v>
      </c>
      <c r="AH1" s="120" t="s">
        <v>1153</v>
      </c>
      <c r="AI1" s="12" t="s">
        <v>1154</v>
      </c>
      <c r="AJ1" s="12" t="s">
        <v>1155</v>
      </c>
      <c r="AK1" s="12" t="s">
        <v>959</v>
      </c>
      <c r="AL1" s="12" t="s">
        <v>1156</v>
      </c>
      <c r="AM1" s="12" t="s">
        <v>1157</v>
      </c>
      <c r="AN1" s="139" t="s">
        <v>24</v>
      </c>
      <c r="AO1" s="139" t="s">
        <v>25</v>
      </c>
    </row>
    <row r="2" spans="1:41">
      <c r="A2" s="5" t="s">
        <v>1297</v>
      </c>
      <c r="B2" s="5" t="s">
        <v>1297</v>
      </c>
      <c r="C2" s="5" t="s">
        <v>1055</v>
      </c>
      <c r="D2" s="1" t="s">
        <v>1298</v>
      </c>
      <c r="E2" s="5" t="s">
        <v>89</v>
      </c>
      <c r="F2" s="165">
        <v>3.6469999999999998</v>
      </c>
      <c r="G2" s="131">
        <v>-90515000</v>
      </c>
      <c r="H2" s="124">
        <v>-89919.13</v>
      </c>
      <c r="I2" s="132">
        <v>0.416238</v>
      </c>
      <c r="J2" s="124">
        <v>-3.1000000000000001E-5</v>
      </c>
      <c r="K2" s="4" t="s">
        <v>1298</v>
      </c>
      <c r="L2" s="5" t="s">
        <v>34</v>
      </c>
      <c r="M2" s="166">
        <v>1</v>
      </c>
      <c r="N2" s="132">
        <v>338842902.5</v>
      </c>
      <c r="O2" s="132">
        <v>338842.9</v>
      </c>
      <c r="P2" s="132">
        <v>1.18E-4</v>
      </c>
      <c r="Q2" s="132">
        <v>0.41359000000000001</v>
      </c>
      <c r="R2" s="131">
        <v>10907.85</v>
      </c>
      <c r="S2" s="4" t="s">
        <v>30</v>
      </c>
      <c r="T2" s="11" t="s">
        <v>30</v>
      </c>
      <c r="U2" s="5" t="s">
        <v>756</v>
      </c>
      <c r="V2" s="5" t="s">
        <v>939</v>
      </c>
      <c r="W2" s="169" t="s">
        <v>2518</v>
      </c>
      <c r="X2" s="5" t="s">
        <v>915</v>
      </c>
      <c r="Y2" s="5" t="s">
        <v>144</v>
      </c>
      <c r="Z2" s="1" t="s">
        <v>1299</v>
      </c>
      <c r="AA2" s="17" t="s">
        <v>1300</v>
      </c>
      <c r="AB2" s="5" t="s">
        <v>915</v>
      </c>
      <c r="AC2" s="5" t="s">
        <v>917</v>
      </c>
      <c r="AD2" s="5" t="s">
        <v>350</v>
      </c>
      <c r="AE2" s="5" t="s">
        <v>935</v>
      </c>
      <c r="AF2" s="5" t="s">
        <v>915</v>
      </c>
      <c r="AG2" s="5" t="s">
        <v>915</v>
      </c>
      <c r="AH2" s="122" t="s">
        <v>915</v>
      </c>
      <c r="AI2" s="131">
        <v>3.7435</v>
      </c>
      <c r="AJ2" s="4" t="s">
        <v>1301</v>
      </c>
      <c r="AK2" s="5" t="s">
        <v>144</v>
      </c>
      <c r="AL2" s="4" t="s">
        <v>1301</v>
      </c>
      <c r="AM2" s="4" t="s">
        <v>1302</v>
      </c>
      <c r="AN2" s="148">
        <v>0.385745</v>
      </c>
      <c r="AO2" s="148">
        <v>3.9999999999999998E-6</v>
      </c>
    </row>
    <row r="3" spans="1:41">
      <c r="A3" s="5" t="s">
        <v>1297</v>
      </c>
      <c r="B3" s="5" t="s">
        <v>1297</v>
      </c>
      <c r="C3" s="5" t="s">
        <v>1055</v>
      </c>
      <c r="D3" s="1" t="s">
        <v>1303</v>
      </c>
      <c r="E3" s="5" t="s">
        <v>89</v>
      </c>
      <c r="F3" s="165">
        <v>3.6469999999999998</v>
      </c>
      <c r="G3" s="131">
        <v>-108115000</v>
      </c>
      <c r="H3" s="124">
        <v>-108091.59</v>
      </c>
      <c r="I3" s="132">
        <v>0.500359</v>
      </c>
      <c r="J3" s="124">
        <v>-3.8000000000000002E-5</v>
      </c>
      <c r="K3" s="4" t="s">
        <v>1303</v>
      </c>
      <c r="L3" s="5" t="s">
        <v>34</v>
      </c>
      <c r="M3" s="166">
        <v>1</v>
      </c>
      <c r="N3" s="132">
        <v>405939390.5</v>
      </c>
      <c r="O3" s="132">
        <v>405939.39</v>
      </c>
      <c r="P3" s="132">
        <v>1.4100000000000001E-4</v>
      </c>
      <c r="Q3" s="132">
        <v>0.49548799999999998</v>
      </c>
      <c r="R3" s="131">
        <v>11729.37</v>
      </c>
      <c r="S3" s="4" t="s">
        <v>30</v>
      </c>
      <c r="T3" s="11" t="s">
        <v>30</v>
      </c>
      <c r="U3" s="5" t="s">
        <v>756</v>
      </c>
      <c r="V3" s="5" t="s">
        <v>939</v>
      </c>
      <c r="W3" s="169" t="s">
        <v>2518</v>
      </c>
      <c r="X3" s="5" t="s">
        <v>915</v>
      </c>
      <c r="Y3" s="5" t="s">
        <v>144</v>
      </c>
      <c r="Z3" s="1" t="s">
        <v>1304</v>
      </c>
      <c r="AA3" s="17" t="s">
        <v>1305</v>
      </c>
      <c r="AB3" s="5" t="s">
        <v>915</v>
      </c>
      <c r="AC3" s="5" t="s">
        <v>917</v>
      </c>
      <c r="AD3" s="5" t="s">
        <v>350</v>
      </c>
      <c r="AE3" s="5" t="s">
        <v>935</v>
      </c>
      <c r="AF3" s="5" t="s">
        <v>915</v>
      </c>
      <c r="AG3" s="5" t="s">
        <v>915</v>
      </c>
      <c r="AH3" s="121" t="s">
        <v>915</v>
      </c>
      <c r="AI3" s="131">
        <v>3.7547000000000001</v>
      </c>
      <c r="AJ3" s="5" t="s">
        <v>1301</v>
      </c>
      <c r="AK3" s="5" t="s">
        <v>144</v>
      </c>
      <c r="AL3" s="4" t="s">
        <v>1301</v>
      </c>
      <c r="AM3" s="4" t="s">
        <v>1302</v>
      </c>
      <c r="AN3" s="148">
        <v>0.414798</v>
      </c>
      <c r="AO3" s="148">
        <v>3.9999999999999998E-6</v>
      </c>
    </row>
    <row r="4" spans="1:41">
      <c r="A4" s="5" t="s">
        <v>1297</v>
      </c>
      <c r="B4" s="5" t="s">
        <v>1297</v>
      </c>
      <c r="C4" s="5" t="s">
        <v>1055</v>
      </c>
      <c r="D4" s="1" t="s">
        <v>1306</v>
      </c>
      <c r="E4" s="5" t="s">
        <v>1181</v>
      </c>
      <c r="F4" s="165">
        <v>3.7964000000000002</v>
      </c>
      <c r="G4" s="131">
        <v>-20950000</v>
      </c>
      <c r="H4" s="124">
        <v>-20965.55</v>
      </c>
      <c r="I4" s="132">
        <v>9.7049999999999997E-2</v>
      </c>
      <c r="J4" s="124">
        <v>-6.9999999999999999E-6</v>
      </c>
      <c r="K4" s="4" t="s">
        <v>1306</v>
      </c>
      <c r="L4" s="5" t="s">
        <v>34</v>
      </c>
      <c r="M4" s="166">
        <v>1</v>
      </c>
      <c r="N4" s="132">
        <v>83632400</v>
      </c>
      <c r="O4" s="132">
        <v>83632.399999999994</v>
      </c>
      <c r="P4" s="132">
        <v>2.9E-5</v>
      </c>
      <c r="Q4" s="132">
        <v>0.10208100000000001</v>
      </c>
      <c r="R4" s="131">
        <v>4038.79</v>
      </c>
      <c r="S4" s="4" t="s">
        <v>30</v>
      </c>
      <c r="T4" s="11" t="s">
        <v>30</v>
      </c>
      <c r="U4" s="5" t="s">
        <v>756</v>
      </c>
      <c r="V4" s="5" t="s">
        <v>939</v>
      </c>
      <c r="W4" s="169" t="s">
        <v>2518</v>
      </c>
      <c r="X4" s="5" t="s">
        <v>915</v>
      </c>
      <c r="Y4" s="5" t="s">
        <v>144</v>
      </c>
      <c r="Z4" s="1" t="s">
        <v>1304</v>
      </c>
      <c r="AA4" s="17" t="s">
        <v>1305</v>
      </c>
      <c r="AB4" s="5" t="s">
        <v>915</v>
      </c>
      <c r="AC4" s="5" t="s">
        <v>917</v>
      </c>
      <c r="AD4" s="5" t="s">
        <v>350</v>
      </c>
      <c r="AE4" s="5" t="s">
        <v>935</v>
      </c>
      <c r="AF4" s="5" t="s">
        <v>915</v>
      </c>
      <c r="AG4" s="5" t="s">
        <v>915</v>
      </c>
      <c r="AH4" s="121" t="s">
        <v>915</v>
      </c>
      <c r="AI4" s="131">
        <v>3.992</v>
      </c>
      <c r="AJ4" s="5" t="s">
        <v>1301</v>
      </c>
      <c r="AK4" s="5" t="s">
        <v>144</v>
      </c>
      <c r="AL4" s="4" t="s">
        <v>1301</v>
      </c>
      <c r="AM4" s="4" t="s">
        <v>1302</v>
      </c>
      <c r="AN4" s="148">
        <v>0.14282800000000001</v>
      </c>
      <c r="AO4" s="148">
        <v>9.9999999999999995E-7</v>
      </c>
    </row>
    <row r="5" spans="1:41">
      <c r="A5" s="5" t="s">
        <v>1297</v>
      </c>
      <c r="B5" s="5" t="s">
        <v>1297</v>
      </c>
      <c r="C5" s="5" t="s">
        <v>1055</v>
      </c>
      <c r="D5" s="1" t="s">
        <v>1307</v>
      </c>
      <c r="E5" s="5" t="s">
        <v>89</v>
      </c>
      <c r="F5" s="165">
        <v>3.6469999999999998</v>
      </c>
      <c r="G5" s="131">
        <v>-9000000</v>
      </c>
      <c r="H5" s="124">
        <v>-8997.9500000000007</v>
      </c>
      <c r="I5" s="132">
        <v>4.1652000000000002E-2</v>
      </c>
      <c r="J5" s="124">
        <v>-3.0000000000000001E-6</v>
      </c>
      <c r="K5" s="4" t="s">
        <v>1307</v>
      </c>
      <c r="L5" s="5" t="s">
        <v>34</v>
      </c>
      <c r="M5" s="166">
        <v>1</v>
      </c>
      <c r="N5" s="132">
        <v>33629400</v>
      </c>
      <c r="O5" s="132">
        <v>33629.4</v>
      </c>
      <c r="P5" s="132">
        <v>1.2E-5</v>
      </c>
      <c r="Q5" s="132">
        <v>4.1048000000000001E-2</v>
      </c>
      <c r="R5" s="131">
        <v>813.87</v>
      </c>
      <c r="S5" s="4" t="s">
        <v>30</v>
      </c>
      <c r="T5" s="11" t="s">
        <v>30</v>
      </c>
      <c r="U5" s="5" t="s">
        <v>756</v>
      </c>
      <c r="V5" s="5" t="s">
        <v>939</v>
      </c>
      <c r="W5" s="169" t="s">
        <v>2518</v>
      </c>
      <c r="X5" s="5" t="s">
        <v>915</v>
      </c>
      <c r="Y5" s="5" t="s">
        <v>144</v>
      </c>
      <c r="Z5" s="1" t="s">
        <v>1308</v>
      </c>
      <c r="AA5" s="17" t="s">
        <v>1305</v>
      </c>
      <c r="AB5" s="5" t="s">
        <v>915</v>
      </c>
      <c r="AC5" s="5" t="s">
        <v>917</v>
      </c>
      <c r="AD5" s="5" t="s">
        <v>350</v>
      </c>
      <c r="AE5" s="5" t="s">
        <v>935</v>
      </c>
      <c r="AF5" s="5" t="s">
        <v>915</v>
      </c>
      <c r="AG5" s="5" t="s">
        <v>915</v>
      </c>
      <c r="AH5" s="121" t="s">
        <v>915</v>
      </c>
      <c r="AI5" s="131">
        <v>3.7366000000000001</v>
      </c>
      <c r="AJ5" s="5" t="s">
        <v>1301</v>
      </c>
      <c r="AK5" s="5" t="s">
        <v>144</v>
      </c>
      <c r="AL5" s="4" t="s">
        <v>1301</v>
      </c>
      <c r="AM5" s="4" t="s">
        <v>1302</v>
      </c>
      <c r="AN5" s="148">
        <v>2.8781999999999999E-2</v>
      </c>
      <c r="AO5" s="148">
        <v>0</v>
      </c>
    </row>
    <row r="6" spans="1:41">
      <c r="A6" s="5" t="s">
        <v>1297</v>
      </c>
      <c r="B6" s="5" t="s">
        <v>1297</v>
      </c>
      <c r="C6" s="5" t="s">
        <v>1055</v>
      </c>
      <c r="D6" s="1" t="s">
        <v>1309</v>
      </c>
      <c r="E6" s="5" t="s">
        <v>89</v>
      </c>
      <c r="F6" s="165">
        <v>3.6469999999999998</v>
      </c>
      <c r="G6" s="131">
        <v>12000000</v>
      </c>
      <c r="H6" s="124">
        <v>11996.11</v>
      </c>
      <c r="I6" s="132">
        <v>-5.5530000000000003E-2</v>
      </c>
      <c r="J6" s="124">
        <v>3.9999999999999998E-6</v>
      </c>
      <c r="K6" s="4" t="s">
        <v>1309</v>
      </c>
      <c r="L6" s="5" t="s">
        <v>34</v>
      </c>
      <c r="M6" s="166">
        <v>1</v>
      </c>
      <c r="N6" s="132">
        <v>-42961200</v>
      </c>
      <c r="O6" s="132">
        <v>-42961.2</v>
      </c>
      <c r="P6" s="132">
        <v>-1.5E-5</v>
      </c>
      <c r="Q6" s="132">
        <v>-5.2437999999999999E-2</v>
      </c>
      <c r="R6" s="131">
        <v>788.6</v>
      </c>
      <c r="S6" s="4" t="s">
        <v>30</v>
      </c>
      <c r="T6" s="11" t="s">
        <v>30</v>
      </c>
      <c r="U6" s="5" t="s">
        <v>756</v>
      </c>
      <c r="V6" s="5" t="s">
        <v>939</v>
      </c>
      <c r="W6" s="169" t="s">
        <v>2518</v>
      </c>
      <c r="X6" s="5" t="s">
        <v>915</v>
      </c>
      <c r="Y6" s="5" t="s">
        <v>144</v>
      </c>
      <c r="Z6" s="1" t="s">
        <v>1310</v>
      </c>
      <c r="AA6" s="17" t="s">
        <v>1305</v>
      </c>
      <c r="AB6" s="5" t="s">
        <v>915</v>
      </c>
      <c r="AC6" s="5" t="s">
        <v>917</v>
      </c>
      <c r="AD6" s="5" t="s">
        <v>350</v>
      </c>
      <c r="AE6" s="5" t="s">
        <v>935</v>
      </c>
      <c r="AF6" s="5" t="s">
        <v>915</v>
      </c>
      <c r="AG6" s="5" t="s">
        <v>915</v>
      </c>
      <c r="AH6" s="121" t="s">
        <v>915</v>
      </c>
      <c r="AI6" s="131">
        <v>3.5800999999999998</v>
      </c>
      <c r="AJ6" s="5" t="s">
        <v>1301</v>
      </c>
      <c r="AK6" s="5" t="s">
        <v>144</v>
      </c>
      <c r="AL6" s="4" t="s">
        <v>1301</v>
      </c>
      <c r="AM6" s="4" t="s">
        <v>1302</v>
      </c>
      <c r="AN6" s="148">
        <v>2.7888E-2</v>
      </c>
      <c r="AO6" s="148">
        <v>0</v>
      </c>
    </row>
    <row r="7" spans="1:41">
      <c r="A7" s="5" t="s">
        <v>1297</v>
      </c>
      <c r="B7" s="5" t="s">
        <v>1297</v>
      </c>
      <c r="C7" s="5" t="s">
        <v>1055</v>
      </c>
      <c r="D7" s="1" t="s">
        <v>1311</v>
      </c>
      <c r="E7" s="5" t="s">
        <v>1181</v>
      </c>
      <c r="F7" s="165">
        <v>3.7964000000000002</v>
      </c>
      <c r="G7" s="131">
        <v>-50000</v>
      </c>
      <c r="H7" s="124">
        <v>-50.03</v>
      </c>
      <c r="I7" s="132">
        <v>2.32E-4</v>
      </c>
      <c r="J7" s="124">
        <v>0</v>
      </c>
      <c r="K7" s="4" t="s">
        <v>1311</v>
      </c>
      <c r="L7" s="5" t="s">
        <v>34</v>
      </c>
      <c r="M7" s="166">
        <v>1</v>
      </c>
      <c r="N7" s="132">
        <v>188800</v>
      </c>
      <c r="O7" s="132">
        <v>188.8</v>
      </c>
      <c r="P7" s="132">
        <v>0</v>
      </c>
      <c r="Q7" s="132">
        <v>2.3000000000000001E-4</v>
      </c>
      <c r="R7" s="131">
        <v>-1.1399999999999999</v>
      </c>
      <c r="S7" s="4" t="s">
        <v>30</v>
      </c>
      <c r="T7" s="11" t="s">
        <v>30</v>
      </c>
      <c r="U7" s="5" t="s">
        <v>756</v>
      </c>
      <c r="V7" s="5" t="s">
        <v>939</v>
      </c>
      <c r="W7" s="169" t="s">
        <v>2518</v>
      </c>
      <c r="X7" s="5" t="s">
        <v>915</v>
      </c>
      <c r="Y7" s="5" t="s">
        <v>144</v>
      </c>
      <c r="Z7" s="1" t="s">
        <v>1312</v>
      </c>
      <c r="AA7" s="17" t="s">
        <v>1305</v>
      </c>
      <c r="AB7" s="5" t="s">
        <v>915</v>
      </c>
      <c r="AC7" s="5" t="s">
        <v>917</v>
      </c>
      <c r="AD7" s="5" t="s">
        <v>350</v>
      </c>
      <c r="AE7" s="5" t="s">
        <v>935</v>
      </c>
      <c r="AF7" s="5" t="s">
        <v>915</v>
      </c>
      <c r="AG7" s="5" t="s">
        <v>915</v>
      </c>
      <c r="AH7" s="121" t="s">
        <v>915</v>
      </c>
      <c r="AI7" s="131">
        <v>3.7759999999999998</v>
      </c>
      <c r="AJ7" s="5" t="s">
        <v>1301</v>
      </c>
      <c r="AK7" s="5" t="s">
        <v>144</v>
      </c>
      <c r="AL7" s="4" t="s">
        <v>1301</v>
      </c>
      <c r="AM7" s="4" t="s">
        <v>1302</v>
      </c>
      <c r="AN7" s="148">
        <v>-4.0000000000000003E-5</v>
      </c>
      <c r="AO7" s="148">
        <v>0</v>
      </c>
    </row>
    <row r="8" spans="1:41">
      <c r="A8" s="5" t="s">
        <v>1297</v>
      </c>
      <c r="B8" s="5" t="s">
        <v>1313</v>
      </c>
      <c r="C8" s="5" t="s">
        <v>1055</v>
      </c>
      <c r="D8" s="1" t="s">
        <v>1314</v>
      </c>
      <c r="E8" s="5" t="s">
        <v>89</v>
      </c>
      <c r="F8" s="165">
        <v>3.6469999999999998</v>
      </c>
      <c r="G8" s="131">
        <v>-65000</v>
      </c>
      <c r="H8" s="124">
        <v>-64.569999999999993</v>
      </c>
      <c r="I8" s="132">
        <v>0.57879199999999997</v>
      </c>
      <c r="J8" s="124">
        <v>-3.9999999999999998E-6</v>
      </c>
      <c r="K8" s="4" t="s">
        <v>1314</v>
      </c>
      <c r="L8" s="5" t="s">
        <v>34</v>
      </c>
      <c r="M8" s="166">
        <v>1</v>
      </c>
      <c r="N8" s="132">
        <v>243327.5</v>
      </c>
      <c r="O8" s="132">
        <v>243.33</v>
      </c>
      <c r="P8" s="132">
        <v>1.2999999999999999E-5</v>
      </c>
      <c r="Q8" s="132">
        <v>0.57963299999999995</v>
      </c>
      <c r="R8" s="131">
        <v>7.83</v>
      </c>
      <c r="S8" s="4" t="s">
        <v>30</v>
      </c>
      <c r="T8" s="11" t="s">
        <v>30</v>
      </c>
      <c r="U8" s="5" t="s">
        <v>756</v>
      </c>
      <c r="V8" s="5" t="s">
        <v>939</v>
      </c>
      <c r="W8" s="169" t="s">
        <v>2518</v>
      </c>
      <c r="X8" s="5" t="s">
        <v>915</v>
      </c>
      <c r="Y8" s="5" t="s">
        <v>144</v>
      </c>
      <c r="Z8" s="1" t="s">
        <v>1299</v>
      </c>
      <c r="AA8" s="17" t="s">
        <v>1300</v>
      </c>
      <c r="AB8" s="5" t="s">
        <v>915</v>
      </c>
      <c r="AC8" s="5" t="s">
        <v>917</v>
      </c>
      <c r="AD8" s="5" t="s">
        <v>350</v>
      </c>
      <c r="AE8" s="5" t="s">
        <v>935</v>
      </c>
      <c r="AF8" s="5" t="s">
        <v>915</v>
      </c>
      <c r="AG8" s="5" t="s">
        <v>915</v>
      </c>
      <c r="AH8" s="121" t="s">
        <v>915</v>
      </c>
      <c r="AI8" s="131">
        <v>3.7435</v>
      </c>
      <c r="AJ8" s="5" t="s">
        <v>1301</v>
      </c>
      <c r="AK8" s="5" t="s">
        <v>144</v>
      </c>
      <c r="AL8" s="4" t="s">
        <v>1301</v>
      </c>
      <c r="AM8" s="4" t="s">
        <v>1302</v>
      </c>
      <c r="AN8" s="148">
        <v>0.605568</v>
      </c>
      <c r="AO8" s="148">
        <v>0</v>
      </c>
    </row>
    <row r="9" spans="1:41">
      <c r="A9" s="5" t="s">
        <v>1297</v>
      </c>
      <c r="B9" s="5" t="s">
        <v>1313</v>
      </c>
      <c r="C9" s="5" t="s">
        <v>1055</v>
      </c>
      <c r="D9" s="1" t="s">
        <v>1315</v>
      </c>
      <c r="E9" s="5" t="s">
        <v>89</v>
      </c>
      <c r="F9" s="165">
        <v>3.6469999999999998</v>
      </c>
      <c r="G9" s="131">
        <v>-47000</v>
      </c>
      <c r="H9" s="124">
        <v>-46.99</v>
      </c>
      <c r="I9" s="132">
        <v>0.42120800000000003</v>
      </c>
      <c r="J9" s="124">
        <v>-3.0000000000000001E-6</v>
      </c>
      <c r="K9" s="4" t="s">
        <v>1315</v>
      </c>
      <c r="L9" s="5" t="s">
        <v>34</v>
      </c>
      <c r="M9" s="166">
        <v>1</v>
      </c>
      <c r="N9" s="132">
        <v>176470.9</v>
      </c>
      <c r="O9" s="132">
        <v>176.47</v>
      </c>
      <c r="P9" s="132">
        <v>1.0000000000000001E-5</v>
      </c>
      <c r="Q9" s="132">
        <v>0.42036699999999999</v>
      </c>
      <c r="R9" s="131">
        <v>5.0999999999999996</v>
      </c>
      <c r="S9" s="4" t="s">
        <v>30</v>
      </c>
      <c r="T9" s="11" t="s">
        <v>30</v>
      </c>
      <c r="U9" s="5" t="s">
        <v>756</v>
      </c>
      <c r="V9" s="5" t="s">
        <v>939</v>
      </c>
      <c r="W9" s="169" t="s">
        <v>2518</v>
      </c>
      <c r="X9" s="5" t="s">
        <v>915</v>
      </c>
      <c r="Y9" s="5" t="s">
        <v>144</v>
      </c>
      <c r="Z9" s="1" t="s">
        <v>1304</v>
      </c>
      <c r="AA9" s="17" t="s">
        <v>1305</v>
      </c>
      <c r="AB9" s="5" t="s">
        <v>915</v>
      </c>
      <c r="AC9" s="5" t="s">
        <v>917</v>
      </c>
      <c r="AD9" s="5" t="s">
        <v>350</v>
      </c>
      <c r="AE9" s="5" t="s">
        <v>935</v>
      </c>
      <c r="AF9" s="5" t="s">
        <v>915</v>
      </c>
      <c r="AG9" s="5" t="s">
        <v>915</v>
      </c>
      <c r="AH9" s="121" t="s">
        <v>915</v>
      </c>
      <c r="AI9" s="131">
        <v>3.7547000000000001</v>
      </c>
      <c r="AJ9" s="5" t="s">
        <v>1301</v>
      </c>
      <c r="AK9" s="5" t="s">
        <v>144</v>
      </c>
      <c r="AL9" s="4" t="s">
        <v>1301</v>
      </c>
      <c r="AM9" s="4" t="s">
        <v>1302</v>
      </c>
      <c r="AN9" s="148">
        <v>0.394432</v>
      </c>
      <c r="AO9" s="148">
        <v>0</v>
      </c>
    </row>
    <row r="10" spans="1:41">
      <c r="A10" s="5" t="s">
        <v>1297</v>
      </c>
      <c r="B10" s="5" t="s">
        <v>1316</v>
      </c>
      <c r="C10" s="5" t="s">
        <v>1055</v>
      </c>
      <c r="D10" s="1" t="s">
        <v>1317</v>
      </c>
      <c r="E10" s="5" t="s">
        <v>89</v>
      </c>
      <c r="F10" s="165">
        <v>3.6469999999999998</v>
      </c>
      <c r="G10" s="131">
        <v>-814600</v>
      </c>
      <c r="H10" s="124">
        <v>-809.24</v>
      </c>
      <c r="I10" s="132">
        <v>0.48926799999999998</v>
      </c>
      <c r="J10" s="124">
        <v>-1.2E-5</v>
      </c>
      <c r="K10" s="4" t="s">
        <v>1317</v>
      </c>
      <c r="L10" s="5" t="s">
        <v>34</v>
      </c>
      <c r="M10" s="166">
        <v>1</v>
      </c>
      <c r="N10" s="132">
        <v>3049455.1</v>
      </c>
      <c r="O10" s="132">
        <v>3049.46</v>
      </c>
      <c r="P10" s="132">
        <v>4.3999999999999999E-5</v>
      </c>
      <c r="Q10" s="132">
        <v>0.48075000000000001</v>
      </c>
      <c r="R10" s="131">
        <v>98.17</v>
      </c>
      <c r="S10" s="4" t="s">
        <v>30</v>
      </c>
      <c r="T10" s="11" t="s">
        <v>30</v>
      </c>
      <c r="U10" s="5" t="s">
        <v>756</v>
      </c>
      <c r="V10" s="5" t="s">
        <v>939</v>
      </c>
      <c r="W10" s="169" t="s">
        <v>2518</v>
      </c>
      <c r="X10" s="5" t="s">
        <v>915</v>
      </c>
      <c r="Y10" s="5" t="s">
        <v>144</v>
      </c>
      <c r="Z10" s="1" t="s">
        <v>1299</v>
      </c>
      <c r="AA10" s="17" t="s">
        <v>1300</v>
      </c>
      <c r="AB10" s="5" t="s">
        <v>915</v>
      </c>
      <c r="AC10" s="5" t="s">
        <v>917</v>
      </c>
      <c r="AD10" s="5" t="s">
        <v>350</v>
      </c>
      <c r="AE10" s="5" t="s">
        <v>935</v>
      </c>
      <c r="AF10" s="5" t="s">
        <v>915</v>
      </c>
      <c r="AG10" s="5" t="s">
        <v>915</v>
      </c>
      <c r="AH10" s="121" t="s">
        <v>915</v>
      </c>
      <c r="AI10" s="131">
        <v>3.7435</v>
      </c>
      <c r="AJ10" s="5" t="s">
        <v>1301</v>
      </c>
      <c r="AK10" s="5" t="s">
        <v>144</v>
      </c>
      <c r="AL10" s="4" t="s">
        <v>1301</v>
      </c>
      <c r="AM10" s="4" t="s">
        <v>1302</v>
      </c>
      <c r="AN10" s="148">
        <v>0.37085899999999999</v>
      </c>
      <c r="AO10" s="148">
        <v>9.9999999999999995E-7</v>
      </c>
    </row>
    <row r="11" spans="1:41">
      <c r="A11" s="5" t="s">
        <v>1297</v>
      </c>
      <c r="B11" s="5" t="s">
        <v>1316</v>
      </c>
      <c r="C11" s="5" t="s">
        <v>1055</v>
      </c>
      <c r="D11" s="1" t="s">
        <v>1318</v>
      </c>
      <c r="E11" s="5" t="s">
        <v>89</v>
      </c>
      <c r="F11" s="165">
        <v>3.6469999999999998</v>
      </c>
      <c r="G11" s="131">
        <v>-814600</v>
      </c>
      <c r="H11" s="124">
        <v>-814.42</v>
      </c>
      <c r="I11" s="132">
        <v>0.4924</v>
      </c>
      <c r="J11" s="124">
        <v>-1.2E-5</v>
      </c>
      <c r="K11" s="4" t="s">
        <v>1318</v>
      </c>
      <c r="L11" s="5" t="s">
        <v>34</v>
      </c>
      <c r="M11" s="166">
        <v>1</v>
      </c>
      <c r="N11" s="132">
        <v>3058578.6</v>
      </c>
      <c r="O11" s="132">
        <v>3058.58</v>
      </c>
      <c r="P11" s="132">
        <v>4.3999999999999999E-5</v>
      </c>
      <c r="Q11" s="132">
        <v>0.48218800000000001</v>
      </c>
      <c r="R11" s="131">
        <v>88.38</v>
      </c>
      <c r="S11" s="4" t="s">
        <v>30</v>
      </c>
      <c r="T11" s="11" t="s">
        <v>30</v>
      </c>
      <c r="U11" s="5" t="s">
        <v>756</v>
      </c>
      <c r="V11" s="5" t="s">
        <v>939</v>
      </c>
      <c r="W11" s="169" t="s">
        <v>2518</v>
      </c>
      <c r="X11" s="5" t="s">
        <v>915</v>
      </c>
      <c r="Y11" s="5" t="s">
        <v>144</v>
      </c>
      <c r="Z11" s="1" t="s">
        <v>1304</v>
      </c>
      <c r="AA11" s="17" t="s">
        <v>1305</v>
      </c>
      <c r="AB11" s="5" t="s">
        <v>915</v>
      </c>
      <c r="AC11" s="5" t="s">
        <v>917</v>
      </c>
      <c r="AD11" s="5" t="s">
        <v>350</v>
      </c>
      <c r="AE11" s="5" t="s">
        <v>935</v>
      </c>
      <c r="AF11" s="5" t="s">
        <v>915</v>
      </c>
      <c r="AG11" s="5" t="s">
        <v>915</v>
      </c>
      <c r="AH11" s="121" t="s">
        <v>915</v>
      </c>
      <c r="AI11" s="131">
        <v>3.7547000000000001</v>
      </c>
      <c r="AJ11" s="5" t="s">
        <v>1301</v>
      </c>
      <c r="AK11" s="5" t="s">
        <v>144</v>
      </c>
      <c r="AL11" s="4" t="s">
        <v>1301</v>
      </c>
      <c r="AM11" s="4" t="s">
        <v>1302</v>
      </c>
      <c r="AN11" s="148">
        <v>0.33387499999999998</v>
      </c>
      <c r="AO11" s="148">
        <v>9.9999999999999995E-7</v>
      </c>
    </row>
    <row r="12" spans="1:41">
      <c r="A12" s="5" t="s">
        <v>1297</v>
      </c>
      <c r="B12" s="5" t="s">
        <v>1316</v>
      </c>
      <c r="C12" s="5" t="s">
        <v>1055</v>
      </c>
      <c r="D12" s="1" t="s">
        <v>1319</v>
      </c>
      <c r="E12" s="5" t="s">
        <v>1181</v>
      </c>
      <c r="F12" s="165">
        <v>3.7964000000000002</v>
      </c>
      <c r="G12" s="131">
        <v>-310000</v>
      </c>
      <c r="H12" s="124">
        <v>-310.23</v>
      </c>
      <c r="I12" s="132">
        <v>0.18756600000000001</v>
      </c>
      <c r="J12" s="124">
        <v>-3.9999999999999998E-6</v>
      </c>
      <c r="K12" s="4" t="s">
        <v>1319</v>
      </c>
      <c r="L12" s="5" t="s">
        <v>34</v>
      </c>
      <c r="M12" s="166">
        <v>1</v>
      </c>
      <c r="N12" s="132">
        <v>1237520</v>
      </c>
      <c r="O12" s="132">
        <v>1237.52</v>
      </c>
      <c r="P12" s="132">
        <v>1.8E-5</v>
      </c>
      <c r="Q12" s="132">
        <v>0.19509599999999999</v>
      </c>
      <c r="R12" s="131">
        <v>59.76</v>
      </c>
      <c r="S12" s="4" t="s">
        <v>30</v>
      </c>
      <c r="T12" s="11" t="s">
        <v>30</v>
      </c>
      <c r="U12" s="5" t="s">
        <v>756</v>
      </c>
      <c r="V12" s="5" t="s">
        <v>939</v>
      </c>
      <c r="W12" s="169" t="s">
        <v>2518</v>
      </c>
      <c r="X12" s="5" t="s">
        <v>915</v>
      </c>
      <c r="Y12" s="5" t="s">
        <v>144</v>
      </c>
      <c r="Z12" s="1" t="s">
        <v>1304</v>
      </c>
      <c r="AA12" s="17" t="s">
        <v>1305</v>
      </c>
      <c r="AB12" s="5" t="s">
        <v>915</v>
      </c>
      <c r="AC12" s="5" t="s">
        <v>917</v>
      </c>
      <c r="AD12" s="5" t="s">
        <v>350</v>
      </c>
      <c r="AE12" s="5" t="s">
        <v>935</v>
      </c>
      <c r="AF12" s="5" t="s">
        <v>915</v>
      </c>
      <c r="AG12" s="5" t="s">
        <v>915</v>
      </c>
      <c r="AH12" s="121" t="s">
        <v>915</v>
      </c>
      <c r="AI12" s="131">
        <v>3.992</v>
      </c>
      <c r="AJ12" s="5" t="s">
        <v>1301</v>
      </c>
      <c r="AK12" s="5" t="s">
        <v>144</v>
      </c>
      <c r="AL12" s="4" t="s">
        <v>1301</v>
      </c>
      <c r="AM12" s="4" t="s">
        <v>1302</v>
      </c>
      <c r="AN12" s="148">
        <v>0.22575600000000001</v>
      </c>
      <c r="AO12" s="148">
        <v>9.9999999999999995E-7</v>
      </c>
    </row>
    <row r="13" spans="1:41">
      <c r="A13" s="5" t="s">
        <v>1297</v>
      </c>
      <c r="B13" s="5" t="s">
        <v>1316</v>
      </c>
      <c r="C13" s="5" t="s">
        <v>1055</v>
      </c>
      <c r="D13" s="1" t="s">
        <v>1320</v>
      </c>
      <c r="E13" s="5" t="s">
        <v>89</v>
      </c>
      <c r="F13" s="165">
        <v>3.6469999999999998</v>
      </c>
      <c r="G13" s="131">
        <v>280000</v>
      </c>
      <c r="H13" s="124">
        <v>279.91000000000003</v>
      </c>
      <c r="I13" s="132">
        <v>-0.169234</v>
      </c>
      <c r="J13" s="124">
        <v>3.9999999999999998E-6</v>
      </c>
      <c r="K13" s="4" t="s">
        <v>1320</v>
      </c>
      <c r="L13" s="5" t="s">
        <v>34</v>
      </c>
      <c r="M13" s="166">
        <v>1</v>
      </c>
      <c r="N13" s="132">
        <v>-1002428</v>
      </c>
      <c r="O13" s="132">
        <v>-1002.43</v>
      </c>
      <c r="P13" s="132">
        <v>-1.4E-5</v>
      </c>
      <c r="Q13" s="132">
        <v>-0.15803400000000001</v>
      </c>
      <c r="R13" s="131">
        <v>18.399999999999999</v>
      </c>
      <c r="S13" s="4" t="s">
        <v>30</v>
      </c>
      <c r="T13" s="11" t="s">
        <v>30</v>
      </c>
      <c r="U13" s="5" t="s">
        <v>756</v>
      </c>
      <c r="V13" s="5" t="s">
        <v>939</v>
      </c>
      <c r="W13" s="169" t="s">
        <v>2518</v>
      </c>
      <c r="X13" s="5" t="s">
        <v>915</v>
      </c>
      <c r="Y13" s="5" t="s">
        <v>144</v>
      </c>
      <c r="Z13" s="1" t="s">
        <v>1310</v>
      </c>
      <c r="AA13" s="17" t="s">
        <v>1305</v>
      </c>
      <c r="AB13" s="5" t="s">
        <v>915</v>
      </c>
      <c r="AC13" s="5" t="s">
        <v>917</v>
      </c>
      <c r="AD13" s="5" t="s">
        <v>350</v>
      </c>
      <c r="AE13" s="5" t="s">
        <v>935</v>
      </c>
      <c r="AF13" s="5" t="s">
        <v>915</v>
      </c>
      <c r="AG13" s="5" t="s">
        <v>915</v>
      </c>
      <c r="AH13" s="121" t="s">
        <v>915</v>
      </c>
      <c r="AI13" s="131">
        <v>3.5800999999999998</v>
      </c>
      <c r="AJ13" s="5" t="s">
        <v>1301</v>
      </c>
      <c r="AK13" s="5" t="s">
        <v>144</v>
      </c>
      <c r="AL13" s="4" t="s">
        <v>1301</v>
      </c>
      <c r="AM13" s="4" t="s">
        <v>1302</v>
      </c>
      <c r="AN13" s="148">
        <v>6.9510000000000002E-2</v>
      </c>
      <c r="AO13" s="148">
        <v>0</v>
      </c>
    </row>
  </sheetData>
  <dataValidations count="11">
    <dataValidation type="list" allowBlank="1" showInputMessage="1" showErrorMessage="1" sqref="U2:U13" xr:uid="{00000000-0002-0000-1600-000000000000}">
      <formula1>Underlying_Asset</formula1>
    </dataValidation>
    <dataValidation type="list" allowBlank="1" showInputMessage="1" showErrorMessage="1" sqref="AG2:AG13 AB2:AB13" xr:uid="{00000000-0002-0000-1600-000001000000}">
      <formula1>Reset_frequency</formula1>
    </dataValidation>
    <dataValidation type="list" allowBlank="1" showInputMessage="1" showErrorMessage="1" sqref="S2:S13" xr:uid="{00000000-0002-0000-1600-000002000000}">
      <formula1>israel_abroad</formula1>
    </dataValidation>
    <dataValidation type="list" allowBlank="1" showInputMessage="1" showErrorMessage="1" sqref="Y2:Y13 AD2:AD13" xr:uid="{00000000-0002-0000-1600-000003000000}">
      <formula1>Holding_interest</formula1>
    </dataValidation>
    <dataValidation type="list" allowBlank="1" showInputMessage="1" showErrorMessage="1" sqref="AC2:AC13" xr:uid="{00000000-0002-0000-1600-000004000000}">
      <formula1>Delivery</formula1>
    </dataValidation>
    <dataValidation type="list" allowBlank="1" showInputMessage="1" showErrorMessage="1" sqref="V2:V13" xr:uid="{00000000-0002-0000-1600-000006000000}">
      <formula1>Leading_factor</formula1>
    </dataValidation>
    <dataValidation type="list" allowBlank="1" showInputMessage="1" showErrorMessage="1" sqref="T2:T13" xr:uid="{00000000-0002-0000-1600-000007000000}">
      <formula1>Country_list</formula1>
    </dataValidation>
    <dataValidation allowBlank="1" showInputMessage="1" showErrorMessage="1" sqref="M2:N13 P2:R13 I2:K13 D2:D13 Z2:Z13" xr:uid="{00000000-0002-0000-1600-000009000000}"/>
    <dataValidation type="list" allowBlank="1" showInputMessage="1" showErrorMessage="1" sqref="AF2:AF13" xr:uid="{00000000-0002-0000-1600-00000B000000}">
      <formula1>Underlying_Interest_Rates</formula1>
    </dataValidation>
    <dataValidation type="list" allowBlank="1" showInputMessage="1" showErrorMessage="1" sqref="AK2:AK13" xr:uid="{00000000-0002-0000-1600-00000C000000}">
      <formula1>Penalty</formula1>
    </dataValidation>
    <dataValidation type="list" allowBlank="1" showInputMessage="1" showErrorMessage="1" sqref="AE3:AE13" xr:uid="{00000000-0002-0000-1600-00000E000000}">
      <formula1>$C$535:$C$536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600-000010000000}">
          <x14:formula1>
            <xm:f>'אפשרויות בחירה'!$C$690:$C$691</xm:f>
          </x14:formula1>
          <xm:sqref>AE2</xm:sqref>
        </x14:dataValidation>
        <x14:dataValidation type="list" allowBlank="1" showInputMessage="1" showErrorMessage="1" xr:uid="{00000000-0002-0000-1600-000011000000}">
          <x14:formula1>
            <xm:f>'אפשרויות בחירה'!$C$977:$C$985</xm:f>
          </x14:formula1>
          <xm:sqref>C2:C13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2"/>
  <sheetViews>
    <sheetView rightToLeft="1" zoomScale="70" zoomScaleNormal="70" workbookViewId="0">
      <selection activeCell="P2" sqref="P2"/>
    </sheetView>
  </sheetViews>
  <sheetFormatPr defaultColWidth="0" defaultRowHeight="14.25" zeroHeight="1"/>
  <cols>
    <col min="1" max="53" width="11.625" customWidth="1"/>
  </cols>
  <sheetData>
    <row r="1" spans="1:53" ht="66.75" customHeight="1">
      <c r="A1" s="12" t="s">
        <v>0</v>
      </c>
      <c r="B1" s="12" t="s">
        <v>1</v>
      </c>
      <c r="C1" s="12" t="s">
        <v>125</v>
      </c>
      <c r="D1" s="12" t="s">
        <v>126</v>
      </c>
      <c r="E1" s="12" t="s">
        <v>127</v>
      </c>
      <c r="F1" s="12" t="s">
        <v>128</v>
      </c>
      <c r="G1" s="12" t="s">
        <v>5</v>
      </c>
      <c r="H1" s="12" t="s">
        <v>1158</v>
      </c>
      <c r="I1" s="12" t="s">
        <v>6</v>
      </c>
      <c r="J1" s="12" t="s">
        <v>7</v>
      </c>
      <c r="K1" s="12" t="s">
        <v>154</v>
      </c>
      <c r="L1" s="12" t="s">
        <v>130</v>
      </c>
      <c r="M1" s="12" t="s">
        <v>1159</v>
      </c>
      <c r="N1" s="12" t="s">
        <v>1160</v>
      </c>
      <c r="O1" s="155" t="s">
        <v>1161</v>
      </c>
      <c r="P1" s="12" t="s">
        <v>9</v>
      </c>
      <c r="Q1" s="12" t="s">
        <v>10</v>
      </c>
      <c r="R1" s="12" t="s">
        <v>131</v>
      </c>
      <c r="S1" s="12" t="s">
        <v>11</v>
      </c>
      <c r="T1" s="12" t="s">
        <v>12</v>
      </c>
      <c r="U1" s="12" t="s">
        <v>132</v>
      </c>
      <c r="V1" s="135" t="s">
        <v>14</v>
      </c>
      <c r="W1" s="12" t="s">
        <v>763</v>
      </c>
      <c r="X1" s="12" t="s">
        <v>919</v>
      </c>
      <c r="Y1" s="162" t="s">
        <v>1163</v>
      </c>
      <c r="Z1" s="139" t="s">
        <v>15</v>
      </c>
      <c r="AA1" s="12" t="s">
        <v>13</v>
      </c>
      <c r="AB1" s="12" t="s">
        <v>420</v>
      </c>
      <c r="AC1" s="12" t="s">
        <v>768</v>
      </c>
      <c r="AD1" s="164" t="s">
        <v>1164</v>
      </c>
      <c r="AE1" s="139" t="s">
        <v>1165</v>
      </c>
      <c r="AF1" s="155" t="s">
        <v>1166</v>
      </c>
      <c r="AG1" s="12" t="s">
        <v>791</v>
      </c>
      <c r="AH1" s="12" t="s">
        <v>792</v>
      </c>
      <c r="AI1" s="12" t="s">
        <v>1167</v>
      </c>
      <c r="AJ1" s="12" t="s">
        <v>798</v>
      </c>
      <c r="AK1" s="12" t="s">
        <v>155</v>
      </c>
      <c r="AL1" s="12" t="s">
        <v>168</v>
      </c>
      <c r="AM1" s="12" t="s">
        <v>156</v>
      </c>
      <c r="AN1" s="155" t="s">
        <v>139</v>
      </c>
      <c r="AO1" s="155" t="s">
        <v>157</v>
      </c>
      <c r="AP1" s="135" t="s">
        <v>1168</v>
      </c>
      <c r="AQ1" s="12" t="s">
        <v>1169</v>
      </c>
      <c r="AR1" s="144" t="s">
        <v>1170</v>
      </c>
      <c r="AS1" s="133" t="s">
        <v>18</v>
      </c>
      <c r="AT1" s="12" t="s">
        <v>20</v>
      </c>
      <c r="AU1" s="12" t="s">
        <v>169</v>
      </c>
      <c r="AV1" s="12" t="s">
        <v>21</v>
      </c>
      <c r="AW1" s="12" t="s">
        <v>170</v>
      </c>
      <c r="AX1" s="12" t="s">
        <v>841</v>
      </c>
      <c r="AY1" s="12" t="s">
        <v>22</v>
      </c>
      <c r="AZ1" s="139" t="s">
        <v>24</v>
      </c>
      <c r="BA1" s="139" t="s">
        <v>25</v>
      </c>
    </row>
    <row r="2" spans="1:53">
      <c r="A2" s="2">
        <v>382</v>
      </c>
      <c r="B2" s="2">
        <v>382</v>
      </c>
      <c r="C2" s="13" t="s">
        <v>1321</v>
      </c>
      <c r="D2" s="13" t="s">
        <v>1322</v>
      </c>
      <c r="E2" s="13" t="s">
        <v>1323</v>
      </c>
      <c r="F2" s="13" t="s">
        <v>1324</v>
      </c>
      <c r="G2" s="13" t="s">
        <v>1049</v>
      </c>
      <c r="H2" s="2"/>
      <c r="I2" s="11" t="s">
        <v>30</v>
      </c>
      <c r="J2" s="11" t="s">
        <v>30</v>
      </c>
      <c r="K2" s="13" t="s">
        <v>487</v>
      </c>
      <c r="L2" s="13" t="s">
        <v>144</v>
      </c>
      <c r="M2" s="13" t="s">
        <v>144</v>
      </c>
      <c r="N2" s="13"/>
      <c r="O2" s="156" t="s">
        <v>1325</v>
      </c>
      <c r="P2" s="13" t="s">
        <v>186</v>
      </c>
      <c r="Q2" s="13" t="s">
        <v>186</v>
      </c>
      <c r="R2" s="13" t="s">
        <v>418</v>
      </c>
      <c r="S2" s="11" t="s">
        <v>34</v>
      </c>
      <c r="T2" s="127">
        <v>2.5299999999999998</v>
      </c>
      <c r="U2" s="13" t="s">
        <v>839</v>
      </c>
      <c r="V2" s="147">
        <v>5.5597000000000001E-2</v>
      </c>
      <c r="W2" s="13" t="s">
        <v>767</v>
      </c>
      <c r="X2" s="13" t="s">
        <v>915</v>
      </c>
      <c r="Y2" s="163">
        <v>0</v>
      </c>
      <c r="Z2" s="148">
        <v>5.1200000000000002E-2</v>
      </c>
      <c r="AA2" s="13" t="s">
        <v>1326</v>
      </c>
      <c r="AB2" s="11" t="s">
        <v>422</v>
      </c>
      <c r="AC2" s="13"/>
      <c r="AD2" s="13"/>
      <c r="AE2" s="148">
        <v>0</v>
      </c>
      <c r="AF2" s="13"/>
      <c r="AG2" s="13" t="s">
        <v>144</v>
      </c>
      <c r="AH2" s="13"/>
      <c r="AI2" s="2"/>
      <c r="AJ2" s="2" t="s">
        <v>144</v>
      </c>
      <c r="AK2" s="13" t="s">
        <v>904</v>
      </c>
      <c r="AL2" s="13" t="s">
        <v>1327</v>
      </c>
      <c r="AM2" s="13" t="s">
        <v>1328</v>
      </c>
      <c r="AN2" s="157" t="s">
        <v>145</v>
      </c>
      <c r="AO2" s="2"/>
      <c r="AP2" s="138">
        <v>0</v>
      </c>
      <c r="AQ2" s="125">
        <v>88439250.510000005</v>
      </c>
      <c r="AR2" s="150">
        <v>102.304</v>
      </c>
      <c r="AS2" s="149">
        <v>1</v>
      </c>
      <c r="AT2" s="127">
        <v>90476.672000000006</v>
      </c>
      <c r="AU2" s="130">
        <v>90476.672000000006</v>
      </c>
      <c r="AV2" s="18"/>
      <c r="AW2" s="18"/>
      <c r="AX2" s="11" t="s">
        <v>144</v>
      </c>
      <c r="AY2" s="13" t="s">
        <v>36</v>
      </c>
      <c r="AZ2" s="148">
        <v>1</v>
      </c>
      <c r="BA2" s="148">
        <v>3.1476744112510599E-2</v>
      </c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" xr:uid="{00000000-0002-0000-1700-000000000000}">
      <formula1>Industry_sectors</formula1>
    </dataValidation>
    <dataValidation type="list" allowBlank="1" showInputMessage="1" showErrorMessage="1" sqref="L2" xr:uid="{00000000-0002-0000-1700-000001000000}">
      <formula1>Holding_interest</formula1>
    </dataValidation>
    <dataValidation type="list" allowBlank="1" showInputMessage="1" showErrorMessage="1" sqref="P2 Q2" xr:uid="{00000000-0002-0000-1700-000002000000}">
      <formula1>Rating_Agency</formula1>
    </dataValidation>
    <dataValidation type="list" allowBlank="1" showInputMessage="1" showErrorMessage="1" sqref="M2" xr:uid="{00000000-0002-0000-1700-000003000000}">
      <formula1>Consortium</formula1>
    </dataValidation>
    <dataValidation type="list" allowBlank="1" showInputMessage="1" showErrorMessage="1" sqref="W2" xr:uid="{00000000-0002-0000-1700-000004000000}">
      <formula1>Linked_Type</formula1>
    </dataValidation>
    <dataValidation type="list" allowBlank="1" showInputMessage="1" showErrorMessage="1" sqref="AC2" xr:uid="{00000000-0002-0000-1700-000005000000}">
      <formula1>Type_of_Security</formula1>
    </dataValidation>
    <dataValidation type="list" allowBlank="1" showInputMessage="1" showErrorMessage="1" sqref="AM2" xr:uid="{00000000-0002-0000-1700-000006000000}">
      <formula1>Dependence_Independence</formula1>
    </dataValidation>
    <dataValidation type="list" allowBlank="1" showInputMessage="1" showErrorMessage="1" sqref="J2" xr:uid="{00000000-0002-0000-1700-000007000000}">
      <formula1>Country_list</formula1>
    </dataValidation>
    <dataValidation type="list" allowBlank="1" showInputMessage="1" showErrorMessage="1" sqref="AH2" xr:uid="{00000000-0002-0000-1700-000008000000}">
      <formula1>Amoritization</formula1>
    </dataValidation>
    <dataValidation type="list" allowBlank="1" showInputMessage="1" showErrorMessage="1" sqref="U2" xr:uid="{00000000-0002-0000-1700-000009000000}">
      <formula1>Type_of_Interest_Rate</formula1>
    </dataValidation>
    <dataValidation type="list" allowBlank="1" showInputMessage="1" showErrorMessage="1" sqref="AK2" xr:uid="{00000000-0002-0000-1700-00000A000000}">
      <formula1>Valuation_Loans</formula1>
    </dataValidation>
    <dataValidation type="list" allowBlank="1" showInputMessage="1" showErrorMessage="1" sqref="X2" xr:uid="{00000000-0002-0000-1700-00000B000000}">
      <formula1>Underlying_Interest_Rates</formula1>
    </dataValidation>
    <dataValidation type="list" allowBlank="1" showInputMessage="1" showErrorMessage="1" sqref="AB2" xr:uid="{00000000-0002-0000-1700-00000C000000}">
      <formula1>Subordination_Risk</formula1>
    </dataValidation>
    <dataValidation type="list" allowBlank="1" showInputMessage="1" showErrorMessage="1" sqref="AX2" xr:uid="{00000000-0002-0000-1700-00000D000000}">
      <formula1>Yes_No_Bad_Debt</formula1>
    </dataValidation>
    <dataValidation type="list" allowBlank="1" showInputMessage="1" showErrorMessage="1" sqref="AG2" xr:uid="{00000000-0002-0000-1700-00000E000000}">
      <formula1>Recourse_Nonrecourse</formula1>
    </dataValidation>
    <dataValidation type="list" allowBlank="1" showInputMessage="1" showErrorMessage="1" sqref="AJ2" xr:uid="{00000000-0002-0000-1700-00000F000000}">
      <formula1>Repayment_Rights</formula1>
    </dataValidation>
    <dataValidation type="list" allowBlank="1" showInputMessage="1" showErrorMessage="1" sqref="D2" xr:uid="{00000000-0002-0000-1700-000010000000}">
      <formula1>issuer_number_loan</formula1>
    </dataValidation>
    <dataValidation type="list" allowBlank="1" showInputMessage="1" showErrorMessage="1" sqref="H2" xr:uid="{00000000-0002-0000-1700-000011000000}">
      <formula1>real_estate_loans</formula1>
    </dataValidation>
    <dataValidation type="list" allowBlank="1" showInputMessage="1" showErrorMessage="1" sqref="I2" xr:uid="{00000000-0002-0000-1700-000012000000}">
      <formula1>israel_abroad</formula1>
    </dataValidation>
    <dataValidation type="list" allowBlank="1" showInputMessage="1" showErrorMessage="1" sqref="AY2" xr:uid="{00000000-0002-0000-1700-000013000000}">
      <formula1 xml:space="preserve"> In_the_books</formula1>
    </dataValidation>
    <dataValidation type="list" allowBlank="1" showInputMessage="1" showErrorMessage="1" sqref="R2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"/>
  <sheetViews>
    <sheetView rightToLeft="1" zoomScale="70" zoomScaleNormal="70" workbookViewId="0">
      <selection activeCell="O2" sqref="O2"/>
    </sheetView>
  </sheetViews>
  <sheetFormatPr defaultColWidth="0" defaultRowHeight="14.25" zeroHeight="1"/>
  <cols>
    <col min="1" max="16" width="11.625" customWidth="1"/>
    <col min="17" max="17" width="13.375" customWidth="1"/>
    <col min="18" max="30" width="11.625" customWidth="1"/>
  </cols>
  <sheetData>
    <row r="1" spans="1:30" ht="66.75" customHeight="1">
      <c r="A1" s="12" t="s">
        <v>0</v>
      </c>
      <c r="B1" s="12" t="s">
        <v>1</v>
      </c>
      <c r="C1" s="12" t="s">
        <v>2</v>
      </c>
      <c r="D1" s="12" t="s">
        <v>151</v>
      </c>
      <c r="E1" s="12" t="s">
        <v>152</v>
      </c>
      <c r="F1" s="12" t="s">
        <v>3</v>
      </c>
      <c r="G1" s="12" t="s">
        <v>4</v>
      </c>
      <c r="H1" s="12" t="s">
        <v>153</v>
      </c>
      <c r="I1" s="12" t="s">
        <v>5</v>
      </c>
      <c r="J1" s="12" t="s">
        <v>6</v>
      </c>
      <c r="K1" s="12" t="s">
        <v>7</v>
      </c>
      <c r="L1" s="12" t="s">
        <v>130</v>
      </c>
      <c r="M1" s="12" t="s">
        <v>177</v>
      </c>
      <c r="N1" s="155" t="s">
        <v>162</v>
      </c>
      <c r="O1" s="12" t="s">
        <v>9</v>
      </c>
      <c r="P1" s="12" t="s">
        <v>10</v>
      </c>
      <c r="Q1" s="12" t="s">
        <v>178</v>
      </c>
      <c r="R1" s="12" t="s">
        <v>11</v>
      </c>
      <c r="S1" s="12" t="s">
        <v>12</v>
      </c>
      <c r="T1" s="135" t="s">
        <v>14</v>
      </c>
      <c r="U1" s="139" t="s">
        <v>15</v>
      </c>
      <c r="V1" s="12" t="s">
        <v>155</v>
      </c>
      <c r="W1" s="12" t="s">
        <v>156</v>
      </c>
      <c r="X1" s="155" t="s">
        <v>139</v>
      </c>
      <c r="Y1" s="12" t="s">
        <v>17</v>
      </c>
      <c r="Z1" s="133" t="s">
        <v>18</v>
      </c>
      <c r="AA1" s="144" t="s">
        <v>19</v>
      </c>
      <c r="AB1" s="12" t="s">
        <v>20</v>
      </c>
      <c r="AC1" s="139" t="s">
        <v>24</v>
      </c>
      <c r="AD1" s="139" t="s">
        <v>25</v>
      </c>
    </row>
    <row r="2" spans="1:30">
      <c r="A2" s="13">
        <v>382</v>
      </c>
      <c r="B2" s="13">
        <v>382</v>
      </c>
      <c r="C2" s="13" t="s">
        <v>179</v>
      </c>
      <c r="D2" s="13" t="s">
        <v>180</v>
      </c>
      <c r="E2" s="11" t="s">
        <v>181</v>
      </c>
      <c r="F2" s="13" t="s">
        <v>182</v>
      </c>
      <c r="G2" s="13" t="s">
        <v>183</v>
      </c>
      <c r="H2" s="13" t="s">
        <v>184</v>
      </c>
      <c r="I2" s="13"/>
      <c r="J2" s="11" t="s">
        <v>85</v>
      </c>
      <c r="K2" s="11" t="s">
        <v>94</v>
      </c>
      <c r="L2" s="13" t="s">
        <v>144</v>
      </c>
      <c r="M2" s="13" t="s">
        <v>86</v>
      </c>
      <c r="N2" s="156" t="s">
        <v>185</v>
      </c>
      <c r="O2" s="13" t="s">
        <v>186</v>
      </c>
      <c r="P2" s="13" t="s">
        <v>186</v>
      </c>
      <c r="Q2" s="13" t="s">
        <v>186</v>
      </c>
      <c r="R2" s="11" t="s">
        <v>89</v>
      </c>
      <c r="S2" s="127">
        <v>0</v>
      </c>
      <c r="T2" s="147">
        <v>0</v>
      </c>
      <c r="U2" s="148">
        <v>0</v>
      </c>
      <c r="V2" s="13" t="s">
        <v>86</v>
      </c>
      <c r="W2" s="13" t="s">
        <v>187</v>
      </c>
      <c r="X2" s="157" t="s">
        <v>188</v>
      </c>
      <c r="Y2" s="127">
        <v>82</v>
      </c>
      <c r="Z2" s="149">
        <v>3.6469999999999998</v>
      </c>
      <c r="AA2" s="150">
        <v>2.7E-2</v>
      </c>
      <c r="AB2" s="127">
        <v>0</v>
      </c>
      <c r="AC2" s="148">
        <v>1</v>
      </c>
      <c r="AD2" s="148">
        <v>2.8527718237757698E-11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" xr:uid="{00000000-0002-0000-1800-000000000000}">
      <formula1>israel_abroad</formula1>
    </dataValidation>
    <dataValidation type="list" allowBlank="1" showInputMessage="1" showErrorMessage="1" sqref="L2" xr:uid="{00000000-0002-0000-1800-000001000000}">
      <formula1>Holding_interest</formula1>
    </dataValidation>
    <dataValidation type="list" allowBlank="1" showInputMessage="1" showErrorMessage="1" sqref="O2 P2" xr:uid="{00000000-0002-0000-1800-000002000000}">
      <formula1>Rating_Agency</formula1>
    </dataValidation>
    <dataValidation type="list" allowBlank="1" showInputMessage="1" showErrorMessage="1" sqref="Q2" xr:uid="{00000000-0002-0000-1800-000003000000}">
      <formula1>What_is_rated</formula1>
    </dataValidation>
    <dataValidation type="list" allowBlank="1" showInputMessage="1" showErrorMessage="1" sqref="V2" xr:uid="{00000000-0002-0000-1800-000004000000}">
      <formula1>Valuation</formula1>
    </dataValidation>
    <dataValidation type="list" allowBlank="1" showInputMessage="1" showErrorMessage="1" sqref="W2" xr:uid="{00000000-0002-0000-1800-000005000000}">
      <formula1>Dependence_Independence</formula1>
    </dataValidation>
    <dataValidation type="list" allowBlank="1" showInputMessage="1" showErrorMessage="1" sqref="K2" xr:uid="{00000000-0002-0000-1800-000006000000}">
      <formula1>Country_list</formula1>
    </dataValidation>
    <dataValidation type="list" allowBlank="1" showInputMessage="1" showErrorMessage="1" sqref="H2" xr:uid="{00000000-0002-0000-1800-000007000000}">
      <formula1>Type_of_Security_ID_Fund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1"/>
  <sheetViews>
    <sheetView rightToLeft="1" zoomScale="70" zoomScaleNormal="70" workbookViewId="0">
      <selection activeCell="A2" sqref="A2"/>
    </sheetView>
  </sheetViews>
  <sheetFormatPr defaultColWidth="0" defaultRowHeight="14.25" zeroHeight="1"/>
  <cols>
    <col min="1" max="22" width="11.625" customWidth="1"/>
  </cols>
  <sheetData>
    <row r="1" spans="1:22" ht="66.75" customHeight="1">
      <c r="A1" s="12" t="s">
        <v>0</v>
      </c>
      <c r="B1" s="12" t="s">
        <v>1</v>
      </c>
      <c r="C1" s="12" t="s">
        <v>171</v>
      </c>
      <c r="D1" s="12" t="s">
        <v>172</v>
      </c>
      <c r="E1" s="12" t="s">
        <v>173</v>
      </c>
      <c r="F1" s="12" t="s">
        <v>5</v>
      </c>
      <c r="G1" s="12" t="s">
        <v>174</v>
      </c>
      <c r="H1" s="12" t="s">
        <v>6</v>
      </c>
      <c r="I1" s="12" t="s">
        <v>7</v>
      </c>
      <c r="J1" s="12" t="s">
        <v>130</v>
      </c>
      <c r="K1" s="12" t="s">
        <v>175</v>
      </c>
      <c r="L1" s="12" t="s">
        <v>10</v>
      </c>
      <c r="M1" s="12" t="s">
        <v>11</v>
      </c>
      <c r="N1" s="12" t="s">
        <v>12</v>
      </c>
      <c r="O1" s="120" t="s">
        <v>14</v>
      </c>
      <c r="P1" s="12" t="s">
        <v>15</v>
      </c>
      <c r="Q1" s="12" t="s">
        <v>140</v>
      </c>
      <c r="R1" s="12" t="s">
        <v>18</v>
      </c>
      <c r="S1" s="12" t="s">
        <v>176</v>
      </c>
      <c r="T1" s="12" t="s">
        <v>20</v>
      </c>
      <c r="U1" s="12" t="s">
        <v>24</v>
      </c>
      <c r="V1" s="12" t="s">
        <v>25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1"/>
  <sheetViews>
    <sheetView rightToLeft="1" zoomScale="70" zoomScaleNormal="70" workbookViewId="0"/>
  </sheetViews>
  <sheetFormatPr defaultColWidth="0" defaultRowHeight="14.25" zeroHeight="1"/>
  <cols>
    <col min="1" max="24" width="11.625" customWidth="1"/>
  </cols>
  <sheetData>
    <row r="1" spans="1:24" ht="66.75" customHeight="1">
      <c r="A1" s="12" t="s">
        <v>0</v>
      </c>
      <c r="B1" s="12" t="s">
        <v>1</v>
      </c>
      <c r="C1" s="12" t="s">
        <v>160</v>
      </c>
      <c r="D1" s="12" t="s">
        <v>5</v>
      </c>
      <c r="E1" s="12" t="s">
        <v>161</v>
      </c>
      <c r="F1" s="12" t="s">
        <v>130</v>
      </c>
      <c r="G1" s="12" t="s">
        <v>162</v>
      </c>
      <c r="H1" s="12" t="s">
        <v>163</v>
      </c>
      <c r="I1" s="12" t="s">
        <v>164</v>
      </c>
      <c r="J1" s="12" t="s">
        <v>165</v>
      </c>
      <c r="K1" s="12" t="s">
        <v>166</v>
      </c>
      <c r="L1" s="12" t="s">
        <v>167</v>
      </c>
      <c r="M1" s="12" t="s">
        <v>155</v>
      </c>
      <c r="N1" s="12" t="s">
        <v>168</v>
      </c>
      <c r="O1" s="12" t="s">
        <v>156</v>
      </c>
      <c r="P1" s="12" t="s">
        <v>139</v>
      </c>
      <c r="Q1" s="12" t="s">
        <v>11</v>
      </c>
      <c r="R1" s="12" t="s">
        <v>169</v>
      </c>
      <c r="S1" s="12" t="s">
        <v>20</v>
      </c>
      <c r="T1" s="12" t="s">
        <v>21</v>
      </c>
      <c r="U1" s="12" t="s">
        <v>170</v>
      </c>
      <c r="V1" s="12" t="s">
        <v>22</v>
      </c>
      <c r="W1" s="12" t="s">
        <v>24</v>
      </c>
      <c r="X1" s="12" t="s">
        <v>25</v>
      </c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1"/>
  <sheetViews>
    <sheetView rightToLeft="1" zoomScale="70" zoomScaleNormal="70" workbookViewId="0"/>
  </sheetViews>
  <sheetFormatPr defaultColWidth="0" defaultRowHeight="14.25" zeroHeight="1"/>
  <cols>
    <col min="1" max="23" width="11.625" customWidth="1"/>
  </cols>
  <sheetData>
    <row r="1" spans="1:23" ht="66.75" customHeight="1">
      <c r="A1" s="12" t="s">
        <v>0</v>
      </c>
      <c r="B1" s="12" t="s">
        <v>1</v>
      </c>
      <c r="C1" s="12" t="s">
        <v>2</v>
      </c>
      <c r="D1" s="12" t="s">
        <v>151</v>
      </c>
      <c r="E1" s="12" t="s">
        <v>152</v>
      </c>
      <c r="F1" s="12" t="s">
        <v>3</v>
      </c>
      <c r="G1" s="12" t="s">
        <v>4</v>
      </c>
      <c r="H1" s="12" t="s">
        <v>153</v>
      </c>
      <c r="I1" s="12" t="s">
        <v>5</v>
      </c>
      <c r="J1" s="12" t="s">
        <v>6</v>
      </c>
      <c r="K1" s="12" t="s">
        <v>7</v>
      </c>
      <c r="L1" s="12" t="s">
        <v>154</v>
      </c>
      <c r="M1" s="12" t="s">
        <v>130</v>
      </c>
      <c r="N1" s="12" t="s">
        <v>11</v>
      </c>
      <c r="O1" s="12" t="s">
        <v>155</v>
      </c>
      <c r="P1" s="12" t="s">
        <v>156</v>
      </c>
      <c r="Q1" s="12" t="s">
        <v>139</v>
      </c>
      <c r="R1" s="12" t="s">
        <v>157</v>
      </c>
      <c r="S1" s="12" t="s">
        <v>158</v>
      </c>
      <c r="T1" s="12" t="s">
        <v>159</v>
      </c>
      <c r="U1" s="12" t="s">
        <v>20</v>
      </c>
      <c r="V1" s="12" t="s">
        <v>24</v>
      </c>
      <c r="W1" s="12" t="s">
        <v>25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16"/>
  <sheetViews>
    <sheetView rightToLeft="1" zoomScale="70" zoomScaleNormal="70" workbookViewId="0"/>
  </sheetViews>
  <sheetFormatPr defaultColWidth="0" defaultRowHeight="14.25" zeroHeight="1"/>
  <cols>
    <col min="1" max="18" width="11.625" customWidth="1"/>
  </cols>
  <sheetData>
    <row r="1" spans="1:18" ht="66.75" customHeight="1">
      <c r="A1" s="12" t="s">
        <v>0</v>
      </c>
      <c r="B1" s="12" t="s">
        <v>1</v>
      </c>
      <c r="C1" s="12" t="s">
        <v>136</v>
      </c>
      <c r="D1" s="12" t="s">
        <v>137</v>
      </c>
      <c r="E1" s="12" t="s">
        <v>5</v>
      </c>
      <c r="F1" s="12" t="s">
        <v>6</v>
      </c>
      <c r="G1" s="12" t="s">
        <v>7</v>
      </c>
      <c r="H1" s="12" t="s">
        <v>130</v>
      </c>
      <c r="I1" s="155" t="s">
        <v>138</v>
      </c>
      <c r="J1" s="12" t="s">
        <v>11</v>
      </c>
      <c r="K1" s="155" t="s">
        <v>139</v>
      </c>
      <c r="L1" s="12" t="s">
        <v>140</v>
      </c>
      <c r="M1" s="133" t="s">
        <v>18</v>
      </c>
      <c r="N1" s="12" t="s">
        <v>20</v>
      </c>
      <c r="O1" s="12" t="s">
        <v>21</v>
      </c>
      <c r="P1" s="12" t="s">
        <v>22</v>
      </c>
      <c r="Q1" s="139" t="s">
        <v>24</v>
      </c>
      <c r="R1" s="139" t="s">
        <v>25</v>
      </c>
    </row>
    <row r="2" spans="1:18">
      <c r="A2" s="13">
        <v>382</v>
      </c>
      <c r="B2" s="13">
        <v>382</v>
      </c>
      <c r="C2" s="18" t="s">
        <v>141</v>
      </c>
      <c r="D2" s="18" t="s">
        <v>142</v>
      </c>
      <c r="E2" s="18" t="s">
        <v>143</v>
      </c>
      <c r="F2" s="11" t="s">
        <v>30</v>
      </c>
      <c r="G2" s="11" t="s">
        <v>30</v>
      </c>
      <c r="H2" s="13" t="s">
        <v>144</v>
      </c>
      <c r="I2" s="13"/>
      <c r="J2" s="11" t="s">
        <v>34</v>
      </c>
      <c r="K2" s="156" t="s">
        <v>145</v>
      </c>
      <c r="L2" s="125">
        <v>-918.76700000000005</v>
      </c>
      <c r="M2" s="149">
        <v>1</v>
      </c>
      <c r="N2" s="127">
        <v>-918.76700000000005</v>
      </c>
      <c r="O2" s="13"/>
      <c r="P2" s="11" t="s">
        <v>36</v>
      </c>
      <c r="Q2" s="148">
        <v>0.96585433769600404</v>
      </c>
      <c r="R2" s="148">
        <v>-3.1963799795331E-4</v>
      </c>
    </row>
    <row r="3" spans="1:18">
      <c r="A3" s="13">
        <v>382</v>
      </c>
      <c r="B3" s="13">
        <v>382</v>
      </c>
      <c r="C3" s="18" t="s">
        <v>146</v>
      </c>
      <c r="D3" s="13" t="s">
        <v>147</v>
      </c>
      <c r="E3" s="18" t="s">
        <v>148</v>
      </c>
      <c r="F3" s="11" t="s">
        <v>30</v>
      </c>
      <c r="G3" s="11" t="s">
        <v>30</v>
      </c>
      <c r="H3" s="13" t="s">
        <v>144</v>
      </c>
      <c r="I3" s="13"/>
      <c r="J3" s="11" t="s">
        <v>34</v>
      </c>
      <c r="K3" s="156" t="s">
        <v>145</v>
      </c>
      <c r="L3" s="125">
        <v>-150.173</v>
      </c>
      <c r="M3" s="149">
        <v>1</v>
      </c>
      <c r="N3" s="127">
        <v>-150.173</v>
      </c>
      <c r="O3" s="13"/>
      <c r="P3" s="11" t="s">
        <v>36</v>
      </c>
      <c r="Q3" s="148">
        <v>0.157869377901834</v>
      </c>
      <c r="R3" s="148">
        <v>-5.2244991735553898E-5</v>
      </c>
    </row>
    <row r="4" spans="1:18">
      <c r="A4" s="13">
        <v>382</v>
      </c>
      <c r="B4" s="13">
        <v>382</v>
      </c>
      <c r="C4" s="18" t="s">
        <v>149</v>
      </c>
      <c r="D4" s="13" t="s">
        <v>150</v>
      </c>
      <c r="E4" s="18" t="s">
        <v>143</v>
      </c>
      <c r="F4" s="11" t="s">
        <v>30</v>
      </c>
      <c r="G4" s="11" t="s">
        <v>30</v>
      </c>
      <c r="H4" s="13" t="s">
        <v>144</v>
      </c>
      <c r="I4" s="13"/>
      <c r="J4" s="11" t="s">
        <v>34</v>
      </c>
      <c r="K4" s="156" t="s">
        <v>145</v>
      </c>
      <c r="L4" s="125">
        <v>117.69199999999999</v>
      </c>
      <c r="M4" s="149">
        <v>1</v>
      </c>
      <c r="N4" s="127">
        <v>117.69199999999999</v>
      </c>
      <c r="O4" s="13"/>
      <c r="P4" s="11" t="s">
        <v>36</v>
      </c>
      <c r="Q4" s="148">
        <v>-0.123723715597838</v>
      </c>
      <c r="R4" s="148">
        <v>4.0944891180355802E-5</v>
      </c>
    </row>
    <row r="5" spans="1:18">
      <c r="A5" s="13">
        <v>382</v>
      </c>
      <c r="B5" s="13">
        <v>1404</v>
      </c>
      <c r="C5" s="18" t="s">
        <v>141</v>
      </c>
      <c r="D5" s="13" t="s">
        <v>142</v>
      </c>
      <c r="E5" s="18" t="s">
        <v>143</v>
      </c>
      <c r="F5" s="11" t="s">
        <v>30</v>
      </c>
      <c r="G5" s="11" t="s">
        <v>30</v>
      </c>
      <c r="H5" s="13" t="s">
        <v>144</v>
      </c>
      <c r="I5" s="13"/>
      <c r="J5" s="11" t="s">
        <v>34</v>
      </c>
      <c r="K5" s="156" t="s">
        <v>145</v>
      </c>
      <c r="L5" s="125">
        <v>-8.8209999999999997</v>
      </c>
      <c r="M5" s="149">
        <v>1</v>
      </c>
      <c r="N5" s="127">
        <v>-8.8209999999999997</v>
      </c>
      <c r="O5" s="13"/>
      <c r="P5" s="11" t="s">
        <v>36</v>
      </c>
      <c r="Q5" s="148">
        <v>0.50055896800319599</v>
      </c>
      <c r="R5" s="148">
        <v>-3.2400908760375898E-4</v>
      </c>
    </row>
    <row r="6" spans="1:18">
      <c r="A6" s="13">
        <v>382</v>
      </c>
      <c r="B6" s="13">
        <v>1404</v>
      </c>
      <c r="C6" s="18" t="s">
        <v>146</v>
      </c>
      <c r="D6" s="13" t="s">
        <v>147</v>
      </c>
      <c r="E6" s="18" t="s">
        <v>148</v>
      </c>
      <c r="F6" s="11" t="s">
        <v>30</v>
      </c>
      <c r="G6" s="11" t="s">
        <v>30</v>
      </c>
      <c r="H6" s="13" t="s">
        <v>144</v>
      </c>
      <c r="I6" s="13"/>
      <c r="J6" s="11" t="s">
        <v>34</v>
      </c>
      <c r="K6" s="156" t="s">
        <v>145</v>
      </c>
      <c r="L6" s="125">
        <v>-8.8010000000000002</v>
      </c>
      <c r="M6" s="149">
        <v>1</v>
      </c>
      <c r="N6" s="127">
        <v>-8.8010000000000002</v>
      </c>
      <c r="O6" s="13"/>
      <c r="P6" s="11" t="s">
        <v>36</v>
      </c>
      <c r="Q6" s="148">
        <v>0.49946032632381798</v>
      </c>
      <c r="R6" s="148">
        <v>-3.2329794284181602E-4</v>
      </c>
    </row>
    <row r="7" spans="1:18">
      <c r="A7" s="13">
        <v>382</v>
      </c>
      <c r="B7" s="13">
        <v>1404</v>
      </c>
      <c r="C7" s="18" t="s">
        <v>149</v>
      </c>
      <c r="D7" s="13" t="s">
        <v>150</v>
      </c>
      <c r="E7" s="18" t="s">
        <v>143</v>
      </c>
      <c r="F7" s="11" t="s">
        <v>30</v>
      </c>
      <c r="G7" s="11" t="s">
        <v>30</v>
      </c>
      <c r="H7" s="13" t="s">
        <v>144</v>
      </c>
      <c r="I7" s="13"/>
      <c r="J7" s="11" t="s">
        <v>34</v>
      </c>
      <c r="K7" s="156" t="s">
        <v>145</v>
      </c>
      <c r="L7" s="125">
        <v>0</v>
      </c>
      <c r="M7" s="149">
        <v>1</v>
      </c>
      <c r="N7" s="127">
        <v>0</v>
      </c>
      <c r="O7" s="13"/>
      <c r="P7" s="11" t="s">
        <v>36</v>
      </c>
      <c r="Q7" s="148">
        <v>-1.92943270138738E-5</v>
      </c>
      <c r="R7" s="148">
        <v>1.24891125547747E-8</v>
      </c>
    </row>
    <row r="8" spans="1:18">
      <c r="A8" s="13">
        <v>382</v>
      </c>
      <c r="B8" s="13">
        <v>7635</v>
      </c>
      <c r="C8" s="18" t="s">
        <v>141</v>
      </c>
      <c r="D8" s="13" t="s">
        <v>142</v>
      </c>
      <c r="E8" s="18" t="s">
        <v>143</v>
      </c>
      <c r="F8" s="11" t="s">
        <v>30</v>
      </c>
      <c r="G8" s="11" t="s">
        <v>30</v>
      </c>
      <c r="H8" s="13" t="s">
        <v>144</v>
      </c>
      <c r="I8" s="13"/>
      <c r="J8" s="11" t="s">
        <v>34</v>
      </c>
      <c r="K8" s="156" t="s">
        <v>145</v>
      </c>
      <c r="L8" s="125">
        <v>-5.8070000000000004</v>
      </c>
      <c r="M8" s="149">
        <v>1</v>
      </c>
      <c r="N8" s="127">
        <v>-5.8070000000000004</v>
      </c>
      <c r="O8" s="13"/>
      <c r="P8" s="11" t="s">
        <v>36</v>
      </c>
      <c r="Q8" s="148">
        <v>1.0475352938417499</v>
      </c>
      <c r="R8" s="148">
        <v>-3.15525929077103E-4</v>
      </c>
    </row>
    <row r="9" spans="1:18">
      <c r="A9" s="13">
        <v>382</v>
      </c>
      <c r="B9" s="13">
        <v>7635</v>
      </c>
      <c r="C9" s="18" t="s">
        <v>146</v>
      </c>
      <c r="D9" s="13" t="s">
        <v>147</v>
      </c>
      <c r="E9" s="18" t="s">
        <v>148</v>
      </c>
      <c r="F9" s="11" t="s">
        <v>30</v>
      </c>
      <c r="G9" s="11" t="s">
        <v>30</v>
      </c>
      <c r="H9" s="13" t="s">
        <v>144</v>
      </c>
      <c r="I9" s="13"/>
      <c r="J9" s="11" t="s">
        <v>34</v>
      </c>
      <c r="K9" s="156" t="s">
        <v>145</v>
      </c>
      <c r="L9" s="125">
        <v>-1E-3</v>
      </c>
      <c r="M9" s="149">
        <v>1</v>
      </c>
      <c r="N9" s="127">
        <v>-1E-3</v>
      </c>
      <c r="O9" s="13"/>
      <c r="P9" s="11" t="s">
        <v>36</v>
      </c>
      <c r="Q9" s="148">
        <v>1.4611812838912901E-4</v>
      </c>
      <c r="R9" s="148">
        <v>-4.40119378182518E-8</v>
      </c>
    </row>
    <row r="10" spans="1:18">
      <c r="A10" s="13">
        <v>382</v>
      </c>
      <c r="B10" s="13">
        <v>7635</v>
      </c>
      <c r="C10" s="18" t="s">
        <v>149</v>
      </c>
      <c r="D10" s="13" t="s">
        <v>150</v>
      </c>
      <c r="E10" s="18" t="s">
        <v>143</v>
      </c>
      <c r="F10" s="11" t="s">
        <v>30</v>
      </c>
      <c r="G10" s="11" t="s">
        <v>30</v>
      </c>
      <c r="H10" s="13" t="s">
        <v>144</v>
      </c>
      <c r="I10" s="13"/>
      <c r="J10" s="11" t="s">
        <v>34</v>
      </c>
      <c r="K10" s="156" t="s">
        <v>145</v>
      </c>
      <c r="L10" s="125">
        <v>0.26400000000000001</v>
      </c>
      <c r="M10" s="149">
        <v>1</v>
      </c>
      <c r="N10" s="127">
        <v>0.26400000000000001</v>
      </c>
      <c r="O10" s="13"/>
      <c r="P10" s="11" t="s">
        <v>36</v>
      </c>
      <c r="Q10" s="148">
        <v>-4.7681411970141398E-2</v>
      </c>
      <c r="R10" s="148">
        <v>1.43620190174325E-5</v>
      </c>
    </row>
    <row r="11" spans="1:18">
      <c r="A11" s="13">
        <v>382</v>
      </c>
      <c r="B11" s="13">
        <v>9479</v>
      </c>
      <c r="C11" s="18" t="s">
        <v>141</v>
      </c>
      <c r="D11" s="13" t="s">
        <v>142</v>
      </c>
      <c r="E11" s="18" t="s">
        <v>143</v>
      </c>
      <c r="F11" s="11" t="s">
        <v>30</v>
      </c>
      <c r="G11" s="11" t="s">
        <v>30</v>
      </c>
      <c r="H11" s="13" t="s">
        <v>144</v>
      </c>
      <c r="I11" s="13"/>
      <c r="J11" s="11" t="s">
        <v>34</v>
      </c>
      <c r="K11" s="156" t="s">
        <v>145</v>
      </c>
      <c r="L11" s="125">
        <v>-21.463000000000001</v>
      </c>
      <c r="M11" s="149">
        <v>1</v>
      </c>
      <c r="N11" s="127">
        <v>-21.463000000000001</v>
      </c>
      <c r="O11" s="13"/>
      <c r="P11" s="11" t="s">
        <v>36</v>
      </c>
      <c r="Q11" s="148">
        <v>1.04991373351655</v>
      </c>
      <c r="R11" s="148">
        <v>-3.0980773403930698E-4</v>
      </c>
    </row>
    <row r="12" spans="1:18">
      <c r="A12" s="13">
        <v>382</v>
      </c>
      <c r="B12" s="13">
        <v>9479</v>
      </c>
      <c r="C12" s="18" t="s">
        <v>146</v>
      </c>
      <c r="D12" s="13" t="s">
        <v>147</v>
      </c>
      <c r="E12" s="18" t="s">
        <v>148</v>
      </c>
      <c r="F12" s="11" t="s">
        <v>30</v>
      </c>
      <c r="G12" s="11" t="s">
        <v>30</v>
      </c>
      <c r="H12" s="13" t="s">
        <v>144</v>
      </c>
      <c r="I12" s="13"/>
      <c r="J12" s="11" t="s">
        <v>34</v>
      </c>
      <c r="K12" s="156" t="s">
        <v>145</v>
      </c>
      <c r="L12" s="125">
        <v>2E-3</v>
      </c>
      <c r="M12" s="149">
        <v>1</v>
      </c>
      <c r="N12" s="127">
        <v>2E-3</v>
      </c>
      <c r="O12" s="13"/>
      <c r="P12" s="11" t="s">
        <v>36</v>
      </c>
      <c r="Q12" s="148">
        <v>-8.8051981976737596E-5</v>
      </c>
      <c r="R12" s="148">
        <v>2.59823108728324E-8</v>
      </c>
    </row>
    <row r="13" spans="1:18">
      <c r="A13" s="13">
        <v>382</v>
      </c>
      <c r="B13" s="13">
        <v>9479</v>
      </c>
      <c r="C13" s="18" t="s">
        <v>149</v>
      </c>
      <c r="D13" s="13" t="s">
        <v>150</v>
      </c>
      <c r="E13" s="18" t="s">
        <v>143</v>
      </c>
      <c r="F13" s="11" t="s">
        <v>30</v>
      </c>
      <c r="G13" s="11" t="s">
        <v>30</v>
      </c>
      <c r="H13" s="13" t="s">
        <v>144</v>
      </c>
      <c r="I13" s="13"/>
      <c r="J13" s="11" t="s">
        <v>34</v>
      </c>
      <c r="K13" s="156" t="s">
        <v>145</v>
      </c>
      <c r="L13" s="125">
        <v>1.0189999999999999</v>
      </c>
      <c r="M13" s="149">
        <v>1</v>
      </c>
      <c r="N13" s="127">
        <v>1.0189999999999999</v>
      </c>
      <c r="O13" s="13"/>
      <c r="P13" s="11" t="s">
        <v>36</v>
      </c>
      <c r="Q13" s="148">
        <v>-4.9825681534569899E-2</v>
      </c>
      <c r="R13" s="148">
        <v>1.47025236459067E-5</v>
      </c>
    </row>
    <row r="14" spans="1:18">
      <c r="A14" s="13">
        <v>382</v>
      </c>
      <c r="B14" s="13">
        <v>11414</v>
      </c>
      <c r="C14" s="18" t="s">
        <v>141</v>
      </c>
      <c r="D14" s="13" t="s">
        <v>142</v>
      </c>
      <c r="E14" s="18" t="s">
        <v>143</v>
      </c>
      <c r="F14" s="11" t="s">
        <v>30</v>
      </c>
      <c r="G14" s="11" t="s">
        <v>30</v>
      </c>
      <c r="H14" s="13" t="s">
        <v>144</v>
      </c>
      <c r="I14" s="13"/>
      <c r="J14" s="11" t="s">
        <v>34</v>
      </c>
      <c r="K14" s="156" t="s">
        <v>145</v>
      </c>
      <c r="L14" s="125">
        <v>-4.7850000000000001</v>
      </c>
      <c r="M14" s="149">
        <v>1</v>
      </c>
      <c r="N14" s="127">
        <v>-4.7850000000000001</v>
      </c>
      <c r="O14" s="13"/>
      <c r="P14" s="11" t="s">
        <v>36</v>
      </c>
      <c r="Q14" s="148">
        <v>0.99969916204093501</v>
      </c>
      <c r="R14" s="148">
        <v>-3.1552946539735899E-4</v>
      </c>
    </row>
    <row r="15" spans="1:18">
      <c r="A15" s="13">
        <v>382</v>
      </c>
      <c r="B15" s="13">
        <v>11414</v>
      </c>
      <c r="C15" s="18" t="s">
        <v>146</v>
      </c>
      <c r="D15" s="13" t="s">
        <v>147</v>
      </c>
      <c r="E15" s="18" t="s">
        <v>148</v>
      </c>
      <c r="F15" s="11" t="s">
        <v>30</v>
      </c>
      <c r="G15" s="11" t="s">
        <v>30</v>
      </c>
      <c r="H15" s="13" t="s">
        <v>144</v>
      </c>
      <c r="I15" s="13"/>
      <c r="J15" s="11" t="s">
        <v>34</v>
      </c>
      <c r="K15" s="156" t="s">
        <v>145</v>
      </c>
      <c r="L15" s="125">
        <v>-1E-3</v>
      </c>
      <c r="M15" s="149">
        <v>1</v>
      </c>
      <c r="N15" s="127">
        <v>-1E-3</v>
      </c>
      <c r="O15" s="13"/>
      <c r="P15" s="11" t="s">
        <v>36</v>
      </c>
      <c r="Q15" s="148">
        <v>3.0083795906514602E-4</v>
      </c>
      <c r="R15" s="148">
        <v>-9.4951805502435099E-8</v>
      </c>
    </row>
    <row r="16" spans="1:18">
      <c r="A16" s="13">
        <v>382</v>
      </c>
      <c r="B16" s="13">
        <v>15404</v>
      </c>
      <c r="C16" s="18" t="s">
        <v>141</v>
      </c>
      <c r="D16" s="13" t="s">
        <v>142</v>
      </c>
      <c r="E16" s="18" t="s">
        <v>143</v>
      </c>
      <c r="F16" s="11" t="s">
        <v>30</v>
      </c>
      <c r="G16" s="11" t="s">
        <v>30</v>
      </c>
      <c r="H16" s="13" t="s">
        <v>144</v>
      </c>
      <c r="I16" s="13"/>
      <c r="J16" s="11" t="s">
        <v>34</v>
      </c>
      <c r="K16" s="156" t="s">
        <v>145</v>
      </c>
      <c r="L16" s="125">
        <v>-0.13</v>
      </c>
      <c r="M16" s="149">
        <v>1</v>
      </c>
      <c r="N16" s="127">
        <v>-0.13</v>
      </c>
      <c r="O16" s="13"/>
      <c r="P16" s="11" t="s">
        <v>36</v>
      </c>
      <c r="Q16" s="148">
        <v>1</v>
      </c>
      <c r="R16" s="148">
        <v>-4.8511179444998503E-5</v>
      </c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F2:F16" xr:uid="{00000000-0002-0000-1C00-000000000000}">
      <formula1>israel_abroad</formula1>
    </dataValidation>
    <dataValidation type="list" allowBlank="1" showInputMessage="1" showErrorMessage="1" sqref="H2:H16" xr:uid="{00000000-0002-0000-1C00-000001000000}">
      <formula1>Holding_interest</formula1>
    </dataValidation>
    <dataValidation type="list" allowBlank="1" showInputMessage="1" showErrorMessage="1" sqref="P2:P16" xr:uid="{00000000-0002-0000-1C00-000002000000}">
      <formula1>In_the_books</formula1>
    </dataValidation>
    <dataValidation type="list" allowBlank="1" showInputMessage="1" showErrorMessage="1" sqref="G2:G16" xr:uid="{00000000-0002-0000-1C00-000003000000}">
      <formula1>Country_list</formula1>
    </dataValidation>
    <dataValidation type="list" allowBlank="1" showInputMessage="1" showErrorMessage="1" sqref="E2:E16" xr:uid="{00000000-0002-0000-1C00-000004000000}">
      <formula1>other_investments</formula1>
    </dataValidation>
  </dataValidation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11"/>
  <sheetViews>
    <sheetView rightToLeft="1" zoomScale="70" zoomScaleNormal="70" workbookViewId="0">
      <selection activeCell="A2" sqref="A2"/>
    </sheetView>
  </sheetViews>
  <sheetFormatPr defaultColWidth="0" defaultRowHeight="14.1" customHeight="1" zeroHeight="1"/>
  <cols>
    <col min="1" max="20" width="11.625" customWidth="1"/>
    <col min="21" max="22" width="0" hidden="1" customWidth="1"/>
  </cols>
  <sheetData>
    <row r="1" spans="1:20" ht="66.75" customHeight="1">
      <c r="A1" s="12" t="s">
        <v>0</v>
      </c>
      <c r="B1" s="12" t="s">
        <v>1</v>
      </c>
      <c r="C1" s="12" t="s">
        <v>125</v>
      </c>
      <c r="D1" s="12" t="s">
        <v>126</v>
      </c>
      <c r="E1" s="12" t="s">
        <v>127</v>
      </c>
      <c r="F1" s="12" t="s">
        <v>128</v>
      </c>
      <c r="G1" s="12" t="s">
        <v>129</v>
      </c>
      <c r="H1" s="12" t="s">
        <v>6</v>
      </c>
      <c r="I1" s="12" t="s">
        <v>7</v>
      </c>
      <c r="J1" s="12" t="s">
        <v>130</v>
      </c>
      <c r="K1" s="12" t="s">
        <v>9</v>
      </c>
      <c r="L1" s="12" t="s">
        <v>10</v>
      </c>
      <c r="M1" s="12" t="s">
        <v>131</v>
      </c>
      <c r="N1" s="12" t="s">
        <v>11</v>
      </c>
      <c r="O1" s="12" t="s">
        <v>18</v>
      </c>
      <c r="P1" s="120" t="s">
        <v>14</v>
      </c>
      <c r="Q1" s="12" t="s">
        <v>132</v>
      </c>
      <c r="R1" s="12" t="s">
        <v>133</v>
      </c>
      <c r="S1" s="12" t="s">
        <v>134</v>
      </c>
      <c r="T1" s="12" t="s">
        <v>135</v>
      </c>
    </row>
    <row r="10" spans="1:20" ht="13.5" hidden="1" customHeight="1"/>
    <row r="11" spans="1:20" ht="13.5" hidden="1" customHeight="1"/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Q64"/>
  <sheetViews>
    <sheetView rightToLeft="1" topLeftCell="A33" zoomScale="70" zoomScaleNormal="70" workbookViewId="0">
      <selection activeCell="O67" sqref="O67:O69"/>
    </sheetView>
  </sheetViews>
  <sheetFormatPr defaultColWidth="0" defaultRowHeight="14.1" customHeight="1" zeroHeight="1"/>
  <cols>
    <col min="1" max="6" width="11.625" customWidth="1"/>
    <col min="7" max="7" width="18.625" customWidth="1"/>
    <col min="8" max="8" width="11.625" customWidth="1"/>
    <col min="9" max="9" width="12.625" customWidth="1"/>
    <col min="10" max="14" width="11.625" customWidth="1"/>
    <col min="15" max="15" width="15.75" customWidth="1"/>
    <col min="16" max="16" width="11.625" customWidth="1"/>
    <col min="17" max="17" width="21.875" bestFit="1" customWidth="1"/>
  </cols>
  <sheetData>
    <row r="1" spans="1:17" ht="66.75" customHeight="1">
      <c r="A1" s="12" t="s">
        <v>0</v>
      </c>
      <c r="B1" s="12" t="s">
        <v>1</v>
      </c>
      <c r="C1" s="12" t="s">
        <v>5</v>
      </c>
      <c r="D1" s="12" t="s">
        <v>204</v>
      </c>
      <c r="E1" s="12" t="s">
        <v>205</v>
      </c>
      <c r="F1" s="12" t="s">
        <v>206</v>
      </c>
      <c r="G1" s="12" t="s">
        <v>207</v>
      </c>
      <c r="H1" s="12" t="s">
        <v>208</v>
      </c>
      <c r="I1" s="12" t="s">
        <v>209</v>
      </c>
      <c r="J1" s="12" t="s">
        <v>11</v>
      </c>
      <c r="K1" s="12" t="s">
        <v>210</v>
      </c>
      <c r="L1" s="12" t="s">
        <v>211</v>
      </c>
      <c r="M1" s="12" t="s">
        <v>212</v>
      </c>
      <c r="N1" s="12" t="s">
        <v>213</v>
      </c>
      <c r="O1" s="12" t="s">
        <v>214</v>
      </c>
      <c r="P1" s="12" t="s">
        <v>215</v>
      </c>
      <c r="Q1" s="12" t="s">
        <v>216</v>
      </c>
    </row>
    <row r="2" spans="1:17" ht="14.1" customHeight="1">
      <c r="A2" s="2">
        <v>382</v>
      </c>
      <c r="B2" s="2">
        <v>382</v>
      </c>
      <c r="C2" s="2" t="s">
        <v>1036</v>
      </c>
      <c r="D2" s="2" t="s">
        <v>2241</v>
      </c>
      <c r="E2" s="2" t="s">
        <v>2237</v>
      </c>
      <c r="F2" s="13" t="s">
        <v>33</v>
      </c>
      <c r="G2" s="2" t="s">
        <v>2241</v>
      </c>
      <c r="H2" s="2">
        <v>603880223</v>
      </c>
      <c r="I2" s="13" t="s">
        <v>33</v>
      </c>
      <c r="J2" s="2" t="s">
        <v>89</v>
      </c>
      <c r="K2" s="160">
        <v>42155</v>
      </c>
      <c r="L2" s="168">
        <v>1500</v>
      </c>
      <c r="M2" s="168">
        <v>5470.5</v>
      </c>
      <c r="N2" s="168">
        <v>0</v>
      </c>
      <c r="O2" s="168">
        <v>0</v>
      </c>
      <c r="P2" s="163">
        <v>0</v>
      </c>
      <c r="Q2" s="157">
        <v>45909</v>
      </c>
    </row>
    <row r="3" spans="1:17" ht="14.1" customHeight="1">
      <c r="A3" s="2">
        <v>382</v>
      </c>
      <c r="B3" s="2">
        <v>382</v>
      </c>
      <c r="C3" s="2" t="s">
        <v>1040</v>
      </c>
      <c r="D3" s="2" t="s">
        <v>2236</v>
      </c>
      <c r="E3" s="2" t="s">
        <v>2237</v>
      </c>
      <c r="F3" s="13" t="s">
        <v>33</v>
      </c>
      <c r="G3" s="2" t="s">
        <v>2479</v>
      </c>
      <c r="H3" s="2">
        <v>620000732</v>
      </c>
      <c r="I3" s="13" t="s">
        <v>33</v>
      </c>
      <c r="J3" s="2" t="s">
        <v>89</v>
      </c>
      <c r="K3" s="156">
        <v>42733</v>
      </c>
      <c r="L3" s="168">
        <v>1250</v>
      </c>
      <c r="M3" s="168">
        <v>4558.75</v>
      </c>
      <c r="N3" s="168">
        <v>0</v>
      </c>
      <c r="O3" s="168">
        <v>0</v>
      </c>
      <c r="P3" s="163">
        <v>0</v>
      </c>
      <c r="Q3" s="157">
        <v>46020</v>
      </c>
    </row>
    <row r="4" spans="1:17" ht="13.5" customHeight="1">
      <c r="A4" s="2">
        <v>382</v>
      </c>
      <c r="B4" s="2">
        <v>382</v>
      </c>
      <c r="C4" s="2" t="s">
        <v>1036</v>
      </c>
      <c r="D4" s="2" t="s">
        <v>2127</v>
      </c>
      <c r="E4" s="2" t="s">
        <v>2128</v>
      </c>
      <c r="F4" s="13" t="s">
        <v>33</v>
      </c>
      <c r="G4" s="2" t="s">
        <v>2127</v>
      </c>
      <c r="H4" s="2">
        <v>603978741</v>
      </c>
      <c r="I4" s="13" t="s">
        <v>33</v>
      </c>
      <c r="J4" s="2" t="s">
        <v>89</v>
      </c>
      <c r="K4" s="156">
        <v>41969</v>
      </c>
      <c r="L4" s="168">
        <v>2500</v>
      </c>
      <c r="M4" s="168">
        <v>9117.5</v>
      </c>
      <c r="N4" s="168">
        <v>613.64572999999996</v>
      </c>
      <c r="O4" s="168">
        <v>2237.9659773100002</v>
      </c>
      <c r="P4" s="163">
        <v>0.24545829199999999</v>
      </c>
      <c r="Q4" s="157">
        <v>45987</v>
      </c>
    </row>
    <row r="5" spans="1:17" ht="13.5" customHeight="1">
      <c r="A5" s="2">
        <v>382</v>
      </c>
      <c r="B5" s="2">
        <v>382</v>
      </c>
      <c r="C5" s="2" t="s">
        <v>1040</v>
      </c>
      <c r="D5" s="2" t="s">
        <v>2249</v>
      </c>
      <c r="E5" s="2" t="s">
        <v>2250</v>
      </c>
      <c r="F5" s="13" t="s">
        <v>181</v>
      </c>
      <c r="G5" s="2" t="s">
        <v>2480</v>
      </c>
      <c r="H5" s="2">
        <v>9840572</v>
      </c>
      <c r="I5" s="13" t="s">
        <v>33</v>
      </c>
      <c r="J5" s="2" t="s">
        <v>89</v>
      </c>
      <c r="K5" s="156">
        <v>39142</v>
      </c>
      <c r="L5" s="168">
        <v>1500</v>
      </c>
      <c r="M5" s="168">
        <v>5470.5</v>
      </c>
      <c r="N5" s="168">
        <v>17.091000000000001</v>
      </c>
      <c r="O5" s="168">
        <v>62.330877000000001</v>
      </c>
      <c r="P5" s="163">
        <v>1.1394000000000001E-2</v>
      </c>
      <c r="Q5" s="157">
        <v>45736</v>
      </c>
    </row>
    <row r="6" spans="1:17" ht="14.1" customHeight="1">
      <c r="A6" s="2">
        <v>382</v>
      </c>
      <c r="B6" s="2">
        <v>382</v>
      </c>
      <c r="C6" s="2" t="s">
        <v>1036</v>
      </c>
      <c r="D6" s="2" t="s">
        <v>2268</v>
      </c>
      <c r="E6" s="2" t="s">
        <v>2269</v>
      </c>
      <c r="F6" s="13" t="s">
        <v>33</v>
      </c>
      <c r="G6" s="2" t="s">
        <v>2270</v>
      </c>
      <c r="H6" s="2">
        <v>27940034</v>
      </c>
      <c r="I6" s="13" t="s">
        <v>33</v>
      </c>
      <c r="J6" s="2" t="s">
        <v>1183</v>
      </c>
      <c r="K6" s="156">
        <v>45352</v>
      </c>
      <c r="L6" s="168">
        <v>1400</v>
      </c>
      <c r="M6" s="168">
        <v>6404.02</v>
      </c>
      <c r="N6" s="168">
        <v>1120</v>
      </c>
      <c r="O6" s="168">
        <v>5123.2160000000003</v>
      </c>
      <c r="P6" s="163">
        <v>0.8</v>
      </c>
      <c r="Q6" s="157">
        <v>47178</v>
      </c>
    </row>
    <row r="7" spans="1:17" ht="14.1" customHeight="1">
      <c r="A7" s="2">
        <v>382</v>
      </c>
      <c r="B7" s="2">
        <v>382</v>
      </c>
      <c r="C7" s="2" t="s">
        <v>1036</v>
      </c>
      <c r="D7" s="2" t="s">
        <v>2272</v>
      </c>
      <c r="E7" s="2" t="s">
        <v>2273</v>
      </c>
      <c r="F7" s="13" t="s">
        <v>1322</v>
      </c>
      <c r="G7" s="2" t="s">
        <v>2481</v>
      </c>
      <c r="H7" s="2">
        <v>27940031</v>
      </c>
      <c r="I7" s="13" t="s">
        <v>33</v>
      </c>
      <c r="J7" s="2" t="s">
        <v>1181</v>
      </c>
      <c r="K7" s="156">
        <v>45047</v>
      </c>
      <c r="L7" s="168">
        <v>3000</v>
      </c>
      <c r="M7" s="168">
        <v>11389.2</v>
      </c>
      <c r="N7" s="168">
        <v>2486.2905900000001</v>
      </c>
      <c r="O7" s="168">
        <v>9438.9535958760007</v>
      </c>
      <c r="P7" s="163">
        <v>0.82876353000000003</v>
      </c>
      <c r="Q7" s="157">
        <v>48700</v>
      </c>
    </row>
    <row r="8" spans="1:17" ht="14.1" customHeight="1">
      <c r="A8" s="2">
        <v>382</v>
      </c>
      <c r="B8" s="2">
        <v>382</v>
      </c>
      <c r="C8" s="2" t="s">
        <v>1036</v>
      </c>
      <c r="D8" s="2" t="s">
        <v>2272</v>
      </c>
      <c r="E8" s="2" t="s">
        <v>2273</v>
      </c>
      <c r="F8" s="13" t="s">
        <v>1322</v>
      </c>
      <c r="G8" s="2" t="s">
        <v>2482</v>
      </c>
      <c r="H8" s="2">
        <v>27940014</v>
      </c>
      <c r="I8" s="13" t="s">
        <v>33</v>
      </c>
      <c r="J8" s="2" t="s">
        <v>1181</v>
      </c>
      <c r="K8" s="156">
        <v>44409</v>
      </c>
      <c r="L8" s="168">
        <v>2850</v>
      </c>
      <c r="M8" s="168">
        <v>10819.74</v>
      </c>
      <c r="N8" s="168">
        <v>458.27161000000001</v>
      </c>
      <c r="O8" s="168">
        <v>1739.7823402040001</v>
      </c>
      <c r="P8" s="163">
        <v>0.16079705614035089</v>
      </c>
      <c r="Q8" s="157">
        <v>48061</v>
      </c>
    </row>
    <row r="9" spans="1:17" ht="14.1" customHeight="1">
      <c r="A9" s="2">
        <v>382</v>
      </c>
      <c r="B9" s="2">
        <v>382</v>
      </c>
      <c r="C9" s="2" t="s">
        <v>1036</v>
      </c>
      <c r="D9" s="2" t="s">
        <v>2274</v>
      </c>
      <c r="E9" s="2" t="s">
        <v>2273</v>
      </c>
      <c r="F9" s="13" t="s">
        <v>1322</v>
      </c>
      <c r="G9" s="2" t="s">
        <v>2483</v>
      </c>
      <c r="H9" s="2">
        <v>27940033</v>
      </c>
      <c r="I9" s="13" t="s">
        <v>33</v>
      </c>
      <c r="J9" s="2" t="s">
        <v>1181</v>
      </c>
      <c r="K9" s="156">
        <v>45292</v>
      </c>
      <c r="L9" s="168">
        <v>3000</v>
      </c>
      <c r="M9" s="168">
        <v>11389.2</v>
      </c>
      <c r="N9" s="168">
        <v>2144.2315699999999</v>
      </c>
      <c r="O9" s="168">
        <v>8140.3607323480001</v>
      </c>
      <c r="P9" s="163">
        <v>0.71474385666666662</v>
      </c>
      <c r="Q9" s="157">
        <v>49675</v>
      </c>
    </row>
    <row r="10" spans="1:17" ht="14.1" customHeight="1">
      <c r="A10" s="2">
        <v>382</v>
      </c>
      <c r="B10" s="2">
        <v>382</v>
      </c>
      <c r="C10" s="2" t="s">
        <v>1036</v>
      </c>
      <c r="D10" s="2" t="s">
        <v>2282</v>
      </c>
      <c r="E10" s="2" t="s">
        <v>2283</v>
      </c>
      <c r="F10" s="13" t="s">
        <v>325</v>
      </c>
      <c r="G10" s="2" t="s">
        <v>2284</v>
      </c>
      <c r="H10" s="2">
        <v>27940030</v>
      </c>
      <c r="I10" s="13" t="s">
        <v>33</v>
      </c>
      <c r="J10" s="2" t="s">
        <v>89</v>
      </c>
      <c r="K10" s="156">
        <v>44835</v>
      </c>
      <c r="L10" s="168">
        <v>1800</v>
      </c>
      <c r="M10" s="168">
        <v>6564.6</v>
      </c>
      <c r="N10" s="168">
        <v>851.68</v>
      </c>
      <c r="O10" s="168">
        <v>3106.0769599999999</v>
      </c>
      <c r="P10" s="163">
        <v>0.47315555555555555</v>
      </c>
      <c r="Q10" s="157">
        <v>47757</v>
      </c>
    </row>
    <row r="11" spans="1:17" ht="14.1" customHeight="1">
      <c r="A11" s="2">
        <v>382</v>
      </c>
      <c r="B11" s="2">
        <v>382</v>
      </c>
      <c r="C11" s="2" t="s">
        <v>1036</v>
      </c>
      <c r="D11" s="2" t="s">
        <v>2306</v>
      </c>
      <c r="E11" s="2" t="s">
        <v>2307</v>
      </c>
      <c r="F11" s="13" t="s">
        <v>33</v>
      </c>
      <c r="G11" s="2" t="s">
        <v>2484</v>
      </c>
      <c r="H11" s="2">
        <v>62010971</v>
      </c>
      <c r="I11" s="13" t="s">
        <v>33</v>
      </c>
      <c r="J11" s="2" t="s">
        <v>89</v>
      </c>
      <c r="K11" s="156">
        <v>43709</v>
      </c>
      <c r="L11" s="168">
        <v>2800</v>
      </c>
      <c r="M11" s="168">
        <v>10211.6</v>
      </c>
      <c r="N11" s="168">
        <v>630</v>
      </c>
      <c r="O11" s="168">
        <v>2297.61</v>
      </c>
      <c r="P11" s="123">
        <v>0.22500000000000001</v>
      </c>
      <c r="Q11" s="157">
        <v>47362</v>
      </c>
    </row>
    <row r="12" spans="1:17" ht="14.1" customHeight="1">
      <c r="A12" s="2">
        <v>382</v>
      </c>
      <c r="B12" s="2">
        <v>382</v>
      </c>
      <c r="C12" s="2" t="s">
        <v>1036</v>
      </c>
      <c r="D12" s="2" t="s">
        <v>2306</v>
      </c>
      <c r="E12" s="2" t="s">
        <v>2307</v>
      </c>
      <c r="F12" s="13" t="s">
        <v>33</v>
      </c>
      <c r="G12" s="2" t="s">
        <v>2485</v>
      </c>
      <c r="H12" s="2">
        <v>27940004</v>
      </c>
      <c r="I12" s="13" t="s">
        <v>33</v>
      </c>
      <c r="J12" s="2" t="s">
        <v>89</v>
      </c>
      <c r="K12" s="156">
        <v>43831</v>
      </c>
      <c r="L12" s="168">
        <v>4200</v>
      </c>
      <c r="M12" s="168">
        <v>15317.4</v>
      </c>
      <c r="N12" s="168">
        <v>840</v>
      </c>
      <c r="O12" s="168">
        <v>3063.48</v>
      </c>
      <c r="P12" s="123">
        <v>0.2</v>
      </c>
      <c r="Q12" s="157">
        <v>47484</v>
      </c>
    </row>
    <row r="13" spans="1:17" ht="14.1" customHeight="1">
      <c r="A13" s="2">
        <v>382</v>
      </c>
      <c r="B13" s="2">
        <v>382</v>
      </c>
      <c r="C13" s="2" t="s">
        <v>1036</v>
      </c>
      <c r="D13" s="2" t="s">
        <v>2313</v>
      </c>
      <c r="E13" s="2" t="s">
        <v>2321</v>
      </c>
      <c r="F13" s="13" t="s">
        <v>1322</v>
      </c>
      <c r="G13" s="2" t="s">
        <v>2322</v>
      </c>
      <c r="H13" s="2">
        <v>27940016</v>
      </c>
      <c r="I13" s="13" t="s">
        <v>33</v>
      </c>
      <c r="J13" s="2" t="s">
        <v>1181</v>
      </c>
      <c r="K13" s="156">
        <v>44440</v>
      </c>
      <c r="L13" s="168">
        <v>1500</v>
      </c>
      <c r="M13" s="168">
        <v>5694.6</v>
      </c>
      <c r="N13" s="168">
        <v>0</v>
      </c>
      <c r="O13" s="168">
        <v>0</v>
      </c>
      <c r="P13" s="123">
        <v>0</v>
      </c>
      <c r="Q13" s="157">
        <v>46631</v>
      </c>
    </row>
    <row r="14" spans="1:17" ht="14.1" customHeight="1">
      <c r="A14" s="2">
        <v>382</v>
      </c>
      <c r="B14" s="2">
        <v>382</v>
      </c>
      <c r="C14" s="2" t="s">
        <v>1036</v>
      </c>
      <c r="D14" s="2" t="s">
        <v>2324</v>
      </c>
      <c r="E14" s="2" t="s">
        <v>2325</v>
      </c>
      <c r="F14" s="13" t="s">
        <v>33</v>
      </c>
      <c r="G14" s="2" t="s">
        <v>2486</v>
      </c>
      <c r="H14" s="2">
        <v>27940012</v>
      </c>
      <c r="I14" s="13" t="s">
        <v>33</v>
      </c>
      <c r="J14" s="2" t="s">
        <v>89</v>
      </c>
      <c r="K14" s="156">
        <v>44378</v>
      </c>
      <c r="L14" s="168">
        <v>4000</v>
      </c>
      <c r="M14" s="168">
        <v>14588</v>
      </c>
      <c r="N14" s="168">
        <v>524</v>
      </c>
      <c r="O14" s="168">
        <v>1911.028</v>
      </c>
      <c r="P14" s="123">
        <v>0.13100000000000001</v>
      </c>
      <c r="Q14" s="157">
        <v>48030</v>
      </c>
    </row>
    <row r="15" spans="1:17" ht="14.1" customHeight="1">
      <c r="A15" s="2">
        <v>382</v>
      </c>
      <c r="B15" s="2">
        <v>382</v>
      </c>
      <c r="C15" s="2" t="s">
        <v>1036</v>
      </c>
      <c r="D15" s="2" t="s">
        <v>2337</v>
      </c>
      <c r="E15" s="2" t="s">
        <v>2338</v>
      </c>
      <c r="F15" s="13" t="s">
        <v>181</v>
      </c>
      <c r="G15" s="2" t="s">
        <v>2487</v>
      </c>
      <c r="H15" s="2">
        <v>620109701</v>
      </c>
      <c r="I15" s="13" t="s">
        <v>33</v>
      </c>
      <c r="J15" s="2" t="s">
        <v>89</v>
      </c>
      <c r="K15" s="156">
        <v>43466</v>
      </c>
      <c r="L15" s="168">
        <v>3000</v>
      </c>
      <c r="M15" s="168">
        <v>10941</v>
      </c>
      <c r="N15" s="168">
        <v>112.78838999999999</v>
      </c>
      <c r="O15" s="168">
        <v>411.33925833000001</v>
      </c>
      <c r="P15" s="123">
        <v>3.7596129999999998E-2</v>
      </c>
      <c r="Q15" s="157">
        <v>47119</v>
      </c>
    </row>
    <row r="16" spans="1:17" ht="14.1" customHeight="1">
      <c r="A16" s="2">
        <v>382</v>
      </c>
      <c r="B16" s="2">
        <v>382</v>
      </c>
      <c r="C16" s="2" t="s">
        <v>1036</v>
      </c>
      <c r="D16" s="2" t="s">
        <v>2365</v>
      </c>
      <c r="E16" s="2" t="s">
        <v>2383</v>
      </c>
      <c r="F16" s="13" t="s">
        <v>33</v>
      </c>
      <c r="G16" s="2" t="s">
        <v>2488</v>
      </c>
      <c r="H16" s="2">
        <v>27940002</v>
      </c>
      <c r="I16" s="13" t="s">
        <v>33</v>
      </c>
      <c r="J16" s="2" t="s">
        <v>89</v>
      </c>
      <c r="K16" s="156">
        <v>43770</v>
      </c>
      <c r="L16" s="168">
        <v>3400</v>
      </c>
      <c r="M16" s="168">
        <v>12399.8</v>
      </c>
      <c r="N16" s="168">
        <v>311.95800000000003</v>
      </c>
      <c r="O16" s="168">
        <v>1137.710826</v>
      </c>
      <c r="P16" s="123">
        <v>9.1752352941176479E-2</v>
      </c>
      <c r="Q16" s="157">
        <v>47423</v>
      </c>
    </row>
    <row r="17" spans="1:17" ht="14.1" customHeight="1">
      <c r="A17" s="2">
        <v>382</v>
      </c>
      <c r="B17" s="2">
        <v>382</v>
      </c>
      <c r="C17" s="2" t="s">
        <v>1036</v>
      </c>
      <c r="D17" s="2" t="s">
        <v>2365</v>
      </c>
      <c r="E17" s="2" t="s">
        <v>2366</v>
      </c>
      <c r="F17" s="13" t="s">
        <v>33</v>
      </c>
      <c r="G17" s="2" t="s">
        <v>2489</v>
      </c>
      <c r="H17" s="2">
        <v>27940000</v>
      </c>
      <c r="I17" s="13" t="s">
        <v>33</v>
      </c>
      <c r="J17" s="2" t="s">
        <v>89</v>
      </c>
      <c r="K17" s="156">
        <v>43739</v>
      </c>
      <c r="L17" s="168">
        <v>3400</v>
      </c>
      <c r="M17" s="168">
        <v>12399.8</v>
      </c>
      <c r="N17" s="168">
        <v>925.69100000000003</v>
      </c>
      <c r="O17" s="168">
        <v>3375.995077</v>
      </c>
      <c r="P17" s="123">
        <v>0.27226205882352944</v>
      </c>
      <c r="Q17" s="157">
        <v>47392</v>
      </c>
    </row>
    <row r="18" spans="1:17" ht="14.1" customHeight="1">
      <c r="A18" s="2">
        <v>382</v>
      </c>
      <c r="B18" s="2">
        <v>382</v>
      </c>
      <c r="C18" s="2" t="s">
        <v>1036</v>
      </c>
      <c r="D18" s="2" t="s">
        <v>2159</v>
      </c>
      <c r="E18" s="2" t="s">
        <v>2160</v>
      </c>
      <c r="F18" s="13" t="s">
        <v>325</v>
      </c>
      <c r="G18" s="2" t="s">
        <v>2490</v>
      </c>
      <c r="H18" s="2">
        <v>27940011</v>
      </c>
      <c r="I18" s="13" t="s">
        <v>33</v>
      </c>
      <c r="J18" s="2" t="s">
        <v>89</v>
      </c>
      <c r="K18" s="156">
        <v>44348</v>
      </c>
      <c r="L18" s="168">
        <v>2250</v>
      </c>
      <c r="M18" s="168">
        <v>8205.75</v>
      </c>
      <c r="N18" s="168">
        <v>101.25</v>
      </c>
      <c r="O18" s="168">
        <v>369.25875000000002</v>
      </c>
      <c r="P18" s="123">
        <v>4.4999999999999998E-2</v>
      </c>
      <c r="Q18" s="157">
        <v>48000</v>
      </c>
    </row>
    <row r="19" spans="1:17" ht="14.1" customHeight="1">
      <c r="A19" s="2">
        <v>382</v>
      </c>
      <c r="B19" s="2">
        <v>382</v>
      </c>
      <c r="C19" s="2" t="s">
        <v>1036</v>
      </c>
      <c r="D19" s="2" t="s">
        <v>2170</v>
      </c>
      <c r="E19" s="2" t="s">
        <v>2171</v>
      </c>
      <c r="F19" s="13" t="s">
        <v>33</v>
      </c>
      <c r="G19" s="2" t="s">
        <v>2491</v>
      </c>
      <c r="H19" s="2">
        <v>62006168</v>
      </c>
      <c r="I19" s="13" t="s">
        <v>33</v>
      </c>
      <c r="J19" s="2" t="s">
        <v>89</v>
      </c>
      <c r="K19" s="156">
        <v>43132</v>
      </c>
      <c r="L19" s="168">
        <v>1500</v>
      </c>
      <c r="M19" s="168">
        <v>5470.5</v>
      </c>
      <c r="N19" s="168">
        <v>197.25</v>
      </c>
      <c r="O19" s="168">
        <v>719.37075000000004</v>
      </c>
      <c r="P19" s="123">
        <v>0.13150000000000001</v>
      </c>
      <c r="Q19" s="157">
        <v>46054</v>
      </c>
    </row>
    <row r="20" spans="1:17" ht="14.1" customHeight="1">
      <c r="A20" s="2">
        <v>382</v>
      </c>
      <c r="B20" s="2">
        <v>382</v>
      </c>
      <c r="C20" s="2" t="s">
        <v>1036</v>
      </c>
      <c r="D20" s="2" t="s">
        <v>1552</v>
      </c>
      <c r="E20" s="2">
        <v>774764930</v>
      </c>
      <c r="F20" s="13" t="s">
        <v>325</v>
      </c>
      <c r="G20" s="2" t="s">
        <v>2492</v>
      </c>
      <c r="H20" s="2">
        <v>27940038</v>
      </c>
      <c r="I20" s="13" t="s">
        <v>33</v>
      </c>
      <c r="J20" s="2" t="s">
        <v>89</v>
      </c>
      <c r="K20" s="157">
        <v>45536</v>
      </c>
      <c r="L20" s="168">
        <v>1800</v>
      </c>
      <c r="M20" s="168">
        <v>6564.6</v>
      </c>
      <c r="N20" s="168">
        <v>0</v>
      </c>
      <c r="O20" s="168">
        <v>0</v>
      </c>
      <c r="P20" s="123">
        <v>0.93425520000000006</v>
      </c>
      <c r="Q20" s="2" t="s">
        <v>2493</v>
      </c>
    </row>
    <row r="21" spans="1:17" ht="14.1" customHeight="1">
      <c r="A21" s="2">
        <v>382</v>
      </c>
      <c r="B21" s="2">
        <v>382</v>
      </c>
      <c r="C21" s="2" t="s">
        <v>1036</v>
      </c>
      <c r="D21" s="2" t="s">
        <v>2344</v>
      </c>
      <c r="E21" s="2" t="s">
        <v>2345</v>
      </c>
      <c r="F21" s="2" t="s">
        <v>1322</v>
      </c>
      <c r="G21" s="2" t="s">
        <v>2344</v>
      </c>
      <c r="H21" s="2">
        <v>620107071</v>
      </c>
      <c r="I21" s="2" t="s">
        <v>33</v>
      </c>
      <c r="J21" s="2" t="s">
        <v>89</v>
      </c>
      <c r="K21" s="157">
        <v>43466</v>
      </c>
      <c r="L21" s="168">
        <v>1250</v>
      </c>
      <c r="M21" s="168">
        <v>4558.75</v>
      </c>
      <c r="N21" s="168">
        <v>46.875</v>
      </c>
      <c r="O21" s="168">
        <v>170.953125</v>
      </c>
      <c r="P21" s="123">
        <v>3.7499999999999999E-2</v>
      </c>
      <c r="Q21" s="157">
        <v>46023</v>
      </c>
    </row>
    <row r="22" spans="1:17" ht="14.1" customHeight="1">
      <c r="A22" s="2">
        <v>382</v>
      </c>
      <c r="B22" s="2">
        <v>382</v>
      </c>
      <c r="C22" s="2" t="s">
        <v>1036</v>
      </c>
      <c r="D22" s="2" t="s">
        <v>2494</v>
      </c>
      <c r="E22" s="2" t="s">
        <v>2192</v>
      </c>
      <c r="F22" s="2" t="s">
        <v>1322</v>
      </c>
      <c r="G22" s="2" t="s">
        <v>2494</v>
      </c>
      <c r="H22" s="2">
        <v>62000554</v>
      </c>
      <c r="I22" s="2" t="s">
        <v>33</v>
      </c>
      <c r="J22" s="2" t="s">
        <v>1181</v>
      </c>
      <c r="K22" s="157">
        <v>42767</v>
      </c>
      <c r="L22" s="168">
        <v>1600</v>
      </c>
      <c r="M22" s="168">
        <v>6074.24</v>
      </c>
      <c r="N22" s="168">
        <v>79.073999999999998</v>
      </c>
      <c r="O22" s="168">
        <v>300.19653360000001</v>
      </c>
      <c r="P22" s="123">
        <v>4.942125E-2</v>
      </c>
      <c r="Q22" s="157">
        <v>46054</v>
      </c>
    </row>
    <row r="23" spans="1:17" ht="14.1" customHeight="1">
      <c r="A23" s="2">
        <v>382</v>
      </c>
      <c r="B23" s="2">
        <v>382</v>
      </c>
      <c r="C23" s="2" t="s">
        <v>1036</v>
      </c>
      <c r="D23" s="2" t="s">
        <v>2186</v>
      </c>
      <c r="E23" s="2" t="s">
        <v>2187</v>
      </c>
      <c r="F23" s="2" t="s">
        <v>1322</v>
      </c>
      <c r="G23" s="2" t="s">
        <v>2186</v>
      </c>
      <c r="H23" s="2">
        <v>32623</v>
      </c>
      <c r="I23" s="2" t="s">
        <v>33</v>
      </c>
      <c r="J23" s="2" t="s">
        <v>34</v>
      </c>
      <c r="K23" s="157">
        <v>40681</v>
      </c>
      <c r="L23" s="168">
        <v>4000</v>
      </c>
      <c r="M23" s="168">
        <v>4000</v>
      </c>
      <c r="N23" s="168">
        <v>161.85900000000001</v>
      </c>
      <c r="O23" s="168">
        <v>161.85900000000001</v>
      </c>
      <c r="P23" s="123">
        <v>4.0464750000000001E-2</v>
      </c>
      <c r="Q23" s="157">
        <v>45778</v>
      </c>
    </row>
    <row r="24" spans="1:17" ht="14.1" customHeight="1">
      <c r="A24" s="2">
        <v>382</v>
      </c>
      <c r="B24" s="2">
        <v>382</v>
      </c>
      <c r="C24" s="2" t="s">
        <v>1036</v>
      </c>
      <c r="D24" s="2" t="s">
        <v>2230</v>
      </c>
      <c r="E24" s="2" t="s">
        <v>2165</v>
      </c>
      <c r="F24" s="2" t="s">
        <v>324</v>
      </c>
      <c r="G24" s="2" t="s">
        <v>2495</v>
      </c>
      <c r="H24" s="2">
        <v>47852</v>
      </c>
      <c r="I24" s="2" t="s">
        <v>33</v>
      </c>
      <c r="J24" s="2" t="s">
        <v>34</v>
      </c>
      <c r="K24" s="167">
        <v>42323</v>
      </c>
      <c r="L24" s="168">
        <v>8318.5949999999993</v>
      </c>
      <c r="M24" s="168">
        <v>8318.5949999999993</v>
      </c>
      <c r="N24" s="168">
        <v>820.14700000000005</v>
      </c>
      <c r="O24" s="168">
        <v>820.14700000000005</v>
      </c>
      <c r="P24" s="123">
        <v>9.8592009828582849E-2</v>
      </c>
      <c r="Q24" s="157">
        <v>45976</v>
      </c>
    </row>
    <row r="25" spans="1:17" ht="14.1" customHeight="1">
      <c r="A25" s="2">
        <v>382</v>
      </c>
      <c r="B25" s="2">
        <v>382</v>
      </c>
      <c r="C25" s="2" t="s">
        <v>1036</v>
      </c>
      <c r="D25" s="2" t="s">
        <v>2195</v>
      </c>
      <c r="E25" s="2" t="s">
        <v>2192</v>
      </c>
      <c r="F25" s="2" t="s">
        <v>1322</v>
      </c>
      <c r="G25" s="2" t="s">
        <v>2195</v>
      </c>
      <c r="H25" s="2">
        <v>27940018</v>
      </c>
      <c r="I25" s="2" t="s">
        <v>33</v>
      </c>
      <c r="J25" s="2" t="s">
        <v>34</v>
      </c>
      <c r="K25" s="167">
        <v>44531</v>
      </c>
      <c r="L25" s="168">
        <v>6500</v>
      </c>
      <c r="M25" s="168">
        <v>6500</v>
      </c>
      <c r="N25" s="168">
        <v>0</v>
      </c>
      <c r="O25" s="168">
        <v>0</v>
      </c>
      <c r="P25" s="123">
        <v>0</v>
      </c>
      <c r="Q25" s="157">
        <v>47088</v>
      </c>
    </row>
    <row r="26" spans="1:17" ht="14.1" customHeight="1">
      <c r="A26" s="2">
        <v>382</v>
      </c>
      <c r="B26" s="2">
        <v>382</v>
      </c>
      <c r="C26" s="2" t="s">
        <v>1036</v>
      </c>
      <c r="D26" s="2" t="s">
        <v>2211</v>
      </c>
      <c r="E26" s="2" t="s">
        <v>2212</v>
      </c>
      <c r="F26" s="2" t="s">
        <v>1322</v>
      </c>
      <c r="G26" s="2" t="s">
        <v>2496</v>
      </c>
      <c r="H26" s="2">
        <v>201400031</v>
      </c>
      <c r="I26" s="2" t="s">
        <v>33</v>
      </c>
      <c r="J26" s="2" t="s">
        <v>89</v>
      </c>
      <c r="K26" s="167">
        <v>43922</v>
      </c>
      <c r="L26" s="168">
        <v>3500</v>
      </c>
      <c r="M26" s="168">
        <v>12764.5</v>
      </c>
      <c r="N26" s="168">
        <v>105</v>
      </c>
      <c r="O26" s="168">
        <v>382.935</v>
      </c>
      <c r="P26" s="123">
        <v>0.03</v>
      </c>
      <c r="Q26" s="157">
        <v>47574</v>
      </c>
    </row>
    <row r="27" spans="1:17" ht="14.1" customHeight="1">
      <c r="A27" s="2">
        <v>382</v>
      </c>
      <c r="B27" s="2">
        <v>382</v>
      </c>
      <c r="C27" s="2" t="s">
        <v>1036</v>
      </c>
      <c r="D27" s="2" t="s">
        <v>2211</v>
      </c>
      <c r="E27" s="2" t="s">
        <v>2212</v>
      </c>
      <c r="F27" s="2" t="s">
        <v>1322</v>
      </c>
      <c r="G27" s="2" t="s">
        <v>2497</v>
      </c>
      <c r="H27" s="2">
        <v>27940032</v>
      </c>
      <c r="I27" s="2" t="s">
        <v>33</v>
      </c>
      <c r="J27" s="2" t="s">
        <v>89</v>
      </c>
      <c r="K27" s="157">
        <v>45200</v>
      </c>
      <c r="L27" s="168">
        <v>3700</v>
      </c>
      <c r="M27" s="168">
        <v>13493.9</v>
      </c>
      <c r="N27" s="168">
        <v>2756.5</v>
      </c>
      <c r="O27" s="168">
        <v>10052.9555</v>
      </c>
      <c r="P27" s="123">
        <v>0.745</v>
      </c>
      <c r="Q27" s="157">
        <v>48853</v>
      </c>
    </row>
    <row r="28" spans="1:17" ht="14.1" customHeight="1">
      <c r="A28" s="2">
        <v>382</v>
      </c>
      <c r="B28" s="2">
        <v>382</v>
      </c>
      <c r="C28" s="2" t="s">
        <v>1040</v>
      </c>
      <c r="D28" s="2" t="s">
        <v>2287</v>
      </c>
      <c r="E28" s="2" t="s">
        <v>2288</v>
      </c>
      <c r="F28" s="2" t="s">
        <v>1322</v>
      </c>
      <c r="G28" s="2" t="s">
        <v>2287</v>
      </c>
      <c r="H28" s="2">
        <v>620020351</v>
      </c>
      <c r="I28" s="2" t="s">
        <v>33</v>
      </c>
      <c r="J28" s="2" t="s">
        <v>1181</v>
      </c>
      <c r="K28" s="167">
        <v>42887</v>
      </c>
      <c r="L28" s="168">
        <v>2500</v>
      </c>
      <c r="M28" s="168">
        <v>9491</v>
      </c>
      <c r="N28" s="168">
        <v>15.426</v>
      </c>
      <c r="O28" s="168">
        <v>58.563266400000003</v>
      </c>
      <c r="P28" s="123">
        <v>6.1704000000000004E-3</v>
      </c>
      <c r="Q28" s="157">
        <v>45814</v>
      </c>
    </row>
    <row r="29" spans="1:17" ht="14.1" customHeight="1">
      <c r="A29" s="2">
        <v>382</v>
      </c>
      <c r="B29" s="2">
        <v>382</v>
      </c>
      <c r="C29" s="2" t="s">
        <v>1040</v>
      </c>
      <c r="D29" s="2" t="s">
        <v>2287</v>
      </c>
      <c r="E29" s="2" t="s">
        <v>2288</v>
      </c>
      <c r="F29" s="2" t="s">
        <v>1322</v>
      </c>
      <c r="G29" s="2" t="s">
        <v>2498</v>
      </c>
      <c r="H29" s="2">
        <v>620020352</v>
      </c>
      <c r="I29" s="2" t="s">
        <v>33</v>
      </c>
      <c r="J29" s="2" t="s">
        <v>1181</v>
      </c>
      <c r="K29" s="157">
        <v>44378</v>
      </c>
      <c r="L29" s="168">
        <v>1500</v>
      </c>
      <c r="M29" s="168">
        <v>5694.6</v>
      </c>
      <c r="N29" s="168">
        <v>364.17599999999999</v>
      </c>
      <c r="O29" s="168">
        <v>1382.5577664</v>
      </c>
      <c r="P29" s="123">
        <v>0.242784</v>
      </c>
      <c r="Q29" s="157">
        <v>47333</v>
      </c>
    </row>
    <row r="30" spans="1:17" ht="14.1" customHeight="1">
      <c r="A30" s="2">
        <v>382</v>
      </c>
      <c r="B30" s="2">
        <v>382</v>
      </c>
      <c r="C30" s="2" t="s">
        <v>1036</v>
      </c>
      <c r="D30" s="2" t="s">
        <v>2145</v>
      </c>
      <c r="E30" s="2" t="s">
        <v>2146</v>
      </c>
      <c r="F30" s="2" t="s">
        <v>1322</v>
      </c>
      <c r="G30" s="2" t="s">
        <v>2499</v>
      </c>
      <c r="H30" s="2">
        <v>620120592</v>
      </c>
      <c r="I30" s="2" t="s">
        <v>33</v>
      </c>
      <c r="J30" s="2" t="s">
        <v>89</v>
      </c>
      <c r="K30" s="157">
        <v>43525</v>
      </c>
      <c r="L30" s="168">
        <v>2000</v>
      </c>
      <c r="M30" s="168">
        <v>7294</v>
      </c>
      <c r="N30" s="168">
        <v>614.72900000000004</v>
      </c>
      <c r="O30" s="168">
        <v>2241.916663</v>
      </c>
      <c r="P30" s="123">
        <v>0.30736450000000004</v>
      </c>
      <c r="Q30" s="157">
        <v>47178</v>
      </c>
    </row>
    <row r="31" spans="1:17" ht="14.1" customHeight="1">
      <c r="A31" s="2">
        <v>382</v>
      </c>
      <c r="B31" s="2">
        <v>382</v>
      </c>
      <c r="C31" s="2" t="s">
        <v>1036</v>
      </c>
      <c r="D31" s="2" t="s">
        <v>2139</v>
      </c>
      <c r="E31" s="2" t="s">
        <v>2140</v>
      </c>
      <c r="F31" s="2" t="s">
        <v>1322</v>
      </c>
      <c r="G31" s="2" t="s">
        <v>2500</v>
      </c>
      <c r="H31" s="2">
        <v>27940008</v>
      </c>
      <c r="I31" s="2" t="s">
        <v>33</v>
      </c>
      <c r="J31" s="2" t="s">
        <v>89</v>
      </c>
      <c r="K31" s="157">
        <v>44105</v>
      </c>
      <c r="L31" s="168">
        <v>3600</v>
      </c>
      <c r="M31" s="168">
        <v>13129.2</v>
      </c>
      <c r="N31" s="168">
        <v>504</v>
      </c>
      <c r="O31" s="168">
        <v>1838.088</v>
      </c>
      <c r="P31" s="123">
        <v>0.14000000000000001</v>
      </c>
      <c r="Q31" s="157">
        <v>47757</v>
      </c>
    </row>
    <row r="32" spans="1:17" ht="14.1" customHeight="1">
      <c r="A32" s="2">
        <v>382</v>
      </c>
      <c r="B32" s="2">
        <v>382</v>
      </c>
      <c r="C32" s="2" t="s">
        <v>1039</v>
      </c>
      <c r="D32" s="2" t="s">
        <v>2244</v>
      </c>
      <c r="E32" s="2" t="s">
        <v>2245</v>
      </c>
      <c r="F32" s="2" t="s">
        <v>33</v>
      </c>
      <c r="G32" s="2" t="s">
        <v>2501</v>
      </c>
      <c r="H32" s="2">
        <v>27940006</v>
      </c>
      <c r="I32" s="2" t="s">
        <v>33</v>
      </c>
      <c r="J32" s="2" t="s">
        <v>89</v>
      </c>
      <c r="K32" s="157">
        <v>43983</v>
      </c>
      <c r="L32" s="168">
        <v>2000</v>
      </c>
      <c r="M32" s="168">
        <v>7294</v>
      </c>
      <c r="N32" s="168">
        <v>544.21118999999999</v>
      </c>
      <c r="O32" s="168">
        <v>1984.7382099299998</v>
      </c>
      <c r="P32" s="123">
        <v>0.27210559499999998</v>
      </c>
      <c r="Q32" s="157">
        <v>47635</v>
      </c>
    </row>
    <row r="33" spans="1:17" ht="14.1" customHeight="1">
      <c r="A33" s="2">
        <v>382</v>
      </c>
      <c r="B33" s="2">
        <v>382</v>
      </c>
      <c r="C33" s="2" t="s">
        <v>1039</v>
      </c>
      <c r="D33" s="2" t="s">
        <v>2255</v>
      </c>
      <c r="E33" s="2" t="s">
        <v>2256</v>
      </c>
      <c r="F33" s="2" t="s">
        <v>181</v>
      </c>
      <c r="G33" s="2" t="s">
        <v>2257</v>
      </c>
      <c r="H33" s="2">
        <v>27940026</v>
      </c>
      <c r="I33" s="2" t="s">
        <v>33</v>
      </c>
      <c r="J33" s="2" t="s">
        <v>1181</v>
      </c>
      <c r="K33" s="157">
        <v>44896</v>
      </c>
      <c r="L33" s="168">
        <v>6000</v>
      </c>
      <c r="M33" s="168">
        <v>22778.400000000001</v>
      </c>
      <c r="N33" s="168">
        <v>2908.2695699999999</v>
      </c>
      <c r="O33" s="168">
        <v>11040.954595548001</v>
      </c>
      <c r="P33" s="123">
        <v>0.484711595</v>
      </c>
      <c r="Q33" s="157">
        <v>47453</v>
      </c>
    </row>
    <row r="34" spans="1:17" ht="14.1" customHeight="1">
      <c r="A34" s="2">
        <v>382</v>
      </c>
      <c r="B34" s="2">
        <v>382</v>
      </c>
      <c r="C34" s="2" t="s">
        <v>1039</v>
      </c>
      <c r="D34" s="2" t="s">
        <v>2261</v>
      </c>
      <c r="E34" s="2" t="s">
        <v>1727</v>
      </c>
      <c r="F34" s="2" t="s">
        <v>1322</v>
      </c>
      <c r="G34" s="2" t="s">
        <v>2502</v>
      </c>
      <c r="H34" s="2">
        <v>27940007</v>
      </c>
      <c r="I34" s="2" t="s">
        <v>33</v>
      </c>
      <c r="J34" s="2" t="s">
        <v>89</v>
      </c>
      <c r="K34" s="157">
        <v>43983</v>
      </c>
      <c r="L34" s="168">
        <v>2100</v>
      </c>
      <c r="M34" s="168">
        <v>7658.7</v>
      </c>
      <c r="N34" s="168">
        <v>0</v>
      </c>
      <c r="O34" s="168">
        <v>0</v>
      </c>
      <c r="P34" s="123">
        <v>0</v>
      </c>
      <c r="Q34" s="157">
        <v>46539</v>
      </c>
    </row>
    <row r="35" spans="1:17" ht="14.1" customHeight="1">
      <c r="A35" s="2">
        <v>382</v>
      </c>
      <c r="B35" s="2">
        <v>382</v>
      </c>
      <c r="C35" s="2" t="s">
        <v>1039</v>
      </c>
      <c r="D35" s="2" t="s">
        <v>2261</v>
      </c>
      <c r="E35" s="2" t="s">
        <v>1727</v>
      </c>
      <c r="F35" s="2" t="s">
        <v>1322</v>
      </c>
      <c r="G35" s="2" t="s">
        <v>2503</v>
      </c>
      <c r="H35" s="2">
        <v>27940029</v>
      </c>
      <c r="I35" s="2" t="s">
        <v>33</v>
      </c>
      <c r="J35" s="2" t="s">
        <v>89</v>
      </c>
      <c r="K35" s="157">
        <v>44896</v>
      </c>
      <c r="L35" s="168">
        <v>2000</v>
      </c>
      <c r="M35" s="168">
        <v>7294</v>
      </c>
      <c r="N35" s="168">
        <v>540</v>
      </c>
      <c r="O35" s="168">
        <v>1969.38</v>
      </c>
      <c r="P35" s="123">
        <v>0.27</v>
      </c>
      <c r="Q35" s="157">
        <v>47453</v>
      </c>
    </row>
    <row r="36" spans="1:17" ht="14.1" customHeight="1">
      <c r="A36" s="2">
        <v>382</v>
      </c>
      <c r="B36" s="2">
        <v>382</v>
      </c>
      <c r="C36" s="2" t="s">
        <v>1039</v>
      </c>
      <c r="D36" s="2" t="s">
        <v>2295</v>
      </c>
      <c r="E36" s="2" t="s">
        <v>2296</v>
      </c>
      <c r="F36" s="2" t="s">
        <v>325</v>
      </c>
      <c r="G36" s="2" t="s">
        <v>2504</v>
      </c>
      <c r="H36" s="2">
        <v>60408895</v>
      </c>
      <c r="I36" s="2" t="s">
        <v>33</v>
      </c>
      <c r="J36" s="2" t="s">
        <v>89</v>
      </c>
      <c r="K36" s="157">
        <v>42522</v>
      </c>
      <c r="L36" s="168">
        <v>1250</v>
      </c>
      <c r="M36" s="168">
        <v>4558.75</v>
      </c>
      <c r="N36" s="168">
        <v>454.25200000000001</v>
      </c>
      <c r="O36" s="168">
        <v>1656.657044</v>
      </c>
      <c r="P36" s="123">
        <v>0.36340159999999999</v>
      </c>
      <c r="Q36" s="157">
        <v>45777</v>
      </c>
    </row>
    <row r="37" spans="1:17" ht="14.1" customHeight="1">
      <c r="A37" s="2">
        <v>382</v>
      </c>
      <c r="B37" s="2">
        <v>382</v>
      </c>
      <c r="C37" s="2" t="s">
        <v>1039</v>
      </c>
      <c r="D37" s="2" t="s">
        <v>2295</v>
      </c>
      <c r="E37" s="2" t="s">
        <v>2296</v>
      </c>
      <c r="F37" s="2" t="s">
        <v>325</v>
      </c>
      <c r="G37" s="2" t="s">
        <v>2505</v>
      </c>
      <c r="H37" s="2">
        <v>27940009</v>
      </c>
      <c r="I37" s="2" t="s">
        <v>33</v>
      </c>
      <c r="J37" s="2" t="s">
        <v>89</v>
      </c>
      <c r="K37" s="157">
        <v>44256</v>
      </c>
      <c r="L37" s="168">
        <v>2250</v>
      </c>
      <c r="M37" s="168">
        <v>8205.75</v>
      </c>
      <c r="N37" s="168">
        <v>205.79499999999999</v>
      </c>
      <c r="O37" s="168">
        <v>750.53436499999998</v>
      </c>
      <c r="P37" s="123">
        <v>9.1464444444444445E-2</v>
      </c>
      <c r="Q37" s="157">
        <v>46082</v>
      </c>
    </row>
    <row r="38" spans="1:17" ht="14.1" customHeight="1">
      <c r="A38" s="2">
        <v>382</v>
      </c>
      <c r="B38" s="2">
        <v>382</v>
      </c>
      <c r="C38" s="2" t="s">
        <v>1039</v>
      </c>
      <c r="D38" s="2" t="s">
        <v>2295</v>
      </c>
      <c r="E38" s="2" t="s">
        <v>2296</v>
      </c>
      <c r="F38" s="2" t="s">
        <v>325</v>
      </c>
      <c r="G38" s="2" t="s">
        <v>2300</v>
      </c>
      <c r="H38" s="2">
        <v>27940023</v>
      </c>
      <c r="I38" s="2" t="s">
        <v>33</v>
      </c>
      <c r="J38" s="2" t="s">
        <v>89</v>
      </c>
      <c r="K38" s="157">
        <v>44713</v>
      </c>
      <c r="L38" s="168">
        <v>5000</v>
      </c>
      <c r="M38" s="168">
        <v>18235</v>
      </c>
      <c r="N38" s="168">
        <v>836.21</v>
      </c>
      <c r="O38" s="168">
        <v>3049.65787</v>
      </c>
      <c r="P38" s="123">
        <v>0.167242</v>
      </c>
      <c r="Q38" s="157">
        <v>46539</v>
      </c>
    </row>
    <row r="39" spans="1:17" ht="14.1" customHeight="1">
      <c r="A39" s="2">
        <v>382</v>
      </c>
      <c r="B39" s="2">
        <v>382</v>
      </c>
      <c r="C39" s="2" t="s">
        <v>1039</v>
      </c>
      <c r="D39" s="2" t="s">
        <v>2134</v>
      </c>
      <c r="E39" s="2" t="s">
        <v>2135</v>
      </c>
      <c r="F39" s="2" t="s">
        <v>181</v>
      </c>
      <c r="G39" s="2" t="s">
        <v>2506</v>
      </c>
      <c r="H39" s="2">
        <v>27940028</v>
      </c>
      <c r="I39" s="2" t="s">
        <v>33</v>
      </c>
      <c r="J39" s="2" t="s">
        <v>34</v>
      </c>
      <c r="K39" s="157">
        <v>45017</v>
      </c>
      <c r="L39" s="168">
        <v>7500</v>
      </c>
      <c r="M39" s="168">
        <v>7500</v>
      </c>
      <c r="N39" s="168">
        <v>3602.6469999999999</v>
      </c>
      <c r="O39" s="168">
        <v>3602.6469999999999</v>
      </c>
      <c r="P39" s="123">
        <v>0.48035293333333334</v>
      </c>
      <c r="Q39" s="157">
        <v>47574</v>
      </c>
    </row>
    <row r="40" spans="1:17" ht="14.1" customHeight="1">
      <c r="A40" s="2">
        <v>382</v>
      </c>
      <c r="B40" s="2">
        <v>382</v>
      </c>
      <c r="C40" s="2" t="s">
        <v>1039</v>
      </c>
      <c r="D40" s="2" t="s">
        <v>2313</v>
      </c>
      <c r="E40" s="2" t="s">
        <v>2314</v>
      </c>
      <c r="F40" s="2" t="s">
        <v>33</v>
      </c>
      <c r="G40" s="2" t="s">
        <v>2315</v>
      </c>
      <c r="H40" s="2">
        <v>27940010</v>
      </c>
      <c r="I40" s="2" t="s">
        <v>33</v>
      </c>
      <c r="J40" s="2" t="s">
        <v>89</v>
      </c>
      <c r="K40" s="157">
        <v>44348</v>
      </c>
      <c r="L40" s="168">
        <v>1500</v>
      </c>
      <c r="M40" s="168">
        <v>5470.5</v>
      </c>
      <c r="N40" s="168">
        <v>0</v>
      </c>
      <c r="O40" s="168">
        <v>0</v>
      </c>
      <c r="P40" s="123">
        <v>0</v>
      </c>
      <c r="Q40" s="2" t="s">
        <v>2493</v>
      </c>
    </row>
    <row r="41" spans="1:17" ht="14.1" customHeight="1">
      <c r="A41" s="2">
        <v>382</v>
      </c>
      <c r="B41" s="2">
        <v>382</v>
      </c>
      <c r="C41" s="2" t="s">
        <v>1039</v>
      </c>
      <c r="D41" s="2" t="s">
        <v>2313</v>
      </c>
      <c r="E41" s="2" t="s">
        <v>2314</v>
      </c>
      <c r="F41" s="2" t="s">
        <v>33</v>
      </c>
      <c r="G41" s="2" t="s">
        <v>2315</v>
      </c>
      <c r="H41" s="2">
        <v>62002259</v>
      </c>
      <c r="I41" s="2" t="s">
        <v>33</v>
      </c>
      <c r="J41" s="2" t="s">
        <v>89</v>
      </c>
      <c r="K41" s="157">
        <v>42887</v>
      </c>
      <c r="L41" s="168">
        <v>2000</v>
      </c>
      <c r="M41" s="168">
        <v>7294</v>
      </c>
      <c r="N41" s="168">
        <v>0</v>
      </c>
      <c r="O41" s="168">
        <v>0</v>
      </c>
      <c r="P41" s="123">
        <v>0</v>
      </c>
      <c r="Q41" s="2" t="s">
        <v>2493</v>
      </c>
    </row>
    <row r="42" spans="1:17" ht="14.1" customHeight="1">
      <c r="A42" s="2">
        <v>382</v>
      </c>
      <c r="B42" s="2">
        <v>382</v>
      </c>
      <c r="C42" s="2" t="s">
        <v>1039</v>
      </c>
      <c r="D42" s="2" t="s">
        <v>2329</v>
      </c>
      <c r="E42" s="2" t="s">
        <v>2507</v>
      </c>
      <c r="F42" s="2" t="s">
        <v>181</v>
      </c>
      <c r="G42" s="2" t="s">
        <v>2330</v>
      </c>
      <c r="H42" s="2">
        <v>27940024</v>
      </c>
      <c r="I42" s="2" t="s">
        <v>33</v>
      </c>
      <c r="J42" s="2" t="s">
        <v>89</v>
      </c>
      <c r="K42" s="157">
        <v>44743</v>
      </c>
      <c r="L42" s="168">
        <v>1600</v>
      </c>
      <c r="M42" s="168">
        <v>5835.2</v>
      </c>
      <c r="N42" s="168">
        <v>278.17099999999999</v>
      </c>
      <c r="O42" s="168">
        <v>1014.489637</v>
      </c>
      <c r="P42" s="123">
        <v>0.17385687499999999</v>
      </c>
      <c r="Q42" s="157">
        <v>46935</v>
      </c>
    </row>
    <row r="43" spans="1:17" ht="14.1" customHeight="1">
      <c r="A43" s="2">
        <v>382</v>
      </c>
      <c r="B43" s="2">
        <v>382</v>
      </c>
      <c r="C43" s="2" t="s">
        <v>1039</v>
      </c>
      <c r="D43" s="2" t="s">
        <v>2508</v>
      </c>
      <c r="E43" s="2" t="s">
        <v>2334</v>
      </c>
      <c r="F43" s="2" t="s">
        <v>181</v>
      </c>
      <c r="G43" s="2" t="s">
        <v>2335</v>
      </c>
      <c r="H43" s="2">
        <v>27940036</v>
      </c>
      <c r="I43" s="2" t="s">
        <v>33</v>
      </c>
      <c r="J43" s="2" t="s">
        <v>89</v>
      </c>
      <c r="K43" s="157">
        <v>45383</v>
      </c>
      <c r="L43" s="168">
        <v>2000</v>
      </c>
      <c r="M43" s="168">
        <v>7294</v>
      </c>
      <c r="N43" s="168">
        <v>1344.5429999999999</v>
      </c>
      <c r="O43" s="168">
        <v>4903.5483210000002</v>
      </c>
      <c r="P43" s="123">
        <v>0.67227149999999991</v>
      </c>
      <c r="Q43" s="157">
        <v>47574</v>
      </c>
    </row>
    <row r="44" spans="1:17" ht="14.1" customHeight="1">
      <c r="A44" s="2">
        <v>382</v>
      </c>
      <c r="B44" s="2">
        <v>382</v>
      </c>
      <c r="C44" s="2" t="s">
        <v>1039</v>
      </c>
      <c r="D44" s="2" t="s">
        <v>2150</v>
      </c>
      <c r="E44" s="2" t="s">
        <v>2151</v>
      </c>
      <c r="F44" s="2" t="s">
        <v>325</v>
      </c>
      <c r="G44" s="2" t="s">
        <v>2509</v>
      </c>
      <c r="H44" s="2">
        <v>27940001</v>
      </c>
      <c r="I44" s="2" t="s">
        <v>33</v>
      </c>
      <c r="J44" s="2" t="s">
        <v>34</v>
      </c>
      <c r="K44" s="157">
        <v>43770</v>
      </c>
      <c r="L44" s="168">
        <v>12200</v>
      </c>
      <c r="M44" s="168">
        <v>12200</v>
      </c>
      <c r="N44" s="168">
        <v>1957.3019999999999</v>
      </c>
      <c r="O44" s="168">
        <v>1957.3019999999999</v>
      </c>
      <c r="P44" s="123">
        <v>0.16043459016393441</v>
      </c>
      <c r="Q44" s="157">
        <v>46692</v>
      </c>
    </row>
    <row r="45" spans="1:17" ht="14.1" customHeight="1">
      <c r="A45" s="2">
        <v>382</v>
      </c>
      <c r="B45" s="2">
        <v>382</v>
      </c>
      <c r="C45" s="2" t="s">
        <v>1039</v>
      </c>
      <c r="D45" s="2" t="s">
        <v>2150</v>
      </c>
      <c r="E45" s="2" t="s">
        <v>2151</v>
      </c>
      <c r="F45" s="2" t="s">
        <v>325</v>
      </c>
      <c r="G45" s="2" t="s">
        <v>2156</v>
      </c>
      <c r="H45" s="2">
        <v>27940027</v>
      </c>
      <c r="I45" s="2" t="s">
        <v>33</v>
      </c>
      <c r="J45" s="2" t="s">
        <v>34</v>
      </c>
      <c r="K45" s="157">
        <v>45017</v>
      </c>
      <c r="L45" s="168">
        <v>12000</v>
      </c>
      <c r="M45" s="168">
        <v>12000</v>
      </c>
      <c r="N45" s="168">
        <v>8400</v>
      </c>
      <c r="O45" s="168">
        <v>8400</v>
      </c>
      <c r="P45" s="123">
        <v>0.7</v>
      </c>
      <c r="Q45" s="157">
        <v>47939</v>
      </c>
    </row>
    <row r="46" spans="1:17" ht="14.1" customHeight="1">
      <c r="A46" s="2">
        <v>382</v>
      </c>
      <c r="B46" s="2">
        <v>382</v>
      </c>
      <c r="C46" s="2" t="s">
        <v>1039</v>
      </c>
      <c r="D46" s="2" t="s">
        <v>2510</v>
      </c>
      <c r="E46" s="2">
        <v>13364</v>
      </c>
      <c r="F46" s="2" t="s">
        <v>33</v>
      </c>
      <c r="G46" s="2" t="s">
        <v>2511</v>
      </c>
      <c r="H46" s="2">
        <v>27940037</v>
      </c>
      <c r="I46" s="2" t="s">
        <v>33</v>
      </c>
      <c r="J46" s="2" t="s">
        <v>89</v>
      </c>
      <c r="K46" s="157">
        <v>45536</v>
      </c>
      <c r="L46" s="168">
        <v>1800</v>
      </c>
      <c r="M46" s="168">
        <v>6564.6</v>
      </c>
      <c r="N46" s="168">
        <v>0</v>
      </c>
      <c r="O46" s="168">
        <v>0</v>
      </c>
      <c r="P46" s="123">
        <v>0</v>
      </c>
      <c r="Q46" s="2" t="s">
        <v>2493</v>
      </c>
    </row>
    <row r="47" spans="1:17" ht="14.1" customHeight="1">
      <c r="A47" s="2">
        <v>382</v>
      </c>
      <c r="B47" s="2">
        <v>382</v>
      </c>
      <c r="C47" s="2" t="s">
        <v>1039</v>
      </c>
      <c r="D47" s="2" t="s">
        <v>2353</v>
      </c>
      <c r="E47" s="2" t="s">
        <v>2354</v>
      </c>
      <c r="F47" s="2" t="s">
        <v>33</v>
      </c>
      <c r="G47" s="2" t="s">
        <v>2355</v>
      </c>
      <c r="H47" s="2">
        <v>27940013</v>
      </c>
      <c r="I47" s="2" t="s">
        <v>33</v>
      </c>
      <c r="J47" s="2" t="s">
        <v>1181</v>
      </c>
      <c r="K47" s="157">
        <v>44197</v>
      </c>
      <c r="L47" s="168">
        <v>1850</v>
      </c>
      <c r="M47" s="168">
        <v>7023.34</v>
      </c>
      <c r="N47" s="168">
        <v>164.44529999999997</v>
      </c>
      <c r="O47" s="168">
        <v>624.30013692</v>
      </c>
      <c r="P47" s="123">
        <v>8.8889351351351342E-2</v>
      </c>
      <c r="Q47" s="157">
        <v>46753</v>
      </c>
    </row>
    <row r="48" spans="1:17" ht="14.1" customHeight="1">
      <c r="A48" s="2">
        <v>382</v>
      </c>
      <c r="B48" s="2">
        <v>382</v>
      </c>
      <c r="C48" s="2" t="s">
        <v>1039</v>
      </c>
      <c r="D48" s="2" t="s">
        <v>2374</v>
      </c>
      <c r="E48" s="2" t="s">
        <v>2375</v>
      </c>
      <c r="F48" s="2" t="s">
        <v>33</v>
      </c>
      <c r="G48" s="2" t="s">
        <v>2376</v>
      </c>
      <c r="H48" s="2">
        <v>27940021</v>
      </c>
      <c r="I48" s="2" t="s">
        <v>33</v>
      </c>
      <c r="J48" s="2" t="s">
        <v>89</v>
      </c>
      <c r="K48" s="157">
        <v>44577</v>
      </c>
      <c r="L48" s="168">
        <v>3300</v>
      </c>
      <c r="M48" s="168">
        <v>12035.1</v>
      </c>
      <c r="N48" s="168">
        <v>0</v>
      </c>
      <c r="O48" s="168">
        <v>0</v>
      </c>
      <c r="P48" s="123">
        <v>0</v>
      </c>
      <c r="Q48" s="157">
        <v>47027</v>
      </c>
    </row>
    <row r="49" spans="1:17" ht="14.1" customHeight="1">
      <c r="A49" s="2">
        <v>382</v>
      </c>
      <c r="B49" s="2">
        <v>382</v>
      </c>
      <c r="C49" s="2" t="s">
        <v>1039</v>
      </c>
      <c r="D49" s="2" t="s">
        <v>2206</v>
      </c>
      <c r="E49" s="2" t="s">
        <v>2207</v>
      </c>
      <c r="F49" s="2" t="s">
        <v>1322</v>
      </c>
      <c r="G49" s="2" t="s">
        <v>2206</v>
      </c>
      <c r="H49" s="2">
        <v>18978</v>
      </c>
      <c r="I49" s="2" t="s">
        <v>33</v>
      </c>
      <c r="J49" s="2" t="s">
        <v>34</v>
      </c>
      <c r="K49" s="157">
        <v>42887</v>
      </c>
      <c r="L49" s="168">
        <v>8000</v>
      </c>
      <c r="M49" s="168">
        <v>8000</v>
      </c>
      <c r="N49" s="168">
        <v>1186.6030000000001</v>
      </c>
      <c r="O49" s="168">
        <v>1186.6030000000001</v>
      </c>
      <c r="P49" s="123">
        <v>0.14832537500000001</v>
      </c>
      <c r="Q49" s="157">
        <v>46539</v>
      </c>
    </row>
    <row r="50" spans="1:17" ht="14.1" customHeight="1">
      <c r="A50" s="2">
        <v>382</v>
      </c>
      <c r="B50" s="2">
        <v>382</v>
      </c>
      <c r="C50" s="2" t="s">
        <v>1039</v>
      </c>
      <c r="D50" s="2" t="s">
        <v>2181</v>
      </c>
      <c r="E50" s="2" t="s">
        <v>2182</v>
      </c>
      <c r="F50" s="2" t="s">
        <v>324</v>
      </c>
      <c r="G50" s="2" t="s">
        <v>2183</v>
      </c>
      <c r="H50" s="2">
        <v>27940003</v>
      </c>
      <c r="I50" s="2" t="s">
        <v>33</v>
      </c>
      <c r="J50" s="2" t="s">
        <v>34</v>
      </c>
      <c r="K50" s="157">
        <v>43770</v>
      </c>
      <c r="L50" s="168">
        <v>8400</v>
      </c>
      <c r="M50" s="168">
        <v>8400</v>
      </c>
      <c r="N50" s="168">
        <v>2491.145</v>
      </c>
      <c r="O50" s="168">
        <v>2491.145</v>
      </c>
      <c r="P50" s="123">
        <v>0.29656488095238093</v>
      </c>
      <c r="Q50" s="157">
        <v>46327</v>
      </c>
    </row>
    <row r="51" spans="1:17" ht="14.1" customHeight="1">
      <c r="A51" s="2">
        <v>382</v>
      </c>
      <c r="B51" s="2">
        <v>382</v>
      </c>
      <c r="C51" s="2" t="s">
        <v>1039</v>
      </c>
      <c r="D51" s="2" t="s">
        <v>2358</v>
      </c>
      <c r="E51" s="2">
        <v>0</v>
      </c>
      <c r="F51" s="2" t="s">
        <v>86</v>
      </c>
      <c r="G51" s="2" t="s">
        <v>2512</v>
      </c>
      <c r="H51" s="2">
        <v>27940020</v>
      </c>
      <c r="I51" s="2" t="s">
        <v>33</v>
      </c>
      <c r="J51" s="2" t="s">
        <v>89</v>
      </c>
      <c r="K51" s="157">
        <v>44562</v>
      </c>
      <c r="L51" s="168">
        <v>2000</v>
      </c>
      <c r="M51" s="168">
        <v>7294</v>
      </c>
      <c r="N51" s="168">
        <v>0</v>
      </c>
      <c r="O51" s="168">
        <v>0</v>
      </c>
      <c r="P51" s="123">
        <v>0</v>
      </c>
      <c r="Q51" s="2" t="s">
        <v>2493</v>
      </c>
    </row>
    <row r="52" spans="1:17" ht="14.1" customHeight="1">
      <c r="A52" s="2">
        <v>382</v>
      </c>
      <c r="B52" s="2">
        <v>382</v>
      </c>
      <c r="C52" s="2" t="s">
        <v>1039</v>
      </c>
      <c r="D52" s="2" t="s">
        <v>2358</v>
      </c>
      <c r="E52" s="2">
        <v>0</v>
      </c>
      <c r="F52" s="2" t="s">
        <v>86</v>
      </c>
      <c r="G52" s="2" t="s">
        <v>2512</v>
      </c>
      <c r="H52" s="2">
        <v>27940022</v>
      </c>
      <c r="I52" s="2" t="s">
        <v>33</v>
      </c>
      <c r="J52" s="2" t="s">
        <v>89</v>
      </c>
      <c r="K52" s="157">
        <v>44594</v>
      </c>
      <c r="L52" s="168">
        <v>2000</v>
      </c>
      <c r="M52" s="168">
        <v>7294</v>
      </c>
      <c r="N52" s="168">
        <v>0</v>
      </c>
      <c r="O52" s="168">
        <v>0</v>
      </c>
      <c r="P52" s="123">
        <v>0</v>
      </c>
      <c r="Q52" s="2" t="s">
        <v>2493</v>
      </c>
    </row>
    <row r="53" spans="1:17" ht="14.1" customHeight="1">
      <c r="A53" s="2">
        <v>382</v>
      </c>
      <c r="B53" s="2">
        <v>382</v>
      </c>
      <c r="C53" s="2" t="s">
        <v>1039</v>
      </c>
      <c r="D53" s="2" t="s">
        <v>2358</v>
      </c>
      <c r="E53" s="2" t="s">
        <v>2362</v>
      </c>
      <c r="F53" s="2" t="s">
        <v>33</v>
      </c>
      <c r="G53" s="2" t="s">
        <v>2381</v>
      </c>
      <c r="H53" s="2">
        <v>27940017</v>
      </c>
      <c r="I53" s="2" t="s">
        <v>33</v>
      </c>
      <c r="J53" s="2" t="s">
        <v>89</v>
      </c>
      <c r="K53" s="157">
        <v>44562</v>
      </c>
      <c r="L53" s="168">
        <v>3800</v>
      </c>
      <c r="M53" s="168">
        <v>13858.6</v>
      </c>
      <c r="N53" s="168">
        <v>0</v>
      </c>
      <c r="O53" s="168">
        <v>0</v>
      </c>
      <c r="P53" s="123">
        <v>0</v>
      </c>
      <c r="Q53" s="2" t="s">
        <v>2493</v>
      </c>
    </row>
    <row r="54" spans="1:17" ht="14.1" customHeight="1">
      <c r="A54" s="2">
        <v>382</v>
      </c>
      <c r="B54" s="2">
        <v>382</v>
      </c>
      <c r="C54" s="2" t="s">
        <v>1039</v>
      </c>
      <c r="D54" s="2" t="s">
        <v>2358</v>
      </c>
      <c r="E54" s="2" t="s">
        <v>2362</v>
      </c>
      <c r="F54" s="2" t="s">
        <v>33</v>
      </c>
      <c r="G54" s="2" t="s">
        <v>2381</v>
      </c>
      <c r="H54" s="2">
        <v>27940025</v>
      </c>
      <c r="I54" s="2" t="s">
        <v>33</v>
      </c>
      <c r="J54" s="2" t="s">
        <v>89</v>
      </c>
      <c r="K54" s="157">
        <v>44774</v>
      </c>
      <c r="L54" s="168">
        <v>1400</v>
      </c>
      <c r="M54" s="168">
        <v>5105.8</v>
      </c>
      <c r="N54" s="168">
        <v>0</v>
      </c>
      <c r="O54" s="168">
        <v>0</v>
      </c>
      <c r="P54" s="123">
        <v>0</v>
      </c>
      <c r="Q54" s="2" t="s">
        <v>2493</v>
      </c>
    </row>
    <row r="55" spans="1:17" ht="14.1" customHeight="1">
      <c r="A55" s="2">
        <v>382</v>
      </c>
      <c r="B55" s="2">
        <v>382</v>
      </c>
      <c r="C55" s="2" t="s">
        <v>1038</v>
      </c>
      <c r="D55" s="2" t="s">
        <v>2164</v>
      </c>
      <c r="E55" s="2" t="s">
        <v>2165</v>
      </c>
      <c r="F55" s="2" t="s">
        <v>1322</v>
      </c>
      <c r="G55" s="2" t="s">
        <v>2164</v>
      </c>
      <c r="H55" s="2">
        <v>27940019</v>
      </c>
      <c r="I55" s="2" t="s">
        <v>33</v>
      </c>
      <c r="J55" s="2" t="s">
        <v>34</v>
      </c>
      <c r="K55" s="157">
        <v>44562</v>
      </c>
      <c r="L55" s="168">
        <v>5000</v>
      </c>
      <c r="M55" s="168">
        <v>5000</v>
      </c>
      <c r="N55" s="168">
        <v>0</v>
      </c>
      <c r="O55" s="168">
        <v>0</v>
      </c>
      <c r="P55" s="123">
        <v>0</v>
      </c>
      <c r="Q55" s="2" t="s">
        <v>2493</v>
      </c>
    </row>
    <row r="56" spans="1:17" ht="14.1" customHeight="1">
      <c r="A56" s="2">
        <v>382</v>
      </c>
      <c r="B56" s="2">
        <v>382</v>
      </c>
      <c r="C56" s="2" t="s">
        <v>1038</v>
      </c>
      <c r="D56" s="2" t="s">
        <v>2175</v>
      </c>
      <c r="E56" s="2" t="s">
        <v>2176</v>
      </c>
      <c r="F56" s="2" t="s">
        <v>1322</v>
      </c>
      <c r="G56" s="2" t="s">
        <v>2175</v>
      </c>
      <c r="H56" s="2">
        <v>35170</v>
      </c>
      <c r="I56" s="2" t="s">
        <v>33</v>
      </c>
      <c r="J56" s="2" t="s">
        <v>34</v>
      </c>
      <c r="K56" s="157">
        <v>41360</v>
      </c>
      <c r="L56" s="168">
        <v>9331.8979999999992</v>
      </c>
      <c r="M56" s="168">
        <v>9331.8979999999992</v>
      </c>
      <c r="N56" s="168">
        <v>0</v>
      </c>
      <c r="O56" s="168">
        <v>0</v>
      </c>
      <c r="P56" s="123">
        <v>0</v>
      </c>
      <c r="Q56" s="2" t="s">
        <v>2493</v>
      </c>
    </row>
    <row r="57" spans="1:17" ht="14.1" customHeight="1">
      <c r="A57" s="2">
        <v>382</v>
      </c>
      <c r="B57" s="2">
        <v>382</v>
      </c>
      <c r="C57" s="2" t="s">
        <v>1038</v>
      </c>
      <c r="D57" s="2" t="s">
        <v>2175</v>
      </c>
      <c r="E57" s="2" t="s">
        <v>2176</v>
      </c>
      <c r="F57" s="2" t="s">
        <v>1322</v>
      </c>
      <c r="G57" s="2" t="s">
        <v>2175</v>
      </c>
      <c r="H57" s="2">
        <v>27940015</v>
      </c>
      <c r="I57" s="2" t="s">
        <v>33</v>
      </c>
      <c r="J57" s="2" t="s">
        <v>34</v>
      </c>
      <c r="K57" s="157">
        <v>45011</v>
      </c>
      <c r="L57" s="168">
        <v>780.84400000000005</v>
      </c>
      <c r="M57" s="168">
        <v>780.84400000000005</v>
      </c>
      <c r="N57" s="168">
        <v>0</v>
      </c>
      <c r="O57" s="168">
        <v>0</v>
      </c>
      <c r="P57" s="123">
        <v>0</v>
      </c>
      <c r="Q57" s="2" t="s">
        <v>2493</v>
      </c>
    </row>
    <row r="58" spans="1:17" ht="14.1" customHeight="1">
      <c r="A58" s="2">
        <v>382</v>
      </c>
      <c r="B58" s="2">
        <v>382</v>
      </c>
      <c r="C58" s="2" t="s">
        <v>1038</v>
      </c>
      <c r="D58" s="2" t="s">
        <v>2175</v>
      </c>
      <c r="E58" s="2" t="s">
        <v>2176</v>
      </c>
      <c r="F58" s="2" t="s">
        <v>1322</v>
      </c>
      <c r="G58" s="2" t="s">
        <v>2175</v>
      </c>
      <c r="H58" s="2">
        <v>27940035</v>
      </c>
      <c r="I58" s="2" t="s">
        <v>33</v>
      </c>
      <c r="J58" s="2" t="s">
        <v>34</v>
      </c>
      <c r="K58" s="157">
        <v>45370</v>
      </c>
      <c r="L58" s="168">
        <v>2200</v>
      </c>
      <c r="M58" s="168">
        <v>2200</v>
      </c>
      <c r="N58" s="168">
        <v>0</v>
      </c>
      <c r="O58" s="168">
        <v>0</v>
      </c>
      <c r="P58" s="123">
        <v>0</v>
      </c>
      <c r="Q58" s="2" t="s">
        <v>2493</v>
      </c>
    </row>
    <row r="59" spans="1:17" ht="14.1" customHeight="1">
      <c r="A59" s="2">
        <v>382</v>
      </c>
      <c r="B59" s="2">
        <v>382</v>
      </c>
      <c r="C59" s="2" t="s">
        <v>1038</v>
      </c>
      <c r="D59" s="2" t="s">
        <v>2175</v>
      </c>
      <c r="E59" s="2" t="s">
        <v>2203</v>
      </c>
      <c r="F59" s="2" t="s">
        <v>1322</v>
      </c>
      <c r="G59" s="2" t="s">
        <v>2513</v>
      </c>
      <c r="H59" s="2">
        <v>36996</v>
      </c>
      <c r="I59" s="2" t="s">
        <v>33</v>
      </c>
      <c r="J59" s="2" t="s">
        <v>34</v>
      </c>
      <c r="K59" s="157">
        <v>42887</v>
      </c>
      <c r="L59" s="168">
        <v>5000</v>
      </c>
      <c r="M59" s="168">
        <v>5000</v>
      </c>
      <c r="N59" s="168">
        <v>0</v>
      </c>
      <c r="O59" s="168">
        <v>0</v>
      </c>
      <c r="P59" s="123">
        <v>0</v>
      </c>
      <c r="Q59" s="2" t="s">
        <v>2493</v>
      </c>
    </row>
    <row r="60" spans="1:17" ht="14.1" customHeight="1">
      <c r="A60" s="2">
        <v>382</v>
      </c>
      <c r="B60" s="2">
        <v>382</v>
      </c>
      <c r="C60" s="2" t="s">
        <v>1038</v>
      </c>
      <c r="D60" s="2" t="s">
        <v>2218</v>
      </c>
      <c r="E60" s="2" t="s">
        <v>2219</v>
      </c>
      <c r="F60" s="2" t="s">
        <v>33</v>
      </c>
      <c r="G60" s="2" t="s">
        <v>2218</v>
      </c>
      <c r="H60" s="2">
        <v>500052</v>
      </c>
      <c r="I60" s="2" t="s">
        <v>33</v>
      </c>
      <c r="J60" s="2" t="s">
        <v>34</v>
      </c>
      <c r="K60" s="157">
        <v>42887</v>
      </c>
      <c r="L60" s="168">
        <v>8000</v>
      </c>
      <c r="M60" s="168">
        <v>8000</v>
      </c>
      <c r="N60" s="168">
        <v>0</v>
      </c>
      <c r="O60" s="168">
        <v>0</v>
      </c>
      <c r="P60" s="123">
        <v>0</v>
      </c>
      <c r="Q60" s="2" t="s">
        <v>2493</v>
      </c>
    </row>
    <row r="61" spans="1:17" ht="14.1" customHeight="1">
      <c r="A61" s="2">
        <v>382</v>
      </c>
      <c r="B61" s="2">
        <v>382</v>
      </c>
      <c r="C61" s="2" t="s">
        <v>1038</v>
      </c>
      <c r="D61" s="2" t="s">
        <v>2218</v>
      </c>
      <c r="E61" s="2" t="s">
        <v>2219</v>
      </c>
      <c r="F61" s="2" t="s">
        <v>33</v>
      </c>
      <c r="G61" s="2" t="s">
        <v>2218</v>
      </c>
      <c r="H61" s="2">
        <v>27940005</v>
      </c>
      <c r="I61" s="2" t="s">
        <v>33</v>
      </c>
      <c r="J61" s="2" t="s">
        <v>34</v>
      </c>
      <c r="K61" s="157">
        <v>44013</v>
      </c>
      <c r="L61" s="168">
        <v>3500</v>
      </c>
      <c r="M61" s="168">
        <v>3500</v>
      </c>
      <c r="N61" s="168">
        <v>0</v>
      </c>
      <c r="O61" s="168">
        <v>0</v>
      </c>
      <c r="P61" s="123">
        <v>0</v>
      </c>
      <c r="Q61" s="2" t="s">
        <v>2493</v>
      </c>
    </row>
    <row r="62" spans="1:17" ht="14.1" customHeight="1">
      <c r="A62" s="2">
        <v>382</v>
      </c>
      <c r="B62" s="2">
        <v>382</v>
      </c>
      <c r="C62" s="2" t="s">
        <v>1038</v>
      </c>
      <c r="D62" s="2" t="s">
        <v>2225</v>
      </c>
      <c r="E62" s="2" t="s">
        <v>2226</v>
      </c>
      <c r="F62" s="2" t="s">
        <v>1322</v>
      </c>
      <c r="G62" s="2" t="s">
        <v>2514</v>
      </c>
      <c r="H62" s="2">
        <v>36459</v>
      </c>
      <c r="I62" s="2" t="s">
        <v>33</v>
      </c>
      <c r="J62" s="2" t="s">
        <v>34</v>
      </c>
      <c r="K62" s="157">
        <v>42309</v>
      </c>
      <c r="L62" s="168">
        <v>5000</v>
      </c>
      <c r="M62" s="168">
        <v>5000</v>
      </c>
      <c r="N62" s="168">
        <v>0</v>
      </c>
      <c r="O62" s="168">
        <v>0</v>
      </c>
      <c r="P62" s="123">
        <v>0</v>
      </c>
      <c r="Q62" s="2" t="s">
        <v>2493</v>
      </c>
    </row>
    <row r="63" spans="1:17" ht="14.1" customHeight="1">
      <c r="A63" s="2">
        <v>382</v>
      </c>
      <c r="B63" s="2">
        <v>382</v>
      </c>
      <c r="C63" s="2" t="s">
        <v>1038</v>
      </c>
      <c r="D63" s="2" t="s">
        <v>2191</v>
      </c>
      <c r="E63" s="2" t="s">
        <v>2192</v>
      </c>
      <c r="F63" s="2" t="s">
        <v>1322</v>
      </c>
      <c r="G63" s="2" t="s">
        <v>2515</v>
      </c>
      <c r="H63" s="2">
        <v>34934</v>
      </c>
      <c r="I63" s="2" t="s">
        <v>33</v>
      </c>
      <c r="J63" s="2" t="s">
        <v>34</v>
      </c>
      <c r="K63" s="157">
        <v>41820</v>
      </c>
      <c r="L63" s="168">
        <v>8500</v>
      </c>
      <c r="M63" s="168">
        <v>8500</v>
      </c>
      <c r="N63" s="168">
        <v>0</v>
      </c>
      <c r="O63" s="168">
        <v>0</v>
      </c>
      <c r="P63" s="123">
        <v>0</v>
      </c>
      <c r="Q63" s="2" t="s">
        <v>2493</v>
      </c>
    </row>
    <row r="64" spans="1:17" ht="14.1" customHeight="1">
      <c r="A64" s="2">
        <v>382</v>
      </c>
      <c r="B64" s="2">
        <v>382</v>
      </c>
      <c r="C64" s="2" t="s">
        <v>1038</v>
      </c>
      <c r="D64" s="2" t="s">
        <v>2191</v>
      </c>
      <c r="E64" s="2" t="s">
        <v>2192</v>
      </c>
      <c r="F64" s="2" t="s">
        <v>1322</v>
      </c>
      <c r="G64" s="2" t="s">
        <v>2515</v>
      </c>
      <c r="H64" s="2">
        <v>36384</v>
      </c>
      <c r="I64" s="2" t="s">
        <v>33</v>
      </c>
      <c r="J64" s="2" t="s">
        <v>34</v>
      </c>
      <c r="K64" s="157">
        <v>42948</v>
      </c>
      <c r="L64" s="168">
        <v>2500</v>
      </c>
      <c r="M64" s="168">
        <v>2500</v>
      </c>
      <c r="N64" s="168">
        <v>0</v>
      </c>
      <c r="O64" s="168">
        <v>0</v>
      </c>
      <c r="P64" s="123">
        <v>0</v>
      </c>
      <c r="Q64" s="2" t="s">
        <v>2493</v>
      </c>
    </row>
  </sheetData>
  <sheetProtection formatColumns="0"/>
  <dataConsolidate/>
  <dataValidations count="2">
    <dataValidation type="list" allowBlank="1" showInputMessage="1" showErrorMessage="1" sqref="F2:F20" xr:uid="{00000000-0002-0000-1E00-000000000000}">
      <formula1>Issuer_Number_Fund</formula1>
    </dataValidation>
    <dataValidation type="list" allowBlank="1" showInputMessage="1" showErrorMessage="1" sqref="I2:I20" xr:uid="{00000000-0002-0000-1E00-000001000000}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2000000}">
          <x14:formula1>
            <xm:f>'אפשרויות בחירה'!$C$1037:$C$1040</xm:f>
          </x14:formula1>
          <xm:sqref>C2:C19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/>
  <dimension ref="A1:H1163"/>
  <sheetViews>
    <sheetView showGridLines="0" rightToLeft="1" topLeftCell="B1" zoomScale="85" zoomScaleNormal="85" workbookViewId="0">
      <pane ySplit="1" topLeftCell="A682" activePane="bottomLeft" state="frozen"/>
      <selection pane="bottomLeft" activeCell="B701" sqref="B701"/>
    </sheetView>
  </sheetViews>
  <sheetFormatPr defaultColWidth="0" defaultRowHeight="14.25" zeroHeight="1"/>
  <cols>
    <col min="1" max="1" width="29.5" customWidth="1"/>
    <col min="2" max="2" width="30.375" customWidth="1"/>
    <col min="3" max="3" width="90.875" customWidth="1"/>
    <col min="4" max="4" width="68.875" customWidth="1"/>
    <col min="5" max="5" width="17.375" hidden="1" customWidth="1"/>
    <col min="6" max="6" width="59.625" hidden="1" customWidth="1"/>
    <col min="7" max="7" width="63.5" hidden="1" customWidth="1"/>
    <col min="8" max="8" width="38.75" hidden="1" customWidth="1"/>
  </cols>
  <sheetData>
    <row r="1" spans="1:4" ht="45">
      <c r="A1" s="37" t="s">
        <v>217</v>
      </c>
      <c r="B1" s="37" t="s">
        <v>218</v>
      </c>
      <c r="C1" s="37" t="s">
        <v>219</v>
      </c>
      <c r="D1" s="37" t="s">
        <v>220</v>
      </c>
    </row>
    <row r="2" spans="1:4">
      <c r="A2" s="70"/>
      <c r="B2" s="70" t="s">
        <v>221</v>
      </c>
      <c r="C2" s="14" t="s">
        <v>30</v>
      </c>
      <c r="D2" s="14"/>
    </row>
    <row r="3" spans="1:4">
      <c r="A3" s="71"/>
      <c r="B3" s="71"/>
      <c r="C3" s="14" t="s">
        <v>85</v>
      </c>
      <c r="D3" s="14"/>
    </row>
    <row r="4" spans="1:4" ht="42.75">
      <c r="A4" s="63"/>
      <c r="B4" s="84" t="s">
        <v>222</v>
      </c>
      <c r="C4" s="15" t="s">
        <v>30</v>
      </c>
      <c r="D4" s="15"/>
    </row>
    <row r="5" spans="1:4">
      <c r="A5" s="64"/>
      <c r="B5" s="85"/>
      <c r="C5" s="15" t="s">
        <v>223</v>
      </c>
      <c r="D5" s="15"/>
    </row>
    <row r="6" spans="1:4">
      <c r="A6" s="64"/>
      <c r="B6" s="85"/>
      <c r="C6" s="15" t="s">
        <v>224</v>
      </c>
      <c r="D6" s="15"/>
    </row>
    <row r="7" spans="1:4">
      <c r="A7" s="64"/>
      <c r="B7" s="85"/>
      <c r="C7" s="15" t="s">
        <v>225</v>
      </c>
      <c r="D7" s="15"/>
    </row>
    <row r="8" spans="1:4">
      <c r="A8" s="64"/>
      <c r="B8" s="85"/>
      <c r="C8" s="15" t="s">
        <v>226</v>
      </c>
      <c r="D8" s="15"/>
    </row>
    <row r="9" spans="1:4">
      <c r="A9" s="64"/>
      <c r="B9" s="85"/>
      <c r="C9" s="15" t="s">
        <v>227</v>
      </c>
      <c r="D9" s="15"/>
    </row>
    <row r="10" spans="1:4">
      <c r="A10" s="64"/>
      <c r="B10" s="85"/>
      <c r="C10" s="15" t="s">
        <v>228</v>
      </c>
      <c r="D10" s="15"/>
    </row>
    <row r="11" spans="1:4">
      <c r="A11" s="64"/>
      <c r="B11" s="85"/>
      <c r="C11" s="15" t="s">
        <v>229</v>
      </c>
      <c r="D11" s="15"/>
    </row>
    <row r="12" spans="1:4">
      <c r="A12" s="64"/>
      <c r="B12" s="85"/>
      <c r="C12" s="15" t="s">
        <v>230</v>
      </c>
      <c r="D12" s="15"/>
    </row>
    <row r="13" spans="1:4">
      <c r="A13" s="64"/>
      <c r="B13" s="85"/>
      <c r="C13" s="15" t="s">
        <v>231</v>
      </c>
      <c r="D13" s="15"/>
    </row>
    <row r="14" spans="1:4">
      <c r="A14" s="64"/>
      <c r="B14" s="85"/>
      <c r="C14" s="15" t="s">
        <v>232</v>
      </c>
      <c r="D14" s="15"/>
    </row>
    <row r="15" spans="1:4">
      <c r="A15" s="64"/>
      <c r="B15" s="85"/>
      <c r="C15" s="15" t="s">
        <v>233</v>
      </c>
      <c r="D15" s="15"/>
    </row>
    <row r="16" spans="1:4">
      <c r="A16" s="64"/>
      <c r="B16" s="85"/>
      <c r="C16" s="15" t="s">
        <v>234</v>
      </c>
      <c r="D16" s="15"/>
    </row>
    <row r="17" spans="1:4">
      <c r="A17" s="64"/>
      <c r="B17" s="85"/>
      <c r="C17" s="15" t="s">
        <v>235</v>
      </c>
      <c r="D17" s="15"/>
    </row>
    <row r="18" spans="1:4">
      <c r="A18" s="64"/>
      <c r="B18" s="85"/>
      <c r="C18" s="15" t="s">
        <v>236</v>
      </c>
      <c r="D18" s="15"/>
    </row>
    <row r="19" spans="1:4">
      <c r="A19" s="64"/>
      <c r="B19" s="85"/>
      <c r="C19" s="15" t="s">
        <v>237</v>
      </c>
      <c r="D19" s="15"/>
    </row>
    <row r="20" spans="1:4">
      <c r="A20" s="64"/>
      <c r="B20" s="85"/>
      <c r="C20" s="15" t="s">
        <v>238</v>
      </c>
      <c r="D20" s="15"/>
    </row>
    <row r="21" spans="1:4">
      <c r="A21" s="64"/>
      <c r="B21" s="85"/>
      <c r="C21" s="15" t="s">
        <v>94</v>
      </c>
      <c r="D21" s="15"/>
    </row>
    <row r="22" spans="1:4">
      <c r="A22" s="64"/>
      <c r="B22" s="85"/>
      <c r="C22" s="15" t="s">
        <v>239</v>
      </c>
      <c r="D22" s="15"/>
    </row>
    <row r="23" spans="1:4">
      <c r="A23" s="64"/>
      <c r="B23" s="85"/>
      <c r="C23" s="15" t="s">
        <v>240</v>
      </c>
      <c r="D23" s="15"/>
    </row>
    <row r="24" spans="1:4">
      <c r="A24" s="64"/>
      <c r="B24" s="85"/>
      <c r="C24" s="15" t="s">
        <v>241</v>
      </c>
      <c r="D24" s="15"/>
    </row>
    <row r="25" spans="1:4">
      <c r="A25" s="64"/>
      <c r="B25" s="85"/>
      <c r="C25" s="15" t="s">
        <v>242</v>
      </c>
      <c r="D25" s="15"/>
    </row>
    <row r="26" spans="1:4">
      <c r="A26" s="64"/>
      <c r="B26" s="85"/>
      <c r="C26" s="15" t="s">
        <v>243</v>
      </c>
      <c r="D26" s="15"/>
    </row>
    <row r="27" spans="1:4">
      <c r="A27" s="64"/>
      <c r="B27" s="85"/>
      <c r="C27" s="15" t="s">
        <v>244</v>
      </c>
      <c r="D27" s="15"/>
    </row>
    <row r="28" spans="1:4">
      <c r="A28" s="64"/>
      <c r="B28" s="85"/>
      <c r="C28" s="15" t="s">
        <v>245</v>
      </c>
      <c r="D28" s="15"/>
    </row>
    <row r="29" spans="1:4">
      <c r="A29" s="64"/>
      <c r="B29" s="85"/>
      <c r="C29" s="15" t="s">
        <v>246</v>
      </c>
      <c r="D29" s="15"/>
    </row>
    <row r="30" spans="1:4">
      <c r="A30" s="64"/>
      <c r="B30" s="85"/>
      <c r="C30" s="15" t="s">
        <v>247</v>
      </c>
      <c r="D30" s="15"/>
    </row>
    <row r="31" spans="1:4">
      <c r="A31" s="64"/>
      <c r="B31" s="85"/>
      <c r="C31" s="15" t="s">
        <v>248</v>
      </c>
      <c r="D31" s="15"/>
    </row>
    <row r="32" spans="1:4">
      <c r="A32" s="64"/>
      <c r="B32" s="85"/>
      <c r="C32" s="15" t="s">
        <v>249</v>
      </c>
      <c r="D32" s="15"/>
    </row>
    <row r="33" spans="1:4">
      <c r="A33" s="64"/>
      <c r="B33" s="85"/>
      <c r="C33" s="15" t="s">
        <v>250</v>
      </c>
      <c r="D33" s="15"/>
    </row>
    <row r="34" spans="1:4">
      <c r="A34" s="64"/>
      <c r="B34" s="85"/>
      <c r="C34" s="15" t="s">
        <v>251</v>
      </c>
      <c r="D34" s="15"/>
    </row>
    <row r="35" spans="1:4">
      <c r="A35" s="64"/>
      <c r="B35" s="85"/>
      <c r="C35" s="15" t="s">
        <v>252</v>
      </c>
      <c r="D35" s="15"/>
    </row>
    <row r="36" spans="1:4">
      <c r="A36" s="64"/>
      <c r="B36" s="85"/>
      <c r="C36" s="15" t="s">
        <v>253</v>
      </c>
      <c r="D36" s="15"/>
    </row>
    <row r="37" spans="1:4">
      <c r="A37" s="64"/>
      <c r="B37" s="85"/>
      <c r="C37" s="4" t="s">
        <v>254</v>
      </c>
      <c r="D37" s="15"/>
    </row>
    <row r="38" spans="1:4">
      <c r="A38" s="64"/>
      <c r="B38" s="85"/>
      <c r="C38" s="15" t="s">
        <v>255</v>
      </c>
      <c r="D38" s="15"/>
    </row>
    <row r="39" spans="1:4">
      <c r="A39" s="64"/>
      <c r="B39" s="85"/>
      <c r="C39" s="15" t="s">
        <v>256</v>
      </c>
      <c r="D39" s="15"/>
    </row>
    <row r="40" spans="1:4">
      <c r="A40" s="64"/>
      <c r="B40" s="85"/>
      <c r="C40" s="15" t="s">
        <v>257</v>
      </c>
      <c r="D40" s="15"/>
    </row>
    <row r="41" spans="1:4">
      <c r="A41" s="64"/>
      <c r="B41" s="85"/>
      <c r="C41" s="15" t="s">
        <v>258</v>
      </c>
      <c r="D41" s="15"/>
    </row>
    <row r="42" spans="1:4">
      <c r="A42" s="64"/>
      <c r="B42" s="85"/>
      <c r="C42" s="15" t="s">
        <v>259</v>
      </c>
      <c r="D42" s="15"/>
    </row>
    <row r="43" spans="1:4">
      <c r="A43" s="64"/>
      <c r="B43" s="85"/>
      <c r="C43" s="15" t="s">
        <v>260</v>
      </c>
      <c r="D43" s="15"/>
    </row>
    <row r="44" spans="1:4">
      <c r="A44" s="64"/>
      <c r="B44" s="85"/>
      <c r="C44" s="15" t="s">
        <v>261</v>
      </c>
      <c r="D44" s="15"/>
    </row>
    <row r="45" spans="1:4">
      <c r="A45" s="64"/>
      <c r="B45" s="85"/>
      <c r="C45" s="15" t="s">
        <v>262</v>
      </c>
      <c r="D45" s="15"/>
    </row>
    <row r="46" spans="1:4">
      <c r="A46" s="64"/>
      <c r="B46" s="85"/>
      <c r="C46" s="15" t="s">
        <v>263</v>
      </c>
      <c r="D46" s="15"/>
    </row>
    <row r="47" spans="1:4">
      <c r="A47" s="64"/>
      <c r="B47" s="85"/>
      <c r="C47" s="15" t="s">
        <v>264</v>
      </c>
      <c r="D47" s="15"/>
    </row>
    <row r="48" spans="1:4">
      <c r="A48" s="64"/>
      <c r="B48" s="85"/>
      <c r="C48" s="15" t="s">
        <v>265</v>
      </c>
      <c r="D48" s="15"/>
    </row>
    <row r="49" spans="1:4">
      <c r="A49" s="64"/>
      <c r="B49" s="85"/>
      <c r="C49" s="15" t="s">
        <v>266</v>
      </c>
      <c r="D49" s="15"/>
    </row>
    <row r="50" spans="1:4">
      <c r="A50" s="64"/>
      <c r="B50" s="85"/>
      <c r="C50" s="15" t="s">
        <v>267</v>
      </c>
      <c r="D50" s="15"/>
    </row>
    <row r="51" spans="1:4">
      <c r="A51" s="64"/>
      <c r="B51" s="85"/>
      <c r="C51" s="15" t="s">
        <v>268</v>
      </c>
      <c r="D51" s="15"/>
    </row>
    <row r="52" spans="1:4">
      <c r="A52" s="64"/>
      <c r="B52" s="85"/>
      <c r="C52" s="15" t="s">
        <v>269</v>
      </c>
      <c r="D52" s="15"/>
    </row>
    <row r="53" spans="1:4">
      <c r="A53" s="64"/>
      <c r="B53" s="85"/>
      <c r="C53" s="15" t="s">
        <v>270</v>
      </c>
      <c r="D53" s="15"/>
    </row>
    <row r="54" spans="1:4">
      <c r="A54" s="64"/>
      <c r="B54" s="85"/>
      <c r="C54" s="15" t="s">
        <v>271</v>
      </c>
      <c r="D54" s="15"/>
    </row>
    <row r="55" spans="1:4">
      <c r="A55" s="64"/>
      <c r="B55" s="85"/>
      <c r="C55" s="15" t="s">
        <v>272</v>
      </c>
      <c r="D55" s="15"/>
    </row>
    <row r="56" spans="1:4">
      <c r="A56" s="64"/>
      <c r="B56" s="85"/>
      <c r="C56" s="15" t="s">
        <v>273</v>
      </c>
      <c r="D56" s="15"/>
    </row>
    <row r="57" spans="1:4">
      <c r="A57" s="64"/>
      <c r="B57" s="85"/>
      <c r="C57" s="15" t="s">
        <v>274</v>
      </c>
      <c r="D57" s="15"/>
    </row>
    <row r="58" spans="1:4">
      <c r="A58" s="64"/>
      <c r="B58" s="85"/>
      <c r="C58" s="15" t="s">
        <v>275</v>
      </c>
      <c r="D58" s="15"/>
    </row>
    <row r="59" spans="1:4">
      <c r="A59" s="64"/>
      <c r="B59" s="85"/>
      <c r="C59" s="15" t="s">
        <v>276</v>
      </c>
      <c r="D59" s="15"/>
    </row>
    <row r="60" spans="1:4">
      <c r="A60" s="64"/>
      <c r="B60" s="85"/>
      <c r="C60" s="15" t="s">
        <v>277</v>
      </c>
      <c r="D60" s="15"/>
    </row>
    <row r="61" spans="1:4">
      <c r="A61" s="64"/>
      <c r="B61" s="85"/>
      <c r="C61" s="15" t="s">
        <v>278</v>
      </c>
      <c r="D61" s="15"/>
    </row>
    <row r="62" spans="1:4">
      <c r="A62" s="64"/>
      <c r="B62" s="85"/>
      <c r="C62" s="15" t="s">
        <v>279</v>
      </c>
      <c r="D62" s="15"/>
    </row>
    <row r="63" spans="1:4">
      <c r="A63" s="64"/>
      <c r="B63" s="85"/>
      <c r="C63" s="15" t="s">
        <v>280</v>
      </c>
      <c r="D63" s="15"/>
    </row>
    <row r="64" spans="1:4">
      <c r="A64" s="64"/>
      <c r="B64" s="85"/>
      <c r="C64" s="15" t="s">
        <v>281</v>
      </c>
      <c r="D64" s="15"/>
    </row>
    <row r="65" spans="1:4">
      <c r="A65" s="64"/>
      <c r="B65" s="85"/>
      <c r="C65" s="15" t="s">
        <v>282</v>
      </c>
      <c r="D65" s="15"/>
    </row>
    <row r="66" spans="1:4">
      <c r="A66" s="64"/>
      <c r="B66" s="85"/>
      <c r="C66" s="15" t="s">
        <v>283</v>
      </c>
      <c r="D66" s="15"/>
    </row>
    <row r="67" spans="1:4">
      <c r="A67" s="64"/>
      <c r="B67" s="85"/>
      <c r="C67" s="15" t="s">
        <v>284</v>
      </c>
      <c r="D67" s="15"/>
    </row>
    <row r="68" spans="1:4">
      <c r="A68" s="64"/>
      <c r="B68" s="85"/>
      <c r="C68" s="15" t="s">
        <v>285</v>
      </c>
      <c r="D68" s="15"/>
    </row>
    <row r="69" spans="1:4">
      <c r="A69" s="64"/>
      <c r="B69" s="85"/>
      <c r="C69" s="15" t="s">
        <v>286</v>
      </c>
      <c r="D69" s="15"/>
    </row>
    <row r="70" spans="1:4">
      <c r="A70" s="64"/>
      <c r="B70" s="85"/>
      <c r="C70" s="15" t="s">
        <v>287</v>
      </c>
      <c r="D70" s="15"/>
    </row>
    <row r="71" spans="1:4">
      <c r="A71" s="64"/>
      <c r="B71" s="85"/>
      <c r="C71" s="15" t="s">
        <v>288</v>
      </c>
      <c r="D71" s="15"/>
    </row>
    <row r="72" spans="1:4">
      <c r="A72" s="64"/>
      <c r="B72" s="85"/>
      <c r="C72" s="15" t="s">
        <v>289</v>
      </c>
      <c r="D72" s="15"/>
    </row>
    <row r="73" spans="1:4">
      <c r="A73" s="64"/>
      <c r="B73" s="85"/>
      <c r="C73" s="15" t="s">
        <v>290</v>
      </c>
      <c r="D73" s="15"/>
    </row>
    <row r="74" spans="1:4">
      <c r="A74" s="64"/>
      <c r="B74" s="85"/>
      <c r="C74" s="15" t="s">
        <v>291</v>
      </c>
      <c r="D74" s="15"/>
    </row>
    <row r="75" spans="1:4">
      <c r="A75" s="64"/>
      <c r="B75" s="85"/>
      <c r="C75" s="15" t="s">
        <v>292</v>
      </c>
      <c r="D75" s="15"/>
    </row>
    <row r="76" spans="1:4">
      <c r="A76" s="64"/>
      <c r="B76" s="85"/>
      <c r="C76" s="15" t="s">
        <v>293</v>
      </c>
      <c r="D76" s="15"/>
    </row>
    <row r="77" spans="1:4">
      <c r="A77" s="64"/>
      <c r="B77" s="85"/>
      <c r="C77" s="15" t="s">
        <v>294</v>
      </c>
      <c r="D77" s="15"/>
    </row>
    <row r="78" spans="1:4">
      <c r="A78" s="64"/>
      <c r="B78" s="85"/>
      <c r="C78" s="15" t="s">
        <v>295</v>
      </c>
      <c r="D78" s="15"/>
    </row>
    <row r="79" spans="1:4">
      <c r="A79" s="64"/>
      <c r="B79" s="85"/>
      <c r="C79" s="15" t="s">
        <v>296</v>
      </c>
      <c r="D79" s="15"/>
    </row>
    <row r="80" spans="1:4">
      <c r="A80" s="64"/>
      <c r="B80" s="85"/>
      <c r="C80" s="15" t="s">
        <v>297</v>
      </c>
      <c r="D80" s="15"/>
    </row>
    <row r="81" spans="1:4">
      <c r="A81" s="64"/>
      <c r="B81" s="85"/>
      <c r="C81" s="15" t="s">
        <v>298</v>
      </c>
      <c r="D81" s="15"/>
    </row>
    <row r="82" spans="1:4">
      <c r="A82" s="64"/>
      <c r="B82" s="85"/>
      <c r="C82" s="15" t="s">
        <v>299</v>
      </c>
      <c r="D82" s="15"/>
    </row>
    <row r="83" spans="1:4">
      <c r="A83" s="64"/>
      <c r="B83" s="85"/>
      <c r="C83" s="15" t="s">
        <v>300</v>
      </c>
      <c r="D83" s="15"/>
    </row>
    <row r="84" spans="1:4">
      <c r="A84" s="64"/>
      <c r="B84" s="85"/>
      <c r="C84" s="15" t="s">
        <v>301</v>
      </c>
      <c r="D84" s="15"/>
    </row>
    <row r="85" spans="1:4">
      <c r="A85" s="64"/>
      <c r="B85" s="85"/>
      <c r="C85" s="15" t="s">
        <v>302</v>
      </c>
      <c r="D85" s="15"/>
    </row>
    <row r="86" spans="1:4">
      <c r="A86" s="64"/>
      <c r="B86" s="85"/>
      <c r="C86" s="15" t="s">
        <v>303</v>
      </c>
      <c r="D86" s="15"/>
    </row>
    <row r="87" spans="1:4">
      <c r="A87" s="64"/>
      <c r="B87" s="85"/>
      <c r="C87" s="15" t="s">
        <v>304</v>
      </c>
      <c r="D87" s="15"/>
    </row>
    <row r="88" spans="1:4">
      <c r="A88" s="64"/>
      <c r="B88" s="85"/>
      <c r="C88" s="15" t="s">
        <v>305</v>
      </c>
      <c r="D88" s="15"/>
    </row>
    <row r="89" spans="1:4">
      <c r="A89" s="64"/>
      <c r="B89" s="85"/>
      <c r="C89" s="15" t="s">
        <v>306</v>
      </c>
      <c r="D89" s="15"/>
    </row>
    <row r="90" spans="1:4">
      <c r="A90" s="64"/>
      <c r="B90" s="85"/>
      <c r="C90" s="15" t="s">
        <v>307</v>
      </c>
      <c r="D90" s="15"/>
    </row>
    <row r="91" spans="1:4">
      <c r="A91" s="64"/>
      <c r="B91" s="85"/>
      <c r="C91" s="15" t="s">
        <v>308</v>
      </c>
      <c r="D91" s="15"/>
    </row>
    <row r="92" spans="1:4">
      <c r="A92" s="64"/>
      <c r="B92" s="85"/>
      <c r="C92" s="15" t="s">
        <v>309</v>
      </c>
      <c r="D92" s="15"/>
    </row>
    <row r="93" spans="1:4">
      <c r="A93" s="64"/>
      <c r="B93" s="85"/>
      <c r="C93" s="15" t="s">
        <v>310</v>
      </c>
      <c r="D93" s="15"/>
    </row>
    <row r="94" spans="1:4">
      <c r="A94" s="64"/>
      <c r="B94" s="85"/>
      <c r="C94" s="15" t="s">
        <v>311</v>
      </c>
      <c r="D94" s="15" t="s">
        <v>312</v>
      </c>
    </row>
    <row r="95" spans="1:4">
      <c r="A95" s="64"/>
      <c r="B95" s="85"/>
      <c r="C95" s="15" t="s">
        <v>313</v>
      </c>
      <c r="D95" s="15" t="s">
        <v>314</v>
      </c>
    </row>
    <row r="96" spans="1:4">
      <c r="A96" s="64"/>
      <c r="B96" s="85"/>
      <c r="C96" s="15" t="s">
        <v>315</v>
      </c>
      <c r="D96" s="15" t="s">
        <v>314</v>
      </c>
    </row>
    <row r="97" spans="1:4">
      <c r="A97" s="64"/>
      <c r="B97" s="85"/>
      <c r="C97" s="15" t="s">
        <v>316</v>
      </c>
      <c r="D97" s="15" t="s">
        <v>314</v>
      </c>
    </row>
    <row r="98" spans="1:4">
      <c r="A98" s="64"/>
      <c r="B98" s="85"/>
      <c r="C98" s="15" t="s">
        <v>317</v>
      </c>
      <c r="D98" s="15" t="s">
        <v>314</v>
      </c>
    </row>
    <row r="99" spans="1:4">
      <c r="A99" s="64"/>
      <c r="B99" s="85"/>
      <c r="C99" s="15" t="s">
        <v>318</v>
      </c>
      <c r="D99" s="15" t="s">
        <v>314</v>
      </c>
    </row>
    <row r="100" spans="1:4">
      <c r="A100" s="64"/>
      <c r="B100" s="85"/>
      <c r="C100" s="15" t="s">
        <v>319</v>
      </c>
      <c r="D100" s="15" t="s">
        <v>314</v>
      </c>
    </row>
    <row r="101" spans="1:4">
      <c r="A101" s="64"/>
      <c r="B101" s="85"/>
      <c r="C101" s="15" t="s">
        <v>320</v>
      </c>
      <c r="D101" s="15" t="s">
        <v>314</v>
      </c>
    </row>
    <row r="102" spans="1:4">
      <c r="A102" s="64"/>
      <c r="B102" s="85"/>
      <c r="C102" s="15" t="s">
        <v>321</v>
      </c>
      <c r="D102" s="15" t="s">
        <v>314</v>
      </c>
    </row>
    <row r="103" spans="1:4">
      <c r="A103" s="64"/>
      <c r="B103" s="85"/>
      <c r="C103" s="15" t="s">
        <v>322</v>
      </c>
      <c r="D103" s="15" t="s">
        <v>314</v>
      </c>
    </row>
    <row r="104" spans="1:4">
      <c r="A104" s="59"/>
      <c r="B104" s="59" t="s">
        <v>152</v>
      </c>
      <c r="C104" s="14" t="s">
        <v>323</v>
      </c>
      <c r="D104" s="14"/>
    </row>
    <row r="105" spans="1:4">
      <c r="A105" s="60"/>
      <c r="B105" s="60"/>
      <c r="C105" s="14" t="s">
        <v>151</v>
      </c>
      <c r="D105" s="14"/>
    </row>
    <row r="106" spans="1:4">
      <c r="A106" s="60"/>
      <c r="B106" s="60"/>
      <c r="C106" s="14" t="s">
        <v>324</v>
      </c>
      <c r="D106" s="14"/>
    </row>
    <row r="107" spans="1:4">
      <c r="A107" s="60"/>
      <c r="B107" s="60"/>
      <c r="C107" s="14" t="s">
        <v>325</v>
      </c>
      <c r="D107" s="14"/>
    </row>
    <row r="108" spans="1:4">
      <c r="A108" s="60"/>
      <c r="B108" s="60"/>
      <c r="C108" s="14" t="s">
        <v>33</v>
      </c>
      <c r="D108" s="14"/>
    </row>
    <row r="109" spans="1:4">
      <c r="A109" s="60"/>
      <c r="B109" s="60"/>
      <c r="C109" s="14" t="s">
        <v>181</v>
      </c>
      <c r="D109" s="14"/>
    </row>
    <row r="110" spans="1:4">
      <c r="A110" s="61"/>
      <c r="B110" s="61"/>
      <c r="C110" s="14" t="s">
        <v>86</v>
      </c>
      <c r="D110" s="14"/>
    </row>
    <row r="111" spans="1:4">
      <c r="A111" s="64"/>
      <c r="B111" s="50" t="s">
        <v>173</v>
      </c>
      <c r="C111" s="15" t="s">
        <v>323</v>
      </c>
      <c r="D111" s="15"/>
    </row>
    <row r="112" spans="1:4">
      <c r="A112" s="64"/>
      <c r="B112" s="51"/>
      <c r="C112" s="15" t="s">
        <v>326</v>
      </c>
      <c r="D112" s="15"/>
    </row>
    <row r="113" spans="1:4">
      <c r="A113" s="64"/>
      <c r="B113" s="52"/>
      <c r="C113" s="15" t="s">
        <v>327</v>
      </c>
      <c r="D113" s="15"/>
    </row>
    <row r="114" spans="1:4">
      <c r="A114" s="77"/>
      <c r="B114" s="77" t="s">
        <v>328</v>
      </c>
      <c r="C114" s="14" t="s">
        <v>323</v>
      </c>
      <c r="D114" s="14"/>
    </row>
    <row r="115" spans="1:4">
      <c r="A115" s="77"/>
      <c r="B115" s="77"/>
      <c r="C115" s="14" t="s">
        <v>324</v>
      </c>
      <c r="D115" s="14"/>
    </row>
    <row r="116" spans="1:4">
      <c r="A116" s="77"/>
      <c r="B116" s="77"/>
      <c r="C116" s="14" t="s">
        <v>325</v>
      </c>
      <c r="D116" s="14"/>
    </row>
    <row r="117" spans="1:4">
      <c r="A117" s="77"/>
      <c r="B117" s="77"/>
      <c r="C117" s="14" t="s">
        <v>181</v>
      </c>
      <c r="D117" s="14"/>
    </row>
    <row r="118" spans="1:4">
      <c r="A118" s="63"/>
      <c r="B118" s="78" t="s">
        <v>126</v>
      </c>
      <c r="C118" s="15" t="s">
        <v>323</v>
      </c>
      <c r="D118" s="15"/>
    </row>
    <row r="119" spans="1:4">
      <c r="A119" s="5"/>
      <c r="B119" s="98"/>
      <c r="C119" s="15" t="s">
        <v>329</v>
      </c>
      <c r="D119" s="15"/>
    </row>
    <row r="120" spans="1:4">
      <c r="A120" s="5"/>
      <c r="B120" s="98"/>
      <c r="C120" s="15" t="s">
        <v>325</v>
      </c>
      <c r="D120" s="15"/>
    </row>
    <row r="121" spans="1:4">
      <c r="A121" s="5"/>
      <c r="B121" s="98"/>
      <c r="C121" s="15" t="s">
        <v>33</v>
      </c>
      <c r="D121" s="15"/>
    </row>
    <row r="122" spans="1:4">
      <c r="A122" s="5"/>
      <c r="B122" s="98"/>
      <c r="C122" s="15" t="s">
        <v>324</v>
      </c>
      <c r="D122" s="15"/>
    </row>
    <row r="123" spans="1:4">
      <c r="A123" s="5"/>
      <c r="B123" s="98"/>
      <c r="C123" s="15" t="s">
        <v>330</v>
      </c>
      <c r="D123" s="15"/>
    </row>
    <row r="124" spans="1:4">
      <c r="A124" s="5"/>
      <c r="B124" s="98"/>
      <c r="C124" s="15" t="s">
        <v>331</v>
      </c>
      <c r="D124" s="15"/>
    </row>
    <row r="125" spans="1:4">
      <c r="A125" s="5"/>
      <c r="B125" s="98"/>
      <c r="C125" s="15" t="s">
        <v>181</v>
      </c>
      <c r="D125" s="15"/>
    </row>
    <row r="126" spans="1:4">
      <c r="A126" s="64"/>
      <c r="B126" s="79"/>
      <c r="C126" s="15" t="s">
        <v>86</v>
      </c>
      <c r="D126" s="15"/>
    </row>
    <row r="127" spans="1:4">
      <c r="A127" s="59"/>
      <c r="B127" s="59" t="s">
        <v>153</v>
      </c>
      <c r="C127" s="14" t="s">
        <v>184</v>
      </c>
      <c r="D127" s="14"/>
    </row>
    <row r="128" spans="1:4">
      <c r="A128" s="60"/>
      <c r="B128" s="60"/>
      <c r="C128" s="14" t="s">
        <v>332</v>
      </c>
      <c r="D128" s="14"/>
    </row>
    <row r="129" spans="1:4">
      <c r="A129" s="60"/>
      <c r="B129" s="60"/>
      <c r="C129" s="14" t="s">
        <v>333</v>
      </c>
      <c r="D129" s="14"/>
    </row>
    <row r="130" spans="1:4">
      <c r="A130" s="60"/>
      <c r="B130" s="60"/>
      <c r="C130" s="14" t="s">
        <v>334</v>
      </c>
      <c r="D130" s="14"/>
    </row>
    <row r="131" spans="1:4">
      <c r="A131" s="60"/>
      <c r="B131" s="60"/>
      <c r="C131" s="14" t="s">
        <v>33</v>
      </c>
      <c r="D131" s="14"/>
    </row>
    <row r="132" spans="1:4">
      <c r="A132" s="64"/>
      <c r="B132" s="51" t="s">
        <v>335</v>
      </c>
      <c r="C132" s="15" t="s">
        <v>184</v>
      </c>
      <c r="D132" s="15"/>
    </row>
    <row r="133" spans="1:4">
      <c r="A133" s="64"/>
      <c r="B133" s="51"/>
      <c r="C133" s="15" t="s">
        <v>33</v>
      </c>
      <c r="D133" s="15"/>
    </row>
    <row r="134" spans="1:4">
      <c r="A134" s="65"/>
      <c r="B134" s="52"/>
      <c r="C134" s="15" t="s">
        <v>86</v>
      </c>
      <c r="D134" s="15"/>
    </row>
    <row r="135" spans="1:4">
      <c r="A135" s="66"/>
      <c r="B135" s="66" t="s">
        <v>336</v>
      </c>
      <c r="C135" s="14" t="s">
        <v>337</v>
      </c>
      <c r="D135" s="14"/>
    </row>
    <row r="136" spans="1:4">
      <c r="A136" s="67"/>
      <c r="B136" s="67"/>
      <c r="C136" s="14" t="s">
        <v>338</v>
      </c>
      <c r="D136" s="14"/>
    </row>
    <row r="137" spans="1:4">
      <c r="A137" s="67"/>
      <c r="B137" s="67"/>
      <c r="C137" s="14" t="s">
        <v>339</v>
      </c>
      <c r="D137" s="14" t="s">
        <v>340</v>
      </c>
    </row>
    <row r="138" spans="1:4">
      <c r="A138" s="67"/>
      <c r="B138" s="67"/>
      <c r="C138" s="14" t="s">
        <v>341</v>
      </c>
      <c r="D138" s="14" t="s">
        <v>342</v>
      </c>
    </row>
    <row r="139" spans="1:4">
      <c r="A139" s="67"/>
      <c r="B139" s="67"/>
      <c r="C139" s="14" t="s">
        <v>343</v>
      </c>
      <c r="D139" s="14"/>
    </row>
    <row r="140" spans="1:4">
      <c r="A140" s="67"/>
      <c r="B140" s="67"/>
      <c r="C140" s="14" t="s">
        <v>344</v>
      </c>
      <c r="D140" s="14"/>
    </row>
    <row r="141" spans="1:4">
      <c r="A141" s="67"/>
      <c r="B141" s="67"/>
      <c r="C141" s="14" t="s">
        <v>345</v>
      </c>
      <c r="D141" s="14"/>
    </row>
    <row r="142" spans="1:4">
      <c r="A142" s="67"/>
      <c r="B142" s="67"/>
      <c r="C142" s="14" t="s">
        <v>346</v>
      </c>
      <c r="D142" s="14"/>
    </row>
    <row r="143" spans="1:4">
      <c r="A143" s="67"/>
      <c r="B143" s="67"/>
      <c r="C143" s="14" t="s">
        <v>347</v>
      </c>
      <c r="D143" s="14"/>
    </row>
    <row r="144" spans="1:4">
      <c r="A144" s="67"/>
      <c r="B144" s="67"/>
      <c r="C144" s="14" t="s">
        <v>348</v>
      </c>
      <c r="D144" s="14"/>
    </row>
    <row r="145" spans="1:4">
      <c r="A145" s="67"/>
      <c r="B145" s="67"/>
      <c r="C145" s="14" t="s">
        <v>86</v>
      </c>
      <c r="D145" s="14"/>
    </row>
    <row r="146" spans="1:4">
      <c r="A146" s="63"/>
      <c r="B146" s="56" t="s">
        <v>349</v>
      </c>
      <c r="C146" s="15" t="s">
        <v>350</v>
      </c>
      <c r="D146" s="15"/>
    </row>
    <row r="147" spans="1:4">
      <c r="A147" s="65"/>
      <c r="B147" s="58"/>
      <c r="C147" s="15" t="s">
        <v>144</v>
      </c>
      <c r="D147" s="15"/>
    </row>
    <row r="148" spans="1:4">
      <c r="A148" s="45"/>
      <c r="B148" s="97" t="s">
        <v>8</v>
      </c>
      <c r="C148" s="14" t="s">
        <v>44</v>
      </c>
      <c r="D148" s="14" t="s">
        <v>351</v>
      </c>
    </row>
    <row r="149" spans="1:4">
      <c r="A149" s="46"/>
      <c r="B149" s="46"/>
      <c r="C149" s="14" t="s">
        <v>352</v>
      </c>
      <c r="D149" s="14" t="s">
        <v>353</v>
      </c>
    </row>
    <row r="150" spans="1:4">
      <c r="A150" s="46"/>
      <c r="B150" s="46"/>
      <c r="C150" s="14" t="s">
        <v>354</v>
      </c>
      <c r="D150" s="14" t="s">
        <v>355</v>
      </c>
    </row>
    <row r="151" spans="1:4">
      <c r="A151" s="46"/>
      <c r="B151" s="46"/>
      <c r="C151" s="14" t="s">
        <v>356</v>
      </c>
      <c r="D151" s="14" t="s">
        <v>357</v>
      </c>
    </row>
    <row r="152" spans="1:4">
      <c r="A152" s="46"/>
      <c r="B152" s="46"/>
      <c r="C152" s="14" t="s">
        <v>358</v>
      </c>
      <c r="D152" s="14" t="s">
        <v>359</v>
      </c>
    </row>
    <row r="153" spans="1:4">
      <c r="A153" s="46"/>
      <c r="B153" s="46"/>
      <c r="C153" s="14" t="s">
        <v>360</v>
      </c>
      <c r="D153" s="14" t="s">
        <v>361</v>
      </c>
    </row>
    <row r="154" spans="1:4">
      <c r="A154" s="46"/>
      <c r="B154" s="46"/>
      <c r="C154" s="14" t="s">
        <v>362</v>
      </c>
      <c r="D154" s="14" t="s">
        <v>363</v>
      </c>
    </row>
    <row r="155" spans="1:4">
      <c r="A155" s="46"/>
      <c r="B155" s="46"/>
      <c r="C155" s="14" t="s">
        <v>364</v>
      </c>
      <c r="D155" s="14" t="s">
        <v>365</v>
      </c>
    </row>
    <row r="156" spans="1:4">
      <c r="A156" s="46"/>
      <c r="B156" s="46"/>
      <c r="C156" s="14" t="s">
        <v>366</v>
      </c>
      <c r="D156" s="14" t="s">
        <v>367</v>
      </c>
    </row>
    <row r="157" spans="1:4">
      <c r="A157" s="46"/>
      <c r="B157" s="46"/>
      <c r="C157" s="14" t="s">
        <v>368</v>
      </c>
      <c r="D157" s="14" t="s">
        <v>369</v>
      </c>
    </row>
    <row r="158" spans="1:4">
      <c r="A158" s="46"/>
      <c r="B158" s="46"/>
      <c r="C158" s="14" t="s">
        <v>370</v>
      </c>
      <c r="D158" s="14" t="s">
        <v>371</v>
      </c>
    </row>
    <row r="159" spans="1:4">
      <c r="A159" s="46"/>
      <c r="B159" s="46"/>
      <c r="C159" s="14" t="s">
        <v>372</v>
      </c>
      <c r="D159" s="14" t="s">
        <v>373</v>
      </c>
    </row>
    <row r="160" spans="1:4">
      <c r="A160" s="46"/>
      <c r="B160" s="46"/>
      <c r="C160" s="14" t="s">
        <v>374</v>
      </c>
      <c r="D160" s="14" t="s">
        <v>375</v>
      </c>
    </row>
    <row r="161" spans="1:4">
      <c r="A161" s="46"/>
      <c r="B161" s="46"/>
      <c r="C161" s="14" t="s">
        <v>376</v>
      </c>
      <c r="D161" s="14" t="s">
        <v>377</v>
      </c>
    </row>
    <row r="162" spans="1:4">
      <c r="A162" s="46"/>
      <c r="B162" s="46"/>
      <c r="C162" s="14" t="s">
        <v>378</v>
      </c>
      <c r="D162" s="14" t="s">
        <v>379</v>
      </c>
    </row>
    <row r="163" spans="1:4">
      <c r="A163" s="46"/>
      <c r="B163" s="46"/>
      <c r="C163" s="14" t="s">
        <v>380</v>
      </c>
      <c r="D163" s="14" t="s">
        <v>381</v>
      </c>
    </row>
    <row r="164" spans="1:4">
      <c r="A164" s="46"/>
      <c r="B164" s="46"/>
      <c r="C164" s="14" t="s">
        <v>382</v>
      </c>
      <c r="D164" s="14" t="s">
        <v>383</v>
      </c>
    </row>
    <row r="165" spans="1:4">
      <c r="A165" s="46"/>
      <c r="B165" s="46"/>
      <c r="C165" s="14" t="s">
        <v>384</v>
      </c>
      <c r="D165" s="14" t="s">
        <v>385</v>
      </c>
    </row>
    <row r="166" spans="1:4">
      <c r="A166" s="46"/>
      <c r="B166" s="46"/>
      <c r="C166" s="14" t="s">
        <v>386</v>
      </c>
      <c r="D166" s="14" t="s">
        <v>387</v>
      </c>
    </row>
    <row r="167" spans="1:4">
      <c r="A167" s="46"/>
      <c r="B167" s="46"/>
      <c r="C167" s="14" t="s">
        <v>388</v>
      </c>
      <c r="D167" s="14" t="s">
        <v>389</v>
      </c>
    </row>
    <row r="168" spans="1:4">
      <c r="A168" s="46"/>
      <c r="B168" s="46"/>
      <c r="C168" s="14" t="s">
        <v>390</v>
      </c>
      <c r="D168" s="14" t="s">
        <v>391</v>
      </c>
    </row>
    <row r="169" spans="1:4">
      <c r="A169" s="46"/>
      <c r="B169" s="46"/>
      <c r="C169" s="14" t="s">
        <v>392</v>
      </c>
      <c r="D169" s="14" t="s">
        <v>393</v>
      </c>
    </row>
    <row r="170" spans="1:4">
      <c r="A170" s="46"/>
      <c r="B170" s="46"/>
      <c r="C170" s="14" t="s">
        <v>394</v>
      </c>
      <c r="D170" s="14" t="s">
        <v>395</v>
      </c>
    </row>
    <row r="171" spans="1:4">
      <c r="A171" s="46"/>
      <c r="B171" s="46"/>
      <c r="C171" s="14" t="s">
        <v>396</v>
      </c>
      <c r="D171" s="14" t="s">
        <v>397</v>
      </c>
    </row>
    <row r="172" spans="1:4">
      <c r="A172" s="46"/>
      <c r="B172" s="46"/>
      <c r="C172" s="14" t="s">
        <v>398</v>
      </c>
      <c r="D172" s="14" t="s">
        <v>399</v>
      </c>
    </row>
    <row r="173" spans="1:4">
      <c r="A173" s="46"/>
      <c r="B173" s="46"/>
      <c r="C173" s="14" t="s">
        <v>400</v>
      </c>
      <c r="D173" s="14" t="s">
        <v>401</v>
      </c>
    </row>
    <row r="174" spans="1:4">
      <c r="A174" s="46"/>
      <c r="B174" s="46"/>
      <c r="C174" s="14" t="s">
        <v>402</v>
      </c>
      <c r="D174" s="14" t="s">
        <v>403</v>
      </c>
    </row>
    <row r="175" spans="1:4">
      <c r="A175" s="46"/>
      <c r="B175" s="46"/>
      <c r="C175" s="14" t="s">
        <v>404</v>
      </c>
      <c r="D175" s="14" t="s">
        <v>405</v>
      </c>
    </row>
    <row r="176" spans="1:4">
      <c r="A176" s="46"/>
      <c r="B176" s="46"/>
      <c r="C176" s="14" t="s">
        <v>406</v>
      </c>
      <c r="D176" s="14" t="s">
        <v>407</v>
      </c>
    </row>
    <row r="177" spans="1:4">
      <c r="A177" s="46"/>
      <c r="B177" s="46"/>
      <c r="C177" s="14" t="s">
        <v>408</v>
      </c>
      <c r="D177" s="14" t="s">
        <v>409</v>
      </c>
    </row>
    <row r="178" spans="1:4">
      <c r="A178" s="46"/>
      <c r="B178" s="46"/>
      <c r="C178" s="14" t="s">
        <v>410</v>
      </c>
      <c r="D178" s="14" t="s">
        <v>411</v>
      </c>
    </row>
    <row r="179" spans="1:4">
      <c r="A179" s="46"/>
      <c r="B179" s="46"/>
      <c r="C179" s="14" t="s">
        <v>412</v>
      </c>
      <c r="D179" s="14" t="s">
        <v>413</v>
      </c>
    </row>
    <row r="180" spans="1:4">
      <c r="A180" s="46"/>
      <c r="B180" s="46"/>
      <c r="C180" s="14" t="s">
        <v>414</v>
      </c>
      <c r="D180" s="14" t="s">
        <v>415</v>
      </c>
    </row>
    <row r="181" spans="1:4">
      <c r="A181" s="46"/>
      <c r="B181" s="46"/>
      <c r="C181" s="14" t="s">
        <v>86</v>
      </c>
      <c r="D181" s="14" t="s">
        <v>86</v>
      </c>
    </row>
    <row r="182" spans="1:4">
      <c r="A182" s="63"/>
      <c r="B182" s="56" t="s">
        <v>416</v>
      </c>
      <c r="C182" s="39" t="s">
        <v>417</v>
      </c>
      <c r="D182" s="39"/>
    </row>
    <row r="183" spans="1:4">
      <c r="A183" s="64"/>
      <c r="B183" s="57"/>
      <c r="C183" s="39" t="s">
        <v>418</v>
      </c>
      <c r="D183" s="39"/>
    </row>
    <row r="184" spans="1:4">
      <c r="A184" s="64"/>
      <c r="B184" s="57"/>
      <c r="C184" s="39" t="s">
        <v>419</v>
      </c>
      <c r="D184" s="39"/>
    </row>
    <row r="185" spans="1:4">
      <c r="A185" s="65"/>
      <c r="B185" s="58"/>
      <c r="C185" s="40" t="s">
        <v>186</v>
      </c>
      <c r="D185" s="40"/>
    </row>
    <row r="186" spans="1:4">
      <c r="A186" s="59"/>
      <c r="B186" s="59" t="s">
        <v>420</v>
      </c>
      <c r="C186" s="38" t="s">
        <v>421</v>
      </c>
      <c r="D186" s="38"/>
    </row>
    <row r="187" spans="1:4">
      <c r="A187" s="60"/>
      <c r="B187" s="60"/>
      <c r="C187" s="38" t="s">
        <v>422</v>
      </c>
      <c r="D187" s="38"/>
    </row>
    <row r="188" spans="1:4">
      <c r="A188" s="63"/>
      <c r="B188" s="56" t="s">
        <v>10</v>
      </c>
      <c r="C188" s="40" t="s">
        <v>423</v>
      </c>
      <c r="D188" s="40" t="s">
        <v>424</v>
      </c>
    </row>
    <row r="189" spans="1:4">
      <c r="A189" s="64"/>
      <c r="B189" s="57"/>
      <c r="C189" s="40" t="s">
        <v>425</v>
      </c>
      <c r="D189" s="40" t="s">
        <v>426</v>
      </c>
    </row>
    <row r="190" spans="1:4">
      <c r="A190" s="64"/>
      <c r="B190" s="57"/>
      <c r="C190" s="40" t="s">
        <v>33</v>
      </c>
      <c r="D190" s="40" t="s">
        <v>33</v>
      </c>
    </row>
    <row r="191" spans="1:4">
      <c r="A191" s="64"/>
      <c r="B191" s="57"/>
      <c r="C191" s="40" t="s">
        <v>427</v>
      </c>
      <c r="D191" s="40" t="s">
        <v>428</v>
      </c>
    </row>
    <row r="192" spans="1:4">
      <c r="A192" s="64"/>
      <c r="B192" s="57"/>
      <c r="C192" s="40" t="s">
        <v>429</v>
      </c>
      <c r="D192" s="40" t="s">
        <v>430</v>
      </c>
    </row>
    <row r="193" spans="1:4">
      <c r="A193" s="64"/>
      <c r="B193" s="57"/>
      <c r="C193" s="40" t="s">
        <v>431</v>
      </c>
      <c r="D193" s="40" t="s">
        <v>432</v>
      </c>
    </row>
    <row r="194" spans="1:4">
      <c r="A194" s="64"/>
      <c r="B194" s="57"/>
      <c r="C194" s="40" t="s">
        <v>96</v>
      </c>
      <c r="D194" s="40" t="s">
        <v>433</v>
      </c>
    </row>
    <row r="195" spans="1:4">
      <c r="A195" s="64"/>
      <c r="B195" s="57"/>
      <c r="C195" s="40" t="s">
        <v>434</v>
      </c>
      <c r="D195" s="40" t="s">
        <v>435</v>
      </c>
    </row>
    <row r="196" spans="1:4">
      <c r="A196" s="64"/>
      <c r="B196" s="57"/>
      <c r="C196" s="40" t="s">
        <v>436</v>
      </c>
      <c r="D196" s="40" t="s">
        <v>437</v>
      </c>
    </row>
    <row r="197" spans="1:4">
      <c r="A197" s="64"/>
      <c r="B197" s="57"/>
      <c r="C197" s="40" t="s">
        <v>438</v>
      </c>
      <c r="D197" s="40" t="s">
        <v>439</v>
      </c>
    </row>
    <row r="198" spans="1:4">
      <c r="A198" s="64"/>
      <c r="B198" s="57"/>
      <c r="C198" s="40" t="s">
        <v>88</v>
      </c>
      <c r="D198" s="40" t="s">
        <v>440</v>
      </c>
    </row>
    <row r="199" spans="1:4">
      <c r="A199" s="64"/>
      <c r="B199" s="57"/>
      <c r="C199" s="40" t="s">
        <v>441</v>
      </c>
      <c r="D199" s="40" t="s">
        <v>442</v>
      </c>
    </row>
    <row r="200" spans="1:4">
      <c r="A200" s="64"/>
      <c r="B200" s="57"/>
      <c r="C200" s="40" t="s">
        <v>86</v>
      </c>
      <c r="D200" s="40" t="s">
        <v>86</v>
      </c>
    </row>
    <row r="201" spans="1:4">
      <c r="A201" s="65"/>
      <c r="B201" s="58"/>
      <c r="C201" s="40" t="s">
        <v>186</v>
      </c>
      <c r="D201" s="40" t="s">
        <v>443</v>
      </c>
    </row>
    <row r="202" spans="1:4">
      <c r="A202" s="97"/>
      <c r="B202" s="97" t="s">
        <v>154</v>
      </c>
      <c r="C202" s="14" t="s">
        <v>444</v>
      </c>
      <c r="D202" s="14"/>
    </row>
    <row r="203" spans="1:4">
      <c r="A203" s="46"/>
      <c r="B203" s="46"/>
      <c r="C203" s="14" t="s">
        <v>445</v>
      </c>
      <c r="D203" s="14"/>
    </row>
    <row r="204" spans="1:4">
      <c r="A204" s="46"/>
      <c r="B204" s="46"/>
      <c r="C204" s="14" t="s">
        <v>446</v>
      </c>
      <c r="D204" s="14"/>
    </row>
    <row r="205" spans="1:4">
      <c r="A205" s="46"/>
      <c r="B205" s="46"/>
      <c r="C205" s="14" t="s">
        <v>447</v>
      </c>
      <c r="D205" s="14"/>
    </row>
    <row r="206" spans="1:4">
      <c r="A206" s="46"/>
      <c r="B206" s="46"/>
      <c r="C206" s="14" t="s">
        <v>448</v>
      </c>
      <c r="D206" s="14"/>
    </row>
    <row r="207" spans="1:4">
      <c r="A207" s="46"/>
      <c r="B207" s="46"/>
      <c r="C207" s="14" t="s">
        <v>449</v>
      </c>
      <c r="D207" s="14"/>
    </row>
    <row r="208" spans="1:4">
      <c r="A208" s="46"/>
      <c r="B208" s="46"/>
      <c r="C208" s="14" t="s">
        <v>450</v>
      </c>
      <c r="D208" s="14"/>
    </row>
    <row r="209" spans="1:4">
      <c r="A209" s="46"/>
      <c r="B209" s="46"/>
      <c r="C209" s="14" t="s">
        <v>451</v>
      </c>
      <c r="D209" s="14"/>
    </row>
    <row r="210" spans="1:4">
      <c r="A210" s="46"/>
      <c r="B210" s="46"/>
      <c r="C210" s="14" t="s">
        <v>452</v>
      </c>
      <c r="D210" s="14"/>
    </row>
    <row r="211" spans="1:4">
      <c r="A211" s="46"/>
      <c r="B211" s="46"/>
      <c r="C211" s="14" t="s">
        <v>453</v>
      </c>
      <c r="D211" s="14"/>
    </row>
    <row r="212" spans="1:4">
      <c r="A212" s="46"/>
      <c r="B212" s="46"/>
      <c r="C212" s="14" t="s">
        <v>454</v>
      </c>
      <c r="D212" s="14"/>
    </row>
    <row r="213" spans="1:4">
      <c r="A213" s="46"/>
      <c r="B213" s="46"/>
      <c r="C213" s="14" t="s">
        <v>455</v>
      </c>
      <c r="D213" s="14"/>
    </row>
    <row r="214" spans="1:4">
      <c r="A214" s="46"/>
      <c r="B214" s="46"/>
      <c r="C214" s="14" t="s">
        <v>456</v>
      </c>
      <c r="D214" s="14"/>
    </row>
    <row r="215" spans="1:4">
      <c r="A215" s="46"/>
      <c r="B215" s="46"/>
      <c r="C215" s="14" t="s">
        <v>457</v>
      </c>
      <c r="D215" s="14"/>
    </row>
    <row r="216" spans="1:4">
      <c r="A216" s="46"/>
      <c r="B216" s="46"/>
      <c r="C216" s="14" t="s">
        <v>458</v>
      </c>
      <c r="D216" s="14"/>
    </row>
    <row r="217" spans="1:4">
      <c r="A217" s="46"/>
      <c r="B217" s="46"/>
      <c r="C217" s="14" t="s">
        <v>459</v>
      </c>
      <c r="D217" s="14"/>
    </row>
    <row r="218" spans="1:4">
      <c r="A218" s="46"/>
      <c r="B218" s="46"/>
      <c r="C218" s="14" t="s">
        <v>460</v>
      </c>
      <c r="D218" s="14" t="s">
        <v>461</v>
      </c>
    </row>
    <row r="219" spans="1:4">
      <c r="A219" s="46"/>
      <c r="B219" s="46"/>
      <c r="C219" s="14" t="s">
        <v>462</v>
      </c>
      <c r="D219" s="14"/>
    </row>
    <row r="220" spans="1:4">
      <c r="A220" s="46"/>
      <c r="B220" s="46"/>
      <c r="C220" s="14" t="s">
        <v>463</v>
      </c>
      <c r="D220" s="14"/>
    </row>
    <row r="221" spans="1:4">
      <c r="A221" s="46"/>
      <c r="B221" s="46"/>
      <c r="C221" s="14" t="s">
        <v>464</v>
      </c>
      <c r="D221" s="14"/>
    </row>
    <row r="222" spans="1:4">
      <c r="A222" s="46"/>
      <c r="B222" s="46"/>
      <c r="C222" s="14" t="s">
        <v>465</v>
      </c>
      <c r="D222" s="14"/>
    </row>
    <row r="223" spans="1:4">
      <c r="A223" s="46"/>
      <c r="B223" s="46"/>
      <c r="C223" s="14" t="s">
        <v>466</v>
      </c>
      <c r="D223" s="14"/>
    </row>
    <row r="224" spans="1:4">
      <c r="A224" s="46"/>
      <c r="B224" s="46"/>
      <c r="C224" s="14" t="s">
        <v>467</v>
      </c>
      <c r="D224" s="14"/>
    </row>
    <row r="225" spans="1:4">
      <c r="A225" s="46"/>
      <c r="B225" s="46"/>
      <c r="C225" s="14" t="s">
        <v>468</v>
      </c>
      <c r="D225" s="14"/>
    </row>
    <row r="226" spans="1:4">
      <c r="A226" s="46"/>
      <c r="B226" s="46"/>
      <c r="C226" s="14" t="s">
        <v>469</v>
      </c>
      <c r="D226" s="14"/>
    </row>
    <row r="227" spans="1:4">
      <c r="A227" s="46"/>
      <c r="B227" s="46"/>
      <c r="C227" s="14" t="s">
        <v>470</v>
      </c>
      <c r="D227" s="14"/>
    </row>
    <row r="228" spans="1:4">
      <c r="A228" s="46"/>
      <c r="B228" s="46"/>
      <c r="C228" s="14" t="s">
        <v>471</v>
      </c>
      <c r="D228" s="14"/>
    </row>
    <row r="229" spans="1:4">
      <c r="A229" s="46"/>
      <c r="B229" s="46"/>
      <c r="C229" s="14" t="s">
        <v>472</v>
      </c>
      <c r="D229" s="14"/>
    </row>
    <row r="230" spans="1:4">
      <c r="A230" s="46"/>
      <c r="B230" s="46"/>
      <c r="C230" s="14" t="s">
        <v>473</v>
      </c>
      <c r="D230" s="14"/>
    </row>
    <row r="231" spans="1:4">
      <c r="A231" s="46"/>
      <c r="B231" s="46"/>
      <c r="C231" s="14" t="s">
        <v>474</v>
      </c>
      <c r="D231" s="14"/>
    </row>
    <row r="232" spans="1:4">
      <c r="A232" s="46"/>
      <c r="B232" s="46"/>
      <c r="C232" s="14" t="s">
        <v>475</v>
      </c>
      <c r="D232" s="14"/>
    </row>
    <row r="233" spans="1:4">
      <c r="A233" s="46"/>
      <c r="B233" s="46"/>
      <c r="C233" s="14" t="s">
        <v>476</v>
      </c>
      <c r="D233" s="14"/>
    </row>
    <row r="234" spans="1:4">
      <c r="A234" s="46"/>
      <c r="B234" s="46"/>
      <c r="C234" s="14" t="s">
        <v>477</v>
      </c>
      <c r="D234" s="14"/>
    </row>
    <row r="235" spans="1:4">
      <c r="A235" s="46"/>
      <c r="B235" s="46"/>
      <c r="C235" s="14" t="s">
        <v>478</v>
      </c>
      <c r="D235" s="14"/>
    </row>
    <row r="236" spans="1:4">
      <c r="A236" s="46"/>
      <c r="B236" s="46"/>
      <c r="C236" s="14" t="s">
        <v>479</v>
      </c>
      <c r="D236" s="14"/>
    </row>
    <row r="237" spans="1:4">
      <c r="A237" s="46"/>
      <c r="B237" s="46"/>
      <c r="C237" s="14" t="s">
        <v>480</v>
      </c>
      <c r="D237" s="14"/>
    </row>
    <row r="238" spans="1:4">
      <c r="A238" s="46"/>
      <c r="B238" s="46"/>
      <c r="C238" s="14" t="s">
        <v>481</v>
      </c>
      <c r="D238" s="14"/>
    </row>
    <row r="239" spans="1:4">
      <c r="A239" s="46"/>
      <c r="B239" s="46"/>
      <c r="C239" s="14" t="s">
        <v>482</v>
      </c>
      <c r="D239" s="14"/>
    </row>
    <row r="240" spans="1:4">
      <c r="A240" s="46"/>
      <c r="B240" s="46"/>
      <c r="C240" s="14" t="s">
        <v>483</v>
      </c>
      <c r="D240" s="14"/>
    </row>
    <row r="241" spans="1:4">
      <c r="A241" s="46"/>
      <c r="B241" s="46"/>
      <c r="C241" s="14" t="s">
        <v>484</v>
      </c>
      <c r="D241" s="14"/>
    </row>
    <row r="242" spans="1:4">
      <c r="A242" s="46"/>
      <c r="B242" s="46"/>
      <c r="C242" s="14" t="s">
        <v>485</v>
      </c>
      <c r="D242" s="14"/>
    </row>
    <row r="243" spans="1:4">
      <c r="A243" s="46"/>
      <c r="B243" s="46"/>
      <c r="C243" s="14" t="s">
        <v>486</v>
      </c>
      <c r="D243" s="14"/>
    </row>
    <row r="244" spans="1:4">
      <c r="A244" s="46"/>
      <c r="B244" s="46"/>
      <c r="C244" s="14" t="s">
        <v>487</v>
      </c>
      <c r="D244" s="14"/>
    </row>
    <row r="245" spans="1:4">
      <c r="A245" s="46"/>
      <c r="B245" s="46"/>
      <c r="C245" s="14" t="s">
        <v>488</v>
      </c>
      <c r="D245" s="14"/>
    </row>
    <row r="246" spans="1:4">
      <c r="A246" s="46"/>
      <c r="B246" s="46"/>
      <c r="C246" s="14" t="s">
        <v>489</v>
      </c>
      <c r="D246" s="14"/>
    </row>
    <row r="247" spans="1:4">
      <c r="A247" s="46"/>
      <c r="B247" s="46"/>
      <c r="C247" s="14" t="s">
        <v>490</v>
      </c>
      <c r="D247" s="14"/>
    </row>
    <row r="248" spans="1:4">
      <c r="A248" s="46"/>
      <c r="B248" s="46"/>
      <c r="C248" s="14" t="s">
        <v>491</v>
      </c>
      <c r="D248" s="14"/>
    </row>
    <row r="249" spans="1:4">
      <c r="A249" s="46"/>
      <c r="B249" s="46"/>
      <c r="C249" s="14" t="s">
        <v>492</v>
      </c>
      <c r="D249" s="14"/>
    </row>
    <row r="250" spans="1:4">
      <c r="A250" s="46"/>
      <c r="B250" s="46"/>
      <c r="C250" s="14" t="s">
        <v>493</v>
      </c>
      <c r="D250" s="14"/>
    </row>
    <row r="251" spans="1:4">
      <c r="A251" s="46"/>
      <c r="B251" s="46"/>
      <c r="C251" s="14" t="s">
        <v>494</v>
      </c>
      <c r="D251" s="14"/>
    </row>
    <row r="252" spans="1:4">
      <c r="A252" s="46"/>
      <c r="B252" s="46"/>
      <c r="C252" s="14" t="s">
        <v>86</v>
      </c>
      <c r="D252" s="14"/>
    </row>
    <row r="253" spans="1:4">
      <c r="A253" s="46"/>
      <c r="B253" s="46"/>
      <c r="C253" s="14" t="s">
        <v>495</v>
      </c>
      <c r="D253" s="14"/>
    </row>
    <row r="254" spans="1:4">
      <c r="A254" s="46"/>
      <c r="B254" s="46"/>
      <c r="C254" s="14" t="s">
        <v>496</v>
      </c>
      <c r="D254" s="14"/>
    </row>
    <row r="255" spans="1:4">
      <c r="A255" s="46"/>
      <c r="B255" s="46"/>
      <c r="C255" s="14" t="s">
        <v>497</v>
      </c>
      <c r="D255" s="14"/>
    </row>
    <row r="256" spans="1:4">
      <c r="A256" s="46"/>
      <c r="B256" s="46"/>
      <c r="C256" s="14" t="s">
        <v>498</v>
      </c>
      <c r="D256" s="14"/>
    </row>
    <row r="257" spans="1:4">
      <c r="A257" s="46"/>
      <c r="B257" s="46"/>
      <c r="C257" s="14" t="s">
        <v>499</v>
      </c>
      <c r="D257" s="14"/>
    </row>
    <row r="258" spans="1:4">
      <c r="A258" s="46"/>
      <c r="B258" s="46"/>
      <c r="C258" s="14" t="s">
        <v>500</v>
      </c>
      <c r="D258" s="14"/>
    </row>
    <row r="259" spans="1:4">
      <c r="A259" s="46"/>
      <c r="B259" s="46"/>
      <c r="C259" s="14" t="s">
        <v>501</v>
      </c>
      <c r="D259" s="14"/>
    </row>
    <row r="260" spans="1:4">
      <c r="A260" s="46"/>
      <c r="B260" s="46"/>
      <c r="C260" s="14" t="s">
        <v>502</v>
      </c>
      <c r="D260" s="14"/>
    </row>
    <row r="261" spans="1:4">
      <c r="A261" s="46"/>
      <c r="B261" s="46"/>
      <c r="C261" s="14" t="s">
        <v>503</v>
      </c>
      <c r="D261" s="14"/>
    </row>
    <row r="262" spans="1:4">
      <c r="A262" s="46"/>
      <c r="B262" s="46"/>
      <c r="C262" s="14" t="s">
        <v>504</v>
      </c>
      <c r="D262" s="14"/>
    </row>
    <row r="263" spans="1:4">
      <c r="A263" s="46"/>
      <c r="B263" s="46"/>
      <c r="C263" s="14" t="s">
        <v>505</v>
      </c>
      <c r="D263" s="14"/>
    </row>
    <row r="264" spans="1:4">
      <c r="A264" s="46"/>
      <c r="B264" s="46"/>
      <c r="C264" s="14" t="s">
        <v>506</v>
      </c>
      <c r="D264" s="14"/>
    </row>
    <row r="265" spans="1:4">
      <c r="A265" s="46"/>
      <c r="B265" s="46"/>
      <c r="C265" s="14" t="s">
        <v>507</v>
      </c>
      <c r="D265" s="14"/>
    </row>
    <row r="266" spans="1:4">
      <c r="A266" s="46"/>
      <c r="B266" s="46"/>
      <c r="C266" s="14" t="s">
        <v>508</v>
      </c>
      <c r="D266" s="14"/>
    </row>
    <row r="267" spans="1:4">
      <c r="A267" s="46"/>
      <c r="B267" s="46"/>
      <c r="C267" s="14" t="s">
        <v>509</v>
      </c>
      <c r="D267" s="14"/>
    </row>
    <row r="268" spans="1:4">
      <c r="A268" s="46"/>
      <c r="B268" s="46"/>
      <c r="C268" s="14" t="s">
        <v>510</v>
      </c>
      <c r="D268" s="14"/>
    </row>
    <row r="269" spans="1:4">
      <c r="A269" s="46"/>
      <c r="B269" s="46"/>
      <c r="C269" s="14" t="s">
        <v>511</v>
      </c>
      <c r="D269" s="14"/>
    </row>
    <row r="270" spans="1:4">
      <c r="A270" s="46"/>
      <c r="B270" s="46"/>
      <c r="C270" s="14" t="s">
        <v>512</v>
      </c>
      <c r="D270" s="14" t="s">
        <v>513</v>
      </c>
    </row>
    <row r="271" spans="1:4">
      <c r="A271" s="46"/>
      <c r="B271" s="46"/>
      <c r="C271" s="14" t="s">
        <v>514</v>
      </c>
      <c r="D271" s="14" t="s">
        <v>515</v>
      </c>
    </row>
    <row r="272" spans="1:4">
      <c r="A272" s="46"/>
      <c r="B272" s="46"/>
      <c r="C272" s="14" t="s">
        <v>516</v>
      </c>
      <c r="D272" s="14" t="s">
        <v>517</v>
      </c>
    </row>
    <row r="273" spans="1:4">
      <c r="A273" s="46"/>
      <c r="B273" s="46"/>
      <c r="C273" s="14" t="s">
        <v>518</v>
      </c>
      <c r="D273" s="14"/>
    </row>
    <row r="274" spans="1:4">
      <c r="A274" s="46"/>
      <c r="B274" s="46"/>
      <c r="C274" s="14" t="s">
        <v>519</v>
      </c>
      <c r="D274" s="14" t="s">
        <v>520</v>
      </c>
    </row>
    <row r="275" spans="1:4">
      <c r="A275" s="46"/>
      <c r="B275" s="46"/>
      <c r="C275" s="14" t="s">
        <v>521</v>
      </c>
      <c r="D275" s="14"/>
    </row>
    <row r="276" spans="1:4">
      <c r="A276" s="46"/>
      <c r="B276" s="46"/>
      <c r="C276" s="14" t="s">
        <v>522</v>
      </c>
      <c r="D276" s="14"/>
    </row>
    <row r="277" spans="1:4">
      <c r="A277" s="46"/>
      <c r="B277" s="46"/>
      <c r="C277" s="14" t="s">
        <v>523</v>
      </c>
      <c r="D277" s="14"/>
    </row>
    <row r="278" spans="1:4">
      <c r="A278" s="46"/>
      <c r="B278" s="46"/>
      <c r="C278" s="14" t="s">
        <v>524</v>
      </c>
      <c r="D278" s="14"/>
    </row>
    <row r="279" spans="1:4">
      <c r="A279" s="46"/>
      <c r="B279" s="46"/>
      <c r="C279" s="14" t="s">
        <v>525</v>
      </c>
      <c r="D279" s="14"/>
    </row>
    <row r="280" spans="1:4">
      <c r="A280" s="46"/>
      <c r="B280" s="46"/>
      <c r="C280" s="14" t="s">
        <v>526</v>
      </c>
      <c r="D280" s="14"/>
    </row>
    <row r="281" spans="1:4">
      <c r="A281" s="46"/>
      <c r="B281" s="46"/>
      <c r="C281" s="14" t="s">
        <v>527</v>
      </c>
      <c r="D281" s="14"/>
    </row>
    <row r="282" spans="1:4">
      <c r="A282" s="46"/>
      <c r="B282" s="46"/>
      <c r="C282" s="14" t="s">
        <v>528</v>
      </c>
      <c r="D282" s="14" t="s">
        <v>529</v>
      </c>
    </row>
    <row r="283" spans="1:4">
      <c r="A283" s="46"/>
      <c r="B283" s="46"/>
      <c r="C283" s="14" t="s">
        <v>530</v>
      </c>
      <c r="D283" s="14"/>
    </row>
    <row r="284" spans="1:4">
      <c r="A284" s="46"/>
      <c r="B284" s="46"/>
      <c r="C284" s="14" t="s">
        <v>531</v>
      </c>
      <c r="D284" s="14" t="s">
        <v>532</v>
      </c>
    </row>
    <row r="285" spans="1:4">
      <c r="A285" s="46"/>
      <c r="B285" s="46"/>
      <c r="C285" s="14" t="s">
        <v>533</v>
      </c>
      <c r="D285" s="14"/>
    </row>
    <row r="286" spans="1:4">
      <c r="A286" s="46"/>
      <c r="B286" s="46"/>
      <c r="C286" s="14" t="s">
        <v>534</v>
      </c>
      <c r="D286" s="14"/>
    </row>
    <row r="287" spans="1:4">
      <c r="A287" s="46"/>
      <c r="B287" s="46"/>
      <c r="C287" s="14" t="s">
        <v>535</v>
      </c>
      <c r="D287" s="14"/>
    </row>
    <row r="288" spans="1:4">
      <c r="A288" s="46"/>
      <c r="B288" s="46"/>
      <c r="C288" s="14" t="s">
        <v>536</v>
      </c>
      <c r="D288" s="14"/>
    </row>
    <row r="289" spans="1:4">
      <c r="A289" s="46"/>
      <c r="B289" s="46"/>
      <c r="C289" s="14" t="s">
        <v>537</v>
      </c>
      <c r="D289" s="14" t="s">
        <v>538</v>
      </c>
    </row>
    <row r="290" spans="1:4">
      <c r="A290" s="46"/>
      <c r="B290" s="46"/>
      <c r="C290" s="14" t="s">
        <v>539</v>
      </c>
      <c r="D290" s="14"/>
    </row>
    <row r="291" spans="1:4">
      <c r="A291" s="46"/>
      <c r="B291" s="46"/>
      <c r="C291" s="14" t="s">
        <v>540</v>
      </c>
      <c r="D291" s="14"/>
    </row>
    <row r="292" spans="1:4">
      <c r="A292" s="46"/>
      <c r="B292" s="46"/>
      <c r="C292" s="14" t="s">
        <v>541</v>
      </c>
      <c r="D292" s="14"/>
    </row>
    <row r="293" spans="1:4">
      <c r="A293" s="46"/>
      <c r="B293" s="46"/>
      <c r="C293" s="14" t="s">
        <v>542</v>
      </c>
      <c r="D293" s="14"/>
    </row>
    <row r="294" spans="1:4">
      <c r="A294" s="46"/>
      <c r="B294" s="46"/>
      <c r="C294" s="14" t="s">
        <v>543</v>
      </c>
      <c r="D294" s="14"/>
    </row>
    <row r="295" spans="1:4">
      <c r="A295" s="46"/>
      <c r="B295" s="46"/>
      <c r="C295" s="14" t="s">
        <v>544</v>
      </c>
      <c r="D295" s="14"/>
    </row>
    <row r="296" spans="1:4">
      <c r="A296" s="46"/>
      <c r="B296" s="46"/>
      <c r="C296" s="14" t="s">
        <v>545</v>
      </c>
      <c r="D296" s="14"/>
    </row>
    <row r="297" spans="1:4">
      <c r="A297" s="46"/>
      <c r="B297" s="46"/>
      <c r="C297" s="14" t="s">
        <v>546</v>
      </c>
      <c r="D297" s="14" t="s">
        <v>547</v>
      </c>
    </row>
    <row r="298" spans="1:4">
      <c r="A298" s="46"/>
      <c r="B298" s="46"/>
      <c r="C298" s="14" t="s">
        <v>548</v>
      </c>
      <c r="D298" s="14"/>
    </row>
    <row r="299" spans="1:4">
      <c r="A299" s="46"/>
      <c r="B299" s="46"/>
      <c r="C299" s="14" t="s">
        <v>549</v>
      </c>
      <c r="D299" s="14"/>
    </row>
    <row r="300" spans="1:4">
      <c r="A300" s="46"/>
      <c r="B300" s="46"/>
      <c r="C300" s="113" t="s">
        <v>550</v>
      </c>
      <c r="D300" s="14"/>
    </row>
    <row r="301" spans="1:4">
      <c r="A301" s="46"/>
      <c r="B301" s="46"/>
      <c r="C301" s="14" t="s">
        <v>551</v>
      </c>
      <c r="D301" s="14"/>
    </row>
    <row r="302" spans="1:4">
      <c r="A302" s="46"/>
      <c r="B302" s="46"/>
      <c r="C302" s="14" t="s">
        <v>552</v>
      </c>
      <c r="D302" s="14"/>
    </row>
    <row r="303" spans="1:4">
      <c r="A303" s="46"/>
      <c r="B303" s="46"/>
      <c r="C303" s="14" t="s">
        <v>553</v>
      </c>
      <c r="D303" s="14"/>
    </row>
    <row r="304" spans="1:4">
      <c r="A304" s="46"/>
      <c r="B304" s="46"/>
      <c r="C304" s="14" t="s">
        <v>554</v>
      </c>
      <c r="D304" s="14"/>
    </row>
    <row r="305" spans="1:4">
      <c r="A305" s="46"/>
      <c r="B305" s="46"/>
      <c r="C305" s="14" t="s">
        <v>555</v>
      </c>
      <c r="D305" s="14"/>
    </row>
    <row r="306" spans="1:4">
      <c r="A306" s="46"/>
      <c r="B306" s="46"/>
      <c r="C306" s="14" t="s">
        <v>556</v>
      </c>
      <c r="D306" s="14"/>
    </row>
    <row r="307" spans="1:4">
      <c r="A307" s="46"/>
      <c r="B307" s="46"/>
      <c r="C307" s="14" t="s">
        <v>557</v>
      </c>
      <c r="D307" s="14"/>
    </row>
    <row r="308" spans="1:4">
      <c r="A308" s="46"/>
      <c r="B308" s="46"/>
      <c r="C308" s="14" t="s">
        <v>558</v>
      </c>
      <c r="D308" s="14"/>
    </row>
    <row r="309" spans="1:4">
      <c r="A309" s="46"/>
      <c r="B309" s="46"/>
      <c r="C309" s="14" t="s">
        <v>559</v>
      </c>
      <c r="D309" s="14"/>
    </row>
    <row r="310" spans="1:4">
      <c r="A310" s="46"/>
      <c r="B310" s="46"/>
      <c r="C310" s="113" t="s">
        <v>560</v>
      </c>
      <c r="D310" s="14"/>
    </row>
    <row r="311" spans="1:4">
      <c r="A311" s="46"/>
      <c r="B311" s="46"/>
      <c r="C311" s="113" t="s">
        <v>561</v>
      </c>
      <c r="D311" s="14"/>
    </row>
    <row r="312" spans="1:4">
      <c r="A312" s="46"/>
      <c r="B312" s="46"/>
      <c r="C312" s="113" t="s">
        <v>562</v>
      </c>
      <c r="D312" s="14"/>
    </row>
    <row r="313" spans="1:4">
      <c r="A313" s="46"/>
      <c r="B313" s="46"/>
      <c r="C313" s="14" t="s">
        <v>563</v>
      </c>
      <c r="D313" s="14"/>
    </row>
    <row r="314" spans="1:4">
      <c r="A314" s="46"/>
      <c r="B314" s="46"/>
      <c r="C314" s="14" t="s">
        <v>564</v>
      </c>
      <c r="D314" s="14"/>
    </row>
    <row r="315" spans="1:4">
      <c r="A315" s="46"/>
      <c r="B315" s="46"/>
      <c r="C315" s="14" t="s">
        <v>565</v>
      </c>
      <c r="D315" s="14"/>
    </row>
    <row r="316" spans="1:4">
      <c r="A316" s="46"/>
      <c r="B316" s="46"/>
      <c r="C316" s="14" t="s">
        <v>566</v>
      </c>
      <c r="D316" s="14"/>
    </row>
    <row r="317" spans="1:4">
      <c r="A317" s="46"/>
      <c r="B317" s="46"/>
      <c r="C317" s="14" t="s">
        <v>567</v>
      </c>
      <c r="D317" s="14"/>
    </row>
    <row r="318" spans="1:4">
      <c r="A318" s="46"/>
      <c r="B318" s="46"/>
      <c r="C318" s="14" t="s">
        <v>568</v>
      </c>
      <c r="D318" s="109" t="s">
        <v>569</v>
      </c>
    </row>
    <row r="319" spans="1:4">
      <c r="A319" s="46"/>
      <c r="B319" s="46"/>
      <c r="C319" s="14" t="s">
        <v>570</v>
      </c>
      <c r="D319" s="14"/>
    </row>
    <row r="320" spans="1:4">
      <c r="A320" s="46"/>
      <c r="B320" s="46"/>
      <c r="C320" s="14" t="s">
        <v>571</v>
      </c>
      <c r="D320" s="14"/>
    </row>
    <row r="321" spans="1:4">
      <c r="A321" s="46"/>
      <c r="B321" s="46"/>
      <c r="C321" s="14" t="s">
        <v>572</v>
      </c>
      <c r="D321" s="14"/>
    </row>
    <row r="322" spans="1:4">
      <c r="A322" s="46"/>
      <c r="B322" s="46"/>
      <c r="C322" s="14" t="s">
        <v>573</v>
      </c>
      <c r="D322" s="14"/>
    </row>
    <row r="323" spans="1:4">
      <c r="A323" s="46"/>
      <c r="B323" s="46"/>
      <c r="C323" s="14" t="s">
        <v>574</v>
      </c>
      <c r="D323" s="14"/>
    </row>
    <row r="324" spans="1:4">
      <c r="A324" s="46"/>
      <c r="B324" s="46"/>
      <c r="C324" s="14" t="s">
        <v>575</v>
      </c>
      <c r="D324" s="14"/>
    </row>
    <row r="325" spans="1:4">
      <c r="A325" s="46"/>
      <c r="B325" s="46"/>
      <c r="C325" s="14" t="s">
        <v>576</v>
      </c>
      <c r="D325" s="14"/>
    </row>
    <row r="326" spans="1:4">
      <c r="A326" s="46"/>
      <c r="B326" s="46"/>
      <c r="C326" s="14" t="s">
        <v>577</v>
      </c>
      <c r="D326" s="14"/>
    </row>
    <row r="327" spans="1:4">
      <c r="A327" s="46"/>
      <c r="B327" s="46"/>
      <c r="C327" s="14" t="s">
        <v>578</v>
      </c>
      <c r="D327" s="14"/>
    </row>
    <row r="328" spans="1:4">
      <c r="A328" s="63"/>
      <c r="B328" s="53" t="s">
        <v>579</v>
      </c>
      <c r="C328" s="40" t="s">
        <v>580</v>
      </c>
      <c r="D328" s="40"/>
    </row>
    <row r="329" spans="1:4">
      <c r="A329" s="64"/>
      <c r="B329" s="54"/>
      <c r="C329" s="40" t="s">
        <v>581</v>
      </c>
      <c r="D329" s="40"/>
    </row>
    <row r="330" spans="1:4">
      <c r="A330" s="64"/>
      <c r="B330" s="54"/>
      <c r="C330" s="111" t="s">
        <v>582</v>
      </c>
      <c r="D330" s="40"/>
    </row>
    <row r="331" spans="1:4">
      <c r="A331" s="64"/>
      <c r="B331" s="54"/>
      <c r="C331" s="110" t="s">
        <v>583</v>
      </c>
      <c r="D331" s="40"/>
    </row>
    <row r="332" spans="1:4">
      <c r="A332" s="64"/>
      <c r="B332" s="54"/>
      <c r="C332" s="110" t="s">
        <v>584</v>
      </c>
      <c r="D332" s="40"/>
    </row>
    <row r="333" spans="1:4">
      <c r="A333" s="64"/>
      <c r="B333" s="54"/>
      <c r="C333" s="110" t="s">
        <v>585</v>
      </c>
      <c r="D333" s="40"/>
    </row>
    <row r="334" spans="1:4">
      <c r="A334" s="64"/>
      <c r="B334" s="54"/>
      <c r="C334" s="110" t="s">
        <v>586</v>
      </c>
      <c r="D334" s="40"/>
    </row>
    <row r="335" spans="1:4">
      <c r="A335" s="64"/>
      <c r="B335" s="54"/>
      <c r="C335" s="40" t="s">
        <v>587</v>
      </c>
      <c r="D335" s="40"/>
    </row>
    <row r="336" spans="1:4">
      <c r="A336" s="64"/>
      <c r="B336" s="54"/>
      <c r="C336" s="40" t="s">
        <v>588</v>
      </c>
      <c r="D336" s="40"/>
    </row>
    <row r="337" spans="1:4">
      <c r="A337" s="64"/>
      <c r="B337" s="54"/>
      <c r="C337" s="40" t="s">
        <v>589</v>
      </c>
      <c r="D337" s="40"/>
    </row>
    <row r="338" spans="1:4">
      <c r="A338" s="64"/>
      <c r="B338" s="54"/>
      <c r="C338" s="40" t="s">
        <v>590</v>
      </c>
      <c r="D338" s="40"/>
    </row>
    <row r="339" spans="1:4">
      <c r="A339" s="64"/>
      <c r="B339" s="54"/>
      <c r="C339" s="40" t="s">
        <v>591</v>
      </c>
      <c r="D339" s="40"/>
    </row>
    <row r="340" spans="1:4">
      <c r="A340" s="64"/>
      <c r="B340" s="54"/>
      <c r="C340" s="40" t="s">
        <v>592</v>
      </c>
      <c r="D340" s="40"/>
    </row>
    <row r="341" spans="1:4">
      <c r="A341" s="64"/>
      <c r="B341" s="54"/>
      <c r="C341" s="40" t="s">
        <v>593</v>
      </c>
      <c r="D341" s="40"/>
    </row>
    <row r="342" spans="1:4">
      <c r="A342" s="64"/>
      <c r="B342" s="54"/>
      <c r="C342" s="40" t="s">
        <v>594</v>
      </c>
      <c r="D342" s="40"/>
    </row>
    <row r="343" spans="1:4">
      <c r="A343" s="64"/>
      <c r="B343" s="54"/>
      <c r="C343" s="40" t="s">
        <v>595</v>
      </c>
      <c r="D343" s="40"/>
    </row>
    <row r="344" spans="1:4">
      <c r="A344" s="64"/>
      <c r="B344" s="54"/>
      <c r="C344" s="40" t="s">
        <v>596</v>
      </c>
      <c r="D344" s="40"/>
    </row>
    <row r="345" spans="1:4">
      <c r="A345" s="64"/>
      <c r="B345" s="54"/>
      <c r="C345" s="40" t="s">
        <v>597</v>
      </c>
      <c r="D345" s="40"/>
    </row>
    <row r="346" spans="1:4">
      <c r="A346" s="64"/>
      <c r="B346" s="54"/>
      <c r="C346" s="40" t="s">
        <v>598</v>
      </c>
      <c r="D346" s="40"/>
    </row>
    <row r="347" spans="1:4">
      <c r="A347" s="64"/>
      <c r="B347" s="54"/>
      <c r="C347" s="40" t="s">
        <v>599</v>
      </c>
      <c r="D347" s="40"/>
    </row>
    <row r="348" spans="1:4">
      <c r="A348" s="64"/>
      <c r="B348" s="54"/>
      <c r="C348" s="40" t="s">
        <v>600</v>
      </c>
      <c r="D348" s="40"/>
    </row>
    <row r="349" spans="1:4">
      <c r="A349" s="64"/>
      <c r="B349" s="54"/>
      <c r="C349" s="40" t="s">
        <v>601</v>
      </c>
      <c r="D349" s="40"/>
    </row>
    <row r="350" spans="1:4">
      <c r="A350" s="64"/>
      <c r="B350" s="54"/>
      <c r="C350" s="40" t="s">
        <v>602</v>
      </c>
      <c r="D350" s="40"/>
    </row>
    <row r="351" spans="1:4">
      <c r="A351" s="64"/>
      <c r="B351" s="54"/>
      <c r="C351" s="40" t="s">
        <v>603</v>
      </c>
      <c r="D351" s="40"/>
    </row>
    <row r="352" spans="1:4">
      <c r="A352" s="64"/>
      <c r="B352" s="54"/>
      <c r="C352" s="40" t="s">
        <v>604</v>
      </c>
      <c r="D352" s="40"/>
    </row>
    <row r="353" spans="1:4">
      <c r="A353" s="64"/>
      <c r="B353" s="54"/>
      <c r="C353" s="40" t="s">
        <v>605</v>
      </c>
      <c r="D353" s="40"/>
    </row>
    <row r="354" spans="1:4">
      <c r="A354" s="64"/>
      <c r="B354" s="54"/>
      <c r="C354" s="40" t="s">
        <v>606</v>
      </c>
      <c r="D354" s="40"/>
    </row>
    <row r="355" spans="1:4">
      <c r="A355" s="64"/>
      <c r="B355" s="54"/>
      <c r="C355" s="40" t="s">
        <v>607</v>
      </c>
      <c r="D355" s="40"/>
    </row>
    <row r="356" spans="1:4">
      <c r="A356" s="64"/>
      <c r="B356" s="54"/>
      <c r="C356" s="40" t="s">
        <v>608</v>
      </c>
      <c r="D356" s="40"/>
    </row>
    <row r="357" spans="1:4">
      <c r="A357" s="64"/>
      <c r="B357" s="54"/>
      <c r="C357" s="40" t="s">
        <v>609</v>
      </c>
      <c r="D357" s="40"/>
    </row>
    <row r="358" spans="1:4">
      <c r="A358" s="64"/>
      <c r="B358" s="54"/>
      <c r="C358" s="40" t="s">
        <v>610</v>
      </c>
      <c r="D358" s="40"/>
    </row>
    <row r="359" spans="1:4">
      <c r="A359" s="64"/>
      <c r="B359" s="54"/>
      <c r="C359" s="40" t="s">
        <v>611</v>
      </c>
      <c r="D359" s="40"/>
    </row>
    <row r="360" spans="1:4">
      <c r="A360" s="64"/>
      <c r="B360" s="54"/>
      <c r="C360" s="40" t="s">
        <v>612</v>
      </c>
      <c r="D360" s="40"/>
    </row>
    <row r="361" spans="1:4">
      <c r="A361" s="64"/>
      <c r="B361" s="54"/>
      <c r="C361" s="40" t="s">
        <v>613</v>
      </c>
      <c r="D361" s="40"/>
    </row>
    <row r="362" spans="1:4">
      <c r="A362" s="64"/>
      <c r="B362" s="54"/>
      <c r="C362" s="40" t="s">
        <v>614</v>
      </c>
      <c r="D362" s="40"/>
    </row>
    <row r="363" spans="1:4">
      <c r="A363" s="64"/>
      <c r="B363" s="54"/>
      <c r="C363" s="40" t="s">
        <v>615</v>
      </c>
      <c r="D363" s="40"/>
    </row>
    <row r="364" spans="1:4">
      <c r="A364" s="64"/>
      <c r="B364" s="54"/>
      <c r="C364" s="40" t="s">
        <v>616</v>
      </c>
      <c r="D364" s="40"/>
    </row>
    <row r="365" spans="1:4">
      <c r="A365" s="64"/>
      <c r="B365" s="54"/>
      <c r="C365" s="40" t="s">
        <v>617</v>
      </c>
      <c r="D365" s="40"/>
    </row>
    <row r="366" spans="1:4">
      <c r="A366" s="64"/>
      <c r="B366" s="54"/>
      <c r="C366" s="40" t="s">
        <v>618</v>
      </c>
      <c r="D366" s="40"/>
    </row>
    <row r="367" spans="1:4">
      <c r="A367" s="64"/>
      <c r="B367" s="54"/>
      <c r="C367" s="40" t="s">
        <v>619</v>
      </c>
      <c r="D367" s="40"/>
    </row>
    <row r="368" spans="1:4">
      <c r="A368" s="64"/>
      <c r="B368" s="54"/>
      <c r="C368" s="40" t="s">
        <v>620</v>
      </c>
      <c r="D368" s="40"/>
    </row>
    <row r="369" spans="1:4">
      <c r="A369" s="64"/>
      <c r="B369" s="54"/>
      <c r="C369" s="40" t="s">
        <v>621</v>
      </c>
      <c r="D369" s="40"/>
    </row>
    <row r="370" spans="1:4">
      <c r="A370" s="64"/>
      <c r="B370" s="54"/>
      <c r="C370" s="40" t="s">
        <v>622</v>
      </c>
      <c r="D370" s="40"/>
    </row>
    <row r="371" spans="1:4">
      <c r="A371" s="64"/>
      <c r="B371" s="54"/>
      <c r="C371" s="40" t="s">
        <v>623</v>
      </c>
      <c r="D371" s="40"/>
    </row>
    <row r="372" spans="1:4">
      <c r="A372" s="64"/>
      <c r="B372" s="54"/>
      <c r="C372" s="40" t="s">
        <v>624</v>
      </c>
      <c r="D372" s="40"/>
    </row>
    <row r="373" spans="1:4">
      <c r="A373" s="64"/>
      <c r="B373" s="54"/>
      <c r="C373" s="40" t="s">
        <v>625</v>
      </c>
      <c r="D373" s="40"/>
    </row>
    <row r="374" spans="1:4">
      <c r="A374" s="64"/>
      <c r="B374" s="54"/>
      <c r="C374" s="40" t="s">
        <v>626</v>
      </c>
      <c r="D374" s="40"/>
    </row>
    <row r="375" spans="1:4">
      <c r="A375" s="64"/>
      <c r="B375" s="54"/>
      <c r="C375" s="40" t="s">
        <v>627</v>
      </c>
      <c r="D375" s="40"/>
    </row>
    <row r="376" spans="1:4">
      <c r="A376" s="64"/>
      <c r="B376" s="54"/>
      <c r="C376" s="40" t="s">
        <v>628</v>
      </c>
      <c r="D376" s="40"/>
    </row>
    <row r="377" spans="1:4">
      <c r="A377" s="64"/>
      <c r="B377" s="54"/>
      <c r="C377" s="40" t="s">
        <v>629</v>
      </c>
      <c r="D377" s="40"/>
    </row>
    <row r="378" spans="1:4">
      <c r="A378" s="64"/>
      <c r="B378" s="54"/>
      <c r="C378" s="40" t="s">
        <v>630</v>
      </c>
      <c r="D378" s="40"/>
    </row>
    <row r="379" spans="1:4">
      <c r="A379" s="64"/>
      <c r="B379" s="54"/>
      <c r="C379" s="40" t="s">
        <v>631</v>
      </c>
      <c r="D379" s="40"/>
    </row>
    <row r="380" spans="1:4">
      <c r="A380" s="64"/>
      <c r="B380" s="54"/>
      <c r="C380" s="40" t="s">
        <v>632</v>
      </c>
      <c r="D380" s="40"/>
    </row>
    <row r="381" spans="1:4">
      <c r="A381" s="64"/>
      <c r="B381" s="54"/>
      <c r="C381" s="40" t="s">
        <v>633</v>
      </c>
      <c r="D381" s="40"/>
    </row>
    <row r="382" spans="1:4">
      <c r="A382" s="64"/>
      <c r="B382" s="54"/>
      <c r="C382" s="40" t="s">
        <v>634</v>
      </c>
      <c r="D382" s="40"/>
    </row>
    <row r="383" spans="1:4">
      <c r="A383" s="64"/>
      <c r="B383" s="54"/>
      <c r="C383" s="40" t="s">
        <v>635</v>
      </c>
      <c r="D383" s="40"/>
    </row>
    <row r="384" spans="1:4">
      <c r="A384" s="64"/>
      <c r="B384" s="54"/>
      <c r="C384" s="40" t="s">
        <v>636</v>
      </c>
      <c r="D384" s="40"/>
    </row>
    <row r="385" spans="1:4">
      <c r="A385" s="64"/>
      <c r="B385" s="54"/>
      <c r="C385" s="40" t="s">
        <v>637</v>
      </c>
      <c r="D385" s="40"/>
    </row>
    <row r="386" spans="1:4">
      <c r="A386" s="64"/>
      <c r="B386" s="54"/>
      <c r="C386" s="40" t="s">
        <v>638</v>
      </c>
      <c r="D386" s="40"/>
    </row>
    <row r="387" spans="1:4">
      <c r="A387" s="64"/>
      <c r="B387" s="54"/>
      <c r="C387" s="40" t="s">
        <v>639</v>
      </c>
      <c r="D387" s="40"/>
    </row>
    <row r="388" spans="1:4">
      <c r="A388" s="64"/>
      <c r="B388" s="54"/>
      <c r="C388" s="40" t="s">
        <v>640</v>
      </c>
      <c r="D388" s="40"/>
    </row>
    <row r="389" spans="1:4">
      <c r="A389" s="64"/>
      <c r="B389" s="54"/>
      <c r="C389" s="40" t="s">
        <v>641</v>
      </c>
      <c r="D389" s="40"/>
    </row>
    <row r="390" spans="1:4">
      <c r="A390" s="64"/>
      <c r="B390" s="54"/>
      <c r="C390" s="40" t="s">
        <v>642</v>
      </c>
      <c r="D390" s="40"/>
    </row>
    <row r="391" spans="1:4">
      <c r="A391" s="64"/>
      <c r="B391" s="54"/>
      <c r="C391" s="40" t="s">
        <v>643</v>
      </c>
      <c r="D391" s="40"/>
    </row>
    <row r="392" spans="1:4">
      <c r="A392" s="64"/>
      <c r="B392" s="54"/>
      <c r="C392" s="40" t="s">
        <v>644</v>
      </c>
      <c r="D392" s="40"/>
    </row>
    <row r="393" spans="1:4">
      <c r="A393" s="64"/>
      <c r="B393" s="54"/>
      <c r="C393" s="40" t="s">
        <v>645</v>
      </c>
      <c r="D393" s="40"/>
    </row>
    <row r="394" spans="1:4">
      <c r="A394" s="64"/>
      <c r="B394" s="54"/>
      <c r="C394" s="40" t="s">
        <v>646</v>
      </c>
      <c r="D394" s="40"/>
    </row>
    <row r="395" spans="1:4">
      <c r="A395" s="64"/>
      <c r="B395" s="54"/>
      <c r="C395" s="40" t="s">
        <v>647</v>
      </c>
      <c r="D395" s="40"/>
    </row>
    <row r="396" spans="1:4">
      <c r="A396" s="64"/>
      <c r="B396" s="54"/>
      <c r="C396" s="40" t="s">
        <v>648</v>
      </c>
      <c r="D396" s="40"/>
    </row>
    <row r="397" spans="1:4">
      <c r="A397" s="64"/>
      <c r="B397" s="54"/>
      <c r="C397" s="40" t="s">
        <v>649</v>
      </c>
      <c r="D397" s="40"/>
    </row>
    <row r="398" spans="1:4">
      <c r="A398" s="64"/>
      <c r="B398" s="54"/>
      <c r="C398" s="40" t="s">
        <v>650</v>
      </c>
      <c r="D398" s="40"/>
    </row>
    <row r="399" spans="1:4">
      <c r="A399" s="64"/>
      <c r="B399" s="54"/>
      <c r="C399" s="40" t="s">
        <v>651</v>
      </c>
      <c r="D399" s="40"/>
    </row>
    <row r="400" spans="1:4">
      <c r="A400" s="64"/>
      <c r="B400" s="54"/>
      <c r="C400" s="40" t="s">
        <v>652</v>
      </c>
      <c r="D400" s="40"/>
    </row>
    <row r="401" spans="1:4">
      <c r="A401" s="64"/>
      <c r="B401" s="54"/>
      <c r="C401" s="40" t="s">
        <v>653</v>
      </c>
      <c r="D401" s="40"/>
    </row>
    <row r="402" spans="1:4">
      <c r="A402" s="64"/>
      <c r="B402" s="54"/>
      <c r="C402" s="40" t="s">
        <v>654</v>
      </c>
      <c r="D402" s="40"/>
    </row>
    <row r="403" spans="1:4">
      <c r="A403" s="64"/>
      <c r="B403" s="54"/>
      <c r="C403" s="40" t="s">
        <v>655</v>
      </c>
      <c r="D403" s="40"/>
    </row>
    <row r="404" spans="1:4">
      <c r="A404" s="64"/>
      <c r="B404" s="54"/>
      <c r="C404" s="40" t="s">
        <v>656</v>
      </c>
      <c r="D404" s="40"/>
    </row>
    <row r="405" spans="1:4">
      <c r="A405" s="64"/>
      <c r="B405" s="54"/>
      <c r="C405" s="40" t="s">
        <v>657</v>
      </c>
      <c r="D405" s="40"/>
    </row>
    <row r="406" spans="1:4">
      <c r="A406" s="64"/>
      <c r="B406" s="54"/>
      <c r="C406" s="40" t="s">
        <v>658</v>
      </c>
      <c r="D406" s="40"/>
    </row>
    <row r="407" spans="1:4">
      <c r="A407" s="64"/>
      <c r="B407" s="54"/>
      <c r="C407" s="40" t="s">
        <v>659</v>
      </c>
      <c r="D407" s="40"/>
    </row>
    <row r="408" spans="1:4">
      <c r="A408" s="64"/>
      <c r="B408" s="54"/>
      <c r="C408" s="40" t="s">
        <v>660</v>
      </c>
      <c r="D408" s="40"/>
    </row>
    <row r="409" spans="1:4">
      <c r="A409" s="64"/>
      <c r="B409" s="54"/>
      <c r="C409" s="40" t="s">
        <v>661</v>
      </c>
      <c r="D409" s="40"/>
    </row>
    <row r="410" spans="1:4">
      <c r="A410" s="64"/>
      <c r="B410" s="54"/>
      <c r="C410" s="40" t="s">
        <v>662</v>
      </c>
      <c r="D410" s="40"/>
    </row>
    <row r="411" spans="1:4">
      <c r="A411" s="64"/>
      <c r="B411" s="54"/>
      <c r="C411" s="40" t="s">
        <v>663</v>
      </c>
      <c r="D411" s="40"/>
    </row>
    <row r="412" spans="1:4">
      <c r="A412" s="64"/>
      <c r="B412" s="54"/>
      <c r="C412" s="40" t="s">
        <v>664</v>
      </c>
      <c r="D412" s="40"/>
    </row>
    <row r="413" spans="1:4">
      <c r="A413" s="64"/>
      <c r="B413" s="54"/>
      <c r="C413" s="40" t="s">
        <v>665</v>
      </c>
      <c r="D413" s="40"/>
    </row>
    <row r="414" spans="1:4">
      <c r="A414" s="64"/>
      <c r="B414" s="54"/>
      <c r="C414" s="40" t="s">
        <v>666</v>
      </c>
      <c r="D414" s="40"/>
    </row>
    <row r="415" spans="1:4">
      <c r="A415" s="64"/>
      <c r="B415" s="54"/>
      <c r="C415" s="40" t="s">
        <v>667</v>
      </c>
      <c r="D415" s="40"/>
    </row>
    <row r="416" spans="1:4">
      <c r="A416" s="64"/>
      <c r="B416" s="54"/>
      <c r="C416" s="40" t="s">
        <v>668</v>
      </c>
      <c r="D416" s="40"/>
    </row>
    <row r="417" spans="1:4">
      <c r="A417" s="64"/>
      <c r="B417" s="54"/>
      <c r="C417" s="40" t="s">
        <v>669</v>
      </c>
      <c r="D417" s="40"/>
    </row>
    <row r="418" spans="1:4">
      <c r="A418" s="64"/>
      <c r="B418" s="54"/>
      <c r="C418" s="40" t="s">
        <v>670</v>
      </c>
      <c r="D418" s="40"/>
    </row>
    <row r="419" spans="1:4">
      <c r="A419" s="64"/>
      <c r="B419" s="54"/>
      <c r="C419" s="40" t="s">
        <v>671</v>
      </c>
      <c r="D419" s="40"/>
    </row>
    <row r="420" spans="1:4">
      <c r="A420" s="64"/>
      <c r="B420" s="54"/>
      <c r="C420" s="40" t="s">
        <v>672</v>
      </c>
      <c r="D420" s="40"/>
    </row>
    <row r="421" spans="1:4">
      <c r="A421" s="64"/>
      <c r="B421" s="54"/>
      <c r="C421" s="40" t="s">
        <v>673</v>
      </c>
      <c r="D421" s="40"/>
    </row>
    <row r="422" spans="1:4">
      <c r="A422" s="64"/>
      <c r="B422" s="54"/>
      <c r="C422" s="40" t="s">
        <v>674</v>
      </c>
      <c r="D422" s="40"/>
    </row>
    <row r="423" spans="1:4">
      <c r="A423" s="64"/>
      <c r="B423" s="54"/>
      <c r="C423" s="40" t="s">
        <v>675</v>
      </c>
      <c r="D423" s="40"/>
    </row>
    <row r="424" spans="1:4">
      <c r="A424" s="64"/>
      <c r="B424" s="54"/>
      <c r="C424" s="40" t="s">
        <v>676</v>
      </c>
      <c r="D424" s="40"/>
    </row>
    <row r="425" spans="1:4">
      <c r="A425" s="64"/>
      <c r="B425" s="54"/>
      <c r="C425" s="40" t="s">
        <v>677</v>
      </c>
      <c r="D425" s="40"/>
    </row>
    <row r="426" spans="1:4">
      <c r="A426" s="64"/>
      <c r="B426" s="54"/>
      <c r="C426" s="40" t="s">
        <v>678</v>
      </c>
      <c r="D426" s="40"/>
    </row>
    <row r="427" spans="1:4">
      <c r="A427" s="64"/>
      <c r="B427" s="54"/>
      <c r="C427" s="40" t="s">
        <v>679</v>
      </c>
      <c r="D427" s="40"/>
    </row>
    <row r="428" spans="1:4">
      <c r="A428" s="64"/>
      <c r="B428" s="54"/>
      <c r="C428" s="40" t="s">
        <v>680</v>
      </c>
      <c r="D428" s="40"/>
    </row>
    <row r="429" spans="1:4">
      <c r="A429" s="64"/>
      <c r="B429" s="54"/>
      <c r="C429" s="40" t="s">
        <v>681</v>
      </c>
      <c r="D429" s="40"/>
    </row>
    <row r="430" spans="1:4">
      <c r="A430" s="64"/>
      <c r="B430" s="54"/>
      <c r="C430" s="40" t="s">
        <v>682</v>
      </c>
      <c r="D430" s="40"/>
    </row>
    <row r="431" spans="1:4">
      <c r="A431" s="64"/>
      <c r="B431" s="54"/>
      <c r="C431" s="40" t="s">
        <v>683</v>
      </c>
      <c r="D431" s="40"/>
    </row>
    <row r="432" spans="1:4">
      <c r="A432" s="64"/>
      <c r="B432" s="54"/>
      <c r="C432" s="40" t="s">
        <v>684</v>
      </c>
      <c r="D432" s="40"/>
    </row>
    <row r="433" spans="1:4">
      <c r="A433" s="64"/>
      <c r="B433" s="54"/>
      <c r="C433" s="40" t="s">
        <v>685</v>
      </c>
      <c r="D433" s="40"/>
    </row>
    <row r="434" spans="1:4">
      <c r="A434" s="64"/>
      <c r="B434" s="54"/>
      <c r="C434" s="40" t="s">
        <v>686</v>
      </c>
      <c r="D434" s="40"/>
    </row>
    <row r="435" spans="1:4">
      <c r="A435" s="64"/>
      <c r="B435" s="54"/>
      <c r="C435" s="40" t="s">
        <v>687</v>
      </c>
      <c r="D435" s="40"/>
    </row>
    <row r="436" spans="1:4">
      <c r="A436" s="64"/>
      <c r="B436" s="54"/>
      <c r="C436" s="40" t="s">
        <v>688</v>
      </c>
      <c r="D436" s="40"/>
    </row>
    <row r="437" spans="1:4">
      <c r="A437" s="64"/>
      <c r="B437" s="54"/>
      <c r="C437" s="40" t="s">
        <v>689</v>
      </c>
      <c r="D437" s="40"/>
    </row>
    <row r="438" spans="1:4">
      <c r="A438" s="64"/>
      <c r="B438" s="54"/>
      <c r="C438" s="40" t="s">
        <v>690</v>
      </c>
      <c r="D438" s="40"/>
    </row>
    <row r="439" spans="1:4">
      <c r="A439" s="64"/>
      <c r="B439" s="54"/>
      <c r="C439" s="40" t="s">
        <v>691</v>
      </c>
      <c r="D439" s="40"/>
    </row>
    <row r="440" spans="1:4">
      <c r="A440" s="64"/>
      <c r="B440" s="54"/>
      <c r="C440" s="40" t="s">
        <v>692</v>
      </c>
      <c r="D440" s="40"/>
    </row>
    <row r="441" spans="1:4">
      <c r="A441" s="64"/>
      <c r="B441" s="54"/>
      <c r="C441" s="40" t="s">
        <v>693</v>
      </c>
      <c r="D441" s="40"/>
    </row>
    <row r="442" spans="1:4">
      <c r="A442" s="64"/>
      <c r="B442" s="54"/>
      <c r="C442" s="40" t="s">
        <v>694</v>
      </c>
      <c r="D442" s="40"/>
    </row>
    <row r="443" spans="1:4">
      <c r="A443" s="64"/>
      <c r="B443" s="54"/>
      <c r="C443" s="40" t="s">
        <v>695</v>
      </c>
      <c r="D443" s="40"/>
    </row>
    <row r="444" spans="1:4">
      <c r="A444" s="64"/>
      <c r="B444" s="54"/>
      <c r="C444" s="40" t="s">
        <v>696</v>
      </c>
      <c r="D444" s="40"/>
    </row>
    <row r="445" spans="1:4">
      <c r="A445" s="64"/>
      <c r="B445" s="54"/>
      <c r="C445" s="40" t="s">
        <v>697</v>
      </c>
      <c r="D445" s="40"/>
    </row>
    <row r="446" spans="1:4">
      <c r="A446" s="64"/>
      <c r="B446" s="54"/>
      <c r="C446" s="40" t="s">
        <v>698</v>
      </c>
      <c r="D446" s="40"/>
    </row>
    <row r="447" spans="1:4">
      <c r="A447" s="64"/>
      <c r="B447" s="54"/>
      <c r="C447" s="40" t="s">
        <v>699</v>
      </c>
      <c r="D447" s="40"/>
    </row>
    <row r="448" spans="1:4">
      <c r="A448" s="64"/>
      <c r="B448" s="54"/>
      <c r="C448" s="40" t="s">
        <v>700</v>
      </c>
      <c r="D448" s="40"/>
    </row>
    <row r="449" spans="1:4">
      <c r="A449" s="64"/>
      <c r="B449" s="54"/>
      <c r="C449" s="40" t="s">
        <v>701</v>
      </c>
      <c r="D449" s="40"/>
    </row>
    <row r="450" spans="1:4">
      <c r="A450" s="64"/>
      <c r="B450" s="54"/>
      <c r="C450" s="40" t="s">
        <v>702</v>
      </c>
      <c r="D450" s="40"/>
    </row>
    <row r="451" spans="1:4">
      <c r="A451" s="64"/>
      <c r="B451" s="54"/>
      <c r="C451" s="40" t="s">
        <v>703</v>
      </c>
      <c r="D451" s="40"/>
    </row>
    <row r="452" spans="1:4">
      <c r="A452" s="64"/>
      <c r="B452" s="54"/>
      <c r="C452" s="40" t="s">
        <v>704</v>
      </c>
      <c r="D452" s="40"/>
    </row>
    <row r="453" spans="1:4">
      <c r="A453" s="64"/>
      <c r="B453" s="54"/>
      <c r="C453" s="40" t="s">
        <v>705</v>
      </c>
      <c r="D453" s="40"/>
    </row>
    <row r="454" spans="1:4">
      <c r="A454" s="64"/>
      <c r="B454" s="54"/>
      <c r="C454" s="40" t="s">
        <v>706</v>
      </c>
      <c r="D454" s="40"/>
    </row>
    <row r="455" spans="1:4">
      <c r="A455" s="64"/>
      <c r="B455" s="54"/>
      <c r="C455" s="40" t="s">
        <v>707</v>
      </c>
      <c r="D455" s="40"/>
    </row>
    <row r="456" spans="1:4">
      <c r="A456" s="64"/>
      <c r="B456" s="54"/>
      <c r="C456" s="40" t="s">
        <v>708</v>
      </c>
      <c r="D456" s="40"/>
    </row>
    <row r="457" spans="1:4">
      <c r="A457" s="64"/>
      <c r="B457" s="54"/>
      <c r="C457" s="40" t="s">
        <v>709</v>
      </c>
      <c r="D457" s="40"/>
    </row>
    <row r="458" spans="1:4">
      <c r="A458" s="64"/>
      <c r="B458" s="54"/>
      <c r="C458" s="40" t="s">
        <v>710</v>
      </c>
      <c r="D458" s="40"/>
    </row>
    <row r="459" spans="1:4">
      <c r="A459" s="64"/>
      <c r="B459" s="54"/>
      <c r="C459" s="40" t="s">
        <v>711</v>
      </c>
      <c r="D459" s="40"/>
    </row>
    <row r="460" spans="1:4">
      <c r="A460" s="64"/>
      <c r="B460" s="54"/>
      <c r="C460" s="40" t="s">
        <v>712</v>
      </c>
      <c r="D460" s="40"/>
    </row>
    <row r="461" spans="1:4">
      <c r="A461" s="64"/>
      <c r="B461" s="54"/>
      <c r="C461" s="40" t="s">
        <v>713</v>
      </c>
      <c r="D461" s="40"/>
    </row>
    <row r="462" spans="1:4">
      <c r="A462" s="64"/>
      <c r="B462" s="54"/>
      <c r="C462" s="40" t="s">
        <v>714</v>
      </c>
      <c r="D462" s="40"/>
    </row>
    <row r="463" spans="1:4">
      <c r="A463" s="64"/>
      <c r="B463" s="54"/>
      <c r="C463" s="40" t="s">
        <v>715</v>
      </c>
      <c r="D463" s="40"/>
    </row>
    <row r="464" spans="1:4">
      <c r="A464" s="64"/>
      <c r="B464" s="54"/>
      <c r="C464" s="40" t="s">
        <v>716</v>
      </c>
      <c r="D464" s="40"/>
    </row>
    <row r="465" spans="1:4">
      <c r="A465" s="64"/>
      <c r="B465" s="54"/>
      <c r="C465" s="40" t="s">
        <v>717</v>
      </c>
      <c r="D465" s="40"/>
    </row>
    <row r="466" spans="1:4">
      <c r="A466" s="64"/>
      <c r="B466" s="54"/>
      <c r="C466" s="40" t="s">
        <v>718</v>
      </c>
      <c r="D466" s="40"/>
    </row>
    <row r="467" spans="1:4">
      <c r="A467" s="64"/>
      <c r="B467" s="54"/>
      <c r="C467" s="40" t="s">
        <v>719</v>
      </c>
      <c r="D467" s="40"/>
    </row>
    <row r="468" spans="1:4">
      <c r="A468" s="64"/>
      <c r="B468" s="54"/>
      <c r="C468" s="40" t="s">
        <v>720</v>
      </c>
      <c r="D468" s="40"/>
    </row>
    <row r="469" spans="1:4">
      <c r="A469" s="64"/>
      <c r="B469" s="54"/>
      <c r="C469" s="40" t="s">
        <v>721</v>
      </c>
      <c r="D469" s="40"/>
    </row>
    <row r="470" spans="1:4">
      <c r="A470" s="64"/>
      <c r="B470" s="54"/>
      <c r="C470" s="40" t="s">
        <v>722</v>
      </c>
      <c r="D470" s="40"/>
    </row>
    <row r="471" spans="1:4">
      <c r="A471" s="64"/>
      <c r="B471" s="54"/>
      <c r="C471" s="40" t="s">
        <v>723</v>
      </c>
      <c r="D471" s="40"/>
    </row>
    <row r="472" spans="1:4">
      <c r="A472" s="64"/>
      <c r="B472" s="54"/>
      <c r="C472" s="40" t="s">
        <v>724</v>
      </c>
      <c r="D472" s="40"/>
    </row>
    <row r="473" spans="1:4">
      <c r="A473" s="64"/>
      <c r="B473" s="54"/>
      <c r="C473" s="40" t="s">
        <v>725</v>
      </c>
      <c r="D473" s="40"/>
    </row>
    <row r="474" spans="1:4">
      <c r="A474" s="64"/>
      <c r="B474" s="54"/>
      <c r="C474" s="40" t="s">
        <v>726</v>
      </c>
      <c r="D474" s="40"/>
    </row>
    <row r="475" spans="1:4">
      <c r="A475" s="64"/>
      <c r="B475" s="54"/>
      <c r="C475" s="40" t="s">
        <v>727</v>
      </c>
      <c r="D475" s="40"/>
    </row>
    <row r="476" spans="1:4">
      <c r="A476" s="64"/>
      <c r="B476" s="54"/>
      <c r="C476" s="40" t="s">
        <v>728</v>
      </c>
      <c r="D476" s="40"/>
    </row>
    <row r="477" spans="1:4">
      <c r="A477" s="64"/>
      <c r="B477" s="54"/>
      <c r="C477" s="40" t="s">
        <v>729</v>
      </c>
      <c r="D477" s="40"/>
    </row>
    <row r="478" spans="1:4">
      <c r="A478" s="64"/>
      <c r="B478" s="54"/>
      <c r="C478" s="40" t="s">
        <v>730</v>
      </c>
      <c r="D478" s="40"/>
    </row>
    <row r="479" spans="1:4">
      <c r="A479" s="64"/>
      <c r="B479" s="54"/>
      <c r="C479" s="40" t="s">
        <v>731</v>
      </c>
      <c r="D479" s="40"/>
    </row>
    <row r="480" spans="1:4">
      <c r="A480" s="64"/>
      <c r="B480" s="54"/>
      <c r="C480" s="40" t="s">
        <v>732</v>
      </c>
      <c r="D480" s="40"/>
    </row>
    <row r="481" spans="1:4">
      <c r="A481" s="64"/>
      <c r="B481" s="54"/>
      <c r="C481" s="40" t="s">
        <v>733</v>
      </c>
      <c r="D481" s="40"/>
    </row>
    <row r="482" spans="1:4">
      <c r="A482" s="64"/>
      <c r="B482" s="54"/>
      <c r="C482" s="40" t="s">
        <v>734</v>
      </c>
      <c r="D482" s="40"/>
    </row>
    <row r="483" spans="1:4">
      <c r="A483" s="64"/>
      <c r="B483" s="54"/>
      <c r="C483" s="40" t="s">
        <v>735</v>
      </c>
      <c r="D483" s="40"/>
    </row>
    <row r="484" spans="1:4">
      <c r="A484" s="64"/>
      <c r="B484" s="54"/>
      <c r="C484" s="40" t="s">
        <v>736</v>
      </c>
      <c r="D484" s="40"/>
    </row>
    <row r="485" spans="1:4">
      <c r="A485" s="64"/>
      <c r="B485" s="54"/>
      <c r="C485" s="40" t="s">
        <v>737</v>
      </c>
      <c r="D485" s="40"/>
    </row>
    <row r="486" spans="1:4">
      <c r="A486" s="64"/>
      <c r="B486" s="54"/>
      <c r="C486" s="40" t="s">
        <v>738</v>
      </c>
      <c r="D486" s="40"/>
    </row>
    <row r="487" spans="1:4">
      <c r="A487" s="64"/>
      <c r="B487" s="54"/>
      <c r="C487" s="40" t="s">
        <v>739</v>
      </c>
      <c r="D487" s="40"/>
    </row>
    <row r="488" spans="1:4">
      <c r="A488" s="64"/>
      <c r="B488" s="54"/>
      <c r="C488" s="40" t="s">
        <v>740</v>
      </c>
      <c r="D488" s="40"/>
    </row>
    <row r="489" spans="1:4">
      <c r="A489" s="64"/>
      <c r="B489" s="54"/>
      <c r="C489" s="40" t="s">
        <v>86</v>
      </c>
      <c r="D489" s="40"/>
    </row>
    <row r="490" spans="1:4">
      <c r="A490" s="64"/>
      <c r="B490" s="54"/>
      <c r="C490" s="40" t="s">
        <v>741</v>
      </c>
      <c r="D490" s="40"/>
    </row>
    <row r="491" spans="1:4">
      <c r="A491" s="64"/>
      <c r="B491" s="54"/>
      <c r="C491" s="40" t="s">
        <v>742</v>
      </c>
      <c r="D491" s="40"/>
    </row>
    <row r="492" spans="1:4">
      <c r="A492" s="64"/>
      <c r="B492" s="54"/>
      <c r="C492" s="40" t="s">
        <v>743</v>
      </c>
      <c r="D492" s="40"/>
    </row>
    <row r="493" spans="1:4">
      <c r="A493" s="64"/>
      <c r="B493" s="54"/>
      <c r="C493" s="40" t="s">
        <v>744</v>
      </c>
      <c r="D493" s="40"/>
    </row>
    <row r="494" spans="1:4">
      <c r="A494" s="64"/>
      <c r="B494" s="54"/>
      <c r="C494" s="40" t="s">
        <v>745</v>
      </c>
      <c r="D494" s="40"/>
    </row>
    <row r="495" spans="1:4">
      <c r="A495" s="64"/>
      <c r="B495" s="54"/>
      <c r="C495" s="40" t="s">
        <v>746</v>
      </c>
      <c r="D495" s="40"/>
    </row>
    <row r="496" spans="1:4">
      <c r="A496" s="64"/>
      <c r="B496" s="54"/>
      <c r="C496" s="40" t="s">
        <v>747</v>
      </c>
      <c r="D496" s="40"/>
    </row>
    <row r="497" spans="1:4">
      <c r="A497" s="64"/>
      <c r="B497" s="54"/>
      <c r="C497" s="40" t="s">
        <v>748</v>
      </c>
      <c r="D497" s="40"/>
    </row>
    <row r="498" spans="1:4">
      <c r="A498" s="65"/>
      <c r="B498" s="55"/>
      <c r="C498" s="40" t="s">
        <v>578</v>
      </c>
      <c r="D498" s="40"/>
    </row>
    <row r="499" spans="1:4">
      <c r="A499" s="97"/>
      <c r="B499" s="101" t="s">
        <v>749</v>
      </c>
      <c r="C499" s="38" t="s">
        <v>448</v>
      </c>
      <c r="D499" s="38"/>
    </row>
    <row r="500" spans="1:4">
      <c r="A500" s="46"/>
      <c r="B500" s="101"/>
      <c r="C500" s="38" t="s">
        <v>750</v>
      </c>
      <c r="D500" s="38"/>
    </row>
    <row r="501" spans="1:4">
      <c r="A501" s="46"/>
      <c r="B501" s="101"/>
      <c r="C501" s="38" t="s">
        <v>751</v>
      </c>
      <c r="D501" s="38"/>
    </row>
    <row r="502" spans="1:4">
      <c r="A502" s="46"/>
      <c r="B502" s="101"/>
      <c r="C502" s="38" t="s">
        <v>752</v>
      </c>
      <c r="D502" s="38"/>
    </row>
    <row r="503" spans="1:4">
      <c r="A503" s="46"/>
      <c r="B503" s="101"/>
      <c r="C503" s="38" t="s">
        <v>753</v>
      </c>
      <c r="D503" s="38"/>
    </row>
    <row r="504" spans="1:4">
      <c r="A504" s="46"/>
      <c r="B504" s="101"/>
      <c r="C504" s="38" t="s">
        <v>754</v>
      </c>
      <c r="D504" s="38"/>
    </row>
    <row r="505" spans="1:4">
      <c r="A505" s="46"/>
      <c r="B505" s="101"/>
      <c r="C505" s="38" t="s">
        <v>755</v>
      </c>
      <c r="D505" s="38"/>
    </row>
    <row r="506" spans="1:4">
      <c r="A506" s="46"/>
      <c r="B506" s="101"/>
      <c r="C506" s="38" t="s">
        <v>756</v>
      </c>
      <c r="D506" s="38"/>
    </row>
    <row r="507" spans="1:4">
      <c r="A507" s="46"/>
      <c r="B507" s="101"/>
      <c r="C507" s="38" t="s">
        <v>757</v>
      </c>
      <c r="D507" s="38"/>
    </row>
    <row r="508" spans="1:4">
      <c r="A508" s="46"/>
      <c r="B508" s="101"/>
      <c r="C508" s="38" t="s">
        <v>758</v>
      </c>
      <c r="D508" s="38"/>
    </row>
    <row r="509" spans="1:4">
      <c r="A509" s="46"/>
      <c r="B509" s="101"/>
      <c r="C509" s="38" t="s">
        <v>759</v>
      </c>
      <c r="D509" s="38"/>
    </row>
    <row r="510" spans="1:4">
      <c r="A510" s="46"/>
      <c r="B510" s="101"/>
      <c r="C510" s="38" t="s">
        <v>760</v>
      </c>
      <c r="D510" s="38"/>
    </row>
    <row r="511" spans="1:4">
      <c r="A511" s="46"/>
      <c r="B511" s="101"/>
      <c r="C511" s="38" t="s">
        <v>761</v>
      </c>
      <c r="D511" s="38"/>
    </row>
    <row r="512" spans="1:4">
      <c r="A512" s="46"/>
      <c r="B512" s="101"/>
      <c r="C512" s="38" t="s">
        <v>494</v>
      </c>
      <c r="D512" s="38"/>
    </row>
    <row r="513" spans="1:4">
      <c r="A513" s="46"/>
      <c r="B513" s="101"/>
      <c r="C513" s="38" t="s">
        <v>86</v>
      </c>
      <c r="D513" s="38"/>
    </row>
    <row r="514" spans="1:4">
      <c r="A514" s="64"/>
      <c r="B514" s="50" t="s">
        <v>762</v>
      </c>
      <c r="C514" s="40" t="s">
        <v>350</v>
      </c>
      <c r="D514" s="40"/>
    </row>
    <row r="515" spans="1:4">
      <c r="A515" s="65"/>
      <c r="B515" s="52"/>
      <c r="C515" s="40" t="s">
        <v>144</v>
      </c>
      <c r="D515" s="40"/>
    </row>
    <row r="516" spans="1:4">
      <c r="A516" s="46"/>
      <c r="B516" s="101" t="s">
        <v>763</v>
      </c>
      <c r="C516" s="38" t="s">
        <v>764</v>
      </c>
      <c r="D516" s="38"/>
    </row>
    <row r="517" spans="1:4">
      <c r="A517" s="46"/>
      <c r="B517" s="101"/>
      <c r="C517" s="38" t="s">
        <v>765</v>
      </c>
      <c r="D517" s="38"/>
    </row>
    <row r="518" spans="1:4">
      <c r="A518" s="46"/>
      <c r="B518" s="101"/>
      <c r="C518" s="38" t="s">
        <v>766</v>
      </c>
      <c r="D518" s="38"/>
    </row>
    <row r="519" spans="1:4">
      <c r="A519" s="46"/>
      <c r="B519" s="101"/>
      <c r="C519" s="38" t="s">
        <v>767</v>
      </c>
      <c r="D519" s="38"/>
    </row>
    <row r="520" spans="1:4">
      <c r="A520" s="99"/>
      <c r="B520" s="50" t="s">
        <v>768</v>
      </c>
      <c r="C520" s="40" t="s">
        <v>769</v>
      </c>
      <c r="D520" s="40"/>
    </row>
    <row r="521" spans="1:4">
      <c r="A521" s="62"/>
      <c r="B521" s="51"/>
      <c r="C521" s="40" t="s">
        <v>770</v>
      </c>
      <c r="D521" s="40"/>
    </row>
    <row r="522" spans="1:4">
      <c r="A522" s="62"/>
      <c r="B522" s="51"/>
      <c r="C522" s="40" t="s">
        <v>771</v>
      </c>
      <c r="D522" s="40"/>
    </row>
    <row r="523" spans="1:4">
      <c r="A523" s="62"/>
      <c r="B523" s="51"/>
      <c r="C523" s="40" t="s">
        <v>772</v>
      </c>
      <c r="D523" s="40"/>
    </row>
    <row r="524" spans="1:4">
      <c r="A524" s="62"/>
      <c r="B524" s="51"/>
      <c r="C524" s="40" t="s">
        <v>773</v>
      </c>
      <c r="D524" s="40"/>
    </row>
    <row r="525" spans="1:4">
      <c r="A525" s="62"/>
      <c r="B525" s="51"/>
      <c r="C525" s="40" t="s">
        <v>774</v>
      </c>
      <c r="D525" s="40"/>
    </row>
    <row r="526" spans="1:4">
      <c r="A526" s="62"/>
      <c r="B526" s="51"/>
      <c r="C526" s="40" t="s">
        <v>775</v>
      </c>
      <c r="D526" s="40"/>
    </row>
    <row r="527" spans="1:4">
      <c r="A527" s="62"/>
      <c r="B527" s="51"/>
      <c r="C527" s="40" t="s">
        <v>776</v>
      </c>
      <c r="D527" s="40"/>
    </row>
    <row r="528" spans="1:4">
      <c r="A528" s="62"/>
      <c r="B528" s="51"/>
      <c r="C528" s="40" t="s">
        <v>777</v>
      </c>
      <c r="D528" s="40"/>
    </row>
    <row r="529" spans="1:4">
      <c r="A529" s="62"/>
      <c r="B529" s="51"/>
      <c r="C529" s="40" t="s">
        <v>758</v>
      </c>
      <c r="D529" s="40"/>
    </row>
    <row r="530" spans="1:4">
      <c r="A530" s="4"/>
      <c r="B530" s="51"/>
      <c r="C530" s="40" t="s">
        <v>778</v>
      </c>
      <c r="D530" s="40"/>
    </row>
    <row r="531" spans="1:4" ht="15">
      <c r="A531" s="62"/>
      <c r="B531" s="51"/>
      <c r="C531" s="40" t="s">
        <v>779</v>
      </c>
      <c r="D531" s="40" t="s">
        <v>780</v>
      </c>
    </row>
    <row r="532" spans="1:4" ht="15">
      <c r="A532" s="62"/>
      <c r="B532" s="51"/>
      <c r="C532" s="40" t="s">
        <v>781</v>
      </c>
      <c r="D532" s="40" t="s">
        <v>780</v>
      </c>
    </row>
    <row r="533" spans="1:4" ht="15">
      <c r="A533" s="62"/>
      <c r="B533" s="51"/>
      <c r="C533" s="40" t="s">
        <v>782</v>
      </c>
      <c r="D533" s="40" t="s">
        <v>780</v>
      </c>
    </row>
    <row r="534" spans="1:4">
      <c r="A534" s="62"/>
      <c r="B534" s="51"/>
      <c r="C534" s="40" t="s">
        <v>783</v>
      </c>
      <c r="D534" s="40"/>
    </row>
    <row r="535" spans="1:4">
      <c r="A535" s="62"/>
      <c r="B535" s="51"/>
      <c r="C535" s="40" t="s">
        <v>784</v>
      </c>
      <c r="D535" s="40"/>
    </row>
    <row r="536" spans="1:4">
      <c r="A536" s="62"/>
      <c r="B536" s="51"/>
      <c r="C536" s="40" t="s">
        <v>785</v>
      </c>
      <c r="D536" s="40"/>
    </row>
    <row r="537" spans="1:4">
      <c r="A537" s="62"/>
      <c r="B537" s="51"/>
      <c r="C537" s="40" t="s">
        <v>786</v>
      </c>
      <c r="D537" s="40"/>
    </row>
    <row r="538" spans="1:4">
      <c r="A538" s="62"/>
      <c r="B538" s="51"/>
      <c r="C538" s="40" t="s">
        <v>787</v>
      </c>
      <c r="D538" s="40"/>
    </row>
    <row r="539" spans="1:4">
      <c r="A539" s="62"/>
      <c r="B539" s="51"/>
      <c r="C539" s="40" t="s">
        <v>788</v>
      </c>
      <c r="D539" s="40"/>
    </row>
    <row r="540" spans="1:4">
      <c r="A540" s="62"/>
      <c r="B540" s="51"/>
      <c r="C540" s="40" t="s">
        <v>789</v>
      </c>
      <c r="D540" s="40"/>
    </row>
    <row r="541" spans="1:4">
      <c r="A541" s="62"/>
      <c r="B541" s="51"/>
      <c r="C541" s="40" t="s">
        <v>790</v>
      </c>
      <c r="D541" s="40"/>
    </row>
    <row r="542" spans="1:4">
      <c r="A542" s="62"/>
      <c r="B542" s="51"/>
      <c r="C542" s="40" t="s">
        <v>494</v>
      </c>
      <c r="D542" s="40"/>
    </row>
    <row r="543" spans="1:4">
      <c r="A543" s="62"/>
      <c r="B543" s="51"/>
      <c r="C543" s="40" t="s">
        <v>86</v>
      </c>
      <c r="D543" s="41"/>
    </row>
    <row r="544" spans="1:4">
      <c r="A544" s="68"/>
      <c r="B544" s="42" t="s">
        <v>791</v>
      </c>
      <c r="C544" s="38" t="s">
        <v>350</v>
      </c>
      <c r="D544" s="38"/>
    </row>
    <row r="545" spans="1:4">
      <c r="A545" s="69"/>
      <c r="B545" s="100"/>
      <c r="C545" s="38" t="s">
        <v>144</v>
      </c>
      <c r="D545" s="38"/>
    </row>
    <row r="546" spans="1:4">
      <c r="A546" s="62"/>
      <c r="B546" s="50" t="s">
        <v>792</v>
      </c>
      <c r="C546" s="40" t="s">
        <v>793</v>
      </c>
      <c r="D546" s="40"/>
    </row>
    <row r="547" spans="1:4">
      <c r="A547" s="62"/>
      <c r="B547" s="51"/>
      <c r="C547" s="40" t="s">
        <v>794</v>
      </c>
      <c r="D547" s="40"/>
    </row>
    <row r="548" spans="1:4">
      <c r="A548" s="62"/>
      <c r="B548" s="51"/>
      <c r="C548" s="40" t="s">
        <v>795</v>
      </c>
      <c r="D548" s="40"/>
    </row>
    <row r="549" spans="1:4">
      <c r="A549" s="62"/>
      <c r="B549" s="51"/>
      <c r="C549" s="40" t="s">
        <v>796</v>
      </c>
      <c r="D549" s="40"/>
    </row>
    <row r="550" spans="1:4">
      <c r="A550" s="62"/>
      <c r="B550" s="51"/>
      <c r="C550" s="40" t="s">
        <v>797</v>
      </c>
      <c r="D550" s="40"/>
    </row>
    <row r="551" spans="1:4">
      <c r="A551" s="68"/>
      <c r="B551" s="42" t="s">
        <v>798</v>
      </c>
      <c r="C551" s="38" t="s">
        <v>350</v>
      </c>
      <c r="D551" s="38"/>
    </row>
    <row r="552" spans="1:4">
      <c r="A552" s="69"/>
      <c r="B552" s="100"/>
      <c r="C552" s="38" t="s">
        <v>144</v>
      </c>
      <c r="D552" s="38"/>
    </row>
    <row r="553" spans="1:4">
      <c r="A553" s="47"/>
      <c r="B553" s="50" t="s">
        <v>799</v>
      </c>
      <c r="C553" s="40" t="s">
        <v>800</v>
      </c>
      <c r="D553" s="40"/>
    </row>
    <row r="554" spans="1:4">
      <c r="A554" s="48"/>
      <c r="B554" s="48"/>
      <c r="C554" s="40" t="s">
        <v>801</v>
      </c>
      <c r="D554" s="40"/>
    </row>
    <row r="555" spans="1:4">
      <c r="A555" s="48"/>
      <c r="B555" s="48"/>
      <c r="C555" s="40" t="s">
        <v>802</v>
      </c>
      <c r="D555" s="40"/>
    </row>
    <row r="556" spans="1:4">
      <c r="A556" s="48"/>
      <c r="B556" s="48"/>
      <c r="C556" s="40" t="s">
        <v>803</v>
      </c>
      <c r="D556" s="40"/>
    </row>
    <row r="557" spans="1:4">
      <c r="A557" s="48"/>
      <c r="B557" s="48"/>
      <c r="C557" s="40" t="s">
        <v>804</v>
      </c>
      <c r="D557" s="40"/>
    </row>
    <row r="558" spans="1:4">
      <c r="A558" s="48"/>
      <c r="B558" s="48"/>
      <c r="C558" s="40" t="s">
        <v>805</v>
      </c>
      <c r="D558" s="40"/>
    </row>
    <row r="559" spans="1:4">
      <c r="A559" s="48"/>
      <c r="B559" s="48"/>
      <c r="C559" s="40" t="s">
        <v>806</v>
      </c>
      <c r="D559" s="40"/>
    </row>
    <row r="560" spans="1:4">
      <c r="A560" s="48"/>
      <c r="B560" s="48"/>
      <c r="C560" s="40" t="s">
        <v>807</v>
      </c>
      <c r="D560" s="40"/>
    </row>
    <row r="561" spans="1:4">
      <c r="A561" s="48"/>
      <c r="B561" s="48"/>
      <c r="C561" s="40" t="s">
        <v>808</v>
      </c>
      <c r="D561" s="40"/>
    </row>
    <row r="562" spans="1:4">
      <c r="A562" s="48"/>
      <c r="B562" s="48"/>
      <c r="C562" s="40" t="s">
        <v>809</v>
      </c>
      <c r="D562" s="40"/>
    </row>
    <row r="563" spans="1:4">
      <c r="A563" s="48"/>
      <c r="B563" s="48"/>
      <c r="C563" s="40" t="s">
        <v>810</v>
      </c>
      <c r="D563" s="40"/>
    </row>
    <row r="564" spans="1:4">
      <c r="A564" s="48"/>
      <c r="B564" s="48"/>
      <c r="C564" s="40" t="s">
        <v>811</v>
      </c>
      <c r="D564" s="40"/>
    </row>
    <row r="565" spans="1:4">
      <c r="A565" s="48"/>
      <c r="B565" s="48"/>
      <c r="C565" s="40" t="s">
        <v>812</v>
      </c>
      <c r="D565" s="40"/>
    </row>
    <row r="566" spans="1:4">
      <c r="A566" s="48"/>
      <c r="B566" s="48"/>
      <c r="C566" s="40" t="s">
        <v>813</v>
      </c>
      <c r="D566" s="40"/>
    </row>
    <row r="567" spans="1:4">
      <c r="A567" s="48"/>
      <c r="B567" s="48"/>
      <c r="C567" s="40" t="s">
        <v>814</v>
      </c>
      <c r="D567" s="40"/>
    </row>
    <row r="568" spans="1:4">
      <c r="A568" s="48"/>
      <c r="B568" s="48"/>
      <c r="C568" s="40" t="s">
        <v>815</v>
      </c>
      <c r="D568" s="40"/>
    </row>
    <row r="569" spans="1:4">
      <c r="A569" s="48"/>
      <c r="B569" s="48"/>
      <c r="C569" s="40" t="s">
        <v>816</v>
      </c>
      <c r="D569" s="40"/>
    </row>
    <row r="570" spans="1:4">
      <c r="A570" s="48"/>
      <c r="B570" s="48"/>
      <c r="C570" s="40" t="s">
        <v>817</v>
      </c>
      <c r="D570" s="40"/>
    </row>
    <row r="571" spans="1:4">
      <c r="A571" s="48"/>
      <c r="B571" s="48"/>
      <c r="C571" s="40" t="s">
        <v>818</v>
      </c>
      <c r="D571" s="40"/>
    </row>
    <row r="572" spans="1:4">
      <c r="A572" s="48"/>
      <c r="B572" s="48"/>
      <c r="C572" s="40" t="s">
        <v>819</v>
      </c>
      <c r="D572" s="40"/>
    </row>
    <row r="573" spans="1:4">
      <c r="A573" s="48"/>
      <c r="B573" s="48"/>
      <c r="C573" s="40" t="s">
        <v>820</v>
      </c>
      <c r="D573" s="40"/>
    </row>
    <row r="574" spans="1:4">
      <c r="A574" s="48"/>
      <c r="B574" s="48"/>
      <c r="C574" s="40" t="s">
        <v>821</v>
      </c>
      <c r="D574" s="40"/>
    </row>
    <row r="575" spans="1:4">
      <c r="A575" s="48"/>
      <c r="B575" s="48"/>
      <c r="C575" s="40" t="s">
        <v>822</v>
      </c>
      <c r="D575" s="40"/>
    </row>
    <row r="576" spans="1:4">
      <c r="A576" s="48"/>
      <c r="B576" s="48"/>
      <c r="C576" s="40" t="s">
        <v>823</v>
      </c>
      <c r="D576" s="40"/>
    </row>
    <row r="577" spans="1:4">
      <c r="A577" s="48"/>
      <c r="B577" s="48"/>
      <c r="C577" s="40" t="s">
        <v>824</v>
      </c>
      <c r="D577" s="40"/>
    </row>
    <row r="578" spans="1:4">
      <c r="A578" s="48"/>
      <c r="B578" s="48"/>
      <c r="C578" s="40" t="s">
        <v>825</v>
      </c>
      <c r="D578" s="40"/>
    </row>
    <row r="579" spans="1:4">
      <c r="A579" s="48"/>
      <c r="B579" s="48"/>
      <c r="C579" s="40" t="s">
        <v>826</v>
      </c>
      <c r="D579" s="40"/>
    </row>
    <row r="580" spans="1:4">
      <c r="A580" s="48"/>
      <c r="B580" s="48"/>
      <c r="C580" s="40" t="s">
        <v>827</v>
      </c>
      <c r="D580" s="40"/>
    </row>
    <row r="581" spans="1:4">
      <c r="A581" s="48"/>
      <c r="B581" s="48"/>
      <c r="C581" s="40" t="s">
        <v>828</v>
      </c>
      <c r="D581" s="40"/>
    </row>
    <row r="582" spans="1:4">
      <c r="A582" s="48"/>
      <c r="B582" s="48"/>
      <c r="C582" s="40" t="s">
        <v>829</v>
      </c>
      <c r="D582" s="40"/>
    </row>
    <row r="583" spans="1:4">
      <c r="A583" s="48"/>
      <c r="B583" s="48"/>
      <c r="C583" s="40" t="s">
        <v>830</v>
      </c>
      <c r="D583" s="40"/>
    </row>
    <row r="584" spans="1:4">
      <c r="A584" s="48"/>
      <c r="B584" s="48"/>
      <c r="C584" s="40" t="s">
        <v>831</v>
      </c>
      <c r="D584" s="40"/>
    </row>
    <row r="585" spans="1:4">
      <c r="A585" s="48"/>
      <c r="B585" s="48"/>
      <c r="C585" s="40" t="s">
        <v>832</v>
      </c>
      <c r="D585" s="40"/>
    </row>
    <row r="586" spans="1:4">
      <c r="A586" s="48"/>
      <c r="B586" s="48"/>
      <c r="C586" s="40" t="s">
        <v>833</v>
      </c>
      <c r="D586" s="40"/>
    </row>
    <row r="587" spans="1:4">
      <c r="A587" s="48"/>
      <c r="B587" s="48"/>
      <c r="C587" s="40" t="s">
        <v>834</v>
      </c>
      <c r="D587" s="40"/>
    </row>
    <row r="588" spans="1:4">
      <c r="A588" s="48"/>
      <c r="B588" s="48"/>
      <c r="C588" s="40" t="s">
        <v>835</v>
      </c>
      <c r="D588" s="40"/>
    </row>
    <row r="589" spans="1:4">
      <c r="A589" s="48"/>
      <c r="B589" s="48"/>
      <c r="C589" s="40" t="s">
        <v>836</v>
      </c>
      <c r="D589" s="40"/>
    </row>
    <row r="590" spans="1:4">
      <c r="A590" s="48"/>
      <c r="B590" s="48"/>
      <c r="C590" s="40" t="s">
        <v>837</v>
      </c>
      <c r="D590" s="40"/>
    </row>
    <row r="591" spans="1:4">
      <c r="A591" s="49"/>
      <c r="B591" s="49"/>
      <c r="C591" s="40" t="s">
        <v>838</v>
      </c>
      <c r="D591" s="40"/>
    </row>
    <row r="592" spans="1:4">
      <c r="A592" s="46"/>
      <c r="B592" s="101" t="s">
        <v>132</v>
      </c>
      <c r="C592" s="38" t="s">
        <v>839</v>
      </c>
      <c r="D592" s="38"/>
    </row>
    <row r="593" spans="1:4">
      <c r="A593" s="46"/>
      <c r="B593" s="101"/>
      <c r="C593" s="38" t="s">
        <v>840</v>
      </c>
      <c r="D593" s="38"/>
    </row>
    <row r="594" spans="1:4">
      <c r="A594" s="46"/>
      <c r="B594" s="101"/>
      <c r="C594" s="38" t="s">
        <v>86</v>
      </c>
      <c r="D594" s="38"/>
    </row>
    <row r="595" spans="1:4">
      <c r="A595" s="50"/>
      <c r="B595" s="56" t="s">
        <v>841</v>
      </c>
      <c r="C595" s="40" t="s">
        <v>350</v>
      </c>
      <c r="D595" s="40"/>
    </row>
    <row r="596" spans="1:4">
      <c r="A596" s="102"/>
      <c r="B596" s="104"/>
      <c r="C596" s="103" t="s">
        <v>144</v>
      </c>
      <c r="D596" s="40"/>
    </row>
    <row r="597" spans="1:4">
      <c r="A597" s="97"/>
      <c r="B597" s="97" t="s">
        <v>842</v>
      </c>
      <c r="C597" s="38" t="s">
        <v>843</v>
      </c>
      <c r="D597" s="38"/>
    </row>
    <row r="598" spans="1:4">
      <c r="A598" s="46"/>
      <c r="B598" s="46"/>
      <c r="C598" s="38" t="s">
        <v>844</v>
      </c>
      <c r="D598" s="38"/>
    </row>
    <row r="599" spans="1:4">
      <c r="A599" s="46"/>
      <c r="B599" s="46"/>
      <c r="C599" s="38" t="s">
        <v>845</v>
      </c>
      <c r="D599" s="38"/>
    </row>
    <row r="600" spans="1:4">
      <c r="A600" s="46"/>
      <c r="B600" s="46"/>
      <c r="C600" s="38" t="s">
        <v>846</v>
      </c>
      <c r="D600" s="38"/>
    </row>
    <row r="601" spans="1:4">
      <c r="A601" s="46"/>
      <c r="B601" s="46"/>
      <c r="C601" s="38" t="s">
        <v>847</v>
      </c>
      <c r="D601" s="38"/>
    </row>
    <row r="602" spans="1:4">
      <c r="A602" s="46"/>
      <c r="B602" s="46"/>
      <c r="C602" s="38" t="s">
        <v>848</v>
      </c>
      <c r="D602" s="38"/>
    </row>
    <row r="603" spans="1:4">
      <c r="A603" s="46"/>
      <c r="B603" s="46"/>
      <c r="C603" s="38" t="s">
        <v>849</v>
      </c>
      <c r="D603" s="38"/>
    </row>
    <row r="604" spans="1:4">
      <c r="A604" s="46"/>
      <c r="B604" s="46"/>
      <c r="C604" s="38" t="s">
        <v>850</v>
      </c>
      <c r="D604" s="38"/>
    </row>
    <row r="605" spans="1:4">
      <c r="A605" s="46"/>
      <c r="B605" s="46"/>
      <c r="C605" s="38" t="s">
        <v>851</v>
      </c>
      <c r="D605" s="38"/>
    </row>
    <row r="606" spans="1:4">
      <c r="A606" s="46"/>
      <c r="B606" s="46"/>
      <c r="C606" s="38" t="s">
        <v>852</v>
      </c>
      <c r="D606" s="38"/>
    </row>
    <row r="607" spans="1:4">
      <c r="A607" s="46"/>
      <c r="B607" s="46"/>
      <c r="C607" s="38" t="s">
        <v>853</v>
      </c>
      <c r="D607" s="38"/>
    </row>
    <row r="608" spans="1:4">
      <c r="A608" s="46"/>
      <c r="B608" s="46"/>
      <c r="C608" s="38" t="s">
        <v>854</v>
      </c>
      <c r="D608" s="38"/>
    </row>
    <row r="609" spans="1:4">
      <c r="A609" s="46"/>
      <c r="B609" s="46"/>
      <c r="C609" s="38" t="s">
        <v>855</v>
      </c>
      <c r="D609" s="38"/>
    </row>
    <row r="610" spans="1:4">
      <c r="A610" s="46"/>
      <c r="B610" s="46"/>
      <c r="C610" s="38" t="s">
        <v>856</v>
      </c>
      <c r="D610" s="38"/>
    </row>
    <row r="611" spans="1:4">
      <c r="A611" s="46"/>
      <c r="B611" s="46"/>
      <c r="C611" s="38" t="s">
        <v>857</v>
      </c>
      <c r="D611" s="38"/>
    </row>
    <row r="612" spans="1:4">
      <c r="A612" s="46"/>
      <c r="B612" s="46"/>
      <c r="C612" s="38" t="s">
        <v>858</v>
      </c>
      <c r="D612" s="38"/>
    </row>
    <row r="613" spans="1:4">
      <c r="A613" s="46"/>
      <c r="B613" s="46"/>
      <c r="C613" s="38" t="s">
        <v>859</v>
      </c>
      <c r="D613" s="38"/>
    </row>
    <row r="614" spans="1:4">
      <c r="A614" s="46"/>
      <c r="B614" s="46"/>
      <c r="C614" s="38" t="s">
        <v>860</v>
      </c>
      <c r="D614" s="38"/>
    </row>
    <row r="615" spans="1:4">
      <c r="A615" s="46"/>
      <c r="B615" s="46"/>
      <c r="C615" s="38" t="s">
        <v>861</v>
      </c>
      <c r="D615" s="38"/>
    </row>
    <row r="616" spans="1:4">
      <c r="A616" s="46"/>
      <c r="B616" s="46"/>
      <c r="C616" s="38" t="s">
        <v>862</v>
      </c>
      <c r="D616" s="38"/>
    </row>
    <row r="617" spans="1:4">
      <c r="A617" s="46"/>
      <c r="B617" s="46"/>
      <c r="C617" s="38" t="s">
        <v>863</v>
      </c>
      <c r="D617" s="38"/>
    </row>
    <row r="618" spans="1:4">
      <c r="A618" s="46"/>
      <c r="B618" s="46"/>
      <c r="C618" s="38" t="s">
        <v>864</v>
      </c>
      <c r="D618" s="38"/>
    </row>
    <row r="619" spans="1:4">
      <c r="A619" s="46"/>
      <c r="B619" s="46"/>
      <c r="C619" s="38" t="s">
        <v>865</v>
      </c>
      <c r="D619" s="38"/>
    </row>
    <row r="620" spans="1:4">
      <c r="A620" s="46"/>
      <c r="B620" s="46"/>
      <c r="C620" s="38" t="s">
        <v>578</v>
      </c>
      <c r="D620" s="38"/>
    </row>
    <row r="621" spans="1:4">
      <c r="A621" s="46"/>
      <c r="B621" s="46"/>
      <c r="C621" s="38" t="s">
        <v>866</v>
      </c>
      <c r="D621" s="38"/>
    </row>
    <row r="622" spans="1:4">
      <c r="A622" s="50"/>
      <c r="B622" s="50" t="s">
        <v>163</v>
      </c>
      <c r="C622" s="40" t="s">
        <v>867</v>
      </c>
      <c r="D622" s="40"/>
    </row>
    <row r="623" spans="1:4">
      <c r="A623" s="51"/>
      <c r="B623" s="51"/>
      <c r="C623" s="40" t="s">
        <v>868</v>
      </c>
      <c r="D623" s="40"/>
    </row>
    <row r="624" spans="1:4">
      <c r="A624" s="51"/>
      <c r="B624" s="51"/>
      <c r="C624" s="40" t="s">
        <v>869</v>
      </c>
      <c r="D624" s="40"/>
    </row>
    <row r="625" spans="1:4">
      <c r="A625" s="51"/>
      <c r="B625" s="51"/>
      <c r="C625" s="40" t="s">
        <v>870</v>
      </c>
      <c r="D625" s="40"/>
    </row>
    <row r="626" spans="1:4">
      <c r="A626" s="51"/>
      <c r="B626" s="51"/>
      <c r="C626" s="40" t="s">
        <v>871</v>
      </c>
      <c r="D626" s="40"/>
    </row>
    <row r="627" spans="1:4">
      <c r="A627" s="51"/>
      <c r="B627" s="51"/>
      <c r="C627" s="40" t="s">
        <v>872</v>
      </c>
      <c r="D627" s="40"/>
    </row>
    <row r="628" spans="1:4">
      <c r="A628" s="51"/>
      <c r="B628" s="51"/>
      <c r="C628" s="40" t="s">
        <v>873</v>
      </c>
      <c r="D628" s="40"/>
    </row>
    <row r="629" spans="1:4">
      <c r="A629" s="51"/>
      <c r="B629" s="51"/>
      <c r="C629" s="40" t="s">
        <v>470</v>
      </c>
      <c r="D629" s="40"/>
    </row>
    <row r="630" spans="1:4">
      <c r="A630" s="51"/>
      <c r="B630" s="51"/>
      <c r="C630" s="40" t="s">
        <v>874</v>
      </c>
      <c r="D630" s="40"/>
    </row>
    <row r="631" spans="1:4">
      <c r="A631" s="51"/>
      <c r="B631" s="51"/>
      <c r="C631" s="40" t="s">
        <v>875</v>
      </c>
      <c r="D631" s="40"/>
    </row>
    <row r="632" spans="1:4">
      <c r="A632" s="51"/>
      <c r="B632" s="51"/>
      <c r="C632" s="40" t="s">
        <v>876</v>
      </c>
      <c r="D632" s="40"/>
    </row>
    <row r="633" spans="1:4">
      <c r="A633" s="52"/>
      <c r="B633" s="52"/>
      <c r="C633" s="40" t="s">
        <v>86</v>
      </c>
      <c r="D633" s="40"/>
    </row>
    <row r="634" spans="1:4">
      <c r="A634" s="46"/>
      <c r="B634" s="101" t="s">
        <v>164</v>
      </c>
      <c r="C634" s="38" t="s">
        <v>877</v>
      </c>
      <c r="D634" s="38" t="s">
        <v>878</v>
      </c>
    </row>
    <row r="635" spans="1:4">
      <c r="A635" s="46"/>
      <c r="B635" s="101"/>
      <c r="C635" s="38" t="s">
        <v>879</v>
      </c>
      <c r="D635" s="38" t="s">
        <v>880</v>
      </c>
    </row>
    <row r="636" spans="1:4">
      <c r="A636" s="46"/>
      <c r="B636" s="101"/>
      <c r="C636" s="38" t="s">
        <v>881</v>
      </c>
      <c r="D636" s="38" t="s">
        <v>882</v>
      </c>
    </row>
    <row r="637" spans="1:4">
      <c r="A637" s="46"/>
      <c r="B637" s="101"/>
      <c r="C637" s="38" t="s">
        <v>883</v>
      </c>
      <c r="D637" s="38" t="s">
        <v>884</v>
      </c>
    </row>
    <row r="638" spans="1:4">
      <c r="A638" s="46"/>
      <c r="B638" s="101"/>
      <c r="C638" s="38" t="s">
        <v>885</v>
      </c>
      <c r="D638" s="38" t="s">
        <v>886</v>
      </c>
    </row>
    <row r="639" spans="1:4">
      <c r="A639" s="46"/>
      <c r="B639" s="101"/>
      <c r="C639" s="38" t="s">
        <v>887</v>
      </c>
      <c r="D639" s="38" t="s">
        <v>888</v>
      </c>
    </row>
    <row r="640" spans="1:4">
      <c r="A640" s="46"/>
      <c r="B640" s="101"/>
      <c r="C640" s="38" t="s">
        <v>889</v>
      </c>
      <c r="D640" s="38" t="s">
        <v>890</v>
      </c>
    </row>
    <row r="641" spans="1:4">
      <c r="A641" s="46"/>
      <c r="B641" s="101"/>
      <c r="C641" s="38" t="s">
        <v>891</v>
      </c>
      <c r="D641" s="38" t="s">
        <v>891</v>
      </c>
    </row>
    <row r="642" spans="1:4">
      <c r="A642" s="46"/>
      <c r="B642" s="101"/>
      <c r="C642" s="38" t="s">
        <v>86</v>
      </c>
      <c r="D642" s="38"/>
    </row>
    <row r="643" spans="1:4">
      <c r="A643" s="53"/>
      <c r="B643" s="53" t="s">
        <v>892</v>
      </c>
      <c r="C643" s="40" t="s">
        <v>893</v>
      </c>
      <c r="D643" s="40" t="s">
        <v>894</v>
      </c>
    </row>
    <row r="644" spans="1:4">
      <c r="A644" s="54"/>
      <c r="B644" s="54"/>
      <c r="C644" s="40" t="s">
        <v>895</v>
      </c>
      <c r="D644" s="40" t="s">
        <v>896</v>
      </c>
    </row>
    <row r="645" spans="1:4">
      <c r="A645" s="54"/>
      <c r="B645" s="54"/>
      <c r="C645" s="40" t="s">
        <v>897</v>
      </c>
      <c r="D645" s="40" t="s">
        <v>898</v>
      </c>
    </row>
    <row r="646" spans="1:4">
      <c r="A646" s="54"/>
      <c r="B646" s="54"/>
      <c r="C646" s="40" t="s">
        <v>899</v>
      </c>
      <c r="D646" s="40" t="s">
        <v>900</v>
      </c>
    </row>
    <row r="647" spans="1:4">
      <c r="A647" s="54"/>
      <c r="B647" s="54"/>
      <c r="C647" s="40" t="s">
        <v>901</v>
      </c>
      <c r="D647" s="40"/>
    </row>
    <row r="648" spans="1:4">
      <c r="A648" s="55"/>
      <c r="B648" s="55"/>
      <c r="C648" s="40" t="s">
        <v>86</v>
      </c>
      <c r="D648" s="40"/>
    </row>
    <row r="649" spans="1:4">
      <c r="A649" s="46"/>
      <c r="B649" s="101" t="s">
        <v>155</v>
      </c>
      <c r="C649" s="38" t="s">
        <v>902</v>
      </c>
      <c r="D649" s="38"/>
    </row>
    <row r="650" spans="1:4">
      <c r="A650" s="46"/>
      <c r="B650" s="101"/>
      <c r="C650" s="38" t="s">
        <v>903</v>
      </c>
      <c r="D650" s="38"/>
    </row>
    <row r="651" spans="1:4">
      <c r="A651" s="46"/>
      <c r="B651" s="101"/>
      <c r="C651" s="38" t="s">
        <v>904</v>
      </c>
      <c r="D651" s="38"/>
    </row>
    <row r="652" spans="1:4">
      <c r="A652" s="46"/>
      <c r="B652" s="101"/>
      <c r="C652" s="38" t="s">
        <v>905</v>
      </c>
      <c r="D652" s="38"/>
    </row>
    <row r="653" spans="1:4">
      <c r="A653" s="46"/>
      <c r="B653" s="101"/>
      <c r="C653" s="38" t="s">
        <v>86</v>
      </c>
      <c r="D653" s="38"/>
    </row>
    <row r="654" spans="1:4">
      <c r="A654" s="53"/>
      <c r="B654" s="53" t="s">
        <v>156</v>
      </c>
      <c r="C654" s="40" t="s">
        <v>906</v>
      </c>
      <c r="D654" s="40"/>
    </row>
    <row r="655" spans="1:4">
      <c r="A655" s="54"/>
      <c r="B655" s="54"/>
      <c r="C655" s="40" t="s">
        <v>187</v>
      </c>
      <c r="D655" s="40"/>
    </row>
    <row r="656" spans="1:4">
      <c r="A656" s="46"/>
      <c r="B656" s="101" t="s">
        <v>22</v>
      </c>
      <c r="C656" s="38" t="s">
        <v>36</v>
      </c>
      <c r="D656" s="38"/>
    </row>
    <row r="657" spans="1:4">
      <c r="A657" s="46"/>
      <c r="B657" s="101"/>
      <c r="C657" s="38" t="s">
        <v>907</v>
      </c>
      <c r="D657" s="38"/>
    </row>
    <row r="658" spans="1:4">
      <c r="A658" s="53"/>
      <c r="B658" s="53" t="s">
        <v>908</v>
      </c>
      <c r="C658" s="40" t="s">
        <v>909</v>
      </c>
      <c r="D658" s="40"/>
    </row>
    <row r="659" spans="1:4">
      <c r="A659" s="54"/>
      <c r="B659" s="54"/>
      <c r="C659" s="40" t="s">
        <v>910</v>
      </c>
      <c r="D659" s="40"/>
    </row>
    <row r="660" spans="1:4">
      <c r="A660" s="54"/>
      <c r="B660" s="54"/>
      <c r="C660" s="40" t="s">
        <v>911</v>
      </c>
      <c r="D660" s="40"/>
    </row>
    <row r="661" spans="1:4">
      <c r="A661" s="54"/>
      <c r="B661" s="54"/>
      <c r="C661" s="40" t="s">
        <v>912</v>
      </c>
      <c r="D661" s="40"/>
    </row>
    <row r="662" spans="1:4">
      <c r="A662" s="54"/>
      <c r="B662" s="54"/>
      <c r="C662" s="40" t="s">
        <v>913</v>
      </c>
      <c r="D662" s="40"/>
    </row>
    <row r="663" spans="1:4">
      <c r="A663" s="54"/>
      <c r="B663" s="54"/>
      <c r="C663" s="40" t="s">
        <v>914</v>
      </c>
      <c r="D663" s="40"/>
    </row>
    <row r="664" spans="1:4">
      <c r="A664" s="54"/>
      <c r="B664" s="54"/>
      <c r="C664" s="40" t="s">
        <v>86</v>
      </c>
      <c r="D664" s="40"/>
    </row>
    <row r="665" spans="1:4">
      <c r="A665" s="55"/>
      <c r="B665" s="55"/>
      <c r="C665" s="40" t="s">
        <v>915</v>
      </c>
      <c r="D665" s="40"/>
    </row>
    <row r="666" spans="1:4">
      <c r="A666" s="46"/>
      <c r="B666" s="101" t="s">
        <v>916</v>
      </c>
      <c r="C666" s="38" t="s">
        <v>917</v>
      </c>
      <c r="D666" s="38"/>
    </row>
    <row r="667" spans="1:4">
      <c r="A667" s="46"/>
      <c r="B667" s="101"/>
      <c r="C667" s="38" t="s">
        <v>918</v>
      </c>
      <c r="D667" s="38"/>
    </row>
    <row r="668" spans="1:4">
      <c r="A668" s="53"/>
      <c r="B668" s="53" t="s">
        <v>919</v>
      </c>
      <c r="C668" s="40" t="s">
        <v>920</v>
      </c>
      <c r="D668" s="40"/>
    </row>
    <row r="669" spans="1:4">
      <c r="A669" s="54"/>
      <c r="B669" s="54"/>
      <c r="C669" s="40" t="s">
        <v>921</v>
      </c>
      <c r="D669" s="40"/>
    </row>
    <row r="670" spans="1:4">
      <c r="A670" s="54"/>
      <c r="B670" s="54"/>
      <c r="C670" s="40" t="s">
        <v>922</v>
      </c>
      <c r="D670" s="40"/>
    </row>
    <row r="671" spans="1:4">
      <c r="A671" s="54"/>
      <c r="B671" s="54"/>
      <c r="C671" s="40" t="s">
        <v>923</v>
      </c>
      <c r="D671" s="40"/>
    </row>
    <row r="672" spans="1:4">
      <c r="A672" s="54"/>
      <c r="B672" s="54"/>
      <c r="C672" s="40" t="s">
        <v>924</v>
      </c>
      <c r="D672" s="40"/>
    </row>
    <row r="673" spans="1:4">
      <c r="A673" s="54"/>
      <c r="B673" s="54"/>
      <c r="C673" s="40" t="s">
        <v>925</v>
      </c>
      <c r="D673" s="40"/>
    </row>
    <row r="674" spans="1:4">
      <c r="A674" s="54"/>
      <c r="B674" s="54"/>
      <c r="C674" s="40" t="s">
        <v>926</v>
      </c>
      <c r="D674" s="40"/>
    </row>
    <row r="675" spans="1:4">
      <c r="A675" s="54"/>
      <c r="B675" s="54"/>
      <c r="C675" s="40" t="s">
        <v>927</v>
      </c>
      <c r="D675" s="40"/>
    </row>
    <row r="676" spans="1:4">
      <c r="A676" s="54"/>
      <c r="B676" s="54"/>
      <c r="C676" s="40" t="s">
        <v>928</v>
      </c>
      <c r="D676" s="40"/>
    </row>
    <row r="677" spans="1:4">
      <c r="A677" s="54"/>
      <c r="B677" s="54"/>
      <c r="C677" s="40" t="s">
        <v>929</v>
      </c>
      <c r="D677" s="40"/>
    </row>
    <row r="678" spans="1:4">
      <c r="A678" s="54"/>
      <c r="B678" s="54"/>
      <c r="C678" s="40" t="s">
        <v>578</v>
      </c>
      <c r="D678" s="40"/>
    </row>
    <row r="679" spans="1:4">
      <c r="A679" s="55"/>
      <c r="B679" s="55"/>
      <c r="C679" s="40" t="s">
        <v>915</v>
      </c>
      <c r="D679" s="40"/>
    </row>
    <row r="680" spans="1:4">
      <c r="A680" s="75"/>
      <c r="B680" s="75" t="s">
        <v>930</v>
      </c>
      <c r="C680" s="38" t="s">
        <v>909</v>
      </c>
      <c r="D680" s="38"/>
    </row>
    <row r="681" spans="1:4">
      <c r="A681" s="77"/>
      <c r="B681" s="77"/>
      <c r="C681" s="38" t="s">
        <v>910</v>
      </c>
      <c r="D681" s="38"/>
    </row>
    <row r="682" spans="1:4">
      <c r="A682" s="77"/>
      <c r="B682" s="77"/>
      <c r="C682" s="38" t="s">
        <v>911</v>
      </c>
      <c r="D682" s="38"/>
    </row>
    <row r="683" spans="1:4">
      <c r="A683" s="77"/>
      <c r="B683" s="77"/>
      <c r="C683" s="38" t="s">
        <v>912</v>
      </c>
      <c r="D683" s="38"/>
    </row>
    <row r="684" spans="1:4">
      <c r="A684" s="77"/>
      <c r="B684" s="77"/>
      <c r="C684" s="38" t="s">
        <v>913</v>
      </c>
      <c r="D684" s="38"/>
    </row>
    <row r="685" spans="1:4">
      <c r="A685" s="77"/>
      <c r="B685" s="77"/>
      <c r="C685" s="38" t="s">
        <v>914</v>
      </c>
      <c r="D685" s="38"/>
    </row>
    <row r="686" spans="1:4">
      <c r="A686" s="77"/>
      <c r="B686" s="77"/>
      <c r="C686" s="38" t="s">
        <v>86</v>
      </c>
      <c r="D686" s="38"/>
    </row>
    <row r="687" spans="1:4">
      <c r="A687" s="77"/>
      <c r="B687" s="77"/>
      <c r="C687" s="38" t="s">
        <v>915</v>
      </c>
      <c r="D687" s="38"/>
    </row>
    <row r="688" spans="1:4">
      <c r="A688" s="53"/>
      <c r="B688" s="50" t="s">
        <v>931</v>
      </c>
      <c r="C688" s="40" t="s">
        <v>932</v>
      </c>
      <c r="D688" s="40"/>
    </row>
    <row r="689" spans="1:4">
      <c r="A689" s="54"/>
      <c r="B689" s="52"/>
      <c r="C689" s="40" t="s">
        <v>933</v>
      </c>
      <c r="D689" s="40"/>
    </row>
    <row r="690" spans="1:4">
      <c r="A690" s="75"/>
      <c r="B690" s="75" t="s">
        <v>934</v>
      </c>
      <c r="C690" s="38" t="s">
        <v>935</v>
      </c>
      <c r="D690" s="38"/>
    </row>
    <row r="691" spans="1:4">
      <c r="A691" s="77"/>
      <c r="B691" s="77"/>
      <c r="C691" s="38" t="s">
        <v>936</v>
      </c>
      <c r="D691" s="38"/>
    </row>
    <row r="692" spans="1:4">
      <c r="A692" s="53"/>
      <c r="B692" s="53" t="s">
        <v>937</v>
      </c>
      <c r="C692" s="40" t="s">
        <v>938</v>
      </c>
      <c r="D692" s="40"/>
    </row>
    <row r="693" spans="1:4">
      <c r="A693" s="54"/>
      <c r="B693" s="54"/>
      <c r="C693" s="40" t="s">
        <v>755</v>
      </c>
      <c r="D693" s="40"/>
    </row>
    <row r="694" spans="1:4">
      <c r="A694" s="54"/>
      <c r="B694" s="54"/>
      <c r="C694" s="40" t="s">
        <v>939</v>
      </c>
      <c r="D694" s="40"/>
    </row>
    <row r="695" spans="1:4">
      <c r="A695" s="54"/>
      <c r="B695" s="54"/>
      <c r="C695" s="40" t="s">
        <v>940</v>
      </c>
      <c r="D695" s="40"/>
    </row>
    <row r="696" spans="1:4">
      <c r="A696" s="54"/>
      <c r="B696" s="54"/>
      <c r="C696" s="40" t="s">
        <v>941</v>
      </c>
      <c r="D696" s="40"/>
    </row>
    <row r="697" spans="1:4">
      <c r="A697" s="54"/>
      <c r="B697" s="54"/>
      <c r="C697" s="40" t="s">
        <v>154</v>
      </c>
      <c r="D697" s="40"/>
    </row>
    <row r="698" spans="1:4">
      <c r="A698" s="54"/>
      <c r="B698" s="54"/>
      <c r="C698" s="40" t="s">
        <v>942</v>
      </c>
      <c r="D698" s="40"/>
    </row>
    <row r="699" spans="1:4">
      <c r="A699" s="54"/>
      <c r="B699" s="54"/>
      <c r="C699" s="40" t="s">
        <v>943</v>
      </c>
      <c r="D699" s="40"/>
    </row>
    <row r="700" spans="1:4">
      <c r="A700" s="54"/>
      <c r="B700" s="54"/>
      <c r="C700" s="40" t="s">
        <v>86</v>
      </c>
      <c r="D700" s="40"/>
    </row>
    <row r="701" spans="1:4">
      <c r="A701" s="75"/>
      <c r="B701" s="75" t="s">
        <v>944</v>
      </c>
      <c r="C701" s="38" t="s">
        <v>444</v>
      </c>
      <c r="D701" s="38"/>
    </row>
    <row r="702" spans="1:4">
      <c r="A702" s="77"/>
      <c r="B702" s="77"/>
      <c r="C702" s="38" t="s">
        <v>445</v>
      </c>
      <c r="D702" s="38"/>
    </row>
    <row r="703" spans="1:4">
      <c r="A703" s="77"/>
      <c r="B703" s="77"/>
      <c r="C703" s="38" t="s">
        <v>446</v>
      </c>
      <c r="D703" s="38"/>
    </row>
    <row r="704" spans="1:4">
      <c r="A704" s="77"/>
      <c r="B704" s="77"/>
      <c r="C704" s="38" t="s">
        <v>447</v>
      </c>
      <c r="D704" s="38"/>
    </row>
    <row r="705" spans="1:4">
      <c r="A705" s="77"/>
      <c r="B705" s="77"/>
      <c r="C705" s="38" t="s">
        <v>448</v>
      </c>
      <c r="D705" s="38"/>
    </row>
    <row r="706" spans="1:4">
      <c r="A706" s="77"/>
      <c r="B706" s="77"/>
      <c r="C706" s="38" t="s">
        <v>449</v>
      </c>
      <c r="D706" s="38"/>
    </row>
    <row r="707" spans="1:4">
      <c r="A707" s="77"/>
      <c r="B707" s="77"/>
      <c r="C707" s="38" t="s">
        <v>451</v>
      </c>
      <c r="D707" s="38"/>
    </row>
    <row r="708" spans="1:4">
      <c r="A708" s="77"/>
      <c r="B708" s="77"/>
      <c r="C708" s="38" t="s">
        <v>452</v>
      </c>
      <c r="D708" s="38"/>
    </row>
    <row r="709" spans="1:4">
      <c r="A709" s="77"/>
      <c r="B709" s="77"/>
      <c r="C709" s="38" t="s">
        <v>453</v>
      </c>
      <c r="D709" s="38"/>
    </row>
    <row r="710" spans="1:4">
      <c r="A710" s="77"/>
      <c r="B710" s="77"/>
      <c r="C710" s="38" t="s">
        <v>454</v>
      </c>
      <c r="D710" s="38"/>
    </row>
    <row r="711" spans="1:4">
      <c r="A711" s="77"/>
      <c r="B711" s="77"/>
      <c r="C711" s="38" t="s">
        <v>455</v>
      </c>
      <c r="D711" s="38"/>
    </row>
    <row r="712" spans="1:4">
      <c r="A712" s="77"/>
      <c r="B712" s="77"/>
      <c r="C712" s="38" t="s">
        <v>456</v>
      </c>
      <c r="D712" s="38"/>
    </row>
    <row r="713" spans="1:4">
      <c r="A713" s="77"/>
      <c r="B713" s="77"/>
      <c r="C713" s="38" t="s">
        <v>457</v>
      </c>
      <c r="D713" s="38"/>
    </row>
    <row r="714" spans="1:4">
      <c r="A714" s="77"/>
      <c r="B714" s="77"/>
      <c r="C714" s="38" t="s">
        <v>458</v>
      </c>
      <c r="D714" s="38"/>
    </row>
    <row r="715" spans="1:4">
      <c r="A715" s="77"/>
      <c r="B715" s="77"/>
      <c r="C715" s="38" t="s">
        <v>459</v>
      </c>
      <c r="D715" s="38"/>
    </row>
    <row r="716" spans="1:4">
      <c r="A716" s="77"/>
      <c r="B716" s="77"/>
      <c r="C716" s="38" t="s">
        <v>460</v>
      </c>
      <c r="D716" s="38" t="s">
        <v>461</v>
      </c>
    </row>
    <row r="717" spans="1:4">
      <c r="A717" s="77"/>
      <c r="B717" s="77"/>
      <c r="C717" s="38" t="s">
        <v>462</v>
      </c>
      <c r="D717" s="38"/>
    </row>
    <row r="718" spans="1:4">
      <c r="A718" s="77"/>
      <c r="B718" s="77"/>
      <c r="C718" s="38" t="s">
        <v>463</v>
      </c>
      <c r="D718" s="38"/>
    </row>
    <row r="719" spans="1:4">
      <c r="A719" s="77"/>
      <c r="B719" s="77"/>
      <c r="C719" s="38" t="s">
        <v>464</v>
      </c>
      <c r="D719" s="38"/>
    </row>
    <row r="720" spans="1:4">
      <c r="A720" s="77"/>
      <c r="B720" s="77"/>
      <c r="C720" s="38" t="s">
        <v>465</v>
      </c>
      <c r="D720" s="38"/>
    </row>
    <row r="721" spans="1:4">
      <c r="A721" s="77"/>
      <c r="B721" s="77"/>
      <c r="C721" s="38" t="s">
        <v>466</v>
      </c>
      <c r="D721" s="38"/>
    </row>
    <row r="722" spans="1:4">
      <c r="A722" s="77"/>
      <c r="B722" s="77"/>
      <c r="C722" s="38" t="s">
        <v>467</v>
      </c>
      <c r="D722" s="38"/>
    </row>
    <row r="723" spans="1:4">
      <c r="A723" s="77"/>
      <c r="B723" s="77"/>
      <c r="C723" s="38" t="s">
        <v>468</v>
      </c>
      <c r="D723" s="38"/>
    </row>
    <row r="724" spans="1:4">
      <c r="A724" s="77"/>
      <c r="B724" s="77"/>
      <c r="C724" s="38" t="s">
        <v>469</v>
      </c>
      <c r="D724" s="38"/>
    </row>
    <row r="725" spans="1:4">
      <c r="A725" s="77"/>
      <c r="B725" s="77"/>
      <c r="C725" s="38" t="s">
        <v>470</v>
      </c>
      <c r="D725" s="38"/>
    </row>
    <row r="726" spans="1:4">
      <c r="A726" s="77"/>
      <c r="B726" s="77"/>
      <c r="C726" s="38" t="s">
        <v>471</v>
      </c>
      <c r="D726" s="38"/>
    </row>
    <row r="727" spans="1:4">
      <c r="A727" s="77"/>
      <c r="B727" s="77"/>
      <c r="C727" s="38" t="s">
        <v>472</v>
      </c>
      <c r="D727" s="38"/>
    </row>
    <row r="728" spans="1:4">
      <c r="A728" s="77"/>
      <c r="B728" s="77"/>
      <c r="C728" s="38" t="s">
        <v>473</v>
      </c>
      <c r="D728" s="38"/>
    </row>
    <row r="729" spans="1:4">
      <c r="A729" s="77"/>
      <c r="B729" s="77"/>
      <c r="C729" s="38" t="s">
        <v>474</v>
      </c>
      <c r="D729" s="38"/>
    </row>
    <row r="730" spans="1:4">
      <c r="A730" s="77"/>
      <c r="B730" s="77"/>
      <c r="C730" s="38" t="s">
        <v>475</v>
      </c>
      <c r="D730" s="38"/>
    </row>
    <row r="731" spans="1:4">
      <c r="A731" s="77"/>
      <c r="B731" s="77"/>
      <c r="C731" s="38" t="s">
        <v>476</v>
      </c>
      <c r="D731" s="38"/>
    </row>
    <row r="732" spans="1:4">
      <c r="A732" s="77"/>
      <c r="B732" s="77"/>
      <c r="C732" s="38" t="s">
        <v>477</v>
      </c>
      <c r="D732" s="38"/>
    </row>
    <row r="733" spans="1:4">
      <c r="A733" s="77"/>
      <c r="B733" s="77"/>
      <c r="C733" s="38" t="s">
        <v>478</v>
      </c>
      <c r="D733" s="38"/>
    </row>
    <row r="734" spans="1:4">
      <c r="A734" s="77"/>
      <c r="B734" s="77"/>
      <c r="C734" s="38" t="s">
        <v>479</v>
      </c>
      <c r="D734" s="38"/>
    </row>
    <row r="735" spans="1:4">
      <c r="A735" s="77"/>
      <c r="B735" s="77"/>
      <c r="C735" s="38" t="s">
        <v>480</v>
      </c>
      <c r="D735" s="38"/>
    </row>
    <row r="736" spans="1:4">
      <c r="A736" s="77"/>
      <c r="B736" s="77"/>
      <c r="C736" s="38" t="s">
        <v>481</v>
      </c>
      <c r="D736" s="38"/>
    </row>
    <row r="737" spans="1:4">
      <c r="A737" s="77"/>
      <c r="B737" s="77"/>
      <c r="C737" s="38" t="s">
        <v>482</v>
      </c>
      <c r="D737" s="38"/>
    </row>
    <row r="738" spans="1:4">
      <c r="A738" s="77"/>
      <c r="B738" s="77"/>
      <c r="C738" s="38" t="s">
        <v>483</v>
      </c>
      <c r="D738" s="38"/>
    </row>
    <row r="739" spans="1:4">
      <c r="A739" s="77"/>
      <c r="B739" s="77"/>
      <c r="C739" s="38" t="s">
        <v>484</v>
      </c>
      <c r="D739" s="38"/>
    </row>
    <row r="740" spans="1:4">
      <c r="A740" s="77"/>
      <c r="B740" s="77"/>
      <c r="C740" s="38" t="s">
        <v>485</v>
      </c>
      <c r="D740" s="38"/>
    </row>
    <row r="741" spans="1:4">
      <c r="A741" s="77"/>
      <c r="B741" s="77"/>
      <c r="C741" s="38" t="s">
        <v>486</v>
      </c>
      <c r="D741" s="38"/>
    </row>
    <row r="742" spans="1:4">
      <c r="A742" s="77"/>
      <c r="B742" s="77"/>
      <c r="C742" s="38" t="s">
        <v>487</v>
      </c>
      <c r="D742" s="38"/>
    </row>
    <row r="743" spans="1:4">
      <c r="A743" s="77"/>
      <c r="B743" s="77"/>
      <c r="C743" s="38" t="s">
        <v>488</v>
      </c>
      <c r="D743" s="38"/>
    </row>
    <row r="744" spans="1:4">
      <c r="A744" s="77"/>
      <c r="B744" s="77"/>
      <c r="C744" s="38" t="s">
        <v>489</v>
      </c>
      <c r="D744" s="38"/>
    </row>
    <row r="745" spans="1:4">
      <c r="A745" s="77"/>
      <c r="B745" s="77"/>
      <c r="C745" s="38" t="s">
        <v>490</v>
      </c>
      <c r="D745" s="38"/>
    </row>
    <row r="746" spans="1:4">
      <c r="A746" s="77"/>
      <c r="B746" s="77"/>
      <c r="C746" s="38" t="s">
        <v>491</v>
      </c>
      <c r="D746" s="38"/>
    </row>
    <row r="747" spans="1:4">
      <c r="A747" s="77"/>
      <c r="B747" s="77"/>
      <c r="C747" s="38" t="s">
        <v>492</v>
      </c>
      <c r="D747" s="38"/>
    </row>
    <row r="748" spans="1:4">
      <c r="A748" s="77"/>
      <c r="B748" s="77"/>
      <c r="C748" s="38" t="s">
        <v>493</v>
      </c>
      <c r="D748" s="38"/>
    </row>
    <row r="749" spans="1:4">
      <c r="A749" s="77"/>
      <c r="B749" s="77"/>
      <c r="C749" s="38" t="s">
        <v>494</v>
      </c>
      <c r="D749" s="38"/>
    </row>
    <row r="750" spans="1:4">
      <c r="A750" s="77"/>
      <c r="B750" s="77"/>
      <c r="C750" s="38" t="s">
        <v>30</v>
      </c>
      <c r="D750" s="38"/>
    </row>
    <row r="751" spans="1:4">
      <c r="A751" s="77"/>
      <c r="B751" s="77"/>
      <c r="C751" s="38" t="s">
        <v>223</v>
      </c>
      <c r="D751" s="38"/>
    </row>
    <row r="752" spans="1:4">
      <c r="A752" s="77"/>
      <c r="B752" s="77"/>
      <c r="C752" s="38" t="s">
        <v>224</v>
      </c>
      <c r="D752" s="38"/>
    </row>
    <row r="753" spans="1:4">
      <c r="A753" s="77"/>
      <c r="B753" s="77"/>
      <c r="C753" s="38" t="s">
        <v>225</v>
      </c>
      <c r="D753" s="38"/>
    </row>
    <row r="754" spans="1:4">
      <c r="A754" s="77"/>
      <c r="B754" s="77"/>
      <c r="C754" s="38" t="s">
        <v>226</v>
      </c>
      <c r="D754" s="38"/>
    </row>
    <row r="755" spans="1:4">
      <c r="A755" s="77"/>
      <c r="B755" s="77"/>
      <c r="C755" s="38" t="s">
        <v>227</v>
      </c>
      <c r="D755" s="38"/>
    </row>
    <row r="756" spans="1:4">
      <c r="A756" s="77"/>
      <c r="B756" s="77"/>
      <c r="C756" s="38" t="s">
        <v>228</v>
      </c>
      <c r="D756" s="38"/>
    </row>
    <row r="757" spans="1:4">
      <c r="A757" s="77"/>
      <c r="B757" s="77"/>
      <c r="C757" s="38" t="s">
        <v>229</v>
      </c>
      <c r="D757" s="38"/>
    </row>
    <row r="758" spans="1:4">
      <c r="A758" s="77"/>
      <c r="B758" s="77"/>
      <c r="C758" s="38" t="s">
        <v>230</v>
      </c>
      <c r="D758" s="38"/>
    </row>
    <row r="759" spans="1:4">
      <c r="A759" s="77"/>
      <c r="B759" s="77"/>
      <c r="C759" s="38" t="s">
        <v>231</v>
      </c>
      <c r="D759" s="38"/>
    </row>
    <row r="760" spans="1:4">
      <c r="A760" s="77"/>
      <c r="B760" s="77"/>
      <c r="C760" s="38" t="s">
        <v>232</v>
      </c>
      <c r="D760" s="38"/>
    </row>
    <row r="761" spans="1:4">
      <c r="A761" s="77"/>
      <c r="B761" s="77"/>
      <c r="C761" s="38" t="s">
        <v>233</v>
      </c>
      <c r="D761" s="38"/>
    </row>
    <row r="762" spans="1:4">
      <c r="A762" s="77"/>
      <c r="B762" s="77"/>
      <c r="C762" s="38" t="s">
        <v>234</v>
      </c>
      <c r="D762" s="38"/>
    </row>
    <row r="763" spans="1:4">
      <c r="A763" s="77"/>
      <c r="B763" s="77"/>
      <c r="C763" s="38" t="s">
        <v>235</v>
      </c>
      <c r="D763" s="38"/>
    </row>
    <row r="764" spans="1:4">
      <c r="A764" s="77"/>
      <c r="B764" s="77"/>
      <c r="C764" s="38" t="s">
        <v>236</v>
      </c>
      <c r="D764" s="38"/>
    </row>
    <row r="765" spans="1:4">
      <c r="A765" s="77"/>
      <c r="B765" s="77"/>
      <c r="C765" s="38" t="s">
        <v>237</v>
      </c>
      <c r="D765" s="38"/>
    </row>
    <row r="766" spans="1:4">
      <c r="A766" s="77"/>
      <c r="B766" s="77"/>
      <c r="C766" s="38" t="s">
        <v>238</v>
      </c>
      <c r="D766" s="38"/>
    </row>
    <row r="767" spans="1:4">
      <c r="A767" s="77"/>
      <c r="B767" s="77"/>
      <c r="C767" s="38" t="s">
        <v>94</v>
      </c>
      <c r="D767" s="38"/>
    </row>
    <row r="768" spans="1:4">
      <c r="A768" s="77"/>
      <c r="B768" s="77"/>
      <c r="C768" s="38" t="s">
        <v>239</v>
      </c>
      <c r="D768" s="38"/>
    </row>
    <row r="769" spans="1:4">
      <c r="A769" s="77"/>
      <c r="B769" s="77"/>
      <c r="C769" s="38" t="s">
        <v>240</v>
      </c>
      <c r="D769" s="38"/>
    </row>
    <row r="770" spans="1:4">
      <c r="A770" s="77"/>
      <c r="B770" s="77"/>
      <c r="C770" s="38" t="s">
        <v>241</v>
      </c>
      <c r="D770" s="38"/>
    </row>
    <row r="771" spans="1:4">
      <c r="A771" s="77"/>
      <c r="B771" s="77"/>
      <c r="C771" s="38" t="s">
        <v>242</v>
      </c>
      <c r="D771" s="38"/>
    </row>
    <row r="772" spans="1:4">
      <c r="A772" s="77"/>
      <c r="B772" s="77"/>
      <c r="C772" s="38" t="s">
        <v>243</v>
      </c>
      <c r="D772" s="38"/>
    </row>
    <row r="773" spans="1:4">
      <c r="A773" s="77"/>
      <c r="B773" s="77"/>
      <c r="C773" s="38" t="s">
        <v>244</v>
      </c>
      <c r="D773" s="38"/>
    </row>
    <row r="774" spans="1:4">
      <c r="A774" s="77"/>
      <c r="B774" s="77"/>
      <c r="C774" s="38" t="s">
        <v>245</v>
      </c>
      <c r="D774" s="38"/>
    </row>
    <row r="775" spans="1:4">
      <c r="A775" s="77"/>
      <c r="B775" s="77"/>
      <c r="C775" s="38" t="s">
        <v>246</v>
      </c>
      <c r="D775" s="38"/>
    </row>
    <row r="776" spans="1:4">
      <c r="A776" s="77"/>
      <c r="B776" s="77"/>
      <c r="C776" s="38" t="s">
        <v>247</v>
      </c>
      <c r="D776" s="38"/>
    </row>
    <row r="777" spans="1:4">
      <c r="A777" s="77"/>
      <c r="B777" s="77"/>
      <c r="C777" s="38" t="s">
        <v>248</v>
      </c>
      <c r="D777" s="38"/>
    </row>
    <row r="778" spans="1:4">
      <c r="A778" s="77"/>
      <c r="B778" s="77"/>
      <c r="C778" s="38" t="s">
        <v>249</v>
      </c>
      <c r="D778" s="38"/>
    </row>
    <row r="779" spans="1:4">
      <c r="A779" s="77"/>
      <c r="B779" s="77"/>
      <c r="C779" s="38" t="s">
        <v>250</v>
      </c>
      <c r="D779" s="38"/>
    </row>
    <row r="780" spans="1:4">
      <c r="A780" s="77"/>
      <c r="B780" s="77"/>
      <c r="C780" s="38" t="s">
        <v>251</v>
      </c>
      <c r="D780" s="38"/>
    </row>
    <row r="781" spans="1:4">
      <c r="A781" s="77"/>
      <c r="B781" s="77"/>
      <c r="C781" s="38" t="s">
        <v>252</v>
      </c>
      <c r="D781" s="38"/>
    </row>
    <row r="782" spans="1:4">
      <c r="A782" s="77"/>
      <c r="B782" s="77"/>
      <c r="C782" s="38" t="s">
        <v>253</v>
      </c>
      <c r="D782" s="38"/>
    </row>
    <row r="783" spans="1:4">
      <c r="A783" s="77"/>
      <c r="B783" s="77"/>
      <c r="C783" s="38" t="s">
        <v>254</v>
      </c>
      <c r="D783" s="38"/>
    </row>
    <row r="784" spans="1:4">
      <c r="A784" s="77"/>
      <c r="B784" s="77"/>
      <c r="C784" s="38" t="s">
        <v>257</v>
      </c>
      <c r="D784" s="38"/>
    </row>
    <row r="785" spans="1:4">
      <c r="A785" s="77"/>
      <c r="B785" s="77"/>
      <c r="C785" s="38" t="s">
        <v>258</v>
      </c>
      <c r="D785" s="38"/>
    </row>
    <row r="786" spans="1:4">
      <c r="A786" s="77"/>
      <c r="B786" s="77"/>
      <c r="C786" s="38" t="s">
        <v>259</v>
      </c>
      <c r="D786" s="38"/>
    </row>
    <row r="787" spans="1:4">
      <c r="A787" s="77"/>
      <c r="B787" s="77"/>
      <c r="C787" s="38" t="s">
        <v>260</v>
      </c>
      <c r="D787" s="38"/>
    </row>
    <row r="788" spans="1:4">
      <c r="A788" s="77"/>
      <c r="B788" s="77"/>
      <c r="C788" s="38" t="s">
        <v>261</v>
      </c>
      <c r="D788" s="38"/>
    </row>
    <row r="789" spans="1:4">
      <c r="A789" s="77"/>
      <c r="B789" s="77"/>
      <c r="C789" s="38" t="s">
        <v>262</v>
      </c>
      <c r="D789" s="38"/>
    </row>
    <row r="790" spans="1:4">
      <c r="A790" s="77"/>
      <c r="B790" s="77"/>
      <c r="C790" s="38" t="s">
        <v>263</v>
      </c>
      <c r="D790" s="38"/>
    </row>
    <row r="791" spans="1:4">
      <c r="A791" s="77"/>
      <c r="B791" s="77"/>
      <c r="C791" s="38" t="s">
        <v>264</v>
      </c>
      <c r="D791" s="38"/>
    </row>
    <row r="792" spans="1:4">
      <c r="A792" s="77"/>
      <c r="B792" s="77"/>
      <c r="C792" s="38" t="s">
        <v>265</v>
      </c>
      <c r="D792" s="38"/>
    </row>
    <row r="793" spans="1:4">
      <c r="A793" s="77"/>
      <c r="B793" s="77"/>
      <c r="C793" s="38" t="s">
        <v>266</v>
      </c>
      <c r="D793" s="38"/>
    </row>
    <row r="794" spans="1:4">
      <c r="A794" s="77"/>
      <c r="B794" s="77"/>
      <c r="C794" s="38" t="s">
        <v>945</v>
      </c>
      <c r="D794" s="38"/>
    </row>
    <row r="795" spans="1:4">
      <c r="A795" s="77"/>
      <c r="B795" s="77"/>
      <c r="C795" s="38" t="s">
        <v>267</v>
      </c>
      <c r="D795" s="38"/>
    </row>
    <row r="796" spans="1:4">
      <c r="A796" s="77"/>
      <c r="B796" s="77"/>
      <c r="C796" s="38" t="s">
        <v>268</v>
      </c>
      <c r="D796" s="38"/>
    </row>
    <row r="797" spans="1:4">
      <c r="A797" s="77"/>
      <c r="B797" s="77"/>
      <c r="C797" s="38" t="s">
        <v>269</v>
      </c>
      <c r="D797" s="38"/>
    </row>
    <row r="798" spans="1:4">
      <c r="A798" s="77"/>
      <c r="B798" s="77"/>
      <c r="C798" s="38" t="s">
        <v>270</v>
      </c>
      <c r="D798" s="38"/>
    </row>
    <row r="799" spans="1:4">
      <c r="A799" s="77"/>
      <c r="B799" s="77"/>
      <c r="C799" s="38" t="s">
        <v>271</v>
      </c>
      <c r="D799" s="38"/>
    </row>
    <row r="800" spans="1:4">
      <c r="A800" s="77"/>
      <c r="B800" s="77"/>
      <c r="C800" s="38" t="s">
        <v>272</v>
      </c>
      <c r="D800" s="38"/>
    </row>
    <row r="801" spans="1:4">
      <c r="A801" s="77"/>
      <c r="B801" s="77"/>
      <c r="C801" s="38" t="s">
        <v>273</v>
      </c>
      <c r="D801" s="38"/>
    </row>
    <row r="802" spans="1:4">
      <c r="A802" s="77"/>
      <c r="B802" s="77"/>
      <c r="C802" s="38" t="s">
        <v>274</v>
      </c>
      <c r="D802" s="38"/>
    </row>
    <row r="803" spans="1:4">
      <c r="A803" s="77"/>
      <c r="B803" s="77"/>
      <c r="C803" s="38" t="s">
        <v>275</v>
      </c>
      <c r="D803" s="38"/>
    </row>
    <row r="804" spans="1:4">
      <c r="A804" s="77"/>
      <c r="B804" s="77"/>
      <c r="C804" s="38" t="s">
        <v>276</v>
      </c>
      <c r="D804" s="38"/>
    </row>
    <row r="805" spans="1:4">
      <c r="A805" s="77"/>
      <c r="B805" s="77"/>
      <c r="C805" s="38" t="s">
        <v>277</v>
      </c>
      <c r="D805" s="38"/>
    </row>
    <row r="806" spans="1:4">
      <c r="A806" s="77"/>
      <c r="B806" s="77"/>
      <c r="C806" s="38" t="s">
        <v>278</v>
      </c>
      <c r="D806" s="38"/>
    </row>
    <row r="807" spans="1:4">
      <c r="A807" s="77"/>
      <c r="B807" s="77"/>
      <c r="C807" s="38" t="s">
        <v>279</v>
      </c>
      <c r="D807" s="38"/>
    </row>
    <row r="808" spans="1:4">
      <c r="A808" s="77"/>
      <c r="B808" s="77"/>
      <c r="C808" s="38" t="s">
        <v>281</v>
      </c>
      <c r="D808" s="38"/>
    </row>
    <row r="809" spans="1:4">
      <c r="A809" s="77"/>
      <c r="B809" s="77"/>
      <c r="C809" s="38" t="s">
        <v>280</v>
      </c>
      <c r="D809" s="38"/>
    </row>
    <row r="810" spans="1:4">
      <c r="A810" s="77"/>
      <c r="B810" s="77"/>
      <c r="C810" s="38" t="s">
        <v>282</v>
      </c>
      <c r="D810" s="38"/>
    </row>
    <row r="811" spans="1:4">
      <c r="A811" s="77"/>
      <c r="B811" s="77"/>
      <c r="C811" s="38" t="s">
        <v>283</v>
      </c>
      <c r="D811" s="38"/>
    </row>
    <row r="812" spans="1:4">
      <c r="A812" s="77"/>
      <c r="B812" s="77"/>
      <c r="C812" s="38" t="s">
        <v>284</v>
      </c>
      <c r="D812" s="38"/>
    </row>
    <row r="813" spans="1:4">
      <c r="A813" s="77"/>
      <c r="B813" s="77"/>
      <c r="C813" s="38" t="s">
        <v>285</v>
      </c>
      <c r="D813" s="38"/>
    </row>
    <row r="814" spans="1:4">
      <c r="A814" s="77"/>
      <c r="B814" s="77"/>
      <c r="C814" s="38" t="s">
        <v>286</v>
      </c>
      <c r="D814" s="38"/>
    </row>
    <row r="815" spans="1:4">
      <c r="A815" s="77"/>
      <c r="B815" s="77"/>
      <c r="C815" s="38" t="s">
        <v>287</v>
      </c>
      <c r="D815" s="38"/>
    </row>
    <row r="816" spans="1:4">
      <c r="A816" s="77"/>
      <c r="B816" s="77"/>
      <c r="C816" s="38" t="s">
        <v>288</v>
      </c>
      <c r="D816" s="38"/>
    </row>
    <row r="817" spans="1:4">
      <c r="A817" s="77"/>
      <c r="B817" s="77"/>
      <c r="C817" s="38" t="s">
        <v>289</v>
      </c>
      <c r="D817" s="38"/>
    </row>
    <row r="818" spans="1:4">
      <c r="A818" s="77"/>
      <c r="B818" s="77"/>
      <c r="C818" s="38" t="s">
        <v>290</v>
      </c>
      <c r="D818" s="38"/>
    </row>
    <row r="819" spans="1:4">
      <c r="A819" s="77"/>
      <c r="B819" s="77"/>
      <c r="C819" s="38" t="s">
        <v>291</v>
      </c>
      <c r="D819" s="38"/>
    </row>
    <row r="820" spans="1:4">
      <c r="A820" s="77"/>
      <c r="B820" s="77"/>
      <c r="C820" s="38" t="s">
        <v>292</v>
      </c>
      <c r="D820" s="38"/>
    </row>
    <row r="821" spans="1:4">
      <c r="A821" s="77"/>
      <c r="B821" s="77"/>
      <c r="C821" s="38" t="s">
        <v>293</v>
      </c>
      <c r="D821" s="38"/>
    </row>
    <row r="822" spans="1:4">
      <c r="A822" s="77"/>
      <c r="B822" s="77"/>
      <c r="C822" s="38" t="s">
        <v>294</v>
      </c>
      <c r="D822" s="38"/>
    </row>
    <row r="823" spans="1:4">
      <c r="A823" s="77"/>
      <c r="B823" s="77"/>
      <c r="C823" s="38" t="s">
        <v>295</v>
      </c>
      <c r="D823" s="38"/>
    </row>
    <row r="824" spans="1:4">
      <c r="A824" s="77"/>
      <c r="B824" s="77"/>
      <c r="C824" s="38" t="s">
        <v>296</v>
      </c>
      <c r="D824" s="38"/>
    </row>
    <row r="825" spans="1:4">
      <c r="A825" s="77"/>
      <c r="B825" s="77"/>
      <c r="C825" s="38" t="s">
        <v>297</v>
      </c>
      <c r="D825" s="38"/>
    </row>
    <row r="826" spans="1:4">
      <c r="A826" s="77"/>
      <c r="B826" s="77"/>
      <c r="C826" s="38" t="s">
        <v>298</v>
      </c>
      <c r="D826" s="38"/>
    </row>
    <row r="827" spans="1:4">
      <c r="A827" s="77"/>
      <c r="B827" s="77"/>
      <c r="C827" s="38" t="s">
        <v>299</v>
      </c>
      <c r="D827" s="38"/>
    </row>
    <row r="828" spans="1:4">
      <c r="A828" s="77"/>
      <c r="B828" s="77"/>
      <c r="C828" s="38" t="s">
        <v>300</v>
      </c>
      <c r="D828" s="38"/>
    </row>
    <row r="829" spans="1:4">
      <c r="A829" s="77"/>
      <c r="B829" s="77"/>
      <c r="C829" s="38" t="s">
        <v>301</v>
      </c>
      <c r="D829" s="38"/>
    </row>
    <row r="830" spans="1:4">
      <c r="A830" s="77"/>
      <c r="B830" s="77"/>
      <c r="C830" s="38" t="s">
        <v>302</v>
      </c>
      <c r="D830" s="38"/>
    </row>
    <row r="831" spans="1:4">
      <c r="A831" s="77"/>
      <c r="B831" s="77"/>
      <c r="C831" s="38" t="s">
        <v>946</v>
      </c>
      <c r="D831" s="108" t="s">
        <v>947</v>
      </c>
    </row>
    <row r="832" spans="1:4">
      <c r="A832" s="77"/>
      <c r="B832" s="77"/>
      <c r="C832" s="38" t="s">
        <v>948</v>
      </c>
      <c r="D832" s="108" t="s">
        <v>314</v>
      </c>
    </row>
    <row r="833" spans="1:4">
      <c r="A833" s="77"/>
      <c r="B833" s="77"/>
      <c r="C833" s="38" t="s">
        <v>949</v>
      </c>
      <c r="D833" s="108" t="s">
        <v>314</v>
      </c>
    </row>
    <row r="834" spans="1:4" ht="15">
      <c r="A834" s="77"/>
      <c r="B834" s="77"/>
      <c r="C834" s="38" t="s">
        <v>950</v>
      </c>
      <c r="D834" s="107"/>
    </row>
    <row r="835" spans="1:4">
      <c r="A835" s="77"/>
      <c r="B835" s="77"/>
      <c r="C835" s="38" t="s">
        <v>310</v>
      </c>
      <c r="D835" s="38"/>
    </row>
    <row r="836" spans="1:4">
      <c r="A836" s="77"/>
      <c r="B836" s="77"/>
      <c r="C836" s="38" t="s">
        <v>305</v>
      </c>
      <c r="D836" s="38"/>
    </row>
    <row r="837" spans="1:4">
      <c r="A837" s="77"/>
      <c r="B837" s="77"/>
      <c r="C837" s="38" t="s">
        <v>306</v>
      </c>
      <c r="D837" s="38"/>
    </row>
    <row r="838" spans="1:4">
      <c r="A838" s="77"/>
      <c r="B838" s="77"/>
      <c r="C838" s="38" t="s">
        <v>303</v>
      </c>
      <c r="D838" s="38"/>
    </row>
    <row r="839" spans="1:4">
      <c r="A839" s="77"/>
      <c r="B839" s="77"/>
      <c r="C839" s="38" t="s">
        <v>307</v>
      </c>
      <c r="D839" s="38"/>
    </row>
    <row r="840" spans="1:4">
      <c r="A840" s="77"/>
      <c r="B840" s="77"/>
      <c r="C840" s="38" t="s">
        <v>304</v>
      </c>
      <c r="D840" s="38"/>
    </row>
    <row r="841" spans="1:4">
      <c r="A841" s="77"/>
      <c r="B841" s="77"/>
      <c r="C841" s="38" t="s">
        <v>308</v>
      </c>
      <c r="D841" s="38"/>
    </row>
    <row r="842" spans="1:4">
      <c r="A842" s="77"/>
      <c r="B842" s="77"/>
      <c r="C842" s="38" t="s">
        <v>951</v>
      </c>
      <c r="D842" s="38"/>
    </row>
    <row r="843" spans="1:4">
      <c r="A843" s="77"/>
      <c r="B843" s="77"/>
      <c r="C843" s="38" t="s">
        <v>952</v>
      </c>
      <c r="D843" s="38"/>
    </row>
    <row r="844" spans="1:4">
      <c r="A844" s="77"/>
      <c r="B844" s="77"/>
      <c r="C844" s="38" t="s">
        <v>953</v>
      </c>
      <c r="D844" s="38"/>
    </row>
    <row r="845" spans="1:4">
      <c r="A845" s="77"/>
      <c r="B845" s="77"/>
      <c r="C845" s="38" t="s">
        <v>954</v>
      </c>
      <c r="D845" s="38"/>
    </row>
    <row r="846" spans="1:4">
      <c r="A846" s="77"/>
      <c r="B846" s="77"/>
      <c r="C846" s="38" t="s">
        <v>955</v>
      </c>
      <c r="D846" s="38"/>
    </row>
    <row r="847" spans="1:4">
      <c r="A847" s="77"/>
      <c r="B847" s="77"/>
      <c r="C847" s="38" t="s">
        <v>956</v>
      </c>
      <c r="D847" s="38"/>
    </row>
    <row r="848" spans="1:4">
      <c r="A848" s="77"/>
      <c r="B848" s="77"/>
      <c r="C848" s="38" t="s">
        <v>957</v>
      </c>
      <c r="D848" s="38"/>
    </row>
    <row r="849" spans="1:4">
      <c r="A849" s="77"/>
      <c r="B849" s="77"/>
      <c r="C849" s="38" t="s">
        <v>958</v>
      </c>
      <c r="D849" s="38"/>
    </row>
    <row r="850" spans="1:4">
      <c r="A850" s="77"/>
      <c r="B850" s="77"/>
      <c r="C850" s="38" t="s">
        <v>86</v>
      </c>
      <c r="D850" s="38"/>
    </row>
    <row r="851" spans="1:4">
      <c r="A851" s="50" t="s">
        <v>959</v>
      </c>
      <c r="B851" s="50"/>
      <c r="C851" s="40" t="s">
        <v>350</v>
      </c>
      <c r="D851" s="40"/>
    </row>
    <row r="852" spans="1:4">
      <c r="A852" s="51"/>
      <c r="B852" s="51"/>
      <c r="C852" s="40" t="s">
        <v>144</v>
      </c>
      <c r="D852" s="40"/>
    </row>
    <row r="853" spans="1:4">
      <c r="A853" s="77" t="s">
        <v>960</v>
      </c>
      <c r="B853" s="77" t="s">
        <v>5</v>
      </c>
      <c r="C853" s="38" t="s">
        <v>961</v>
      </c>
      <c r="D853" s="38"/>
    </row>
    <row r="854" spans="1:4">
      <c r="A854" s="77"/>
      <c r="B854" s="77"/>
      <c r="C854" s="38" t="s">
        <v>962</v>
      </c>
      <c r="D854" s="38"/>
    </row>
    <row r="855" spans="1:4">
      <c r="A855" s="77"/>
      <c r="B855" s="77"/>
      <c r="C855" s="38" t="s">
        <v>963</v>
      </c>
      <c r="D855" s="38"/>
    </row>
    <row r="856" spans="1:4">
      <c r="A856" s="77"/>
      <c r="B856" s="77"/>
      <c r="C856" s="38" t="s">
        <v>964</v>
      </c>
      <c r="D856" s="38"/>
    </row>
    <row r="857" spans="1:4">
      <c r="A857" s="77"/>
      <c r="B857" s="77"/>
      <c r="C857" s="38" t="s">
        <v>965</v>
      </c>
      <c r="D857" s="38"/>
    </row>
    <row r="858" spans="1:4">
      <c r="A858" s="77"/>
      <c r="B858" s="77"/>
      <c r="C858" s="38" t="s">
        <v>966</v>
      </c>
      <c r="D858" s="38"/>
    </row>
    <row r="859" spans="1:4">
      <c r="A859" s="77"/>
      <c r="B859" s="77"/>
      <c r="C859" s="38" t="s">
        <v>967</v>
      </c>
      <c r="D859" s="38"/>
    </row>
    <row r="860" spans="1:4">
      <c r="A860" s="77"/>
      <c r="B860" s="77"/>
      <c r="C860" s="38" t="s">
        <v>968</v>
      </c>
      <c r="D860" s="38"/>
    </row>
    <row r="861" spans="1:4">
      <c r="A861" s="77"/>
      <c r="B861" s="77"/>
      <c r="C861" s="38" t="s">
        <v>969</v>
      </c>
      <c r="D861" s="38"/>
    </row>
    <row r="862" spans="1:4">
      <c r="A862" s="50" t="s">
        <v>970</v>
      </c>
      <c r="B862" s="50" t="s">
        <v>5</v>
      </c>
      <c r="C862" s="40" t="s">
        <v>43</v>
      </c>
      <c r="D862" s="40"/>
    </row>
    <row r="863" spans="1:4">
      <c r="A863" s="51"/>
      <c r="B863" s="51"/>
      <c r="C863" s="40" t="s">
        <v>971</v>
      </c>
      <c r="D863" s="40"/>
    </row>
    <row r="864" spans="1:4">
      <c r="A864" s="51"/>
      <c r="B864" s="51"/>
      <c r="C864" s="40" t="s">
        <v>52</v>
      </c>
      <c r="D864" s="40"/>
    </row>
    <row r="865" spans="1:4">
      <c r="A865" s="51"/>
      <c r="B865" s="51"/>
      <c r="C865" s="40" t="s">
        <v>972</v>
      </c>
      <c r="D865" s="40"/>
    </row>
    <row r="866" spans="1:4">
      <c r="A866" s="51"/>
      <c r="B866" s="51"/>
      <c r="C866" s="40" t="s">
        <v>84</v>
      </c>
      <c r="D866" s="40"/>
    </row>
    <row r="867" spans="1:4">
      <c r="A867" s="51"/>
      <c r="B867" s="51"/>
      <c r="C867" s="40" t="s">
        <v>973</v>
      </c>
      <c r="D867" s="40"/>
    </row>
    <row r="868" spans="1:4">
      <c r="A868" s="51"/>
      <c r="B868" s="51"/>
      <c r="C868" s="40" t="s">
        <v>29</v>
      </c>
      <c r="D868" s="40"/>
    </row>
    <row r="869" spans="1:4">
      <c r="A869" s="51"/>
      <c r="B869" s="51"/>
      <c r="C869" s="40" t="s">
        <v>974</v>
      </c>
      <c r="D869" s="40"/>
    </row>
    <row r="870" spans="1:4">
      <c r="A870" s="77" t="s">
        <v>975</v>
      </c>
      <c r="B870" s="77" t="s">
        <v>5</v>
      </c>
      <c r="C870" s="38" t="s">
        <v>43</v>
      </c>
      <c r="D870" s="38"/>
    </row>
    <row r="871" spans="1:4">
      <c r="A871" s="77"/>
      <c r="B871" s="77"/>
      <c r="C871" s="38" t="s">
        <v>52</v>
      </c>
      <c r="D871" s="38"/>
    </row>
    <row r="872" spans="1:4">
      <c r="A872" s="77"/>
      <c r="B872" s="77"/>
      <c r="C872" s="38" t="s">
        <v>84</v>
      </c>
      <c r="D872" s="38"/>
    </row>
    <row r="873" spans="1:4">
      <c r="A873" s="77"/>
      <c r="B873" s="77"/>
      <c r="C873" s="38" t="s">
        <v>86</v>
      </c>
      <c r="D873" s="38"/>
    </row>
    <row r="874" spans="1:4">
      <c r="A874" s="50" t="s">
        <v>976</v>
      </c>
      <c r="B874" s="50" t="s">
        <v>5</v>
      </c>
      <c r="C874" s="40" t="s">
        <v>977</v>
      </c>
      <c r="D874" s="40"/>
    </row>
    <row r="875" spans="1:4">
      <c r="A875" s="51"/>
      <c r="B875" s="51"/>
      <c r="C875" s="40" t="s">
        <v>765</v>
      </c>
      <c r="D875" s="40"/>
    </row>
    <row r="876" spans="1:4">
      <c r="A876" s="51"/>
      <c r="B876" s="51"/>
      <c r="C876" s="40" t="s">
        <v>766</v>
      </c>
      <c r="D876" s="40"/>
    </row>
    <row r="877" spans="1:4">
      <c r="A877" s="51"/>
      <c r="B877" s="51"/>
      <c r="C877" s="40" t="s">
        <v>767</v>
      </c>
      <c r="D877" s="40"/>
    </row>
    <row r="878" spans="1:4">
      <c r="A878" s="51"/>
      <c r="B878" s="51"/>
      <c r="C878" s="40" t="s">
        <v>978</v>
      </c>
      <c r="D878" s="40"/>
    </row>
    <row r="879" spans="1:4">
      <c r="A879" s="51"/>
      <c r="B879" s="51"/>
      <c r="C879" s="40" t="s">
        <v>979</v>
      </c>
      <c r="D879" s="40"/>
    </row>
    <row r="880" spans="1:4">
      <c r="A880" s="51"/>
      <c r="B880" s="51"/>
      <c r="C880" s="40" t="s">
        <v>980</v>
      </c>
      <c r="D880" s="40"/>
    </row>
    <row r="881" spans="1:4">
      <c r="A881" s="51"/>
      <c r="B881" s="51"/>
      <c r="C881" s="40" t="s">
        <v>981</v>
      </c>
      <c r="D881" s="40"/>
    </row>
    <row r="882" spans="1:4">
      <c r="A882" s="51"/>
      <c r="B882" s="51"/>
      <c r="C882" s="40" t="s">
        <v>982</v>
      </c>
      <c r="D882" s="40" t="s">
        <v>982</v>
      </c>
    </row>
    <row r="883" spans="1:4">
      <c r="A883" s="52"/>
      <c r="B883" s="52"/>
      <c r="C883" s="40" t="s">
        <v>86</v>
      </c>
      <c r="D883" s="40"/>
    </row>
    <row r="884" spans="1:4">
      <c r="A884" s="66" t="s">
        <v>983</v>
      </c>
      <c r="B884" s="66" t="s">
        <v>5</v>
      </c>
      <c r="C884" s="38" t="s">
        <v>941</v>
      </c>
      <c r="D884" s="38"/>
    </row>
    <row r="885" spans="1:4">
      <c r="A885" s="67"/>
      <c r="B885" s="67"/>
      <c r="C885" s="38" t="s">
        <v>984</v>
      </c>
      <c r="D885" s="38"/>
    </row>
    <row r="886" spans="1:4">
      <c r="A886" s="67"/>
      <c r="B886" s="67"/>
      <c r="C886" s="38" t="s">
        <v>985</v>
      </c>
      <c r="D886" s="38"/>
    </row>
    <row r="887" spans="1:4">
      <c r="A887" s="67"/>
      <c r="B887" s="67"/>
      <c r="C887" s="38" t="s">
        <v>986</v>
      </c>
      <c r="D887" s="38"/>
    </row>
    <row r="888" spans="1:4">
      <c r="A888" s="67"/>
      <c r="B888" s="67"/>
      <c r="C888" s="38" t="s">
        <v>987</v>
      </c>
      <c r="D888" s="38"/>
    </row>
    <row r="889" spans="1:4">
      <c r="A889" s="67"/>
      <c r="B889" s="67"/>
      <c r="C889" s="38" t="s">
        <v>988</v>
      </c>
      <c r="D889" s="38" t="s">
        <v>989</v>
      </c>
    </row>
    <row r="890" spans="1:4">
      <c r="A890" s="67"/>
      <c r="B890" s="67"/>
      <c r="C890" s="38" t="s">
        <v>990</v>
      </c>
      <c r="D890" s="38"/>
    </row>
    <row r="891" spans="1:4">
      <c r="A891" s="50" t="s">
        <v>481</v>
      </c>
      <c r="B891" s="50" t="s">
        <v>5</v>
      </c>
      <c r="C891" s="40" t="s">
        <v>991</v>
      </c>
      <c r="D891" s="40"/>
    </row>
    <row r="892" spans="1:4">
      <c r="A892" s="51"/>
      <c r="B892" s="51"/>
      <c r="C892" s="40" t="s">
        <v>992</v>
      </c>
      <c r="D892" s="40"/>
    </row>
    <row r="893" spans="1:4">
      <c r="A893" s="51"/>
      <c r="B893" s="51"/>
      <c r="C893" s="40" t="s">
        <v>993</v>
      </c>
      <c r="D893" s="40"/>
    </row>
    <row r="894" spans="1:4">
      <c r="A894" s="51"/>
      <c r="B894" s="51"/>
      <c r="C894" s="40" t="s">
        <v>994</v>
      </c>
      <c r="D894" s="40"/>
    </row>
    <row r="895" spans="1:4">
      <c r="A895" s="51"/>
      <c r="B895" s="51"/>
      <c r="C895" s="40" t="s">
        <v>995</v>
      </c>
      <c r="D895" s="40"/>
    </row>
    <row r="896" spans="1:4">
      <c r="A896" s="51"/>
      <c r="B896" s="51"/>
      <c r="C896" s="40" t="s">
        <v>86</v>
      </c>
      <c r="D896" s="40"/>
    </row>
    <row r="897" spans="1:4">
      <c r="A897" s="66" t="s">
        <v>996</v>
      </c>
      <c r="B897" s="66" t="s">
        <v>5</v>
      </c>
      <c r="C897" s="38" t="s">
        <v>997</v>
      </c>
      <c r="D897" s="38"/>
    </row>
    <row r="898" spans="1:4">
      <c r="A898" s="67"/>
      <c r="B898" s="67"/>
      <c r="C898" s="38" t="s">
        <v>998</v>
      </c>
      <c r="D898" s="38"/>
    </row>
    <row r="899" spans="1:4">
      <c r="A899" s="67"/>
      <c r="B899" s="67"/>
      <c r="C899" s="38" t="s">
        <v>941</v>
      </c>
      <c r="D899" s="38"/>
    </row>
    <row r="900" spans="1:4">
      <c r="A900" s="67"/>
      <c r="B900" s="67"/>
      <c r="C900" s="38" t="s">
        <v>86</v>
      </c>
      <c r="D900" s="38"/>
    </row>
    <row r="901" spans="1:4">
      <c r="A901" s="50" t="s">
        <v>999</v>
      </c>
      <c r="B901" s="50" t="s">
        <v>5</v>
      </c>
      <c r="C901" s="40" t="s">
        <v>1000</v>
      </c>
      <c r="D901" s="40"/>
    </row>
    <row r="902" spans="1:4">
      <c r="A902" s="51"/>
      <c r="B902" s="51"/>
      <c r="C902" s="40" t="s">
        <v>1001</v>
      </c>
      <c r="D902" s="40"/>
    </row>
    <row r="903" spans="1:4">
      <c r="A903" s="51"/>
      <c r="B903" s="51"/>
      <c r="C903" s="40" t="s">
        <v>756</v>
      </c>
      <c r="D903" s="40"/>
    </row>
    <row r="904" spans="1:4">
      <c r="A904" s="51"/>
      <c r="B904" s="51"/>
      <c r="C904" s="40" t="s">
        <v>1002</v>
      </c>
      <c r="D904" s="40"/>
    </row>
    <row r="905" spans="1:4">
      <c r="A905" s="51"/>
      <c r="B905" s="51"/>
      <c r="C905" s="40" t="s">
        <v>1003</v>
      </c>
      <c r="D905" s="40"/>
    </row>
    <row r="906" spans="1:4">
      <c r="A906" s="76" t="s">
        <v>1004</v>
      </c>
      <c r="B906" s="76" t="s">
        <v>5</v>
      </c>
      <c r="C906" s="43" t="s">
        <v>1005</v>
      </c>
      <c r="D906" s="43"/>
    </row>
    <row r="907" spans="1:4">
      <c r="A907" s="77"/>
      <c r="B907" s="77"/>
      <c r="C907" s="43" t="s">
        <v>1006</v>
      </c>
      <c r="D907" s="43"/>
    </row>
    <row r="908" spans="1:4">
      <c r="A908" s="77"/>
      <c r="B908" s="77"/>
      <c r="C908" s="38" t="s">
        <v>1007</v>
      </c>
      <c r="D908" s="38"/>
    </row>
    <row r="909" spans="1:4">
      <c r="A909" s="77"/>
      <c r="B909" s="77"/>
      <c r="C909" s="38" t="s">
        <v>1008</v>
      </c>
      <c r="D909" s="38"/>
    </row>
    <row r="910" spans="1:4">
      <c r="A910" s="77"/>
      <c r="B910" s="77"/>
      <c r="C910" s="38" t="s">
        <v>1009</v>
      </c>
      <c r="D910" s="38"/>
    </row>
    <row r="911" spans="1:4">
      <c r="A911" s="77"/>
      <c r="B911" s="77"/>
      <c r="C911" s="38" t="s">
        <v>1010</v>
      </c>
      <c r="D911" s="38"/>
    </row>
    <row r="912" spans="1:4">
      <c r="A912" s="72" t="s">
        <v>1011</v>
      </c>
      <c r="B912" s="72" t="s">
        <v>5</v>
      </c>
      <c r="C912" s="44" t="s">
        <v>43</v>
      </c>
      <c r="D912" s="44"/>
    </row>
    <row r="913" spans="1:4">
      <c r="A913" s="54"/>
      <c r="B913" s="54"/>
      <c r="C913" s="44" t="s">
        <v>971</v>
      </c>
      <c r="D913" s="44"/>
    </row>
    <row r="914" spans="1:4">
      <c r="A914" s="54"/>
      <c r="B914" s="54"/>
      <c r="C914" s="40" t="s">
        <v>52</v>
      </c>
      <c r="D914" s="40"/>
    </row>
    <row r="915" spans="1:4">
      <c r="A915" s="54"/>
      <c r="B915" s="54"/>
      <c r="C915" s="40" t="s">
        <v>972</v>
      </c>
      <c r="D915" s="40"/>
    </row>
    <row r="916" spans="1:4">
      <c r="A916" s="54"/>
      <c r="B916" s="54"/>
      <c r="C916" s="40" t="s">
        <v>84</v>
      </c>
      <c r="D916" s="40"/>
    </row>
    <row r="917" spans="1:4">
      <c r="A917" s="54"/>
      <c r="B917" s="54"/>
      <c r="C917" s="40" t="s">
        <v>973</v>
      </c>
      <c r="D917" s="40"/>
    </row>
    <row r="918" spans="1:4">
      <c r="A918" s="54"/>
      <c r="B918" s="54"/>
      <c r="C918" s="44" t="s">
        <v>29</v>
      </c>
      <c r="D918" s="44"/>
    </row>
    <row r="919" spans="1:4">
      <c r="A919" s="54"/>
      <c r="B919" s="54"/>
      <c r="C919" s="44" t="s">
        <v>974</v>
      </c>
      <c r="D919" s="44"/>
    </row>
    <row r="920" spans="1:4">
      <c r="A920" s="76" t="s">
        <v>1012</v>
      </c>
      <c r="B920" s="76" t="s">
        <v>5</v>
      </c>
      <c r="C920" s="43" t="s">
        <v>1013</v>
      </c>
      <c r="D920" s="43"/>
    </row>
    <row r="921" spans="1:4">
      <c r="A921" s="77"/>
      <c r="B921" s="77"/>
      <c r="C921" s="43" t="s">
        <v>1014</v>
      </c>
      <c r="D921" s="43"/>
    </row>
    <row r="922" spans="1:4">
      <c r="A922" s="77"/>
      <c r="B922" s="77"/>
      <c r="C922" s="38" t="s">
        <v>1015</v>
      </c>
      <c r="D922" s="38"/>
    </row>
    <row r="923" spans="1:4">
      <c r="A923" s="77"/>
      <c r="B923" s="77"/>
      <c r="C923" s="38" t="s">
        <v>1016</v>
      </c>
      <c r="D923" s="38"/>
    </row>
    <row r="924" spans="1:4">
      <c r="A924" s="77"/>
      <c r="B924" s="77"/>
      <c r="C924" s="38" t="s">
        <v>1017</v>
      </c>
      <c r="D924" s="38"/>
    </row>
    <row r="925" spans="1:4">
      <c r="A925" s="77"/>
      <c r="B925" s="77"/>
      <c r="C925" s="38" t="s">
        <v>86</v>
      </c>
      <c r="D925" s="38"/>
    </row>
    <row r="926" spans="1:4">
      <c r="A926" s="72" t="s">
        <v>1018</v>
      </c>
      <c r="B926" s="72" t="s">
        <v>5</v>
      </c>
      <c r="C926" s="40" t="s">
        <v>1019</v>
      </c>
      <c r="D926" s="40"/>
    </row>
    <row r="927" spans="1:4">
      <c r="A927" s="54"/>
      <c r="B927" s="54"/>
      <c r="C927" s="40" t="s">
        <v>1020</v>
      </c>
      <c r="D927" s="40"/>
    </row>
    <row r="928" spans="1:4">
      <c r="A928" s="54"/>
      <c r="B928" s="54"/>
      <c r="C928" s="40" t="s">
        <v>1021</v>
      </c>
      <c r="D928" s="40"/>
    </row>
    <row r="929" spans="1:4">
      <c r="A929" s="73" t="s">
        <v>1022</v>
      </c>
      <c r="B929" s="73" t="s">
        <v>5</v>
      </c>
      <c r="C929" s="43" t="s">
        <v>1023</v>
      </c>
      <c r="D929" s="43"/>
    </row>
    <row r="930" spans="1:4">
      <c r="A930" s="74"/>
      <c r="B930" s="74"/>
      <c r="C930" s="43" t="s">
        <v>765</v>
      </c>
      <c r="D930" s="43"/>
    </row>
    <row r="931" spans="1:4">
      <c r="A931" s="74"/>
      <c r="B931" s="74"/>
      <c r="C931" s="38" t="s">
        <v>977</v>
      </c>
      <c r="D931" s="38"/>
    </row>
    <row r="932" spans="1:4">
      <c r="A932" s="74"/>
      <c r="B932" s="74"/>
      <c r="C932" s="38" t="s">
        <v>766</v>
      </c>
      <c r="D932" s="38"/>
    </row>
    <row r="933" spans="1:4">
      <c r="A933" s="74"/>
      <c r="B933" s="74"/>
      <c r="C933" s="38" t="s">
        <v>86</v>
      </c>
      <c r="D933" s="38"/>
    </row>
    <row r="934" spans="1:4">
      <c r="A934" s="80" t="s">
        <v>1024</v>
      </c>
      <c r="B934" s="80" t="s">
        <v>5</v>
      </c>
      <c r="C934" s="44" t="s">
        <v>977</v>
      </c>
      <c r="D934" s="44"/>
    </row>
    <row r="935" spans="1:4">
      <c r="A935" s="81"/>
      <c r="B935" s="81"/>
      <c r="C935" s="44" t="s">
        <v>765</v>
      </c>
      <c r="D935" s="44"/>
    </row>
    <row r="936" spans="1:4">
      <c r="A936" s="81"/>
      <c r="B936" s="81"/>
      <c r="C936" s="40" t="s">
        <v>766</v>
      </c>
      <c r="D936" s="40"/>
    </row>
    <row r="937" spans="1:4">
      <c r="A937" s="81"/>
      <c r="B937" s="81"/>
      <c r="C937" s="40" t="s">
        <v>767</v>
      </c>
      <c r="D937" s="40"/>
    </row>
    <row r="938" spans="1:4">
      <c r="A938" s="81"/>
      <c r="B938" s="81"/>
      <c r="C938" s="40" t="s">
        <v>1025</v>
      </c>
      <c r="D938" s="40"/>
    </row>
    <row r="939" spans="1:4">
      <c r="A939" s="81"/>
      <c r="B939" s="81"/>
      <c r="C939" s="44" t="s">
        <v>1025</v>
      </c>
      <c r="D939" s="44"/>
    </row>
    <row r="940" spans="1:4">
      <c r="A940" s="81"/>
      <c r="B940" s="81"/>
      <c r="C940" s="44" t="s">
        <v>979</v>
      </c>
      <c r="D940" s="44"/>
    </row>
    <row r="941" spans="1:4">
      <c r="A941" s="81"/>
      <c r="B941" s="81"/>
      <c r="C941" s="40" t="s">
        <v>980</v>
      </c>
      <c r="D941" s="40"/>
    </row>
    <row r="942" spans="1:4">
      <c r="A942" s="81"/>
      <c r="B942" s="81"/>
      <c r="C942" s="44" t="s">
        <v>981</v>
      </c>
      <c r="D942" s="44"/>
    </row>
    <row r="943" spans="1:4">
      <c r="A943" s="81"/>
      <c r="B943" s="81"/>
      <c r="C943" s="44" t="s">
        <v>1023</v>
      </c>
      <c r="D943" s="44"/>
    </row>
    <row r="944" spans="1:4">
      <c r="A944" s="81"/>
      <c r="B944" s="81"/>
      <c r="C944" s="40" t="s">
        <v>1026</v>
      </c>
      <c r="D944" s="40" t="s">
        <v>1026</v>
      </c>
    </row>
    <row r="945" spans="1:4">
      <c r="A945" s="105"/>
      <c r="B945" s="105"/>
      <c r="C945" s="40" t="s">
        <v>86</v>
      </c>
      <c r="D945" s="40"/>
    </row>
    <row r="946" spans="1:4" ht="14.25" customHeight="1">
      <c r="A946" s="73" t="s">
        <v>1027</v>
      </c>
      <c r="B946" s="73" t="s">
        <v>5</v>
      </c>
      <c r="C946" s="43" t="s">
        <v>1028</v>
      </c>
      <c r="D946" s="43"/>
    </row>
    <row r="947" spans="1:4">
      <c r="A947" s="74"/>
      <c r="B947" s="74"/>
      <c r="C947" s="43" t="s">
        <v>1029</v>
      </c>
      <c r="D947" s="43"/>
    </row>
    <row r="948" spans="1:4">
      <c r="A948" s="74"/>
      <c r="B948" s="74"/>
      <c r="C948" s="38" t="s">
        <v>1030</v>
      </c>
      <c r="D948" s="38"/>
    </row>
    <row r="949" spans="1:4">
      <c r="A949" s="74"/>
      <c r="B949" s="74"/>
      <c r="C949" s="38" t="s">
        <v>1031</v>
      </c>
      <c r="D949" s="38"/>
    </row>
    <row r="950" spans="1:4">
      <c r="A950" s="74"/>
      <c r="B950" s="74"/>
      <c r="C950" s="38" t="s">
        <v>1032</v>
      </c>
      <c r="D950" s="38"/>
    </row>
    <row r="951" spans="1:4">
      <c r="A951" s="74"/>
      <c r="B951" s="74"/>
      <c r="C951" s="43" t="s">
        <v>777</v>
      </c>
      <c r="D951" s="43"/>
    </row>
    <row r="952" spans="1:4">
      <c r="A952" s="74"/>
      <c r="B952" s="74"/>
      <c r="C952" s="43" t="s">
        <v>1023</v>
      </c>
      <c r="D952" s="43"/>
    </row>
    <row r="953" spans="1:4">
      <c r="A953" s="74"/>
      <c r="B953" s="74"/>
      <c r="C953" s="38" t="s">
        <v>1033</v>
      </c>
      <c r="D953" s="38" t="s">
        <v>1034</v>
      </c>
    </row>
    <row r="954" spans="1:4">
      <c r="A954" s="74"/>
      <c r="B954" s="74"/>
      <c r="C954" s="38" t="s">
        <v>988</v>
      </c>
      <c r="D954" s="38" t="s">
        <v>989</v>
      </c>
    </row>
    <row r="955" spans="1:4">
      <c r="A955" s="74"/>
      <c r="B955" s="74"/>
      <c r="C955" s="38" t="s">
        <v>86</v>
      </c>
      <c r="D955" s="38"/>
    </row>
    <row r="956" spans="1:4">
      <c r="A956" s="80" t="s">
        <v>785</v>
      </c>
      <c r="B956" s="80" t="s">
        <v>5</v>
      </c>
      <c r="C956" s="40" t="s">
        <v>1035</v>
      </c>
      <c r="D956" s="40"/>
    </row>
    <row r="957" spans="1:4">
      <c r="A957" s="81"/>
      <c r="B957" s="81"/>
      <c r="C957" s="40" t="s">
        <v>1036</v>
      </c>
      <c r="D957" s="40"/>
    </row>
    <row r="958" spans="1:4">
      <c r="A958" s="81"/>
      <c r="B958" s="81"/>
      <c r="C958" s="40" t="s">
        <v>1037</v>
      </c>
      <c r="D958" s="40"/>
    </row>
    <row r="959" spans="1:4">
      <c r="A959" s="81"/>
      <c r="B959" s="81"/>
      <c r="C959" s="40" t="s">
        <v>1038</v>
      </c>
      <c r="D959" s="40"/>
    </row>
    <row r="960" spans="1:4">
      <c r="A960" s="81"/>
      <c r="B960" s="81"/>
      <c r="C960" s="40" t="s">
        <v>1039</v>
      </c>
      <c r="D960" s="40"/>
    </row>
    <row r="961" spans="1:4">
      <c r="A961" s="81"/>
      <c r="B961" s="81"/>
      <c r="C961" s="40" t="s">
        <v>1040</v>
      </c>
      <c r="D961" s="40"/>
    </row>
    <row r="962" spans="1:4">
      <c r="A962" s="81"/>
      <c r="B962" s="81"/>
      <c r="C962" s="40" t="s">
        <v>1041</v>
      </c>
      <c r="D962" s="40"/>
    </row>
    <row r="963" spans="1:4">
      <c r="A963" s="81"/>
      <c r="B963" s="81"/>
      <c r="C963" s="40" t="s">
        <v>866</v>
      </c>
      <c r="D963" s="40"/>
    </row>
    <row r="964" spans="1:4">
      <c r="A964" s="82" t="s">
        <v>1042</v>
      </c>
      <c r="B964" s="73" t="s">
        <v>5</v>
      </c>
      <c r="C964" s="38" t="s">
        <v>1000</v>
      </c>
      <c r="D964" s="38"/>
    </row>
    <row r="965" spans="1:4">
      <c r="A965" s="83"/>
      <c r="B965" s="74"/>
      <c r="C965" s="38" t="s">
        <v>1001</v>
      </c>
      <c r="D965" s="38"/>
    </row>
    <row r="966" spans="1:4">
      <c r="A966" s="83"/>
      <c r="B966" s="74"/>
      <c r="C966" s="38" t="s">
        <v>756</v>
      </c>
      <c r="D966" s="38"/>
    </row>
    <row r="967" spans="1:4">
      <c r="A967" s="83"/>
      <c r="B967" s="74"/>
      <c r="C967" s="38" t="s">
        <v>1002</v>
      </c>
      <c r="D967" s="38"/>
    </row>
    <row r="968" spans="1:4">
      <c r="A968" s="83"/>
      <c r="B968" s="74"/>
      <c r="C968" s="38" t="s">
        <v>1003</v>
      </c>
      <c r="D968" s="38"/>
    </row>
    <row r="969" spans="1:4">
      <c r="A969" s="83"/>
      <c r="B969" s="74"/>
      <c r="C969" s="38" t="s">
        <v>1043</v>
      </c>
      <c r="D969" s="38"/>
    </row>
    <row r="970" spans="1:4">
      <c r="A970" s="84" t="s">
        <v>1044</v>
      </c>
      <c r="B970" s="80" t="s">
        <v>5</v>
      </c>
      <c r="C970" s="40" t="s">
        <v>1045</v>
      </c>
      <c r="D970" s="40"/>
    </row>
    <row r="971" spans="1:4">
      <c r="A971" s="85"/>
      <c r="B971" s="81"/>
      <c r="C971" s="40" t="s">
        <v>1046</v>
      </c>
      <c r="D971" s="40"/>
    </row>
    <row r="972" spans="1:4">
      <c r="A972" s="85"/>
      <c r="B972" s="81"/>
      <c r="C972" s="40" t="s">
        <v>1047</v>
      </c>
      <c r="D972" s="40"/>
    </row>
    <row r="973" spans="1:4">
      <c r="A973" s="85"/>
      <c r="B973" s="81"/>
      <c r="C973" s="40" t="s">
        <v>1048</v>
      </c>
      <c r="D973" s="40"/>
    </row>
    <row r="974" spans="1:4">
      <c r="A974" s="85"/>
      <c r="B974" s="81"/>
      <c r="C974" s="40" t="s">
        <v>1049</v>
      </c>
      <c r="D974" s="40"/>
    </row>
    <row r="975" spans="1:4">
      <c r="A975" s="85"/>
      <c r="B975" s="81"/>
      <c r="C975" s="40" t="s">
        <v>1050</v>
      </c>
      <c r="D975" s="40"/>
    </row>
    <row r="976" spans="1:4">
      <c r="A976" s="106"/>
      <c r="B976" s="105"/>
      <c r="C976" s="40" t="s">
        <v>86</v>
      </c>
      <c r="D976" s="40"/>
    </row>
    <row r="977" spans="1:4">
      <c r="A977" s="73" t="s">
        <v>1051</v>
      </c>
      <c r="B977" s="73" t="s">
        <v>5</v>
      </c>
      <c r="C977" s="38" t="s">
        <v>1052</v>
      </c>
      <c r="D977" s="38"/>
    </row>
    <row r="978" spans="1:4">
      <c r="A978" s="74"/>
      <c r="B978" s="74"/>
      <c r="C978" s="38" t="s">
        <v>1053</v>
      </c>
      <c r="D978" s="38"/>
    </row>
    <row r="979" spans="1:4">
      <c r="A979" s="74"/>
      <c r="B979" s="74"/>
      <c r="C979" s="38" t="s">
        <v>1054</v>
      </c>
      <c r="D979" s="38"/>
    </row>
    <row r="980" spans="1:4">
      <c r="A980" s="74"/>
      <c r="B980" s="74"/>
      <c r="C980" s="38" t="s">
        <v>1055</v>
      </c>
      <c r="D980" s="38"/>
    </row>
    <row r="981" spans="1:4">
      <c r="A981" s="74"/>
      <c r="B981" s="74"/>
      <c r="C981" s="38" t="s">
        <v>1056</v>
      </c>
      <c r="D981" s="38"/>
    </row>
    <row r="982" spans="1:4">
      <c r="A982" s="74"/>
      <c r="B982" s="74"/>
      <c r="C982" s="38" t="s">
        <v>1057</v>
      </c>
      <c r="D982" s="38"/>
    </row>
    <row r="983" spans="1:4">
      <c r="A983" s="74"/>
      <c r="B983" s="74"/>
      <c r="C983" s="38" t="s">
        <v>1058</v>
      </c>
      <c r="D983" s="38"/>
    </row>
    <row r="984" spans="1:4">
      <c r="A984" s="74"/>
      <c r="B984" s="74"/>
      <c r="C984" s="38" t="s">
        <v>1059</v>
      </c>
      <c r="D984" s="38"/>
    </row>
    <row r="985" spans="1:4">
      <c r="A985" s="74"/>
      <c r="B985" s="74"/>
      <c r="C985" s="38" t="s">
        <v>1060</v>
      </c>
      <c r="D985" s="38" t="s">
        <v>1061</v>
      </c>
    </row>
    <row r="986" spans="1:4">
      <c r="A986" s="84" t="s">
        <v>1062</v>
      </c>
      <c r="B986" s="80" t="s">
        <v>5</v>
      </c>
      <c r="C986" s="40" t="s">
        <v>1005</v>
      </c>
      <c r="D986" s="40"/>
    </row>
    <row r="987" spans="1:4">
      <c r="A987" s="85"/>
      <c r="B987" s="81"/>
      <c r="C987" s="40" t="s">
        <v>1006</v>
      </c>
      <c r="D987" s="40"/>
    </row>
    <row r="988" spans="1:4">
      <c r="A988" s="85"/>
      <c r="B988" s="81"/>
      <c r="C988" s="40" t="s">
        <v>1063</v>
      </c>
      <c r="D988" s="40"/>
    </row>
    <row r="989" spans="1:4">
      <c r="A989" s="85"/>
      <c r="B989" s="81"/>
      <c r="C989" s="40" t="s">
        <v>1064</v>
      </c>
      <c r="D989" s="40"/>
    </row>
    <row r="990" spans="1:4">
      <c r="A990" s="85"/>
      <c r="B990" s="81"/>
      <c r="C990" s="40" t="s">
        <v>1065</v>
      </c>
      <c r="D990" s="40"/>
    </row>
    <row r="991" spans="1:4">
      <c r="A991" s="85"/>
      <c r="B991" s="81"/>
      <c r="C991" s="40" t="s">
        <v>1066</v>
      </c>
      <c r="D991" s="40"/>
    </row>
    <row r="992" spans="1:4">
      <c r="A992" s="73" t="s">
        <v>1067</v>
      </c>
      <c r="B992" s="73" t="s">
        <v>5</v>
      </c>
      <c r="C992" s="38" t="s">
        <v>765</v>
      </c>
      <c r="D992" s="38"/>
    </row>
    <row r="993" spans="1:4">
      <c r="A993" s="74"/>
      <c r="B993" s="74"/>
      <c r="C993" s="38" t="s">
        <v>977</v>
      </c>
      <c r="D993" s="38"/>
    </row>
    <row r="994" spans="1:4">
      <c r="A994" s="74"/>
      <c r="B994" s="74"/>
      <c r="C994" s="38" t="s">
        <v>974</v>
      </c>
      <c r="D994" s="38"/>
    </row>
    <row r="995" spans="1:4">
      <c r="A995" s="74"/>
      <c r="B995" s="74"/>
      <c r="C995" s="38" t="s">
        <v>766</v>
      </c>
      <c r="D995" s="38"/>
    </row>
    <row r="996" spans="1:4">
      <c r="A996" s="74"/>
      <c r="B996" s="74"/>
      <c r="C996" s="38" t="s">
        <v>1068</v>
      </c>
      <c r="D996" s="38" t="s">
        <v>1069</v>
      </c>
    </row>
    <row r="997" spans="1:4">
      <c r="A997" s="74"/>
      <c r="B997" s="74"/>
      <c r="C997" s="38" t="s">
        <v>86</v>
      </c>
      <c r="D997" s="38"/>
    </row>
    <row r="998" spans="1:4">
      <c r="A998" s="80" t="s">
        <v>1070</v>
      </c>
      <c r="B998" s="80" t="s">
        <v>5</v>
      </c>
      <c r="C998" s="40" t="s">
        <v>1071</v>
      </c>
      <c r="D998" s="40"/>
    </row>
    <row r="999" spans="1:4">
      <c r="A999" s="81"/>
      <c r="B999" s="81"/>
      <c r="C999" s="40" t="s">
        <v>1072</v>
      </c>
      <c r="D999" s="40"/>
    </row>
    <row r="1000" spans="1:4">
      <c r="A1000" s="73" t="s">
        <v>1073</v>
      </c>
      <c r="B1000" s="73" t="s">
        <v>5</v>
      </c>
      <c r="C1000" s="38" t="s">
        <v>1074</v>
      </c>
      <c r="D1000" s="38"/>
    </row>
    <row r="1001" spans="1:4">
      <c r="A1001" s="74"/>
      <c r="B1001" s="74"/>
      <c r="C1001" s="38" t="s">
        <v>1075</v>
      </c>
      <c r="D1001" s="38"/>
    </row>
    <row r="1002" spans="1:4">
      <c r="A1002" s="74"/>
      <c r="B1002" s="74"/>
      <c r="C1002" s="38" t="s">
        <v>1076</v>
      </c>
      <c r="D1002" s="38"/>
    </row>
    <row r="1003" spans="1:4">
      <c r="A1003" s="74"/>
      <c r="B1003" s="74"/>
      <c r="C1003" s="38" t="s">
        <v>1077</v>
      </c>
      <c r="D1003" s="38"/>
    </row>
    <row r="1004" spans="1:4">
      <c r="A1004" s="74"/>
      <c r="B1004" s="74"/>
      <c r="C1004" s="38" t="s">
        <v>1078</v>
      </c>
      <c r="D1004" s="38"/>
    </row>
    <row r="1005" spans="1:4">
      <c r="A1005" s="74"/>
      <c r="B1005" s="74"/>
      <c r="C1005" s="38" t="s">
        <v>1079</v>
      </c>
      <c r="D1005" s="38"/>
    </row>
    <row r="1006" spans="1:4">
      <c r="A1006" s="74"/>
      <c r="B1006" s="74"/>
      <c r="C1006" s="38" t="s">
        <v>1080</v>
      </c>
      <c r="D1006" s="38"/>
    </row>
    <row r="1007" spans="1:4">
      <c r="A1007" s="74"/>
      <c r="B1007" s="74"/>
      <c r="C1007" s="38" t="s">
        <v>1081</v>
      </c>
      <c r="D1007" s="38"/>
    </row>
    <row r="1008" spans="1:4">
      <c r="A1008" s="74"/>
      <c r="B1008" s="74"/>
      <c r="C1008" s="38" t="s">
        <v>1082</v>
      </c>
      <c r="D1008" s="38"/>
    </row>
    <row r="1009" spans="1:4">
      <c r="A1009" s="74"/>
      <c r="B1009" s="74"/>
      <c r="C1009" s="38" t="s">
        <v>1083</v>
      </c>
      <c r="D1009" s="38"/>
    </row>
    <row r="1010" spans="1:4">
      <c r="A1010" s="74"/>
      <c r="B1010" s="74"/>
      <c r="C1010" s="38" t="s">
        <v>1084</v>
      </c>
      <c r="D1010" s="38"/>
    </row>
    <row r="1011" spans="1:4">
      <c r="A1011" s="74"/>
      <c r="B1011" s="74"/>
      <c r="C1011" s="38" t="s">
        <v>1085</v>
      </c>
      <c r="D1011" s="38"/>
    </row>
    <row r="1012" spans="1:4">
      <c r="A1012" s="74"/>
      <c r="B1012" s="74"/>
      <c r="C1012" s="38" t="s">
        <v>1086</v>
      </c>
      <c r="D1012" s="38"/>
    </row>
    <row r="1013" spans="1:4">
      <c r="A1013" s="74"/>
      <c r="B1013" s="74"/>
      <c r="C1013" s="38" t="s">
        <v>1087</v>
      </c>
      <c r="D1013" s="38"/>
    </row>
    <row r="1014" spans="1:4">
      <c r="A1014" s="74"/>
      <c r="B1014" s="74"/>
      <c r="C1014" s="38" t="s">
        <v>1088</v>
      </c>
      <c r="D1014" s="38"/>
    </row>
    <row r="1015" spans="1:4">
      <c r="A1015" s="74"/>
      <c r="B1015" s="74"/>
      <c r="C1015" s="38" t="s">
        <v>143</v>
      </c>
      <c r="D1015" s="38"/>
    </row>
    <row r="1016" spans="1:4">
      <c r="A1016" s="74"/>
      <c r="B1016" s="74"/>
      <c r="C1016" s="38" t="s">
        <v>1089</v>
      </c>
      <c r="D1016" s="38"/>
    </row>
    <row r="1017" spans="1:4">
      <c r="A1017" s="74"/>
      <c r="B1017" s="74"/>
      <c r="C1017" s="38" t="s">
        <v>148</v>
      </c>
      <c r="D1017" s="38"/>
    </row>
    <row r="1018" spans="1:4">
      <c r="A1018" s="74"/>
      <c r="B1018" s="74"/>
      <c r="C1018" s="38" t="s">
        <v>1090</v>
      </c>
      <c r="D1018" s="38"/>
    </row>
    <row r="1019" spans="1:4">
      <c r="A1019" s="74"/>
      <c r="B1019" s="74"/>
      <c r="C1019" s="38" t="s">
        <v>1091</v>
      </c>
      <c r="D1019" s="38"/>
    </row>
    <row r="1020" spans="1:4">
      <c r="A1020" s="74"/>
      <c r="B1020" s="74"/>
      <c r="C1020" s="38" t="s">
        <v>1092</v>
      </c>
      <c r="D1020" s="38"/>
    </row>
    <row r="1021" spans="1:4">
      <c r="A1021" s="74"/>
      <c r="B1021" s="74"/>
      <c r="C1021" s="38" t="s">
        <v>1093</v>
      </c>
      <c r="D1021" s="38"/>
    </row>
    <row r="1022" spans="1:4">
      <c r="A1022" s="74"/>
      <c r="B1022" s="74"/>
      <c r="C1022" s="38" t="s">
        <v>1094</v>
      </c>
      <c r="D1022" s="38"/>
    </row>
    <row r="1023" spans="1:4">
      <c r="A1023" s="74"/>
      <c r="B1023" s="74"/>
      <c r="C1023" s="38" t="s">
        <v>1095</v>
      </c>
      <c r="D1023" s="38"/>
    </row>
    <row r="1024" spans="1:4">
      <c r="A1024" s="74"/>
      <c r="B1024" s="74"/>
      <c r="C1024" s="38" t="s">
        <v>1096</v>
      </c>
      <c r="D1024" s="38"/>
    </row>
    <row r="1025" spans="1:4">
      <c r="A1025" s="74"/>
      <c r="B1025" s="74"/>
      <c r="C1025" s="38" t="s">
        <v>1097</v>
      </c>
      <c r="D1025" s="38"/>
    </row>
    <row r="1026" spans="1:4">
      <c r="A1026" s="74"/>
      <c r="B1026" s="74"/>
      <c r="C1026" s="38" t="s">
        <v>1098</v>
      </c>
      <c r="D1026" s="38"/>
    </row>
    <row r="1027" spans="1:4">
      <c r="A1027" s="74"/>
      <c r="B1027" s="74"/>
      <c r="C1027" s="38" t="s">
        <v>1099</v>
      </c>
      <c r="D1027" s="38"/>
    </row>
    <row r="1028" spans="1:4">
      <c r="A1028" s="74"/>
      <c r="B1028" s="74"/>
      <c r="C1028" s="38" t="s">
        <v>1100</v>
      </c>
      <c r="D1028" s="38"/>
    </row>
    <row r="1029" spans="1:4">
      <c r="A1029" s="74"/>
      <c r="B1029" s="74"/>
      <c r="C1029" s="38" t="s">
        <v>1101</v>
      </c>
      <c r="D1029" s="38"/>
    </row>
    <row r="1030" spans="1:4">
      <c r="A1030" s="74"/>
      <c r="B1030" s="74"/>
      <c r="C1030" s="38" t="s">
        <v>1102</v>
      </c>
      <c r="D1030" s="38"/>
    </row>
    <row r="1031" spans="1:4">
      <c r="A1031" s="74"/>
      <c r="B1031" s="74"/>
      <c r="C1031" s="112" t="s">
        <v>1103</v>
      </c>
      <c r="D1031" s="38"/>
    </row>
    <row r="1032" spans="1:4">
      <c r="A1032" s="74"/>
      <c r="B1032" s="74"/>
      <c r="C1032" s="38" t="s">
        <v>1104</v>
      </c>
      <c r="D1032" s="38"/>
    </row>
    <row r="1033" spans="1:4">
      <c r="A1033" s="74"/>
      <c r="B1033" s="74"/>
      <c r="C1033" s="38" t="s">
        <v>86</v>
      </c>
      <c r="D1033" s="38"/>
    </row>
    <row r="1034" spans="1:4">
      <c r="A1034" s="50" t="s">
        <v>1105</v>
      </c>
      <c r="B1034" s="50" t="s">
        <v>5</v>
      </c>
      <c r="C1034" s="40" t="s">
        <v>1106</v>
      </c>
      <c r="D1034" s="40"/>
    </row>
    <row r="1035" spans="1:4">
      <c r="A1035" s="51"/>
      <c r="B1035" s="51"/>
      <c r="C1035" s="40" t="s">
        <v>1107</v>
      </c>
      <c r="D1035" s="40"/>
    </row>
    <row r="1036" spans="1:4">
      <c r="A1036" s="51"/>
      <c r="B1036" s="51"/>
      <c r="C1036" s="40" t="s">
        <v>86</v>
      </c>
      <c r="D1036" s="40"/>
    </row>
    <row r="1037" spans="1:4">
      <c r="A1037" s="73" t="s">
        <v>1108</v>
      </c>
      <c r="B1037" s="73" t="s">
        <v>5</v>
      </c>
      <c r="C1037" s="38" t="s">
        <v>1109</v>
      </c>
      <c r="D1037" s="38"/>
    </row>
    <row r="1163" ht="14.45" hidden="1" customHeight="1"/>
  </sheetData>
  <autoFilter ref="A1:D1040" xr:uid="{00000000-0009-0000-0000-00001F000000}"/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/>
  <dimension ref="A1:E795"/>
  <sheetViews>
    <sheetView showGridLines="0" rightToLeft="1" workbookViewId="0">
      <pane ySplit="1" topLeftCell="A546" activePane="bottomLeft" state="frozen"/>
      <selection pane="bottomLeft" activeCell="B572" sqref="B572"/>
    </sheetView>
  </sheetViews>
  <sheetFormatPr defaultColWidth="0" defaultRowHeight="14.25" zeroHeight="1" outlineLevelRow="1"/>
  <cols>
    <col min="1" max="1" width="25.625" customWidth="1"/>
    <col min="2" max="2" width="48.75" customWidth="1"/>
    <col min="3" max="3" width="12" customWidth="1"/>
    <col min="4" max="4" width="23.5" customWidth="1"/>
    <col min="5" max="5" width="14.25" hidden="1" customWidth="1"/>
  </cols>
  <sheetData>
    <row r="1" spans="1:4" ht="15.75">
      <c r="A1" s="92" t="s">
        <v>1110</v>
      </c>
      <c r="B1" s="93" t="s">
        <v>1111</v>
      </c>
      <c r="C1" s="93" t="s">
        <v>1112</v>
      </c>
      <c r="D1" s="94" t="s">
        <v>1113</v>
      </c>
    </row>
    <row r="2" spans="1:4" ht="15.75" outlineLevel="1">
      <c r="A2" s="25" t="s">
        <v>960</v>
      </c>
      <c r="B2" s="26" t="s">
        <v>0</v>
      </c>
      <c r="C2" s="25">
        <v>5.0999999999999996</v>
      </c>
      <c r="D2" s="96"/>
    </row>
    <row r="3" spans="1:4" ht="15.75" outlineLevel="1">
      <c r="A3" s="25" t="s">
        <v>960</v>
      </c>
      <c r="B3" s="26" t="s">
        <v>1</v>
      </c>
      <c r="C3" s="25">
        <v>5.2</v>
      </c>
      <c r="D3" s="96"/>
    </row>
    <row r="4" spans="1:4" ht="15.75" outlineLevel="1">
      <c r="A4" s="25" t="s">
        <v>960</v>
      </c>
      <c r="B4" s="26" t="s">
        <v>171</v>
      </c>
      <c r="C4" s="25">
        <v>5.4</v>
      </c>
      <c r="D4" s="96"/>
    </row>
    <row r="5" spans="1:4" ht="15.75" outlineLevel="1">
      <c r="A5" s="25" t="s">
        <v>960</v>
      </c>
      <c r="B5" s="26" t="s">
        <v>172</v>
      </c>
      <c r="C5" s="25">
        <v>5.7</v>
      </c>
      <c r="D5" s="96"/>
    </row>
    <row r="6" spans="1:4" ht="15.75" outlineLevel="1">
      <c r="A6" s="25" t="s">
        <v>960</v>
      </c>
      <c r="B6" s="26" t="s">
        <v>173</v>
      </c>
      <c r="C6" s="25">
        <v>5.1100000000000003</v>
      </c>
      <c r="D6" s="96"/>
    </row>
    <row r="7" spans="1:4" ht="15.75" outlineLevel="1">
      <c r="A7" s="25" t="s">
        <v>960</v>
      </c>
      <c r="B7" s="26" t="s">
        <v>5</v>
      </c>
      <c r="C7" s="25">
        <v>5.26</v>
      </c>
      <c r="D7" s="96"/>
    </row>
    <row r="8" spans="1:4" ht="15.75" outlineLevel="1">
      <c r="A8" s="25" t="s">
        <v>960</v>
      </c>
      <c r="B8" s="26" t="s">
        <v>6</v>
      </c>
      <c r="C8" s="25">
        <v>5.27</v>
      </c>
      <c r="D8" s="96"/>
    </row>
    <row r="9" spans="1:4" ht="15.75" outlineLevel="1">
      <c r="A9" s="25" t="s">
        <v>960</v>
      </c>
      <c r="B9" s="26" t="s">
        <v>130</v>
      </c>
      <c r="C9" s="25">
        <v>5.36</v>
      </c>
      <c r="D9" s="96"/>
    </row>
    <row r="10" spans="1:4" ht="15.75" outlineLevel="1">
      <c r="A10" s="25" t="s">
        <v>960</v>
      </c>
      <c r="B10" s="26" t="s">
        <v>175</v>
      </c>
      <c r="C10" s="27">
        <v>5.5</v>
      </c>
      <c r="D10" s="96"/>
    </row>
    <row r="11" spans="1:4" ht="15.75" outlineLevel="1">
      <c r="A11" s="25" t="s">
        <v>960</v>
      </c>
      <c r="B11" s="26" t="s">
        <v>10</v>
      </c>
      <c r="C11" s="25">
        <v>5.51</v>
      </c>
      <c r="D11" s="96"/>
    </row>
    <row r="12" spans="1:4" ht="15.75" outlineLevel="1">
      <c r="A12" s="25" t="s">
        <v>960</v>
      </c>
      <c r="B12" s="26" t="s">
        <v>11</v>
      </c>
      <c r="C12" s="25">
        <v>5.53</v>
      </c>
      <c r="D12" s="96"/>
    </row>
    <row r="13" spans="1:4" ht="15.75" outlineLevel="1">
      <c r="A13" s="25" t="s">
        <v>960</v>
      </c>
      <c r="B13" s="26" t="s">
        <v>140</v>
      </c>
      <c r="C13" s="25">
        <v>5.59</v>
      </c>
      <c r="D13" s="96"/>
    </row>
    <row r="14" spans="1:4" ht="15.75" outlineLevel="1">
      <c r="A14" s="25" t="s">
        <v>960</v>
      </c>
      <c r="B14" s="26" t="s">
        <v>18</v>
      </c>
      <c r="C14" s="25">
        <v>5.54</v>
      </c>
      <c r="D14" s="96"/>
    </row>
    <row r="15" spans="1:4" ht="15.75" outlineLevel="1">
      <c r="A15" s="25" t="s">
        <v>960</v>
      </c>
      <c r="B15" s="26" t="s">
        <v>14</v>
      </c>
      <c r="C15" s="27">
        <v>5.7</v>
      </c>
      <c r="D15" s="95" t="s">
        <v>1114</v>
      </c>
    </row>
    <row r="16" spans="1:4" ht="15.75" outlineLevel="1">
      <c r="A16" s="25" t="s">
        <v>960</v>
      </c>
      <c r="B16" s="26" t="s">
        <v>20</v>
      </c>
      <c r="C16" s="25">
        <v>5.63</v>
      </c>
      <c r="D16" s="96"/>
    </row>
    <row r="17" spans="1:4" ht="15.75" outlineLevel="1">
      <c r="A17" s="25" t="s">
        <v>960</v>
      </c>
      <c r="B17" s="26" t="s">
        <v>24</v>
      </c>
      <c r="C17" s="25">
        <v>5.47</v>
      </c>
      <c r="D17" s="96"/>
    </row>
    <row r="18" spans="1:4" ht="15.75" outlineLevel="1">
      <c r="A18" s="25" t="s">
        <v>960</v>
      </c>
      <c r="B18" s="26" t="s">
        <v>25</v>
      </c>
      <c r="C18" s="25">
        <v>5.48</v>
      </c>
      <c r="D18" s="96"/>
    </row>
    <row r="19" spans="1:4" ht="15.75">
      <c r="A19" s="30" t="s">
        <v>960</v>
      </c>
      <c r="B19" s="26"/>
      <c r="C19" s="25"/>
      <c r="D19" s="96"/>
    </row>
    <row r="20" spans="1:4" ht="15.75" outlineLevel="1">
      <c r="A20" s="25" t="s">
        <v>970</v>
      </c>
      <c r="B20" s="26" t="s">
        <v>0</v>
      </c>
      <c r="C20" s="25">
        <v>5.0999999999999996</v>
      </c>
      <c r="D20" s="96"/>
    </row>
    <row r="21" spans="1:4" ht="15.75" outlineLevel="1">
      <c r="A21" s="25" t="s">
        <v>970</v>
      </c>
      <c r="B21" s="26" t="s">
        <v>1</v>
      </c>
      <c r="C21" s="25">
        <v>5.2</v>
      </c>
      <c r="D21" s="96"/>
    </row>
    <row r="22" spans="1:4" ht="15.75" outlineLevel="1">
      <c r="A22" s="25" t="s">
        <v>970</v>
      </c>
      <c r="B22" s="26" t="s">
        <v>2</v>
      </c>
      <c r="C22" s="25">
        <v>5.3</v>
      </c>
      <c r="D22" s="96"/>
    </row>
    <row r="23" spans="1:4" ht="15.75" outlineLevel="1">
      <c r="A23" s="25" t="s">
        <v>970</v>
      </c>
      <c r="B23" s="26" t="s">
        <v>1115</v>
      </c>
      <c r="C23" s="25">
        <v>5.14</v>
      </c>
      <c r="D23" s="96"/>
    </row>
    <row r="24" spans="1:4" ht="15.75" outlineLevel="1">
      <c r="A24" s="25" t="s">
        <v>970</v>
      </c>
      <c r="B24" s="26" t="s">
        <v>4</v>
      </c>
      <c r="C24" s="25">
        <v>5.19</v>
      </c>
      <c r="D24" s="96"/>
    </row>
    <row r="25" spans="1:4" ht="15.75" outlineLevel="1">
      <c r="A25" s="25" t="s">
        <v>970</v>
      </c>
      <c r="B25" s="26" t="s">
        <v>5</v>
      </c>
      <c r="C25" s="25">
        <v>5.26</v>
      </c>
      <c r="D25" s="96"/>
    </row>
    <row r="26" spans="1:4" ht="15.75" outlineLevel="1">
      <c r="A26" s="25" t="s">
        <v>970</v>
      </c>
      <c r="B26" s="26" t="s">
        <v>6</v>
      </c>
      <c r="C26" s="25">
        <v>5.27</v>
      </c>
      <c r="D26" s="96"/>
    </row>
    <row r="27" spans="1:4" ht="15.75" outlineLevel="1">
      <c r="A27" s="25" t="s">
        <v>970</v>
      </c>
      <c r="B27" s="26" t="s">
        <v>7</v>
      </c>
      <c r="C27" s="25">
        <v>5.28</v>
      </c>
      <c r="D27" s="96"/>
    </row>
    <row r="28" spans="1:4" ht="15.75" outlineLevel="1">
      <c r="A28" s="25" t="s">
        <v>970</v>
      </c>
      <c r="B28" s="26" t="s">
        <v>8</v>
      </c>
      <c r="C28" s="27">
        <v>5.3</v>
      </c>
      <c r="D28" s="96"/>
    </row>
    <row r="29" spans="1:4" ht="15.75" outlineLevel="1">
      <c r="A29" s="25" t="s">
        <v>970</v>
      </c>
      <c r="B29" s="26" t="s">
        <v>9</v>
      </c>
      <c r="C29" s="25">
        <v>5.49</v>
      </c>
      <c r="D29" s="96"/>
    </row>
    <row r="30" spans="1:4" ht="15.75" outlineLevel="1">
      <c r="A30" s="25" t="s">
        <v>970</v>
      </c>
      <c r="B30" s="26" t="s">
        <v>10</v>
      </c>
      <c r="C30" s="25">
        <v>5.51</v>
      </c>
      <c r="D30" s="96"/>
    </row>
    <row r="31" spans="1:4" ht="15.75" outlineLevel="1">
      <c r="A31" s="25" t="s">
        <v>970</v>
      </c>
      <c r="B31" s="26" t="s">
        <v>11</v>
      </c>
      <c r="C31" s="25">
        <v>5.53</v>
      </c>
      <c r="D31" s="96"/>
    </row>
    <row r="32" spans="1:4" ht="15.75" outlineLevel="1">
      <c r="A32" s="25" t="s">
        <v>970</v>
      </c>
      <c r="B32" s="26" t="s">
        <v>12</v>
      </c>
      <c r="C32" s="25">
        <v>5.69</v>
      </c>
      <c r="D32" s="96"/>
    </row>
    <row r="33" spans="1:4" ht="15.75" outlineLevel="1">
      <c r="A33" s="25" t="s">
        <v>970</v>
      </c>
      <c r="B33" s="26" t="s">
        <v>13</v>
      </c>
      <c r="C33" s="25">
        <v>5.75</v>
      </c>
      <c r="D33" s="96"/>
    </row>
    <row r="34" spans="1:4" ht="15.75" outlineLevel="1">
      <c r="A34" s="25" t="s">
        <v>970</v>
      </c>
      <c r="B34" s="26" t="s">
        <v>14</v>
      </c>
      <c r="C34" s="27">
        <v>5.7</v>
      </c>
      <c r="D34" s="96"/>
    </row>
    <row r="35" spans="1:4" ht="15.75" outlineLevel="1">
      <c r="A35" s="25" t="s">
        <v>970</v>
      </c>
      <c r="B35" s="26" t="s">
        <v>15</v>
      </c>
      <c r="C35" s="25">
        <v>5.74</v>
      </c>
      <c r="D35" s="96"/>
    </row>
    <row r="36" spans="1:4" ht="15.75" outlineLevel="1">
      <c r="A36" s="25" t="s">
        <v>970</v>
      </c>
      <c r="B36" s="26" t="s">
        <v>16</v>
      </c>
      <c r="C36" s="25">
        <v>5.62</v>
      </c>
      <c r="D36" s="96"/>
    </row>
    <row r="37" spans="1:4" ht="15.75" outlineLevel="1">
      <c r="A37" s="25" t="s">
        <v>970</v>
      </c>
      <c r="B37" s="26" t="s">
        <v>17</v>
      </c>
      <c r="C37" s="25">
        <v>5.58</v>
      </c>
      <c r="D37" s="96"/>
    </row>
    <row r="38" spans="1:4" ht="15.75" outlineLevel="1">
      <c r="A38" s="25" t="s">
        <v>970</v>
      </c>
      <c r="B38" s="26" t="s">
        <v>18</v>
      </c>
      <c r="C38" s="25">
        <v>5.54</v>
      </c>
      <c r="D38" s="96"/>
    </row>
    <row r="39" spans="1:4" ht="15.75" outlineLevel="1">
      <c r="A39" s="25" t="s">
        <v>970</v>
      </c>
      <c r="B39" s="26" t="s">
        <v>19</v>
      </c>
      <c r="C39" s="25">
        <v>5.55</v>
      </c>
      <c r="D39" s="96"/>
    </row>
    <row r="40" spans="1:4" ht="15.75" outlineLevel="1">
      <c r="A40" s="25" t="s">
        <v>970</v>
      </c>
      <c r="B40" s="26" t="s">
        <v>20</v>
      </c>
      <c r="C40" s="25">
        <v>5.63</v>
      </c>
      <c r="D40" s="96"/>
    </row>
    <row r="41" spans="1:4" ht="15.75" outlineLevel="1">
      <c r="A41" s="25" t="s">
        <v>970</v>
      </c>
      <c r="B41" s="26" t="s">
        <v>21</v>
      </c>
      <c r="C41" s="25">
        <v>5.65</v>
      </c>
      <c r="D41" s="96"/>
    </row>
    <row r="42" spans="1:4" ht="15.75" outlineLevel="1">
      <c r="A42" s="25" t="s">
        <v>970</v>
      </c>
      <c r="B42" s="26" t="s">
        <v>22</v>
      </c>
      <c r="C42" s="25">
        <v>5.68</v>
      </c>
      <c r="D42" s="96"/>
    </row>
    <row r="43" spans="1:4" ht="15.75" outlineLevel="1">
      <c r="A43" s="25" t="s">
        <v>970</v>
      </c>
      <c r="B43" s="26" t="s">
        <v>23</v>
      </c>
      <c r="C43" s="25">
        <v>5.45</v>
      </c>
      <c r="D43" s="96"/>
    </row>
    <row r="44" spans="1:4" ht="15.75" outlineLevel="1">
      <c r="A44" s="25" t="s">
        <v>970</v>
      </c>
      <c r="B44" s="26" t="s">
        <v>24</v>
      </c>
      <c r="C44" s="25">
        <v>5.47</v>
      </c>
      <c r="D44" s="96"/>
    </row>
    <row r="45" spans="1:4" ht="15.75" outlineLevel="1">
      <c r="A45" s="25" t="s">
        <v>970</v>
      </c>
      <c r="B45" s="26" t="s">
        <v>25</v>
      </c>
      <c r="C45" s="25">
        <v>5.48</v>
      </c>
      <c r="D45" s="96"/>
    </row>
    <row r="46" spans="1:4" ht="15.75">
      <c r="A46" s="30" t="s">
        <v>970</v>
      </c>
      <c r="B46" s="26"/>
      <c r="C46" s="25"/>
      <c r="D46" s="96"/>
    </row>
    <row r="47" spans="1:4" ht="15.75" outlineLevel="1">
      <c r="A47" s="25" t="s">
        <v>975</v>
      </c>
      <c r="B47" s="26" t="s">
        <v>0</v>
      </c>
      <c r="C47" s="25">
        <v>5.0999999999999996</v>
      </c>
      <c r="D47" s="96"/>
    </row>
    <row r="48" spans="1:4" ht="15.75" outlineLevel="1">
      <c r="A48" s="25" t="s">
        <v>975</v>
      </c>
      <c r="B48" s="26" t="s">
        <v>1</v>
      </c>
      <c r="C48" s="25">
        <v>5.2</v>
      </c>
      <c r="D48" s="96"/>
    </row>
    <row r="49" spans="1:4" ht="15.75" outlineLevel="1">
      <c r="A49" s="25" t="s">
        <v>975</v>
      </c>
      <c r="B49" s="26" t="s">
        <v>2</v>
      </c>
      <c r="C49" s="25">
        <v>5.3</v>
      </c>
      <c r="D49" s="96"/>
    </row>
    <row r="50" spans="1:4" ht="15.75" outlineLevel="1">
      <c r="A50" s="25" t="s">
        <v>975</v>
      </c>
      <c r="B50" s="26" t="s">
        <v>151</v>
      </c>
      <c r="C50" s="25">
        <v>5.6</v>
      </c>
      <c r="D50" s="96"/>
    </row>
    <row r="51" spans="1:4" ht="15.75" outlineLevel="1">
      <c r="A51" s="25" t="s">
        <v>975</v>
      </c>
      <c r="B51" s="26" t="s">
        <v>1116</v>
      </c>
      <c r="C51" s="27">
        <v>5.0999999999999996</v>
      </c>
      <c r="D51" s="96"/>
    </row>
    <row r="52" spans="1:4" ht="15.75" outlineLevel="1">
      <c r="A52" s="25" t="s">
        <v>975</v>
      </c>
      <c r="B52" s="26" t="s">
        <v>1115</v>
      </c>
      <c r="C52" s="25">
        <v>5.14</v>
      </c>
      <c r="D52" s="96"/>
    </row>
    <row r="53" spans="1:4" ht="15.75" outlineLevel="1">
      <c r="A53" s="25" t="s">
        <v>975</v>
      </c>
      <c r="B53" s="26" t="s">
        <v>4</v>
      </c>
      <c r="C53" s="25">
        <v>5.19</v>
      </c>
      <c r="D53" s="96"/>
    </row>
    <row r="54" spans="1:4" ht="15.75" outlineLevel="1">
      <c r="A54" s="25" t="s">
        <v>975</v>
      </c>
      <c r="B54" s="26" t="s">
        <v>153</v>
      </c>
      <c r="C54" s="25">
        <v>5.24</v>
      </c>
      <c r="D54" s="96"/>
    </row>
    <row r="55" spans="1:4" ht="15.75" outlineLevel="1">
      <c r="A55" s="25" t="s">
        <v>975</v>
      </c>
      <c r="B55" s="26" t="s">
        <v>5</v>
      </c>
      <c r="C55" s="25">
        <v>5.26</v>
      </c>
      <c r="D55" s="96"/>
    </row>
    <row r="56" spans="1:4" ht="15.75" outlineLevel="1">
      <c r="A56" s="25" t="s">
        <v>975</v>
      </c>
      <c r="B56" s="26" t="s">
        <v>6</v>
      </c>
      <c r="C56" s="25">
        <v>5.27</v>
      </c>
      <c r="D56" s="96"/>
    </row>
    <row r="57" spans="1:4" ht="15.75" outlineLevel="1">
      <c r="A57" s="25" t="s">
        <v>975</v>
      </c>
      <c r="B57" s="26" t="s">
        <v>7</v>
      </c>
      <c r="C57" s="25">
        <v>5.28</v>
      </c>
      <c r="D57" s="96"/>
    </row>
    <row r="58" spans="1:4" ht="15.75" outlineLevel="1">
      <c r="A58" s="25" t="s">
        <v>975</v>
      </c>
      <c r="B58" s="26" t="s">
        <v>8</v>
      </c>
      <c r="C58" s="27">
        <v>5.3</v>
      </c>
      <c r="D58" s="96"/>
    </row>
    <row r="59" spans="1:4" ht="15.75" outlineLevel="1">
      <c r="A59" s="25" t="s">
        <v>975</v>
      </c>
      <c r="B59" s="26" t="s">
        <v>154</v>
      </c>
      <c r="C59" s="25">
        <v>5.31</v>
      </c>
      <c r="D59" s="96"/>
    </row>
    <row r="60" spans="1:4" ht="15.75" outlineLevel="1">
      <c r="A60" s="25" t="s">
        <v>975</v>
      </c>
      <c r="B60" s="26" t="s">
        <v>130</v>
      </c>
      <c r="C60" s="25">
        <v>5.36</v>
      </c>
      <c r="D60" s="96"/>
    </row>
    <row r="61" spans="1:4" ht="15.75" outlineLevel="1">
      <c r="A61" s="25" t="s">
        <v>975</v>
      </c>
      <c r="B61" s="26" t="s">
        <v>9</v>
      </c>
      <c r="C61" s="25">
        <v>5.49</v>
      </c>
      <c r="D61" s="96"/>
    </row>
    <row r="62" spans="1:4" ht="15.75" outlineLevel="1">
      <c r="A62" s="25" t="s">
        <v>975</v>
      </c>
      <c r="B62" s="26" t="s">
        <v>10</v>
      </c>
      <c r="C62" s="25">
        <v>5.51</v>
      </c>
      <c r="D62" s="96"/>
    </row>
    <row r="63" spans="1:4" ht="15.75" outlineLevel="1">
      <c r="A63" s="25" t="s">
        <v>975</v>
      </c>
      <c r="B63" s="26" t="s">
        <v>1117</v>
      </c>
      <c r="C63" s="25">
        <v>5.52</v>
      </c>
      <c r="D63" s="96"/>
    </row>
    <row r="64" spans="1:4" ht="15.75" outlineLevel="1">
      <c r="A64" s="25" t="s">
        <v>975</v>
      </c>
      <c r="B64" s="26" t="s">
        <v>11</v>
      </c>
      <c r="C64" s="25">
        <v>5.53</v>
      </c>
      <c r="D64" s="96"/>
    </row>
    <row r="65" spans="1:4" ht="15.75" outlineLevel="1">
      <c r="A65" s="25" t="s">
        <v>975</v>
      </c>
      <c r="B65" s="26" t="s">
        <v>12</v>
      </c>
      <c r="C65" s="25">
        <v>5.69</v>
      </c>
      <c r="D65" s="96"/>
    </row>
    <row r="66" spans="1:4" ht="15.75" outlineLevel="1">
      <c r="A66" s="25" t="s">
        <v>975</v>
      </c>
      <c r="B66" s="26" t="s">
        <v>919</v>
      </c>
      <c r="C66" s="27">
        <v>5.72</v>
      </c>
      <c r="D66" s="96"/>
    </row>
    <row r="67" spans="1:4" ht="15.75" outlineLevel="1">
      <c r="A67" s="25" t="s">
        <v>975</v>
      </c>
      <c r="B67" s="26" t="s">
        <v>13</v>
      </c>
      <c r="C67" s="25">
        <v>5.75</v>
      </c>
      <c r="D67" s="96"/>
    </row>
    <row r="68" spans="1:4" ht="15.75" outlineLevel="1">
      <c r="A68" s="25" t="s">
        <v>975</v>
      </c>
      <c r="B68" s="26" t="s">
        <v>14</v>
      </c>
      <c r="C68" s="27">
        <v>5.7</v>
      </c>
      <c r="D68" s="96"/>
    </row>
    <row r="69" spans="1:4" ht="15.75" outlineLevel="1">
      <c r="A69" s="25" t="s">
        <v>975</v>
      </c>
      <c r="B69" s="26" t="s">
        <v>15</v>
      </c>
      <c r="C69" s="25">
        <v>5.74</v>
      </c>
      <c r="D69" s="96"/>
    </row>
    <row r="70" spans="1:4" ht="15.75" outlineLevel="1">
      <c r="A70" s="25" t="s">
        <v>975</v>
      </c>
      <c r="B70" s="26" t="s">
        <v>420</v>
      </c>
      <c r="C70" s="25">
        <v>5.76</v>
      </c>
      <c r="D70" s="96"/>
    </row>
    <row r="71" spans="1:4" ht="15.75" outlineLevel="1">
      <c r="A71" s="25" t="s">
        <v>975</v>
      </c>
      <c r="B71" s="26" t="s">
        <v>841</v>
      </c>
      <c r="C71" s="25">
        <v>5.89</v>
      </c>
      <c r="D71" s="95" t="s">
        <v>1114</v>
      </c>
    </row>
    <row r="72" spans="1:4" ht="15.75" outlineLevel="1">
      <c r="A72" s="25" t="s">
        <v>975</v>
      </c>
      <c r="B72" s="26" t="s">
        <v>17</v>
      </c>
      <c r="C72" s="25">
        <v>5.58</v>
      </c>
      <c r="D72" s="96"/>
    </row>
    <row r="73" spans="1:4" ht="15.75" outlineLevel="1">
      <c r="A73" s="25" t="s">
        <v>975</v>
      </c>
      <c r="B73" s="26" t="s">
        <v>16</v>
      </c>
      <c r="C73" s="25">
        <v>5.62</v>
      </c>
      <c r="D73" s="96"/>
    </row>
    <row r="74" spans="1:4" ht="15.75" outlineLevel="1">
      <c r="A74" s="25" t="s">
        <v>975</v>
      </c>
      <c r="B74" s="26" t="s">
        <v>18</v>
      </c>
      <c r="C74" s="25">
        <v>5.54</v>
      </c>
      <c r="D74" s="96"/>
    </row>
    <row r="75" spans="1:4" ht="15.75" outlineLevel="1">
      <c r="A75" s="25" t="s">
        <v>975</v>
      </c>
      <c r="B75" s="26" t="s">
        <v>19</v>
      </c>
      <c r="C75" s="25">
        <v>5.55</v>
      </c>
      <c r="D75" s="96"/>
    </row>
    <row r="76" spans="1:4" ht="15.75" outlineLevel="1">
      <c r="A76" s="25" t="s">
        <v>975</v>
      </c>
      <c r="B76" s="26" t="s">
        <v>20</v>
      </c>
      <c r="C76" s="25">
        <v>5.63</v>
      </c>
      <c r="D76" s="96"/>
    </row>
    <row r="77" spans="1:4" ht="15.75" outlineLevel="1">
      <c r="A77" s="25" t="s">
        <v>975</v>
      </c>
      <c r="B77" s="26" t="s">
        <v>21</v>
      </c>
      <c r="C77" s="25">
        <v>5.65</v>
      </c>
      <c r="D77" s="96"/>
    </row>
    <row r="78" spans="1:4" ht="15.75" outlineLevel="1">
      <c r="A78" s="25" t="s">
        <v>975</v>
      </c>
      <c r="B78" s="26" t="s">
        <v>170</v>
      </c>
      <c r="C78" s="25">
        <v>5.66</v>
      </c>
      <c r="D78" s="96"/>
    </row>
    <row r="79" spans="1:4" ht="15.75" outlineLevel="1">
      <c r="A79" s="25" t="s">
        <v>975</v>
      </c>
      <c r="B79" s="26" t="s">
        <v>22</v>
      </c>
      <c r="C79" s="25">
        <v>5.68</v>
      </c>
      <c r="D79" s="96"/>
    </row>
    <row r="80" spans="1:4" ht="15.75" outlineLevel="1">
      <c r="A80" s="25" t="s">
        <v>975</v>
      </c>
      <c r="B80" s="26" t="s">
        <v>23</v>
      </c>
      <c r="C80" s="25">
        <v>5.45</v>
      </c>
      <c r="D80" s="96"/>
    </row>
    <row r="81" spans="1:4" ht="15.75" outlineLevel="1">
      <c r="A81" s="25" t="s">
        <v>975</v>
      </c>
      <c r="B81" s="26" t="s">
        <v>24</v>
      </c>
      <c r="C81" s="25">
        <v>5.47</v>
      </c>
      <c r="D81" s="96"/>
    </row>
    <row r="82" spans="1:4" ht="15.75" outlineLevel="1">
      <c r="A82" s="25" t="s">
        <v>975</v>
      </c>
      <c r="B82" s="26" t="s">
        <v>25</v>
      </c>
      <c r="C82" s="25">
        <v>5.48</v>
      </c>
      <c r="D82" s="96"/>
    </row>
    <row r="83" spans="1:4" ht="15.75">
      <c r="A83" s="30" t="s">
        <v>975</v>
      </c>
      <c r="B83" s="26"/>
      <c r="C83" s="25"/>
      <c r="D83" s="96"/>
    </row>
    <row r="84" spans="1:4" ht="15.75" outlineLevel="1">
      <c r="A84" s="25" t="s">
        <v>976</v>
      </c>
      <c r="B84" s="26" t="s">
        <v>0</v>
      </c>
      <c r="C84" s="25">
        <v>5.0999999999999996</v>
      </c>
      <c r="D84" s="96"/>
    </row>
    <row r="85" spans="1:4" ht="15.75" outlineLevel="1">
      <c r="A85" s="25" t="s">
        <v>976</v>
      </c>
      <c r="B85" s="26" t="s">
        <v>1</v>
      </c>
      <c r="C85" s="25">
        <v>5.2</v>
      </c>
      <c r="D85" s="96"/>
    </row>
    <row r="86" spans="1:4" ht="15.75" outlineLevel="1">
      <c r="A86" s="25" t="s">
        <v>976</v>
      </c>
      <c r="B86" s="26" t="s">
        <v>2</v>
      </c>
      <c r="C86" s="25">
        <v>5.3</v>
      </c>
      <c r="D86" s="96"/>
    </row>
    <row r="87" spans="1:4" ht="15.75" outlineLevel="1">
      <c r="A87" s="25" t="s">
        <v>976</v>
      </c>
      <c r="B87" s="26" t="s">
        <v>151</v>
      </c>
      <c r="C87" s="25">
        <v>5.6</v>
      </c>
      <c r="D87" s="96"/>
    </row>
    <row r="88" spans="1:4" ht="15.75" outlineLevel="1">
      <c r="A88" s="25" t="s">
        <v>976</v>
      </c>
      <c r="B88" s="26" t="s">
        <v>1116</v>
      </c>
      <c r="C88" s="27">
        <v>5.0999999999999996</v>
      </c>
      <c r="D88" s="96"/>
    </row>
    <row r="89" spans="1:4" ht="15.75" outlineLevel="1">
      <c r="A89" s="25" t="s">
        <v>976</v>
      </c>
      <c r="B89" s="26" t="s">
        <v>1115</v>
      </c>
      <c r="C89" s="25">
        <v>5.14</v>
      </c>
      <c r="D89" s="96"/>
    </row>
    <row r="90" spans="1:4" ht="15.75" outlineLevel="1">
      <c r="A90" s="25" t="s">
        <v>976</v>
      </c>
      <c r="B90" s="26" t="s">
        <v>4</v>
      </c>
      <c r="C90" s="25">
        <v>5.19</v>
      </c>
      <c r="D90" s="96"/>
    </row>
    <row r="91" spans="1:4" ht="15.75" outlineLevel="1">
      <c r="A91" s="25" t="s">
        <v>976</v>
      </c>
      <c r="B91" s="26" t="s">
        <v>153</v>
      </c>
      <c r="C91" s="25">
        <v>5.24</v>
      </c>
      <c r="D91" s="96"/>
    </row>
    <row r="92" spans="1:4" ht="15.75" outlineLevel="1">
      <c r="A92" s="25" t="s">
        <v>976</v>
      </c>
      <c r="B92" s="26" t="s">
        <v>5</v>
      </c>
      <c r="C92" s="25">
        <v>5.26</v>
      </c>
      <c r="D92" s="96"/>
    </row>
    <row r="93" spans="1:4" ht="15.75" outlineLevel="1">
      <c r="A93" s="25" t="s">
        <v>976</v>
      </c>
      <c r="B93" s="26" t="s">
        <v>6</v>
      </c>
      <c r="C93" s="25">
        <v>5.27</v>
      </c>
      <c r="D93" s="96"/>
    </row>
    <row r="94" spans="1:4" ht="15.75" outlineLevel="1">
      <c r="A94" s="25" t="s">
        <v>976</v>
      </c>
      <c r="B94" s="26" t="s">
        <v>7</v>
      </c>
      <c r="C94" s="25">
        <v>5.28</v>
      </c>
      <c r="D94" s="96"/>
    </row>
    <row r="95" spans="1:4" ht="15.75" outlineLevel="1">
      <c r="A95" s="25" t="s">
        <v>976</v>
      </c>
      <c r="B95" s="26" t="s">
        <v>336</v>
      </c>
      <c r="C95" s="25">
        <v>5.29</v>
      </c>
      <c r="D95" s="96"/>
    </row>
    <row r="96" spans="1:4" ht="15.75" outlineLevel="1">
      <c r="A96" s="25" t="s">
        <v>976</v>
      </c>
      <c r="B96" s="26" t="s">
        <v>8</v>
      </c>
      <c r="C96" s="27">
        <v>5.3</v>
      </c>
      <c r="D96" s="96"/>
    </row>
    <row r="97" spans="1:4" ht="15.75" outlineLevel="1">
      <c r="A97" s="25" t="s">
        <v>976</v>
      </c>
      <c r="B97" s="26" t="s">
        <v>154</v>
      </c>
      <c r="C97" s="25">
        <v>5.31</v>
      </c>
      <c r="D97" s="96"/>
    </row>
    <row r="98" spans="1:4" ht="15.75" outlineLevel="1">
      <c r="A98" s="25" t="s">
        <v>976</v>
      </c>
      <c r="B98" s="26" t="s">
        <v>130</v>
      </c>
      <c r="C98" s="25">
        <v>5.36</v>
      </c>
      <c r="D98" s="96"/>
    </row>
    <row r="99" spans="1:4" ht="15.75" outlineLevel="1">
      <c r="A99" s="25" t="s">
        <v>976</v>
      </c>
      <c r="B99" s="26" t="s">
        <v>9</v>
      </c>
      <c r="C99" s="25">
        <v>5.49</v>
      </c>
      <c r="D99" s="96"/>
    </row>
    <row r="100" spans="1:4" ht="15.75" outlineLevel="1">
      <c r="A100" s="25" t="s">
        <v>976</v>
      </c>
      <c r="B100" s="26" t="s">
        <v>10</v>
      </c>
      <c r="C100" s="25">
        <v>5.51</v>
      </c>
      <c r="D100" s="96"/>
    </row>
    <row r="101" spans="1:4" ht="15.75" outlineLevel="1">
      <c r="A101" s="25" t="s">
        <v>976</v>
      </c>
      <c r="B101" s="26" t="s">
        <v>1117</v>
      </c>
      <c r="C101" s="25">
        <v>5.52</v>
      </c>
      <c r="D101" s="96"/>
    </row>
    <row r="102" spans="1:4" ht="15.75" outlineLevel="1">
      <c r="A102" s="25" t="s">
        <v>976</v>
      </c>
      <c r="B102" s="26" t="s">
        <v>11</v>
      </c>
      <c r="C102" s="25">
        <v>5.53</v>
      </c>
      <c r="D102" s="96"/>
    </row>
    <row r="103" spans="1:4" ht="15.75" outlineLevel="1">
      <c r="A103" s="25" t="s">
        <v>976</v>
      </c>
      <c r="B103" s="26" t="s">
        <v>12</v>
      </c>
      <c r="C103" s="25">
        <v>5.69</v>
      </c>
      <c r="D103" s="96"/>
    </row>
    <row r="104" spans="1:4" ht="15.75" outlineLevel="1">
      <c r="A104" s="25" t="s">
        <v>976</v>
      </c>
      <c r="B104" s="26" t="s">
        <v>13</v>
      </c>
      <c r="C104" s="25">
        <v>5.75</v>
      </c>
      <c r="D104" s="96"/>
    </row>
    <row r="105" spans="1:4" ht="15.75" outlineLevel="1">
      <c r="A105" s="25" t="s">
        <v>976</v>
      </c>
      <c r="B105" s="26" t="s">
        <v>14</v>
      </c>
      <c r="C105" s="27">
        <v>5.7</v>
      </c>
      <c r="D105" s="96"/>
    </row>
    <row r="106" spans="1:4" ht="15.75" outlineLevel="1">
      <c r="A106" s="25" t="s">
        <v>976</v>
      </c>
      <c r="B106" s="26" t="s">
        <v>15</v>
      </c>
      <c r="C106" s="25">
        <v>5.74</v>
      </c>
      <c r="D106" s="96"/>
    </row>
    <row r="107" spans="1:4" ht="15.75" outlineLevel="1">
      <c r="A107" s="25" t="s">
        <v>976</v>
      </c>
      <c r="B107" s="26" t="s">
        <v>420</v>
      </c>
      <c r="C107" s="25">
        <v>5.76</v>
      </c>
      <c r="D107" s="96"/>
    </row>
    <row r="108" spans="1:4" ht="15.75" outlineLevel="1">
      <c r="A108" s="25" t="s">
        <v>976</v>
      </c>
      <c r="B108" s="26" t="s">
        <v>841</v>
      </c>
      <c r="C108" s="25">
        <v>5.89</v>
      </c>
      <c r="D108" s="95" t="s">
        <v>1114</v>
      </c>
    </row>
    <row r="109" spans="1:4" ht="15.75" outlineLevel="1">
      <c r="A109" s="25" t="s">
        <v>976</v>
      </c>
      <c r="B109" s="26" t="s">
        <v>17</v>
      </c>
      <c r="C109" s="25">
        <v>5.58</v>
      </c>
      <c r="D109" s="96"/>
    </row>
    <row r="110" spans="1:4" ht="15.75" outlineLevel="1">
      <c r="A110" s="25" t="s">
        <v>976</v>
      </c>
      <c r="B110" s="26" t="s">
        <v>16</v>
      </c>
      <c r="C110" s="25">
        <v>5.62</v>
      </c>
      <c r="D110" s="96"/>
    </row>
    <row r="111" spans="1:4" ht="15.75" outlineLevel="1">
      <c r="A111" s="25" t="s">
        <v>976</v>
      </c>
      <c r="B111" s="26" t="s">
        <v>18</v>
      </c>
      <c r="C111" s="25">
        <v>5.54</v>
      </c>
      <c r="D111" s="96"/>
    </row>
    <row r="112" spans="1:4" ht="15.75" outlineLevel="1">
      <c r="A112" s="25" t="s">
        <v>976</v>
      </c>
      <c r="B112" s="26" t="s">
        <v>19</v>
      </c>
      <c r="C112" s="25">
        <v>5.55</v>
      </c>
      <c r="D112" s="96"/>
    </row>
    <row r="113" spans="1:4" ht="15.75" outlineLevel="1">
      <c r="A113" s="25" t="s">
        <v>976</v>
      </c>
      <c r="B113" s="26" t="s">
        <v>21</v>
      </c>
      <c r="C113" s="25">
        <v>5.65</v>
      </c>
      <c r="D113" s="96"/>
    </row>
    <row r="114" spans="1:4" ht="15.75" outlineLevel="1">
      <c r="A114" s="25" t="s">
        <v>976</v>
      </c>
      <c r="B114" s="26" t="s">
        <v>170</v>
      </c>
      <c r="C114" s="25">
        <v>5.66</v>
      </c>
      <c r="D114" s="96"/>
    </row>
    <row r="115" spans="1:4" ht="15.75" outlineLevel="1">
      <c r="A115" s="25" t="s">
        <v>976</v>
      </c>
      <c r="B115" s="26" t="s">
        <v>22</v>
      </c>
      <c r="C115" s="25">
        <v>5.68</v>
      </c>
      <c r="D115" s="96"/>
    </row>
    <row r="116" spans="1:4" ht="15.75" outlineLevel="1">
      <c r="A116" s="25" t="s">
        <v>976</v>
      </c>
      <c r="B116" s="26" t="s">
        <v>23</v>
      </c>
      <c r="C116" s="25">
        <v>5.45</v>
      </c>
      <c r="D116" s="96"/>
    </row>
    <row r="117" spans="1:4" ht="15.75" outlineLevel="1">
      <c r="A117" s="25" t="s">
        <v>976</v>
      </c>
      <c r="B117" s="26" t="s">
        <v>24</v>
      </c>
      <c r="C117" s="25">
        <v>5.47</v>
      </c>
      <c r="D117" s="96"/>
    </row>
    <row r="118" spans="1:4" ht="15.75" outlineLevel="1">
      <c r="A118" s="25" t="s">
        <v>976</v>
      </c>
      <c r="B118" s="26" t="s">
        <v>25</v>
      </c>
      <c r="C118" s="25">
        <v>5.48</v>
      </c>
      <c r="D118" s="96"/>
    </row>
    <row r="119" spans="1:4" ht="15.75">
      <c r="A119" s="30" t="s">
        <v>976</v>
      </c>
      <c r="B119" s="26"/>
      <c r="C119" s="25"/>
      <c r="D119" s="96"/>
    </row>
    <row r="120" spans="1:4" ht="15.75" outlineLevel="1">
      <c r="A120" s="25" t="s">
        <v>1118</v>
      </c>
      <c r="B120" s="26" t="s">
        <v>0</v>
      </c>
      <c r="C120" s="25">
        <v>5.0999999999999996</v>
      </c>
      <c r="D120" s="96"/>
    </row>
    <row r="121" spans="1:4" ht="15.75" outlineLevel="1">
      <c r="A121" s="25" t="s">
        <v>1118</v>
      </c>
      <c r="B121" s="26" t="s">
        <v>1</v>
      </c>
      <c r="C121" s="25">
        <v>5.2</v>
      </c>
      <c r="D121" s="96"/>
    </row>
    <row r="122" spans="1:4" ht="15.75" outlineLevel="1">
      <c r="A122" s="25" t="s">
        <v>1118</v>
      </c>
      <c r="B122" s="26" t="s">
        <v>2</v>
      </c>
      <c r="C122" s="25">
        <v>5.3</v>
      </c>
      <c r="D122" s="96"/>
    </row>
    <row r="123" spans="1:4" ht="15.75" outlineLevel="1">
      <c r="A123" s="25" t="s">
        <v>1118</v>
      </c>
      <c r="B123" s="26" t="s">
        <v>151</v>
      </c>
      <c r="C123" s="25">
        <v>5.6</v>
      </c>
      <c r="D123" s="96"/>
    </row>
    <row r="124" spans="1:4" ht="15.75" outlineLevel="1">
      <c r="A124" s="25" t="s">
        <v>1118</v>
      </c>
      <c r="B124" s="26" t="s">
        <v>1116</v>
      </c>
      <c r="C124" s="27">
        <v>5.0999999999999996</v>
      </c>
      <c r="D124" s="96"/>
    </row>
    <row r="125" spans="1:4" ht="15.75" outlineLevel="1">
      <c r="A125" s="25" t="s">
        <v>1118</v>
      </c>
      <c r="B125" s="26" t="s">
        <v>1115</v>
      </c>
      <c r="C125" s="25">
        <v>5.14</v>
      </c>
      <c r="D125" s="96"/>
    </row>
    <row r="126" spans="1:4" ht="15.75" outlineLevel="1">
      <c r="A126" s="25" t="s">
        <v>1118</v>
      </c>
      <c r="B126" s="26" t="s">
        <v>4</v>
      </c>
      <c r="C126" s="25">
        <v>5.19</v>
      </c>
      <c r="D126" s="96"/>
    </row>
    <row r="127" spans="1:4" ht="15.75" outlineLevel="1">
      <c r="A127" s="25" t="s">
        <v>1118</v>
      </c>
      <c r="B127" s="26" t="s">
        <v>153</v>
      </c>
      <c r="C127" s="25">
        <v>5.24</v>
      </c>
      <c r="D127" s="96"/>
    </row>
    <row r="128" spans="1:4" ht="15.75" outlineLevel="1">
      <c r="A128" s="25" t="s">
        <v>1118</v>
      </c>
      <c r="B128" s="26" t="s">
        <v>5</v>
      </c>
      <c r="C128" s="25">
        <v>5.26</v>
      </c>
      <c r="D128" s="96"/>
    </row>
    <row r="129" spans="1:4" ht="15.75" outlineLevel="1">
      <c r="A129" s="25" t="s">
        <v>1118</v>
      </c>
      <c r="B129" s="26" t="s">
        <v>6</v>
      </c>
      <c r="C129" s="25">
        <v>5.27</v>
      </c>
      <c r="D129" s="96"/>
    </row>
    <row r="130" spans="1:4" ht="15.75" outlineLevel="1">
      <c r="A130" s="25" t="s">
        <v>1118</v>
      </c>
      <c r="B130" s="26" t="s">
        <v>7</v>
      </c>
      <c r="C130" s="25">
        <v>5.28</v>
      </c>
      <c r="D130" s="96"/>
    </row>
    <row r="131" spans="1:4" ht="15.75" outlineLevel="1">
      <c r="A131" s="25" t="s">
        <v>1118</v>
      </c>
      <c r="B131" s="26" t="s">
        <v>336</v>
      </c>
      <c r="C131" s="25">
        <v>5.29</v>
      </c>
      <c r="D131" s="96"/>
    </row>
    <row r="132" spans="1:4" ht="15.75" outlineLevel="1">
      <c r="A132" s="25" t="s">
        <v>1118</v>
      </c>
      <c r="B132" s="26" t="s">
        <v>8</v>
      </c>
      <c r="C132" s="27">
        <v>5.3</v>
      </c>
      <c r="D132" s="96"/>
    </row>
    <row r="133" spans="1:4" ht="15.75" outlineLevel="1">
      <c r="A133" s="25" t="s">
        <v>1118</v>
      </c>
      <c r="B133" s="26" t="s">
        <v>154</v>
      </c>
      <c r="C133" s="25">
        <v>5.31</v>
      </c>
      <c r="D133" s="96"/>
    </row>
    <row r="134" spans="1:4" ht="15.75" outlineLevel="1">
      <c r="A134" s="25" t="s">
        <v>1118</v>
      </c>
      <c r="B134" s="26" t="s">
        <v>130</v>
      </c>
      <c r="C134" s="25">
        <v>5.36</v>
      </c>
      <c r="D134" s="96"/>
    </row>
    <row r="135" spans="1:4" ht="15.75" outlineLevel="1">
      <c r="A135" s="25" t="s">
        <v>1118</v>
      </c>
      <c r="B135" s="26" t="s">
        <v>11</v>
      </c>
      <c r="C135" s="25">
        <v>5.53</v>
      </c>
      <c r="D135" s="96"/>
    </row>
    <row r="136" spans="1:4" ht="15.75" outlineLevel="1">
      <c r="A136" s="25" t="s">
        <v>1118</v>
      </c>
      <c r="B136" s="26" t="s">
        <v>17</v>
      </c>
      <c r="C136" s="25">
        <v>5.58</v>
      </c>
      <c r="D136" s="96"/>
    </row>
    <row r="137" spans="1:4" ht="15.75" outlineLevel="1">
      <c r="A137" s="25" t="s">
        <v>1118</v>
      </c>
      <c r="B137" s="26" t="s">
        <v>16</v>
      </c>
      <c r="C137" s="25">
        <v>5.62</v>
      </c>
      <c r="D137" s="96"/>
    </row>
    <row r="138" spans="1:4" ht="15.75" outlineLevel="1">
      <c r="A138" s="25" t="s">
        <v>1118</v>
      </c>
      <c r="B138" s="26" t="s">
        <v>18</v>
      </c>
      <c r="C138" s="25">
        <v>5.54</v>
      </c>
      <c r="D138" s="96"/>
    </row>
    <row r="139" spans="1:4" ht="15.75" outlineLevel="1">
      <c r="A139" s="25" t="s">
        <v>1118</v>
      </c>
      <c r="B139" s="26" t="s">
        <v>19</v>
      </c>
      <c r="C139" s="25">
        <v>5.55</v>
      </c>
      <c r="D139" s="96"/>
    </row>
    <row r="140" spans="1:4" ht="15.75" outlineLevel="1">
      <c r="A140" s="25" t="s">
        <v>1118</v>
      </c>
      <c r="B140" s="26" t="s">
        <v>20</v>
      </c>
      <c r="C140" s="25">
        <v>5.63</v>
      </c>
      <c r="D140" s="96"/>
    </row>
    <row r="141" spans="1:4" ht="15.75" outlineLevel="1">
      <c r="A141" s="25" t="s">
        <v>1118</v>
      </c>
      <c r="B141" s="26" t="s">
        <v>23</v>
      </c>
      <c r="C141" s="25">
        <v>5.45</v>
      </c>
      <c r="D141" s="96"/>
    </row>
    <row r="142" spans="1:4" ht="15.75" outlineLevel="1">
      <c r="A142" s="25" t="s">
        <v>1118</v>
      </c>
      <c r="B142" s="26" t="s">
        <v>24</v>
      </c>
      <c r="C142" s="25">
        <v>5.47</v>
      </c>
      <c r="D142" s="96"/>
    </row>
    <row r="143" spans="1:4" ht="15.75" outlineLevel="1">
      <c r="A143" s="25" t="s">
        <v>1118</v>
      </c>
      <c r="B143" s="26" t="s">
        <v>25</v>
      </c>
      <c r="C143" s="25">
        <v>5.48</v>
      </c>
      <c r="D143" s="96"/>
    </row>
    <row r="144" spans="1:4" ht="15.75">
      <c r="A144" s="30" t="s">
        <v>1118</v>
      </c>
      <c r="B144" s="26"/>
      <c r="C144" s="25"/>
      <c r="D144" s="96"/>
    </row>
    <row r="145" spans="1:4" ht="15.75" outlineLevel="1">
      <c r="A145" s="25" t="s">
        <v>481</v>
      </c>
      <c r="B145" s="26" t="s">
        <v>0</v>
      </c>
      <c r="C145" s="25">
        <v>5.0999999999999996</v>
      </c>
      <c r="D145" s="96"/>
    </row>
    <row r="146" spans="1:4" ht="15.75" outlineLevel="1">
      <c r="A146" s="25" t="s">
        <v>481</v>
      </c>
      <c r="B146" s="26" t="s">
        <v>1</v>
      </c>
      <c r="C146" s="25">
        <v>5.2</v>
      </c>
      <c r="D146" s="96"/>
    </row>
    <row r="147" spans="1:4" ht="15.75" outlineLevel="1">
      <c r="A147" s="25" t="s">
        <v>481</v>
      </c>
      <c r="B147" s="26" t="s">
        <v>2</v>
      </c>
      <c r="C147" s="25">
        <v>5.3</v>
      </c>
      <c r="D147" s="96"/>
    </row>
    <row r="148" spans="1:4" ht="15.75" outlineLevel="1">
      <c r="A148" s="25" t="s">
        <v>481</v>
      </c>
      <c r="B148" s="26" t="s">
        <v>151</v>
      </c>
      <c r="C148" s="25">
        <v>5.6</v>
      </c>
      <c r="D148" s="96"/>
    </row>
    <row r="149" spans="1:4" ht="15.75" outlineLevel="1">
      <c r="A149" s="25" t="s">
        <v>481</v>
      </c>
      <c r="B149" s="26" t="s">
        <v>1116</v>
      </c>
      <c r="C149" s="27">
        <v>5.0999999999999996</v>
      </c>
      <c r="D149" s="96"/>
    </row>
    <row r="150" spans="1:4" ht="15.75" outlineLevel="1">
      <c r="A150" s="25" t="s">
        <v>481</v>
      </c>
      <c r="B150" s="26" t="s">
        <v>1115</v>
      </c>
      <c r="C150" s="25">
        <v>5.14</v>
      </c>
      <c r="D150" s="96"/>
    </row>
    <row r="151" spans="1:4" ht="15.75" outlineLevel="1">
      <c r="A151" s="25" t="s">
        <v>481</v>
      </c>
      <c r="B151" s="26" t="s">
        <v>4</v>
      </c>
      <c r="C151" s="25">
        <v>5.19</v>
      </c>
      <c r="D151" s="96"/>
    </row>
    <row r="152" spans="1:4" ht="15.75" outlineLevel="1">
      <c r="A152" s="25" t="s">
        <v>481</v>
      </c>
      <c r="B152" s="26" t="s">
        <v>153</v>
      </c>
      <c r="C152" s="25">
        <v>5.24</v>
      </c>
      <c r="D152" s="96"/>
    </row>
    <row r="153" spans="1:4" ht="15.75" outlineLevel="1">
      <c r="A153" s="25" t="s">
        <v>481</v>
      </c>
      <c r="B153" s="26" t="s">
        <v>5</v>
      </c>
      <c r="C153" s="25">
        <v>5.26</v>
      </c>
      <c r="D153" s="96"/>
    </row>
    <row r="154" spans="1:4" ht="15.75" outlineLevel="1">
      <c r="A154" s="25" t="s">
        <v>481</v>
      </c>
      <c r="B154" s="26" t="s">
        <v>6</v>
      </c>
      <c r="C154" s="25">
        <v>5.27</v>
      </c>
      <c r="D154" s="96"/>
    </row>
    <row r="155" spans="1:4" ht="15.75" outlineLevel="1">
      <c r="A155" s="25" t="s">
        <v>481</v>
      </c>
      <c r="B155" s="26" t="s">
        <v>7</v>
      </c>
      <c r="C155" s="25">
        <v>5.28</v>
      </c>
      <c r="D155" s="96"/>
    </row>
    <row r="156" spans="1:4" ht="15.75" outlineLevel="1">
      <c r="A156" s="25" t="s">
        <v>481</v>
      </c>
      <c r="B156" s="26" t="s">
        <v>8</v>
      </c>
      <c r="C156" s="27">
        <v>5.3</v>
      </c>
      <c r="D156" s="96"/>
    </row>
    <row r="157" spans="1:4" ht="15.75" outlineLevel="1">
      <c r="A157" s="25" t="s">
        <v>481</v>
      </c>
      <c r="B157" s="26" t="s">
        <v>579</v>
      </c>
      <c r="C157" s="25">
        <v>5.32</v>
      </c>
      <c r="D157" s="96"/>
    </row>
    <row r="158" spans="1:4" ht="15.75" outlineLevel="1">
      <c r="A158" s="25" t="s">
        <v>481</v>
      </c>
      <c r="B158" s="26" t="s">
        <v>130</v>
      </c>
      <c r="C158" s="25">
        <v>5.36</v>
      </c>
      <c r="D158" s="96"/>
    </row>
    <row r="159" spans="1:4" ht="15.75" outlineLevel="1">
      <c r="A159" s="25" t="s">
        <v>481</v>
      </c>
      <c r="B159" s="26" t="s">
        <v>11</v>
      </c>
      <c r="C159" s="25">
        <v>5.53</v>
      </c>
      <c r="D159" s="96"/>
    </row>
    <row r="160" spans="1:4" ht="15.75" outlineLevel="1">
      <c r="A160" s="25" t="s">
        <v>481</v>
      </c>
      <c r="B160" s="26" t="s">
        <v>17</v>
      </c>
      <c r="C160" s="25">
        <v>5.58</v>
      </c>
      <c r="D160" s="96"/>
    </row>
    <row r="161" spans="1:4" ht="15.75" outlineLevel="1">
      <c r="A161" s="25" t="s">
        <v>481</v>
      </c>
      <c r="B161" s="26" t="s">
        <v>18</v>
      </c>
      <c r="C161" s="25">
        <v>5.54</v>
      </c>
      <c r="D161" s="96"/>
    </row>
    <row r="162" spans="1:4" ht="15.75" outlineLevel="1">
      <c r="A162" s="25" t="s">
        <v>481</v>
      </c>
      <c r="B162" s="26" t="s">
        <v>19</v>
      </c>
      <c r="C162" s="25">
        <v>5.55</v>
      </c>
      <c r="D162" s="96"/>
    </row>
    <row r="163" spans="1:4" ht="15.75" outlineLevel="1">
      <c r="A163" s="25" t="s">
        <v>481</v>
      </c>
      <c r="B163" s="26" t="s">
        <v>16</v>
      </c>
      <c r="C163" s="25">
        <v>5.62</v>
      </c>
      <c r="D163" s="96"/>
    </row>
    <row r="164" spans="1:4" ht="15.75" outlineLevel="1">
      <c r="A164" s="25" t="s">
        <v>481</v>
      </c>
      <c r="B164" s="26" t="s">
        <v>20</v>
      </c>
      <c r="C164" s="25">
        <v>5.63</v>
      </c>
      <c r="D164" s="96"/>
    </row>
    <row r="165" spans="1:4" ht="15.75" outlineLevel="1">
      <c r="A165" s="25" t="s">
        <v>481</v>
      </c>
      <c r="B165" s="26" t="s">
        <v>23</v>
      </c>
      <c r="C165" s="25">
        <v>5.45</v>
      </c>
      <c r="D165" s="96"/>
    </row>
    <row r="166" spans="1:4" ht="15.75" outlineLevel="1">
      <c r="A166" s="25" t="s">
        <v>481</v>
      </c>
      <c r="B166" s="26" t="s">
        <v>24</v>
      </c>
      <c r="C166" s="25">
        <v>5.47</v>
      </c>
      <c r="D166" s="96"/>
    </row>
    <row r="167" spans="1:4" ht="15.75" outlineLevel="1">
      <c r="A167" s="25" t="s">
        <v>481</v>
      </c>
      <c r="B167" s="26" t="s">
        <v>25</v>
      </c>
      <c r="C167" s="25">
        <v>5.48</v>
      </c>
      <c r="D167" s="96"/>
    </row>
    <row r="168" spans="1:4" ht="15.75">
      <c r="A168" s="30" t="s">
        <v>481</v>
      </c>
      <c r="B168" s="26"/>
      <c r="C168" s="25"/>
      <c r="D168" s="96"/>
    </row>
    <row r="169" spans="1:4" ht="15.75" outlineLevel="1">
      <c r="A169" s="25" t="s">
        <v>996</v>
      </c>
      <c r="B169" s="26" t="s">
        <v>0</v>
      </c>
      <c r="C169" s="25">
        <v>5.0999999999999996</v>
      </c>
      <c r="D169" s="96"/>
    </row>
    <row r="170" spans="1:4" ht="15.75" outlineLevel="1">
      <c r="A170" s="25" t="s">
        <v>996</v>
      </c>
      <c r="B170" s="26" t="s">
        <v>1</v>
      </c>
      <c r="C170" s="25">
        <v>5.2</v>
      </c>
      <c r="D170" s="96"/>
    </row>
    <row r="171" spans="1:4" ht="15.75" outlineLevel="1">
      <c r="A171" s="25" t="s">
        <v>996</v>
      </c>
      <c r="B171" s="26" t="s">
        <v>2</v>
      </c>
      <c r="C171" s="25">
        <v>5.3</v>
      </c>
      <c r="D171" s="96"/>
    </row>
    <row r="172" spans="1:4" ht="15.75" outlineLevel="1">
      <c r="A172" s="25" t="s">
        <v>996</v>
      </c>
      <c r="B172" s="26" t="s">
        <v>151</v>
      </c>
      <c r="C172" s="25">
        <v>5.6</v>
      </c>
      <c r="D172" s="96"/>
    </row>
    <row r="173" spans="1:4" ht="15.75" outlineLevel="1">
      <c r="A173" s="25" t="s">
        <v>996</v>
      </c>
      <c r="B173" s="26" t="s">
        <v>1116</v>
      </c>
      <c r="C173" s="27">
        <v>5.0999999999999996</v>
      </c>
      <c r="D173" s="96"/>
    </row>
    <row r="174" spans="1:4" ht="15.75" outlineLevel="1">
      <c r="A174" s="25" t="s">
        <v>996</v>
      </c>
      <c r="B174" s="26" t="s">
        <v>1115</v>
      </c>
      <c r="C174" s="25">
        <v>5.14</v>
      </c>
      <c r="D174" s="96"/>
    </row>
    <row r="175" spans="1:4" ht="15.75" outlineLevel="1">
      <c r="A175" s="25" t="s">
        <v>996</v>
      </c>
      <c r="B175" s="26" t="s">
        <v>4</v>
      </c>
      <c r="C175" s="25">
        <v>5.19</v>
      </c>
      <c r="D175" s="96"/>
    </row>
    <row r="176" spans="1:4" ht="15.75" outlineLevel="1">
      <c r="A176" s="25" t="s">
        <v>996</v>
      </c>
      <c r="B176" s="26" t="s">
        <v>153</v>
      </c>
      <c r="C176" s="25">
        <v>5.24</v>
      </c>
      <c r="D176" s="96"/>
    </row>
    <row r="177" spans="1:4" ht="15.75" outlineLevel="1">
      <c r="A177" s="25" t="s">
        <v>996</v>
      </c>
      <c r="B177" s="26" t="s">
        <v>5</v>
      </c>
      <c r="C177" s="25">
        <v>5.26</v>
      </c>
      <c r="D177" s="96"/>
    </row>
    <row r="178" spans="1:4" ht="15.75" outlineLevel="1">
      <c r="A178" s="25" t="s">
        <v>996</v>
      </c>
      <c r="B178" s="26" t="s">
        <v>6</v>
      </c>
      <c r="C178" s="25">
        <v>5.27</v>
      </c>
      <c r="D178" s="96"/>
    </row>
    <row r="179" spans="1:4" ht="15.75" outlineLevel="1">
      <c r="A179" s="25" t="s">
        <v>996</v>
      </c>
      <c r="B179" s="26" t="s">
        <v>7</v>
      </c>
      <c r="C179" s="25">
        <v>5.28</v>
      </c>
      <c r="D179" s="96"/>
    </row>
    <row r="180" spans="1:4" ht="15.75" outlineLevel="1">
      <c r="A180" s="25" t="s">
        <v>996</v>
      </c>
      <c r="B180" s="26" t="s">
        <v>336</v>
      </c>
      <c r="C180" s="25">
        <v>5.29</v>
      </c>
      <c r="D180" s="96"/>
    </row>
    <row r="181" spans="1:4" ht="15.75" outlineLevel="1">
      <c r="A181" s="25" t="s">
        <v>996</v>
      </c>
      <c r="B181" s="26" t="s">
        <v>8</v>
      </c>
      <c r="C181" s="27">
        <v>5.3</v>
      </c>
      <c r="D181" s="96"/>
    </row>
    <row r="182" spans="1:4" ht="15.75" outlineLevel="1">
      <c r="A182" s="25" t="s">
        <v>996</v>
      </c>
      <c r="B182" s="26" t="s">
        <v>579</v>
      </c>
      <c r="C182" s="25">
        <v>5.32</v>
      </c>
      <c r="D182" s="96"/>
    </row>
    <row r="183" spans="1:4" ht="15.75" outlineLevel="1">
      <c r="A183" s="25" t="s">
        <v>996</v>
      </c>
      <c r="B183" s="26" t="s">
        <v>130</v>
      </c>
      <c r="C183" s="25">
        <v>5.36</v>
      </c>
      <c r="D183" s="96"/>
    </row>
    <row r="184" spans="1:4" ht="15.75" outlineLevel="1">
      <c r="A184" s="25" t="s">
        <v>996</v>
      </c>
      <c r="B184" s="26" t="s">
        <v>11</v>
      </c>
      <c r="C184" s="25">
        <v>5.53</v>
      </c>
      <c r="D184" s="96"/>
    </row>
    <row r="185" spans="1:4" ht="15.75" outlineLevel="1">
      <c r="A185" s="25" t="s">
        <v>996</v>
      </c>
      <c r="B185" s="26" t="s">
        <v>17</v>
      </c>
      <c r="C185" s="25">
        <v>5.58</v>
      </c>
      <c r="D185" s="96"/>
    </row>
    <row r="186" spans="1:4" ht="15.75" outlineLevel="1">
      <c r="A186" s="25" t="s">
        <v>996</v>
      </c>
      <c r="B186" s="26" t="s">
        <v>18</v>
      </c>
      <c r="C186" s="25">
        <v>5.54</v>
      </c>
      <c r="D186" s="96"/>
    </row>
    <row r="187" spans="1:4" ht="15.75" outlineLevel="1">
      <c r="A187" s="25" t="s">
        <v>996</v>
      </c>
      <c r="B187" s="26" t="s">
        <v>19</v>
      </c>
      <c r="C187" s="25">
        <v>5.55</v>
      </c>
      <c r="D187" s="96"/>
    </row>
    <row r="188" spans="1:4" ht="15.75" outlineLevel="1">
      <c r="A188" s="25" t="s">
        <v>996</v>
      </c>
      <c r="B188" s="26" t="s">
        <v>20</v>
      </c>
      <c r="C188" s="25">
        <v>5.63</v>
      </c>
      <c r="D188" s="96"/>
    </row>
    <row r="189" spans="1:4" ht="15.75" outlineLevel="1">
      <c r="A189" s="25" t="s">
        <v>996</v>
      </c>
      <c r="B189" s="26" t="s">
        <v>23</v>
      </c>
      <c r="C189" s="25">
        <v>5.45</v>
      </c>
      <c r="D189" s="96"/>
    </row>
    <row r="190" spans="1:4" ht="15.75" outlineLevel="1">
      <c r="A190" s="25" t="s">
        <v>996</v>
      </c>
      <c r="B190" s="26" t="s">
        <v>24</v>
      </c>
      <c r="C190" s="25">
        <v>5.47</v>
      </c>
      <c r="D190" s="96"/>
    </row>
    <row r="191" spans="1:4" ht="15.75" outlineLevel="1">
      <c r="A191" s="25" t="s">
        <v>996</v>
      </c>
      <c r="B191" s="26" t="s">
        <v>25</v>
      </c>
      <c r="C191" s="25">
        <v>5.48</v>
      </c>
      <c r="D191" s="96"/>
    </row>
    <row r="192" spans="1:4" ht="15.75">
      <c r="A192" s="30" t="s">
        <v>996</v>
      </c>
      <c r="B192" s="26"/>
      <c r="C192" s="25"/>
      <c r="D192" s="96"/>
    </row>
    <row r="193" spans="1:4" ht="15.75" outlineLevel="1">
      <c r="A193" s="25" t="s">
        <v>1119</v>
      </c>
      <c r="B193" s="26" t="s">
        <v>0</v>
      </c>
      <c r="C193" s="25">
        <v>5.0999999999999996</v>
      </c>
      <c r="D193" s="96"/>
    </row>
    <row r="194" spans="1:4" ht="15.75" outlineLevel="1">
      <c r="A194" s="25" t="s">
        <v>1119</v>
      </c>
      <c r="B194" s="26" t="s">
        <v>1</v>
      </c>
      <c r="C194" s="25">
        <v>5.2</v>
      </c>
      <c r="D194" s="96"/>
    </row>
    <row r="195" spans="1:4" ht="15.75" outlineLevel="1">
      <c r="A195" s="25" t="s">
        <v>1119</v>
      </c>
      <c r="B195" s="26" t="s">
        <v>2</v>
      </c>
      <c r="C195" s="25">
        <v>5.3</v>
      </c>
      <c r="D195" s="96"/>
    </row>
    <row r="196" spans="1:4" ht="15.75" outlineLevel="1">
      <c r="A196" s="25" t="s">
        <v>1119</v>
      </c>
      <c r="B196" s="26" t="s">
        <v>151</v>
      </c>
      <c r="C196" s="25">
        <v>5.6</v>
      </c>
      <c r="D196" s="96"/>
    </row>
    <row r="197" spans="1:4" ht="15.75" outlineLevel="1">
      <c r="A197" s="25" t="s">
        <v>1119</v>
      </c>
      <c r="B197" s="26" t="s">
        <v>1116</v>
      </c>
      <c r="C197" s="27">
        <v>5.0999999999999996</v>
      </c>
      <c r="D197" s="96"/>
    </row>
    <row r="198" spans="1:4" ht="15.75" outlineLevel="1">
      <c r="A198" s="25" t="s">
        <v>1119</v>
      </c>
      <c r="B198" s="26" t="s">
        <v>1115</v>
      </c>
      <c r="C198" s="25">
        <v>5.14</v>
      </c>
      <c r="D198" s="96"/>
    </row>
    <row r="199" spans="1:4" ht="15.75" outlineLevel="1">
      <c r="A199" s="25" t="s">
        <v>1119</v>
      </c>
      <c r="B199" s="26" t="s">
        <v>4</v>
      </c>
      <c r="C199" s="25">
        <v>5.19</v>
      </c>
      <c r="D199" s="96"/>
    </row>
    <row r="200" spans="1:4" ht="15.75" outlineLevel="1">
      <c r="A200" s="25" t="s">
        <v>1119</v>
      </c>
      <c r="B200" s="26" t="s">
        <v>153</v>
      </c>
      <c r="C200" s="25">
        <v>5.24</v>
      </c>
      <c r="D200" s="96"/>
    </row>
    <row r="201" spans="1:4" ht="15.75" outlineLevel="1">
      <c r="A201" s="25" t="s">
        <v>1119</v>
      </c>
      <c r="B201" s="26" t="s">
        <v>6</v>
      </c>
      <c r="C201" s="25">
        <v>5.27</v>
      </c>
      <c r="D201" s="96"/>
    </row>
    <row r="202" spans="1:4" ht="15.75" outlineLevel="1">
      <c r="A202" s="25" t="s">
        <v>1119</v>
      </c>
      <c r="B202" s="26" t="s">
        <v>7</v>
      </c>
      <c r="C202" s="25">
        <v>5.28</v>
      </c>
      <c r="D202" s="96"/>
    </row>
    <row r="203" spans="1:4" ht="15.75" outlineLevel="1">
      <c r="A203" s="25" t="s">
        <v>1119</v>
      </c>
      <c r="B203" s="26" t="s">
        <v>336</v>
      </c>
      <c r="C203" s="25">
        <v>5.29</v>
      </c>
      <c r="D203" s="96"/>
    </row>
    <row r="204" spans="1:4" ht="15.75" outlineLevel="1">
      <c r="A204" s="25" t="s">
        <v>1119</v>
      </c>
      <c r="B204" s="26" t="s">
        <v>8</v>
      </c>
      <c r="C204" s="27">
        <v>5.3</v>
      </c>
      <c r="D204" s="96"/>
    </row>
    <row r="205" spans="1:4" ht="15.75" outlineLevel="1">
      <c r="A205" s="25" t="s">
        <v>1119</v>
      </c>
      <c r="B205" s="26" t="s">
        <v>1120</v>
      </c>
      <c r="C205" s="25">
        <v>5.34</v>
      </c>
      <c r="D205" s="96"/>
    </row>
    <row r="206" spans="1:4" ht="15.75" outlineLevel="1">
      <c r="A206" s="25" t="s">
        <v>1119</v>
      </c>
      <c r="B206" s="26" t="s">
        <v>154</v>
      </c>
      <c r="C206" s="25">
        <v>5.31</v>
      </c>
      <c r="D206" s="96"/>
    </row>
    <row r="207" spans="1:4" ht="15.75" outlineLevel="1">
      <c r="A207" s="25" t="s">
        <v>1119</v>
      </c>
      <c r="B207" s="26" t="s">
        <v>1121</v>
      </c>
      <c r="C207" s="25">
        <v>5.101</v>
      </c>
      <c r="D207" s="96"/>
    </row>
    <row r="208" spans="1:4" ht="15.75" outlineLevel="1">
      <c r="A208" s="25" t="s">
        <v>1119</v>
      </c>
      <c r="B208" s="26" t="s">
        <v>130</v>
      </c>
      <c r="C208" s="25">
        <v>5.36</v>
      </c>
      <c r="D208" s="96"/>
    </row>
    <row r="209" spans="1:4" ht="15.75" outlineLevel="1">
      <c r="A209" s="25" t="s">
        <v>1119</v>
      </c>
      <c r="B209" s="26" t="s">
        <v>11</v>
      </c>
      <c r="C209" s="25">
        <v>5.53</v>
      </c>
      <c r="D209" s="96"/>
    </row>
    <row r="210" spans="1:4" ht="15.75" outlineLevel="1">
      <c r="A210" s="25" t="s">
        <v>1119</v>
      </c>
      <c r="B210" s="26" t="s">
        <v>1122</v>
      </c>
      <c r="C210" s="25">
        <v>5.1020000000000003</v>
      </c>
      <c r="D210" s="96"/>
    </row>
    <row r="211" spans="1:4" ht="15.75" outlineLevel="1">
      <c r="A211" s="25" t="s">
        <v>1119</v>
      </c>
      <c r="B211" s="26" t="s">
        <v>1123</v>
      </c>
      <c r="C211" s="28">
        <v>5.0999999999999996</v>
      </c>
      <c r="D211" s="96"/>
    </row>
    <row r="212" spans="1:4" ht="15.75" outlineLevel="1">
      <c r="A212" s="25" t="s">
        <v>1119</v>
      </c>
      <c r="B212" s="26" t="s">
        <v>17</v>
      </c>
      <c r="C212" s="25">
        <v>5.58</v>
      </c>
      <c r="D212" s="96"/>
    </row>
    <row r="213" spans="1:4" ht="15.75" outlineLevel="1">
      <c r="A213" s="25" t="s">
        <v>1119</v>
      </c>
      <c r="B213" s="26" t="s">
        <v>18</v>
      </c>
      <c r="C213" s="25">
        <v>5.54</v>
      </c>
      <c r="D213" s="96"/>
    </row>
    <row r="214" spans="1:4" ht="15.75" outlineLevel="1">
      <c r="A214" s="25" t="s">
        <v>1119</v>
      </c>
      <c r="B214" s="26" t="s">
        <v>19</v>
      </c>
      <c r="C214" s="25">
        <v>5.55</v>
      </c>
      <c r="D214" s="96"/>
    </row>
    <row r="215" spans="1:4" ht="15.75" outlineLevel="1">
      <c r="A215" s="25" t="s">
        <v>1119</v>
      </c>
      <c r="B215" s="26" t="s">
        <v>20</v>
      </c>
      <c r="C215" s="25">
        <v>5.63</v>
      </c>
      <c r="D215" s="96"/>
    </row>
    <row r="216" spans="1:4" ht="15.75" outlineLevel="1">
      <c r="A216" s="25" t="s">
        <v>1119</v>
      </c>
      <c r="B216" s="26" t="s">
        <v>24</v>
      </c>
      <c r="C216" s="25">
        <v>5.47</v>
      </c>
      <c r="D216" s="96"/>
    </row>
    <row r="217" spans="1:4" ht="15.75" outlineLevel="1">
      <c r="A217" s="25" t="s">
        <v>1119</v>
      </c>
      <c r="B217" s="26" t="s">
        <v>25</v>
      </c>
      <c r="C217" s="25">
        <v>5.48</v>
      </c>
      <c r="D217" s="96"/>
    </row>
    <row r="218" spans="1:4" ht="15.75">
      <c r="A218" s="30" t="s">
        <v>1119</v>
      </c>
      <c r="B218" s="26"/>
      <c r="C218" s="25"/>
      <c r="D218" s="96"/>
    </row>
    <row r="219" spans="1:4" ht="15.75" outlineLevel="1">
      <c r="A219" s="25" t="s">
        <v>999</v>
      </c>
      <c r="B219" s="26" t="s">
        <v>0</v>
      </c>
      <c r="C219" s="25">
        <v>5.0999999999999996</v>
      </c>
      <c r="D219" s="96"/>
    </row>
    <row r="220" spans="1:4" ht="15.75" outlineLevel="1">
      <c r="A220" s="25" t="s">
        <v>999</v>
      </c>
      <c r="B220" s="26" t="s">
        <v>1</v>
      </c>
      <c r="C220" s="25">
        <v>5.2</v>
      </c>
      <c r="D220" s="96"/>
    </row>
    <row r="221" spans="1:4" ht="15.75" outlineLevel="1">
      <c r="A221" s="25" t="s">
        <v>999</v>
      </c>
      <c r="B221" s="26" t="s">
        <v>2</v>
      </c>
      <c r="C221" s="25">
        <v>5.3</v>
      </c>
      <c r="D221" s="96"/>
    </row>
    <row r="222" spans="1:4" ht="15.75" outlineLevel="1">
      <c r="A222" s="25" t="s">
        <v>999</v>
      </c>
      <c r="B222" s="26" t="s">
        <v>151</v>
      </c>
      <c r="C222" s="25">
        <v>5.6</v>
      </c>
      <c r="D222" s="96"/>
    </row>
    <row r="223" spans="1:4" ht="15.75" outlineLevel="1">
      <c r="A223" s="25" t="s">
        <v>999</v>
      </c>
      <c r="B223" s="26" t="s">
        <v>1116</v>
      </c>
      <c r="C223" s="27">
        <v>5.0999999999999996</v>
      </c>
      <c r="D223" s="96"/>
    </row>
    <row r="224" spans="1:4" ht="15.75" outlineLevel="1">
      <c r="A224" s="25" t="s">
        <v>999</v>
      </c>
      <c r="B224" s="26" t="s">
        <v>1115</v>
      </c>
      <c r="C224" s="25">
        <v>5.14</v>
      </c>
      <c r="D224" s="96"/>
    </row>
    <row r="225" spans="1:4" ht="15.75" outlineLevel="1">
      <c r="A225" s="25" t="s">
        <v>999</v>
      </c>
      <c r="B225" s="26" t="s">
        <v>4</v>
      </c>
      <c r="C225" s="25">
        <v>5.19</v>
      </c>
      <c r="D225" s="96"/>
    </row>
    <row r="226" spans="1:4" ht="15.75" outlineLevel="1">
      <c r="A226" s="25" t="s">
        <v>999</v>
      </c>
      <c r="B226" s="26" t="s">
        <v>153</v>
      </c>
      <c r="C226" s="25">
        <v>5.24</v>
      </c>
      <c r="D226" s="96"/>
    </row>
    <row r="227" spans="1:4" ht="15.75" outlineLevel="1">
      <c r="A227" s="25" t="s">
        <v>999</v>
      </c>
      <c r="B227" s="26" t="s">
        <v>5</v>
      </c>
      <c r="C227" s="25">
        <v>5.26</v>
      </c>
      <c r="D227" s="96"/>
    </row>
    <row r="228" spans="1:4" ht="15.75" outlineLevel="1">
      <c r="A228" s="25" t="s">
        <v>999</v>
      </c>
      <c r="B228" s="26" t="s">
        <v>6</v>
      </c>
      <c r="C228" s="25">
        <v>5.27</v>
      </c>
      <c r="D228" s="96"/>
    </row>
    <row r="229" spans="1:4" ht="15.75" outlineLevel="1">
      <c r="A229" s="25" t="s">
        <v>999</v>
      </c>
      <c r="B229" s="26" t="s">
        <v>7</v>
      </c>
      <c r="C229" s="25">
        <v>5.28</v>
      </c>
      <c r="D229" s="96"/>
    </row>
    <row r="230" spans="1:4" ht="15.75" outlineLevel="1">
      <c r="A230" s="25" t="s">
        <v>999</v>
      </c>
      <c r="B230" s="26" t="s">
        <v>336</v>
      </c>
      <c r="C230" s="25">
        <v>5.29</v>
      </c>
      <c r="D230" s="96"/>
    </row>
    <row r="231" spans="1:4" ht="15.75" outlineLevel="1">
      <c r="A231" s="25" t="s">
        <v>999</v>
      </c>
      <c r="B231" s="26" t="s">
        <v>8</v>
      </c>
      <c r="C231" s="27">
        <v>5.3</v>
      </c>
      <c r="D231" s="96"/>
    </row>
    <row r="232" spans="1:4" ht="15.75" outlineLevel="1">
      <c r="A232" s="25" t="s">
        <v>999</v>
      </c>
      <c r="B232" s="26" t="s">
        <v>154</v>
      </c>
      <c r="C232" s="25">
        <v>5.31</v>
      </c>
      <c r="D232" s="96"/>
    </row>
    <row r="233" spans="1:4" ht="15.75" outlineLevel="1">
      <c r="A233" s="25" t="s">
        <v>999</v>
      </c>
      <c r="B233" s="26" t="s">
        <v>177</v>
      </c>
      <c r="C233" s="25">
        <v>5.33</v>
      </c>
      <c r="D233" s="96"/>
    </row>
    <row r="234" spans="1:4" ht="15.75" outlineLevel="1">
      <c r="A234" s="25" t="s">
        <v>999</v>
      </c>
      <c r="B234" s="26" t="s">
        <v>1121</v>
      </c>
      <c r="C234" s="25">
        <v>5.101</v>
      </c>
      <c r="D234" s="96"/>
    </row>
    <row r="235" spans="1:4" ht="15.75" outlineLevel="1">
      <c r="A235" s="25" t="s">
        <v>999</v>
      </c>
      <c r="B235" s="26" t="s">
        <v>130</v>
      </c>
      <c r="C235" s="25">
        <v>5.36</v>
      </c>
      <c r="D235" s="96"/>
    </row>
    <row r="236" spans="1:4" ht="15.75" outlineLevel="1">
      <c r="A236" s="25" t="s">
        <v>999</v>
      </c>
      <c r="B236" s="26" t="s">
        <v>11</v>
      </c>
      <c r="C236" s="25">
        <v>5.53</v>
      </c>
      <c r="D236" s="96"/>
    </row>
    <row r="237" spans="1:4" ht="15.75" outlineLevel="1">
      <c r="A237" s="25" t="s">
        <v>999</v>
      </c>
      <c r="B237" s="26" t="s">
        <v>1122</v>
      </c>
      <c r="C237" s="25">
        <v>5.1020000000000003</v>
      </c>
      <c r="D237" s="96"/>
    </row>
    <row r="238" spans="1:4" ht="15.75" outlineLevel="1">
      <c r="A238" s="25" t="s">
        <v>999</v>
      </c>
      <c r="B238" s="26" t="s">
        <v>17</v>
      </c>
      <c r="C238" s="25">
        <v>5.58</v>
      </c>
      <c r="D238" s="96"/>
    </row>
    <row r="239" spans="1:4" ht="15.75" outlineLevel="1">
      <c r="A239" s="25" t="s">
        <v>999</v>
      </c>
      <c r="B239" s="26" t="s">
        <v>18</v>
      </c>
      <c r="C239" s="25">
        <v>5.54</v>
      </c>
      <c r="D239" s="96"/>
    </row>
    <row r="240" spans="1:4" ht="15.75" outlineLevel="1">
      <c r="A240" s="25" t="s">
        <v>999</v>
      </c>
      <c r="B240" s="26" t="s">
        <v>19</v>
      </c>
      <c r="C240" s="25">
        <v>5.55</v>
      </c>
      <c r="D240" s="96"/>
    </row>
    <row r="241" spans="1:4" ht="15.75" outlineLevel="1">
      <c r="A241" s="25" t="s">
        <v>999</v>
      </c>
      <c r="B241" s="26" t="s">
        <v>20</v>
      </c>
      <c r="C241" s="25">
        <v>5.63</v>
      </c>
      <c r="D241" s="96"/>
    </row>
    <row r="242" spans="1:4" ht="15.75" outlineLevel="1">
      <c r="A242" s="25" t="s">
        <v>999</v>
      </c>
      <c r="B242" s="26" t="s">
        <v>24</v>
      </c>
      <c r="C242" s="25">
        <v>5.47</v>
      </c>
      <c r="D242" s="96"/>
    </row>
    <row r="243" spans="1:4" ht="15.75" outlineLevel="1">
      <c r="A243" s="25" t="s">
        <v>999</v>
      </c>
      <c r="B243" s="26" t="s">
        <v>25</v>
      </c>
      <c r="C243" s="25">
        <v>5.48</v>
      </c>
      <c r="D243" s="96"/>
    </row>
    <row r="244" spans="1:4" ht="15.75">
      <c r="A244" s="30" t="s">
        <v>999</v>
      </c>
      <c r="B244" s="26"/>
      <c r="C244" s="25"/>
      <c r="D244" s="96"/>
    </row>
    <row r="245" spans="1:4" ht="15.75" outlineLevel="1">
      <c r="A245" s="25" t="s">
        <v>1124</v>
      </c>
      <c r="B245" s="26" t="s">
        <v>0</v>
      </c>
      <c r="C245" s="25">
        <v>5.0999999999999996</v>
      </c>
      <c r="D245" s="96"/>
    </row>
    <row r="246" spans="1:4" ht="15.75" outlineLevel="1">
      <c r="A246" s="25" t="s">
        <v>1124</v>
      </c>
      <c r="B246" s="26" t="s">
        <v>1</v>
      </c>
      <c r="C246" s="25">
        <v>5.2</v>
      </c>
      <c r="D246" s="96"/>
    </row>
    <row r="247" spans="1:4" ht="15.75" outlineLevel="1">
      <c r="A247" s="25" t="s">
        <v>1124</v>
      </c>
      <c r="B247" s="26" t="s">
        <v>2</v>
      </c>
      <c r="C247" s="25">
        <v>5.3</v>
      </c>
      <c r="D247" s="96"/>
    </row>
    <row r="248" spans="1:4" ht="15.75" outlineLevel="1">
      <c r="A248" s="25" t="s">
        <v>1124</v>
      </c>
      <c r="B248" s="26" t="s">
        <v>151</v>
      </c>
      <c r="C248" s="25">
        <v>5.6</v>
      </c>
      <c r="D248" s="96"/>
    </row>
    <row r="249" spans="1:4" ht="15.75" outlineLevel="1">
      <c r="A249" s="25" t="s">
        <v>1124</v>
      </c>
      <c r="B249" s="26" t="s">
        <v>1116</v>
      </c>
      <c r="C249" s="27">
        <v>5.0999999999999996</v>
      </c>
      <c r="D249" s="96"/>
    </row>
    <row r="250" spans="1:4" ht="15.75" outlineLevel="1">
      <c r="A250" s="25" t="s">
        <v>1124</v>
      </c>
      <c r="B250" s="26" t="s">
        <v>1115</v>
      </c>
      <c r="C250" s="25">
        <v>5.14</v>
      </c>
      <c r="D250" s="96"/>
    </row>
    <row r="251" spans="1:4" ht="15.75" outlineLevel="1">
      <c r="A251" s="25" t="s">
        <v>1124</v>
      </c>
      <c r="B251" s="26" t="s">
        <v>4</v>
      </c>
      <c r="C251" s="25">
        <v>5.19</v>
      </c>
      <c r="D251" s="96"/>
    </row>
    <row r="252" spans="1:4" ht="15.75" outlineLevel="1">
      <c r="A252" s="25" t="s">
        <v>1124</v>
      </c>
      <c r="B252" s="26" t="s">
        <v>153</v>
      </c>
      <c r="C252" s="25">
        <v>5.24</v>
      </c>
      <c r="D252" s="96"/>
    </row>
    <row r="253" spans="1:4" ht="15.75" outlineLevel="1">
      <c r="A253" s="25" t="s">
        <v>1124</v>
      </c>
      <c r="B253" s="26" t="s">
        <v>6</v>
      </c>
      <c r="C253" s="25">
        <v>5.27</v>
      </c>
      <c r="D253" s="96"/>
    </row>
    <row r="254" spans="1:4" ht="15.75" outlineLevel="1">
      <c r="A254" s="25" t="s">
        <v>1124</v>
      </c>
      <c r="B254" s="26" t="s">
        <v>7</v>
      </c>
      <c r="C254" s="25">
        <v>5.28</v>
      </c>
      <c r="D254" s="96"/>
    </row>
    <row r="255" spans="1:4" ht="15.75" outlineLevel="1">
      <c r="A255" s="25" t="s">
        <v>1124</v>
      </c>
      <c r="B255" s="26" t="s">
        <v>8</v>
      </c>
      <c r="C255" s="27">
        <v>5.3</v>
      </c>
      <c r="D255" s="96"/>
    </row>
    <row r="256" spans="1:4" ht="15.75" outlineLevel="1">
      <c r="A256" s="25" t="s">
        <v>1124</v>
      </c>
      <c r="B256" s="26" t="s">
        <v>177</v>
      </c>
      <c r="C256" s="25">
        <v>5.33</v>
      </c>
      <c r="D256" s="96"/>
    </row>
    <row r="257" spans="1:4" ht="15.75" outlineLevel="1">
      <c r="A257" s="25" t="s">
        <v>1124</v>
      </c>
      <c r="B257" s="26" t="s">
        <v>130</v>
      </c>
      <c r="C257" s="25">
        <v>5.36</v>
      </c>
      <c r="D257" s="96"/>
    </row>
    <row r="258" spans="1:4" ht="15.75" outlineLevel="1">
      <c r="A258" s="25" t="s">
        <v>1124</v>
      </c>
      <c r="B258" s="26" t="s">
        <v>11</v>
      </c>
      <c r="C258" s="25">
        <v>5.53</v>
      </c>
      <c r="D258" s="96"/>
    </row>
    <row r="259" spans="1:4" ht="15.75" outlineLevel="1">
      <c r="A259" s="25" t="s">
        <v>1124</v>
      </c>
      <c r="B259" s="26" t="s">
        <v>17</v>
      </c>
      <c r="C259" s="25">
        <v>5.58</v>
      </c>
      <c r="D259" s="96"/>
    </row>
    <row r="260" spans="1:4" ht="15.75" outlineLevel="1">
      <c r="A260" s="25" t="s">
        <v>1124</v>
      </c>
      <c r="B260" s="26" t="s">
        <v>18</v>
      </c>
      <c r="C260" s="25">
        <v>5.54</v>
      </c>
      <c r="D260" s="96"/>
    </row>
    <row r="261" spans="1:4" ht="15.75" outlineLevel="1">
      <c r="A261" s="25" t="s">
        <v>1124</v>
      </c>
      <c r="B261" s="26" t="s">
        <v>19</v>
      </c>
      <c r="C261" s="25">
        <v>5.55</v>
      </c>
      <c r="D261" s="96"/>
    </row>
    <row r="262" spans="1:4" ht="15.75" outlineLevel="1">
      <c r="A262" s="25" t="s">
        <v>1124</v>
      </c>
      <c r="B262" s="26" t="s">
        <v>20</v>
      </c>
      <c r="C262" s="25">
        <v>5.63</v>
      </c>
      <c r="D262" s="96"/>
    </row>
    <row r="263" spans="1:4" ht="15.75" outlineLevel="1">
      <c r="A263" s="25" t="s">
        <v>1124</v>
      </c>
      <c r="B263" s="26" t="s">
        <v>24</v>
      </c>
      <c r="C263" s="25">
        <v>5.47</v>
      </c>
      <c r="D263" s="96"/>
    </row>
    <row r="264" spans="1:4" ht="15.75" outlineLevel="1">
      <c r="A264" s="25" t="s">
        <v>1124</v>
      </c>
      <c r="B264" s="26" t="s">
        <v>25</v>
      </c>
      <c r="C264" s="25">
        <v>5.48</v>
      </c>
      <c r="D264" s="96"/>
    </row>
    <row r="265" spans="1:4" ht="15.75">
      <c r="A265" s="30" t="s">
        <v>1124</v>
      </c>
      <c r="B265" s="26"/>
      <c r="C265" s="25"/>
      <c r="D265" s="96"/>
    </row>
    <row r="266" spans="1:4" ht="15.75" outlineLevel="1">
      <c r="A266" s="25" t="s">
        <v>1004</v>
      </c>
      <c r="B266" s="26" t="s">
        <v>0</v>
      </c>
      <c r="C266" s="25">
        <v>5.0999999999999996</v>
      </c>
      <c r="D266" s="96"/>
    </row>
    <row r="267" spans="1:4" ht="15.75" outlineLevel="1">
      <c r="A267" s="25" t="s">
        <v>1004</v>
      </c>
      <c r="B267" s="26" t="s">
        <v>1</v>
      </c>
      <c r="C267" s="25">
        <v>5.2</v>
      </c>
      <c r="D267" s="96"/>
    </row>
    <row r="268" spans="1:4" ht="15.75" outlineLevel="1">
      <c r="A268" s="25" t="s">
        <v>1004</v>
      </c>
      <c r="B268" s="26" t="s">
        <v>2</v>
      </c>
      <c r="C268" s="25">
        <v>5.3</v>
      </c>
      <c r="D268" s="96"/>
    </row>
    <row r="269" spans="1:4" ht="15.75" outlineLevel="1">
      <c r="A269" s="25" t="s">
        <v>1004</v>
      </c>
      <c r="B269" s="26" t="s">
        <v>151</v>
      </c>
      <c r="C269" s="25">
        <v>5.6</v>
      </c>
      <c r="D269" s="96"/>
    </row>
    <row r="270" spans="1:4" ht="15.75" outlineLevel="1">
      <c r="A270" s="25" t="s">
        <v>1004</v>
      </c>
      <c r="B270" s="26" t="s">
        <v>1116</v>
      </c>
      <c r="C270" s="27">
        <v>5.0999999999999996</v>
      </c>
      <c r="D270" s="96"/>
    </row>
    <row r="271" spans="1:4" ht="15.75" outlineLevel="1">
      <c r="A271" s="25" t="s">
        <v>1004</v>
      </c>
      <c r="B271" s="26" t="s">
        <v>1115</v>
      </c>
      <c r="C271" s="25">
        <v>5.14</v>
      </c>
      <c r="D271" s="96"/>
    </row>
    <row r="272" spans="1:4" ht="15.75" outlineLevel="1">
      <c r="A272" s="25" t="s">
        <v>1004</v>
      </c>
      <c r="B272" s="26" t="s">
        <v>4</v>
      </c>
      <c r="C272" s="25">
        <v>5.19</v>
      </c>
      <c r="D272" s="96"/>
    </row>
    <row r="273" spans="1:4" ht="15.75" outlineLevel="1">
      <c r="A273" s="25" t="s">
        <v>1004</v>
      </c>
      <c r="B273" s="26" t="s">
        <v>153</v>
      </c>
      <c r="C273" s="25">
        <v>5.24</v>
      </c>
      <c r="D273" s="96"/>
    </row>
    <row r="274" spans="1:4" ht="15.75" outlineLevel="1">
      <c r="A274" s="25" t="s">
        <v>1004</v>
      </c>
      <c r="B274" s="26" t="s">
        <v>5</v>
      </c>
      <c r="C274" s="25">
        <v>5.26</v>
      </c>
      <c r="D274" s="96"/>
    </row>
    <row r="275" spans="1:4" ht="15.75" outlineLevel="1">
      <c r="A275" s="25" t="s">
        <v>1004</v>
      </c>
      <c r="B275" s="26" t="s">
        <v>6</v>
      </c>
      <c r="C275" s="25">
        <v>5.27</v>
      </c>
      <c r="D275" s="96"/>
    </row>
    <row r="276" spans="1:4" ht="15.75" outlineLevel="1">
      <c r="A276" s="25" t="s">
        <v>1004</v>
      </c>
      <c r="B276" s="26" t="s">
        <v>7</v>
      </c>
      <c r="C276" s="25">
        <v>5.28</v>
      </c>
      <c r="D276" s="96"/>
    </row>
    <row r="277" spans="1:4" ht="15.75" outlineLevel="1">
      <c r="A277" s="25" t="s">
        <v>1004</v>
      </c>
      <c r="B277" s="26" t="s">
        <v>336</v>
      </c>
      <c r="C277" s="25">
        <v>5.29</v>
      </c>
      <c r="D277" s="96"/>
    </row>
    <row r="278" spans="1:4" ht="15.75" outlineLevel="1">
      <c r="A278" s="25" t="s">
        <v>1004</v>
      </c>
      <c r="B278" s="26" t="s">
        <v>8</v>
      </c>
      <c r="C278" s="27">
        <v>5.3</v>
      </c>
      <c r="D278" s="96"/>
    </row>
    <row r="279" spans="1:4" ht="15.75" outlineLevel="1">
      <c r="A279" s="25" t="s">
        <v>1004</v>
      </c>
      <c r="B279" s="26" t="s">
        <v>177</v>
      </c>
      <c r="C279" s="25">
        <v>5.33</v>
      </c>
      <c r="D279" s="96"/>
    </row>
    <row r="280" spans="1:4" ht="15.75" outlineLevel="1">
      <c r="A280" s="25" t="s">
        <v>1004</v>
      </c>
      <c r="B280" s="26" t="s">
        <v>130</v>
      </c>
      <c r="C280" s="25">
        <v>5.36</v>
      </c>
      <c r="D280" s="96"/>
    </row>
    <row r="281" spans="1:4" ht="15.75" outlineLevel="1">
      <c r="A281" s="25" t="s">
        <v>1004</v>
      </c>
      <c r="B281" s="26" t="s">
        <v>12</v>
      </c>
      <c r="C281" s="25">
        <v>5.69</v>
      </c>
      <c r="D281" s="96"/>
    </row>
    <row r="282" spans="1:4" ht="15.75" outlineLevel="1">
      <c r="A282" s="25" t="s">
        <v>1004</v>
      </c>
      <c r="B282" s="26" t="s">
        <v>14</v>
      </c>
      <c r="C282" s="27">
        <v>5.7</v>
      </c>
      <c r="D282" s="96"/>
    </row>
    <row r="283" spans="1:4" ht="15.75" outlineLevel="1">
      <c r="A283" s="25" t="s">
        <v>1004</v>
      </c>
      <c r="B283" s="26" t="s">
        <v>15</v>
      </c>
      <c r="C283" s="25">
        <v>5.74</v>
      </c>
      <c r="D283" s="96"/>
    </row>
    <row r="284" spans="1:4" ht="15.75" outlineLevel="1">
      <c r="A284" s="25" t="s">
        <v>1004</v>
      </c>
      <c r="B284" s="26" t="s">
        <v>9</v>
      </c>
      <c r="C284" s="25">
        <v>5.49</v>
      </c>
      <c r="D284" s="96"/>
    </row>
    <row r="285" spans="1:4" ht="15.75" outlineLevel="1">
      <c r="A285" s="25" t="s">
        <v>1004</v>
      </c>
      <c r="B285" s="26" t="s">
        <v>10</v>
      </c>
      <c r="C285" s="25">
        <v>5.51</v>
      </c>
      <c r="D285" s="96"/>
    </row>
    <row r="286" spans="1:4" ht="15.75" outlineLevel="1">
      <c r="A286" s="25" t="s">
        <v>1004</v>
      </c>
      <c r="B286" s="26" t="s">
        <v>1117</v>
      </c>
      <c r="C286" s="25">
        <v>5.52</v>
      </c>
      <c r="D286" s="96"/>
    </row>
    <row r="287" spans="1:4" ht="15.75" outlineLevel="1">
      <c r="A287" s="25" t="s">
        <v>1004</v>
      </c>
      <c r="B287" s="26" t="s">
        <v>11</v>
      </c>
      <c r="C287" s="25">
        <v>5.53</v>
      </c>
      <c r="D287" s="96"/>
    </row>
    <row r="288" spans="1:4" ht="15.75" outlineLevel="1">
      <c r="A288" s="25" t="s">
        <v>1004</v>
      </c>
      <c r="B288" s="26" t="s">
        <v>17</v>
      </c>
      <c r="C288" s="25">
        <v>5.58</v>
      </c>
      <c r="D288" s="96"/>
    </row>
    <row r="289" spans="1:4" ht="15.75" outlineLevel="1">
      <c r="A289" s="25" t="s">
        <v>1004</v>
      </c>
      <c r="B289" s="26" t="s">
        <v>18</v>
      </c>
      <c r="C289" s="25">
        <v>5.54</v>
      </c>
      <c r="D289" s="96"/>
    </row>
    <row r="290" spans="1:4" ht="15.75" outlineLevel="1">
      <c r="A290" s="25" t="s">
        <v>1004</v>
      </c>
      <c r="B290" s="26" t="s">
        <v>19</v>
      </c>
      <c r="C290" s="25">
        <v>5.55</v>
      </c>
      <c r="D290" s="96"/>
    </row>
    <row r="291" spans="1:4" ht="15.75" outlineLevel="1">
      <c r="A291" s="25" t="s">
        <v>1004</v>
      </c>
      <c r="B291" s="26" t="s">
        <v>20</v>
      </c>
      <c r="C291" s="25">
        <v>5.63</v>
      </c>
      <c r="D291" s="96"/>
    </row>
    <row r="292" spans="1:4" ht="15.75" outlineLevel="1">
      <c r="A292" s="25" t="s">
        <v>1004</v>
      </c>
      <c r="B292" s="26" t="s">
        <v>24</v>
      </c>
      <c r="C292" s="25">
        <v>5.47</v>
      </c>
      <c r="D292" s="96"/>
    </row>
    <row r="293" spans="1:4" ht="15.75" outlineLevel="1">
      <c r="A293" s="25" t="s">
        <v>1004</v>
      </c>
      <c r="B293" s="26" t="s">
        <v>25</v>
      </c>
      <c r="C293" s="25">
        <v>5.48</v>
      </c>
      <c r="D293" s="96"/>
    </row>
    <row r="294" spans="1:4" ht="15.75">
      <c r="A294" s="30" t="s">
        <v>1004</v>
      </c>
      <c r="B294" s="26"/>
      <c r="C294" s="25"/>
      <c r="D294" s="96"/>
    </row>
    <row r="295" spans="1:4" ht="31.5" outlineLevel="1">
      <c r="A295" s="25" t="s">
        <v>1011</v>
      </c>
      <c r="B295" s="26" t="s">
        <v>0</v>
      </c>
      <c r="C295" s="25">
        <v>5.0999999999999996</v>
      </c>
      <c r="D295" s="96"/>
    </row>
    <row r="296" spans="1:4" ht="31.5" outlineLevel="1">
      <c r="A296" s="25" t="s">
        <v>1011</v>
      </c>
      <c r="B296" s="26" t="s">
        <v>1</v>
      </c>
      <c r="C296" s="25">
        <v>5.2</v>
      </c>
      <c r="D296" s="96"/>
    </row>
    <row r="297" spans="1:4" ht="31.5" outlineLevel="1">
      <c r="A297" s="25" t="s">
        <v>1011</v>
      </c>
      <c r="B297" s="26" t="s">
        <v>2</v>
      </c>
      <c r="C297" s="25">
        <v>5.3</v>
      </c>
      <c r="D297" s="96"/>
    </row>
    <row r="298" spans="1:4" ht="31.5" outlineLevel="1">
      <c r="A298" s="25" t="s">
        <v>1011</v>
      </c>
      <c r="B298" s="26" t="s">
        <v>1115</v>
      </c>
      <c r="C298" s="25">
        <v>5.14</v>
      </c>
      <c r="D298" s="96"/>
    </row>
    <row r="299" spans="1:4" ht="31.5" outlineLevel="1">
      <c r="A299" s="25" t="s">
        <v>1011</v>
      </c>
      <c r="B299" s="26" t="s">
        <v>4</v>
      </c>
      <c r="C299" s="25">
        <v>5.19</v>
      </c>
      <c r="D299" s="96"/>
    </row>
    <row r="300" spans="1:4" ht="31.5" outlineLevel="1">
      <c r="A300" s="25" t="s">
        <v>1011</v>
      </c>
      <c r="B300" s="26" t="s">
        <v>153</v>
      </c>
      <c r="C300" s="25">
        <v>5.24</v>
      </c>
      <c r="D300" s="96"/>
    </row>
    <row r="301" spans="1:4" ht="31.5" outlineLevel="1">
      <c r="A301" s="25" t="s">
        <v>1011</v>
      </c>
      <c r="B301" s="26" t="s">
        <v>5</v>
      </c>
      <c r="C301" s="25">
        <v>5.26</v>
      </c>
      <c r="D301" s="96"/>
    </row>
    <row r="302" spans="1:4" ht="31.5" outlineLevel="1">
      <c r="A302" s="25" t="s">
        <v>1011</v>
      </c>
      <c r="B302" s="26" t="s">
        <v>6</v>
      </c>
      <c r="C302" s="25">
        <v>5.27</v>
      </c>
      <c r="D302" s="96"/>
    </row>
    <row r="303" spans="1:4" ht="31.5" outlineLevel="1">
      <c r="A303" s="25" t="s">
        <v>1011</v>
      </c>
      <c r="B303" s="26" t="s">
        <v>7</v>
      </c>
      <c r="C303" s="25">
        <v>5.28</v>
      </c>
      <c r="D303" s="96"/>
    </row>
    <row r="304" spans="1:4" ht="31.5" outlineLevel="1">
      <c r="A304" s="25" t="s">
        <v>1011</v>
      </c>
      <c r="B304" s="26" t="s">
        <v>162</v>
      </c>
      <c r="C304" s="25">
        <v>5.37</v>
      </c>
      <c r="D304" s="96"/>
    </row>
    <row r="305" spans="1:4" ht="31.5" outlineLevel="1">
      <c r="A305" s="25" t="s">
        <v>1011</v>
      </c>
      <c r="B305" s="26" t="s">
        <v>9</v>
      </c>
      <c r="C305" s="25">
        <v>5.49</v>
      </c>
      <c r="D305" s="96"/>
    </row>
    <row r="306" spans="1:4" ht="31.5" outlineLevel="1">
      <c r="A306" s="25" t="s">
        <v>1011</v>
      </c>
      <c r="B306" s="26" t="s">
        <v>10</v>
      </c>
      <c r="C306" s="25">
        <v>5.51</v>
      </c>
      <c r="D306" s="96"/>
    </row>
    <row r="307" spans="1:4" ht="31.5" outlineLevel="1">
      <c r="A307" s="25" t="s">
        <v>1011</v>
      </c>
      <c r="B307" s="26" t="s">
        <v>11</v>
      </c>
      <c r="C307" s="25">
        <v>5.53</v>
      </c>
      <c r="D307" s="96"/>
    </row>
    <row r="308" spans="1:4" ht="31.5" outlineLevel="1">
      <c r="A308" s="25" t="s">
        <v>1011</v>
      </c>
      <c r="B308" s="26" t="s">
        <v>12</v>
      </c>
      <c r="C308" s="25">
        <v>5.69</v>
      </c>
      <c r="D308" s="96"/>
    </row>
    <row r="309" spans="1:4" ht="31.5" outlineLevel="1">
      <c r="A309" s="25" t="s">
        <v>1011</v>
      </c>
      <c r="B309" s="26" t="s">
        <v>13</v>
      </c>
      <c r="C309" s="25">
        <v>5.75</v>
      </c>
      <c r="D309" s="96"/>
    </row>
    <row r="310" spans="1:4" ht="31.5" outlineLevel="1">
      <c r="A310" s="25" t="s">
        <v>1011</v>
      </c>
      <c r="B310" s="26" t="s">
        <v>14</v>
      </c>
      <c r="C310" s="27">
        <v>5.7</v>
      </c>
      <c r="D310" s="96"/>
    </row>
    <row r="311" spans="1:4" ht="31.5" outlineLevel="1">
      <c r="A311" s="25" t="s">
        <v>1011</v>
      </c>
      <c r="B311" s="26" t="s">
        <v>15</v>
      </c>
      <c r="C311" s="25">
        <v>5.74</v>
      </c>
      <c r="D311" s="96"/>
    </row>
    <row r="312" spans="1:4" ht="31.5" outlineLevel="1">
      <c r="A312" s="25" t="s">
        <v>1011</v>
      </c>
      <c r="B312" s="26" t="s">
        <v>17</v>
      </c>
      <c r="C312" s="25">
        <v>5.58</v>
      </c>
      <c r="D312" s="96"/>
    </row>
    <row r="313" spans="1:4" ht="31.5" outlineLevel="1">
      <c r="A313" s="25" t="s">
        <v>1011</v>
      </c>
      <c r="B313" s="26" t="s">
        <v>18</v>
      </c>
      <c r="C313" s="25">
        <v>5.54</v>
      </c>
      <c r="D313" s="96"/>
    </row>
    <row r="314" spans="1:4" ht="31.5" outlineLevel="1">
      <c r="A314" s="25" t="s">
        <v>1011</v>
      </c>
      <c r="B314" s="26" t="s">
        <v>19</v>
      </c>
      <c r="C314" s="25">
        <v>5.55</v>
      </c>
      <c r="D314" s="96"/>
    </row>
    <row r="315" spans="1:4" ht="31.5" outlineLevel="1">
      <c r="A315" s="25" t="s">
        <v>1011</v>
      </c>
      <c r="B315" s="26" t="s">
        <v>20</v>
      </c>
      <c r="C315" s="25">
        <v>5.63</v>
      </c>
      <c r="D315" s="96"/>
    </row>
    <row r="316" spans="1:4" ht="31.5" outlineLevel="1">
      <c r="A316" s="25" t="s">
        <v>1011</v>
      </c>
      <c r="B316" s="26" t="s">
        <v>21</v>
      </c>
      <c r="C316" s="25">
        <v>5.65</v>
      </c>
      <c r="D316" s="96"/>
    </row>
    <row r="317" spans="1:4" ht="31.5" outlineLevel="1">
      <c r="A317" s="25" t="s">
        <v>1011</v>
      </c>
      <c r="B317" s="26" t="s">
        <v>22</v>
      </c>
      <c r="C317" s="25">
        <v>5.68</v>
      </c>
      <c r="D317" s="96"/>
    </row>
    <row r="318" spans="1:4" ht="31.5" outlineLevel="1">
      <c r="A318" s="25" t="s">
        <v>1011</v>
      </c>
      <c r="B318" s="26" t="s">
        <v>24</v>
      </c>
      <c r="C318" s="25">
        <v>5.47</v>
      </c>
      <c r="D318" s="96"/>
    </row>
    <row r="319" spans="1:4" ht="31.5" outlineLevel="1">
      <c r="A319" s="25" t="s">
        <v>1011</v>
      </c>
      <c r="B319" s="26" t="s">
        <v>25</v>
      </c>
      <c r="C319" s="25">
        <v>5.48</v>
      </c>
      <c r="D319" s="96"/>
    </row>
    <row r="320" spans="1:4" ht="31.5">
      <c r="A320" s="30" t="s">
        <v>1011</v>
      </c>
      <c r="B320" s="26"/>
      <c r="C320" s="25"/>
      <c r="D320" s="96"/>
    </row>
    <row r="321" spans="1:4" ht="31.5" outlineLevel="1">
      <c r="A321" s="25" t="s">
        <v>1012</v>
      </c>
      <c r="B321" s="26" t="s">
        <v>0</v>
      </c>
      <c r="C321" s="25">
        <v>5.0999999999999996</v>
      </c>
      <c r="D321" s="96"/>
    </row>
    <row r="322" spans="1:4" ht="31.5" outlineLevel="1">
      <c r="A322" s="25" t="s">
        <v>1012</v>
      </c>
      <c r="B322" s="26" t="s">
        <v>1</v>
      </c>
      <c r="C322" s="25">
        <v>5.2</v>
      </c>
      <c r="D322" s="96"/>
    </row>
    <row r="323" spans="1:4" ht="31.5" outlineLevel="1">
      <c r="A323" s="25" t="s">
        <v>1012</v>
      </c>
      <c r="B323" s="26" t="s">
        <v>5</v>
      </c>
      <c r="C323" s="25">
        <v>5.26</v>
      </c>
      <c r="D323" s="96"/>
    </row>
    <row r="324" spans="1:4" ht="31.5" outlineLevel="1">
      <c r="A324" s="25" t="s">
        <v>1012</v>
      </c>
      <c r="B324" s="26" t="s">
        <v>1115</v>
      </c>
      <c r="C324" s="25">
        <v>5.14</v>
      </c>
      <c r="D324" s="96"/>
    </row>
    <row r="325" spans="1:4" ht="31.5" outlineLevel="1">
      <c r="A325" s="25" t="s">
        <v>1012</v>
      </c>
      <c r="B325" s="26" t="s">
        <v>4</v>
      </c>
      <c r="C325" s="25">
        <v>5.19</v>
      </c>
      <c r="D325" s="96"/>
    </row>
    <row r="326" spans="1:4" ht="31.5" outlineLevel="1">
      <c r="A326" s="25" t="s">
        <v>1012</v>
      </c>
      <c r="B326" s="26" t="s">
        <v>162</v>
      </c>
      <c r="C326" s="25">
        <v>5.37</v>
      </c>
      <c r="D326" s="96"/>
    </row>
    <row r="327" spans="1:4" ht="31.5" outlineLevel="1">
      <c r="A327" s="25" t="s">
        <v>1012</v>
      </c>
      <c r="B327" s="26" t="s">
        <v>12</v>
      </c>
      <c r="C327" s="25">
        <v>5.69</v>
      </c>
      <c r="D327" s="96"/>
    </row>
    <row r="328" spans="1:4" ht="31.5" outlineLevel="1">
      <c r="A328" s="25" t="s">
        <v>1012</v>
      </c>
      <c r="B328" s="26" t="s">
        <v>763</v>
      </c>
      <c r="C328" s="27">
        <v>5.8</v>
      </c>
      <c r="D328" s="96"/>
    </row>
    <row r="329" spans="1:4" ht="31.5" outlineLevel="1">
      <c r="A329" s="25" t="s">
        <v>1012</v>
      </c>
      <c r="B329" s="26" t="s">
        <v>13</v>
      </c>
      <c r="C329" s="25">
        <v>5.75</v>
      </c>
      <c r="D329" s="96"/>
    </row>
    <row r="330" spans="1:4" ht="31.5" outlineLevel="1">
      <c r="A330" s="25" t="s">
        <v>1012</v>
      </c>
      <c r="B330" s="26" t="s">
        <v>14</v>
      </c>
      <c r="C330" s="27">
        <v>5.7</v>
      </c>
      <c r="D330" s="96"/>
    </row>
    <row r="331" spans="1:4" ht="31.5" outlineLevel="1">
      <c r="A331" s="25" t="s">
        <v>1012</v>
      </c>
      <c r="B331" s="26" t="s">
        <v>15</v>
      </c>
      <c r="C331" s="25">
        <v>5.74</v>
      </c>
      <c r="D331" s="96"/>
    </row>
    <row r="332" spans="1:4" ht="31.5" outlineLevel="1">
      <c r="A332" s="25" t="s">
        <v>1012</v>
      </c>
      <c r="B332" s="26" t="s">
        <v>17</v>
      </c>
      <c r="C332" s="25">
        <v>5.58</v>
      </c>
      <c r="D332" s="96"/>
    </row>
    <row r="333" spans="1:4" ht="31.5" outlineLevel="1">
      <c r="A333" s="25" t="s">
        <v>1012</v>
      </c>
      <c r="B333" s="26" t="s">
        <v>19</v>
      </c>
      <c r="C333" s="25">
        <v>5.55</v>
      </c>
      <c r="D333" s="96"/>
    </row>
    <row r="334" spans="1:4" ht="31.5" outlineLevel="1">
      <c r="A334" s="25" t="s">
        <v>1012</v>
      </c>
      <c r="B334" s="26" t="s">
        <v>20</v>
      </c>
      <c r="C334" s="25">
        <v>5.63</v>
      </c>
      <c r="D334" s="96"/>
    </row>
    <row r="335" spans="1:4" ht="31.5" outlineLevel="1">
      <c r="A335" s="25" t="s">
        <v>1012</v>
      </c>
      <c r="B335" s="26" t="s">
        <v>21</v>
      </c>
      <c r="C335" s="25">
        <v>5.65</v>
      </c>
      <c r="D335" s="96"/>
    </row>
    <row r="336" spans="1:4" ht="31.5" outlineLevel="1">
      <c r="A336" s="25" t="s">
        <v>1012</v>
      </c>
      <c r="B336" s="26" t="s">
        <v>22</v>
      </c>
      <c r="C336" s="25">
        <v>5.68</v>
      </c>
      <c r="D336" s="96"/>
    </row>
    <row r="337" spans="1:4" ht="31.5" outlineLevel="1">
      <c r="A337" s="25" t="s">
        <v>1012</v>
      </c>
      <c r="B337" s="26" t="s">
        <v>24</v>
      </c>
      <c r="C337" s="25">
        <v>5.47</v>
      </c>
      <c r="D337" s="96"/>
    </row>
    <row r="338" spans="1:4" ht="31.5" outlineLevel="1">
      <c r="A338" s="25" t="s">
        <v>1012</v>
      </c>
      <c r="B338" s="26" t="s">
        <v>25</v>
      </c>
      <c r="C338" s="25">
        <v>5.48</v>
      </c>
      <c r="D338" s="96"/>
    </row>
    <row r="339" spans="1:4" ht="31.5">
      <c r="A339" s="30" t="s">
        <v>1012</v>
      </c>
      <c r="B339" s="26"/>
      <c r="C339" s="25"/>
      <c r="D339" s="96"/>
    </row>
    <row r="340" spans="1:4" ht="31.5" outlineLevel="1">
      <c r="A340" s="25" t="s">
        <v>1018</v>
      </c>
      <c r="B340" s="26" t="s">
        <v>1125</v>
      </c>
      <c r="C340" s="25">
        <v>5.0999999999999996</v>
      </c>
      <c r="D340" s="96"/>
    </row>
    <row r="341" spans="1:4" ht="31.5" outlineLevel="1">
      <c r="A341" s="25" t="s">
        <v>1018</v>
      </c>
      <c r="B341" s="26" t="s">
        <v>1</v>
      </c>
      <c r="C341" s="25">
        <v>5.2</v>
      </c>
      <c r="D341" s="96"/>
    </row>
    <row r="342" spans="1:4" ht="31.5" outlineLevel="1">
      <c r="A342" s="25" t="s">
        <v>1018</v>
      </c>
      <c r="B342" s="26" t="s">
        <v>5</v>
      </c>
      <c r="C342" s="25">
        <v>5.26</v>
      </c>
      <c r="D342" s="96"/>
    </row>
    <row r="343" spans="1:4" ht="31.5" outlineLevel="1">
      <c r="A343" s="25" t="s">
        <v>1018</v>
      </c>
      <c r="B343" s="26" t="s">
        <v>1126</v>
      </c>
      <c r="C343" s="25">
        <v>5.38</v>
      </c>
      <c r="D343" s="96"/>
    </row>
    <row r="344" spans="1:4" ht="31.5" outlineLevel="1">
      <c r="A344" s="25" t="s">
        <v>1018</v>
      </c>
      <c r="B344" s="26" t="s">
        <v>1127</v>
      </c>
      <c r="C344" s="25">
        <v>5.39</v>
      </c>
      <c r="D344" s="96"/>
    </row>
    <row r="345" spans="1:4" ht="31.5" outlineLevel="1">
      <c r="A345" s="25" t="s">
        <v>1018</v>
      </c>
      <c r="B345" s="26" t="s">
        <v>1128</v>
      </c>
      <c r="C345" s="27">
        <v>5.6</v>
      </c>
      <c r="D345" s="96"/>
    </row>
    <row r="346" spans="1:4" ht="31.5" outlineLevel="1">
      <c r="A346" s="25" t="s">
        <v>1018</v>
      </c>
      <c r="B346" s="26" t="s">
        <v>25</v>
      </c>
      <c r="C346" s="25">
        <v>5.48</v>
      </c>
      <c r="D346" s="96"/>
    </row>
    <row r="347" spans="1:4" ht="31.5">
      <c r="A347" s="30" t="s">
        <v>1018</v>
      </c>
      <c r="B347" s="26"/>
      <c r="C347" s="25"/>
      <c r="D347" s="96"/>
    </row>
    <row r="348" spans="1:4" ht="31.5" outlineLevel="1">
      <c r="A348" s="25" t="s">
        <v>1022</v>
      </c>
      <c r="B348" s="26" t="s">
        <v>0</v>
      </c>
      <c r="C348" s="25">
        <v>5.0999999999999996</v>
      </c>
      <c r="D348" s="96"/>
    </row>
    <row r="349" spans="1:4" ht="31.5" outlineLevel="1">
      <c r="A349" s="25" t="s">
        <v>1022</v>
      </c>
      <c r="B349" s="26" t="s">
        <v>1</v>
      </c>
      <c r="C349" s="25">
        <v>5.2</v>
      </c>
      <c r="D349" s="96"/>
    </row>
    <row r="350" spans="1:4" ht="31.5" outlineLevel="1">
      <c r="A350" s="25" t="s">
        <v>1022</v>
      </c>
      <c r="B350" s="26" t="s">
        <v>2</v>
      </c>
      <c r="C350" s="25">
        <v>5.3</v>
      </c>
      <c r="D350" s="96"/>
    </row>
    <row r="351" spans="1:4" ht="31.5" outlineLevel="1">
      <c r="A351" s="25" t="s">
        <v>1022</v>
      </c>
      <c r="B351" s="26" t="s">
        <v>151</v>
      </c>
      <c r="C351" s="25">
        <v>5.6</v>
      </c>
      <c r="D351" s="96"/>
    </row>
    <row r="352" spans="1:4" ht="31.5" outlineLevel="1">
      <c r="A352" s="25" t="s">
        <v>1022</v>
      </c>
      <c r="B352" s="26" t="s">
        <v>1116</v>
      </c>
      <c r="C352" s="27">
        <v>5.0999999999999996</v>
      </c>
      <c r="D352" s="96"/>
    </row>
    <row r="353" spans="1:4" ht="31.5" outlineLevel="1">
      <c r="A353" s="25" t="s">
        <v>1022</v>
      </c>
      <c r="B353" s="26" t="s">
        <v>1115</v>
      </c>
      <c r="C353" s="25">
        <v>5.14</v>
      </c>
      <c r="D353" s="96"/>
    </row>
    <row r="354" spans="1:4" ht="31.5" outlineLevel="1">
      <c r="A354" s="25" t="s">
        <v>1022</v>
      </c>
      <c r="B354" s="26" t="s">
        <v>4</v>
      </c>
      <c r="C354" s="25">
        <v>5.19</v>
      </c>
      <c r="D354" s="96"/>
    </row>
    <row r="355" spans="1:4" ht="31.5" outlineLevel="1">
      <c r="A355" s="25" t="s">
        <v>1022</v>
      </c>
      <c r="B355" s="26" t="s">
        <v>153</v>
      </c>
      <c r="C355" s="25">
        <v>5.24</v>
      </c>
      <c r="D355" s="96"/>
    </row>
    <row r="356" spans="1:4" ht="31.5" outlineLevel="1">
      <c r="A356" s="25" t="s">
        <v>1022</v>
      </c>
      <c r="B356" s="26" t="s">
        <v>5</v>
      </c>
      <c r="C356" s="25">
        <v>5.26</v>
      </c>
      <c r="D356" s="96"/>
    </row>
    <row r="357" spans="1:4" ht="31.5" outlineLevel="1">
      <c r="A357" s="25" t="s">
        <v>1022</v>
      </c>
      <c r="B357" s="26" t="s">
        <v>6</v>
      </c>
      <c r="C357" s="25">
        <v>5.27</v>
      </c>
      <c r="D357" s="96"/>
    </row>
    <row r="358" spans="1:4" ht="31.5" outlineLevel="1">
      <c r="A358" s="25" t="s">
        <v>1022</v>
      </c>
      <c r="B358" s="26" t="s">
        <v>7</v>
      </c>
      <c r="C358" s="25">
        <v>5.28</v>
      </c>
      <c r="D358" s="96"/>
    </row>
    <row r="359" spans="1:4" ht="31.5" outlineLevel="1">
      <c r="A359" s="25" t="s">
        <v>1022</v>
      </c>
      <c r="B359" s="26" t="s">
        <v>154</v>
      </c>
      <c r="C359" s="25">
        <v>5.31</v>
      </c>
      <c r="D359" s="96"/>
    </row>
    <row r="360" spans="1:4" ht="31.5" outlineLevel="1">
      <c r="A360" s="25" t="s">
        <v>1022</v>
      </c>
      <c r="B360" s="26" t="s">
        <v>130</v>
      </c>
      <c r="C360" s="25">
        <v>5.36</v>
      </c>
      <c r="D360" s="96"/>
    </row>
    <row r="361" spans="1:4" ht="31.5" outlineLevel="1">
      <c r="A361" s="25" t="s">
        <v>1022</v>
      </c>
      <c r="B361" s="26" t="s">
        <v>162</v>
      </c>
      <c r="C361" s="25">
        <v>5.37</v>
      </c>
      <c r="D361" s="96"/>
    </row>
    <row r="362" spans="1:4" ht="31.5" outlineLevel="1">
      <c r="A362" s="25" t="s">
        <v>1022</v>
      </c>
      <c r="B362" s="26" t="s">
        <v>9</v>
      </c>
      <c r="C362" s="25">
        <v>5.49</v>
      </c>
      <c r="D362" s="96"/>
    </row>
    <row r="363" spans="1:4" ht="31.5" outlineLevel="1">
      <c r="A363" s="25" t="s">
        <v>1022</v>
      </c>
      <c r="B363" s="26" t="s">
        <v>10</v>
      </c>
      <c r="C363" s="25">
        <v>5.51</v>
      </c>
      <c r="D363" s="96"/>
    </row>
    <row r="364" spans="1:4" ht="31.5" outlineLevel="1">
      <c r="A364" s="25" t="s">
        <v>1022</v>
      </c>
      <c r="B364" s="26" t="s">
        <v>1117</v>
      </c>
      <c r="C364" s="25">
        <v>5.52</v>
      </c>
      <c r="D364" s="96"/>
    </row>
    <row r="365" spans="1:4" ht="31.5" outlineLevel="1">
      <c r="A365" s="25" t="s">
        <v>1022</v>
      </c>
      <c r="B365" s="26" t="s">
        <v>11</v>
      </c>
      <c r="C365" s="25">
        <v>5.53</v>
      </c>
      <c r="D365" s="96"/>
    </row>
    <row r="366" spans="1:4" ht="31.5" outlineLevel="1">
      <c r="A366" s="25" t="s">
        <v>1022</v>
      </c>
      <c r="B366" s="26" t="s">
        <v>12</v>
      </c>
      <c r="C366" s="25">
        <v>5.69</v>
      </c>
      <c r="D366" s="96"/>
    </row>
    <row r="367" spans="1:4" ht="31.5" outlineLevel="1">
      <c r="A367" s="25" t="s">
        <v>1022</v>
      </c>
      <c r="B367" s="26" t="s">
        <v>763</v>
      </c>
      <c r="C367" s="27">
        <v>5.8</v>
      </c>
      <c r="D367" s="96"/>
    </row>
    <row r="368" spans="1:4" ht="31.5" outlineLevel="1">
      <c r="A368" s="25" t="s">
        <v>1022</v>
      </c>
      <c r="B368" s="26" t="s">
        <v>919</v>
      </c>
      <c r="C368" s="27">
        <v>5.72</v>
      </c>
      <c r="D368" s="96"/>
    </row>
    <row r="369" spans="1:4" ht="31.5" outlineLevel="1">
      <c r="A369" s="25" t="s">
        <v>1022</v>
      </c>
      <c r="B369" s="26" t="s">
        <v>13</v>
      </c>
      <c r="C369" s="25">
        <v>5.75</v>
      </c>
      <c r="D369" s="96"/>
    </row>
    <row r="370" spans="1:4" ht="31.5" outlineLevel="1">
      <c r="A370" s="25" t="s">
        <v>1022</v>
      </c>
      <c r="B370" s="26" t="s">
        <v>14</v>
      </c>
      <c r="C370" s="27">
        <v>5.7</v>
      </c>
      <c r="D370" s="96"/>
    </row>
    <row r="371" spans="1:4" ht="31.5" outlineLevel="1">
      <c r="A371" s="25" t="s">
        <v>1022</v>
      </c>
      <c r="B371" s="26" t="s">
        <v>15</v>
      </c>
      <c r="C371" s="25">
        <v>5.74</v>
      </c>
      <c r="D371" s="96"/>
    </row>
    <row r="372" spans="1:4" ht="31.5" outlineLevel="1">
      <c r="A372" s="25" t="s">
        <v>1022</v>
      </c>
      <c r="B372" s="26" t="s">
        <v>420</v>
      </c>
      <c r="C372" s="25">
        <v>5.76</v>
      </c>
      <c r="D372" s="96"/>
    </row>
    <row r="373" spans="1:4" ht="31.5" outlineLevel="1">
      <c r="A373" s="25" t="s">
        <v>1022</v>
      </c>
      <c r="B373" s="26" t="s">
        <v>841</v>
      </c>
      <c r="C373" s="25">
        <v>5.89</v>
      </c>
      <c r="D373" s="95" t="s">
        <v>1114</v>
      </c>
    </row>
    <row r="374" spans="1:4" ht="31.5" outlineLevel="1">
      <c r="A374" s="25" t="s">
        <v>1022</v>
      </c>
      <c r="B374" s="26" t="s">
        <v>155</v>
      </c>
      <c r="C374" s="25">
        <v>5.109</v>
      </c>
      <c r="D374" s="95"/>
    </row>
    <row r="375" spans="1:4" ht="31.5" outlineLevel="1">
      <c r="A375" s="25" t="s">
        <v>1022</v>
      </c>
      <c r="B375" s="26" t="s">
        <v>156</v>
      </c>
      <c r="C375" s="25">
        <v>5.1109999999999998</v>
      </c>
      <c r="D375" s="96"/>
    </row>
    <row r="376" spans="1:4" ht="31.5" outlineLevel="1">
      <c r="A376" s="25" t="s">
        <v>1022</v>
      </c>
      <c r="B376" s="26" t="s">
        <v>139</v>
      </c>
      <c r="C376" s="25">
        <v>5.1120000000000001</v>
      </c>
      <c r="D376" s="96"/>
    </row>
    <row r="377" spans="1:4" ht="31.5" outlineLevel="1">
      <c r="A377" s="25" t="s">
        <v>1022</v>
      </c>
      <c r="B377" s="26" t="s">
        <v>1129</v>
      </c>
      <c r="C377" s="25">
        <v>5.1130000000000004</v>
      </c>
      <c r="D377" s="96"/>
    </row>
    <row r="378" spans="1:4" ht="31.5" outlineLevel="1">
      <c r="A378" s="25" t="s">
        <v>1022</v>
      </c>
      <c r="B378" s="26" t="s">
        <v>17</v>
      </c>
      <c r="C378" s="25">
        <v>5.58</v>
      </c>
      <c r="D378" s="96"/>
    </row>
    <row r="379" spans="1:4" ht="31.5" outlineLevel="1">
      <c r="A379" s="25" t="s">
        <v>1022</v>
      </c>
      <c r="B379" s="26" t="s">
        <v>18</v>
      </c>
      <c r="C379" s="25">
        <v>5.54</v>
      </c>
      <c r="D379" s="96"/>
    </row>
    <row r="380" spans="1:4" ht="31.5" outlineLevel="1">
      <c r="A380" s="25" t="s">
        <v>1022</v>
      </c>
      <c r="B380" s="26" t="s">
        <v>19</v>
      </c>
      <c r="C380" s="25">
        <v>5.55</v>
      </c>
      <c r="D380" s="96"/>
    </row>
    <row r="381" spans="1:4" ht="31.5" outlineLevel="1">
      <c r="A381" s="25" t="s">
        <v>1022</v>
      </c>
      <c r="B381" s="26" t="s">
        <v>20</v>
      </c>
      <c r="C381" s="25">
        <v>5.63</v>
      </c>
      <c r="D381" s="96"/>
    </row>
    <row r="382" spans="1:4" ht="31.5" outlineLevel="1">
      <c r="A382" s="25" t="s">
        <v>1022</v>
      </c>
      <c r="B382" s="26" t="s">
        <v>21</v>
      </c>
      <c r="C382" s="25">
        <v>5.65</v>
      </c>
      <c r="D382" s="96"/>
    </row>
    <row r="383" spans="1:4" ht="31.5" outlineLevel="1">
      <c r="A383" s="25" t="s">
        <v>1022</v>
      </c>
      <c r="B383" s="26" t="s">
        <v>170</v>
      </c>
      <c r="C383" s="25">
        <v>5.66</v>
      </c>
      <c r="D383" s="96"/>
    </row>
    <row r="384" spans="1:4" ht="31.5" outlineLevel="1">
      <c r="A384" s="25" t="s">
        <v>1022</v>
      </c>
      <c r="B384" s="26" t="s">
        <v>22</v>
      </c>
      <c r="C384" s="25">
        <v>5.68</v>
      </c>
      <c r="D384" s="96"/>
    </row>
    <row r="385" spans="1:4" ht="31.5" outlineLevel="1">
      <c r="A385" s="25" t="s">
        <v>1022</v>
      </c>
      <c r="B385" s="26" t="s">
        <v>24</v>
      </c>
      <c r="C385" s="25">
        <v>5.47</v>
      </c>
      <c r="D385" s="96"/>
    </row>
    <row r="386" spans="1:4" ht="31.5" outlineLevel="1">
      <c r="A386" s="25" t="s">
        <v>1022</v>
      </c>
      <c r="B386" s="26" t="s">
        <v>25</v>
      </c>
      <c r="C386" s="25">
        <v>5.48</v>
      </c>
      <c r="D386" s="96"/>
    </row>
    <row r="387" spans="1:4" ht="31.5">
      <c r="A387" s="30" t="s">
        <v>1022</v>
      </c>
      <c r="B387" s="26"/>
      <c r="C387" s="25"/>
      <c r="D387" s="96"/>
    </row>
    <row r="388" spans="1:4" ht="15.75" outlineLevel="1">
      <c r="A388" s="25" t="s">
        <v>1024</v>
      </c>
      <c r="B388" s="26" t="s">
        <v>0</v>
      </c>
      <c r="C388" s="25">
        <v>5.0999999999999996</v>
      </c>
      <c r="D388" s="96"/>
    </row>
    <row r="389" spans="1:4" ht="15.75" outlineLevel="1">
      <c r="A389" s="25" t="s">
        <v>1024</v>
      </c>
      <c r="B389" s="26" t="s">
        <v>1</v>
      </c>
      <c r="C389" s="25">
        <v>5.2</v>
      </c>
      <c r="D389" s="96"/>
    </row>
    <row r="390" spans="1:4" ht="15.75" outlineLevel="1">
      <c r="A390" s="25" t="s">
        <v>1024</v>
      </c>
      <c r="B390" s="26" t="s">
        <v>2</v>
      </c>
      <c r="C390" s="25">
        <v>5.3</v>
      </c>
      <c r="D390" s="96"/>
    </row>
    <row r="391" spans="1:4" ht="15.75" outlineLevel="1">
      <c r="A391" s="25" t="s">
        <v>1024</v>
      </c>
      <c r="B391" s="26" t="s">
        <v>151</v>
      </c>
      <c r="C391" s="25">
        <v>5.6</v>
      </c>
      <c r="D391" s="96"/>
    </row>
    <row r="392" spans="1:4" ht="15.75" outlineLevel="1">
      <c r="A392" s="25" t="s">
        <v>1024</v>
      </c>
      <c r="B392" s="26" t="s">
        <v>1116</v>
      </c>
      <c r="C392" s="27">
        <v>5.0999999999999996</v>
      </c>
      <c r="D392" s="96"/>
    </row>
    <row r="393" spans="1:4" ht="15.75" outlineLevel="1">
      <c r="A393" s="25" t="s">
        <v>1024</v>
      </c>
      <c r="B393" s="26" t="s">
        <v>1115</v>
      </c>
      <c r="C393" s="25">
        <v>5.14</v>
      </c>
      <c r="D393" s="96"/>
    </row>
    <row r="394" spans="1:4" ht="15.75" outlineLevel="1">
      <c r="A394" s="25" t="s">
        <v>1024</v>
      </c>
      <c r="B394" s="26" t="s">
        <v>4</v>
      </c>
      <c r="C394" s="25">
        <v>5.19</v>
      </c>
      <c r="D394" s="96"/>
    </row>
    <row r="395" spans="1:4" ht="15.75" outlineLevel="1">
      <c r="A395" s="25" t="s">
        <v>1024</v>
      </c>
      <c r="B395" s="26" t="s">
        <v>153</v>
      </c>
      <c r="C395" s="25">
        <v>5.24</v>
      </c>
      <c r="D395" s="96"/>
    </row>
    <row r="396" spans="1:4" ht="15.75" outlineLevel="1">
      <c r="A396" s="25" t="s">
        <v>1024</v>
      </c>
      <c r="B396" s="26" t="s">
        <v>5</v>
      </c>
      <c r="C396" s="25">
        <v>5.26</v>
      </c>
      <c r="D396" s="96"/>
    </row>
    <row r="397" spans="1:4" ht="15.75" outlineLevel="1">
      <c r="A397" s="25" t="s">
        <v>1024</v>
      </c>
      <c r="B397" s="26" t="s">
        <v>6</v>
      </c>
      <c r="C397" s="25">
        <v>5.27</v>
      </c>
      <c r="D397" s="96"/>
    </row>
    <row r="398" spans="1:4" ht="15.75" outlineLevel="1">
      <c r="A398" s="25" t="s">
        <v>1024</v>
      </c>
      <c r="B398" s="26" t="s">
        <v>7</v>
      </c>
      <c r="C398" s="25">
        <v>5.28</v>
      </c>
      <c r="D398" s="96"/>
    </row>
    <row r="399" spans="1:4" ht="15.75" outlineLevel="1">
      <c r="A399" s="25" t="s">
        <v>1024</v>
      </c>
      <c r="B399" s="26" t="s">
        <v>336</v>
      </c>
      <c r="C399" s="25">
        <v>5.29</v>
      </c>
      <c r="D399" s="96"/>
    </row>
    <row r="400" spans="1:4" ht="15.75" outlineLevel="1">
      <c r="A400" s="25" t="s">
        <v>1024</v>
      </c>
      <c r="B400" s="26" t="s">
        <v>154</v>
      </c>
      <c r="C400" s="25">
        <v>5.31</v>
      </c>
      <c r="D400" s="96"/>
    </row>
    <row r="401" spans="1:4" ht="15.75" outlineLevel="1">
      <c r="A401" s="25" t="s">
        <v>1024</v>
      </c>
      <c r="B401" s="26" t="s">
        <v>130</v>
      </c>
      <c r="C401" s="25">
        <v>5.36</v>
      </c>
      <c r="D401" s="96"/>
    </row>
    <row r="402" spans="1:4" ht="15.75" outlineLevel="1">
      <c r="A402" s="25" t="s">
        <v>1024</v>
      </c>
      <c r="B402" s="26" t="s">
        <v>162</v>
      </c>
      <c r="C402" s="25">
        <v>5.37</v>
      </c>
      <c r="D402" s="96"/>
    </row>
    <row r="403" spans="1:4" ht="15.75" outlineLevel="1">
      <c r="A403" s="25" t="s">
        <v>1024</v>
      </c>
      <c r="B403" s="26" t="s">
        <v>9</v>
      </c>
      <c r="C403" s="25">
        <v>5.49</v>
      </c>
      <c r="D403" s="96"/>
    </row>
    <row r="404" spans="1:4" ht="15.75" outlineLevel="1">
      <c r="A404" s="25" t="s">
        <v>1024</v>
      </c>
      <c r="B404" s="26" t="s">
        <v>10</v>
      </c>
      <c r="C404" s="25">
        <v>5.51</v>
      </c>
      <c r="D404" s="96"/>
    </row>
    <row r="405" spans="1:4" ht="15.75" outlineLevel="1">
      <c r="A405" s="25" t="s">
        <v>1024</v>
      </c>
      <c r="B405" s="26" t="s">
        <v>1117</v>
      </c>
      <c r="C405" s="25">
        <v>5.52</v>
      </c>
      <c r="D405" s="96"/>
    </row>
    <row r="406" spans="1:4" ht="15.75" outlineLevel="1">
      <c r="A406" s="25" t="s">
        <v>1024</v>
      </c>
      <c r="B406" s="26" t="s">
        <v>11</v>
      </c>
      <c r="C406" s="25">
        <v>5.53</v>
      </c>
      <c r="D406" s="96"/>
    </row>
    <row r="407" spans="1:4" ht="15.75" outlineLevel="1">
      <c r="A407" s="25" t="s">
        <v>1024</v>
      </c>
      <c r="B407" s="26" t="s">
        <v>12</v>
      </c>
      <c r="C407" s="25">
        <v>5.69</v>
      </c>
      <c r="D407" s="96"/>
    </row>
    <row r="408" spans="1:4" ht="15.75" outlineLevel="1">
      <c r="A408" s="25" t="s">
        <v>1024</v>
      </c>
      <c r="B408" s="26" t="s">
        <v>13</v>
      </c>
      <c r="C408" s="25">
        <v>5.75</v>
      </c>
      <c r="D408" s="96"/>
    </row>
    <row r="409" spans="1:4" ht="15.75" outlineLevel="1">
      <c r="A409" s="25" t="s">
        <v>1024</v>
      </c>
      <c r="B409" s="26" t="s">
        <v>15</v>
      </c>
      <c r="C409" s="25">
        <v>5.74</v>
      </c>
      <c r="D409" s="96"/>
    </row>
    <row r="410" spans="1:4" ht="15.75" outlineLevel="1">
      <c r="A410" s="25" t="s">
        <v>1024</v>
      </c>
      <c r="B410" s="26" t="s">
        <v>14</v>
      </c>
      <c r="C410" s="27">
        <v>5.7</v>
      </c>
      <c r="D410" s="96"/>
    </row>
    <row r="411" spans="1:4" ht="15.75" outlineLevel="1">
      <c r="A411" s="25" t="s">
        <v>1024</v>
      </c>
      <c r="B411" s="26" t="s">
        <v>420</v>
      </c>
      <c r="C411" s="25">
        <v>5.76</v>
      </c>
      <c r="D411" s="96"/>
    </row>
    <row r="412" spans="1:4" ht="15.75" outlineLevel="1">
      <c r="A412" s="25" t="s">
        <v>1024</v>
      </c>
      <c r="B412" s="26" t="s">
        <v>841</v>
      </c>
      <c r="C412" s="25">
        <v>5.89</v>
      </c>
      <c r="D412" s="95" t="s">
        <v>1114</v>
      </c>
    </row>
    <row r="413" spans="1:4" ht="15.75" outlineLevel="1">
      <c r="A413" s="25" t="s">
        <v>1024</v>
      </c>
      <c r="B413" s="26" t="s">
        <v>155</v>
      </c>
      <c r="C413" s="25">
        <v>5.109</v>
      </c>
      <c r="D413" s="96"/>
    </row>
    <row r="414" spans="1:4" ht="15.75" outlineLevel="1">
      <c r="A414" s="25" t="s">
        <v>1024</v>
      </c>
      <c r="B414" s="26" t="s">
        <v>156</v>
      </c>
      <c r="C414" s="25">
        <v>5.1109999999999998</v>
      </c>
      <c r="D414" s="96"/>
    </row>
    <row r="415" spans="1:4" ht="15.75" outlineLevel="1">
      <c r="A415" s="25" t="s">
        <v>1024</v>
      </c>
      <c r="B415" s="26" t="s">
        <v>139</v>
      </c>
      <c r="C415" s="25">
        <v>5.1120000000000001</v>
      </c>
      <c r="D415" s="96"/>
    </row>
    <row r="416" spans="1:4" ht="15.75" outlineLevel="1">
      <c r="A416" s="25" t="s">
        <v>1024</v>
      </c>
      <c r="B416" s="26" t="s">
        <v>1129</v>
      </c>
      <c r="C416" s="25">
        <v>5.1130000000000004</v>
      </c>
      <c r="D416" s="96"/>
    </row>
    <row r="417" spans="1:4" ht="15.75" outlineLevel="1">
      <c r="A417" s="25" t="s">
        <v>1024</v>
      </c>
      <c r="B417" s="26" t="s">
        <v>17</v>
      </c>
      <c r="C417" s="25">
        <v>5.58</v>
      </c>
      <c r="D417" s="96"/>
    </row>
    <row r="418" spans="1:4" ht="15.75" outlineLevel="1">
      <c r="A418" s="25" t="s">
        <v>1024</v>
      </c>
      <c r="B418" s="26" t="s">
        <v>18</v>
      </c>
      <c r="C418" s="25">
        <v>5.54</v>
      </c>
      <c r="D418" s="96"/>
    </row>
    <row r="419" spans="1:4" ht="15.75" outlineLevel="1">
      <c r="A419" s="25" t="s">
        <v>1024</v>
      </c>
      <c r="B419" s="26" t="s">
        <v>19</v>
      </c>
      <c r="C419" s="25">
        <v>5.55</v>
      </c>
      <c r="D419" s="96"/>
    </row>
    <row r="420" spans="1:4" ht="15.75" outlineLevel="1">
      <c r="A420" s="25" t="s">
        <v>1024</v>
      </c>
      <c r="B420" s="26" t="s">
        <v>20</v>
      </c>
      <c r="C420" s="25">
        <v>5.63</v>
      </c>
      <c r="D420" s="96"/>
    </row>
    <row r="421" spans="1:4" ht="15.75" outlineLevel="1">
      <c r="A421" s="25" t="s">
        <v>1024</v>
      </c>
      <c r="B421" s="26" t="s">
        <v>21</v>
      </c>
      <c r="C421" s="25">
        <v>5.65</v>
      </c>
      <c r="D421" s="96"/>
    </row>
    <row r="422" spans="1:4" ht="15.75" outlineLevel="1">
      <c r="A422" s="25" t="s">
        <v>1024</v>
      </c>
      <c r="B422" s="26" t="s">
        <v>170</v>
      </c>
      <c r="C422" s="25">
        <v>5.66</v>
      </c>
      <c r="D422" s="96"/>
    </row>
    <row r="423" spans="1:4" ht="15.75" outlineLevel="1">
      <c r="A423" s="25" t="s">
        <v>1024</v>
      </c>
      <c r="B423" s="26" t="s">
        <v>22</v>
      </c>
      <c r="C423" s="25">
        <v>5.68</v>
      </c>
      <c r="D423" s="96"/>
    </row>
    <row r="424" spans="1:4" ht="15.75" outlineLevel="1">
      <c r="A424" s="25" t="s">
        <v>1024</v>
      </c>
      <c r="B424" s="26" t="s">
        <v>24</v>
      </c>
      <c r="C424" s="25">
        <v>5.47</v>
      </c>
      <c r="D424" s="96"/>
    </row>
    <row r="425" spans="1:4" ht="15.75" outlineLevel="1">
      <c r="A425" s="25" t="s">
        <v>1024</v>
      </c>
      <c r="B425" s="26" t="s">
        <v>25</v>
      </c>
      <c r="C425" s="25">
        <v>5.48</v>
      </c>
      <c r="D425" s="96"/>
    </row>
    <row r="426" spans="1:4" ht="15.75">
      <c r="A426" s="30" t="s">
        <v>1024</v>
      </c>
      <c r="B426" s="26"/>
      <c r="C426" s="25"/>
      <c r="D426" s="96"/>
    </row>
    <row r="427" spans="1:4" ht="31.5" outlineLevel="1">
      <c r="A427" s="25" t="s">
        <v>1130</v>
      </c>
      <c r="B427" s="26" t="s">
        <v>0</v>
      </c>
      <c r="C427" s="25">
        <v>5.0999999999999996</v>
      </c>
      <c r="D427" s="96"/>
    </row>
    <row r="428" spans="1:4" ht="31.5" outlineLevel="1">
      <c r="A428" s="25" t="s">
        <v>1130</v>
      </c>
      <c r="B428" s="26" t="s">
        <v>1</v>
      </c>
      <c r="C428" s="25">
        <v>5.2</v>
      </c>
      <c r="D428" s="96"/>
    </row>
    <row r="429" spans="1:4" ht="31.5" outlineLevel="1">
      <c r="A429" s="25" t="s">
        <v>1130</v>
      </c>
      <c r="B429" s="26" t="s">
        <v>2</v>
      </c>
      <c r="C429" s="25">
        <v>5.3</v>
      </c>
      <c r="D429" s="96"/>
    </row>
    <row r="430" spans="1:4" ht="31.5" outlineLevel="1">
      <c r="A430" s="25" t="s">
        <v>1130</v>
      </c>
      <c r="B430" s="26" t="s">
        <v>151</v>
      </c>
      <c r="C430" s="25">
        <v>5.6</v>
      </c>
      <c r="D430" s="96"/>
    </row>
    <row r="431" spans="1:4" ht="31.5" outlineLevel="1">
      <c r="A431" s="25" t="s">
        <v>1130</v>
      </c>
      <c r="B431" s="26" t="s">
        <v>1116</v>
      </c>
      <c r="C431" s="27">
        <v>5.0999999999999996</v>
      </c>
      <c r="D431" s="96"/>
    </row>
    <row r="432" spans="1:4" ht="31.5" outlineLevel="1">
      <c r="A432" s="25" t="s">
        <v>1130</v>
      </c>
      <c r="B432" s="26" t="s">
        <v>1115</v>
      </c>
      <c r="C432" s="25">
        <v>5.14</v>
      </c>
      <c r="D432" s="96"/>
    </row>
    <row r="433" spans="1:4" ht="31.5" outlineLevel="1">
      <c r="A433" s="25" t="s">
        <v>1130</v>
      </c>
      <c r="B433" s="26" t="s">
        <v>4</v>
      </c>
      <c r="C433" s="25">
        <v>5.19</v>
      </c>
      <c r="D433" s="96"/>
    </row>
    <row r="434" spans="1:4" ht="31.5" outlineLevel="1">
      <c r="A434" s="25" t="s">
        <v>1130</v>
      </c>
      <c r="B434" s="26" t="s">
        <v>153</v>
      </c>
      <c r="C434" s="25">
        <v>5.24</v>
      </c>
      <c r="D434" s="96"/>
    </row>
    <row r="435" spans="1:4" ht="31.5" outlineLevel="1">
      <c r="A435" s="25" t="s">
        <v>1130</v>
      </c>
      <c r="B435" s="26" t="s">
        <v>5</v>
      </c>
      <c r="C435" s="25">
        <v>5.26</v>
      </c>
      <c r="D435" s="96"/>
    </row>
    <row r="436" spans="1:4" ht="31.5" outlineLevel="1">
      <c r="A436" s="25" t="s">
        <v>1130</v>
      </c>
      <c r="B436" s="26" t="s">
        <v>6</v>
      </c>
      <c r="C436" s="25">
        <v>5.27</v>
      </c>
      <c r="D436" s="96"/>
    </row>
    <row r="437" spans="1:4" ht="31.5" outlineLevel="1">
      <c r="A437" s="25" t="s">
        <v>1130</v>
      </c>
      <c r="B437" s="26" t="s">
        <v>7</v>
      </c>
      <c r="C437" s="25">
        <v>5.28</v>
      </c>
      <c r="D437" s="96"/>
    </row>
    <row r="438" spans="1:4" ht="31.5" outlineLevel="1">
      <c r="A438" s="25" t="s">
        <v>1130</v>
      </c>
      <c r="B438" s="26" t="s">
        <v>336</v>
      </c>
      <c r="C438" s="25">
        <v>5.29</v>
      </c>
      <c r="D438" s="96"/>
    </row>
    <row r="439" spans="1:4" ht="31.5" outlineLevel="1">
      <c r="A439" s="25" t="s">
        <v>1130</v>
      </c>
      <c r="B439" s="26" t="s">
        <v>154</v>
      </c>
      <c r="C439" s="25">
        <v>5.31</v>
      </c>
      <c r="D439" s="96"/>
    </row>
    <row r="440" spans="1:4" ht="31.5" outlineLevel="1">
      <c r="A440" s="25" t="s">
        <v>1130</v>
      </c>
      <c r="B440" s="26" t="s">
        <v>130</v>
      </c>
      <c r="C440" s="25">
        <v>5.36</v>
      </c>
      <c r="D440" s="96"/>
    </row>
    <row r="441" spans="1:4" ht="31.5" outlineLevel="1">
      <c r="A441" s="25" t="s">
        <v>1130</v>
      </c>
      <c r="B441" s="26" t="s">
        <v>162</v>
      </c>
      <c r="C441" s="25">
        <v>5.37</v>
      </c>
      <c r="D441" s="96"/>
    </row>
    <row r="442" spans="1:4" ht="31.5" outlineLevel="1">
      <c r="A442" s="25" t="s">
        <v>1130</v>
      </c>
      <c r="B442" s="26" t="s">
        <v>11</v>
      </c>
      <c r="C442" s="25">
        <v>5.53</v>
      </c>
      <c r="D442" s="96"/>
    </row>
    <row r="443" spans="1:4" ht="31.5" outlineLevel="1">
      <c r="A443" s="25" t="s">
        <v>1130</v>
      </c>
      <c r="B443" s="26" t="s">
        <v>155</v>
      </c>
      <c r="C443" s="25">
        <v>5.109</v>
      </c>
      <c r="D443" s="96"/>
    </row>
    <row r="444" spans="1:4" ht="31.5" outlineLevel="1">
      <c r="A444" s="25" t="s">
        <v>1130</v>
      </c>
      <c r="B444" s="26" t="s">
        <v>156</v>
      </c>
      <c r="C444" s="25">
        <v>5.1109999999999998</v>
      </c>
      <c r="D444" s="96"/>
    </row>
    <row r="445" spans="1:4" ht="31.5" outlineLevel="1">
      <c r="A445" s="25" t="s">
        <v>1130</v>
      </c>
      <c r="B445" s="26" t="s">
        <v>139</v>
      </c>
      <c r="C445" s="25">
        <v>5.1120000000000001</v>
      </c>
      <c r="D445" s="96"/>
    </row>
    <row r="446" spans="1:4" ht="31.5" outlineLevel="1">
      <c r="A446" s="25" t="s">
        <v>1130</v>
      </c>
      <c r="B446" s="26" t="s">
        <v>1129</v>
      </c>
      <c r="C446" s="25">
        <v>5.1130000000000004</v>
      </c>
      <c r="D446" s="96"/>
    </row>
    <row r="447" spans="1:4" ht="31.5" outlineLevel="1">
      <c r="A447" s="25" t="s">
        <v>1130</v>
      </c>
      <c r="B447" s="26" t="s">
        <v>17</v>
      </c>
      <c r="C447" s="25">
        <v>5.58</v>
      </c>
      <c r="D447" s="96"/>
    </row>
    <row r="448" spans="1:4" ht="31.5" outlineLevel="1">
      <c r="A448" s="25" t="s">
        <v>1130</v>
      </c>
      <c r="B448" s="26" t="s">
        <v>18</v>
      </c>
      <c r="C448" s="25">
        <v>5.54</v>
      </c>
      <c r="D448" s="96"/>
    </row>
    <row r="449" spans="1:4" ht="31.5" outlineLevel="1">
      <c r="A449" s="25" t="s">
        <v>1130</v>
      </c>
      <c r="B449" s="26" t="s">
        <v>19</v>
      </c>
      <c r="C449" s="25">
        <v>5.55</v>
      </c>
      <c r="D449" s="96"/>
    </row>
    <row r="450" spans="1:4" ht="31.5" outlineLevel="1">
      <c r="A450" s="25" t="s">
        <v>1130</v>
      </c>
      <c r="B450" s="26" t="s">
        <v>20</v>
      </c>
      <c r="C450" s="25">
        <v>5.63</v>
      </c>
      <c r="D450" s="96"/>
    </row>
    <row r="451" spans="1:4" ht="31.5" outlineLevel="1">
      <c r="A451" s="25" t="s">
        <v>1130</v>
      </c>
      <c r="B451" s="26" t="s">
        <v>24</v>
      </c>
      <c r="C451" s="25">
        <v>5.47</v>
      </c>
      <c r="D451" s="96"/>
    </row>
    <row r="452" spans="1:4" ht="31.5" outlineLevel="1">
      <c r="A452" s="25" t="s">
        <v>1130</v>
      </c>
      <c r="B452" s="26" t="s">
        <v>25</v>
      </c>
      <c r="C452" s="25">
        <v>5.48</v>
      </c>
      <c r="D452" s="96"/>
    </row>
    <row r="453" spans="1:4" ht="31.5">
      <c r="A453" s="30" t="s">
        <v>1130</v>
      </c>
      <c r="B453" s="26"/>
      <c r="C453" s="25"/>
      <c r="D453" s="96"/>
    </row>
    <row r="454" spans="1:4" ht="15.75" outlineLevel="1">
      <c r="A454" s="25" t="s">
        <v>785</v>
      </c>
      <c r="B454" s="26" t="s">
        <v>0</v>
      </c>
      <c r="C454" s="25">
        <v>5.0999999999999996</v>
      </c>
      <c r="D454" s="96"/>
    </row>
    <row r="455" spans="1:4" ht="15.75" outlineLevel="1">
      <c r="A455" s="25" t="s">
        <v>785</v>
      </c>
      <c r="B455" s="26" t="s">
        <v>1</v>
      </c>
      <c r="C455" s="25">
        <v>5.2</v>
      </c>
      <c r="D455" s="96"/>
    </row>
    <row r="456" spans="1:4" ht="15.75" outlineLevel="1">
      <c r="A456" s="25" t="s">
        <v>785</v>
      </c>
      <c r="B456" s="26" t="s">
        <v>204</v>
      </c>
      <c r="C456" s="25">
        <v>5.5</v>
      </c>
      <c r="D456" s="96"/>
    </row>
    <row r="457" spans="1:4" ht="15.75" outlineLevel="1">
      <c r="A457" s="25" t="s">
        <v>785</v>
      </c>
      <c r="B457" s="26" t="s">
        <v>205</v>
      </c>
      <c r="C457" s="25">
        <v>5.8</v>
      </c>
      <c r="D457" s="95" t="s">
        <v>1114</v>
      </c>
    </row>
    <row r="458" spans="1:4" ht="15.75" outlineLevel="1">
      <c r="A458" s="25" t="s">
        <v>785</v>
      </c>
      <c r="B458" s="26" t="s">
        <v>206</v>
      </c>
      <c r="C458" s="25">
        <v>5.12</v>
      </c>
      <c r="D458" s="95" t="s">
        <v>1114</v>
      </c>
    </row>
    <row r="459" spans="1:4" ht="15.75" outlineLevel="1">
      <c r="A459" s="25" t="s">
        <v>785</v>
      </c>
      <c r="B459" s="26" t="s">
        <v>207</v>
      </c>
      <c r="C459" s="25">
        <v>5.15</v>
      </c>
      <c r="D459" s="96"/>
    </row>
    <row r="460" spans="1:4" ht="15.75" outlineLevel="1">
      <c r="A460" s="25" t="s">
        <v>785</v>
      </c>
      <c r="B460" s="26" t="s">
        <v>208</v>
      </c>
      <c r="C460" s="27">
        <v>5.2</v>
      </c>
      <c r="D460" s="95"/>
    </row>
    <row r="461" spans="1:4" ht="15.75" outlineLevel="1">
      <c r="A461" s="25" t="s">
        <v>785</v>
      </c>
      <c r="B461" s="26" t="s">
        <v>209</v>
      </c>
      <c r="C461" s="25">
        <v>5.25</v>
      </c>
      <c r="D461" s="96"/>
    </row>
    <row r="462" spans="1:4" ht="15.75" outlineLevel="1">
      <c r="A462" s="25" t="s">
        <v>785</v>
      </c>
      <c r="B462" s="26" t="s">
        <v>5</v>
      </c>
      <c r="C462" s="25">
        <v>5.26</v>
      </c>
      <c r="D462" s="96"/>
    </row>
    <row r="463" spans="1:4" ht="15.75" outlineLevel="1">
      <c r="A463" s="25" t="s">
        <v>785</v>
      </c>
      <c r="B463" s="26" t="s">
        <v>842</v>
      </c>
      <c r="C463" s="25">
        <v>5.1139999999999999</v>
      </c>
      <c r="D463" s="95" t="s">
        <v>1114</v>
      </c>
    </row>
    <row r="464" spans="1:4" ht="15.75" outlineLevel="1">
      <c r="A464" s="25" t="s">
        <v>785</v>
      </c>
      <c r="B464" s="26" t="s">
        <v>6</v>
      </c>
      <c r="C464" s="25">
        <v>5.27</v>
      </c>
      <c r="D464" s="96"/>
    </row>
    <row r="465" spans="1:4" ht="15.75" outlineLevel="1">
      <c r="A465" s="25" t="s">
        <v>785</v>
      </c>
      <c r="B465" s="26" t="s">
        <v>1131</v>
      </c>
      <c r="C465" s="25">
        <v>5.1150000000000002</v>
      </c>
      <c r="D465" s="95" t="s">
        <v>1114</v>
      </c>
    </row>
    <row r="466" spans="1:4" ht="15.75" outlineLevel="1">
      <c r="A466" s="25" t="s">
        <v>785</v>
      </c>
      <c r="B466" s="26" t="s">
        <v>1132</v>
      </c>
      <c r="C466" s="25">
        <v>5.1159999999999997</v>
      </c>
      <c r="D466" s="95" t="s">
        <v>1114</v>
      </c>
    </row>
    <row r="467" spans="1:4" ht="15.75" outlineLevel="1">
      <c r="A467" s="25" t="s">
        <v>785</v>
      </c>
      <c r="B467" s="26" t="s">
        <v>7</v>
      </c>
      <c r="C467" s="25">
        <v>5.28</v>
      </c>
      <c r="D467" s="96"/>
    </row>
    <row r="468" spans="1:4" ht="15.75" outlineLevel="1">
      <c r="A468" s="25" t="s">
        <v>785</v>
      </c>
      <c r="B468" s="26" t="s">
        <v>130</v>
      </c>
      <c r="C468" s="25">
        <v>5.36</v>
      </c>
      <c r="D468" s="96"/>
    </row>
    <row r="469" spans="1:4" ht="15.75" outlineLevel="1">
      <c r="A469" s="25" t="s">
        <v>785</v>
      </c>
      <c r="B469" s="26" t="s">
        <v>162</v>
      </c>
      <c r="C469" s="25">
        <v>5.37</v>
      </c>
      <c r="D469" s="96"/>
    </row>
    <row r="470" spans="1:4" ht="15.75" outlineLevel="1">
      <c r="A470" s="25" t="s">
        <v>785</v>
      </c>
      <c r="B470" s="26" t="s">
        <v>11</v>
      </c>
      <c r="C470" s="25">
        <v>5.53</v>
      </c>
      <c r="D470" s="96"/>
    </row>
    <row r="471" spans="1:4" ht="15.75" outlineLevel="1">
      <c r="A471" s="25" t="s">
        <v>785</v>
      </c>
      <c r="B471" s="26" t="s">
        <v>155</v>
      </c>
      <c r="C471" s="25">
        <v>5.109</v>
      </c>
      <c r="D471" s="96"/>
    </row>
    <row r="472" spans="1:4" ht="15.75" outlineLevel="1">
      <c r="A472" s="25" t="s">
        <v>785</v>
      </c>
      <c r="B472" s="26" t="s">
        <v>156</v>
      </c>
      <c r="C472" s="25">
        <v>5.1109999999999998</v>
      </c>
      <c r="D472" s="96"/>
    </row>
    <row r="473" spans="1:4" ht="15.75" outlineLevel="1">
      <c r="A473" s="25" t="s">
        <v>785</v>
      </c>
      <c r="B473" s="26" t="s">
        <v>139</v>
      </c>
      <c r="C473" s="25">
        <v>5.1120000000000001</v>
      </c>
      <c r="D473" s="96"/>
    </row>
    <row r="474" spans="1:4" ht="15.75" outlineLevel="1">
      <c r="A474" s="25" t="s">
        <v>785</v>
      </c>
      <c r="B474" s="26" t="s">
        <v>18</v>
      </c>
      <c r="C474" s="25">
        <v>5.54</v>
      </c>
      <c r="D474" s="96"/>
    </row>
    <row r="475" spans="1:4" ht="15.75" outlineLevel="1">
      <c r="A475" s="25" t="s">
        <v>785</v>
      </c>
      <c r="B475" s="26" t="s">
        <v>1133</v>
      </c>
      <c r="C475" s="25">
        <v>5.61</v>
      </c>
      <c r="D475" s="96"/>
    </row>
    <row r="476" spans="1:4" ht="15.75" outlineLevel="1">
      <c r="A476" s="25" t="s">
        <v>785</v>
      </c>
      <c r="B476" s="26" t="s">
        <v>20</v>
      </c>
      <c r="C476" s="25">
        <v>5.63</v>
      </c>
      <c r="D476" s="96"/>
    </row>
    <row r="477" spans="1:4" ht="15.75" outlineLevel="1">
      <c r="A477" s="25" t="s">
        <v>785</v>
      </c>
      <c r="B477" s="26" t="s">
        <v>1134</v>
      </c>
      <c r="C477" s="25">
        <v>5.46</v>
      </c>
      <c r="D477" s="96"/>
    </row>
    <row r="478" spans="1:4" ht="15.75" outlineLevel="1">
      <c r="A478" s="25" t="s">
        <v>785</v>
      </c>
      <c r="B478" s="26" t="s">
        <v>24</v>
      </c>
      <c r="C478" s="25">
        <v>5.47</v>
      </c>
      <c r="D478" s="96"/>
    </row>
    <row r="479" spans="1:4" ht="15.75" outlineLevel="1">
      <c r="A479" s="25" t="s">
        <v>785</v>
      </c>
      <c r="B479" s="26" t="s">
        <v>25</v>
      </c>
      <c r="C479" s="25">
        <v>5.48</v>
      </c>
      <c r="D479" s="96"/>
    </row>
    <row r="480" spans="1:4" ht="15.75">
      <c r="A480" s="30" t="s">
        <v>785</v>
      </c>
      <c r="B480" s="26"/>
      <c r="C480" s="25"/>
      <c r="D480" s="96"/>
    </row>
    <row r="481" spans="1:4" ht="15.75" outlineLevel="1">
      <c r="A481" s="25" t="s">
        <v>1135</v>
      </c>
      <c r="B481" s="26" t="s">
        <v>0</v>
      </c>
      <c r="C481" s="25">
        <v>5.0999999999999996</v>
      </c>
      <c r="D481" s="96"/>
    </row>
    <row r="482" spans="1:4" ht="15.75" outlineLevel="1">
      <c r="A482" s="25" t="s">
        <v>1135</v>
      </c>
      <c r="B482" s="26" t="s">
        <v>1</v>
      </c>
      <c r="C482" s="25">
        <v>5.2</v>
      </c>
      <c r="D482" s="96"/>
    </row>
    <row r="483" spans="1:4" ht="15.75" outlineLevel="1">
      <c r="A483" s="25" t="s">
        <v>1135</v>
      </c>
      <c r="B483" s="26" t="s">
        <v>2</v>
      </c>
      <c r="C483" s="25">
        <v>5.3</v>
      </c>
      <c r="D483" s="96"/>
    </row>
    <row r="484" spans="1:4" ht="15.75" outlineLevel="1">
      <c r="A484" s="25" t="s">
        <v>1135</v>
      </c>
      <c r="B484" s="26" t="s">
        <v>151</v>
      </c>
      <c r="C484" s="25">
        <v>5.6</v>
      </c>
      <c r="D484" s="96"/>
    </row>
    <row r="485" spans="1:4" ht="15.75" outlineLevel="1">
      <c r="A485" s="25" t="s">
        <v>1135</v>
      </c>
      <c r="B485" s="26" t="s">
        <v>1116</v>
      </c>
      <c r="C485" s="27">
        <v>5.0999999999999996</v>
      </c>
      <c r="D485" s="96"/>
    </row>
    <row r="486" spans="1:4" ht="15.75" outlineLevel="1">
      <c r="A486" s="25" t="s">
        <v>1135</v>
      </c>
      <c r="B486" s="26" t="s">
        <v>1115</v>
      </c>
      <c r="C486" s="25">
        <v>5.14</v>
      </c>
      <c r="D486" s="96"/>
    </row>
    <row r="487" spans="1:4" ht="15.75" outlineLevel="1">
      <c r="A487" s="25" t="s">
        <v>1135</v>
      </c>
      <c r="B487" s="26" t="s">
        <v>4</v>
      </c>
      <c r="C487" s="25">
        <v>5.19</v>
      </c>
      <c r="D487" s="96"/>
    </row>
    <row r="488" spans="1:4" ht="15.75" outlineLevel="1">
      <c r="A488" s="25" t="s">
        <v>1135</v>
      </c>
      <c r="B488" s="26" t="s">
        <v>153</v>
      </c>
      <c r="C488" s="25">
        <v>5.24</v>
      </c>
      <c r="D488" s="96"/>
    </row>
    <row r="489" spans="1:4" ht="15.75" outlineLevel="1">
      <c r="A489" s="25" t="s">
        <v>1135</v>
      </c>
      <c r="B489" s="26" t="s">
        <v>6</v>
      </c>
      <c r="C489" s="25">
        <v>5.27</v>
      </c>
      <c r="D489" s="96"/>
    </row>
    <row r="490" spans="1:4" ht="15.75" outlineLevel="1">
      <c r="A490" s="25" t="s">
        <v>1135</v>
      </c>
      <c r="B490" s="26" t="s">
        <v>7</v>
      </c>
      <c r="C490" s="25">
        <v>5.28</v>
      </c>
      <c r="D490" s="96"/>
    </row>
    <row r="491" spans="1:4" ht="15.75" outlineLevel="1">
      <c r="A491" s="25" t="s">
        <v>1135</v>
      </c>
      <c r="B491" s="26" t="s">
        <v>336</v>
      </c>
      <c r="C491" s="25">
        <v>5.29</v>
      </c>
      <c r="D491" s="96"/>
    </row>
    <row r="492" spans="1:4" ht="15.75" outlineLevel="1">
      <c r="A492" s="25" t="s">
        <v>1135</v>
      </c>
      <c r="B492" s="26" t="s">
        <v>1120</v>
      </c>
      <c r="C492" s="25">
        <v>5.34</v>
      </c>
      <c r="D492" s="96"/>
    </row>
    <row r="493" spans="1:4" ht="15.75" outlineLevel="1">
      <c r="A493" s="25" t="s">
        <v>1135</v>
      </c>
      <c r="B493" s="26" t="s">
        <v>154</v>
      </c>
      <c r="C493" s="25">
        <v>5.31</v>
      </c>
      <c r="D493" s="96"/>
    </row>
    <row r="494" spans="1:4" ht="15.75" outlineLevel="1">
      <c r="A494" s="25" t="s">
        <v>1135</v>
      </c>
      <c r="B494" s="26" t="s">
        <v>1121</v>
      </c>
      <c r="C494" s="25">
        <v>5.101</v>
      </c>
      <c r="D494" s="96"/>
    </row>
    <row r="495" spans="1:4" ht="15.75" outlineLevel="1">
      <c r="A495" s="25" t="s">
        <v>1135</v>
      </c>
      <c r="B495" s="26" t="s">
        <v>130</v>
      </c>
      <c r="C495" s="25">
        <v>5.36</v>
      </c>
      <c r="D495" s="96"/>
    </row>
    <row r="496" spans="1:4" ht="15.75" outlineLevel="1">
      <c r="A496" s="25" t="s">
        <v>1135</v>
      </c>
      <c r="B496" s="26" t="s">
        <v>162</v>
      </c>
      <c r="C496" s="25">
        <v>5.37</v>
      </c>
      <c r="D496" s="96"/>
    </row>
    <row r="497" spans="1:4" ht="15.75" outlineLevel="1">
      <c r="A497" s="25" t="s">
        <v>1135</v>
      </c>
      <c r="B497" s="26" t="s">
        <v>11</v>
      </c>
      <c r="C497" s="25">
        <v>5.53</v>
      </c>
      <c r="D497" s="96"/>
    </row>
    <row r="498" spans="1:4" ht="15.75" outlineLevel="1">
      <c r="A498" s="25" t="s">
        <v>1135</v>
      </c>
      <c r="B498" s="26" t="s">
        <v>155</v>
      </c>
      <c r="C498" s="25">
        <v>5.109</v>
      </c>
      <c r="D498" s="96"/>
    </row>
    <row r="499" spans="1:4" ht="15.75" outlineLevel="1">
      <c r="A499" s="25" t="s">
        <v>1135</v>
      </c>
      <c r="B499" s="26" t="s">
        <v>156</v>
      </c>
      <c r="C499" s="25">
        <v>5.1109999999999998</v>
      </c>
      <c r="D499" s="96"/>
    </row>
    <row r="500" spans="1:4" ht="15.75" outlineLevel="1">
      <c r="A500" s="25" t="s">
        <v>1135</v>
      </c>
      <c r="B500" s="26" t="s">
        <v>139</v>
      </c>
      <c r="C500" s="25">
        <v>5.1120000000000001</v>
      </c>
      <c r="D500" s="96"/>
    </row>
    <row r="501" spans="1:4" ht="15.75" outlineLevel="1">
      <c r="A501" s="25" t="s">
        <v>1135</v>
      </c>
      <c r="B501" s="26" t="s">
        <v>1122</v>
      </c>
      <c r="C501" s="25">
        <v>5.1020000000000003</v>
      </c>
      <c r="D501" s="96"/>
    </row>
    <row r="502" spans="1:4" ht="15.75" outlineLevel="1">
      <c r="A502" s="25" t="s">
        <v>1135</v>
      </c>
      <c r="B502" s="26" t="s">
        <v>1123</v>
      </c>
      <c r="C502" s="28">
        <v>5.0999999999999996</v>
      </c>
      <c r="D502" s="96"/>
    </row>
    <row r="503" spans="1:4" ht="15.75" outlineLevel="1">
      <c r="A503" s="25" t="s">
        <v>1135</v>
      </c>
      <c r="B503" s="26" t="s">
        <v>17</v>
      </c>
      <c r="C503" s="25">
        <v>5.58</v>
      </c>
      <c r="D503" s="96"/>
    </row>
    <row r="504" spans="1:4" ht="15.75" outlineLevel="1">
      <c r="A504" s="25" t="s">
        <v>1135</v>
      </c>
      <c r="B504" s="26" t="s">
        <v>19</v>
      </c>
      <c r="C504" s="25">
        <v>5.55</v>
      </c>
      <c r="D504" s="96"/>
    </row>
    <row r="505" spans="1:4" ht="15.75" outlineLevel="1">
      <c r="A505" s="25" t="s">
        <v>1135</v>
      </c>
      <c r="B505" s="26" t="s">
        <v>18</v>
      </c>
      <c r="C505" s="25">
        <v>5.54</v>
      </c>
      <c r="D505" s="96"/>
    </row>
    <row r="506" spans="1:4" ht="15.75" outlineLevel="1">
      <c r="A506" s="25" t="s">
        <v>1135</v>
      </c>
      <c r="B506" s="26" t="s">
        <v>20</v>
      </c>
      <c r="C506" s="25">
        <v>5.63</v>
      </c>
      <c r="D506" s="96"/>
    </row>
    <row r="507" spans="1:4" ht="15.75" outlineLevel="1">
      <c r="A507" s="25" t="s">
        <v>1135</v>
      </c>
      <c r="B507" s="26" t="s">
        <v>24</v>
      </c>
      <c r="C507" s="25">
        <v>5.47</v>
      </c>
      <c r="D507" s="96"/>
    </row>
    <row r="508" spans="1:4" ht="15.75" outlineLevel="1">
      <c r="A508" s="25" t="s">
        <v>1135</v>
      </c>
      <c r="B508" s="26" t="s">
        <v>25</v>
      </c>
      <c r="C508" s="25">
        <v>5.48</v>
      </c>
      <c r="D508" s="96"/>
    </row>
    <row r="509" spans="1:4" ht="15.75">
      <c r="A509" s="30" t="s">
        <v>1135</v>
      </c>
      <c r="B509" s="26"/>
      <c r="C509" s="25"/>
      <c r="D509" s="96"/>
    </row>
    <row r="510" spans="1:4" ht="15.75" outlineLevel="1">
      <c r="A510" s="25" t="s">
        <v>1042</v>
      </c>
      <c r="B510" s="26" t="s">
        <v>0</v>
      </c>
      <c r="C510" s="25">
        <v>5.0999999999999996</v>
      </c>
      <c r="D510" s="96"/>
    </row>
    <row r="511" spans="1:4" ht="15.75" outlineLevel="1">
      <c r="A511" s="25" t="s">
        <v>1042</v>
      </c>
      <c r="B511" s="26" t="s">
        <v>1</v>
      </c>
      <c r="C511" s="25">
        <v>5.2</v>
      </c>
      <c r="D511" s="96"/>
    </row>
    <row r="512" spans="1:4" ht="15.75" outlineLevel="1">
      <c r="A512" s="25" t="s">
        <v>1042</v>
      </c>
      <c r="B512" s="26" t="s">
        <v>2</v>
      </c>
      <c r="C512" s="25">
        <v>5.3</v>
      </c>
      <c r="D512" s="96"/>
    </row>
    <row r="513" spans="1:4" ht="15.75" outlineLevel="1">
      <c r="A513" s="25" t="s">
        <v>1042</v>
      </c>
      <c r="B513" s="26" t="s">
        <v>151</v>
      </c>
      <c r="C513" s="25">
        <v>5.6</v>
      </c>
      <c r="D513" s="96"/>
    </row>
    <row r="514" spans="1:4" ht="15.75" outlineLevel="1">
      <c r="A514" s="25" t="s">
        <v>1042</v>
      </c>
      <c r="B514" s="26" t="s">
        <v>1116</v>
      </c>
      <c r="C514" s="27">
        <v>5.0999999999999996</v>
      </c>
      <c r="D514" s="96"/>
    </row>
    <row r="515" spans="1:4" ht="15.75" outlineLevel="1">
      <c r="A515" s="25" t="s">
        <v>1042</v>
      </c>
      <c r="B515" s="26" t="s">
        <v>1115</v>
      </c>
      <c r="C515" s="25">
        <v>5.14</v>
      </c>
      <c r="D515" s="96"/>
    </row>
    <row r="516" spans="1:4" ht="15.75" outlineLevel="1">
      <c r="A516" s="25" t="s">
        <v>1042</v>
      </c>
      <c r="B516" s="26" t="s">
        <v>4</v>
      </c>
      <c r="C516" s="25">
        <v>5.19</v>
      </c>
      <c r="D516" s="96"/>
    </row>
    <row r="517" spans="1:4" ht="15.75" outlineLevel="1">
      <c r="A517" s="25" t="s">
        <v>1042</v>
      </c>
      <c r="B517" s="26" t="s">
        <v>153</v>
      </c>
      <c r="C517" s="25">
        <v>5.24</v>
      </c>
      <c r="D517" s="96"/>
    </row>
    <row r="518" spans="1:4" ht="15.75" outlineLevel="1">
      <c r="A518" s="25" t="s">
        <v>1042</v>
      </c>
      <c r="B518" s="26" t="s">
        <v>5</v>
      </c>
      <c r="C518" s="25">
        <v>5.26</v>
      </c>
      <c r="D518" s="96"/>
    </row>
    <row r="519" spans="1:4" ht="15.75" outlineLevel="1">
      <c r="A519" s="25" t="s">
        <v>1042</v>
      </c>
      <c r="B519" s="26" t="s">
        <v>6</v>
      </c>
      <c r="C519" s="25">
        <v>5.27</v>
      </c>
      <c r="D519" s="96"/>
    </row>
    <row r="520" spans="1:4" ht="15.75" outlineLevel="1">
      <c r="A520" s="25" t="s">
        <v>1042</v>
      </c>
      <c r="B520" s="26" t="s">
        <v>7</v>
      </c>
      <c r="C520" s="25">
        <v>5.28</v>
      </c>
      <c r="D520" s="96"/>
    </row>
    <row r="521" spans="1:4" ht="15.75" outlineLevel="1">
      <c r="A521" s="25" t="s">
        <v>1042</v>
      </c>
      <c r="B521" s="26" t="s">
        <v>154</v>
      </c>
      <c r="C521" s="25">
        <v>5.31</v>
      </c>
      <c r="D521" s="96"/>
    </row>
    <row r="522" spans="1:4" ht="15.75" outlineLevel="1">
      <c r="A522" s="25" t="s">
        <v>1042</v>
      </c>
      <c r="B522" s="26" t="s">
        <v>177</v>
      </c>
      <c r="C522" s="25">
        <v>5.33</v>
      </c>
      <c r="D522" s="96"/>
    </row>
    <row r="523" spans="1:4" ht="15.75" outlineLevel="1">
      <c r="A523" s="25" t="s">
        <v>1042</v>
      </c>
      <c r="B523" s="26" t="s">
        <v>1121</v>
      </c>
      <c r="C523" s="25">
        <v>5.101</v>
      </c>
      <c r="D523" s="96"/>
    </row>
    <row r="524" spans="1:4" ht="15.75" outlineLevel="1">
      <c r="A524" s="25" t="s">
        <v>1042</v>
      </c>
      <c r="B524" s="26" t="s">
        <v>130</v>
      </c>
      <c r="C524" s="25">
        <v>5.36</v>
      </c>
      <c r="D524" s="96"/>
    </row>
    <row r="525" spans="1:4" ht="15.75" outlineLevel="1">
      <c r="A525" s="25" t="s">
        <v>1042</v>
      </c>
      <c r="B525" s="26" t="s">
        <v>162</v>
      </c>
      <c r="C525" s="25">
        <v>5.37</v>
      </c>
      <c r="D525" s="96"/>
    </row>
    <row r="526" spans="1:4" ht="15.75" outlineLevel="1">
      <c r="A526" s="25" t="s">
        <v>1042</v>
      </c>
      <c r="B526" s="26" t="s">
        <v>11</v>
      </c>
      <c r="C526" s="25">
        <v>5.53</v>
      </c>
      <c r="D526" s="96"/>
    </row>
    <row r="527" spans="1:4" ht="15.75" outlineLevel="1">
      <c r="A527" s="25" t="s">
        <v>1042</v>
      </c>
      <c r="B527" s="26" t="s">
        <v>155</v>
      </c>
      <c r="C527" s="25">
        <v>5.109</v>
      </c>
      <c r="D527" s="96"/>
    </row>
    <row r="528" spans="1:4" ht="15.75" outlineLevel="1">
      <c r="A528" s="25" t="s">
        <v>1042</v>
      </c>
      <c r="B528" s="26" t="s">
        <v>156</v>
      </c>
      <c r="C528" s="25">
        <v>5.1109999999999998</v>
      </c>
      <c r="D528" s="96"/>
    </row>
    <row r="529" spans="1:4" ht="15.75" outlineLevel="1">
      <c r="A529" s="25" t="s">
        <v>1042</v>
      </c>
      <c r="B529" s="26" t="s">
        <v>139</v>
      </c>
      <c r="C529" s="25">
        <v>5.1120000000000001</v>
      </c>
      <c r="D529" s="96"/>
    </row>
    <row r="530" spans="1:4" ht="15.75" outlineLevel="1">
      <c r="A530" s="25" t="s">
        <v>1042</v>
      </c>
      <c r="B530" s="26" t="s">
        <v>1122</v>
      </c>
      <c r="C530" s="25">
        <v>5.1020000000000003</v>
      </c>
      <c r="D530" s="96"/>
    </row>
    <row r="531" spans="1:4" ht="15.75" outlineLevel="1">
      <c r="A531" s="25" t="s">
        <v>1042</v>
      </c>
      <c r="B531" s="26" t="s">
        <v>1123</v>
      </c>
      <c r="C531" s="28">
        <v>5.0999999999999996</v>
      </c>
      <c r="D531" s="96"/>
    </row>
    <row r="532" spans="1:4" ht="15.75" outlineLevel="1">
      <c r="A532" s="25" t="s">
        <v>1042</v>
      </c>
      <c r="B532" s="26" t="s">
        <v>17</v>
      </c>
      <c r="C532" s="25">
        <v>5.58</v>
      </c>
      <c r="D532" s="96"/>
    </row>
    <row r="533" spans="1:4" ht="15.75" outlineLevel="1">
      <c r="A533" s="25" t="s">
        <v>1042</v>
      </c>
      <c r="B533" s="26" t="s">
        <v>19</v>
      </c>
      <c r="C533" s="25">
        <v>5.55</v>
      </c>
      <c r="D533" s="96"/>
    </row>
    <row r="534" spans="1:4" ht="15.75" outlineLevel="1">
      <c r="A534" s="25" t="s">
        <v>1042</v>
      </c>
      <c r="B534" s="26" t="s">
        <v>18</v>
      </c>
      <c r="C534" s="25">
        <v>5.54</v>
      </c>
      <c r="D534" s="96"/>
    </row>
    <row r="535" spans="1:4" ht="15.75" outlineLevel="1">
      <c r="A535" s="25" t="s">
        <v>1042</v>
      </c>
      <c r="B535" s="26" t="s">
        <v>20</v>
      </c>
      <c r="C535" s="25">
        <v>5.63</v>
      </c>
      <c r="D535" s="96"/>
    </row>
    <row r="536" spans="1:4" ht="15.75" outlineLevel="1">
      <c r="A536" s="25" t="s">
        <v>1042</v>
      </c>
      <c r="B536" s="26" t="s">
        <v>24</v>
      </c>
      <c r="C536" s="25">
        <v>5.47</v>
      </c>
      <c r="D536" s="96"/>
    </row>
    <row r="537" spans="1:4" ht="15.75" outlineLevel="1">
      <c r="A537" s="25" t="s">
        <v>1042</v>
      </c>
      <c r="B537" s="26" t="s">
        <v>25</v>
      </c>
      <c r="C537" s="25">
        <v>5.48</v>
      </c>
      <c r="D537" s="96"/>
    </row>
    <row r="538" spans="1:4" ht="15.75">
      <c r="A538" s="30" t="s">
        <v>1042</v>
      </c>
      <c r="B538" s="26"/>
      <c r="C538" s="25"/>
      <c r="D538" s="96"/>
    </row>
    <row r="539" spans="1:4" ht="15.75" outlineLevel="1">
      <c r="A539" s="25" t="s">
        <v>1051</v>
      </c>
      <c r="B539" s="26" t="s">
        <v>0</v>
      </c>
      <c r="C539" s="25">
        <v>5.0999999999999996</v>
      </c>
      <c r="D539" s="96"/>
    </row>
    <row r="540" spans="1:4" ht="15.75" outlineLevel="1">
      <c r="A540" s="25" t="s">
        <v>1051</v>
      </c>
      <c r="B540" s="26" t="s">
        <v>1</v>
      </c>
      <c r="C540" s="25">
        <v>5.2</v>
      </c>
      <c r="D540" s="96"/>
    </row>
    <row r="541" spans="1:4" ht="15.75" outlineLevel="1">
      <c r="A541" s="25" t="s">
        <v>1051</v>
      </c>
      <c r="B541" s="26" t="s">
        <v>5</v>
      </c>
      <c r="C541" s="25">
        <v>5.26</v>
      </c>
      <c r="D541" s="96"/>
    </row>
    <row r="542" spans="1:4" ht="15.75" outlineLevel="1">
      <c r="A542" s="25" t="s">
        <v>1051</v>
      </c>
      <c r="B542" s="26" t="s">
        <v>1136</v>
      </c>
      <c r="C542" s="25">
        <v>5.21</v>
      </c>
      <c r="D542" s="96"/>
    </row>
    <row r="543" spans="1:4" ht="15.75" outlineLevel="1">
      <c r="A543" s="25" t="s">
        <v>1051</v>
      </c>
      <c r="B543" s="26" t="s">
        <v>1137</v>
      </c>
      <c r="C543" s="25">
        <v>5.53</v>
      </c>
      <c r="D543" s="96"/>
    </row>
    <row r="544" spans="1:4" ht="15.75" outlineLevel="1">
      <c r="A544" s="25" t="s">
        <v>1051</v>
      </c>
      <c r="B544" s="26" t="s">
        <v>18</v>
      </c>
      <c r="C544" s="25">
        <v>5.54</v>
      </c>
      <c r="D544" s="96"/>
    </row>
    <row r="545" spans="1:4" ht="15.75" outlineLevel="1">
      <c r="A545" s="25" t="s">
        <v>1051</v>
      </c>
      <c r="B545" s="26" t="s">
        <v>1138</v>
      </c>
      <c r="C545" s="25">
        <v>5.58</v>
      </c>
      <c r="D545" s="96"/>
    </row>
    <row r="546" spans="1:4" ht="15.75" outlineLevel="1">
      <c r="A546" s="25" t="s">
        <v>1051</v>
      </c>
      <c r="B546" s="26" t="s">
        <v>1139</v>
      </c>
      <c r="C546" s="25">
        <v>5.1180000000000003</v>
      </c>
      <c r="D546" s="96"/>
    </row>
    <row r="547" spans="1:4" ht="15.75" outlineLevel="1">
      <c r="A547" s="25" t="s">
        <v>1051</v>
      </c>
      <c r="B547" s="26" t="s">
        <v>1140</v>
      </c>
      <c r="C547" s="25">
        <v>5.47</v>
      </c>
      <c r="D547" s="96"/>
    </row>
    <row r="548" spans="1:4" ht="15.75" outlineLevel="1">
      <c r="A548" s="25" t="s">
        <v>1051</v>
      </c>
      <c r="B548" s="26" t="s">
        <v>1141</v>
      </c>
      <c r="C548" s="25">
        <v>5.48</v>
      </c>
      <c r="D548" s="96"/>
    </row>
    <row r="549" spans="1:4" ht="15.75" outlineLevel="1">
      <c r="A549" s="25" t="s">
        <v>1051</v>
      </c>
      <c r="B549" s="26" t="s">
        <v>1142</v>
      </c>
      <c r="C549" s="25">
        <v>5.21</v>
      </c>
      <c r="D549" s="96"/>
    </row>
    <row r="550" spans="1:4" ht="15.75" outlineLevel="1">
      <c r="A550" s="25" t="s">
        <v>1051</v>
      </c>
      <c r="B550" s="26" t="s">
        <v>1143</v>
      </c>
      <c r="C550" s="25">
        <v>5.53</v>
      </c>
      <c r="D550" s="96"/>
    </row>
    <row r="551" spans="1:4" ht="15.75" outlineLevel="1">
      <c r="A551" s="25" t="s">
        <v>1051</v>
      </c>
      <c r="B551" s="26" t="s">
        <v>18</v>
      </c>
      <c r="C551" s="25">
        <v>5.54</v>
      </c>
      <c r="D551" s="96"/>
    </row>
    <row r="552" spans="1:4" ht="15.75" outlineLevel="1">
      <c r="A552" s="25" t="s">
        <v>1051</v>
      </c>
      <c r="B552" s="26" t="s">
        <v>1144</v>
      </c>
      <c r="C552" s="25">
        <v>5.58</v>
      </c>
      <c r="D552" s="96"/>
    </row>
    <row r="553" spans="1:4" ht="15.75" outlineLevel="1">
      <c r="A553" s="25" t="s">
        <v>1051</v>
      </c>
      <c r="B553" s="26" t="s">
        <v>1145</v>
      </c>
      <c r="C553" s="25">
        <v>5.1180000000000003</v>
      </c>
      <c r="D553" s="96"/>
    </row>
    <row r="554" spans="1:4" ht="15.75" outlineLevel="1">
      <c r="A554" s="25" t="s">
        <v>1051</v>
      </c>
      <c r="B554" s="26" t="s">
        <v>1146</v>
      </c>
      <c r="C554" s="25">
        <v>5.47</v>
      </c>
      <c r="D554" s="96"/>
    </row>
    <row r="555" spans="1:4" ht="15.75" outlineLevel="1">
      <c r="A555" s="25" t="s">
        <v>1051</v>
      </c>
      <c r="B555" s="26" t="s">
        <v>1147</v>
      </c>
      <c r="C555" s="25">
        <v>5.48</v>
      </c>
      <c r="D555" s="96"/>
    </row>
    <row r="556" spans="1:4" ht="15.75" outlineLevel="1">
      <c r="A556" s="25" t="s">
        <v>1051</v>
      </c>
      <c r="B556" s="26" t="s">
        <v>1148</v>
      </c>
      <c r="C556" s="25">
        <v>5.63</v>
      </c>
      <c r="D556" s="96"/>
    </row>
    <row r="557" spans="1:4" ht="15.75" outlineLevel="1">
      <c r="A557" s="25" t="s">
        <v>1051</v>
      </c>
      <c r="B557" s="26" t="s">
        <v>6</v>
      </c>
      <c r="C557" s="25">
        <v>5.27</v>
      </c>
      <c r="D557" s="96"/>
    </row>
    <row r="558" spans="1:4" ht="15.75" outlineLevel="1">
      <c r="A558" s="25" t="s">
        <v>1051</v>
      </c>
      <c r="B558" s="26" t="s">
        <v>7</v>
      </c>
      <c r="C558" s="25">
        <v>5.28</v>
      </c>
      <c r="D558" s="96"/>
    </row>
    <row r="559" spans="1:4" ht="15.75" outlineLevel="1">
      <c r="A559" s="25" t="s">
        <v>1051</v>
      </c>
      <c r="B559" s="26" t="s">
        <v>1149</v>
      </c>
      <c r="C559" s="25">
        <v>5.35</v>
      </c>
      <c r="D559" s="96"/>
    </row>
    <row r="560" spans="1:4" ht="15.75" outlineLevel="1">
      <c r="A560" s="25" t="s">
        <v>1051</v>
      </c>
      <c r="B560" s="26" t="s">
        <v>937</v>
      </c>
      <c r="C560" s="25">
        <v>5.1189999999999998</v>
      </c>
      <c r="D560" s="96"/>
    </row>
    <row r="561" spans="1:4" ht="15.75" outlineLevel="1">
      <c r="A561" s="25" t="s">
        <v>1051</v>
      </c>
      <c r="B561" s="26" t="s">
        <v>944</v>
      </c>
      <c r="C561" s="28">
        <v>5.12</v>
      </c>
      <c r="D561" s="96"/>
    </row>
    <row r="562" spans="1:4" ht="15.75" outlineLevel="1">
      <c r="A562" s="25" t="s">
        <v>1051</v>
      </c>
      <c r="B562" s="26" t="s">
        <v>334</v>
      </c>
      <c r="C562" s="25">
        <v>5.1210000000000004</v>
      </c>
      <c r="D562" s="96"/>
    </row>
    <row r="563" spans="1:4" ht="15.75" outlineLevel="1">
      <c r="A563" s="25" t="s">
        <v>1051</v>
      </c>
      <c r="B563" s="26" t="s">
        <v>130</v>
      </c>
      <c r="C563" s="25">
        <v>5.36</v>
      </c>
      <c r="D563" s="96"/>
    </row>
    <row r="564" spans="1:4" ht="15.75" outlineLevel="1">
      <c r="A564" s="25" t="s">
        <v>1051</v>
      </c>
      <c r="B564" s="26" t="s">
        <v>1150</v>
      </c>
      <c r="C564" s="25">
        <v>5.1219999999999999</v>
      </c>
      <c r="D564" s="96"/>
    </row>
    <row r="565" spans="1:4" ht="15.75" outlineLevel="1">
      <c r="A565" s="25" t="s">
        <v>1051</v>
      </c>
      <c r="B565" s="26" t="s">
        <v>1151</v>
      </c>
      <c r="C565" s="25">
        <v>5.1230000000000002</v>
      </c>
      <c r="D565" s="96"/>
    </row>
    <row r="566" spans="1:4" ht="15.75" outlineLevel="1">
      <c r="A566" s="25" t="s">
        <v>1051</v>
      </c>
      <c r="B566" s="26" t="s">
        <v>908</v>
      </c>
      <c r="C566" s="25">
        <v>5.1239999999999997</v>
      </c>
      <c r="D566" s="96"/>
    </row>
    <row r="567" spans="1:4" ht="15.75" outlineLevel="1">
      <c r="A567" s="25" t="s">
        <v>1051</v>
      </c>
      <c r="B567" s="26" t="s">
        <v>916</v>
      </c>
      <c r="C567" s="25">
        <v>5.125</v>
      </c>
      <c r="D567" s="96"/>
    </row>
    <row r="568" spans="1:4" ht="15.75" outlineLevel="1">
      <c r="A568" s="25" t="s">
        <v>1051</v>
      </c>
      <c r="B568" s="26" t="s">
        <v>1152</v>
      </c>
      <c r="C568" s="25">
        <v>5.1260000000000003</v>
      </c>
      <c r="D568" s="96"/>
    </row>
    <row r="569" spans="1:4" ht="15.75" outlineLevel="1">
      <c r="A569" s="25" t="s">
        <v>1051</v>
      </c>
      <c r="B569" s="26" t="s">
        <v>934</v>
      </c>
      <c r="C569" s="25">
        <v>5.1269999999999998</v>
      </c>
      <c r="D569" s="96"/>
    </row>
    <row r="570" spans="1:4" ht="15.75" outlineLevel="1">
      <c r="A570" s="25" t="s">
        <v>1051</v>
      </c>
      <c r="B570" s="26" t="s">
        <v>919</v>
      </c>
      <c r="C570" s="27">
        <v>5.72</v>
      </c>
      <c r="D570" s="96"/>
    </row>
    <row r="571" spans="1:4" ht="15.75" outlineLevel="1">
      <c r="A571" s="25" t="s">
        <v>1051</v>
      </c>
      <c r="B571" s="26" t="s">
        <v>930</v>
      </c>
      <c r="C571" s="25">
        <v>5.1280000000000001</v>
      </c>
      <c r="D571" s="96"/>
    </row>
    <row r="572" spans="1:4" ht="15.75" outlineLevel="1">
      <c r="A572" s="25" t="s">
        <v>1051</v>
      </c>
      <c r="B572" s="26" t="s">
        <v>1153</v>
      </c>
      <c r="C572" s="25">
        <v>5.1289999999999996</v>
      </c>
      <c r="D572" s="95" t="s">
        <v>1114</v>
      </c>
    </row>
    <row r="573" spans="1:4" ht="15.75" outlineLevel="1">
      <c r="A573" s="25" t="s">
        <v>1051</v>
      </c>
      <c r="B573" s="26" t="s">
        <v>1154</v>
      </c>
      <c r="C573" s="25">
        <v>5.1310000000000002</v>
      </c>
      <c r="D573" s="96"/>
    </row>
    <row r="574" spans="1:4" ht="15.75" outlineLevel="1">
      <c r="A574" s="25" t="s">
        <v>1051</v>
      </c>
      <c r="B574" s="26" t="s">
        <v>1155</v>
      </c>
      <c r="C574" s="25">
        <v>5.1319999999999997</v>
      </c>
      <c r="D574" s="95" t="s">
        <v>1114</v>
      </c>
    </row>
    <row r="575" spans="1:4" ht="15.75" outlineLevel="1">
      <c r="A575" s="25" t="s">
        <v>1051</v>
      </c>
      <c r="B575" s="26" t="s">
        <v>959</v>
      </c>
      <c r="C575" s="25">
        <v>5.133</v>
      </c>
      <c r="D575" s="95" t="s">
        <v>1114</v>
      </c>
    </row>
    <row r="576" spans="1:4" ht="15.75" outlineLevel="1">
      <c r="A576" s="25" t="s">
        <v>1051</v>
      </c>
      <c r="B576" s="26" t="s">
        <v>1156</v>
      </c>
      <c r="C576" s="25">
        <v>5.1340000000000003</v>
      </c>
      <c r="D576" s="95" t="s">
        <v>1114</v>
      </c>
    </row>
    <row r="577" spans="1:4" ht="15.75" outlineLevel="1">
      <c r="A577" s="25" t="s">
        <v>1051</v>
      </c>
      <c r="B577" s="26" t="s">
        <v>1157</v>
      </c>
      <c r="C577" s="28">
        <v>5.13</v>
      </c>
      <c r="D577" s="96"/>
    </row>
    <row r="578" spans="1:4" ht="15.75" outlineLevel="1">
      <c r="A578" s="25" t="s">
        <v>1051</v>
      </c>
      <c r="B578" s="26" t="s">
        <v>24</v>
      </c>
      <c r="C578" s="25">
        <v>5.47</v>
      </c>
      <c r="D578" s="96"/>
    </row>
    <row r="579" spans="1:4" ht="15.75" outlineLevel="1">
      <c r="A579" s="25" t="s">
        <v>1051</v>
      </c>
      <c r="B579" s="26" t="s">
        <v>25</v>
      </c>
      <c r="C579" s="25">
        <v>5.48</v>
      </c>
      <c r="D579" s="96"/>
    </row>
    <row r="580" spans="1:4" ht="15.75">
      <c r="A580" s="30" t="s">
        <v>1051</v>
      </c>
      <c r="B580" s="26"/>
      <c r="C580" s="25"/>
      <c r="D580" s="96"/>
    </row>
    <row r="581" spans="1:4" ht="15.75" outlineLevel="1">
      <c r="A581" s="25" t="s">
        <v>1044</v>
      </c>
      <c r="B581" s="26" t="s">
        <v>0</v>
      </c>
      <c r="C581" s="25">
        <v>5.0999999999999996</v>
      </c>
      <c r="D581" s="96"/>
    </row>
    <row r="582" spans="1:4" ht="15.75" outlineLevel="1">
      <c r="A582" s="25" t="s">
        <v>1044</v>
      </c>
      <c r="B582" s="26" t="s">
        <v>1</v>
      </c>
      <c r="C582" s="25">
        <v>5.2</v>
      </c>
      <c r="D582" s="96"/>
    </row>
    <row r="583" spans="1:4" ht="15.75" outlineLevel="1">
      <c r="A583" s="25" t="s">
        <v>1044</v>
      </c>
      <c r="B583" s="26" t="s">
        <v>125</v>
      </c>
      <c r="C583" s="25">
        <v>5.9</v>
      </c>
      <c r="D583" s="95" t="s">
        <v>1114</v>
      </c>
    </row>
    <row r="584" spans="1:4" ht="15.75" outlineLevel="1">
      <c r="A584" s="25" t="s">
        <v>1044</v>
      </c>
      <c r="B584" s="26" t="s">
        <v>126</v>
      </c>
      <c r="C584" s="25">
        <v>5.13</v>
      </c>
      <c r="D584" s="95" t="s">
        <v>1114</v>
      </c>
    </row>
    <row r="585" spans="1:4" ht="15.75" outlineLevel="1">
      <c r="A585" s="25" t="s">
        <v>1044</v>
      </c>
      <c r="B585" s="26" t="s">
        <v>127</v>
      </c>
      <c r="C585" s="25">
        <v>5.16</v>
      </c>
      <c r="D585" s="95" t="s">
        <v>1114</v>
      </c>
    </row>
    <row r="586" spans="1:4" ht="15.75" outlineLevel="1">
      <c r="A586" s="25" t="s">
        <v>1044</v>
      </c>
      <c r="B586" s="26" t="s">
        <v>128</v>
      </c>
      <c r="C586" s="25">
        <v>5.22</v>
      </c>
      <c r="D586" s="95"/>
    </row>
    <row r="587" spans="1:4" ht="15.75" outlineLevel="1">
      <c r="A587" s="25" t="s">
        <v>1044</v>
      </c>
      <c r="B587" s="26" t="s">
        <v>5</v>
      </c>
      <c r="C587" s="25">
        <v>5.26</v>
      </c>
      <c r="D587" s="96"/>
    </row>
    <row r="588" spans="1:4" ht="15.75" outlineLevel="1">
      <c r="A588" s="25" t="s">
        <v>1044</v>
      </c>
      <c r="B588" s="26" t="s">
        <v>1158</v>
      </c>
      <c r="C588" s="25">
        <v>5.77</v>
      </c>
      <c r="D588" s="96"/>
    </row>
    <row r="589" spans="1:4" ht="15.75" outlineLevel="1">
      <c r="A589" s="25" t="s">
        <v>1044</v>
      </c>
      <c r="B589" s="26" t="s">
        <v>6</v>
      </c>
      <c r="C589" s="25">
        <v>5.27</v>
      </c>
      <c r="D589" s="96"/>
    </row>
    <row r="590" spans="1:4" ht="15.75" outlineLevel="1">
      <c r="A590" s="25" t="s">
        <v>1044</v>
      </c>
      <c r="B590" s="26" t="s">
        <v>7</v>
      </c>
      <c r="C590" s="25">
        <v>5.28</v>
      </c>
      <c r="D590" s="95" t="s">
        <v>1114</v>
      </c>
    </row>
    <row r="591" spans="1:4" ht="15.75" outlineLevel="1">
      <c r="A591" s="25" t="s">
        <v>1044</v>
      </c>
      <c r="B591" s="26" t="s">
        <v>154</v>
      </c>
      <c r="C591" s="25">
        <v>5.31</v>
      </c>
      <c r="D591" s="96"/>
    </row>
    <row r="592" spans="1:4" ht="15.75" outlineLevel="1">
      <c r="A592" s="25" t="s">
        <v>1044</v>
      </c>
      <c r="B592" s="26" t="s">
        <v>130</v>
      </c>
      <c r="C592" s="25">
        <v>5.36</v>
      </c>
      <c r="D592" s="96"/>
    </row>
    <row r="593" spans="1:4" ht="15.75" outlineLevel="1">
      <c r="A593" s="25" t="s">
        <v>1044</v>
      </c>
      <c r="B593" s="26" t="s">
        <v>1159</v>
      </c>
      <c r="C593" s="25">
        <v>5.78</v>
      </c>
      <c r="D593" s="96"/>
    </row>
    <row r="594" spans="1:4" ht="15.75" outlineLevel="1">
      <c r="A594" s="25" t="s">
        <v>1044</v>
      </c>
      <c r="B594" s="26" t="s">
        <v>1160</v>
      </c>
      <c r="C594" s="25">
        <v>5.79</v>
      </c>
      <c r="D594" s="95" t="s">
        <v>1114</v>
      </c>
    </row>
    <row r="595" spans="1:4" ht="15.75" outlineLevel="1">
      <c r="A595" s="25" t="s">
        <v>1044</v>
      </c>
      <c r="B595" s="26" t="s">
        <v>1161</v>
      </c>
      <c r="C595" s="25">
        <v>5.41</v>
      </c>
      <c r="D595" s="96"/>
    </row>
    <row r="596" spans="1:4" ht="15.75" outlineLevel="1">
      <c r="A596" s="25" t="s">
        <v>1044</v>
      </c>
      <c r="B596" s="26" t="s">
        <v>9</v>
      </c>
      <c r="C596" s="25">
        <v>5.49</v>
      </c>
      <c r="D596" s="96"/>
    </row>
    <row r="597" spans="1:4" ht="15.75" outlineLevel="1">
      <c r="A597" s="25" t="s">
        <v>1044</v>
      </c>
      <c r="B597" s="26" t="s">
        <v>10</v>
      </c>
      <c r="C597" s="25">
        <v>5.51</v>
      </c>
      <c r="D597" s="96"/>
    </row>
    <row r="598" spans="1:4" ht="15.75" outlineLevel="1">
      <c r="A598" s="25" t="s">
        <v>1044</v>
      </c>
      <c r="B598" s="26" t="s">
        <v>1162</v>
      </c>
      <c r="C598" s="25">
        <v>5.52</v>
      </c>
      <c r="D598" s="96"/>
    </row>
    <row r="599" spans="1:4" ht="15.75" outlineLevel="1">
      <c r="A599" s="25" t="s">
        <v>1044</v>
      </c>
      <c r="B599" s="26" t="s">
        <v>11</v>
      </c>
      <c r="C599" s="25">
        <v>5.53</v>
      </c>
      <c r="D599" s="96"/>
    </row>
    <row r="600" spans="1:4" ht="15.75" outlineLevel="1">
      <c r="A600" s="25" t="s">
        <v>1044</v>
      </c>
      <c r="B600" s="26" t="s">
        <v>12</v>
      </c>
      <c r="C600" s="25">
        <v>5.69</v>
      </c>
      <c r="D600" s="96"/>
    </row>
    <row r="601" spans="1:4" ht="15.75" outlineLevel="1">
      <c r="A601" s="25" t="s">
        <v>1044</v>
      </c>
      <c r="B601" s="26" t="s">
        <v>132</v>
      </c>
      <c r="C601" s="25">
        <v>5.71</v>
      </c>
      <c r="D601" s="96"/>
    </row>
    <row r="602" spans="1:4" ht="15.75" outlineLevel="1">
      <c r="A602" s="25" t="s">
        <v>1044</v>
      </c>
      <c r="B602" s="26" t="s">
        <v>14</v>
      </c>
      <c r="C602" s="27">
        <v>5.7</v>
      </c>
      <c r="D602" s="96"/>
    </row>
    <row r="603" spans="1:4" ht="15.75" outlineLevel="1">
      <c r="A603" s="25" t="s">
        <v>1044</v>
      </c>
      <c r="B603" s="26" t="s">
        <v>763</v>
      </c>
      <c r="C603" s="27">
        <v>5.8</v>
      </c>
      <c r="D603" s="95" t="s">
        <v>1114</v>
      </c>
    </row>
    <row r="604" spans="1:4" ht="15.75" outlineLevel="1">
      <c r="A604" s="25" t="s">
        <v>1044</v>
      </c>
      <c r="B604" s="26" t="s">
        <v>919</v>
      </c>
      <c r="C604" s="27">
        <v>5.72</v>
      </c>
      <c r="D604" s="95" t="s">
        <v>1114</v>
      </c>
    </row>
    <row r="605" spans="1:4" ht="15.75" outlineLevel="1">
      <c r="A605" s="25" t="s">
        <v>1044</v>
      </c>
      <c r="B605" s="26" t="s">
        <v>1163</v>
      </c>
      <c r="C605" s="25">
        <v>5.73</v>
      </c>
      <c r="D605" s="95" t="s">
        <v>1114</v>
      </c>
    </row>
    <row r="606" spans="1:4" ht="15.75" outlineLevel="1">
      <c r="A606" s="25" t="s">
        <v>1044</v>
      </c>
      <c r="B606" s="26" t="s">
        <v>15</v>
      </c>
      <c r="C606" s="25">
        <v>5.74</v>
      </c>
      <c r="D606" s="96"/>
    </row>
    <row r="607" spans="1:4" ht="15.75" outlineLevel="1">
      <c r="A607" s="25" t="s">
        <v>1044</v>
      </c>
      <c r="B607" s="26" t="s">
        <v>13</v>
      </c>
      <c r="C607" s="25">
        <v>5.75</v>
      </c>
      <c r="D607" s="96"/>
    </row>
    <row r="608" spans="1:4" ht="15.75" outlineLevel="1">
      <c r="A608" s="25" t="s">
        <v>1044</v>
      </c>
      <c r="B608" s="26" t="s">
        <v>420</v>
      </c>
      <c r="C608" s="25">
        <v>5.76</v>
      </c>
      <c r="D608" s="96"/>
    </row>
    <row r="609" spans="1:4" ht="15.75" outlineLevel="1">
      <c r="A609" s="25" t="s">
        <v>1044</v>
      </c>
      <c r="B609" s="26" t="s">
        <v>768</v>
      </c>
      <c r="C609" s="25">
        <v>5.81</v>
      </c>
      <c r="D609" s="95" t="s">
        <v>1114</v>
      </c>
    </row>
    <row r="610" spans="1:4" ht="15.75" outlineLevel="1">
      <c r="A610" s="25" t="s">
        <v>1044</v>
      </c>
      <c r="B610" s="26" t="s">
        <v>1164</v>
      </c>
      <c r="C610" s="25">
        <v>5.82</v>
      </c>
      <c r="D610" s="95" t="s">
        <v>1114</v>
      </c>
    </row>
    <row r="611" spans="1:4" ht="15.75" outlineLevel="1">
      <c r="A611" s="25" t="s">
        <v>1044</v>
      </c>
      <c r="B611" s="26" t="s">
        <v>1165</v>
      </c>
      <c r="C611" s="25">
        <v>5.83</v>
      </c>
      <c r="D611" s="95" t="s">
        <v>1114</v>
      </c>
    </row>
    <row r="612" spans="1:4" ht="15.75" outlineLevel="1">
      <c r="A612" s="25" t="s">
        <v>1044</v>
      </c>
      <c r="B612" s="26" t="s">
        <v>1166</v>
      </c>
      <c r="C612" s="25">
        <v>5.84</v>
      </c>
      <c r="D612" s="96"/>
    </row>
    <row r="613" spans="1:4" ht="15.75" outlineLevel="1">
      <c r="A613" s="25" t="s">
        <v>1044</v>
      </c>
      <c r="B613" s="26" t="s">
        <v>791</v>
      </c>
      <c r="C613" s="25">
        <v>5.85</v>
      </c>
      <c r="D613" s="95" t="s">
        <v>1114</v>
      </c>
    </row>
    <row r="614" spans="1:4" ht="15.75" outlineLevel="1">
      <c r="A614" s="25" t="s">
        <v>1044</v>
      </c>
      <c r="B614" s="26" t="s">
        <v>792</v>
      </c>
      <c r="C614" s="25">
        <v>5.86</v>
      </c>
      <c r="D614" s="95" t="s">
        <v>1114</v>
      </c>
    </row>
    <row r="615" spans="1:4" ht="15.75" outlineLevel="1">
      <c r="A615" s="25" t="s">
        <v>1044</v>
      </c>
      <c r="B615" s="26" t="s">
        <v>1167</v>
      </c>
      <c r="C615" s="25">
        <v>5.88</v>
      </c>
      <c r="D615" s="95" t="s">
        <v>1114</v>
      </c>
    </row>
    <row r="616" spans="1:4" ht="15.75" outlineLevel="1">
      <c r="A616" s="25" t="s">
        <v>1044</v>
      </c>
      <c r="B616" s="26" t="s">
        <v>798</v>
      </c>
      <c r="C616" s="25">
        <v>5.87</v>
      </c>
      <c r="D616" s="96"/>
    </row>
    <row r="617" spans="1:4" ht="15.75" outlineLevel="1">
      <c r="A617" s="25" t="s">
        <v>1044</v>
      </c>
      <c r="B617" s="26" t="s">
        <v>155</v>
      </c>
      <c r="C617" s="25">
        <v>5.109</v>
      </c>
      <c r="D617" s="96"/>
    </row>
    <row r="618" spans="1:4" ht="15.75" outlineLevel="1">
      <c r="A618" s="25" t="s">
        <v>1044</v>
      </c>
      <c r="B618" s="26" t="s">
        <v>168</v>
      </c>
      <c r="C618" s="28">
        <v>5.1100000000000003</v>
      </c>
      <c r="D618" s="95" t="s">
        <v>1114</v>
      </c>
    </row>
    <row r="619" spans="1:4" ht="15.75" outlineLevel="1">
      <c r="A619" s="25" t="s">
        <v>1044</v>
      </c>
      <c r="B619" s="26" t="s">
        <v>156</v>
      </c>
      <c r="C619" s="25">
        <v>5.1109999999999998</v>
      </c>
      <c r="D619" s="96"/>
    </row>
    <row r="620" spans="1:4" ht="15.75" outlineLevel="1">
      <c r="A620" s="25" t="s">
        <v>1044</v>
      </c>
      <c r="B620" s="26" t="s">
        <v>139</v>
      </c>
      <c r="C620" s="25">
        <v>5.1120000000000001</v>
      </c>
      <c r="D620" s="96"/>
    </row>
    <row r="621" spans="1:4" ht="15.75" outlineLevel="1">
      <c r="A621" s="25" t="s">
        <v>1044</v>
      </c>
      <c r="B621" s="26" t="s">
        <v>1129</v>
      </c>
      <c r="C621" s="25">
        <v>5.1130000000000004</v>
      </c>
      <c r="D621" s="96"/>
    </row>
    <row r="622" spans="1:4" ht="15.75" outlineLevel="1">
      <c r="A622" s="25" t="s">
        <v>1044</v>
      </c>
      <c r="B622" s="26" t="s">
        <v>1168</v>
      </c>
      <c r="C622" s="25">
        <v>5.99</v>
      </c>
      <c r="D622" s="95" t="s">
        <v>1114</v>
      </c>
    </row>
    <row r="623" spans="1:4" ht="15.75" outlineLevel="1">
      <c r="A623" s="25" t="s">
        <v>1044</v>
      </c>
      <c r="B623" s="26" t="s">
        <v>1169</v>
      </c>
      <c r="C623" s="25">
        <v>5.58</v>
      </c>
      <c r="D623" s="95"/>
    </row>
    <row r="624" spans="1:4" ht="15.75" outlineLevel="1">
      <c r="A624" s="25" t="s">
        <v>1044</v>
      </c>
      <c r="B624" s="26" t="s">
        <v>18</v>
      </c>
      <c r="C624" s="25">
        <v>5.54</v>
      </c>
      <c r="D624" s="96"/>
    </row>
    <row r="625" spans="1:4" ht="15.75" outlineLevel="1">
      <c r="A625" s="25" t="s">
        <v>1044</v>
      </c>
      <c r="B625" s="26" t="s">
        <v>1170</v>
      </c>
      <c r="C625" s="25">
        <v>5.56</v>
      </c>
      <c r="D625" s="96"/>
    </row>
    <row r="626" spans="1:4" ht="15.75" outlineLevel="1">
      <c r="A626" s="25" t="s">
        <v>1044</v>
      </c>
      <c r="B626" s="26" t="s">
        <v>20</v>
      </c>
      <c r="C626" s="25">
        <v>5.63</v>
      </c>
      <c r="D626" s="96"/>
    </row>
    <row r="627" spans="1:4" ht="15.75" outlineLevel="1">
      <c r="A627" s="25" t="s">
        <v>1044</v>
      </c>
      <c r="B627" s="26" t="s">
        <v>169</v>
      </c>
      <c r="C627" s="25">
        <v>5.64</v>
      </c>
      <c r="D627" s="96"/>
    </row>
    <row r="628" spans="1:4" ht="15.75" outlineLevel="1">
      <c r="A628" s="25" t="s">
        <v>1044</v>
      </c>
      <c r="B628" s="26" t="s">
        <v>21</v>
      </c>
      <c r="C628" s="25">
        <v>5.65</v>
      </c>
      <c r="D628" s="96"/>
    </row>
    <row r="629" spans="1:4" ht="15.75" outlineLevel="1">
      <c r="A629" s="25" t="s">
        <v>1044</v>
      </c>
      <c r="B629" s="26" t="s">
        <v>170</v>
      </c>
      <c r="C629" s="25">
        <v>5.66</v>
      </c>
      <c r="D629" s="96"/>
    </row>
    <row r="630" spans="1:4" ht="15.75" outlineLevel="1">
      <c r="A630" s="25" t="s">
        <v>1044</v>
      </c>
      <c r="B630" s="26" t="s">
        <v>841</v>
      </c>
      <c r="C630" s="25">
        <v>5.89</v>
      </c>
      <c r="D630" s="95" t="s">
        <v>1114</v>
      </c>
    </row>
    <row r="631" spans="1:4" ht="15.75" outlineLevel="1">
      <c r="A631" s="25" t="s">
        <v>1044</v>
      </c>
      <c r="B631" s="26" t="s">
        <v>22</v>
      </c>
      <c r="C631" s="25">
        <v>5.68</v>
      </c>
      <c r="D631" s="96"/>
    </row>
    <row r="632" spans="1:4" ht="15.75" outlineLevel="1">
      <c r="A632" s="25" t="s">
        <v>1044</v>
      </c>
      <c r="B632" s="26" t="s">
        <v>24</v>
      </c>
      <c r="C632" s="25">
        <v>5.47</v>
      </c>
      <c r="D632" s="96"/>
    </row>
    <row r="633" spans="1:4" ht="15.75" outlineLevel="1">
      <c r="A633" s="25" t="s">
        <v>1044</v>
      </c>
      <c r="B633" s="26" t="s">
        <v>25</v>
      </c>
      <c r="C633" s="25">
        <v>5.48</v>
      </c>
      <c r="D633" s="96"/>
    </row>
    <row r="634" spans="1:4" ht="15.75">
      <c r="A634" s="30" t="s">
        <v>1044</v>
      </c>
      <c r="B634" s="26"/>
      <c r="C634" s="25"/>
      <c r="D634" s="96"/>
    </row>
    <row r="635" spans="1:4" ht="15.75" outlineLevel="1">
      <c r="A635" s="25" t="s">
        <v>1062</v>
      </c>
      <c r="B635" s="26" t="s">
        <v>0</v>
      </c>
      <c r="C635" s="25">
        <v>5.0999999999999996</v>
      </c>
      <c r="D635" s="96"/>
    </row>
    <row r="636" spans="1:4" ht="15.75" outlineLevel="1">
      <c r="A636" s="25" t="s">
        <v>1062</v>
      </c>
      <c r="B636" s="26" t="s">
        <v>1</v>
      </c>
      <c r="C636" s="25">
        <v>5.2</v>
      </c>
      <c r="D636" s="96"/>
    </row>
    <row r="637" spans="1:4" ht="15.75" outlineLevel="1">
      <c r="A637" s="25" t="s">
        <v>1062</v>
      </c>
      <c r="B637" s="26" t="s">
        <v>2</v>
      </c>
      <c r="C637" s="25">
        <v>5.3</v>
      </c>
      <c r="D637" s="96"/>
    </row>
    <row r="638" spans="1:4" ht="15.75" outlineLevel="1">
      <c r="A638" s="25" t="s">
        <v>1062</v>
      </c>
      <c r="B638" s="26" t="s">
        <v>151</v>
      </c>
      <c r="C638" s="25">
        <v>5.6</v>
      </c>
      <c r="D638" s="96"/>
    </row>
    <row r="639" spans="1:4" ht="15.75" outlineLevel="1">
      <c r="A639" s="25" t="s">
        <v>1062</v>
      </c>
      <c r="B639" s="26" t="s">
        <v>1116</v>
      </c>
      <c r="C639" s="27">
        <v>5.0999999999999996</v>
      </c>
      <c r="D639" s="96"/>
    </row>
    <row r="640" spans="1:4" ht="15.75" outlineLevel="1">
      <c r="A640" s="25" t="s">
        <v>1062</v>
      </c>
      <c r="B640" s="26" t="s">
        <v>1115</v>
      </c>
      <c r="C640" s="25">
        <v>5.14</v>
      </c>
      <c r="D640" s="96"/>
    </row>
    <row r="641" spans="1:4" ht="15.75" outlineLevel="1">
      <c r="A641" s="25" t="s">
        <v>1062</v>
      </c>
      <c r="B641" s="26" t="s">
        <v>4</v>
      </c>
      <c r="C641" s="25">
        <v>5.19</v>
      </c>
      <c r="D641" s="96"/>
    </row>
    <row r="642" spans="1:4" ht="15.75" outlineLevel="1">
      <c r="A642" s="25" t="s">
        <v>1062</v>
      </c>
      <c r="B642" s="26" t="s">
        <v>153</v>
      </c>
      <c r="C642" s="25">
        <v>5.24</v>
      </c>
      <c r="D642" s="96"/>
    </row>
    <row r="643" spans="1:4" ht="15.75" outlineLevel="1">
      <c r="A643" s="25" t="s">
        <v>1062</v>
      </c>
      <c r="B643" s="26" t="s">
        <v>5</v>
      </c>
      <c r="C643" s="25">
        <v>5.26</v>
      </c>
      <c r="D643" s="96"/>
    </row>
    <row r="644" spans="1:4" ht="15.75" outlineLevel="1">
      <c r="A644" s="25" t="s">
        <v>1062</v>
      </c>
      <c r="B644" s="26" t="s">
        <v>6</v>
      </c>
      <c r="C644" s="25">
        <v>5.27</v>
      </c>
      <c r="D644" s="96"/>
    </row>
    <row r="645" spans="1:4" ht="15.75" outlineLevel="1">
      <c r="A645" s="25" t="s">
        <v>1062</v>
      </c>
      <c r="B645" s="26" t="s">
        <v>7</v>
      </c>
      <c r="C645" s="25">
        <v>5.28</v>
      </c>
      <c r="D645" s="96"/>
    </row>
    <row r="646" spans="1:4" ht="15.75" outlineLevel="1">
      <c r="A646" s="25" t="s">
        <v>1062</v>
      </c>
      <c r="B646" s="26" t="s">
        <v>130</v>
      </c>
      <c r="C646" s="25">
        <v>5.36</v>
      </c>
      <c r="D646" s="96"/>
    </row>
    <row r="647" spans="1:4" ht="15.75" outlineLevel="1">
      <c r="A647" s="25" t="s">
        <v>1062</v>
      </c>
      <c r="B647" s="26" t="s">
        <v>177</v>
      </c>
      <c r="C647" s="25">
        <v>5.33</v>
      </c>
      <c r="D647" s="96"/>
    </row>
    <row r="648" spans="1:4" ht="15.75" outlineLevel="1">
      <c r="A648" s="25" t="s">
        <v>1062</v>
      </c>
      <c r="B648" s="26" t="s">
        <v>162</v>
      </c>
      <c r="C648" s="25">
        <v>5.37</v>
      </c>
      <c r="D648" s="96"/>
    </row>
    <row r="649" spans="1:4" ht="15.75" outlineLevel="1">
      <c r="A649" s="25" t="s">
        <v>1062</v>
      </c>
      <c r="B649" s="26" t="s">
        <v>9</v>
      </c>
      <c r="C649" s="25">
        <v>5.49</v>
      </c>
      <c r="D649" s="96"/>
    </row>
    <row r="650" spans="1:4" ht="15.75" outlineLevel="1">
      <c r="A650" s="25" t="s">
        <v>1062</v>
      </c>
      <c r="B650" s="26" t="s">
        <v>10</v>
      </c>
      <c r="C650" s="25">
        <v>5.51</v>
      </c>
      <c r="D650" s="96"/>
    </row>
    <row r="651" spans="1:4" ht="15.75" outlineLevel="1">
      <c r="A651" s="25" t="s">
        <v>1062</v>
      </c>
      <c r="B651" s="26" t="s">
        <v>1117</v>
      </c>
      <c r="C651" s="25">
        <v>5.52</v>
      </c>
      <c r="D651" s="96"/>
    </row>
    <row r="652" spans="1:4" ht="15.75" outlineLevel="1">
      <c r="A652" s="25" t="s">
        <v>1062</v>
      </c>
      <c r="B652" s="26" t="s">
        <v>11</v>
      </c>
      <c r="C652" s="25">
        <v>5.53</v>
      </c>
      <c r="D652" s="96"/>
    </row>
    <row r="653" spans="1:4" ht="15.75" outlineLevel="1">
      <c r="A653" s="25" t="s">
        <v>1062</v>
      </c>
      <c r="B653" s="26" t="s">
        <v>12</v>
      </c>
      <c r="C653" s="25">
        <v>5.69</v>
      </c>
      <c r="D653" s="96"/>
    </row>
    <row r="654" spans="1:4" ht="15.75" outlineLevel="1">
      <c r="A654" s="25" t="s">
        <v>1062</v>
      </c>
      <c r="B654" s="26" t="s">
        <v>14</v>
      </c>
      <c r="C654" s="27">
        <v>5.7</v>
      </c>
      <c r="D654" s="96"/>
    </row>
    <row r="655" spans="1:4" ht="15.75" outlineLevel="1">
      <c r="A655" s="25" t="s">
        <v>1062</v>
      </c>
      <c r="B655" s="26" t="s">
        <v>15</v>
      </c>
      <c r="C655" s="25">
        <v>5.74</v>
      </c>
      <c r="D655" s="96"/>
    </row>
    <row r="656" spans="1:4" ht="15.75" outlineLevel="1">
      <c r="A656" s="25" t="s">
        <v>1062</v>
      </c>
      <c r="B656" s="26" t="s">
        <v>155</v>
      </c>
      <c r="C656" s="25">
        <v>5.109</v>
      </c>
      <c r="D656" s="96"/>
    </row>
    <row r="657" spans="1:4" ht="15.75" outlineLevel="1">
      <c r="A657" s="25" t="s">
        <v>1062</v>
      </c>
      <c r="B657" s="26" t="s">
        <v>156</v>
      </c>
      <c r="C657" s="25">
        <v>5.1109999999999998</v>
      </c>
      <c r="D657" s="96"/>
    </row>
    <row r="658" spans="1:4" ht="15.75" outlineLevel="1">
      <c r="A658" s="25" t="s">
        <v>1062</v>
      </c>
      <c r="B658" s="26" t="s">
        <v>139</v>
      </c>
      <c r="C658" s="25">
        <v>5.1120000000000001</v>
      </c>
      <c r="D658" s="96"/>
    </row>
    <row r="659" spans="1:4" ht="15.75" outlineLevel="1">
      <c r="A659" s="25" t="s">
        <v>1062</v>
      </c>
      <c r="B659" s="26" t="s">
        <v>17</v>
      </c>
      <c r="C659" s="25">
        <v>5.58</v>
      </c>
      <c r="D659" s="96"/>
    </row>
    <row r="660" spans="1:4" ht="15.75" outlineLevel="1">
      <c r="A660" s="25" t="s">
        <v>1062</v>
      </c>
      <c r="B660" s="26" t="s">
        <v>18</v>
      </c>
      <c r="C660" s="25">
        <v>5.54</v>
      </c>
      <c r="D660" s="96"/>
    </row>
    <row r="661" spans="1:4" ht="15.75" outlineLevel="1">
      <c r="A661" s="25" t="s">
        <v>1062</v>
      </c>
      <c r="B661" s="26" t="s">
        <v>19</v>
      </c>
      <c r="C661" s="25">
        <v>5.55</v>
      </c>
      <c r="D661" s="96"/>
    </row>
    <row r="662" spans="1:4" ht="15.75" outlineLevel="1">
      <c r="A662" s="25" t="s">
        <v>1062</v>
      </c>
      <c r="B662" s="26" t="s">
        <v>20</v>
      </c>
      <c r="C662" s="25">
        <v>5.63</v>
      </c>
      <c r="D662" s="96"/>
    </row>
    <row r="663" spans="1:4" ht="15.75" outlineLevel="1">
      <c r="A663" s="25" t="s">
        <v>1062</v>
      </c>
      <c r="B663" s="26" t="s">
        <v>24</v>
      </c>
      <c r="C663" s="25">
        <v>5.47</v>
      </c>
      <c r="D663" s="96"/>
    </row>
    <row r="664" spans="1:4" ht="15.75" outlineLevel="1">
      <c r="A664" s="25" t="s">
        <v>1062</v>
      </c>
      <c r="B664" s="26" t="s">
        <v>25</v>
      </c>
      <c r="C664" s="25">
        <v>5.48</v>
      </c>
      <c r="D664" s="96"/>
    </row>
    <row r="665" spans="1:4" ht="15.75">
      <c r="A665" s="30" t="s">
        <v>1062</v>
      </c>
      <c r="B665" s="26"/>
      <c r="C665" s="25"/>
      <c r="D665" s="96"/>
    </row>
    <row r="666" spans="1:4" ht="15.75" outlineLevel="1">
      <c r="A666" s="25" t="s">
        <v>1067</v>
      </c>
      <c r="B666" s="26" t="s">
        <v>0</v>
      </c>
      <c r="C666" s="25">
        <v>5.0999999999999996</v>
      </c>
      <c r="D666" s="96"/>
    </row>
    <row r="667" spans="1:4" ht="15.75" outlineLevel="1">
      <c r="A667" s="25" t="s">
        <v>1067</v>
      </c>
      <c r="B667" s="26" t="s">
        <v>1</v>
      </c>
      <c r="C667" s="25">
        <v>5.2</v>
      </c>
      <c r="D667" s="96"/>
    </row>
    <row r="668" spans="1:4" ht="15.75" outlineLevel="1">
      <c r="A668" s="25" t="s">
        <v>1067</v>
      </c>
      <c r="B668" s="26" t="s">
        <v>171</v>
      </c>
      <c r="C668" s="25">
        <v>5.4</v>
      </c>
      <c r="D668" s="96"/>
    </row>
    <row r="669" spans="1:4" ht="15.75" outlineLevel="1">
      <c r="A669" s="25" t="s">
        <v>1067</v>
      </c>
      <c r="B669" s="26" t="s">
        <v>172</v>
      </c>
      <c r="C669" s="25">
        <v>5.7</v>
      </c>
      <c r="D669" s="96"/>
    </row>
    <row r="670" spans="1:4" ht="15.75" outlineLevel="1">
      <c r="A670" s="25" t="s">
        <v>1067</v>
      </c>
      <c r="B670" s="26" t="s">
        <v>173</v>
      </c>
      <c r="C670" s="25">
        <v>5.1100000000000003</v>
      </c>
      <c r="D670" s="96"/>
    </row>
    <row r="671" spans="1:4" ht="15.75" outlineLevel="1">
      <c r="A671" s="25" t="s">
        <v>1067</v>
      </c>
      <c r="B671" s="26" t="s">
        <v>5</v>
      </c>
      <c r="C671" s="25">
        <v>5.26</v>
      </c>
      <c r="D671" s="96"/>
    </row>
    <row r="672" spans="1:4" ht="15.75" outlineLevel="1">
      <c r="A672" s="25" t="s">
        <v>1067</v>
      </c>
      <c r="B672" s="26" t="s">
        <v>174</v>
      </c>
      <c r="C672" s="25">
        <v>5.43</v>
      </c>
      <c r="D672" s="96"/>
    </row>
    <row r="673" spans="1:4" ht="15.75" outlineLevel="1">
      <c r="A673" s="25" t="s">
        <v>1067</v>
      </c>
      <c r="B673" s="26" t="s">
        <v>6</v>
      </c>
      <c r="C673" s="25">
        <v>5.27</v>
      </c>
      <c r="D673" s="96"/>
    </row>
    <row r="674" spans="1:4" ht="15.75" outlineLevel="1">
      <c r="A674" s="25" t="s">
        <v>1067</v>
      </c>
      <c r="B674" s="26" t="s">
        <v>7</v>
      </c>
      <c r="C674" s="25">
        <v>5.28</v>
      </c>
      <c r="D674" s="96"/>
    </row>
    <row r="675" spans="1:4" ht="15.75" outlineLevel="1">
      <c r="A675" s="25" t="s">
        <v>1067</v>
      </c>
      <c r="B675" s="26" t="s">
        <v>130</v>
      </c>
      <c r="C675" s="25">
        <v>5.36</v>
      </c>
      <c r="D675" s="96"/>
    </row>
    <row r="676" spans="1:4" ht="15.75" outlineLevel="1">
      <c r="A676" s="25" t="s">
        <v>1067</v>
      </c>
      <c r="B676" s="26" t="s">
        <v>175</v>
      </c>
      <c r="C676" s="27">
        <v>5.5</v>
      </c>
      <c r="D676" s="96"/>
    </row>
    <row r="677" spans="1:4" ht="15.75" outlineLevel="1">
      <c r="A677" s="25" t="s">
        <v>1067</v>
      </c>
      <c r="B677" s="26" t="s">
        <v>10</v>
      </c>
      <c r="C677" s="25">
        <v>5.51</v>
      </c>
      <c r="D677" s="96"/>
    </row>
    <row r="678" spans="1:4" ht="15.75" outlineLevel="1">
      <c r="A678" s="25" t="s">
        <v>1067</v>
      </c>
      <c r="B678" s="26" t="s">
        <v>11</v>
      </c>
      <c r="C678" s="25">
        <v>5.53</v>
      </c>
      <c r="D678" s="96"/>
    </row>
    <row r="679" spans="1:4" ht="15.75" outlineLevel="1">
      <c r="A679" s="25" t="s">
        <v>1067</v>
      </c>
      <c r="B679" s="26" t="s">
        <v>12</v>
      </c>
      <c r="C679" s="25">
        <v>5.69</v>
      </c>
      <c r="D679" s="96"/>
    </row>
    <row r="680" spans="1:4" ht="15.75" outlineLevel="1">
      <c r="A680" s="25" t="s">
        <v>1067</v>
      </c>
      <c r="B680" s="26" t="s">
        <v>14</v>
      </c>
      <c r="C680" s="27">
        <v>5.7</v>
      </c>
      <c r="D680" s="95" t="s">
        <v>1114</v>
      </c>
    </row>
    <row r="681" spans="1:4" ht="15.75" outlineLevel="1">
      <c r="A681" s="25" t="s">
        <v>1067</v>
      </c>
      <c r="B681" s="26" t="s">
        <v>15</v>
      </c>
      <c r="C681" s="25">
        <v>5.74</v>
      </c>
      <c r="D681" s="96"/>
    </row>
    <row r="682" spans="1:4" ht="15.75" outlineLevel="1">
      <c r="A682" s="25" t="s">
        <v>1067</v>
      </c>
      <c r="B682" s="26" t="s">
        <v>140</v>
      </c>
      <c r="C682" s="25">
        <v>5.59</v>
      </c>
      <c r="D682" s="96"/>
    </row>
    <row r="683" spans="1:4" ht="15.75" outlineLevel="1">
      <c r="A683" s="25" t="s">
        <v>1067</v>
      </c>
      <c r="B683" s="26" t="s">
        <v>18</v>
      </c>
      <c r="C683" s="25">
        <v>5.54</v>
      </c>
      <c r="D683" s="96"/>
    </row>
    <row r="684" spans="1:4" ht="15.75" outlineLevel="1">
      <c r="A684" s="25" t="s">
        <v>1067</v>
      </c>
      <c r="B684" s="26" t="s">
        <v>176</v>
      </c>
      <c r="C684" s="25">
        <v>5.57</v>
      </c>
      <c r="D684" s="96"/>
    </row>
    <row r="685" spans="1:4" ht="15.75" outlineLevel="1">
      <c r="A685" s="25" t="s">
        <v>1067</v>
      </c>
      <c r="B685" s="26" t="s">
        <v>20</v>
      </c>
      <c r="C685" s="25">
        <v>5.63</v>
      </c>
      <c r="D685" s="96"/>
    </row>
    <row r="686" spans="1:4" ht="15.75" outlineLevel="1">
      <c r="A686" s="25" t="s">
        <v>1067</v>
      </c>
      <c r="B686" s="26" t="s">
        <v>24</v>
      </c>
      <c r="C686" s="25">
        <v>5.47</v>
      </c>
      <c r="D686" s="96"/>
    </row>
    <row r="687" spans="1:4" ht="15.75" outlineLevel="1">
      <c r="A687" s="25" t="s">
        <v>1067</v>
      </c>
      <c r="B687" s="26" t="s">
        <v>25</v>
      </c>
      <c r="C687" s="25">
        <v>5.48</v>
      </c>
      <c r="D687" s="96"/>
    </row>
    <row r="688" spans="1:4" ht="15.75">
      <c r="A688" s="30" t="s">
        <v>1067</v>
      </c>
      <c r="B688" s="26"/>
      <c r="C688" s="25"/>
      <c r="D688" s="96"/>
    </row>
    <row r="689" spans="1:4" ht="15.75" outlineLevel="1">
      <c r="A689" s="25" t="s">
        <v>1070</v>
      </c>
      <c r="B689" s="26" t="s">
        <v>0</v>
      </c>
      <c r="C689" s="25">
        <v>5.0999999999999996</v>
      </c>
      <c r="D689" s="96"/>
    </row>
    <row r="690" spans="1:4" ht="15.75" outlineLevel="1">
      <c r="A690" s="25" t="s">
        <v>1070</v>
      </c>
      <c r="B690" s="26" t="s">
        <v>1</v>
      </c>
      <c r="C690" s="25">
        <v>5.2</v>
      </c>
      <c r="D690" s="96"/>
    </row>
    <row r="691" spans="1:4" ht="15.75" outlineLevel="1">
      <c r="A691" s="25" t="s">
        <v>1070</v>
      </c>
      <c r="B691" s="26" t="s">
        <v>160</v>
      </c>
      <c r="C691" s="25">
        <v>5.17</v>
      </c>
      <c r="D691" s="96"/>
    </row>
    <row r="692" spans="1:4" ht="15.75" outlineLevel="1">
      <c r="A692" s="25" t="s">
        <v>1070</v>
      </c>
      <c r="B692" s="26" t="s">
        <v>5</v>
      </c>
      <c r="C692" s="25">
        <v>5.26</v>
      </c>
      <c r="D692" s="96"/>
    </row>
    <row r="693" spans="1:4" ht="15.75" outlineLevel="1">
      <c r="A693" s="25" t="s">
        <v>1070</v>
      </c>
      <c r="B693" s="26" t="s">
        <v>161</v>
      </c>
      <c r="C693" s="25">
        <v>5.1029999999999998</v>
      </c>
      <c r="D693" s="96"/>
    </row>
    <row r="694" spans="1:4" ht="15.75" outlineLevel="1">
      <c r="A694" s="25" t="s">
        <v>1070</v>
      </c>
      <c r="B694" s="26" t="s">
        <v>130</v>
      </c>
      <c r="C694" s="25">
        <v>5.36</v>
      </c>
      <c r="D694" s="96"/>
    </row>
    <row r="695" spans="1:4" ht="15.75" outlineLevel="1">
      <c r="A695" s="25" t="s">
        <v>1070</v>
      </c>
      <c r="B695" s="26" t="s">
        <v>162</v>
      </c>
      <c r="C695" s="25">
        <v>5.37</v>
      </c>
      <c r="D695" s="96"/>
    </row>
    <row r="696" spans="1:4" ht="15.75" outlineLevel="1">
      <c r="A696" s="25" t="s">
        <v>1070</v>
      </c>
      <c r="B696" s="26" t="s">
        <v>163</v>
      </c>
      <c r="C696" s="25">
        <v>5.1040000000000001</v>
      </c>
      <c r="D696" s="96"/>
    </row>
    <row r="697" spans="1:4" ht="15.75" outlineLevel="1">
      <c r="A697" s="25" t="s">
        <v>1070</v>
      </c>
      <c r="B697" s="26" t="s">
        <v>164</v>
      </c>
      <c r="C697" s="25">
        <v>5.1050000000000004</v>
      </c>
      <c r="D697" s="96"/>
    </row>
    <row r="698" spans="1:4" ht="15.75" outlineLevel="1">
      <c r="A698" s="25" t="s">
        <v>1070</v>
      </c>
      <c r="B698" s="26" t="s">
        <v>165</v>
      </c>
      <c r="C698" s="25">
        <v>5.1059999999999999</v>
      </c>
      <c r="D698" s="96"/>
    </row>
    <row r="699" spans="1:4" ht="15.75" outlineLevel="1">
      <c r="A699" s="25" t="s">
        <v>1070</v>
      </c>
      <c r="B699" s="26" t="s">
        <v>166</v>
      </c>
      <c r="C699" s="25">
        <v>5.1070000000000002</v>
      </c>
      <c r="D699" s="96"/>
    </row>
    <row r="700" spans="1:4" ht="15.75" outlineLevel="1">
      <c r="A700" s="25" t="s">
        <v>1070</v>
      </c>
      <c r="B700" s="26" t="s">
        <v>892</v>
      </c>
      <c r="C700" s="25">
        <v>5.1079999999999997</v>
      </c>
      <c r="D700" s="95" t="s">
        <v>1114</v>
      </c>
    </row>
    <row r="701" spans="1:4" ht="15.75" outlineLevel="1">
      <c r="A701" s="25" t="s">
        <v>1070</v>
      </c>
      <c r="B701" s="26" t="s">
        <v>155</v>
      </c>
      <c r="C701" s="25">
        <v>5.109</v>
      </c>
      <c r="D701" s="96"/>
    </row>
    <row r="702" spans="1:4" ht="15.75" outlineLevel="1">
      <c r="A702" s="25" t="s">
        <v>1070</v>
      </c>
      <c r="B702" s="26" t="s">
        <v>168</v>
      </c>
      <c r="C702" s="28">
        <v>5.1100000000000003</v>
      </c>
      <c r="D702" s="95" t="s">
        <v>1114</v>
      </c>
    </row>
    <row r="703" spans="1:4" ht="15.75" outlineLevel="1">
      <c r="A703" s="25" t="s">
        <v>1070</v>
      </c>
      <c r="B703" s="26" t="s">
        <v>156</v>
      </c>
      <c r="C703" s="25">
        <v>5.1109999999999998</v>
      </c>
      <c r="D703" s="96"/>
    </row>
    <row r="704" spans="1:4" ht="15.75" outlineLevel="1">
      <c r="A704" s="25" t="s">
        <v>1070</v>
      </c>
      <c r="B704" s="26" t="s">
        <v>139</v>
      </c>
      <c r="C704" s="25">
        <v>5.1120000000000001</v>
      </c>
      <c r="D704" s="96"/>
    </row>
    <row r="705" spans="1:4" ht="15.75" outlineLevel="1">
      <c r="A705" s="25" t="s">
        <v>1070</v>
      </c>
      <c r="B705" s="26" t="s">
        <v>11</v>
      </c>
      <c r="C705" s="25">
        <v>5.53</v>
      </c>
      <c r="D705" s="96"/>
    </row>
    <row r="706" spans="1:4" ht="15.75" outlineLevel="1">
      <c r="A706" s="25" t="s">
        <v>1070</v>
      </c>
      <c r="B706" s="26" t="s">
        <v>169</v>
      </c>
      <c r="C706" s="25">
        <v>5.64</v>
      </c>
      <c r="D706" s="96"/>
    </row>
    <row r="707" spans="1:4" ht="15.75" outlineLevel="1">
      <c r="A707" s="25" t="s">
        <v>1070</v>
      </c>
      <c r="B707" s="26" t="s">
        <v>20</v>
      </c>
      <c r="C707" s="25">
        <v>5.63</v>
      </c>
      <c r="D707" s="96"/>
    </row>
    <row r="708" spans="1:4" ht="15.75" outlineLevel="1">
      <c r="A708" s="25" t="s">
        <v>1070</v>
      </c>
      <c r="B708" s="26" t="s">
        <v>21</v>
      </c>
      <c r="C708" s="25">
        <v>5.65</v>
      </c>
      <c r="D708" s="96"/>
    </row>
    <row r="709" spans="1:4" ht="15.75" outlineLevel="1">
      <c r="A709" s="25" t="s">
        <v>1070</v>
      </c>
      <c r="B709" s="26" t="s">
        <v>170</v>
      </c>
      <c r="C709" s="25">
        <v>5.66</v>
      </c>
      <c r="D709" s="96"/>
    </row>
    <row r="710" spans="1:4" ht="15.75" outlineLevel="1">
      <c r="A710" s="25" t="s">
        <v>1070</v>
      </c>
      <c r="B710" s="26" t="s">
        <v>22</v>
      </c>
      <c r="C710" s="25">
        <v>5.68</v>
      </c>
      <c r="D710" s="96"/>
    </row>
    <row r="711" spans="1:4" ht="15.75" outlineLevel="1">
      <c r="A711" s="25" t="s">
        <v>1070</v>
      </c>
      <c r="B711" s="26" t="s">
        <v>24</v>
      </c>
      <c r="C711" s="25">
        <v>5.47</v>
      </c>
      <c r="D711" s="96"/>
    </row>
    <row r="712" spans="1:4" ht="15.75" outlineLevel="1">
      <c r="A712" s="25" t="s">
        <v>1070</v>
      </c>
      <c r="B712" s="26" t="s">
        <v>25</v>
      </c>
      <c r="C712" s="25">
        <v>5.48</v>
      </c>
      <c r="D712" s="96"/>
    </row>
    <row r="713" spans="1:4" ht="15.75">
      <c r="A713" s="30" t="s">
        <v>1070</v>
      </c>
      <c r="B713" s="26"/>
      <c r="C713" s="25"/>
      <c r="D713" s="96"/>
    </row>
    <row r="714" spans="1:4" ht="15.75" outlineLevel="1">
      <c r="A714" s="25" t="s">
        <v>1171</v>
      </c>
      <c r="B714" s="26" t="s">
        <v>0</v>
      </c>
      <c r="C714" s="25">
        <v>5.0999999999999996</v>
      </c>
      <c r="D714" s="96"/>
    </row>
    <row r="715" spans="1:4" ht="15.75" outlineLevel="1">
      <c r="A715" s="25" t="s">
        <v>1171</v>
      </c>
      <c r="B715" s="26" t="s">
        <v>1</v>
      </c>
      <c r="C715" s="25">
        <v>5.2</v>
      </c>
      <c r="D715" s="96"/>
    </row>
    <row r="716" spans="1:4" ht="15.75" outlineLevel="1">
      <c r="A716" s="25" t="s">
        <v>1171</v>
      </c>
      <c r="B716" s="26" t="s">
        <v>2</v>
      </c>
      <c r="C716" s="25">
        <v>5.3</v>
      </c>
      <c r="D716" s="96"/>
    </row>
    <row r="717" spans="1:4" ht="15.75" outlineLevel="1">
      <c r="A717" s="25" t="s">
        <v>1171</v>
      </c>
      <c r="B717" s="26" t="s">
        <v>151</v>
      </c>
      <c r="C717" s="25">
        <v>5.6</v>
      </c>
      <c r="D717" s="96"/>
    </row>
    <row r="718" spans="1:4" ht="15.75" outlineLevel="1">
      <c r="A718" s="25" t="s">
        <v>1171</v>
      </c>
      <c r="B718" s="26" t="s">
        <v>1116</v>
      </c>
      <c r="C718" s="27">
        <v>5.0999999999999996</v>
      </c>
      <c r="D718" s="96"/>
    </row>
    <row r="719" spans="1:4" ht="15.75" outlineLevel="1">
      <c r="A719" s="25" t="s">
        <v>1171</v>
      </c>
      <c r="B719" s="26" t="s">
        <v>1115</v>
      </c>
      <c r="C719" s="25">
        <v>5.14</v>
      </c>
      <c r="D719" s="96"/>
    </row>
    <row r="720" spans="1:4" ht="15.75" outlineLevel="1">
      <c r="A720" s="25" t="s">
        <v>1171</v>
      </c>
      <c r="B720" s="26" t="s">
        <v>4</v>
      </c>
      <c r="C720" s="25">
        <v>5.19</v>
      </c>
      <c r="D720" s="96"/>
    </row>
    <row r="721" spans="1:4" ht="15.75" outlineLevel="1">
      <c r="A721" s="25" t="s">
        <v>1171</v>
      </c>
      <c r="B721" s="26" t="s">
        <v>153</v>
      </c>
      <c r="C721" s="25">
        <v>5.24</v>
      </c>
      <c r="D721" s="96"/>
    </row>
    <row r="722" spans="1:4" ht="15.75" outlineLevel="1">
      <c r="A722" s="25" t="s">
        <v>1171</v>
      </c>
      <c r="B722" s="26" t="s">
        <v>5</v>
      </c>
      <c r="C722" s="25">
        <v>5.26</v>
      </c>
      <c r="D722" s="96"/>
    </row>
    <row r="723" spans="1:4" ht="15.75" outlineLevel="1">
      <c r="A723" s="25" t="s">
        <v>1171</v>
      </c>
      <c r="B723" s="26" t="s">
        <v>6</v>
      </c>
      <c r="C723" s="25">
        <v>5.27</v>
      </c>
      <c r="D723" s="96"/>
    </row>
    <row r="724" spans="1:4" ht="15.75" outlineLevel="1">
      <c r="A724" s="25" t="s">
        <v>1171</v>
      </c>
      <c r="B724" s="26" t="s">
        <v>7</v>
      </c>
      <c r="C724" s="25">
        <v>5.28</v>
      </c>
      <c r="D724" s="96"/>
    </row>
    <row r="725" spans="1:4" ht="15.75" outlineLevel="1">
      <c r="A725" s="25" t="s">
        <v>1171</v>
      </c>
      <c r="B725" s="26" t="s">
        <v>154</v>
      </c>
      <c r="C725" s="25">
        <v>5.31</v>
      </c>
      <c r="D725" s="96"/>
    </row>
    <row r="726" spans="1:4" ht="15.75" outlineLevel="1">
      <c r="A726" s="25" t="s">
        <v>1171</v>
      </c>
      <c r="B726" s="26" t="s">
        <v>130</v>
      </c>
      <c r="C726" s="25">
        <v>5.36</v>
      </c>
      <c r="D726" s="96"/>
    </row>
    <row r="727" spans="1:4" ht="15.75" outlineLevel="1">
      <c r="A727" s="25" t="s">
        <v>1171</v>
      </c>
      <c r="B727" s="26" t="s">
        <v>11</v>
      </c>
      <c r="C727" s="25">
        <v>5.53</v>
      </c>
      <c r="D727" s="96"/>
    </row>
    <row r="728" spans="1:4" ht="15.75" outlineLevel="1">
      <c r="A728" s="25" t="s">
        <v>1171</v>
      </c>
      <c r="B728" s="26" t="s">
        <v>155</v>
      </c>
      <c r="C728" s="25">
        <v>5.109</v>
      </c>
      <c r="D728" s="96"/>
    </row>
    <row r="729" spans="1:4" ht="15.75" outlineLevel="1">
      <c r="A729" s="25" t="s">
        <v>1171</v>
      </c>
      <c r="B729" s="26" t="s">
        <v>156</v>
      </c>
      <c r="C729" s="25">
        <v>5.1109999999999998</v>
      </c>
      <c r="D729" s="96"/>
    </row>
    <row r="730" spans="1:4" ht="15.75" outlineLevel="1">
      <c r="A730" s="25" t="s">
        <v>1171</v>
      </c>
      <c r="B730" s="26" t="s">
        <v>139</v>
      </c>
      <c r="C730" s="25">
        <v>5.1120000000000001</v>
      </c>
      <c r="D730" s="96"/>
    </row>
    <row r="731" spans="1:4" ht="15.75" outlineLevel="1">
      <c r="A731" s="25" t="s">
        <v>1171</v>
      </c>
      <c r="B731" s="26" t="s">
        <v>1129</v>
      </c>
      <c r="C731" s="25">
        <v>5.1130000000000004</v>
      </c>
      <c r="D731" s="96"/>
    </row>
    <row r="732" spans="1:4" ht="15.75" outlineLevel="1">
      <c r="A732" s="25" t="s">
        <v>1171</v>
      </c>
      <c r="B732" s="26" t="s">
        <v>158</v>
      </c>
      <c r="C732" s="25">
        <v>5.117</v>
      </c>
      <c r="D732" s="96"/>
    </row>
    <row r="733" spans="1:4" ht="15.75" outlineLevel="1">
      <c r="A733" s="25" t="s">
        <v>1171</v>
      </c>
      <c r="B733" s="26" t="s">
        <v>159</v>
      </c>
      <c r="C733" s="25">
        <v>5.67</v>
      </c>
      <c r="D733" s="96"/>
    </row>
    <row r="734" spans="1:4" ht="15.75" outlineLevel="1">
      <c r="A734" s="25" t="s">
        <v>1171</v>
      </c>
      <c r="B734" s="26" t="s">
        <v>20</v>
      </c>
      <c r="C734" s="25">
        <v>5.63</v>
      </c>
      <c r="D734" s="96"/>
    </row>
    <row r="735" spans="1:4" ht="15.75" outlineLevel="1">
      <c r="A735" s="25" t="s">
        <v>1171</v>
      </c>
      <c r="B735" s="26" t="s">
        <v>24</v>
      </c>
      <c r="C735" s="25">
        <v>5.47</v>
      </c>
      <c r="D735" s="96"/>
    </row>
    <row r="736" spans="1:4" ht="15.75" outlineLevel="1">
      <c r="A736" s="25" t="s">
        <v>1171</v>
      </c>
      <c r="B736" s="26" t="s">
        <v>25</v>
      </c>
      <c r="C736" s="25">
        <v>5.48</v>
      </c>
      <c r="D736" s="96"/>
    </row>
    <row r="737" spans="1:4" ht="15.75">
      <c r="A737" s="30" t="s">
        <v>1172</v>
      </c>
      <c r="B737" s="26"/>
      <c r="C737" s="25"/>
      <c r="D737" s="96"/>
    </row>
    <row r="738" spans="1:4" ht="15.75" outlineLevel="1">
      <c r="A738" s="25" t="s">
        <v>1073</v>
      </c>
      <c r="B738" s="26" t="s">
        <v>0</v>
      </c>
      <c r="C738" s="25">
        <v>5.0999999999999996</v>
      </c>
      <c r="D738" s="96"/>
    </row>
    <row r="739" spans="1:4" ht="15.75" outlineLevel="1">
      <c r="A739" s="25" t="s">
        <v>1073</v>
      </c>
      <c r="B739" s="26" t="s">
        <v>1</v>
      </c>
      <c r="C739" s="25">
        <v>5.2</v>
      </c>
      <c r="D739" s="96"/>
    </row>
    <row r="740" spans="1:4" ht="15.75" outlineLevel="1">
      <c r="A740" s="25" t="s">
        <v>1073</v>
      </c>
      <c r="B740" s="26" t="s">
        <v>136</v>
      </c>
      <c r="C740" s="25">
        <v>5.18</v>
      </c>
      <c r="D740" s="96"/>
    </row>
    <row r="741" spans="1:4" ht="15.75" outlineLevel="1">
      <c r="A741" s="25" t="s">
        <v>1073</v>
      </c>
      <c r="B741" s="26" t="s">
        <v>137</v>
      </c>
      <c r="C741" s="25">
        <v>5.23</v>
      </c>
      <c r="D741" s="96"/>
    </row>
    <row r="742" spans="1:4" ht="15.75" outlineLevel="1">
      <c r="A742" s="25" t="s">
        <v>1073</v>
      </c>
      <c r="B742" s="26" t="s">
        <v>5</v>
      </c>
      <c r="C742" s="25">
        <v>5.26</v>
      </c>
      <c r="D742" s="96"/>
    </row>
    <row r="743" spans="1:4" ht="15.75" outlineLevel="1">
      <c r="A743" s="25" t="s">
        <v>1073</v>
      </c>
      <c r="B743" s="26" t="s">
        <v>6</v>
      </c>
      <c r="C743" s="25">
        <v>5.27</v>
      </c>
      <c r="D743" s="96"/>
    </row>
    <row r="744" spans="1:4" ht="15.75" outlineLevel="1">
      <c r="A744" s="25" t="s">
        <v>1073</v>
      </c>
      <c r="B744" s="26" t="s">
        <v>7</v>
      </c>
      <c r="C744" s="25">
        <v>5.28</v>
      </c>
      <c r="D744" s="96"/>
    </row>
    <row r="745" spans="1:4" ht="15.75" outlineLevel="1">
      <c r="A745" s="25" t="s">
        <v>1073</v>
      </c>
      <c r="B745" s="26" t="s">
        <v>130</v>
      </c>
      <c r="C745" s="25">
        <v>5.36</v>
      </c>
      <c r="D745" s="96"/>
    </row>
    <row r="746" spans="1:4" ht="15.75" outlineLevel="1">
      <c r="A746" s="25" t="s">
        <v>1073</v>
      </c>
      <c r="B746" s="26" t="s">
        <v>138</v>
      </c>
      <c r="C746" s="25">
        <v>5.44</v>
      </c>
      <c r="D746" s="96"/>
    </row>
    <row r="747" spans="1:4" ht="15.75" outlineLevel="1">
      <c r="A747" s="25" t="s">
        <v>1073</v>
      </c>
      <c r="B747" s="26" t="s">
        <v>11</v>
      </c>
      <c r="C747" s="25">
        <v>5.53</v>
      </c>
      <c r="D747" s="96"/>
    </row>
    <row r="748" spans="1:4" ht="15.75" outlineLevel="1">
      <c r="A748" s="25" t="s">
        <v>1073</v>
      </c>
      <c r="B748" s="26" t="s">
        <v>139</v>
      </c>
      <c r="C748" s="25">
        <v>5.1120000000000001</v>
      </c>
      <c r="D748" s="96"/>
    </row>
    <row r="749" spans="1:4" ht="15.75" outlineLevel="1">
      <c r="A749" s="25" t="s">
        <v>1073</v>
      </c>
      <c r="B749" s="26" t="s">
        <v>140</v>
      </c>
      <c r="C749" s="25">
        <v>5.59</v>
      </c>
      <c r="D749" s="96"/>
    </row>
    <row r="750" spans="1:4" ht="15.75" outlineLevel="1">
      <c r="A750" s="25" t="s">
        <v>1073</v>
      </c>
      <c r="B750" s="26" t="s">
        <v>18</v>
      </c>
      <c r="C750" s="25">
        <v>5.54</v>
      </c>
      <c r="D750" s="96"/>
    </row>
    <row r="751" spans="1:4" ht="15.75" outlineLevel="1">
      <c r="A751" s="25" t="s">
        <v>1073</v>
      </c>
      <c r="B751" s="26" t="s">
        <v>20</v>
      </c>
      <c r="C751" s="25">
        <v>5.63</v>
      </c>
      <c r="D751" s="96"/>
    </row>
    <row r="752" spans="1:4" ht="15.75" outlineLevel="1">
      <c r="A752" s="25" t="s">
        <v>1073</v>
      </c>
      <c r="B752" s="26" t="s">
        <v>21</v>
      </c>
      <c r="C752" s="25">
        <v>5.65</v>
      </c>
      <c r="D752" s="96"/>
    </row>
    <row r="753" spans="1:4" ht="15.75" outlineLevel="1">
      <c r="A753" s="25" t="s">
        <v>1073</v>
      </c>
      <c r="B753" s="26" t="s">
        <v>22</v>
      </c>
      <c r="C753" s="25">
        <v>5.68</v>
      </c>
      <c r="D753" s="96"/>
    </row>
    <row r="754" spans="1:4" ht="15.75" outlineLevel="1">
      <c r="A754" s="25" t="s">
        <v>1073</v>
      </c>
      <c r="B754" s="26" t="s">
        <v>24</v>
      </c>
      <c r="C754" s="25">
        <v>5.47</v>
      </c>
      <c r="D754" s="96"/>
    </row>
    <row r="755" spans="1:4" ht="15.75" outlineLevel="1">
      <c r="A755" s="25" t="s">
        <v>1073</v>
      </c>
      <c r="B755" s="26" t="s">
        <v>25</v>
      </c>
      <c r="C755" s="25">
        <v>5.48</v>
      </c>
      <c r="D755" s="96"/>
    </row>
    <row r="756" spans="1:4" ht="15.75">
      <c r="A756" s="30" t="s">
        <v>1073</v>
      </c>
      <c r="B756" s="26"/>
      <c r="C756" s="25"/>
      <c r="D756" s="96"/>
    </row>
    <row r="757" spans="1:4" ht="15.75" outlineLevel="1">
      <c r="A757" s="25" t="s">
        <v>1173</v>
      </c>
      <c r="B757" s="26" t="s">
        <v>0</v>
      </c>
      <c r="C757" s="25">
        <v>5.0999999999999996</v>
      </c>
      <c r="D757" s="96"/>
    </row>
    <row r="758" spans="1:4" ht="15.75" outlineLevel="1">
      <c r="A758" s="25" t="s">
        <v>1173</v>
      </c>
      <c r="B758" s="26" t="s">
        <v>1</v>
      </c>
      <c r="C758" s="25">
        <v>5.2</v>
      </c>
      <c r="D758" s="96"/>
    </row>
    <row r="759" spans="1:4" ht="15.75" outlineLevel="1">
      <c r="A759" s="25" t="s">
        <v>1173</v>
      </c>
      <c r="B759" s="26" t="s">
        <v>125</v>
      </c>
      <c r="C759" s="25">
        <v>5.9</v>
      </c>
      <c r="D759" s="95" t="s">
        <v>1114</v>
      </c>
    </row>
    <row r="760" spans="1:4" ht="15.75" outlineLevel="1">
      <c r="A760" s="25" t="s">
        <v>1173</v>
      </c>
      <c r="B760" s="26" t="s">
        <v>126</v>
      </c>
      <c r="C760" s="25">
        <v>5.13</v>
      </c>
      <c r="D760" s="96"/>
    </row>
    <row r="761" spans="1:4" ht="15.75" outlineLevel="1">
      <c r="A761" s="25" t="s">
        <v>1173</v>
      </c>
      <c r="B761" s="26" t="s">
        <v>127</v>
      </c>
      <c r="C761" s="25">
        <v>5.16</v>
      </c>
      <c r="D761" s="95" t="s">
        <v>1114</v>
      </c>
    </row>
    <row r="762" spans="1:4" ht="15.75" outlineLevel="1">
      <c r="A762" s="25" t="s">
        <v>1173</v>
      </c>
      <c r="B762" s="26" t="s">
        <v>128</v>
      </c>
      <c r="C762" s="25">
        <v>5.22</v>
      </c>
      <c r="D762" s="95"/>
    </row>
    <row r="763" spans="1:4" ht="15.75" outlineLevel="1">
      <c r="A763" s="25" t="s">
        <v>1173</v>
      </c>
      <c r="B763" s="26" t="s">
        <v>129</v>
      </c>
      <c r="C763" s="25">
        <v>5.42</v>
      </c>
      <c r="D763" s="96"/>
    </row>
    <row r="764" spans="1:4" ht="15.75" outlineLevel="1">
      <c r="A764" s="25" t="s">
        <v>1173</v>
      </c>
      <c r="B764" s="26" t="s">
        <v>6</v>
      </c>
      <c r="C764" s="25">
        <v>5.27</v>
      </c>
      <c r="D764" s="96"/>
    </row>
    <row r="765" spans="1:4" ht="15.75" outlineLevel="1">
      <c r="A765" s="25" t="s">
        <v>1173</v>
      </c>
      <c r="B765" s="26" t="s">
        <v>7</v>
      </c>
      <c r="C765" s="25">
        <v>5.28</v>
      </c>
      <c r="D765" s="95" t="s">
        <v>1114</v>
      </c>
    </row>
    <row r="766" spans="1:4" ht="15.75" outlineLevel="1">
      <c r="A766" s="25" t="s">
        <v>1173</v>
      </c>
      <c r="B766" s="26" t="s">
        <v>130</v>
      </c>
      <c r="C766" s="25">
        <v>5.36</v>
      </c>
      <c r="D766" s="96"/>
    </row>
    <row r="767" spans="1:4" ht="15.75" outlineLevel="1">
      <c r="A767" s="25" t="s">
        <v>1173</v>
      </c>
      <c r="B767" s="26" t="s">
        <v>9</v>
      </c>
      <c r="C767" s="25">
        <v>5.49</v>
      </c>
      <c r="D767" s="96"/>
    </row>
    <row r="768" spans="1:4" ht="15.75" outlineLevel="1">
      <c r="A768" s="25" t="s">
        <v>1173</v>
      </c>
      <c r="B768" s="26" t="s">
        <v>10</v>
      </c>
      <c r="C768" s="25">
        <v>5.51</v>
      </c>
      <c r="D768" s="96"/>
    </row>
    <row r="769" spans="1:4" ht="15.75" outlineLevel="1">
      <c r="A769" s="25" t="s">
        <v>1173</v>
      </c>
      <c r="B769" s="26" t="s">
        <v>1162</v>
      </c>
      <c r="C769" s="25">
        <v>5.52</v>
      </c>
      <c r="D769" s="96"/>
    </row>
    <row r="770" spans="1:4" ht="15.75" outlineLevel="1">
      <c r="A770" s="25" t="s">
        <v>1173</v>
      </c>
      <c r="B770" s="26" t="s">
        <v>11</v>
      </c>
      <c r="C770" s="25">
        <v>5.53</v>
      </c>
      <c r="D770" s="96"/>
    </row>
    <row r="771" spans="1:4" ht="15.75" outlineLevel="1">
      <c r="A771" s="25" t="s">
        <v>1173</v>
      </c>
      <c r="B771" s="26" t="s">
        <v>18</v>
      </c>
      <c r="C771" s="25">
        <v>5.54</v>
      </c>
      <c r="D771" s="96"/>
    </row>
    <row r="772" spans="1:4" ht="15.75" outlineLevel="1">
      <c r="A772" s="25" t="s">
        <v>1173</v>
      </c>
      <c r="B772" s="26" t="s">
        <v>14</v>
      </c>
      <c r="C772" s="27">
        <v>5.7</v>
      </c>
      <c r="D772" s="96"/>
    </row>
    <row r="773" spans="1:4" ht="15.75" outlineLevel="1">
      <c r="A773" s="25" t="s">
        <v>1173</v>
      </c>
      <c r="B773" s="26" t="s">
        <v>132</v>
      </c>
      <c r="C773" s="25">
        <v>5.71</v>
      </c>
      <c r="D773" s="96"/>
    </row>
    <row r="774" spans="1:4" ht="15.75" outlineLevel="1">
      <c r="A774" s="25" t="s">
        <v>1173</v>
      </c>
      <c r="B774" s="26" t="s">
        <v>133</v>
      </c>
      <c r="C774" s="27">
        <v>5.9</v>
      </c>
      <c r="D774" s="96"/>
    </row>
    <row r="775" spans="1:4" ht="15.75" outlineLevel="1">
      <c r="A775" s="25" t="s">
        <v>1173</v>
      </c>
      <c r="B775" s="26" t="s">
        <v>134</v>
      </c>
      <c r="C775" s="25">
        <v>5.91</v>
      </c>
      <c r="D775" s="96"/>
    </row>
    <row r="776" spans="1:4" ht="15.75" outlineLevel="1">
      <c r="A776" s="25" t="s">
        <v>1173</v>
      </c>
      <c r="B776" s="26" t="s">
        <v>135</v>
      </c>
      <c r="C776" s="25">
        <v>5.97</v>
      </c>
      <c r="D776" s="96"/>
    </row>
    <row r="777" spans="1:4" ht="15.75">
      <c r="A777" s="30" t="s">
        <v>1173</v>
      </c>
      <c r="B777" s="26"/>
      <c r="C777" s="25"/>
      <c r="D777" s="96"/>
    </row>
    <row r="778" spans="1:4" ht="31.5" outlineLevel="1">
      <c r="A778" s="25" t="s">
        <v>1108</v>
      </c>
      <c r="B778" s="26" t="s">
        <v>0</v>
      </c>
      <c r="C778" s="25">
        <v>5.0999999999999996</v>
      </c>
      <c r="D778" s="96"/>
    </row>
    <row r="779" spans="1:4" ht="31.5" outlineLevel="1">
      <c r="A779" s="25" t="s">
        <v>1108</v>
      </c>
      <c r="B779" s="26" t="s">
        <v>1</v>
      </c>
      <c r="C779" s="25">
        <v>5.2</v>
      </c>
      <c r="D779" s="96"/>
    </row>
    <row r="780" spans="1:4" ht="31.5" outlineLevel="1">
      <c r="A780" s="25" t="s">
        <v>1108</v>
      </c>
      <c r="B780" s="26" t="s">
        <v>5</v>
      </c>
      <c r="C780" s="25">
        <v>5.26</v>
      </c>
      <c r="D780" s="96"/>
    </row>
    <row r="781" spans="1:4" ht="31.5" outlineLevel="1">
      <c r="A781" s="25" t="s">
        <v>1108</v>
      </c>
      <c r="B781" s="26" t="s">
        <v>204</v>
      </c>
      <c r="C781" s="25">
        <v>5.5</v>
      </c>
      <c r="D781" s="96"/>
    </row>
    <row r="782" spans="1:4" ht="31.5" outlineLevel="1">
      <c r="A782" s="25" t="s">
        <v>1108</v>
      </c>
      <c r="B782" s="26" t="s">
        <v>205</v>
      </c>
      <c r="C782" s="25">
        <v>5.8</v>
      </c>
      <c r="D782" s="95" t="s">
        <v>1114</v>
      </c>
    </row>
    <row r="783" spans="1:4" ht="31.5" outlineLevel="1">
      <c r="A783" s="25" t="s">
        <v>1108</v>
      </c>
      <c r="B783" s="26" t="s">
        <v>206</v>
      </c>
      <c r="C783" s="25">
        <v>5.12</v>
      </c>
      <c r="D783" s="25"/>
    </row>
    <row r="784" spans="1:4" ht="31.5" outlineLevel="1">
      <c r="A784" s="25" t="s">
        <v>1108</v>
      </c>
      <c r="B784" s="26" t="s">
        <v>207</v>
      </c>
      <c r="C784" s="25">
        <v>5.15</v>
      </c>
      <c r="D784" s="25"/>
    </row>
    <row r="785" spans="1:4" ht="31.5" outlineLevel="1">
      <c r="A785" s="25" t="s">
        <v>1108</v>
      </c>
      <c r="B785" s="26" t="s">
        <v>208</v>
      </c>
      <c r="C785" s="27">
        <v>5.2</v>
      </c>
      <c r="D785" s="95"/>
    </row>
    <row r="786" spans="1:4" ht="31.5" outlineLevel="1">
      <c r="A786" s="25" t="s">
        <v>1108</v>
      </c>
      <c r="B786" s="26" t="s">
        <v>209</v>
      </c>
      <c r="C786" s="25">
        <v>5.25</v>
      </c>
      <c r="D786" s="25"/>
    </row>
    <row r="787" spans="1:4" ht="31.5" outlineLevel="1">
      <c r="A787" s="25" t="s">
        <v>1108</v>
      </c>
      <c r="B787" s="26" t="s">
        <v>11</v>
      </c>
      <c r="C787" s="25">
        <v>5.53</v>
      </c>
      <c r="D787" s="25"/>
    </row>
    <row r="788" spans="1:4" ht="31.5" outlineLevel="1">
      <c r="A788" s="25" t="s">
        <v>1108</v>
      </c>
      <c r="B788" s="26" t="s">
        <v>210</v>
      </c>
      <c r="C788" s="27">
        <v>5.4</v>
      </c>
      <c r="D788" s="25"/>
    </row>
    <row r="789" spans="1:4" ht="31.5" outlineLevel="1">
      <c r="A789" s="25" t="s">
        <v>1108</v>
      </c>
      <c r="B789" s="26" t="s">
        <v>211</v>
      </c>
      <c r="C789" s="25">
        <v>5.92</v>
      </c>
      <c r="D789" s="25"/>
    </row>
    <row r="790" spans="1:4" ht="31.5" outlineLevel="1">
      <c r="A790" s="25" t="s">
        <v>1108</v>
      </c>
      <c r="B790" s="26" t="s">
        <v>212</v>
      </c>
      <c r="C790" s="25">
        <v>5.93</v>
      </c>
      <c r="D790" s="25"/>
    </row>
    <row r="791" spans="1:4" ht="31.5" outlineLevel="1">
      <c r="A791" s="25" t="s">
        <v>1108</v>
      </c>
      <c r="B791" s="26" t="s">
        <v>213</v>
      </c>
      <c r="C791" s="25">
        <v>5.94</v>
      </c>
      <c r="D791" s="25"/>
    </row>
    <row r="792" spans="1:4" ht="31.5" outlineLevel="1">
      <c r="A792" s="25" t="s">
        <v>1108</v>
      </c>
      <c r="B792" s="26" t="s">
        <v>214</v>
      </c>
      <c r="C792" s="25">
        <v>5.95</v>
      </c>
      <c r="D792" s="25"/>
    </row>
    <row r="793" spans="1:4" ht="31.5" outlineLevel="1">
      <c r="A793" s="25" t="s">
        <v>1108</v>
      </c>
      <c r="B793" s="26" t="s">
        <v>215</v>
      </c>
      <c r="C793" s="25">
        <v>5.98</v>
      </c>
      <c r="D793" s="25"/>
    </row>
    <row r="794" spans="1:4" ht="31.5" outlineLevel="1">
      <c r="A794" s="25" t="s">
        <v>1108</v>
      </c>
      <c r="B794" s="26" t="s">
        <v>216</v>
      </c>
      <c r="C794" s="25">
        <v>5.96</v>
      </c>
      <c r="D794" s="25"/>
    </row>
    <row r="795" spans="1:4" ht="31.5">
      <c r="A795" s="30" t="s">
        <v>1108</v>
      </c>
      <c r="B795" s="26"/>
      <c r="C795" s="25"/>
      <c r="D795" s="25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21"/>
  <sheetViews>
    <sheetView rightToLeft="1" workbookViewId="0"/>
  </sheetViews>
  <sheetFormatPr defaultRowHeight="14.25"/>
  <cols>
    <col min="1" max="1" width="63.25" bestFit="1" customWidth="1"/>
    <col min="2" max="2" width="13.75" customWidth="1"/>
  </cols>
  <sheetData>
    <row r="2" spans="1:2" ht="15">
      <c r="A2" s="16" t="s">
        <v>1184</v>
      </c>
    </row>
    <row r="3" spans="1:2">
      <c r="A3" t="s">
        <v>1185</v>
      </c>
      <c r="B3" t="s">
        <v>1186</v>
      </c>
    </row>
    <row r="4" spans="1:2">
      <c r="A4" t="s">
        <v>191</v>
      </c>
      <c r="B4" t="s">
        <v>1187</v>
      </c>
    </row>
    <row r="5" spans="1:2">
      <c r="A5" t="s">
        <v>1188</v>
      </c>
      <c r="B5" t="s">
        <v>1189</v>
      </c>
    </row>
    <row r="6" spans="1:2">
      <c r="A6" t="s">
        <v>1190</v>
      </c>
      <c r="B6" t="s">
        <v>1191</v>
      </c>
    </row>
    <row r="7" spans="1:2">
      <c r="A7" t="s">
        <v>1192</v>
      </c>
      <c r="B7" t="s">
        <v>1193</v>
      </c>
    </row>
    <row r="8" spans="1:2">
      <c r="A8" t="s">
        <v>1194</v>
      </c>
      <c r="B8" t="s">
        <v>1195</v>
      </c>
    </row>
    <row r="10" spans="1:2" ht="15">
      <c r="A10" s="16" t="s">
        <v>1196</v>
      </c>
    </row>
    <row r="11" spans="1:2">
      <c r="A11" t="s">
        <v>1197</v>
      </c>
    </row>
    <row r="12" spans="1:2">
      <c r="A12" t="s">
        <v>1198</v>
      </c>
      <c r="B12" t="s">
        <v>1199</v>
      </c>
    </row>
    <row r="14" spans="1:2">
      <c r="A14" s="24"/>
    </row>
    <row r="15" spans="1:2" ht="15">
      <c r="A15" s="16" t="s">
        <v>1200</v>
      </c>
    </row>
    <row r="16" spans="1:2">
      <c r="A16" s="22" t="s">
        <v>1201</v>
      </c>
    </row>
    <row r="17" spans="1:2">
      <c r="A17" s="22" t="s">
        <v>1202</v>
      </c>
    </row>
    <row r="18" spans="1:2">
      <c r="A18" s="22" t="s">
        <v>1203</v>
      </c>
    </row>
    <row r="19" spans="1:2">
      <c r="A19" s="22" t="s">
        <v>1204</v>
      </c>
    </row>
    <row r="21" spans="1:2" ht="15">
      <c r="A21" s="23" t="s">
        <v>1205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16" t="s">
        <v>1206</v>
      </c>
      <c r="B34" s="16" t="s">
        <v>323</v>
      </c>
    </row>
    <row r="35" spans="1:2">
      <c r="A35" s="8" t="s">
        <v>1207</v>
      </c>
      <c r="B35" s="29">
        <v>512310509</v>
      </c>
    </row>
    <row r="36" spans="1:2">
      <c r="A36" t="s">
        <v>1208</v>
      </c>
      <c r="B36" s="29">
        <v>513910703</v>
      </c>
    </row>
    <row r="37" spans="1:2">
      <c r="A37" t="s">
        <v>1209</v>
      </c>
      <c r="B37" s="29">
        <v>512304882</v>
      </c>
    </row>
    <row r="38" spans="1:2">
      <c r="A38" t="s">
        <v>1210</v>
      </c>
      <c r="B38" s="29">
        <v>520030677</v>
      </c>
    </row>
    <row r="39" spans="1:2">
      <c r="A39" t="s">
        <v>1211</v>
      </c>
      <c r="B39" s="29">
        <v>513621110</v>
      </c>
    </row>
    <row r="40" spans="1:2">
      <c r="A40" t="s">
        <v>1212</v>
      </c>
      <c r="B40" s="8">
        <v>513173393</v>
      </c>
    </row>
    <row r="41" spans="1:2">
      <c r="A41" t="s">
        <v>1213</v>
      </c>
      <c r="B41" s="8">
        <v>511880460</v>
      </c>
    </row>
    <row r="42" spans="1:2">
      <c r="A42" t="s">
        <v>1214</v>
      </c>
      <c r="B42" s="8">
        <v>510773922</v>
      </c>
    </row>
    <row r="43" spans="1:2">
      <c r="A43" t="s">
        <v>1215</v>
      </c>
      <c r="B43">
        <v>520021916</v>
      </c>
    </row>
    <row r="44" spans="1:2">
      <c r="A44" t="s">
        <v>1216</v>
      </c>
      <c r="B44">
        <v>520044025</v>
      </c>
    </row>
    <row r="45" spans="1:2">
      <c r="A45" t="s">
        <v>1217</v>
      </c>
      <c r="B45">
        <v>570003152</v>
      </c>
    </row>
    <row r="46" spans="1:2">
      <c r="A46" t="s">
        <v>1218</v>
      </c>
      <c r="B46" s="8">
        <v>520023094</v>
      </c>
    </row>
    <row r="47" spans="1:2">
      <c r="A47" t="s">
        <v>1219</v>
      </c>
      <c r="B47" s="8">
        <v>512711409</v>
      </c>
    </row>
    <row r="48" spans="1:2">
      <c r="A48" t="s">
        <v>1220</v>
      </c>
      <c r="B48">
        <v>515859379</v>
      </c>
    </row>
    <row r="49" spans="1:2">
      <c r="A49" t="s">
        <v>1221</v>
      </c>
      <c r="B49" s="8">
        <v>520030990</v>
      </c>
    </row>
    <row r="50" spans="1:2">
      <c r="A50" t="s">
        <v>1222</v>
      </c>
      <c r="B50" s="8">
        <v>520028812</v>
      </c>
    </row>
    <row r="51" spans="1:2">
      <c r="A51" t="s">
        <v>1223</v>
      </c>
      <c r="B51" s="8">
        <v>520034968</v>
      </c>
    </row>
    <row r="52" spans="1:2">
      <c r="A52" t="s">
        <v>1224</v>
      </c>
      <c r="B52" s="8">
        <v>520031824</v>
      </c>
    </row>
    <row r="53" spans="1:2">
      <c r="A53" t="s">
        <v>1225</v>
      </c>
      <c r="B53" s="8">
        <v>520005497</v>
      </c>
    </row>
    <row r="54" spans="1:2">
      <c r="A54" t="s">
        <v>1226</v>
      </c>
      <c r="B54" s="8">
        <v>520022518</v>
      </c>
    </row>
    <row r="55" spans="1:2">
      <c r="A55" t="s">
        <v>1227</v>
      </c>
      <c r="B55" s="8">
        <v>520028556</v>
      </c>
    </row>
    <row r="56" spans="1:2">
      <c r="A56" t="s">
        <v>1228</v>
      </c>
      <c r="B56" s="8">
        <v>520032269</v>
      </c>
    </row>
    <row r="57" spans="1:2">
      <c r="A57" t="s">
        <v>1229</v>
      </c>
      <c r="B57" s="8">
        <v>520027954</v>
      </c>
    </row>
    <row r="58" spans="1:2">
      <c r="A58" t="s">
        <v>1230</v>
      </c>
      <c r="B58">
        <v>520029620</v>
      </c>
    </row>
    <row r="59" spans="1:2">
      <c r="A59" t="s">
        <v>1231</v>
      </c>
      <c r="B59" s="8">
        <v>520028861</v>
      </c>
    </row>
    <row r="60" spans="1:2">
      <c r="A60" t="s">
        <v>1232</v>
      </c>
      <c r="B60" s="8">
        <v>520030743</v>
      </c>
    </row>
    <row r="61" spans="1:2">
      <c r="A61" t="s">
        <v>1233</v>
      </c>
      <c r="B61">
        <v>520042177</v>
      </c>
    </row>
    <row r="62" spans="1:2">
      <c r="A62" t="s">
        <v>1234</v>
      </c>
      <c r="B62" s="8">
        <v>515447035</v>
      </c>
    </row>
    <row r="63" spans="1:2">
      <c r="A63" t="s">
        <v>1235</v>
      </c>
      <c r="B63" s="8">
        <v>520042607</v>
      </c>
    </row>
    <row r="64" spans="1:2">
      <c r="A64" t="s">
        <v>1236</v>
      </c>
      <c r="B64" s="8">
        <v>513026484</v>
      </c>
    </row>
    <row r="65" spans="1:2">
      <c r="A65" t="s">
        <v>1237</v>
      </c>
      <c r="B65">
        <v>520023185</v>
      </c>
    </row>
    <row r="66" spans="1:2">
      <c r="A66" t="s">
        <v>1238</v>
      </c>
      <c r="B66">
        <v>520004078</v>
      </c>
    </row>
    <row r="67" spans="1:2">
      <c r="A67" t="s">
        <v>1239</v>
      </c>
      <c r="B67" s="8">
        <v>512267592</v>
      </c>
    </row>
    <row r="68" spans="1:2">
      <c r="A68" t="s">
        <v>1240</v>
      </c>
      <c r="B68">
        <v>515764868</v>
      </c>
    </row>
    <row r="69" spans="1:2">
      <c r="A69" t="s">
        <v>1241</v>
      </c>
      <c r="B69" s="8">
        <v>513452003</v>
      </c>
    </row>
    <row r="70" spans="1:2">
      <c r="A70" t="s">
        <v>1242</v>
      </c>
      <c r="B70" s="8">
        <v>510142789</v>
      </c>
    </row>
    <row r="71" spans="1:2">
      <c r="A71" t="s">
        <v>1243</v>
      </c>
      <c r="B71" s="8">
        <v>510960586</v>
      </c>
    </row>
    <row r="72" spans="1:2">
      <c r="A72" t="s">
        <v>1244</v>
      </c>
      <c r="B72" s="8">
        <v>510930670</v>
      </c>
    </row>
    <row r="73" spans="1:2">
      <c r="A73" t="s">
        <v>1245</v>
      </c>
      <c r="B73" s="8">
        <v>510927536</v>
      </c>
    </row>
    <row r="74" spans="1:2">
      <c r="A74" t="s">
        <v>1246</v>
      </c>
      <c r="B74" s="8">
        <v>510930654</v>
      </c>
    </row>
    <row r="75" spans="1:2">
      <c r="A75" t="s">
        <v>1247</v>
      </c>
      <c r="B75" s="8">
        <v>520032566</v>
      </c>
    </row>
    <row r="76" spans="1:2">
      <c r="A76" t="s">
        <v>1248</v>
      </c>
      <c r="B76" s="8">
        <v>513611509</v>
      </c>
    </row>
    <row r="77" spans="1:2">
      <c r="A77" t="s">
        <v>1249</v>
      </c>
      <c r="B77">
        <v>510888985</v>
      </c>
    </row>
    <row r="78" spans="1:2">
      <c r="A78" t="s">
        <v>1250</v>
      </c>
      <c r="B78">
        <v>520024647</v>
      </c>
    </row>
    <row r="79" spans="1:2">
      <c r="A79" t="s">
        <v>1251</v>
      </c>
      <c r="B79" s="8">
        <v>512244146</v>
      </c>
    </row>
    <row r="80" spans="1:2">
      <c r="A80" t="s">
        <v>1252</v>
      </c>
      <c r="B80" s="8">
        <v>510694821</v>
      </c>
    </row>
    <row r="81" spans="1:2">
      <c r="A81" t="s">
        <v>1253</v>
      </c>
      <c r="B81">
        <v>515761625</v>
      </c>
    </row>
    <row r="82" spans="1:2">
      <c r="A82" t="s">
        <v>1254</v>
      </c>
      <c r="B82" s="8">
        <v>511423048</v>
      </c>
    </row>
    <row r="83" spans="1:2">
      <c r="A83" t="s">
        <v>1255</v>
      </c>
      <c r="B83" s="8">
        <v>520019688</v>
      </c>
    </row>
    <row r="84" spans="1:2">
      <c r="A84" t="s">
        <v>1256</v>
      </c>
      <c r="B84">
        <v>520004896</v>
      </c>
    </row>
    <row r="85" spans="1:2">
      <c r="A85" t="s">
        <v>1257</v>
      </c>
      <c r="B85" s="8">
        <v>512237744</v>
      </c>
    </row>
    <row r="86" spans="1:2">
      <c r="A86" t="s">
        <v>1258</v>
      </c>
      <c r="B86" s="8">
        <v>514956465</v>
      </c>
    </row>
    <row r="87" spans="1:2">
      <c r="A87" t="s">
        <v>1259</v>
      </c>
      <c r="B87" s="8">
        <v>512362914</v>
      </c>
    </row>
    <row r="88" spans="1:2">
      <c r="A88" t="s">
        <v>1260</v>
      </c>
      <c r="B88" s="8">
        <v>520042615</v>
      </c>
    </row>
    <row r="89" spans="1:2">
      <c r="A89" t="s">
        <v>1261</v>
      </c>
      <c r="B89" s="8">
        <v>512065202</v>
      </c>
    </row>
    <row r="90" spans="1:2">
      <c r="A90" t="s">
        <v>1262</v>
      </c>
      <c r="B90">
        <v>520042540</v>
      </c>
    </row>
    <row r="91" spans="1:2">
      <c r="A91" t="s">
        <v>1263</v>
      </c>
      <c r="B91" s="8">
        <v>520027715</v>
      </c>
    </row>
    <row r="92" spans="1:2">
      <c r="A92" t="s">
        <v>1264</v>
      </c>
      <c r="B92" s="8">
        <v>512245812</v>
      </c>
    </row>
    <row r="93" spans="1:2">
      <c r="A93" t="s">
        <v>1265</v>
      </c>
      <c r="B93" s="8">
        <v>520022351</v>
      </c>
    </row>
    <row r="94" spans="1:2">
      <c r="A94" t="s">
        <v>1266</v>
      </c>
      <c r="B94" s="8">
        <v>514767490</v>
      </c>
    </row>
    <row r="95" spans="1:2">
      <c r="A95" t="s">
        <v>1267</v>
      </c>
      <c r="B95" s="8">
        <v>520024985</v>
      </c>
    </row>
    <row r="96" spans="1:2">
      <c r="A96" t="s">
        <v>1268</v>
      </c>
      <c r="B96" s="8">
        <v>520042573</v>
      </c>
    </row>
    <row r="97" spans="1:2">
      <c r="A97" t="s">
        <v>1269</v>
      </c>
      <c r="B97" s="8">
        <v>570009449</v>
      </c>
    </row>
    <row r="98" spans="1:2">
      <c r="A98" t="s">
        <v>1270</v>
      </c>
      <c r="B98" s="8">
        <v>520031659</v>
      </c>
    </row>
    <row r="99" spans="1:2">
      <c r="A99" t="s">
        <v>1271</v>
      </c>
      <c r="B99" s="8">
        <v>520042581</v>
      </c>
    </row>
    <row r="100" spans="1:2">
      <c r="A100" t="s">
        <v>1272</v>
      </c>
      <c r="B100">
        <v>520031030</v>
      </c>
    </row>
    <row r="101" spans="1:2">
      <c r="A101" t="s">
        <v>1273</v>
      </c>
      <c r="B101" s="8">
        <v>520030941</v>
      </c>
    </row>
    <row r="102" spans="1:2">
      <c r="A102" t="s">
        <v>1274</v>
      </c>
      <c r="B102" s="8">
        <v>512008335</v>
      </c>
    </row>
    <row r="103" spans="1:2">
      <c r="A103" t="s">
        <v>1275</v>
      </c>
      <c r="B103" s="8">
        <v>520022963</v>
      </c>
    </row>
    <row r="104" spans="1:2">
      <c r="A104" t="s">
        <v>1276</v>
      </c>
      <c r="B104" s="8">
        <v>570011767</v>
      </c>
    </row>
    <row r="105" spans="1:2">
      <c r="A105" t="s">
        <v>1277</v>
      </c>
      <c r="B105" s="8">
        <v>570014928</v>
      </c>
    </row>
    <row r="106" spans="1:2">
      <c r="A106" t="s">
        <v>1278</v>
      </c>
      <c r="B106" s="8">
        <v>570005959</v>
      </c>
    </row>
    <row r="107" spans="1:2">
      <c r="A107" t="s">
        <v>1279</v>
      </c>
      <c r="B107" s="8">
        <v>510800402</v>
      </c>
    </row>
    <row r="108" spans="1:2">
      <c r="A108" t="s">
        <v>1280</v>
      </c>
      <c r="B108" s="8">
        <v>570007476</v>
      </c>
    </row>
    <row r="109" spans="1:2">
      <c r="A109" t="s">
        <v>1281</v>
      </c>
      <c r="B109" s="8">
        <v>570005850</v>
      </c>
    </row>
    <row r="110" spans="1:2">
      <c r="A110" t="s">
        <v>1282</v>
      </c>
      <c r="B110" s="8">
        <v>520020504</v>
      </c>
    </row>
    <row r="111" spans="1:2">
      <c r="A111" t="s">
        <v>1283</v>
      </c>
      <c r="B111" s="8">
        <v>520020447</v>
      </c>
    </row>
    <row r="112" spans="1:2">
      <c r="A112" t="s">
        <v>1284</v>
      </c>
      <c r="B112" s="8">
        <v>511033060</v>
      </c>
    </row>
    <row r="113" spans="1:2">
      <c r="A113" t="s">
        <v>1285</v>
      </c>
      <c r="B113">
        <v>520027848</v>
      </c>
    </row>
    <row r="114" spans="1:2">
      <c r="A114" t="s">
        <v>1286</v>
      </c>
      <c r="B114" s="8">
        <v>570009852</v>
      </c>
    </row>
    <row r="115" spans="1:2">
      <c r="A115" t="s">
        <v>1287</v>
      </c>
      <c r="B115" s="8">
        <v>520027251</v>
      </c>
    </row>
    <row r="116" spans="1:2">
      <c r="A116" t="s">
        <v>1288</v>
      </c>
      <c r="B116" s="8">
        <v>520028390</v>
      </c>
    </row>
    <row r="117" spans="1:2">
      <c r="A117" t="s">
        <v>1289</v>
      </c>
      <c r="B117" s="8">
        <v>510806870</v>
      </c>
    </row>
    <row r="118" spans="1:2">
      <c r="A118" t="s">
        <v>1290</v>
      </c>
      <c r="B118">
        <v>513879189</v>
      </c>
    </row>
    <row r="119" spans="1:2">
      <c r="A119" t="s">
        <v>1291</v>
      </c>
      <c r="B119">
        <v>510015951</v>
      </c>
    </row>
    <row r="120" spans="1:2">
      <c r="A120" t="s">
        <v>1292</v>
      </c>
      <c r="B120" s="8">
        <v>520030693</v>
      </c>
    </row>
    <row r="121" spans="1:2">
      <c r="A121" t="s">
        <v>1293</v>
      </c>
      <c r="B121" s="8">
        <v>570002618</v>
      </c>
    </row>
  </sheetData>
  <sortState xmlns:xlrd2="http://schemas.microsoft.com/office/spreadsheetml/2017/richdata2" ref="A34:B124">
    <sortCondition ref="A34:A124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Mashraki Osnat</cp:lastModifiedBy>
  <cp:lastPrinted>2022-08-08T09:16:18Z</cp:lastPrinted>
  <dcterms:created xsi:type="dcterms:W3CDTF">2021-05-03T04:41:48Z</dcterms:created>
  <dcterms:modified xsi:type="dcterms:W3CDTF">2025-09-17T12:22:44Z</dcterms:modified>
</cp:coreProperties>
</file>