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58F25D1-9EBD-413D-A30A-3D6E036234E2}" xr6:coauthVersionLast="47" xr6:coauthVersionMax="47" xr10:uidLastSave="{00000000-0000-0000-0000-000000000000}"/>
  <bookViews>
    <workbookView xWindow="2715" yWindow="1965" windowWidth="21600" windowHeight="11385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בחירה'!$A$1:$E$1040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השקעה'!$A$1:$AC$1048572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8" calcMode="manual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9" l="1"/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<sst xmlns="http://schemas.openxmlformats.org/spreadsheetml/2006/main" count="10569" uniqueCount="2502">
  <si>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</si>
  <si>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</si>
  <si>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</si>
  <si>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</si>
  <si>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</si>
  <si>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</si>
  <si>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</si>
  <si>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</si>
  <si>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</si>
  <si>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</si>
  <si>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</si>
  <si>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</si>
  <si>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</si>
  <si>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</si>
  <si>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</si>
  <si>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</si>
  <si>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</si>
  <si>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</si>
  <si>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</si>
  <si>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</si>
  <si>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</si>
  <si>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</si>
  <si>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</si>
  <si>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</si>
  <si>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</si>
  <si>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</si>
  <si>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</si>
  <si>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</si>
  <si>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</si>
  <si>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</si>
  <si>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</si>
  <si>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</si>
  <si>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</si>
  <si>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</si>
  <si>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</si>
  <si>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</si>
  <si>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</si>
  <si>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</si>
  <si>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</si>
  <si>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</si>
  <si>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</si>
  <si>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</si>
  <si>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</si>
  <si>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</si>
  <si>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</si>
  <si>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</si>
  <si>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</si>
  <si>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</si>
  <si>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</si>
  <si>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</si>
  <si>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</si>
  <si>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</si>
  <si>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</si>
  <si>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</si>
  <si>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</si>
  <si>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</si>
  <si>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</si>
  <si>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</si>
  <si>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</si>
  <si>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</si>
  <si>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</si>
  <si>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</si>
  <si>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</si>
  <si>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</si>
  <si>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</si>
  <si>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</si>
  <si>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</si>
  <si>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</si>
  <si>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</si>
  <si>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</si>
  <si>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</si>
  <si>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</si>
  <si>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</si>
  <si>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</si>
  <si>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</si>
  <si>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</si>
  <si>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</si>
  <si>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</si>
  <si>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</si>
  <si>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</si>
  <si>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</si>
  <si>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</si>
  <si>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</si>
  <si>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</si>
  <si>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</si>
  <si>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</si>
  <si>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</si>
  <si>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</si>
  <si>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</si>
  <si>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</si>
  <si>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</si>
  <si>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</si>
  <si>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</si>
  <si>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</si>
  <si>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</si>
  <si>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</si>
  <si>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</si>
  <si>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</si>
  <si>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</si>
  <si>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</si>
  <si>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</si>
  <si>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</si>
  <si>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</si>
  <si>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</si>
  <si>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</si>
  <si>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</si>
  <si>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</si>
  <si>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</si>
  <si>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</si>
  <si>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</si>
  <si>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</si>
  <si>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</si>
  <si>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</si>
  <si>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</si>
  <si>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</si>
  <si>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</si>
  <si>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</si>
  <si>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</si>
  <si>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</si>
  <si>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</si>
  <si>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</si>
  <si>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</si>
  <si>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</si>
  <si>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</si>
  <si>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</si>
  <si>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</si>
  <si>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</si>
  <si>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</si>
  <si>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</si>
  <si>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</si>
  <si>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</si>
  <si>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</si>
  <si>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</si>
  <si>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</si>
  <si>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</si>
  <si>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</si>
  <si>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</si>
  <si>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</si>
  <si>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</si>
  <si>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</si>
  <si>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</si>
  <si>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</si>
  <si>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</si>
  <si>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</si>
  <si>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</si>
  <si>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</si>
  <si>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</si>
  <si>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</si>
  <si>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</si>
  <si>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</si>
  <si>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</si>
  <si>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</si>
  <si>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</si>
  <si>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</si>
  <si>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</si>
  <si>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</si>
  <si>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</si>
  <si>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</si>
  <si>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</si>
  <si>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</si>
  <si>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</si>
  <si>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</si>
  <si>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</si>
  <si>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</si>
  <si>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</si>
  <si>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</si>
  <si>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</si>
  <si>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</si>
  <si>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</si>
  <si>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</si>
  <si>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</si>
  <si>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</si>
  <si>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</si>
  <si>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</si>
  <si>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</si>
  <si>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</si>
  <si>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</si>
  <si>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</si>
  <si>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</si>
  <si>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</si>
  <si>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</si>
  <si>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</si>
  <si>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</si>
  <si>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</si>
  <si>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</si>
  <si>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</si>
  <si>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</si>
  <si>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</si>
  <si>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</si>
  <si>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</si>
  <si>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</si>
  <si>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</si>
  <si>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</si>
  <si>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</si>
  <si>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</si>
  <si>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</si>
  <si>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</si>
  <si>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</si>
  <si>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</si>
  <si>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</si>
  <si>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</si>
  <si>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</si>
  <si>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</si>
  <si>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</si>
  <si>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</si>
  <si>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</si>
  <si>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</si>
  <si>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</si>
  <si>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</si>
  <si>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</si>
  <si>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</si>
  <si>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</si>
  <si>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</si>
  <si>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</si>
  <si>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</si>
  <si>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</si>
  <si>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</si>
  <si>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</si>
  <si>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</si>
  <si>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</si>
  <si>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</si>
  <si>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</si>
  <si>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</si>
  <si>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</si>
  <si>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</si>
  <si>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</si>
  <si>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</si>
  <si>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</si>
  <si>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</si>
  <si>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</si>
  <si>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</si>
  <si>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</si>
  <si>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</si>
  <si>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</si>
  <si>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</si>
  <si>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</si>
  <si>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</si>
  <si>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</si>
  <si>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</si>
  <si>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</si>
  <si>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</si>
  <si>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</si>
  <si>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</si>
  <si>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</si>
  <si>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</si>
  <si>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</si>
  <si>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</si>
  <si>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</si>
  <si>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</si>
  <si>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</si>
  <si>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</si>
  <si>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</si>
  <si>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</si>
  <si>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</si>
  <si>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</si>
  <si>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</si>
  <si>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</si>
  <si>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</si>
  <si>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</si>
  <si>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</si>
  <si>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</si>
  <si>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</si>
  <si>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</si>
  <si>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</si>
  <si>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</si>
  <si>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</si>
  <si>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</si>
  <si>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</si>
  <si>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</si>
  <si>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</si>
  <si>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</si>
  <si>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</si>
  <si>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</si>
  <si>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</si>
  <si>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</si>
  <si>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</si>
  <si>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</si>
  <si>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</si>
  <si>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</si>
  <si>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</si>
  <si>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</si>
  <si>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</si>
  <si>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</si>
  <si>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</si>
  <si>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</si>
  <si>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</si>
  <si>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</si>
  <si>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</si>
  <si>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</si>
  <si>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</si>
  <si>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</si>
  <si>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</si>
  <si>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</si>
  <si>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</si>
  <si>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</si>
  <si>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</si>
  <si>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</si>
  <si>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</si>
  <si>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</si>
  <si>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</si>
  <si>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</si>
  <si>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</si>
  <si>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</si>
  <si>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</si>
  <si>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</si>
  <si>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</si>
  <si>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</si>
  <si>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</si>
  <si>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</si>
  <si>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</si>
  <si>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</si>
  <si>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</si>
  <si>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</si>
  <si>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</si>
  <si>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</si>
  <si>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</si>
  <si>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</si>
  <si>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</si>
  <si>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</si>
  <si>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</si>
  <si>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</si>
  <si>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</si>
  <si>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</si>
  <si>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</si>
  <si>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</si>
  <si>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</si>
  <si>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</si>
  <si>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</si>
  <si>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</si>
  <si>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</si>
  <si>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</si>
  <si>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</si>
  <si>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</si>
  <si>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</si>
  <si>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</si>
  <si>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</si>
  <si>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</si>
  <si>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</si>
  <si>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</si>
  <si>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</si>
  <si>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</si>
  <si>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</si>
  <si>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</si>
  <si>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</si>
  <si>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</si>
  <si>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</si>
  <si>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</si>
  <si>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</si>
  <si>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</si>
  <si>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</si>
  <si>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</si>
  <si>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</si>
  <si>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</si>
  <si>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</si>
  <si>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</si>
  <si>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</si>
  <si>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</si>
  <si>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</si>
  <si>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</si>
  <si>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</si>
  <si>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</si>
  <si>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</si>
  <si>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</si>
  <si>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</si>
  <si>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</si>
  <si>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</si>
  <si>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</si>
  <si>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</si>
  <si>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</si>
  <si>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</si>
  <si>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</si>
  <si>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</si>
  <si>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</si>
  <si>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</si>
  <si>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</si>
  <si>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</si>
  <si>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</si>
  <si>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</si>
  <si>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</si>
  <si>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</si>
  <si>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</si>
  <si>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</si>
  <si>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</si>
  <si>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</si>
  <si>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</si>
  <si>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</si>
  <si>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</si>
  <si>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</si>
  <si>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</si>
  <si>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</si>
  <si>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</si>
  <si>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</si>
  <si>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</si>
  <si>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</si>
  <si>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</si>
  <si>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</si>
  <si>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</si>
  <si>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</si>
  <si>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</si>
  <si>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</si>
  <si>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</si>
  <si>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</si>
  <si>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</si>
  <si>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</si>
  <si>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</si>
  <si>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</si>
  <si>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</si>
  <si>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</si>
  <si>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</si>
  <si>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</si>
  <si>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</si>
  <si>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</si>
  <si>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</si>
  <si>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</si>
  <si>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</si>
  <si>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</si>
  <si>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</si>
  <si>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</si>
  <si>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</si>
  <si>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</si>
  <si>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</si>
  <si>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</si>
  <si>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</si>
  <si>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</si>
  <si>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</si>
  <si>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</si>
  <si>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</si>
  <si>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</si>
  <si>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</si>
  <si>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</si>
  <si>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</si>
  <si>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</si>
  <si>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</si>
  <si>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</si>
  <si>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</si>
  <si>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</si>
  <si>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</si>
  <si>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</si>
  <si>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</si>
  <si>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</si>
  <si>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</si>
  <si>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</si>
  <si>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</si>
  <si>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</si>
  <si>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</si>
  <si>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</si>
  <si>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</si>
  <si>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</si>
  <si>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</si>
  <si>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</si>
  <si>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</si>
  <si>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</si>
  <si>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</si>
  <si>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</si>
  <si>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</si>
  <si>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</si>
  <si>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</si>
  <si>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</si>
  <si>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</si>
  <si>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</si>
  <si>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</si>
  <si>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</si>
  <si>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</si>
  <si>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</si>
  <si>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</si>
  <si>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</si>
  <si>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</si>
  <si>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</si>
  <si>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</si>
  <si>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</si>
  <si>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</si>
  <si>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</si>
  <si>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</si>
  <si>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</si>
  <si>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</si>
  <si>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</si>
  <si>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</si>
  <si>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</si>
  <si>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</si>
  <si>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</si>
  <si>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</si>
  <si>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</si>
  <si>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</si>
  <si>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</si>
  <si>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</si>
  <si>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</si>
  <si>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</si>
  <si>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</si>
  <si>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</si>
  <si>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</si>
  <si>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</si>
  <si>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</si>
  <si>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</si>
  <si>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</si>
  <si>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</si>
  <si>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</si>
  <si>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</si>
  <si>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</si>
  <si>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</si>
  <si>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</si>
  <si>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</si>
  <si>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</si>
  <si>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</si>
  <si>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</si>
  <si>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</si>
  <si>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</si>
  <si>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</si>
  <si>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</si>
  <si>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</si>
  <si>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</si>
  <si>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</si>
  <si>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</si>
  <si>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</si>
  <si>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</si>
  <si>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</si>
  <si>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</si>
  <si>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</si>
  <si>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</si>
  <si>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</si>
  <si>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</si>
  <si>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</si>
  <si>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</si>
  <si>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</si>
  <si>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</si>
  <si>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</si>
  <si>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</si>
  <si>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</si>
  <si>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</si>
  <si>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</si>
  <si>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</si>
  <si>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</si>
  <si>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</si>
  <si>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</si>
  <si>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</si>
  <si>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</si>
  <si>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</si>
  <si>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</si>
  <si>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</si>
  <si>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</si>
  <si>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</si>
  <si>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</si>
  <si>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</si>
  <si>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</si>
  <si>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</si>
  <si>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</si>
  <si>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</si>
  <si>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</si>
  <si>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</si>
  <si>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</si>
  <si>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</si>
  <si>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</si>
  <si>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</si>
  <si>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</si>
  <si>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</si>
  <si>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</si>
  <si>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</si>
  <si>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</si>
  <si>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</si>
  <si>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</si>
  <si>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</si>
  <si>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</si>
  <si>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</si>
  <si>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</si>
  <si>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</si>
  <si>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</si>
  <si>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</si>
  <si>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</si>
  <si>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</si>
  <si>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</si>
  <si>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</si>
  <si>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</si>
  <si>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</si>
  <si>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</si>
  <si>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</si>
  <si>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</si>
  <si>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</si>
  <si>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</si>
  <si>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</si>
  <si>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</si>
  <si>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</si>
  <si>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</si>
  <si>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</si>
  <si>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</si>
  <si>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</si>
  <si>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</si>
  <si>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</si>
  <si>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</si>
  <si>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</si>
  <si>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</si>
  <si>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</si>
  <si>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</si>
  <si>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</si>
  <si>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</si>
  <si>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</si>
  <si>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</si>
  <si>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</si>
  <si>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</si>
  <si>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</si>
  <si>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</si>
  <si>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</si>
  <si>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</si>
  <si>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</si>
  <si>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</si>
  <si>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</si>
  <si>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</si>
  <si>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</si>
  <si>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</si>
  <si>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</si>
  <si>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</si>
  <si>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</si>
  <si>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</si>
  <si>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</si>
  <si>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</si>
  <si>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</si>
  <si>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</si>
  <si>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</si>
  <si>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</si>
  <si>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</si>
  <si>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</si>
  <si>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</si>
  <si>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</si>
  <si>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</si>
  <si>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</si>
  <si>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</si>
  <si>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</si>
  <si>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</si>
  <si>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</si>
  <si>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</si>
  <si>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</si>
  <si>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</si>
  <si>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</si>
  <si>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</si>
  <si>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</si>
  <si>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</si>
  <si>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</si>
  <si>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</si>
  <si>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</si>
  <si>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</si>
  <si>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</si>
  <si>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</si>
  <si>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</si>
  <si>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</si>
  <si>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</si>
  <si>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</si>
  <si>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</si>
  <si>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</si>
  <si>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</si>
  <si>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</si>
  <si>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</si>
  <si>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</si>
  <si>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</si>
  <si>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</si>
  <si>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</si>
  <si>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</si>
  <si>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</si>
  <si>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</si>
  <si>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</si>
  <si>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</si>
  <si>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</si>
  <si>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</si>
  <si>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</si>
  <si>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</si>
  <si>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</si>
  <si>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</si>
  <si>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</si>
  <si>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</si>
  <si>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</si>
  <si>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</si>
  <si>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</si>
  <si>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</si>
  <si>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</si>
  <si>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</si>
  <si>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</si>
  <si>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</si>
  <si>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</si>
  <si>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</si>
  <si>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</si>
  <si>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</si>
  <si>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</si>
  <si>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</si>
  <si>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</si>
  <si>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</si>
  <si>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</si>
  <si>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</si>
  <si>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</si>
  <si>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</si>
  <si>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</si>
  <si>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</si>
  <si>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</si>
  <si>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</si>
  <si>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</si>
  <si>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</si>
  <si>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</si>
  <si>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</si>
  <si>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</si>
  <si>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</si>
  <si>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</si>
  <si>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</si>
  <si>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</si>
  <si>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</si>
  <si>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</si>
  <si>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</si>
  <si>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</si>
  <si>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</si>
  <si>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</si>
  <si>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</si>
  <si>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</si>
  <si>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</si>
  <si>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</si>
  <si>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</si>
  <si>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</si>
  <si>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</si>
  <si>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</si>
  <si>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</si>
  <si>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</si>
  <si>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</si>
  <si>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</si>
  <si>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</si>
  <si>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</si>
  <si>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</si>
  <si>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</si>
  <si>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</si>
  <si>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</si>
  <si>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</si>
  <si>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</si>
  <si>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</si>
  <si>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</si>
  <si>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</si>
  <si>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</si>
  <si>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</si>
  <si>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</si>
  <si>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</si>
  <si>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</si>
  <si>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</si>
  <si>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</si>
  <si>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</si>
  <si>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</si>
  <si>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</si>
  <si>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</si>
  <si>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</si>
  <si>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</si>
  <si>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</si>
  <si>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</si>
  <si>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</si>
  <si>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</si>
  <si>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</si>
  <si>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</si>
  <si>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</si>
  <si>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</si>
  <si>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</si>
  <si>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</si>
  <si>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</si>
  <si>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</si>
  <si>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</si>
  <si>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</si>
  <si>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</si>
  <si>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</si>
  <si>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</si>
  <si>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</si>
  <si>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</si>
  <si>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</si>
  <si>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</si>
  <si>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</si>
  <si>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</si>
  <si>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</si>
  <si>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</si>
  <si>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</si>
  <si>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</si>
  <si>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</si>
  <si>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</si>
  <si>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</si>
  <si>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</si>
  <si>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</si>
  <si>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</si>
  <si>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</si>
  <si>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</si>
  <si>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</si>
  <si>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</si>
  <si>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</si>
  <si>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</si>
  <si>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</si>
  <si>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</si>
  <si>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</si>
  <si>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</si>
  <si>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</si>
  <si>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</si>
  <si>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</si>
  <si>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</si>
  <si>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</si>
  <si>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</si>
  <si>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</si>
  <si>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</si>
  <si>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</si>
  <si>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</si>
  <si>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</si>
  <si>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</si>
  <si>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</si>
  <si>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</si>
  <si>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</si>
  <si>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</si>
  <si>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</si>
  <si>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</si>
  <si>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</si>
  <si>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</si>
  <si>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</si>
  <si>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</si>
  <si>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</si>
  <si>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</si>
  <si>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</si>
  <si>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</si>
  <si>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</si>
  <si>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</si>
  <si>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</si>
  <si>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</si>
  <si>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</si>
  <si>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</si>
  <si>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</si>
  <si>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</si>
  <si>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</si>
  <si>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</si>
  <si>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</si>
  <si>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</si>
  <si>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</si>
  <si>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</si>
  <si>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</si>
  <si>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</si>
  <si>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</si>
  <si>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</si>
  <si>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</si>
  <si>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</si>
  <si>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</si>
  <si>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</si>
  <si>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</si>
  <si>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</si>
  <si>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</si>
  <si>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</si>
  <si>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</si>
  <si>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</si>
  <si>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</si>
  <si>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</si>
  <si>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</si>
  <si>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</si>
  <si>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</si>
  <si>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</si>
  <si>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</si>
  <si>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</si>
  <si>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</si>
  <si>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</si>
  <si>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</si>
  <si>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</si>
  <si>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</si>
  <si>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</si>
  <si>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</si>
  <si>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</si>
  <si>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</si>
  <si>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</si>
  <si>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</si>
  <si>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</si>
  <si>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</si>
  <si>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</si>
  <si>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</si>
  <si>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</si>
  <si>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</si>
  <si>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</si>
  <si>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</si>
  <si>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</si>
  <si>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</si>
  <si>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</si>
  <si>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</si>
  <si>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</si>
  <si>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</si>
  <si>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</si>
  <si>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</si>
  <si>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</si>
  <si>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</si>
  <si>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</si>
  <si>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</si>
  <si>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</si>
  <si>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</si>
  <si>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</si>
  <si>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</si>
  <si>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</si>
  <si>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</si>
  <si>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</si>
  <si>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</si>
  <si>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</si>
  <si>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</si>
  <si>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</si>
  <si>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</si>
  <si>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</si>
  <si>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</si>
  <si>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</si>
  <si>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</si>
  <si>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</si>
  <si>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</si>
  <si>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</si>
  <si>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</si>
  <si>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</si>
  <si>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</si>
  <si>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</si>
  <si>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</si>
  <si>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</si>
  <si>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</si>
  <si>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</si>
  <si>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</si>
  <si>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</si>
  <si>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</si>
  <si>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</si>
  <si>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</si>
  <si>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</si>
  <si>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</si>
  <si>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</si>
  <si>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</si>
  <si>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</si>
  <si>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</si>
  <si>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</si>
  <si>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</si>
  <si>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</si>
  <si>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</si>
  <si>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</si>
  <si>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</si>
  <si>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</si>
  <si>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</si>
  <si>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</si>
  <si>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</si>
  <si>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</si>
  <si>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</si>
  <si>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</si>
  <si>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</si>
  <si>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</si>
  <si>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</si>
  <si>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</si>
  <si>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</si>
  <si>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</si>
  <si>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</si>
  <si>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</si>
  <si>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</si>
  <si>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</si>
  <si>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</si>
  <si>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</si>
  <si>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</si>
  <si>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</si>
  <si>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</si>
  <si>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</si>
  <si>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</si>
  <si>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</si>
  <si>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</si>
  <si>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</si>
  <si>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</si>
  <si>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</si>
  <si>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</si>
  <si>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</si>
  <si>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</si>
  <si>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</si>
  <si>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</si>
  <si>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</si>
  <si>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</si>
  <si>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</si>
  <si>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</si>
  <si>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</si>
  <si>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</si>
  <si>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</si>
  <si>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</si>
  <si>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</si>
  <si>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</si>
  <si>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</si>
  <si>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</si>
  <si>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</si>
  <si>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</si>
  <si>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</si>
  <si>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</si>
  <si>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</si>
  <si>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</si>
  <si>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</si>
  <si>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</si>
  <si>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</si>
  <si>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</si>
  <si>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</si>
  <si>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</si>
  <si>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</si>
  <si>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</si>
  <si>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</si>
  <si>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</si>
  <si>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</si>
  <si>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</si>
  <si>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</si>
  <si>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</si>
  <si>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</si>
  <si>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</si>
  <si>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</si>
  <si>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</si>
  <si>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</si>
  <si>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</si>
  <si>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</si>
  <si>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</si>
  <si>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</si>
  <si>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</si>
  <si>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</si>
  <si>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</si>
  <si>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</si>
  <si>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</si>
  <si>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</si>
  <si>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</si>
  <si>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</si>
  <si>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</si>
  <si>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</si>
  <si>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</si>
  <si>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</si>
  <si>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</si>
  <si>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</si>
  <si>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</si>
  <si>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</si>
  <si>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</si>
  <si>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</si>
  <si>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</si>
  <si>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</si>
  <si>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</si>
  <si>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</si>
  <si>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</si>
  <si>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</si>
  <si>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</si>
  <si>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</si>
  <si>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</si>
  <si>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</si>
  <si>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</si>
  <si>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</si>
  <si>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</si>
  <si>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</si>
  <si>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</si>
  <si>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</si>
  <si>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</si>
  <si>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</si>
  <si>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</si>
  <si>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</si>
  <si>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</si>
  <si>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</si>
  <si>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</si>
  <si>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</si>
  <si>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</si>
  <si>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</si>
  <si>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</si>
  <si>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</si>
  <si>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</si>
  <si>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</si>
  <si>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</si>
  <si>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</si>
  <si>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</si>
  <si>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</si>
  <si>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</si>
  <si>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</si>
  <si>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</si>
  <si>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</si>
  <si>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</si>
  <si>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</si>
  <si>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</si>
  <si>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</si>
  <si>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</si>
  <si>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</si>
  <si>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</si>
  <si>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</si>
  <si>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</si>
  <si>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</si>
  <si>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</si>
  <si>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</si>
  <si>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</si>
  <si>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</si>
  <si>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</si>
  <si>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</si>
  <si>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</si>
  <si>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</si>
  <si>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</si>
  <si>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</si>
  <si>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</si>
  <si>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</si>
  <si>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</si>
  <si>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</si>
  <si>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</si>
  <si>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</si>
  <si>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</si>
  <si>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</si>
  <si>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</si>
  <si>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</si>
  <si>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</si>
  <si>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</si>
  <si>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</si>
  <si>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</si>
  <si>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</si>
  <si>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</si>
  <si>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</si>
  <si>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</si>
  <si>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</si>
  <si>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</si>
  <si>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</si>
  <si>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</si>
  <si>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</si>
  <si>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</si>
  <si>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</si>
  <si>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</si>
  <si>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</si>
  <si>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</si>
  <si>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</si>
  <si>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</si>
  <si>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</si>
  <si>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</si>
  <si>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</si>
  <si>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</si>
  <si>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</si>
  <si>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</si>
  <si>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</si>
  <si>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</si>
  <si>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</si>
  <si>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</si>
  <si>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</si>
  <si>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</si>
  <si>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</si>
  <si>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</si>
  <si>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</si>
  <si>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</si>
  <si>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</si>
  <si>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</si>
  <si>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</si>
  <si>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</si>
  <si>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</si>
  <si>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</si>
  <si>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</si>
  <si>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</si>
  <si>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</si>
  <si>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</si>
  <si>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</si>
  <si>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</si>
  <si>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</si>
  <si>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</si>
  <si>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</si>
  <si>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</si>
  <si>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</si>
  <si>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</si>
  <si>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</si>
  <si>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</si>
  <si>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</si>
  <si>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</si>
  <si>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</si>
  <si>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</si>
  <si>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</si>
  <si>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</si>
  <si>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</si>
  <si>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</si>
  <si>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</si>
  <si>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</si>
  <si>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</si>
  <si>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</si>
  <si>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</si>
  <si>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</si>
  <si>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</si>
  <si>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</si>
  <si>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</si>
  <si>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</si>
  <si>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</si>
  <si>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</si>
  <si>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</si>
  <si>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</si>
  <si>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</si>
  <si>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</si>
  <si>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</si>
  <si>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</si>
  <si>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</si>
  <si>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</si>
  <si>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</si>
  <si>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</si>
  <si>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</si>
  <si>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</si>
  <si>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</si>
  <si>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</si>
  <si>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</si>
  <si>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</si>
  <si>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</si>
  <si>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</si>
  <si>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</si>
  <si>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</si>
  <si>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</si>
  <si>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</si>
  <si>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</si>
  <si>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</si>
  <si>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</si>
  <si>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</si>
  <si>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</si>
  <si>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</si>
  <si>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</si>
  <si>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</si>
  <si>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</si>
  <si>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</si>
  <si>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</si>
  <si>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</si>
  <si>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</si>
  <si>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</si>
  <si>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</si>
  <si>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</si>
  <si>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</si>
  <si>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</si>
  <si>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</si>
  <si>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</si>
  <si>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</si>
  <si>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</si>
  <si>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</si>
  <si>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</si>
  <si>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267</t>
  </si>
  <si>
    <t>בנק מזרחי</t>
  </si>
  <si>
    <t>20-515</t>
  </si>
  <si>
    <t>ilAAA</t>
  </si>
  <si>
    <t>ILS</t>
  </si>
  <si>
    <t>USD</t>
  </si>
  <si>
    <t>EUR</t>
  </si>
  <si>
    <t>GBP</t>
  </si>
  <si>
    <t>CAD</t>
  </si>
  <si>
    <t>מדינת ישראל</t>
  </si>
  <si>
    <t>ממשל צמודה 1151</t>
  </si>
  <si>
    <t>1168301</t>
  </si>
  <si>
    <t>ilRF</t>
  </si>
  <si>
    <t>30/11/2051</t>
  </si>
  <si>
    <t>ממשלתי  צמוד 545</t>
  </si>
  <si>
    <t>1134865</t>
  </si>
  <si>
    <t>31/05/2045</t>
  </si>
  <si>
    <t>ממשל צמוד 0841</t>
  </si>
  <si>
    <t>1120583</t>
  </si>
  <si>
    <t>30/08/2041</t>
  </si>
  <si>
    <t>ממשל צמוד 0536</t>
  </si>
  <si>
    <t>1097708</t>
  </si>
  <si>
    <t>31/05/2036</t>
  </si>
  <si>
    <t>ממשל צמודה 1033</t>
  </si>
  <si>
    <t>1204379</t>
  </si>
  <si>
    <t>31/10/2033</t>
  </si>
  <si>
    <t>us46514brm18</t>
  </si>
  <si>
    <t>33189119</t>
  </si>
  <si>
    <t>A1</t>
  </si>
  <si>
    <t>12/03/2054</t>
  </si>
  <si>
    <t>ממשל צמודה 1131</t>
  </si>
  <si>
    <t>1172220</t>
  </si>
  <si>
    <t>30/11/2031</t>
  </si>
  <si>
    <t>חברת החשמל לישראל בע"מ</t>
  </si>
  <si>
    <t>600</t>
  </si>
  <si>
    <t>חשמל אגח 35</t>
  </si>
  <si>
    <t>1196799</t>
  </si>
  <si>
    <t>Aa1.il</t>
  </si>
  <si>
    <t>12/06/2037</t>
  </si>
  <si>
    <t>מקורות חברת מים בע"מ</t>
  </si>
  <si>
    <t>1150</t>
  </si>
  <si>
    <t>מקורות  אגח 11</t>
  </si>
  <si>
    <t>1158476</t>
  </si>
  <si>
    <t>31/12/2053</t>
  </si>
  <si>
    <t>קבוצת עזריאלי בע"מ</t>
  </si>
  <si>
    <t>1420</t>
  </si>
  <si>
    <t>עזריאלי אגח ט</t>
  </si>
  <si>
    <t>1209253</t>
  </si>
  <si>
    <t>02/01/2046</t>
  </si>
  <si>
    <t>תשתיות אנרגיה בע"מ</t>
  </si>
  <si>
    <t>1809</t>
  </si>
  <si>
    <t>תשתיות אנרגיה אג"ח ב'</t>
  </si>
  <si>
    <t>1211515</t>
  </si>
  <si>
    <t>01/01/2051</t>
  </si>
  <si>
    <t>חשמל אגח 33</t>
  </si>
  <si>
    <t>6000392</t>
  </si>
  <si>
    <t>30/05/2036</t>
  </si>
  <si>
    <t>איירפורט סיטי בע"מ</t>
  </si>
  <si>
    <t>1300</t>
  </si>
  <si>
    <t>ארפורט אגח יב</t>
  </si>
  <si>
    <t>1211564</t>
  </si>
  <si>
    <t>ilAA</t>
  </si>
  <si>
    <t>30/04/2037</t>
  </si>
  <si>
    <t>דיסקונט מנפיקים בע"מ</t>
  </si>
  <si>
    <t>748</t>
  </si>
  <si>
    <t>דיסקונט אגח טז</t>
  </si>
  <si>
    <t>1203157</t>
  </si>
  <si>
    <t>20/03/2035</t>
  </si>
  <si>
    <t>בנק לאומי לישראל בע"מ</t>
  </si>
  <si>
    <t>604</t>
  </si>
  <si>
    <t>לאומי אגח 186</t>
  </si>
  <si>
    <t>1201839</t>
  </si>
  <si>
    <t>30/11/2033</t>
  </si>
  <si>
    <t>מזרחי טפחות חברה להנפקות בע"מ</t>
  </si>
  <si>
    <t>231</t>
  </si>
  <si>
    <t>מזרחי הנ אגח 70</t>
  </si>
  <si>
    <t>1213883</t>
  </si>
  <si>
    <t>28/11/2036</t>
  </si>
  <si>
    <t>עזריאלי אגח ח</t>
  </si>
  <si>
    <t>1178680</t>
  </si>
  <si>
    <t>ilAA+</t>
  </si>
  <si>
    <t>02/01/2041</t>
  </si>
  <si>
    <t>דיסקונט אגח טו</t>
  </si>
  <si>
    <t>7480304</t>
  </si>
  <si>
    <t>15/08/2032</t>
  </si>
  <si>
    <t>בנק הפועלים בע"מ</t>
  </si>
  <si>
    <t>662</t>
  </si>
  <si>
    <t>פועלים אגח 201</t>
  </si>
  <si>
    <t>1191345</t>
  </si>
  <si>
    <t>29/11/2032</t>
  </si>
  <si>
    <t>מזרחי טפחות הנפקות 62</t>
  </si>
  <si>
    <t>2310498</t>
  </si>
  <si>
    <t>22/10/2028</t>
  </si>
  <si>
    <t>עזריאלי  אגח ז</t>
  </si>
  <si>
    <t>1178672</t>
  </si>
  <si>
    <t>02/07/2036</t>
  </si>
  <si>
    <t>אמות השקעות בע"מ</t>
  </si>
  <si>
    <t>1328</t>
  </si>
  <si>
    <t>אמות אגח ז</t>
  </si>
  <si>
    <t>1162866</t>
  </si>
  <si>
    <t>05/01/2032</t>
  </si>
  <si>
    <t>אמות  אגח ו</t>
  </si>
  <si>
    <t>1158609</t>
  </si>
  <si>
    <t>03/10/2029</t>
  </si>
  <si>
    <t>חשמל אגח 34</t>
  </si>
  <si>
    <t>1196781</t>
  </si>
  <si>
    <t>12/06/2033</t>
  </si>
  <si>
    <t>אדמה פתרונות לחקלאות בע"מ</t>
  </si>
  <si>
    <t>1063</t>
  </si>
  <si>
    <t>אדמה אג"ח ב</t>
  </si>
  <si>
    <t>1110915</t>
  </si>
  <si>
    <t>ilAA-</t>
  </si>
  <si>
    <t>30/11/2036</t>
  </si>
  <si>
    <t>בזק החברה הישראלית לתקשורת בע"מ</t>
  </si>
  <si>
    <t>230</t>
  </si>
  <si>
    <t>בזק אגח 14</t>
  </si>
  <si>
    <t>2300317</t>
  </si>
  <si>
    <t>01/06/2035</t>
  </si>
  <si>
    <t>שיכון ובינוי בע"מ</t>
  </si>
  <si>
    <t>1068</t>
  </si>
  <si>
    <t>שיכון ובינוי אגח 8</t>
  </si>
  <si>
    <t>1135888</t>
  </si>
  <si>
    <t>ilA</t>
  </si>
  <si>
    <t>01/05/2029</t>
  </si>
  <si>
    <t>ביג מרכזי קניות בע"מ</t>
  </si>
  <si>
    <t>1327</t>
  </si>
  <si>
    <t>ביג אגח כא</t>
  </si>
  <si>
    <t>1202217</t>
  </si>
  <si>
    <t>03/07/2030</t>
  </si>
  <si>
    <t>מבנה נדלן כ.ד. (מבני תעשיה) בע"מ</t>
  </si>
  <si>
    <t>226</t>
  </si>
  <si>
    <t>מבנה אגח כה</t>
  </si>
  <si>
    <t>2260636</t>
  </si>
  <si>
    <t>30/09/2033</t>
  </si>
  <si>
    <t>לאומי 183</t>
  </si>
  <si>
    <t>6040547</t>
  </si>
  <si>
    <t>25/11/2029</t>
  </si>
  <si>
    <t>אפי (אפריקה ישראל) נכסים בע"מ</t>
  </si>
  <si>
    <t>1172</t>
  </si>
  <si>
    <t>אפי נכסיםסדרה יג</t>
  </si>
  <si>
    <t>1178292</t>
  </si>
  <si>
    <t>A2.il</t>
  </si>
  <si>
    <t>01/07/2029</t>
  </si>
  <si>
    <t>מזרחי הנפק52</t>
  </si>
  <si>
    <t>2310381</t>
  </si>
  <si>
    <t>01/07/2030</t>
  </si>
  <si>
    <t>חברה נמלי ישראל פתוח ונכסים בע"מ</t>
  </si>
  <si>
    <t>1739</t>
  </si>
  <si>
    <t>נמלי ישראל  אגח ד</t>
  </si>
  <si>
    <t>1175033</t>
  </si>
  <si>
    <t>31/12/2045</t>
  </si>
  <si>
    <t>מימון ישיר מקבוצת ישיר 2006 בע"מ</t>
  </si>
  <si>
    <t>1675</t>
  </si>
  <si>
    <t>מימון ישיר אגחה</t>
  </si>
  <si>
    <t>1182831</t>
  </si>
  <si>
    <t>A1.il</t>
  </si>
  <si>
    <t>31/07/2031</t>
  </si>
  <si>
    <t>מבנה (מבני תעשיה) אגח 20</t>
  </si>
  <si>
    <t>2260495</t>
  </si>
  <si>
    <t>Aa2.il</t>
  </si>
  <si>
    <t>31/12/2029</t>
  </si>
  <si>
    <t>שיכון ובינוי אגח  10</t>
  </si>
  <si>
    <t>1175132</t>
  </si>
  <si>
    <t>30/04/2030</t>
  </si>
  <si>
    <t>אלוני חץ נכסים והשקעות בע"מ</t>
  </si>
  <si>
    <t>390</t>
  </si>
  <si>
    <t>אלוני חץ  יב</t>
  </si>
  <si>
    <t>3900495</t>
  </si>
  <si>
    <t>28/02/2031</t>
  </si>
  <si>
    <t>שטראוס גרופ בע"מ</t>
  </si>
  <si>
    <t>746</t>
  </si>
  <si>
    <t>שטראוס אגח ו</t>
  </si>
  <si>
    <t>7460421</t>
  </si>
  <si>
    <t>30/06/2037</t>
  </si>
  <si>
    <t>מליסרון בע"מ</t>
  </si>
  <si>
    <t>323</t>
  </si>
  <si>
    <t>מליסרון אגח כ</t>
  </si>
  <si>
    <t>3230422</t>
  </si>
  <si>
    <t>מליסרון אגח יז</t>
  </si>
  <si>
    <t>3230273</t>
  </si>
  <si>
    <t>01/01/2032</t>
  </si>
  <si>
    <t>חברת גב ים  קרקעות בע"מ</t>
  </si>
  <si>
    <t>759</t>
  </si>
  <si>
    <t>גב ים     ח</t>
  </si>
  <si>
    <t>7590151</t>
  </si>
  <si>
    <t>30/06/2034</t>
  </si>
  <si>
    <t>כללביט מימון בע"מ</t>
  </si>
  <si>
    <t>1324</t>
  </si>
  <si>
    <t>כללביט    יא ש</t>
  </si>
  <si>
    <t>1160647</t>
  </si>
  <si>
    <t>Aa3.il</t>
  </si>
  <si>
    <t>31/03/2030</t>
  </si>
  <si>
    <t>קיסטו ריט בע"מ</t>
  </si>
  <si>
    <t>1904</t>
  </si>
  <si>
    <t>קיסטון ריט אגח א</t>
  </si>
  <si>
    <t>1182187</t>
  </si>
  <si>
    <t>ilA+</t>
  </si>
  <si>
    <t>31/12/2031</t>
  </si>
  <si>
    <t>עזריאלי   ו</t>
  </si>
  <si>
    <t>1156611</t>
  </si>
  <si>
    <t>31/12/2032</t>
  </si>
  <si>
    <t>גב ים     ט</t>
  </si>
  <si>
    <t>7590219</t>
  </si>
  <si>
    <t>30/06/2033</t>
  </si>
  <si>
    <t>כללביט   אגח יב</t>
  </si>
  <si>
    <t>1179928</t>
  </si>
  <si>
    <t>31/03/2032</t>
  </si>
  <si>
    <t>בזק  12</t>
  </si>
  <si>
    <t>2300242</t>
  </si>
  <si>
    <t>02/06/2030</t>
  </si>
  <si>
    <t>פועלים  אגח 200</t>
  </si>
  <si>
    <t>6620496</t>
  </si>
  <si>
    <t>09/12/2031</t>
  </si>
  <si>
    <t>שיכון ובינוי אנרגיה בע"מ</t>
  </si>
  <si>
    <t>1930</t>
  </si>
  <si>
    <t>שוב אנרגיה אגחא</t>
  </si>
  <si>
    <t>1198571</t>
  </si>
  <si>
    <t>A3.il</t>
  </si>
  <si>
    <t>הראל ביטוח מימון והנפקות בע"מ</t>
  </si>
  <si>
    <t>1367</t>
  </si>
  <si>
    <t>הראל הנפק אגח ג</t>
  </si>
  <si>
    <t>1207984</t>
  </si>
  <si>
    <t>01/01/2034</t>
  </si>
  <si>
    <t>אמות      אגח ח</t>
  </si>
  <si>
    <t>1172782</t>
  </si>
  <si>
    <t>ביג  אגח יח</t>
  </si>
  <si>
    <t>1174226</t>
  </si>
  <si>
    <t>30/03/2031</t>
  </si>
  <si>
    <t>או פי סי אנרגיה בע"מ</t>
  </si>
  <si>
    <t>1682</t>
  </si>
  <si>
    <t>או פי סי אגח ג</t>
  </si>
  <si>
    <t>1180355</t>
  </si>
  <si>
    <t>ilA-</t>
  </si>
  <si>
    <t>01/09/2030</t>
  </si>
  <si>
    <t>איי.סי.אל. גרופ (כיל) בע"מ</t>
  </si>
  <si>
    <t>281</t>
  </si>
  <si>
    <t>איי.סי.אל. (כיל) אגח ז</t>
  </si>
  <si>
    <t>2810372</t>
  </si>
  <si>
    <t>31/12/2034</t>
  </si>
  <si>
    <t>חברה לנכסים ולבנין בע"מ</t>
  </si>
  <si>
    <t>699</t>
  </si>
  <si>
    <t>נכסים אגח יא</t>
  </si>
  <si>
    <t>1205566</t>
  </si>
  <si>
    <t>24/12/2027</t>
  </si>
  <si>
    <t>מגדל ביטוח גיוס הון בע"מ</t>
  </si>
  <si>
    <t>1597</t>
  </si>
  <si>
    <t>מגדל הון  אגח ח</t>
  </si>
  <si>
    <t>1182955</t>
  </si>
  <si>
    <t>אלביט מערכות בע"מ</t>
  </si>
  <si>
    <t>1040</t>
  </si>
  <si>
    <t>0.000%</t>
  </si>
  <si>
    <t>פז חברת הנפט בע"מ</t>
  </si>
  <si>
    <t>1363</t>
  </si>
  <si>
    <t>01/12/2030</t>
  </si>
  <si>
    <t>קבוצת דלק בע"מ</t>
  </si>
  <si>
    <t>פועלים</t>
  </si>
  <si>
    <t>662577</t>
  </si>
  <si>
    <t>לאומי</t>
  </si>
  <si>
    <t>604611</t>
  </si>
  <si>
    <t>בנק מזרחי טפחות בע"מ</t>
  </si>
  <si>
    <t>695</t>
  </si>
  <si>
    <t>מזרחי טפחות</t>
  </si>
  <si>
    <t>695437</t>
  </si>
  <si>
    <t>אלומה קרן תשתיות (2020)בע"מ</t>
  </si>
  <si>
    <t>1978</t>
  </si>
  <si>
    <t>אלומה תשתיות</t>
  </si>
  <si>
    <t>1181643</t>
  </si>
  <si>
    <t>נייס בע"מ</t>
  </si>
  <si>
    <t>273</t>
  </si>
  <si>
    <t>נייס</t>
  </si>
  <si>
    <t>273011</t>
  </si>
  <si>
    <t>בנק דיסקונט לישראל בע"מ</t>
  </si>
  <si>
    <t>691</t>
  </si>
  <si>
    <t>דיסקונט</t>
  </si>
  <si>
    <t>691212</t>
  </si>
  <si>
    <t>טבע תעשיות פרמצבטיות בע"מ</t>
  </si>
  <si>
    <t>629</t>
  </si>
  <si>
    <t>טבע</t>
  </si>
  <si>
    <t>629014</t>
  </si>
  <si>
    <t>טאואר סמיקונדקטור בע"מ</t>
  </si>
  <si>
    <t>2028</t>
  </si>
  <si>
    <t>טאואר</t>
  </si>
  <si>
    <t>1082379</t>
  </si>
  <si>
    <t>נובה מכשירי מדידה בע"מ</t>
  </si>
  <si>
    <t>2177</t>
  </si>
  <si>
    <t>נובה</t>
  </si>
  <si>
    <t>1084557</t>
  </si>
  <si>
    <t>איי.סי.אל. (כיל)</t>
  </si>
  <si>
    <t>281014</t>
  </si>
  <si>
    <t>ביג</t>
  </si>
  <si>
    <t>1097260</t>
  </si>
  <si>
    <t>הראל השקעות בביטוח ושירותים פיננסיים בע"מ</t>
  </si>
  <si>
    <t>585</t>
  </si>
  <si>
    <t>הראל השקעות</t>
  </si>
  <si>
    <t>585018</t>
  </si>
  <si>
    <t>כלל אחזקות עסקי ביטוח בע"מ</t>
  </si>
  <si>
    <t>224</t>
  </si>
  <si>
    <t>כלל עסקי ביטוח</t>
  </si>
  <si>
    <t>224014</t>
  </si>
  <si>
    <t>אלביט מערכות</t>
  </si>
  <si>
    <t>1081124</t>
  </si>
  <si>
    <t>1095</t>
  </si>
  <si>
    <t>דלק קבוצה</t>
  </si>
  <si>
    <t>1084128</t>
  </si>
  <si>
    <t>בזק</t>
  </si>
  <si>
    <t>230011</t>
  </si>
  <si>
    <t>רבוע כחול נדל"ן בע"מ</t>
  </si>
  <si>
    <t>1349</t>
  </si>
  <si>
    <t>רבוע נדלן</t>
  </si>
  <si>
    <t>1098565</t>
  </si>
  <si>
    <t>קמטק בע"מ</t>
  </si>
  <si>
    <t>2174</t>
  </si>
  <si>
    <t>קמטק</t>
  </si>
  <si>
    <t>1095264</t>
  </si>
  <si>
    <t>שטראוס</t>
  </si>
  <si>
    <t>746016</t>
  </si>
  <si>
    <t>הבנק הבינלאומי הראשון לישראל בע"מ</t>
  </si>
  <si>
    <t>593</t>
  </si>
  <si>
    <t>בינלאומי</t>
  </si>
  <si>
    <t>593038</t>
  </si>
  <si>
    <t>סלקום ישראל בע"מ</t>
  </si>
  <si>
    <t>2066</t>
  </si>
  <si>
    <t>סלקום</t>
  </si>
  <si>
    <t>1101534</t>
  </si>
  <si>
    <t>עזריאלי קבוצה</t>
  </si>
  <si>
    <t>1119478</t>
  </si>
  <si>
    <t>סאמיט אחזקות נדל"ן בע"מ</t>
  </si>
  <si>
    <t>1060</t>
  </si>
  <si>
    <t>סאמיט</t>
  </si>
  <si>
    <t>1081686</t>
  </si>
  <si>
    <t>דלתא-גליל תעשיות בע"מ</t>
  </si>
  <si>
    <t>627</t>
  </si>
  <si>
    <t>דלתא</t>
  </si>
  <si>
    <t>627034</t>
  </si>
  <si>
    <t>רמי לוי שיווק השקמה 2006 בע"מ</t>
  </si>
  <si>
    <t>1445</t>
  </si>
  <si>
    <t>רמי לוי</t>
  </si>
  <si>
    <t>1104249</t>
  </si>
  <si>
    <t>מניבים קרן הריט החדשה בע"מ</t>
  </si>
  <si>
    <t>1679</t>
  </si>
  <si>
    <t>מניבים ריט</t>
  </si>
  <si>
    <t>1140573</t>
  </si>
  <si>
    <t>פז  נפט</t>
  </si>
  <si>
    <t>1100007</t>
  </si>
  <si>
    <t>ריט 1 בע"מ</t>
  </si>
  <si>
    <t>1357</t>
  </si>
  <si>
    <t>ריט 1</t>
  </si>
  <si>
    <t>1098920</t>
  </si>
  <si>
    <t>אנלייט אנרגיה מתחדשת בע"מ</t>
  </si>
  <si>
    <t>720</t>
  </si>
  <si>
    <t>אנלייט אנרגיה</t>
  </si>
  <si>
    <t>720011</t>
  </si>
  <si>
    <t>מטריקס אי.טי. בע"מ</t>
  </si>
  <si>
    <t>445</t>
  </si>
  <si>
    <t>מטריקס</t>
  </si>
  <si>
    <t>445015</t>
  </si>
  <si>
    <t>NVIDIA CORP</t>
  </si>
  <si>
    <t>90057</t>
  </si>
  <si>
    <t>NVDA US -NVIDIA CORP</t>
  </si>
  <si>
    <t>US67066G1040</t>
  </si>
  <si>
    <t>ALPHABET INC-CL A</t>
  </si>
  <si>
    <t>90054</t>
  </si>
  <si>
    <t>GOOGL US -ALPHABET INC-CL A</t>
  </si>
  <si>
    <t>US02079K3059</t>
  </si>
  <si>
    <t>AMAZON.COM INC</t>
  </si>
  <si>
    <t>90055</t>
  </si>
  <si>
    <t>AMZN US -AMAZON.COM INC</t>
  </si>
  <si>
    <t>US0231351067</t>
  </si>
  <si>
    <t>APPLE INC</t>
  </si>
  <si>
    <t>90112</t>
  </si>
  <si>
    <t>AAPL US -APPLE INC</t>
  </si>
  <si>
    <t>US0378331005</t>
  </si>
  <si>
    <t>FACEBOOK INC</t>
  </si>
  <si>
    <t>90042</t>
  </si>
  <si>
    <t>META US -META PLATFORMS INC-CLASS A</t>
  </si>
  <si>
    <t>US30303M1027</t>
  </si>
  <si>
    <t>MICROSOFT</t>
  </si>
  <si>
    <t>90052</t>
  </si>
  <si>
    <t>MSFT US -MICROSOFT CORP</t>
  </si>
  <si>
    <t>US5949181045</t>
  </si>
  <si>
    <t>VISA   Inc</t>
  </si>
  <si>
    <t>90049</t>
  </si>
  <si>
    <t>V US -VISA INC-CLASS A SHARES</t>
  </si>
  <si>
    <t>US92826C8394</t>
  </si>
  <si>
    <t>Berkshire Hathaway Inc</t>
  </si>
  <si>
    <t>90220</t>
  </si>
  <si>
    <t>BRK/B US -BERKSHIRE HATHAWAY INC-CL B</t>
  </si>
  <si>
    <t>US0846707026</t>
  </si>
  <si>
    <t>IBI Lion SA Sociedad Unip</t>
  </si>
  <si>
    <t>90225</t>
  </si>
  <si>
    <t>YIBI SM -IBI LION SOCIMI</t>
  </si>
  <si>
    <t>ES0105633004</t>
  </si>
  <si>
    <t>TESLA INC</t>
  </si>
  <si>
    <t>90215</t>
  </si>
  <si>
    <t>TSLA US -TESLA INC</t>
  </si>
  <si>
    <t>US88160R1014</t>
  </si>
  <si>
    <t>ROYAL DUTCH SHELL PLC</t>
  </si>
  <si>
    <t>90130</t>
  </si>
  <si>
    <t>SHEL LN -SHELL PLC</t>
  </si>
  <si>
    <t>GB00BP6MXD84</t>
  </si>
  <si>
    <t>Walmartn  Inc</t>
  </si>
  <si>
    <t>90088</t>
  </si>
  <si>
    <t>WMT US -WALMART INC</t>
  </si>
  <si>
    <t>US9311421039</t>
  </si>
  <si>
    <t>ADOBE INC</t>
  </si>
  <si>
    <t>90056</t>
  </si>
  <si>
    <t>ADBE US -ADOBE INC</t>
  </si>
  <si>
    <t>US00724F1012</t>
  </si>
  <si>
    <t>Palo Alto Networks Inc</t>
  </si>
  <si>
    <t>90230</t>
  </si>
  <si>
    <t>PANW US -PALO ALTO NETWORKS INC</t>
  </si>
  <si>
    <t>US6974351057</t>
  </si>
  <si>
    <t>Costco Wholesale Corp</t>
  </si>
  <si>
    <t>90125</t>
  </si>
  <si>
    <t>COST US Costco Wholesale Corp</t>
  </si>
  <si>
    <t>US22160K1051</t>
  </si>
  <si>
    <t>MCKESSON CORP</t>
  </si>
  <si>
    <t>90119</t>
  </si>
  <si>
    <t>MCK US -MCKESSON CORP</t>
  </si>
  <si>
    <t>US58155Q1031</t>
  </si>
  <si>
    <t>iShares - BlackRock Inc</t>
  </si>
  <si>
    <t>90127</t>
  </si>
  <si>
    <t>GE US -GENERAL ELECTRIC CO</t>
  </si>
  <si>
    <t>US3696043013</t>
  </si>
  <si>
    <t>Taiwan Semiconductor manufacturing company</t>
  </si>
  <si>
    <t>90227</t>
  </si>
  <si>
    <t>TSM US -TAIWAN SEMICONDUCTOR-SP ADR</t>
  </si>
  <si>
    <t>US8740391003</t>
  </si>
  <si>
    <t>Mastercard Inc</t>
  </si>
  <si>
    <t>90191</t>
  </si>
  <si>
    <t>MA US Mastercard Inc</t>
  </si>
  <si>
    <t>US57636Q1040</t>
  </si>
  <si>
    <t>exxon mobil corp</t>
  </si>
  <si>
    <t>90246</t>
  </si>
  <si>
    <t>XOM US -EXXON MOBIL CORP</t>
  </si>
  <si>
    <t>US30231G1022</t>
  </si>
  <si>
    <t>Linde PLC</t>
  </si>
  <si>
    <t>94194</t>
  </si>
  <si>
    <t>LIN US Linde PLC</t>
  </si>
  <si>
    <t>IE000S9YS762</t>
  </si>
  <si>
    <t>UBER TECHNOLOGIES,INC</t>
  </si>
  <si>
    <t>90221</t>
  </si>
  <si>
    <t>UBER US -UBER TECHNOLOGIES INC</t>
  </si>
  <si>
    <t>US90353T1007</t>
  </si>
  <si>
    <t>DELTA AIR LINES INC</t>
  </si>
  <si>
    <t>90097</t>
  </si>
  <si>
    <t>DAL US -DELTA AIR LINES INC</t>
  </si>
  <si>
    <t>US2473617023</t>
  </si>
  <si>
    <t>JPMorgan Chase &amp; Co</t>
  </si>
  <si>
    <t>90126</t>
  </si>
  <si>
    <t>JPM US JPMorgan Chase &amp; Co</t>
  </si>
  <si>
    <t>US46625H1005</t>
  </si>
  <si>
    <t>FREEFORT-MCMORAN INC</t>
  </si>
  <si>
    <t>90100</t>
  </si>
  <si>
    <t>FCX US -FREEPORT-MCMORAN INC</t>
  </si>
  <si>
    <t>US35671D8570</t>
  </si>
  <si>
    <t>walt disney co/the</t>
  </si>
  <si>
    <t>90069</t>
  </si>
  <si>
    <t>DIS US -WALT DISNEY CO/THE</t>
  </si>
  <si>
    <t>US2546871060</t>
  </si>
  <si>
    <t>wells fargo &amp; co</t>
  </si>
  <si>
    <t>90228</t>
  </si>
  <si>
    <t>WFC US -WELLS FARGO &amp; CO</t>
  </si>
  <si>
    <t>US9497461015</t>
  </si>
  <si>
    <t>Oracle Corp</t>
  </si>
  <si>
    <t>94195</t>
  </si>
  <si>
    <t>ORACLE CORP</t>
  </si>
  <si>
    <t>us68389x1054</t>
  </si>
  <si>
    <t>ASML Holding NV</t>
  </si>
  <si>
    <t>90235</t>
  </si>
  <si>
    <t>ASML US -ASML HOLDING NV-NY REG SHS</t>
  </si>
  <si>
    <t>USN070592100</t>
  </si>
  <si>
    <t>Broadcom Inc</t>
  </si>
  <si>
    <t>90078</t>
  </si>
  <si>
    <t>AVGO US Broadcom</t>
  </si>
  <si>
    <t>us11135f1012</t>
  </si>
  <si>
    <t>Applied Materials Inc</t>
  </si>
  <si>
    <t>94200</t>
  </si>
  <si>
    <t>APPLIED MATERIA</t>
  </si>
  <si>
    <t>US0382221051</t>
  </si>
  <si>
    <t>NIKE INC</t>
  </si>
  <si>
    <t>90082</t>
  </si>
  <si>
    <t>NKE US -NIKE INC -CL B</t>
  </si>
  <si>
    <t>US6541061031</t>
  </si>
  <si>
    <t>פסגות קרנות נאמנות בע"מ</t>
  </si>
  <si>
    <t>1750</t>
  </si>
  <si>
    <t>PTF ת"א 90</t>
  </si>
  <si>
    <t>5130919</t>
  </si>
  <si>
    <t>הראל קרנות נאמנות בע"מ</t>
  </si>
  <si>
    <t>1747</t>
  </si>
  <si>
    <t>הראל מחקה תא 90</t>
  </si>
  <si>
    <t>5130638</t>
  </si>
  <si>
    <t>מגדל קרנות נאמנות בע"מ</t>
  </si>
  <si>
    <t>1735</t>
  </si>
  <si>
    <t>מגדל סל MTF S&amp;P500</t>
  </si>
  <si>
    <t>1150333</t>
  </si>
  <si>
    <t>MTF סל RUSSELL 2000</t>
  </si>
  <si>
    <t>1150242</t>
  </si>
  <si>
    <t>אי.בי.אי. קונסיומר קרדיט שמ</t>
  </si>
  <si>
    <t>90013</t>
  </si>
  <si>
    <t>אי בי אי מחקה אינדקס בנקים ישראל</t>
  </si>
  <si>
    <t>5134168</t>
  </si>
  <si>
    <t>10040</t>
  </si>
  <si>
    <t>MTF ת"א-90</t>
  </si>
  <si>
    <t>5130620</t>
  </si>
  <si>
    <t>מיטב תכלית קרנות נאמנות בע"מ</t>
  </si>
  <si>
    <t>1734</t>
  </si>
  <si>
    <t>תכלית סל תא נפט וגז</t>
  </si>
  <si>
    <t>1144807</t>
  </si>
  <si>
    <t>State Street Bank and Trust Company</t>
  </si>
  <si>
    <t>90002</t>
  </si>
  <si>
    <t>XLF US -FINANCIAL SELECT SECTOR SPDR</t>
  </si>
  <si>
    <t>US81369Y6059</t>
  </si>
  <si>
    <t>invesco LTD</t>
  </si>
  <si>
    <t>90195</t>
  </si>
  <si>
    <t>XLKS LN -Invesco Technology S&amp;P US Sele</t>
  </si>
  <si>
    <t>IE00B3VSSL01</t>
  </si>
  <si>
    <t>LYXOR INDEX FUND</t>
  </si>
  <si>
    <t>90212</t>
  </si>
  <si>
    <t>BNK FP -LYXOR EURSTX600 BANKS</t>
  </si>
  <si>
    <t>LU1834983477</t>
  </si>
  <si>
    <t>ishares- BlackRock Fund Adv</t>
  </si>
  <si>
    <t>90001</t>
  </si>
  <si>
    <t>IGV US -ISHARES EXPANDED TECH-SOFTWA</t>
  </si>
  <si>
    <t>us4642875151</t>
  </si>
  <si>
    <t>IWP US iShares Russell Mid-Cap Growth</t>
  </si>
  <si>
    <t>US4642874816</t>
  </si>
  <si>
    <t>STATE STREET BANK AND TRUST COMPANY</t>
  </si>
  <si>
    <t>90241</t>
  </si>
  <si>
    <t>XLI US -INDUSTRIAL SELECT SECT SPDR</t>
  </si>
  <si>
    <t>US81369Y7040</t>
  </si>
  <si>
    <t>XLV US -HEALTH CARE SELECT SECTOR</t>
  </si>
  <si>
    <t>US81369Y2090</t>
  </si>
  <si>
    <t>vanguard</t>
  </si>
  <si>
    <t>90231</t>
  </si>
  <si>
    <t>IVOO US -VANGUARD S&amp;P MID-CAP 400 ETF</t>
  </si>
  <si>
    <t>us9219328856</t>
  </si>
  <si>
    <t>RSPT US -INVESCO S&amp;P 500 EQUAL WEIGHT TECH ETF</t>
  </si>
  <si>
    <t>us46137v2824</t>
  </si>
  <si>
    <t>Vanguard Group</t>
  </si>
  <si>
    <t>90085</t>
  </si>
  <si>
    <t>VTWO US -VANGUARD RUSSELL 2000 ETF</t>
  </si>
  <si>
    <t>us92206c6646</t>
  </si>
  <si>
    <t>state street bank and trust company</t>
  </si>
  <si>
    <t>90198</t>
  </si>
  <si>
    <t>XLP US -CONSUMER STAPLES SELECT</t>
  </si>
  <si>
    <t>us81369Y3080</t>
  </si>
  <si>
    <t>VanEck Vectors ETF Trust</t>
  </si>
  <si>
    <t>90051</t>
  </si>
  <si>
    <t>SMH US-VANECK SEMICONDUCTOR ETF</t>
  </si>
  <si>
    <t>US92189F6768</t>
  </si>
  <si>
    <t>ISHARES-BLACKROCK</t>
  </si>
  <si>
    <t>90249</t>
  </si>
  <si>
    <t>ITA US iShares US Aerospace &amp; Defense</t>
  </si>
  <si>
    <t>US4642887602</t>
  </si>
  <si>
    <t>GLOBAL X FUND</t>
  </si>
  <si>
    <t>90251</t>
  </si>
  <si>
    <t>SHLD US Global X Defense Tech ETF</t>
  </si>
  <si>
    <t>US37960A5294</t>
  </si>
  <si>
    <t>wisdontree investments</t>
  </si>
  <si>
    <t>90217</t>
  </si>
  <si>
    <t>DXJ US -WISDOMTREE JAPAN HEDGED EQ</t>
  </si>
  <si>
    <t>us97717w8516</t>
  </si>
  <si>
    <t>XHB US -SPDR S&amp;P HOMEBUILDERS ETF</t>
  </si>
  <si>
    <t>US78464A8889</t>
  </si>
  <si>
    <t>90213</t>
  </si>
  <si>
    <t>EWJ US -ISHARES MSCI JAPAN ETF</t>
  </si>
  <si>
    <t>US46434G8226</t>
  </si>
  <si>
    <t>VYM US -VANGUARD HIGH DVD YIELD ETF</t>
  </si>
  <si>
    <t>us9219464065</t>
  </si>
  <si>
    <t>90183</t>
  </si>
  <si>
    <t>MSEU LN Equity -AMNI STOXX 50</t>
  </si>
  <si>
    <t>FR0012399806</t>
  </si>
  <si>
    <t>IHF US -ISHARES U.S. HEALTHCARE PROV</t>
  </si>
  <si>
    <t>US4642888287</t>
  </si>
  <si>
    <t>VANECK ETF</t>
  </si>
  <si>
    <t>90214</t>
  </si>
  <si>
    <t>PPH US -VANECK PHARMACEUTICAL ETF</t>
  </si>
  <si>
    <t>US92189F6925</t>
  </si>
  <si>
    <t>SPDR-State Street Corp</t>
  </si>
  <si>
    <t>94198</t>
  </si>
  <si>
    <t>XBI US SPDR S&amp;P Biotech ETF</t>
  </si>
  <si>
    <t>US78464A8707</t>
  </si>
  <si>
    <t>Fisher asset management</t>
  </si>
  <si>
    <t>90073</t>
  </si>
  <si>
    <t>FISHER INV INST GLB EQ ESG FD-U</t>
  </si>
  <si>
    <t>ie00bz4sv347</t>
  </si>
  <si>
    <t>KOTAK FUNDS</t>
  </si>
  <si>
    <t>90043</t>
  </si>
  <si>
    <t>KOTAK FUNDS-IND MIDCP-JA USD</t>
  </si>
  <si>
    <t>LU0675383409</t>
  </si>
  <si>
    <t>BEA Union investment management ltd</t>
  </si>
  <si>
    <t>90223</t>
  </si>
  <si>
    <t>BEA UNI GROW GT CHGRO-I3</t>
  </si>
  <si>
    <t>HK0000873718</t>
  </si>
  <si>
    <t>Goldman Sachs  ASSET MANAGEMENT B.V</t>
  </si>
  <si>
    <t>90025</t>
  </si>
  <si>
    <t>GOLDMAN SACHS-J</t>
  </si>
  <si>
    <t>LU1217871216</t>
  </si>
  <si>
    <t>BEA UI-GRW ASIA ST GR-I3</t>
  </si>
  <si>
    <t>HK0000873726</t>
  </si>
  <si>
    <t>ערד בקרן פנסיה</t>
  </si>
  <si>
    <t>ערד 8794</t>
  </si>
  <si>
    <t>8287948</t>
  </si>
  <si>
    <t>02/09/2012</t>
  </si>
  <si>
    <t>02/09/2027</t>
  </si>
  <si>
    <t>ערד 8877</t>
  </si>
  <si>
    <t>8288771</t>
  </si>
  <si>
    <t>01/08/2019</t>
  </si>
  <si>
    <t>01/08/2034</t>
  </si>
  <si>
    <t>ערד 8824</t>
  </si>
  <si>
    <t>8288243</t>
  </si>
  <si>
    <t>01/03/2015</t>
  </si>
  <si>
    <t>01/03/2030</t>
  </si>
  <si>
    <t>ערד  8889</t>
  </si>
  <si>
    <t>8288896</t>
  </si>
  <si>
    <t>01/09/2020</t>
  </si>
  <si>
    <t>02/09/2035</t>
  </si>
  <si>
    <t>ערד 8815</t>
  </si>
  <si>
    <t>8288151</t>
  </si>
  <si>
    <t>01/06/2014</t>
  </si>
  <si>
    <t>01/06/2029</t>
  </si>
  <si>
    <t>ערד 8853</t>
  </si>
  <si>
    <t>8288532</t>
  </si>
  <si>
    <t>02/08/2017</t>
  </si>
  <si>
    <t>02/08/2032</t>
  </si>
  <si>
    <t>ערד 8820</t>
  </si>
  <si>
    <t>8288201</t>
  </si>
  <si>
    <t>02/11/2014</t>
  </si>
  <si>
    <t>02/11/2029</t>
  </si>
  <si>
    <t>ערד 8841</t>
  </si>
  <si>
    <t>8288417</t>
  </si>
  <si>
    <t>01/08/2016</t>
  </si>
  <si>
    <t>01/08/2031</t>
  </si>
  <si>
    <t>ערד 8796</t>
  </si>
  <si>
    <t>8287963</t>
  </si>
  <si>
    <t>01/11/2012</t>
  </si>
  <si>
    <t>01/11/2027</t>
  </si>
  <si>
    <t>ערד 8817</t>
  </si>
  <si>
    <t>8288177</t>
  </si>
  <si>
    <t>01/08/2014</t>
  </si>
  <si>
    <t>01/08/2029</t>
  </si>
  <si>
    <t>ערד  8900</t>
  </si>
  <si>
    <t>8289001</t>
  </si>
  <si>
    <t>01/08/2021</t>
  </si>
  <si>
    <t>01/08/2036</t>
  </si>
  <si>
    <t>ערד 8818</t>
  </si>
  <si>
    <t>8288185</t>
  </si>
  <si>
    <t>01/09/2014</t>
  </si>
  <si>
    <t>01/09/2029</t>
  </si>
  <si>
    <t>ערד 8823</t>
  </si>
  <si>
    <t>8288235</t>
  </si>
  <si>
    <t>01/02/2015</t>
  </si>
  <si>
    <t>01/02/2030</t>
  </si>
  <si>
    <t>ערד 8865</t>
  </si>
  <si>
    <t>8288656</t>
  </si>
  <si>
    <t>01/08/2018</t>
  </si>
  <si>
    <t>01/08/2033</t>
  </si>
  <si>
    <t>ערד 8825</t>
  </si>
  <si>
    <t>8288250</t>
  </si>
  <si>
    <t>01/04/2015</t>
  </si>
  <si>
    <t>01/04/2030</t>
  </si>
  <si>
    <t>ערד 8798</t>
  </si>
  <si>
    <t>8287989</t>
  </si>
  <si>
    <t>01/01/2013</t>
  </si>
  <si>
    <t>01/01/2028</t>
  </si>
  <si>
    <t>ערד 8812</t>
  </si>
  <si>
    <t>8288128</t>
  </si>
  <si>
    <t>02/03/2014</t>
  </si>
  <si>
    <t>02/03/2029</t>
  </si>
  <si>
    <t>ערד 8797</t>
  </si>
  <si>
    <t>8287971</t>
  </si>
  <si>
    <t>02/12/2012</t>
  </si>
  <si>
    <t>02/12/2027</t>
  </si>
  <si>
    <t>ערד 8838</t>
  </si>
  <si>
    <t>8288383</t>
  </si>
  <si>
    <t>01/05/2016</t>
  </si>
  <si>
    <t>01/05/2031</t>
  </si>
  <si>
    <t>ערד 8826</t>
  </si>
  <si>
    <t>8288268</t>
  </si>
  <si>
    <t>01/05/2015</t>
  </si>
  <si>
    <t>01/05/2030</t>
  </si>
  <si>
    <t>ערד 8807</t>
  </si>
  <si>
    <t>8288078</t>
  </si>
  <si>
    <t>01/10/2013</t>
  </si>
  <si>
    <t>01/10/2028</t>
  </si>
  <si>
    <t>ערד 8808</t>
  </si>
  <si>
    <t>8288086</t>
  </si>
  <si>
    <t>01/11/2013</t>
  </si>
  <si>
    <t>01/11/2028</t>
  </si>
  <si>
    <t>ערד  8803</t>
  </si>
  <si>
    <t>8288037</t>
  </si>
  <si>
    <t>02/06/2013</t>
  </si>
  <si>
    <t>02/06/2028</t>
  </si>
  <si>
    <t>ערד 8802</t>
  </si>
  <si>
    <t>8288029</t>
  </si>
  <si>
    <t>01/05/2013</t>
  </si>
  <si>
    <t>01/05/2028</t>
  </si>
  <si>
    <t>ערד 8866</t>
  </si>
  <si>
    <t>8288664</t>
  </si>
  <si>
    <t>02/09/2018</t>
  </si>
  <si>
    <t>02/09/2033</t>
  </si>
  <si>
    <t>ערד 8805</t>
  </si>
  <si>
    <t>8288052</t>
  </si>
  <si>
    <t>01/08/2013</t>
  </si>
  <si>
    <t>01/08/2028</t>
  </si>
  <si>
    <t>ערד 8873</t>
  </si>
  <si>
    <t>8288730</t>
  </si>
  <si>
    <t>01/04/2019</t>
  </si>
  <si>
    <t>01/04/2034</t>
  </si>
  <si>
    <t>ערד 8878</t>
  </si>
  <si>
    <t>8288789</t>
  </si>
  <si>
    <t>01/09/2019</t>
  </si>
  <si>
    <t>01/09/2034</t>
  </si>
  <si>
    <t>ערד 8813</t>
  </si>
  <si>
    <t>8288136</t>
  </si>
  <si>
    <t>01/04/2014</t>
  </si>
  <si>
    <t>01/04/2029</t>
  </si>
  <si>
    <t>ערד 8809</t>
  </si>
  <si>
    <t>8288094</t>
  </si>
  <si>
    <t>01/12/2013</t>
  </si>
  <si>
    <t>01/12/2028</t>
  </si>
  <si>
    <t>ערד 8836</t>
  </si>
  <si>
    <t>8288367</t>
  </si>
  <si>
    <t>01/03/2016</t>
  </si>
  <si>
    <t>01/03/2031</t>
  </si>
  <si>
    <t>ערד 8879</t>
  </si>
  <si>
    <t>8288797</t>
  </si>
  <si>
    <t>02/10/2019</t>
  </si>
  <si>
    <t>02/10/2034</t>
  </si>
  <si>
    <t>ערד 8851</t>
  </si>
  <si>
    <t>8288516</t>
  </si>
  <si>
    <t>01/06/2017</t>
  </si>
  <si>
    <t>01/06/2032</t>
  </si>
  <si>
    <t>ערד 8874</t>
  </si>
  <si>
    <t>8288748</t>
  </si>
  <si>
    <t>01/05/2019</t>
  </si>
  <si>
    <t>01/05/2034</t>
  </si>
  <si>
    <t>ערד 8859</t>
  </si>
  <si>
    <t>8288599</t>
  </si>
  <si>
    <t>01/02/2018</t>
  </si>
  <si>
    <t>01/02/2033</t>
  </si>
  <si>
    <t>ערד 8854</t>
  </si>
  <si>
    <t>8288540</t>
  </si>
  <si>
    <t>01/09/2017</t>
  </si>
  <si>
    <t>01/09/2032</t>
  </si>
  <si>
    <t>ערד  8892</t>
  </si>
  <si>
    <t>8288920</t>
  </si>
  <si>
    <t>01/12/2020</t>
  </si>
  <si>
    <t>01/12/2035</t>
  </si>
  <si>
    <t>ערד 8880</t>
  </si>
  <si>
    <t>8288805</t>
  </si>
  <si>
    <t>01/11/2019</t>
  </si>
  <si>
    <t>01/11/2034</t>
  </si>
  <si>
    <t>ערד 8903</t>
  </si>
  <si>
    <t>8289035</t>
  </si>
  <si>
    <t>01/11/2021</t>
  </si>
  <si>
    <t>01/11/2036</t>
  </si>
  <si>
    <t>ערד 8849</t>
  </si>
  <si>
    <t>8288490</t>
  </si>
  <si>
    <t>02/04/2017</t>
  </si>
  <si>
    <t>02/04/2032</t>
  </si>
  <si>
    <t>ערד  8795</t>
  </si>
  <si>
    <t>8287955</t>
  </si>
  <si>
    <t>02/10/2012</t>
  </si>
  <si>
    <t>02/10/2027</t>
  </si>
  <si>
    <t>ערד 8840</t>
  </si>
  <si>
    <t>8288409</t>
  </si>
  <si>
    <t>01/07/2016</t>
  </si>
  <si>
    <t>01/07/2031</t>
  </si>
  <si>
    <t>ערד 8837</t>
  </si>
  <si>
    <t>8288375</t>
  </si>
  <si>
    <t>01/04/2016</t>
  </si>
  <si>
    <t>01/04/2031</t>
  </si>
  <si>
    <t>ערד 8872</t>
  </si>
  <si>
    <t>8288722</t>
  </si>
  <si>
    <t>01/03/2019</t>
  </si>
  <si>
    <t>01/03/2034</t>
  </si>
  <si>
    <t>ערד 8839</t>
  </si>
  <si>
    <t>8288391</t>
  </si>
  <si>
    <t>01/06/2016</t>
  </si>
  <si>
    <t>01/06/2031</t>
  </si>
  <si>
    <t>ערד 8801</t>
  </si>
  <si>
    <t>8288011</t>
  </si>
  <si>
    <t>02/04/2013</t>
  </si>
  <si>
    <t>02/04/2028</t>
  </si>
  <si>
    <t>ערד 8814</t>
  </si>
  <si>
    <t>8288144</t>
  </si>
  <si>
    <t>01/05/2014</t>
  </si>
  <si>
    <t>ערד 8819</t>
  </si>
  <si>
    <t>8288193</t>
  </si>
  <si>
    <t>01/10/2014</t>
  </si>
  <si>
    <t>01/10/2029</t>
  </si>
  <si>
    <t>ערד 8858</t>
  </si>
  <si>
    <t>8288581</t>
  </si>
  <si>
    <t>01/01/2018</t>
  </si>
  <si>
    <t>01/01/2033</t>
  </si>
  <si>
    <t>ערד 8850</t>
  </si>
  <si>
    <t>8288508</t>
  </si>
  <si>
    <t>01/05/2017</t>
  </si>
  <si>
    <t>01/05/2032</t>
  </si>
  <si>
    <t>ערד  8896</t>
  </si>
  <si>
    <t>8288961</t>
  </si>
  <si>
    <t>01/04/2021</t>
  </si>
  <si>
    <t>01/04/2036</t>
  </si>
  <si>
    <t>ערד  8893</t>
  </si>
  <si>
    <t>8288938</t>
  </si>
  <si>
    <t>01/01/2021</t>
  </si>
  <si>
    <t>01/01/2036</t>
  </si>
  <si>
    <t>ערד 8882</t>
  </si>
  <si>
    <t>8288821</t>
  </si>
  <si>
    <t>01/01/2020</t>
  </si>
  <si>
    <t>01/01/2035</t>
  </si>
  <si>
    <t>ערד 8894</t>
  </si>
  <si>
    <t>8288946</t>
  </si>
  <si>
    <t>01/02/2021</t>
  </si>
  <si>
    <t>01/02/2036</t>
  </si>
  <si>
    <t>ערד 8810</t>
  </si>
  <si>
    <t>8288102</t>
  </si>
  <si>
    <t>01/01/2014</t>
  </si>
  <si>
    <t>01/01/2029</t>
  </si>
  <si>
    <t>ערד 8856</t>
  </si>
  <si>
    <t>8288565</t>
  </si>
  <si>
    <t>01/11/2017</t>
  </si>
  <si>
    <t>01/11/2032</t>
  </si>
  <si>
    <t>ערד 8835</t>
  </si>
  <si>
    <t>8288359</t>
  </si>
  <si>
    <t>01/02/2016</t>
  </si>
  <si>
    <t>01/02/2031</t>
  </si>
  <si>
    <t>ערד 8816</t>
  </si>
  <si>
    <t>8288169</t>
  </si>
  <si>
    <t>01/07/2014</t>
  </si>
  <si>
    <t>ערד 8832</t>
  </si>
  <si>
    <t>8288326</t>
  </si>
  <si>
    <t>01/11/2015</t>
  </si>
  <si>
    <t>01/11/2030</t>
  </si>
  <si>
    <t>ערד  8902</t>
  </si>
  <si>
    <t>8289027</t>
  </si>
  <si>
    <t>01/10/2021</t>
  </si>
  <si>
    <t>01/10/2036</t>
  </si>
  <si>
    <t>ערד 8863</t>
  </si>
  <si>
    <t>8288631</t>
  </si>
  <si>
    <t>01/06/2018</t>
  </si>
  <si>
    <t>01/06/2033</t>
  </si>
  <si>
    <t>ערד 8811</t>
  </si>
  <si>
    <t>8288110</t>
  </si>
  <si>
    <t>02/02/2014</t>
  </si>
  <si>
    <t>02/02/2029</t>
  </si>
  <si>
    <t>ערד 8895</t>
  </si>
  <si>
    <t>8288953</t>
  </si>
  <si>
    <t>01/03/2021</t>
  </si>
  <si>
    <t>01/03/2036</t>
  </si>
  <si>
    <t>ערד 8862</t>
  </si>
  <si>
    <t>8288623</t>
  </si>
  <si>
    <t>01/05/2018</t>
  </si>
  <si>
    <t>01/05/2033</t>
  </si>
  <si>
    <t>ערד 8897</t>
  </si>
  <si>
    <t>8288979</t>
  </si>
  <si>
    <t>02/05/2021</t>
  </si>
  <si>
    <t>02/05/2036</t>
  </si>
  <si>
    <t>ערד 8857</t>
  </si>
  <si>
    <t>8288573</t>
  </si>
  <si>
    <t>01/12/2017</t>
  </si>
  <si>
    <t>01/12/2032</t>
  </si>
  <si>
    <t>ערד 8876</t>
  </si>
  <si>
    <t>8288763</t>
  </si>
  <si>
    <t>01/07/2019</t>
  </si>
  <si>
    <t>01/07/2034</t>
  </si>
  <si>
    <t>ערד 8855</t>
  </si>
  <si>
    <t>8288557</t>
  </si>
  <si>
    <t>01/10/2017</t>
  </si>
  <si>
    <t>01/10/2032</t>
  </si>
  <si>
    <t>ערד 8799</t>
  </si>
  <si>
    <t>8287997</t>
  </si>
  <si>
    <t>01/02/2013</t>
  </si>
  <si>
    <t>01/02/2028</t>
  </si>
  <si>
    <t>ערד 8834</t>
  </si>
  <si>
    <t>8288342</t>
  </si>
  <si>
    <t>01/01/2016</t>
  </si>
  <si>
    <t>01/01/2031</t>
  </si>
  <si>
    <t>ערד 8821</t>
  </si>
  <si>
    <t>8288219</t>
  </si>
  <si>
    <t>01/12/2014</t>
  </si>
  <si>
    <t>01/12/2029</t>
  </si>
  <si>
    <t>ערד 8875</t>
  </si>
  <si>
    <t>8288755</t>
  </si>
  <si>
    <t>02/06/2019</t>
  </si>
  <si>
    <t>02/06/2034</t>
  </si>
  <si>
    <t>ערד 8883</t>
  </si>
  <si>
    <t>8288839</t>
  </si>
  <si>
    <t>02/02/2020</t>
  </si>
  <si>
    <t>02/02/2035</t>
  </si>
  <si>
    <t>ערד 8843</t>
  </si>
  <si>
    <t>8288433</t>
  </si>
  <si>
    <t>02/10/2016</t>
  </si>
  <si>
    <t>02/10/2031</t>
  </si>
  <si>
    <t>ערד 8898</t>
  </si>
  <si>
    <t>8288987</t>
  </si>
  <si>
    <t>01/06/2021</t>
  </si>
  <si>
    <t>01/06/2036</t>
  </si>
  <si>
    <t>ערד  8901</t>
  </si>
  <si>
    <t>8289019</t>
  </si>
  <si>
    <t>01/09/2021</t>
  </si>
  <si>
    <t>01/09/2036</t>
  </si>
  <si>
    <t>ערד 8800</t>
  </si>
  <si>
    <t>8288003</t>
  </si>
  <si>
    <t>01/03/2013</t>
  </si>
  <si>
    <t>01/03/2028</t>
  </si>
  <si>
    <t>ערד 8842</t>
  </si>
  <si>
    <t>8288425</t>
  </si>
  <si>
    <t>01/09/2016</t>
  </si>
  <si>
    <t>01/09/2031</t>
  </si>
  <si>
    <t>ערד  8891</t>
  </si>
  <si>
    <t>8288912</t>
  </si>
  <si>
    <t>01/11/2020</t>
  </si>
  <si>
    <t>01/11/2035</t>
  </si>
  <si>
    <t>ערד  8899</t>
  </si>
  <si>
    <t>8288995</t>
  </si>
  <si>
    <t>01/07/2021</t>
  </si>
  <si>
    <t>01/07/2036</t>
  </si>
  <si>
    <t>ערד 8833</t>
  </si>
  <si>
    <t>8288334</t>
  </si>
  <si>
    <t>01/12/2015</t>
  </si>
  <si>
    <t>ערד 8806</t>
  </si>
  <si>
    <t>8288060</t>
  </si>
  <si>
    <t>01/09/2013</t>
  </si>
  <si>
    <t>01/09/2028</t>
  </si>
  <si>
    <t>ערד סדרה 8905</t>
  </si>
  <si>
    <t>8289050</t>
  </si>
  <si>
    <t>02/01/2022</t>
  </si>
  <si>
    <t>01/01/2037</t>
  </si>
  <si>
    <t>ערד 8844</t>
  </si>
  <si>
    <t>8288441</t>
  </si>
  <si>
    <t>01/11/2016</t>
  </si>
  <si>
    <t>01/11/2031</t>
  </si>
  <si>
    <t>ערד 8867</t>
  </si>
  <si>
    <t>8288672</t>
  </si>
  <si>
    <t>02/10/2018</t>
  </si>
  <si>
    <t>02/10/2033</t>
  </si>
  <si>
    <t>ערד 8881</t>
  </si>
  <si>
    <t>8288813</t>
  </si>
  <si>
    <t>01/12/2019</t>
  </si>
  <si>
    <t>01/12/2034</t>
  </si>
  <si>
    <t>ערד 8846</t>
  </si>
  <si>
    <t>8288466</t>
  </si>
  <si>
    <t>01/01/2017</t>
  </si>
  <si>
    <t>מקורות סדרה 8 -9988627</t>
  </si>
  <si>
    <t>1124346</t>
  </si>
  <si>
    <t>14/07/2011</t>
  </si>
  <si>
    <t>14/07/2048</t>
  </si>
  <si>
    <t>31/12/2024</t>
  </si>
  <si>
    <t>רפאל מערכות לחימה מתקדמות בעמ</t>
  </si>
  <si>
    <t>1315</t>
  </si>
  <si>
    <t>רפאל אגח ג רמ</t>
  </si>
  <si>
    <t>1140276</t>
  </si>
  <si>
    <t>02/03/2017</t>
  </si>
  <si>
    <t>Aaa.il</t>
  </si>
  <si>
    <t>15/09/2034</t>
  </si>
  <si>
    <t>מקורות אגח 6-רמ</t>
  </si>
  <si>
    <t>1100908</t>
  </si>
  <si>
    <t>25/12/2006</t>
  </si>
  <si>
    <t>25/12/2036</t>
  </si>
  <si>
    <t>אגד חברה לתחבורה בע"מ</t>
  </si>
  <si>
    <t>2422</t>
  </si>
  <si>
    <t>אגד אגח  רמ 1</t>
  </si>
  <si>
    <t>1198787</t>
  </si>
  <si>
    <t>16/08/2023</t>
  </si>
  <si>
    <t>נתיבי הגז הטבעי לישראל בע"מ</t>
  </si>
  <si>
    <t>1418</t>
  </si>
  <si>
    <t>נתיבי גז אגח א-רמ</t>
  </si>
  <si>
    <t>1103084</t>
  </si>
  <si>
    <t>10/01/2010</t>
  </si>
  <si>
    <t>29/12/2026</t>
  </si>
  <si>
    <t>עוגן-הקרן להלוואות חברתיות בע"מ(חל"צ)</t>
  </si>
  <si>
    <t>90239</t>
  </si>
  <si>
    <t>עוגן הלוואה א'</t>
  </si>
  <si>
    <t>93100002</t>
  </si>
  <si>
    <t>15/03/2022</t>
  </si>
  <si>
    <t>15/07/2025</t>
  </si>
  <si>
    <t>עוגן הקרן להלוואות חברתיות בע"מ(חל"צ)</t>
  </si>
  <si>
    <t>2419</t>
  </si>
  <si>
    <t>עוגן סד' א שכבה בכירה</t>
  </si>
  <si>
    <t>1196831</t>
  </si>
  <si>
    <t>13/06/2023</t>
  </si>
  <si>
    <t>15/03/2026</t>
  </si>
  <si>
    <t>עוגן הלוואה ב'</t>
  </si>
  <si>
    <t>93100003</t>
  </si>
  <si>
    <t>15/01/2026</t>
  </si>
  <si>
    <t>אלומה</t>
  </si>
  <si>
    <t>90118</t>
  </si>
  <si>
    <t>אלומה חברת ניהול</t>
  </si>
  <si>
    <t>666108071</t>
  </si>
  <si>
    <t>25/12/2020</t>
  </si>
  <si>
    <t>Macquarie Infra</t>
  </si>
  <si>
    <t>PSD III - Panth</t>
  </si>
  <si>
    <t>Levine Liechtman-LLCP 6</t>
  </si>
  <si>
    <t>MIP 4- Macquarie</t>
  </si>
  <si>
    <t>LCN European Fund III LOAN</t>
  </si>
  <si>
    <t>Milestone 4- MREI4</t>
  </si>
  <si>
    <t>LCP 9 - Lexington</t>
  </si>
  <si>
    <t>Milestone 5 - MREI</t>
  </si>
  <si>
    <t>Vestar 7</t>
  </si>
  <si>
    <t>Reality 4</t>
  </si>
  <si>
    <t>Coller 8</t>
  </si>
  <si>
    <t>Monarch Capital 5</t>
  </si>
  <si>
    <t>Hamilton Lane Secondary Feeder Fund V</t>
  </si>
  <si>
    <t>Cogito Capital 2</t>
  </si>
  <si>
    <t>Marathon Real Estate</t>
  </si>
  <si>
    <t>Arbel</t>
  </si>
  <si>
    <t>First Time Ventures 3</t>
  </si>
  <si>
    <t>Forma</t>
  </si>
  <si>
    <t>Reality 3</t>
  </si>
  <si>
    <t>Patria VII</t>
  </si>
  <si>
    <t>Ametrine</t>
  </si>
  <si>
    <t>Moneta Capital</t>
  </si>
  <si>
    <t>LCN Europe IV</t>
  </si>
  <si>
    <t>Viola Growth 3</t>
  </si>
  <si>
    <t>CCF-IBI</t>
  </si>
  <si>
    <t>Moneta Seeds 2</t>
  </si>
  <si>
    <t>Viola Credit 5</t>
  </si>
  <si>
    <t>Hamilton Lane Strategic Opportunities Fund VIII, L</t>
  </si>
  <si>
    <t>Helios 3</t>
  </si>
  <si>
    <t>Timora 1</t>
  </si>
  <si>
    <t>Lool Ventures 3</t>
  </si>
  <si>
    <t>Lexington X</t>
  </si>
  <si>
    <t>ת.ש.י דרך 431</t>
  </si>
  <si>
    <t>ISF 3 - Israel secondary fund</t>
  </si>
  <si>
    <t>Fortissimo Capital VI</t>
  </si>
  <si>
    <t>Gatewood Capital Opportunity 2</t>
  </si>
  <si>
    <t>Clayton, Dubilier &amp; Rice Fund XII</t>
  </si>
  <si>
    <t>Klirmark IV</t>
  </si>
  <si>
    <t>Cogito Capital - ממשלתית</t>
  </si>
  <si>
    <t>Stage One 4</t>
  </si>
  <si>
    <t>Shaked Partners 2</t>
  </si>
  <si>
    <t>550246771</t>
  </si>
  <si>
    <t>FIMI 5</t>
  </si>
  <si>
    <t>Hamilton Lane opportunities 2017</t>
  </si>
  <si>
    <t>Viola Credit 5 Annex</t>
  </si>
  <si>
    <t>Leader Top Capital</t>
  </si>
  <si>
    <t>Cogito Capital - משלימה</t>
  </si>
  <si>
    <t>Pontifax - Debt</t>
  </si>
  <si>
    <t>Global Infrastructure Partners V</t>
  </si>
  <si>
    <t>Stage One 4 Annex</t>
  </si>
  <si>
    <t>Reality 5</t>
  </si>
  <si>
    <t>550234843</t>
  </si>
  <si>
    <t>Origo 2</t>
  </si>
  <si>
    <t>550241343</t>
  </si>
  <si>
    <t>Noy</t>
  </si>
  <si>
    <t>Starlight Canada 2019</t>
  </si>
  <si>
    <t>Gilboa Hedge FOF</t>
  </si>
  <si>
    <t>Electra Real Estate 3 - EMIF</t>
  </si>
  <si>
    <t>Alto 3</t>
  </si>
  <si>
    <t>JTLV 3</t>
  </si>
  <si>
    <t>Electra Real Estate 2 - EMIF</t>
  </si>
  <si>
    <t>Harel co-invest Debt</t>
  </si>
  <si>
    <t>Starwood 11</t>
  </si>
  <si>
    <t>Giza Zinger MEZZ</t>
  </si>
  <si>
    <t>Yesodot 3</t>
  </si>
  <si>
    <t>Yesodot 2</t>
  </si>
  <si>
    <t>Vertex Israel Opportunity 2</t>
  </si>
  <si>
    <t>Accelmed Partners 2</t>
  </si>
  <si>
    <t>Gatewood</t>
  </si>
  <si>
    <t>Electra Real Estate 4 - EMIF</t>
  </si>
  <si>
    <t>Arbel 2</t>
  </si>
  <si>
    <t>Vertex 5</t>
  </si>
  <si>
    <t>Lahav 3</t>
  </si>
  <si>
    <t>Faropoint 3</t>
  </si>
  <si>
    <t>Pitango Growth II</t>
  </si>
  <si>
    <t>Noy 2</t>
  </si>
  <si>
    <t>JAL Ventures 2</t>
  </si>
  <si>
    <t>AMI</t>
  </si>
  <si>
    <t>Monarch 6</t>
  </si>
  <si>
    <t>ISF 2 - Israel Secondary Fund</t>
  </si>
  <si>
    <t>Pantheon Global 4</t>
  </si>
  <si>
    <t>Hamilton Lane opportunities 2019</t>
  </si>
  <si>
    <t>First Time 2</t>
  </si>
  <si>
    <t>Alto 2</t>
  </si>
  <si>
    <t>Vertex - Trigo</t>
  </si>
  <si>
    <t>Viola Credit GL 2</t>
  </si>
  <si>
    <t>Naftaly Shaked 2</t>
  </si>
  <si>
    <t>Arkin Bio Capital</t>
  </si>
  <si>
    <t>Moneta Capital 2</t>
  </si>
  <si>
    <t>Naftaly Capital</t>
  </si>
  <si>
    <t>LCN European Fund III Equity</t>
  </si>
  <si>
    <t>Yesodot 1 Annex</t>
  </si>
  <si>
    <t>Yesodot 1</t>
  </si>
  <si>
    <t>513927285</t>
  </si>
  <si>
    <t>דרך ארץ קטע 18 חדש</t>
  </si>
  <si>
    <t>90150300</t>
  </si>
  <si>
    <t>28/06/2007</t>
  </si>
  <si>
    <t>30/06/2027</t>
  </si>
  <si>
    <t>מרווח הוגן</t>
  </si>
  <si>
    <t>512475203</t>
  </si>
  <si>
    <t>דרך ארץ סדרה א  מאוחדת</t>
  </si>
  <si>
    <t>90150520</t>
  </si>
  <si>
    <t>30/06/2005</t>
  </si>
  <si>
    <t>90038</t>
  </si>
  <si>
    <t>מזרחי צמוד רבית קבועה</t>
  </si>
  <si>
    <t>555551001</t>
  </si>
  <si>
    <t>נדל"ן מניב - מגורים (כולל דיור מוגן)</t>
  </si>
  <si>
    <t>30/06/2018</t>
  </si>
  <si>
    <t>קבועה</t>
  </si>
  <si>
    <t>01/01/2046</t>
  </si>
  <si>
    <t>דיור</t>
  </si>
  <si>
    <t>מזרחי צמוד משתנה 5 שנים</t>
  </si>
  <si>
    <t>555551002</t>
  </si>
  <si>
    <t>מזרחי  לא צמוד רבית קבועה</t>
  </si>
  <si>
    <t>555552001</t>
  </si>
  <si>
    <t>מזרחי לא צמוד משתנה פריים</t>
  </si>
  <si>
    <t>555552002</t>
  </si>
  <si>
    <t>מזרחי לא צמוד משתנה 5 שנים</t>
  </si>
  <si>
    <t>555552003</t>
  </si>
  <si>
    <t>9418</t>
  </si>
  <si>
    <t>בנק ירושלים לא צמוד משתנה פריים</t>
  </si>
  <si>
    <t>555552004</t>
  </si>
  <si>
    <t>30/06/2022</t>
  </si>
  <si>
    <t>בנק ירושלים  לא צמוד משתנה 12</t>
  </si>
  <si>
    <t>555552005</t>
  </si>
  <si>
    <t>בנק ירושלים לא צמוד משתנה 60</t>
  </si>
  <si>
    <t>555552006</t>
  </si>
  <si>
    <t>בנק ירושלים לא צמוד קבועה</t>
  </si>
  <si>
    <t>555552007</t>
  </si>
  <si>
    <t>בנק ירושלים צמוד מדד משתנה 60</t>
  </si>
  <si>
    <t>555552008</t>
  </si>
  <si>
    <t>10/02/2041</t>
  </si>
  <si>
    <t>בנק ירושלים צמוד מדד קבועה</t>
  </si>
  <si>
    <t>555552010</t>
  </si>
  <si>
    <t>10/01/2041</t>
  </si>
  <si>
    <t>מזרחי מקדמות ריבית ופדיון</t>
  </si>
  <si>
    <t>555559000</t>
  </si>
  <si>
    <t>16/07/2024</t>
  </si>
  <si>
    <t>01/08/2025</t>
  </si>
  <si>
    <t>28/06/2025</t>
  </si>
  <si>
    <t>בית הכשרת הישוב ברמת מעטפת</t>
  </si>
  <si>
    <t>01/08/2020</t>
  </si>
  <si>
    <t>זבוטינסקי 9  בני ברק</t>
  </si>
  <si>
    <t>דרורי&amp;שקד שמאים</t>
  </si>
  <si>
    <t>24/12/2024</t>
  </si>
  <si>
    <t>NA</t>
  </si>
  <si>
    <t>ארבל</t>
  </si>
  <si>
    <t>Arbel Fund 2</t>
  </si>
  <si>
    <t>מנוף אוריגו 2</t>
  </si>
  <si>
    <t>ת.ש.י. כביש 431</t>
  </si>
  <si>
    <t>קרן נוי</t>
  </si>
  <si>
    <t>קרן ריאליטי</t>
  </si>
  <si>
    <t>קוגיטו קפיטל</t>
  </si>
  <si>
    <t>יסודות א נדלן ופיתוח ש.מ.</t>
  </si>
  <si>
    <t>יסודות א אנקס</t>
  </si>
  <si>
    <t>יסודות ב נדלן ופיתוח</t>
  </si>
  <si>
    <t>יסודות ג נדלן ופיתוח</t>
  </si>
  <si>
    <t>קרן אלטו</t>
  </si>
  <si>
    <t>קרן אייפקס</t>
  </si>
  <si>
    <t>קרן ISF2</t>
  </si>
  <si>
    <t>קרן מיילסטון 4</t>
  </si>
  <si>
    <t>ויולה</t>
  </si>
  <si>
    <t>המילטון ליין</t>
  </si>
  <si>
    <t>פורמה</t>
  </si>
  <si>
    <t>לוין ליכטמן</t>
  </si>
  <si>
    <t>Firstime</t>
  </si>
  <si>
    <t>הליוס</t>
  </si>
  <si>
    <t>אלקטרה נדלן ELECTRA MULTIFAMILY INV. FUND II</t>
  </si>
  <si>
    <t>סטארווד</t>
  </si>
  <si>
    <t>VERTEX 5</t>
  </si>
  <si>
    <t>מונטה</t>
  </si>
  <si>
    <t>מקוורי</t>
  </si>
  <si>
    <t>נפתלי גרופ</t>
  </si>
  <si>
    <t>פונטיפקס</t>
  </si>
  <si>
    <t>וסטאר</t>
  </si>
  <si>
    <t>לקסינגטון</t>
  </si>
  <si>
    <t>אקסלמד</t>
  </si>
  <si>
    <t>הראל אלטרנטיב חוב</t>
  </si>
  <si>
    <t>קרן פימי</t>
  </si>
  <si>
    <t>GATEWOOD</t>
  </si>
  <si>
    <t>סטארלייט</t>
  </si>
  <si>
    <t>ARTEMIS LUX US SM CMP</t>
  </si>
  <si>
    <t>אלקטרה נדלן ALEMIF3 FEEDER5</t>
  </si>
  <si>
    <t>JAL VENTURES</t>
  </si>
  <si>
    <t>LCN</t>
  </si>
  <si>
    <t>VERTEX Israel OP2</t>
  </si>
  <si>
    <t>Pitango Gtowth II L.P</t>
  </si>
  <si>
    <t>קרן מיילסטון 5</t>
  </si>
  <si>
    <t>מרתון נדל"ן</t>
  </si>
  <si>
    <t>Firs Time Venturs 3</t>
  </si>
  <si>
    <t>GATEWOOD CAPITAL OPPORTUNITY EUND II</t>
  </si>
  <si>
    <t>לידר טופ קפיטל</t>
  </si>
  <si>
    <t>COGITO CAPITAL 2</t>
  </si>
  <si>
    <t>Israel Seconday Fund III</t>
  </si>
  <si>
    <t>גיזה זינגר אבן מזנין שותפות מוגבלת</t>
  </si>
  <si>
    <t>LOOL VENTURES 3</t>
  </si>
  <si>
    <t>פארופוינט</t>
  </si>
  <si>
    <t>תימורה</t>
  </si>
  <si>
    <t>Naftali Shaked partners</t>
  </si>
  <si>
    <t>קלירמארק</t>
  </si>
  <si>
    <t>Fortissiom Capital</t>
  </si>
  <si>
    <t>Pantheon Global Infra</t>
  </si>
  <si>
    <t>Clayton, Dubilier &amp; Rice</t>
  </si>
  <si>
    <t>Global Infrastructure Partners</t>
  </si>
  <si>
    <t>Hamilton Lane Strategic Opportunities Fund VIII</t>
  </si>
  <si>
    <t>לילך לב רם</t>
  </si>
  <si>
    <t>03-5765881</t>
  </si>
  <si>
    <t>lilach@gilad-pension.co.il</t>
  </si>
  <si>
    <t>שרותים</t>
  </si>
  <si>
    <t>נדלן מניב בישראל</t>
  </si>
  <si>
    <t>נדלן מניב בחו"ל</t>
  </si>
  <si>
    <t>שרותים פיננסיים</t>
  </si>
  <si>
    <t>Macquarie Infrastructure Partners Inc.</t>
  </si>
  <si>
    <t>88-2273736</t>
  </si>
  <si>
    <t>'549300WAPBN4UFVLCY82</t>
  </si>
  <si>
    <t>20-4166306</t>
  </si>
  <si>
    <t>B231183</t>
  </si>
  <si>
    <t>Milestone Real Estate Investors IV, LP</t>
  </si>
  <si>
    <t>'38-3981213</t>
  </si>
  <si>
    <t>Lexington Capital Partners IX, L.P</t>
  </si>
  <si>
    <t>'25490077C3CWFCE3PU44</t>
  </si>
  <si>
    <t>Milestone Real Estate Investors V, LP</t>
  </si>
  <si>
    <t>'85-1058970</t>
  </si>
  <si>
    <t>Vestar Capital Partners</t>
  </si>
  <si>
    <t>98-1360886</t>
  </si>
  <si>
    <t>ריאלטי השקעות נדלן</t>
  </si>
  <si>
    <t>Coller International Partners</t>
  </si>
  <si>
    <t>'213800TQEVD7NHYQQ475</t>
  </si>
  <si>
    <t xml:space="preserve">Monarch Capital Partners </t>
  </si>
  <si>
    <t>5493000NFOA8B5UMGZ40</t>
  </si>
  <si>
    <t>Hamilton Lane</t>
  </si>
  <si>
    <t>מרתון קרן נדלן שותפות מוגבלת</t>
  </si>
  <si>
    <t>ארבל פיננס</t>
  </si>
  <si>
    <t>Firstime Ventures III G.P. Ltd</t>
  </si>
  <si>
    <t>Forma Fund General Partner Ltd.</t>
  </si>
  <si>
    <t xml:space="preserve">CO-88944 </t>
  </si>
  <si>
    <t>PPE FEEDER VII (ONTARIO), L.P</t>
  </si>
  <si>
    <t>2549007AFI546HSMS528</t>
  </si>
  <si>
    <t>LCN European Fund IV SLP</t>
  </si>
  <si>
    <t xml:space="preserve">Viola Growth III Ltd </t>
  </si>
  <si>
    <t>אי.בי.אי קונסיומר קרדיט</t>
  </si>
  <si>
    <t>Moneta</t>
  </si>
  <si>
    <t>Viola Group</t>
  </si>
  <si>
    <t>23-2962336</t>
  </si>
  <si>
    <t>TIMORA REAL ESTATE FUND, LIMITED PARTNERSHIP</t>
  </si>
  <si>
    <t>Lool Ventures</t>
  </si>
  <si>
    <t>lexington</t>
  </si>
  <si>
    <t>'54930033SR1RQUEVTQ74</t>
  </si>
  <si>
    <t>תשתיות ישראל ניהול 2 בע"מ</t>
  </si>
  <si>
    <t xml:space="preserve"> Israel secondary fund</t>
  </si>
  <si>
    <t>Fortissimo Capital</t>
  </si>
  <si>
    <t>Gatewood Capital</t>
  </si>
  <si>
    <t>98-1564872</t>
  </si>
  <si>
    <t>EIN</t>
  </si>
  <si>
    <t>MC-117050</t>
  </si>
  <si>
    <t>,Klirmark Fund IV (G.P.)</t>
  </si>
  <si>
    <t>'254900CI8MJ50Q5WME06</t>
  </si>
  <si>
    <t>Stage one VC</t>
  </si>
  <si>
    <t>שקד פרטנרס</t>
  </si>
  <si>
    <t>FIMI Israel</t>
  </si>
  <si>
    <t>פונטיפקס מדיסון פיננסים (ישראל) ש.מ</t>
  </si>
  <si>
    <t>01-0552543</t>
  </si>
  <si>
    <t>קרן נוי 1 להשקעה בתשתיות ואנרגיה, שותפות מוגבלת</t>
  </si>
  <si>
    <t>Starlight</t>
  </si>
  <si>
    <t>גלבוע פאנד</t>
  </si>
  <si>
    <t>אלקטרה מולטי פמילי אינווסטמנטס</t>
  </si>
  <si>
    <t>Alto Fund III GP LLC</t>
  </si>
  <si>
    <t>ג'יי.טי.אל.וי 3 (פי.אי) שותפות מוגבלת</t>
  </si>
  <si>
    <t>הראל אלטרנטיב</t>
  </si>
  <si>
    <t>Starwood Opportunity Fund XI Investor U.S. Private</t>
  </si>
  <si>
    <t>81-2034575</t>
  </si>
  <si>
    <t>יסודות נדלן</t>
  </si>
  <si>
    <t>Vertex Ventures</t>
  </si>
  <si>
    <t>GK4GNP.99999.SL.136</t>
  </si>
  <si>
    <t>Accelmed Partners II, L.P</t>
  </si>
  <si>
    <t>98-1249543</t>
  </si>
  <si>
    <t>FIVF 3</t>
  </si>
  <si>
    <t>88-1993469</t>
  </si>
  <si>
    <t>Pitango International MC 2019 Ltd</t>
  </si>
  <si>
    <t>MC-103156</t>
  </si>
  <si>
    <t>NOY E.I INFRASTRUCTURE AND ENERGY G.P</t>
  </si>
  <si>
    <t>Apax Partners Guernsey Limited</t>
  </si>
  <si>
    <t>pantheon global infrastructure</t>
  </si>
  <si>
    <t>'549300PVU5P7DQ3OUK70</t>
  </si>
  <si>
    <t>Firstime Ventures II G.P. Ltd</t>
  </si>
  <si>
    <t>Alto Fund II GP LLC</t>
  </si>
  <si>
    <t>Naftali Group and Shaked Group</t>
  </si>
  <si>
    <t>ארקין ביו קפיטל, שותפות מוגבלת</t>
  </si>
  <si>
    <t>Naftali Group</t>
  </si>
  <si>
    <t>Pantheon Private Debt GP S.à.r.l.</t>
  </si>
  <si>
    <t>2023 5810 078</t>
  </si>
  <si>
    <t>PITANGO FAMILY FUND III</t>
  </si>
  <si>
    <t>Pitango Growth III</t>
  </si>
  <si>
    <t>Berkshire PE XI</t>
  </si>
  <si>
    <t>BE91228A-6F51-4C75-B6B9-95EB38</t>
  </si>
  <si>
    <t>שורה ריקה</t>
  </si>
  <si>
    <t>תא ריק המשך לתא הבא</t>
  </si>
  <si>
    <t>סוף גליון. לתשומת ליבך מסמך זה מכיל גליונות נוספים</t>
  </si>
  <si>
    <t>לתשומת ליבך טבלת נכסים מתחילה בתא A2</t>
  </si>
  <si>
    <t>הנכס</t>
  </si>
  <si>
    <t xml:space="preserve"> מספר מזהה קרן השקעה</t>
  </si>
  <si>
    <t>שער חליפין2</t>
  </si>
  <si>
    <t>שורה ריקה התוכן הבא מופיע בתא C1076</t>
  </si>
  <si>
    <r>
      <t>ü</t>
    </r>
    <r>
      <rPr>
        <b/>
        <sz val="1"/>
        <color rgb="FFFFFFFF"/>
        <rFont val="Wingdings"/>
        <charset val="2"/>
      </rPr>
      <t xml:space="preserve">    כן</t>
    </r>
  </si>
  <si>
    <t>סוף מסמך, לתשומת ליבך מסמך זה מכיל גליונות קודמים.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</si>
</sst>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#,##0.000"/>
    <numFmt numFmtId="168" formatCode="#,##0.000%"/>
    <numFmt numFmtId="169" formatCode="#,##0.000##%"/>
    <numFmt numFmtId="170" formatCode="_ * #,##0.000_ ;_ * \-#,##0.000_ ;_ * &quot;-&quot;??_ ;_ @_ "/>
  </numFmts>
  <fonts count="3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1"/>
      <color theme="0"/>
      <name val="Arial"/>
      <family val="2"/>
      <charset val="177"/>
      <scheme val="minor"/>
    </font>
    <font>
      <sz val="1"/>
      <color theme="3"/>
      <name val="Arial"/>
      <family val="2"/>
    </font>
    <font>
      <sz val="1"/>
      <color rgb="FFFFFFFF"/>
      <name val="Arial"/>
      <family val="2"/>
      <charset val="177"/>
      <scheme val="minor"/>
    </font>
    <font>
      <sz val="1"/>
      <color theme="0"/>
      <name val="Arial"/>
      <family val="2"/>
      <scheme val="minor"/>
    </font>
    <font>
      <sz val="1"/>
      <color rgb="FFFFFF00"/>
      <name val="Arial"/>
      <family val="2"/>
      <scheme val="minor"/>
    </font>
    <font>
      <b/>
      <sz val="12"/>
      <color rgb="FF375623"/>
      <name val="Wingdings"/>
      <charset val="2"/>
    </font>
    <font>
      <b/>
      <sz val="1"/>
      <color rgb="FFFFFFFF"/>
      <name val="Wingdings"/>
      <charset val="2"/>
    </font>
    <font>
      <sz val="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18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1" fillId="0" borderId="0" xfId="0" applyFont="1" applyProtection="1">
      <protection locked="0"/>
    </xf>
    <xf numFmtId="0" fontId="10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1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7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19" fillId="0" borderId="0" xfId="0" applyFont="1"/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0" fillId="5" borderId="12" xfId="1" applyFont="1" applyFill="1" applyBorder="1" applyAlignment="1" applyProtection="1">
      <alignment horizontal="right" vertical="center" wrapText="1"/>
      <protection locked="0"/>
    </xf>
    <xf numFmtId="0" fontId="10" fillId="5" borderId="12" xfId="1" applyFont="1" applyFill="1" applyBorder="1" applyAlignment="1">
      <alignment horizontal="right" vertical="center" wrapText="1"/>
    </xf>
    <xf numFmtId="0" fontId="10" fillId="5" borderId="12" xfId="1" applyFont="1" applyFill="1" applyBorder="1" applyAlignment="1" applyProtection="1">
      <alignment horizontal="left" vertical="center" wrapText="1" indent="1"/>
      <protection locked="0"/>
    </xf>
    <xf numFmtId="0" fontId="10" fillId="5" borderId="12" xfId="1" applyFont="1" applyFill="1" applyBorder="1" applyAlignment="1" applyProtection="1">
      <alignment vertical="center" wrapText="1"/>
      <protection locked="0"/>
    </xf>
    <xf numFmtId="0" fontId="7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4" fillId="0" borderId="15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16" xfId="0" applyBorder="1" applyAlignment="1">
      <alignment horizontal="right" vertical="top"/>
    </xf>
    <xf numFmtId="0" fontId="0" fillId="0" borderId="17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1" fillId="2" borderId="4" xfId="0" applyFont="1" applyFill="1" applyBorder="1" applyAlignment="1">
      <alignment horizontal="right"/>
    </xf>
    <xf numFmtId="0" fontId="17" fillId="0" borderId="0" xfId="0" applyFont="1"/>
    <xf numFmtId="17" fontId="0" fillId="0" borderId="0" xfId="0" applyNumberFormat="1"/>
    <xf numFmtId="0" fontId="22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4" fillId="2" borderId="4" xfId="0" applyFont="1" applyFill="1" applyBorder="1" applyAlignment="1">
      <alignment horizontal="right"/>
    </xf>
    <xf numFmtId="0" fontId="18" fillId="3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165" fontId="13" fillId="0" borderId="11" xfId="0" applyNumberFormat="1" applyFont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0" fontId="10" fillId="5" borderId="12" xfId="1" applyFont="1" applyFill="1" applyBorder="1" applyAlignment="1" applyProtection="1">
      <alignment horizontal="right" vertical="center" wrapText="1" indent="1"/>
      <protection locked="0"/>
    </xf>
    <xf numFmtId="4" fontId="0" fillId="0" borderId="0" xfId="0" applyNumberFormat="1"/>
    <xf numFmtId="166" fontId="0" fillId="0" borderId="0" xfId="0" applyNumberFormat="1"/>
    <xf numFmtId="169" fontId="0" fillId="0" borderId="0" xfId="0" applyNumberFormat="1"/>
    <xf numFmtId="0" fontId="1" fillId="0" borderId="0" xfId="0" applyFont="1" applyProtection="1">
      <protection locked="0"/>
    </xf>
    <xf numFmtId="14" fontId="0" fillId="0" borderId="0" xfId="0" applyNumberFormat="1"/>
    <xf numFmtId="167" fontId="5" fillId="0" borderId="0" xfId="0" applyNumberFormat="1" applyFont="1"/>
    <xf numFmtId="166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1" fillId="0" borderId="0" xfId="0" applyNumberFormat="1" applyFont="1" applyAlignment="1" applyProtection="1">
      <alignment horizontal="right"/>
      <protection locked="0"/>
    </xf>
    <xf numFmtId="166" fontId="2" fillId="0" borderId="0" xfId="0" applyNumberFormat="1" applyFont="1"/>
    <xf numFmtId="166" fontId="5" fillId="0" borderId="0" xfId="0" applyNumberFormat="1" applyFont="1"/>
    <xf numFmtId="170" fontId="0" fillId="0" borderId="11" xfId="3" applyNumberFormat="1" applyFont="1" applyBorder="1"/>
    <xf numFmtId="14" fontId="1" fillId="0" borderId="0" xfId="0" applyNumberFormat="1" applyFont="1" applyProtection="1">
      <protection locked="0"/>
    </xf>
    <xf numFmtId="0" fontId="1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0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12" fillId="3" borderId="8" xfId="0" applyFont="1" applyFill="1" applyBorder="1" applyAlignment="1">
      <alignment horizontal="right" vertical="center"/>
    </xf>
    <xf numFmtId="0" fontId="12" fillId="3" borderId="0" xfId="0" applyFont="1" applyFill="1" applyBorder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6" fillId="3" borderId="11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7" fillId="3" borderId="14" xfId="0" applyFont="1" applyFill="1" applyBorder="1" applyAlignment="1">
      <alignment horizontal="right" vertical="center" wrapText="1"/>
    </xf>
    <xf numFmtId="166" fontId="0" fillId="0" borderId="13" xfId="0" applyNumberFormat="1" applyBorder="1"/>
    <xf numFmtId="0" fontId="8" fillId="0" borderId="13" xfId="0" applyFont="1" applyBorder="1" applyAlignment="1">
      <alignment horizontal="center" vertical="center" wrapText="1"/>
    </xf>
    <xf numFmtId="166" fontId="13" fillId="0" borderId="13" xfId="0" applyNumberFormat="1" applyFont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8" fillId="0" borderId="21" xfId="0" applyFont="1" applyBorder="1"/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/>
    </xf>
    <xf numFmtId="0" fontId="7" fillId="3" borderId="25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readingOrder="2"/>
    </xf>
    <xf numFmtId="0" fontId="27" fillId="0" borderId="0" xfId="0" applyFont="1" applyAlignment="1">
      <alignment readingOrder="2"/>
    </xf>
    <xf numFmtId="0" fontId="28" fillId="0" borderId="0" xfId="0" applyFont="1"/>
    <xf numFmtId="0" fontId="29" fillId="6" borderId="0" xfId="0" applyFont="1" applyFill="1"/>
    <xf numFmtId="0" fontId="17" fillId="0" borderId="26" xfId="0" applyFont="1" applyBorder="1"/>
    <xf numFmtId="0" fontId="17" fillId="0" borderId="0" xfId="0" applyFont="1" applyBorder="1"/>
    <xf numFmtId="0" fontId="17" fillId="0" borderId="27" xfId="0" applyFont="1" applyBorder="1" applyAlignment="1">
      <alignment horizontal="right"/>
    </xf>
    <xf numFmtId="0" fontId="17" fillId="0" borderId="28" xfId="0" applyFont="1" applyBorder="1" applyAlignment="1">
      <alignment vertical="center" wrapText="1" readingOrder="2"/>
    </xf>
    <xf numFmtId="0" fontId="16" fillId="0" borderId="28" xfId="0" applyFont="1" applyBorder="1" applyAlignment="1">
      <alignment horizontal="right" vertical="center" wrapText="1" readingOrder="2"/>
    </xf>
    <xf numFmtId="0" fontId="16" fillId="0" borderId="28" xfId="0" applyFont="1" applyBorder="1" applyAlignment="1">
      <alignment vertical="center" wrapText="1" readingOrder="2"/>
    </xf>
    <xf numFmtId="0" fontId="30" fillId="0" borderId="1" xfId="0" applyFont="1" applyBorder="1" applyAlignment="1">
      <alignment horizontal="center" vertical="center" wrapText="1" readingOrder="2"/>
    </xf>
    <xf numFmtId="0" fontId="32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</cellStyles>
  <dxfs count="59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right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dashed">
          <color auto="1"/>
        </top>
        <bottom style="hair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%"/>
    </dxf>
    <dxf>
      <numFmt numFmtId="167" formatCode="#,##0.000"/>
    </dxf>
    <dxf>
      <numFmt numFmtId="167" formatCode="#,##0.000"/>
    </dxf>
    <dxf>
      <numFmt numFmtId="167" formatCode="#,##0.000"/>
    </dxf>
    <dxf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8" formatCode="#,##0.000%"/>
    </dxf>
    <dxf>
      <numFmt numFmtId="168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7" formatCode="#,##0.000"/>
    </dxf>
    <dxf>
      <numFmt numFmtId="167" formatCode="#,##0.000"/>
    </dxf>
    <dxf>
      <numFmt numFmtId="168" formatCode="#,##0.000%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numFmt numFmtId="167" formatCode="#,##0.000"/>
    </dxf>
    <dxf>
      <numFmt numFmtId="167" formatCode="#,##0.000"/>
    </dxf>
    <dxf>
      <numFmt numFmtId="167" formatCode="#,##0.000"/>
    </dxf>
    <dxf>
      <numFmt numFmtId="167" formatCode="#,##0.000"/>
    </dxf>
    <dxf>
      <numFmt numFmtId="168" formatCode="#,##0.000%"/>
    </dxf>
    <dxf>
      <numFmt numFmtId="168" formatCode="#,##0.000%"/>
    </dxf>
    <dxf>
      <numFmt numFmtId="167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7" formatCode="#,##0.000"/>
    </dxf>
    <dxf>
      <numFmt numFmtId="167" formatCode="#,##0.000"/>
    </dxf>
    <dxf>
      <numFmt numFmtId="167" formatCode="#,##0.000"/>
    </dxf>
    <dxf>
      <numFmt numFmtId="167" formatCode="#,##0.000"/>
    </dxf>
    <dxf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8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9" formatCode="#,##0.000##%"/>
    </dxf>
    <dxf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numFmt numFmtId="167" formatCode="#,##0.000"/>
    </dxf>
    <dxf>
      <numFmt numFmtId="14" formatCode="0.00%"/>
    </dxf>
    <dxf>
      <numFmt numFmtId="14" formatCode="0.00%"/>
    </dxf>
    <dxf>
      <numFmt numFmtId="167" formatCode="#,##0.000"/>
      <alignment horizontal="center" vertical="bottom" textRotation="0" wrapText="0" indent="0" justifyLastLine="0" shrinkToFit="0" readingOrder="0"/>
    </dxf>
    <dxf>
      <numFmt numFmtId="167" formatCode="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67" formatCode="#,##0.000"/>
      <alignment horizontal="center" vertical="bottom" textRotation="0" wrapText="0" indent="0" justifyLastLine="0" shrinkToFit="0" readingOrder="0"/>
    </dxf>
    <dxf>
      <numFmt numFmtId="167" formatCode="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%"/>
      <protection locked="0" hidden="0"/>
    </dxf>
    <dxf>
      <numFmt numFmtId="167" formatCode="#,##0.000"/>
    </dxf>
    <dxf>
      <numFmt numFmtId="167" formatCode="#,##0.000"/>
    </dxf>
    <dxf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  <protection locked="0" hidden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numFmt numFmtId="167" formatCode="#,##0.000"/>
    </dxf>
    <dxf>
      <numFmt numFmtId="167" formatCode="#,##0.000"/>
    </dxf>
    <dxf>
      <numFmt numFmtId="167" formatCode="#,##0.000"/>
    </dxf>
    <dxf>
      <numFmt numFmtId="167" formatCode="#,##0.000"/>
    </dxf>
    <dxf>
      <numFmt numFmtId="19" formatCode="dd/mm/yyyy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8" formatCode="#,##0.000%"/>
    </dxf>
    <dxf>
      <numFmt numFmtId="168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7" formatCode="#,##0.000"/>
    </dxf>
    <dxf>
      <numFmt numFmtId="167" formatCode="#,##0.000"/>
    </dxf>
    <dxf>
      <numFmt numFmtId="167" formatCode="#,##0.000"/>
    </dxf>
    <dxf>
      <numFmt numFmtId="167" formatCode="#,##0.000"/>
    </dxf>
    <dxf>
      <numFmt numFmtId="168" formatCode="#,##0.000%"/>
    </dxf>
    <dxf>
      <numFmt numFmtId="168" formatCode="#,##0.000%"/>
    </dxf>
    <dxf>
      <numFmt numFmtId="167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7" formatCode="#,##0.000"/>
    </dxf>
    <dxf>
      <numFmt numFmtId="167" formatCode="#,##0.000"/>
    </dxf>
    <dxf>
      <numFmt numFmtId="167" formatCode="#,##0.000"/>
    </dxf>
    <dxf>
      <numFmt numFmtId="168" formatCode="#,##0.000%"/>
    </dxf>
    <dxf>
      <numFmt numFmtId="168" formatCode="#,##0.000%"/>
    </dxf>
    <dxf>
      <numFmt numFmtId="167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numFmt numFmtId="168" formatCode="#,##0.000%"/>
    </dxf>
    <dxf>
      <numFmt numFmtId="167" formatCode="#,##0.000"/>
    </dxf>
    <dxf>
      <numFmt numFmtId="167" formatCode="#,##0.000"/>
    </dxf>
    <dxf>
      <numFmt numFmtId="167" formatCode="#,##0.000"/>
    </dxf>
    <dxf>
      <numFmt numFmtId="167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numFmt numFmtId="168" formatCode="#,##0.000%"/>
    </dxf>
    <dxf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7" formatCode="#,##0.000"/>
    </dxf>
    <dxf>
      <numFmt numFmtId="167" formatCode="#,##0.000"/>
    </dxf>
    <dxf>
      <numFmt numFmtId="167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numFmt numFmtId="168" formatCode="#,##0.000%"/>
    </dxf>
    <dxf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7" formatCode="#,##0.000"/>
    </dxf>
    <dxf>
      <numFmt numFmtId="167" formatCode="#,##0.000"/>
    </dxf>
    <dxf>
      <numFmt numFmtId="167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numFmt numFmtId="168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numFmt numFmtId="167" formatCode="#,##0.000"/>
    </dxf>
    <dxf>
      <numFmt numFmtId="167" formatCode="#,##0.000"/>
    </dxf>
    <dxf>
      <numFmt numFmtId="167" formatCode="#,##0.000"/>
    </dxf>
    <dxf>
      <numFmt numFmtId="167" formatCode="#,##0.000"/>
    </dxf>
    <dxf>
      <numFmt numFmtId="168" formatCode="#,##0.000%"/>
    </dxf>
    <dxf>
      <numFmt numFmtId="168" formatCode="#,##0.000%"/>
    </dxf>
    <dxf>
      <numFmt numFmtId="167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%"/>
    </dxf>
    <dxf>
      <numFmt numFmtId="168" formatCode="#,##0.000%"/>
    </dxf>
    <dxf>
      <numFmt numFmtId="167" formatCode="#,##0.000"/>
    </dxf>
    <dxf>
      <numFmt numFmtId="167" formatCode="#,##0.000"/>
    </dxf>
    <dxf>
      <numFmt numFmtId="4" formatCode="#,##0.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1"/>
        </left>
        <right style="hair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/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top style="hair">
          <color theme="1"/>
        </top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</border>
    </dxf>
  </dxfs>
  <tableStyles count="0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432817</xdr:colOff>
      <xdr:row>2</xdr:row>
      <xdr:rowOff>24766</xdr:rowOff>
    </xdr:to>
    <xdr:pic>
      <xdr:nvPicPr>
        <xdr:cNvPr id="2" name="תמונה 1" descr="מסמך נגיש">
          <a:extLst>
            <a:ext uri="{FF2B5EF4-FFF2-40B4-BE49-F238E27FC236}">
              <a16:creationId xmlns:a16="http://schemas.microsoft.com/office/drawing/2014/main" id="{893C1B18-8F8A-491E-9C18-634DF60A9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162183" y="0"/>
          <a:ext cx="432817" cy="4343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פשרויות בחירה"/>
      <sheetName val="INFO"/>
      <sheetName val="לא סחיר נגזרים"/>
      <sheetName val="אפשר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C09AD4-1250-4269-BD7E-13AA03E7F9C6}" name="טבלה1" displayName="טבלה1" ref="A2:E32" totalsRowShown="0" headerRowDxfId="588" dataDxfId="589" headerRowBorderDxfId="596" tableBorderDxfId="597" totalsRowBorderDxfId="595">
  <autoFilter ref="A2:E32" xr:uid="{68C09AD4-1250-4269-BD7E-13AA03E7F9C6}"/>
  <tableColumns count="5">
    <tableColumn id="1" xr3:uid="{BE20A586-BBDD-4A97-B323-803C418E16B8}" name="הנכס" dataDxfId="594"/>
    <tableColumn id="2" xr3:uid="{62094A04-E840-4B8D-B5BB-A6842334E937}" name="שווי הוגן" dataDxfId="593"/>
    <tableColumn id="3" xr3:uid="{248CEC5A-DF42-4EBA-986C-72006A8FB05A}" name="עלות מופחתת" dataDxfId="592"/>
    <tableColumn id="4" xr3:uid="{34D1DE95-97F9-4F2C-9723-04191B30300C}" name="השיטה שיושמה בדוח הכספי" dataDxfId="591"/>
    <tableColumn id="5" xr3:uid="{259C904F-8C34-4126-B06C-B453BAE4AC93}" name="שיעור מסך נכסי השקעה" dataDxfId="59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סכום נכסים" altTextSummary="סכום נכס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DEE59-4A01-4E9C-9564-50D8E7D0F935}" name="טבלה2" displayName="טבלה2" ref="A1:Q7" totalsRowShown="0" headerRowDxfId="580" headerRowBorderDxfId="586" tableBorderDxfId="587">
  <autoFilter ref="A1:Q7" xr:uid="{CD3DEE59-4A01-4E9C-9564-50D8E7D0F935}"/>
  <tableColumns count="17">
    <tableColumn id="1" xr3:uid="{391AB189-EC0A-441A-8902-84B90A722B8E}" name="מספר קופה/קרן/ח.פ. עבור חברת ביטוח"/>
    <tableColumn id="2" xr3:uid="{E9EAA557-F0CA-4DF4-9CF5-F19753D7E3A9}" name="מספר מסלול"/>
    <tableColumn id="3" xr3:uid="{B985B161-8185-4031-9DC5-45D606748430}" name="שם הבנק"/>
    <tableColumn id="4" xr3:uid="{364554BC-F66D-4515-9700-84D0A9C9CE9C}" name="מספר מזהה בנק"/>
    <tableColumn id="5" xr3:uid="{920CE135-CA45-4B65-BCF1-41D2C9D20C32}" name="סוג מספר מזהה בנק"/>
    <tableColumn id="6" xr3:uid="{3E70A400-9724-458E-A96A-A7AD2909E60D}" name="מאפיין עיקרי"/>
    <tableColumn id="7" xr3:uid="{9E0D4F26-C1D8-4A5A-B940-98963ECE36FD}" name="ישראל/חו&quot;ל"/>
    <tableColumn id="8" xr3:uid="{9CC3B1B5-FD5C-4985-AD5A-C4A51FC3599C}" name="בעל עניין/צד קשור"/>
    <tableColumn id="9" xr3:uid="{7A81191F-E90E-4178-BA09-7F539A05191E}" name="דירוג הבנק"/>
    <tableColumn id="10" xr3:uid="{4FA42381-B58A-4740-9FCF-9942D410F161}" name="שם מדרג"/>
    <tableColumn id="11" xr3:uid="{9B60F859-15DE-4CFF-BE71-64C95E1D9A9A}" name="מטבע פעילות"/>
    <tableColumn id="12" xr3:uid="{FB168A83-1666-49D3-989F-FDD4747C0FC0}" name="שווי מטבעי" dataDxfId="585"/>
    <tableColumn id="13" xr3:uid="{BC9C3F3B-80E1-48D2-8A8F-444550FACE7A}" name="שער חליפין" dataDxfId="584"/>
    <tableColumn id="14" xr3:uid="{F255AC16-3392-4423-8001-05252F47ACEF}" name="שיעור ריבית"/>
    <tableColumn id="15" xr3:uid="{A927ABA0-D08F-489C-8954-2C0B3CCB49A5}" name="שווי הוגן (באלפי ש&quot;ח)" dataDxfId="583"/>
    <tableColumn id="16" xr3:uid="{DD8434BF-C362-484E-8E7D-221C2CEF6515}" name="שיעור מנכסי אפיק ההשקעה" dataDxfId="582"/>
    <tableColumn id="17" xr3:uid="{4174CB03-9537-4FCE-BA87-0F9499F514FD}" name="שיעור מסך נכסי ההשקעה" dataDxfId="58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זומנים ושווי מזומנים" altTextSummary="מזומנים ושווי מזומנים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097D4-3AC7-4856-BE30-4EB1D22B70B4}" name="טבלה3" displayName="טבלה3" ref="A1:Z9" totalsRowShown="0" headerRowDxfId="566" headerRowBorderDxfId="578" tableBorderDxfId="579">
  <autoFilter ref="A1:Z9" xr:uid="{621097D4-3AC7-4856-BE30-4EB1D22B70B4}"/>
  <tableColumns count="26">
    <tableColumn id="1" xr3:uid="{D849D594-FF6B-46CC-8841-873B66723F28}" name="מספר קופה/קרן/ח.פ. עבור חברת ביטוח"/>
    <tableColumn id="2" xr3:uid="{C6D4D80E-AF75-4FA7-B420-2F9F7344B85F}" name="מספר מסלול"/>
    <tableColumn id="3" xr3:uid="{7E45C194-2508-4C52-85EA-DAE33ACB19F9}" name="שם מנפיק"/>
    <tableColumn id="4" xr3:uid="{386843A3-59AE-4460-857B-F068FF10DB68}" name="שם נייר ערך"/>
    <tableColumn id="5" xr3:uid="{9C08B1F4-A4E5-4B5E-AD0C-F59F9EC6B203}" name="מספר נייר ערך"/>
    <tableColumn id="6" xr3:uid="{A9E9A62D-6709-499F-9E6F-6EF6CBB42EB9}" name="מאפיין עיקרי"/>
    <tableColumn id="7" xr3:uid="{5160E7E7-9442-4595-B093-8D6917DE055C}" name="ישראל/חו&quot;ל"/>
    <tableColumn id="8" xr3:uid="{3FC2ECA6-86FE-43A8-A4BE-F6160F958FA9}" name="מדינה לפי חשיפה כלכלית"/>
    <tableColumn id="9" xr3:uid="{AE939B63-287D-4778-9FDD-BCF200607DB6}" name="זירת מסחר"/>
    <tableColumn id="10" xr3:uid="{89A51C52-965F-4D06-9D70-3A88E1A36288}" name="דירוג"/>
    <tableColumn id="11" xr3:uid="{A72BE278-1170-400B-9506-D42F4F7F1212}" name="שם מדרג"/>
    <tableColumn id="12" xr3:uid="{2BC7B568-1ABE-4233-A4E5-35F18538FE91}" name="מטבע פעילות"/>
    <tableColumn id="13" xr3:uid="{CDF28297-D58A-4493-95E9-E5B4A5A79F0B}" name="מח&quot;מ" dataDxfId="577"/>
    <tableColumn id="14" xr3:uid="{8BD7103E-1719-48F9-8EA7-62EFC0388DB7}" name="מועד פדיון"/>
    <tableColumn id="15" xr3:uid="{8018180E-B9D2-411B-BA65-8676D2EC94BD}" name="שיעור ריבית" dataDxfId="576"/>
    <tableColumn id="16" xr3:uid="{B82BF9D9-BABF-4DF2-9B79-1C86C166CF06}" name="תשואה לפדיון" dataDxfId="575"/>
    <tableColumn id="17" xr3:uid="{E836008E-8A12-4F47-A087-0F9640E73D7D}" name="סכום לקבל (במטבע הפעילות)"/>
    <tableColumn id="18" xr3:uid="{A2704D6A-8A97-4C21-9F62-CE2FF86DA824}" name="ערך נקוב (יחידות)" dataDxfId="574"/>
    <tableColumn id="19" xr3:uid="{ACC83D69-9737-4803-8370-7921330D8F09}" name="שער חליפין" dataDxfId="573"/>
    <tableColumn id="20" xr3:uid="{DCD05DAF-0498-442E-9070-B11ED4C8006C}" name="שער נייר הערך" dataDxfId="572"/>
    <tableColumn id="21" xr3:uid="{59784E9D-19B5-4155-9F98-DE5DA6484A50}" name="שווי הוגן (באלפי ש&quot;ח)" dataDxfId="571"/>
    <tableColumn id="22" xr3:uid="{BDE391BC-F57C-4EE2-BBB7-6500C5AB6F93}" name="עלות מופחתת (באלפי ש&quot;ח)"/>
    <tableColumn id="23" xr3:uid="{03278A7E-C3AF-494A-9EAB-4B1ABFF32E5F}" name="השיטה שיושמה בדוח הכספי" dataDxfId="570"/>
    <tableColumn id="24" xr3:uid="{23BD0D2F-263C-4D87-91BC-54361D88B224}" name="שיעור מערך נקוב מונפק" dataDxfId="569"/>
    <tableColumn id="25" xr3:uid="{DEEAD315-DFAB-43AB-8D86-C80CD7BEFB13}" name="שיעור מנכסי אפיק ההשקעה" dataDxfId="568"/>
    <tableColumn id="26" xr3:uid="{DD7D8FD9-C378-4AD9-96AE-83C6D7945262}" name="שיעור מסך נכסי ההשקעה" dataDxfId="56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 ממשלתיות" altTextSummary="איגרות חוב ממשלתיות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051F06-08EE-4FFF-A8C8-CE79294C3C7D}" name="טבלה4" displayName="טבלה4" ref="A1:AJ2" totalsRowShown="0" headerRowDxfId="530" dataDxfId="531" headerRowBorderDxfId="564" tableBorderDxfId="565">
  <autoFilter ref="A1:AJ2" xr:uid="{8C051F06-08EE-4FFF-A8C8-CE79294C3C7D}"/>
  <tableColumns count="36">
    <tableColumn id="1" xr3:uid="{20C43056-F39F-4B2E-97C6-C8E4B5CA50DB}" name="מספר קופה/קרן/ח.פ. עבור חברת ביטוח"/>
    <tableColumn id="2" xr3:uid="{8D39C5CD-D729-434D-855D-0EF175C6C751}" name="מספר מסלול"/>
    <tableColumn id="3" xr3:uid="{9F557458-E2F1-4CA7-B3F1-8193D932FE6D}" name="שם מנפיק" dataDxfId="563"/>
    <tableColumn id="4" xr3:uid="{123D9E17-D66D-41CD-8642-6C52DEDAA8A3}" name="מספר מנפיק" dataDxfId="562"/>
    <tableColumn id="5" xr3:uid="{160D443B-699B-4549-BF8D-BC4D9F9E53A9}" name="סוג מספר מזהה מנפיק" dataDxfId="561"/>
    <tableColumn id="6" xr3:uid="{D403E8BE-7939-4B18-BE3D-8651B190755B}" name="שם נייר ערך" dataDxfId="560"/>
    <tableColumn id="7" xr3:uid="{66F8288E-CB2A-406C-84A6-5188E677F31A}" name="מספר נייר ערך" dataDxfId="559"/>
    <tableColumn id="8" xr3:uid="{42776F15-B5F3-4162-AB37-57C48B7153F9}" name="סוג מספר נייר ערך" dataDxfId="558"/>
    <tableColumn id="9" xr3:uid="{9CCB87CC-75A8-4532-AE4E-98FAD8DE379C}" name="מאפיין עיקרי" dataDxfId="557"/>
    <tableColumn id="10" xr3:uid="{0E61BCA3-B445-407D-B4FC-9FCF49918436}" name="ישראל/חו&quot;ל" dataDxfId="556"/>
    <tableColumn id="11" xr3:uid="{D5911C30-E63B-4A35-8CE6-51F20099DBB5}" name="מדינה לפי חשיפה כלכלית" dataDxfId="555"/>
    <tableColumn id="12" xr3:uid="{ACD50B8D-8449-4BE9-8001-CC54E4F5D634}" name="זירת מסחר" dataDxfId="554"/>
    <tableColumn id="13" xr3:uid="{42AA2266-4D4E-4EEA-8223-E2B83D1F5C27}" name="ענף מסחר" dataDxfId="553"/>
    <tableColumn id="14" xr3:uid="{7A608022-4D17-4E4A-8EF6-F5F217F83461}" name="בעל עניין/צד קשור" dataDxfId="552"/>
    <tableColumn id="15" xr3:uid="{9D015977-BE66-4A40-A2CB-4AD1C06CFE38}" name="דירוג"/>
    <tableColumn id="16" xr3:uid="{53C3F37A-EFCF-4B90-A92F-B89F4AEB318E}" name="שם מדרג" dataDxfId="551"/>
    <tableColumn id="17" xr3:uid="{30FEDBF5-DB0F-4D12-9439-81B0195411AE}" name="דירוג נייר הערך/המנפיק" dataDxfId="550"/>
    <tableColumn id="18" xr3:uid="{6BB7C849-5FB4-4405-BB74-FE24EF3861AE}" name="מטבע פעילות" dataDxfId="549"/>
    <tableColumn id="19" xr3:uid="{3DB86CA9-18C4-4433-BCE9-233D6A5D906C}" name="מח&quot;מ" dataDxfId="548"/>
    <tableColumn id="20" xr3:uid="{209FAA6C-8999-49BB-A22F-B03880513F5F}" name="ריבית עוגן" dataDxfId="547"/>
    <tableColumn id="21" xr3:uid="{0A6B488C-D0D6-46EC-9A83-70AE4218EA6A}" name="מועד פדיון" dataDxfId="546"/>
    <tableColumn id="22" xr3:uid="{78339CF2-570B-4207-B78E-5860395F7BD1}" name="שיעור ריבית" dataDxfId="545"/>
    <tableColumn id="23" xr3:uid="{90ECBEDA-8C32-41B1-BB83-9D1D1E008A83}" name="תשואה לפדיון" dataDxfId="544"/>
    <tableColumn id="24" xr3:uid="{5A89E56D-3A19-429D-B843-9B09F524DAFE}" name="נחיתות חוזית" dataDxfId="543"/>
    <tableColumn id="25" xr3:uid="{BA02C9FD-01E9-4787-B6CB-BD918A2F5A45}" name="האם סווג כחוב בעייתי" dataDxfId="542"/>
    <tableColumn id="26" xr3:uid="{6409DA05-9611-4295-9C13-78FED85895C4}" name="ערך נקוב (יחידות)" dataDxfId="541"/>
    <tableColumn id="27" xr3:uid="{931F1E8C-6C82-4E40-A525-9B24E9339366}" name="שער חליפין" dataDxfId="540"/>
    <tableColumn id="28" xr3:uid="{083006EC-72C2-4C0D-9CA8-21EE344E63B7}" name="שער נייר הערך" dataDxfId="539"/>
    <tableColumn id="29" xr3:uid="{A07A7998-151D-4471-A42D-1B4069AC2900}" name="סכום לקבל (במטבע הפעילות)" dataDxfId="538"/>
    <tableColumn id="30" xr3:uid="{8C089DC8-DFE5-46BE-B000-BFAA233A6A16}" name="שווי הוגן (באלפי ש&quot;ח)" dataDxfId="537"/>
    <tableColumn id="31" xr3:uid="{1B217A01-6510-4A06-89B5-C1732139FD7B}" name="עלות מופחתת (באלפי ש&quot;ח)" dataDxfId="536"/>
    <tableColumn id="32" xr3:uid="{C35EDA40-8D51-40FC-8CC9-BF4F62EA5878}" name="עלות מופחתת (במטבע הפעילות)"/>
    <tableColumn id="33" xr3:uid="{49CC2D53-245D-4E2B-9D48-8FBD56EF8696}" name="השיטה שיושמה בדוח הכספי" dataDxfId="535"/>
    <tableColumn id="34" xr3:uid="{F2FFDB15-B7CA-4B83-BD41-8AFD7BFA03EB}" name="שיעור מערך נקוב מונפק" dataDxfId="534"/>
    <tableColumn id="35" xr3:uid="{AE93C1A2-D397-4CC0-9BE1-C44CB92C194F}" name="שיעור מנכסי אפיק ההשקעה" dataDxfId="533"/>
    <tableColumn id="36" xr3:uid="{9FE963A3-F811-496E-B913-A4BF6C612E79}" name="שיעור מסך נכסי ההשקעה" dataDxfId="53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ניירות ערך מסחריים" altTextSummary="ניירות ערך מסחריים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10D981-3B79-4953-A4A4-2E44391B45F1}" name="טבלה5" displayName="טבלה5" ref="A1:O50" totalsRowShown="0" headerRowDxfId="527" headerRowBorderDxfId="528" tableBorderDxfId="529">
  <autoFilter ref="A1:O50" xr:uid="{5E10D981-3B79-4953-A4A4-2E44391B45F1}"/>
  <tableColumns count="15">
    <tableColumn id="1" xr3:uid="{A3A616BA-BD8A-4378-83FB-D50539325488}" name="מספר קופה/קרן/ח.פ. עבור חברת ביטוח"/>
    <tableColumn id="2" xr3:uid="{817A097B-A8DB-4EAC-BDEE-1756763778D8}" name="מספר מסלול"/>
    <tableColumn id="3" xr3:uid="{FB9AA273-A893-4ACC-9543-67C10547EBE5}" name="שם מנפיק"/>
    <tableColumn id="4" xr3:uid="{62324382-1173-4E03-AF85-BC35A1841CEA}" name="מספר מנפיק"/>
    <tableColumn id="5" xr3:uid="{7A83AE2A-4942-4CC9-9FF6-4D34FAB5D8C3}" name="סוג מספר מזהה מנפיק"/>
    <tableColumn id="6" xr3:uid="{8FB33189-673E-4462-954C-45C8131C8C52}" name="שם נייר ערך"/>
    <tableColumn id="7" xr3:uid="{77FE4251-A4B0-4CE1-927A-8FF2AAB3C917}" name="מספר נייר ערך"/>
    <tableColumn id="8" xr3:uid="{440FBB73-01C7-4A10-ADE0-C57C58EDB3F8}" name="סוג מספר נייר ערך"/>
    <tableColumn id="9" xr3:uid="{793AEC3E-173B-427F-B04F-AD937BA5645F}" name="מאפיין עיקרי"/>
    <tableColumn id="10" xr3:uid="{E6CDD042-B2F3-4841-B98C-0441123EA082}" name="ישראל/חו&quot;ל"/>
    <tableColumn id="11" xr3:uid="{FA928A90-AF62-4536-AFB4-6E0F82E4D229}" name="מדינה לפי חשיפה כלכלית"/>
    <tableColumn id="12" xr3:uid="{80E31D21-6619-4C31-AD9E-869977D2378D}" name="סטאטוס סחירות"/>
    <tableColumn id="13" xr3:uid="{BAA364D8-48AE-4FDA-81B7-682F43A389AA}" name="זירת מסחר"/>
    <tableColumn id="14" xr3:uid="{8F64D73E-A92B-4F7A-9DD3-442BAB116ECC}" name="ענף מסחר"/>
    <tableColumn id="15" xr3:uid="{FF87704C-9108-4030-97A2-B38BCABC0556}" name="בעל עניין/צד קשור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" altTextSummary="איגרות חוב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FBCE7B-3D12-411B-B3CB-9403B8967DF4}" name="טבלה6" displayName="טבלה6" ref="A1:X63" totalsRowShown="0" headerRowDxfId="516" headerRowBorderDxfId="525" tableBorderDxfId="526">
  <autoFilter ref="A1:X63" xr:uid="{CEFBCE7B-3D12-411B-B3CB-9403B8967DF4}"/>
  <tableColumns count="24">
    <tableColumn id="1" xr3:uid="{295CE8E2-641C-401F-B68F-FD8659F975E6}" name="מספר קופה/קרן/ח.פ. עבור חברת ביטוח"/>
    <tableColumn id="2" xr3:uid="{5139224B-37E5-498F-B827-F4C2CD599C92}" name="מספר מסלול"/>
    <tableColumn id="3" xr3:uid="{9BFBD5BF-B2C8-421B-A6BF-2CC12FD115F0}" name="שם מנפיק"/>
    <tableColumn id="4" xr3:uid="{A6E397E5-4895-4986-B952-7B5A8396E3CE}" name="מספר מנפיק"/>
    <tableColumn id="5" xr3:uid="{7905B29D-A501-4086-8D0F-5E9213DD0F52}" name="סוג מספר מזהה מנפיק"/>
    <tableColumn id="6" xr3:uid="{63405CDF-54A7-4593-B28D-CA19344A7C9C}" name="שם נייר ערך"/>
    <tableColumn id="7" xr3:uid="{6CD17BB0-EC2F-49A3-B77C-6E54D2EA7D9A}" name="מספר נייר ערך"/>
    <tableColumn id="8" xr3:uid="{63C43E46-2FD9-4002-91B2-78E83A9B0B72}" name="סוג מספר נייר ערך"/>
    <tableColumn id="9" xr3:uid="{EB0DDEEB-7092-4A5E-9CF8-E5B9D70202E5}" name="מאפיין עיקרי"/>
    <tableColumn id="10" xr3:uid="{2F0877A1-4904-49C0-B063-7195043E7399}" name="ישראל/חו&quot;ל"/>
    <tableColumn id="11" xr3:uid="{B98016FC-6D4C-465F-8DF9-E1C75ECBBAE1}" name="מדינה לפי חשיפה כלכלית"/>
    <tableColumn id="12" xr3:uid="{3361409C-F3B7-47BA-BAED-9D8055E8659C}" name="סטאטוס סחירות"/>
    <tableColumn id="13" xr3:uid="{9C057B82-30AF-40D4-925B-0B0CA7E0AAF1}" name="זירת מסחר"/>
    <tableColumn id="14" xr3:uid="{5B8AD1A1-A4CE-48E3-BBD9-3BE8471900A0}" name="ענף מסחר"/>
    <tableColumn id="15" xr3:uid="{65867D80-789F-41AD-9D4D-362A007C3192}" name="בעל עניין/צד קשור"/>
    <tableColumn id="16" xr3:uid="{CDF15A37-BD46-4625-AEDB-948AF588F9CA}" name="מטבע פעילות"/>
    <tableColumn id="17" xr3:uid="{91FD685F-7F25-4BCF-B0E1-1219BD317DE9}" name="ערך נקוב (יחידות)" dataDxfId="524"/>
    <tableColumn id="18" xr3:uid="{A668CDCB-676C-4D76-802C-441FF720ACD9}" name="שער חליפין" dataDxfId="523"/>
    <tableColumn id="19" xr3:uid="{224345F7-B467-4EEF-9EAF-CBCBF692A224}" name="שער נייר הערך" dataDxfId="522"/>
    <tableColumn id="20" xr3:uid="{00489F7B-CF4C-454D-81FF-B6039C831668}" name="סכום לקבל (במטבע הפעילות)" dataDxfId="521"/>
    <tableColumn id="21" xr3:uid="{41FECFE6-C2E3-44CF-AC91-09DEB24DFE7C}" name="שווי הוגן (באלפי ש&quot;ח)" dataDxfId="520"/>
    <tableColumn id="22" xr3:uid="{4F85588E-0409-465B-B22A-D58A38143968}" name="שיעור מערך נקוב מונפק" dataDxfId="519"/>
    <tableColumn id="23" xr3:uid="{7BA5EB0C-8979-4ED2-B14D-C2EA78153259}" name="שיעור מנכסי אפיק ההשקעה" dataDxfId="518"/>
    <tableColumn id="24" xr3:uid="{0C32B160-5C15-4284-AD6F-1C4440DA16DA}" name="שיעור מסך נכסי ההשקעה" dataDxfId="51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ניות מבכ ויהש" altTextSummary="מניות מבכ ויהש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55FA4D-4B83-45CD-8E53-BB0BB1734EA0}" name="טבלה7" displayName="טבלה7" ref="A1:W30" totalsRowShown="0" headerRowDxfId="505" headerRowBorderDxfId="514" tableBorderDxfId="515">
  <autoFilter ref="A1:W30" xr:uid="{A555FA4D-4B83-45CD-8E53-BB0BB1734EA0}"/>
  <tableColumns count="23">
    <tableColumn id="1" xr3:uid="{4E993DE1-67B4-41A6-BE10-C301F4CF5EE1}" name="מספר קופה/קרן/ח.פ. עבור חברת ביטוח"/>
    <tableColumn id="2" xr3:uid="{0F65CD4F-19B6-48B5-B7D4-EF0B2A7728FB}" name="מספר מסלול"/>
    <tableColumn id="3" xr3:uid="{3BF27991-3CAC-42C8-8FF5-7A4E2843E4F6}" name="שם מנפיק"/>
    <tableColumn id="4" xr3:uid="{23B66947-FD74-464B-A01D-7330EA9BAC9A}" name="מספר מנפיק"/>
    <tableColumn id="5" xr3:uid="{F5174B50-7209-4DE7-924C-477A401B4475}" name="סוג מספר מזהה מנפיק"/>
    <tableColumn id="6" xr3:uid="{DEE1FD78-1A8F-42EE-8239-BAAE9DA50C8C}" name="שם נייר ערך"/>
    <tableColumn id="7" xr3:uid="{C13CBB0A-FEE4-4263-BD72-4D1FF1517308}" name="מספר נייר ערך"/>
    <tableColumn id="8" xr3:uid="{DC820392-83CD-40EB-A23D-654240783762}" name="סוג מספר נייר ערך"/>
    <tableColumn id="9" xr3:uid="{B717642D-7925-4BD3-92E8-6899C55B0D42}" name="מאפיין עיקרי"/>
    <tableColumn id="10" xr3:uid="{9A745A08-C5D9-4A49-A674-B7DC2725259D}" name="ישראל/חו&quot;ל"/>
    <tableColumn id="11" xr3:uid="{5D81A00A-AFD3-4A0D-BC96-C931F0C2689A}" name="מדינה לפי חשיפה כלכלית"/>
    <tableColumn id="12" xr3:uid="{34255494-194F-452E-8D97-3C6E5F0B33CD}" name="זירת מסחר"/>
    <tableColumn id="13" xr3:uid="{B2CB74CE-AFE2-45A6-BACE-D2D43126CB78}" name="סיווג הקרן"/>
    <tableColumn id="14" xr3:uid="{D0E43600-B3A9-4974-9791-E712CB23E7FF}" name="בעל עניין/צד קשור"/>
    <tableColumn id="15" xr3:uid="{C3A2C74D-FD04-433B-824D-8409E1EBB965}" name="מטבע פעילות"/>
    <tableColumn id="16" xr3:uid="{D46D6609-4EEA-4586-B362-1CDCD37F67EF}" name="ערך נקוב (יחידות)" dataDxfId="513"/>
    <tableColumn id="17" xr3:uid="{4179033A-3DBC-420C-8471-B7D841F166F2}" name="שער חליפין" dataDxfId="512"/>
    <tableColumn id="18" xr3:uid="{CF7B239A-74BC-42C6-8ECD-17928ADF5D1F}" name="שער נייר הערך" dataDxfId="511"/>
    <tableColumn id="19" xr3:uid="{CA2E97AE-BF9F-49B9-8FCB-FE1BA7D26F3B}" name="סכום לקבל (במטבע הפעילות)" dataDxfId="510"/>
    <tableColumn id="20" xr3:uid="{519923C7-045E-4AAE-9C4E-D31AE29A14BC}" name="שווי הוגן (באלפי ש&quot;ח)" dataDxfId="509"/>
    <tableColumn id="21" xr3:uid="{524F0CEF-B90A-434B-9E93-9A31879BB77C}" name="שיעור מערך נקוב מונפק" dataDxfId="508"/>
    <tableColumn id="22" xr3:uid="{C12BF921-D3D7-4013-BBE4-1A934FAC219F}" name="שיעור מנכסי אפיק ההשקעה" dataDxfId="507"/>
    <tableColumn id="23" xr3:uid="{C2E27C3D-5C01-43CB-BB7C-4FE78F3B51EA}" name="שיעור מסך נכסי ההשקעה" dataDxfId="50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סל" altTextSummary="קרנות סל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C2ECAF-AF40-419E-8EF6-E92DB430BE28}" name="טבלה8" displayName="טבלה8" ref="A1:W6" totalsRowShown="0" headerRowDxfId="495" headerRowBorderDxfId="503" tableBorderDxfId="504">
  <autoFilter ref="A1:W6" xr:uid="{AEC2ECAF-AF40-419E-8EF6-E92DB430BE28}"/>
  <tableColumns count="23">
    <tableColumn id="1" xr3:uid="{A6FED0F3-81CB-4FE0-90CF-FE488185ECF1}" name="מספר קופה/קרן/ח.פ. עבור חברת ביטוח"/>
    <tableColumn id="2" xr3:uid="{AA5CA914-DF61-4157-9A2E-544EDC31DEB7}" name="מספר מסלול"/>
    <tableColumn id="3" xr3:uid="{540F4ECD-6D9E-443E-B6E4-72666B4C06CF}" name="שם מנפיק"/>
    <tableColumn id="4" xr3:uid="{444BA8A3-3756-4BF7-A3F2-541921FA0FC5}" name="מספר מנפיק"/>
    <tableColumn id="5" xr3:uid="{C971FD80-4F24-4B3B-81E8-49E859D06585}" name="סוג מספר מזהה מנפיק"/>
    <tableColumn id="6" xr3:uid="{4FC5770F-EE80-4423-9912-4A587AF9F57D}" name="שם נייר ערך "/>
    <tableColumn id="7" xr3:uid="{84A41974-E7B4-4992-AD51-D948C4505DE7}" name="מספר נייר ערך"/>
    <tableColumn id="8" xr3:uid="{6BDE5389-20FB-4BFC-A579-B5A4D3A31EA6}" name="סוג מספר נייר ערך"/>
    <tableColumn id="9" xr3:uid="{57A38056-57AA-4930-8B46-DB025B3CDE4B}" name="מאפיין עיקרי"/>
    <tableColumn id="10" xr3:uid="{C57B8BE3-4D5F-406A-A9E6-AB96BAE9C16C}" name="ישראל/חו&quot;ל"/>
    <tableColumn id="11" xr3:uid="{0371288C-2F13-40CD-B206-F8E748D260EA}" name="מדינה לפי חשיפה כלכלית"/>
    <tableColumn id="12" xr3:uid="{51FBF7D2-AA26-4DA5-8E53-79DD6B894B6F}" name="סטאטוס סחירות"/>
    <tableColumn id="13" xr3:uid="{960BFBE1-2F46-4046-A724-B81E76DE0CF3}" name="זירת מסחר"/>
    <tableColumn id="14" xr3:uid="{FA1277A9-587E-4650-B3F7-493A442E56B1}" name="סיווג הקרן"/>
    <tableColumn id="15" xr3:uid="{D7ED6EB5-FB24-4373-AB8D-22E763424BFE}" name="בעל עניין/צד קשור"/>
    <tableColumn id="16" xr3:uid="{B98BF1CC-E516-4AAD-8091-7DD11320D7B3}" name="מטבע פעילות"/>
    <tableColumn id="17" xr3:uid="{FBCB00F8-2A0A-4E47-AE5B-3A4743BE08BF}" name="ערך נקוב (יחידות)" dataDxfId="502"/>
    <tableColumn id="18" xr3:uid="{CFBA3439-E347-4153-9BAF-469458B3C0E1}" name="שער חליפין" dataDxfId="501"/>
    <tableColumn id="19" xr3:uid="{E4158427-1570-4E49-A55C-CDC28ED32BDF}" name="שער נייר הערך" dataDxfId="500"/>
    <tableColumn id="20" xr3:uid="{A85B0DC7-158F-475D-B5D4-E1CA21DD538F}" name="שווי הוגן (באלפי ש&quot;ח)" dataDxfId="499"/>
    <tableColumn id="21" xr3:uid="{DACF3F8D-B9D6-45FF-B0D0-F746A71C9691}" name="שיעור מערך נקוב מונפק" dataDxfId="498"/>
    <tableColumn id="22" xr3:uid="{373E1023-41AF-4B52-848A-603FB1B7D2ED}" name="שיעור מנכסי אפיק ההשקעה" dataDxfId="497"/>
    <tableColumn id="23" xr3:uid="{D73A509C-F315-40EE-A47B-7CC3B2434AB5}" name="שיעור מסך נכסי ההשקעה" dataDxfId="49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נאמנות" altTextSummary="קרנות נאמנות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421B89-E7FD-492B-AC1A-3E60AAE040C0}" name="טבלה9" displayName="טבלה9" ref="A1:Y2" totalsRowShown="0" headerRowDxfId="468" dataDxfId="469" headerRowBorderDxfId="493" tableBorderDxfId="494">
  <autoFilter ref="A1:Y2" xr:uid="{5F421B89-E7FD-492B-AC1A-3E60AAE040C0}"/>
  <tableColumns count="25">
    <tableColumn id="1" xr3:uid="{EFFD1675-CA09-4899-BB6E-CB7CFD220990}" name="מספר קופה/קרן/ח.פ. עבור חברת ביטוח"/>
    <tableColumn id="2" xr3:uid="{3C5D51F6-E72D-40AC-BB4E-B919B8BF7586}" name="מספר מסלול"/>
    <tableColumn id="3" xr3:uid="{7CB4BA4A-8AC8-4769-B092-3087A41AE896}" name="שם מנפיק" dataDxfId="492"/>
    <tableColumn id="4" xr3:uid="{CB60F067-5D50-471F-944B-2C1306BB593D}" name="מספר מנפיק" dataDxfId="491"/>
    <tableColumn id="5" xr3:uid="{1D04E368-5222-4AAE-AA5C-31FF45677D2E}" name="סוג מספר מזהה מנפיק" dataDxfId="490"/>
    <tableColumn id="6" xr3:uid="{14BC07BD-8827-439D-AF53-5EA113ED80A3}" name="שם נייר ערך" dataDxfId="489"/>
    <tableColumn id="7" xr3:uid="{46259996-1855-4D87-917C-B44A7CD1CEA2}" name="מספר נייר ערך" dataDxfId="488"/>
    <tableColumn id="8" xr3:uid="{EEEDB5AA-C8E7-4B0F-B65C-2900A680B91E}" name="סוג מספר נייר ערך" dataDxfId="487"/>
    <tableColumn id="9" xr3:uid="{DBDC7900-EA61-4657-9603-0DE79CB4B5D2}" name="ישראל/חו&quot;ל" dataDxfId="486"/>
    <tableColumn id="10" xr3:uid="{9F82FE56-F079-4BB7-9C44-3D177FE9374F}" name="מדינה לפי חשיפה כלכלית" dataDxfId="485"/>
    <tableColumn id="11" xr3:uid="{0C311714-3865-495B-8D25-89514322E2B6}" name="סטאטוס סחירות" dataDxfId="484"/>
    <tableColumn id="12" xr3:uid="{44C5A632-29A2-4AC4-8F50-C9641EEE7B92}" name="זירת מסחר" dataDxfId="483"/>
    <tableColumn id="13" xr3:uid="{11CDAA4C-8274-4367-AB2A-ED240EB4108A}" name="נכס בסיס (כתב אופציה)" dataDxfId="482"/>
    <tableColumn id="14" xr3:uid="{C70C08D6-659C-4400-B246-19ADE0956899}" name="ענף מסחר" dataDxfId="481"/>
    <tableColumn id="15" xr3:uid="{60068725-9224-4BC7-8545-5C2CC939F7F2}" name="תאריך פקיעה" dataDxfId="480"/>
    <tableColumn id="16" xr3:uid="{4F154C46-34E9-4471-9D7D-9D8C7D51BDE1}" name="בעל עניין/צד קשור" dataDxfId="479"/>
    <tableColumn id="17" xr3:uid="{9D8094AC-E9A1-416E-BB77-A738D546EF26}" name="מטבע פעילות" dataDxfId="478"/>
    <tableColumn id="18" xr3:uid="{F45258B2-DD44-44C1-82F0-A3B8D11DF3C2}" name="שער מימוש" dataDxfId="477"/>
    <tableColumn id="19" xr3:uid="{426E4C2B-47AE-40F1-A551-4E95925F3ED4}" name="יחס המרה" dataDxfId="476"/>
    <tableColumn id="20" xr3:uid="{8AAA4F90-8405-4AC1-9200-B4CD5EE6CB48}" name="ערך נקוב (יחידות)" dataDxfId="475"/>
    <tableColumn id="21" xr3:uid="{F7B42879-F971-4605-BCBC-496C2225D175}" name="שער חליפין" dataDxfId="474"/>
    <tableColumn id="22" xr3:uid="{E87905F7-E4A6-4DBA-BA2D-A36ED06E6E92}" name="שער נייר הערך" dataDxfId="473"/>
    <tableColumn id="23" xr3:uid="{08D30336-34F3-4B0E-9114-914292140F80}" name="שווי הוגן (באלפי ש&quot;ח)" dataDxfId="472"/>
    <tableColumn id="24" xr3:uid="{DBAD05B6-1698-4F99-9582-208893CE838D}" name="שיעור מנכסי אפיק ההשקעה" dataDxfId="471"/>
    <tableColumn id="25" xr3:uid="{16FEA02A-A128-4DCA-BBE2-2ADA441F8A8B}" name="שיעור מסך נכסי ההשקעה" dataDxfId="47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כתבי אופציה" altTextSummary="כתבי אופציה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8D2E2A-EC21-4939-BC38-06C961B08EC5}" name="טבלה10" displayName="טבלה10" ref="A1:X2" totalsRowShown="0" headerRowDxfId="442" dataDxfId="443" headerRowBorderDxfId="466" tableBorderDxfId="467">
  <autoFilter ref="A1:X2" xr:uid="{9A8D2E2A-EC21-4939-BC38-06C961B08EC5}"/>
  <tableColumns count="24">
    <tableColumn id="1" xr3:uid="{B83DB1B3-AD49-4B17-B909-5C412135FB06}" name="מספר קופה/קרן/ח.פ. עבור חברת ביטוח"/>
    <tableColumn id="2" xr3:uid="{C4F8B871-FD2A-4FBF-8992-920AB99EFD41}" name="מספר מסלול"/>
    <tableColumn id="3" xr3:uid="{76027D6F-DFD5-4ACF-934F-782198C066E3}" name="שם מנפיק" dataDxfId="465"/>
    <tableColumn id="4" xr3:uid="{DF48AA4A-5007-4F39-974E-09BC56E2323A}" name="מספר מנפיק" dataDxfId="464"/>
    <tableColumn id="5" xr3:uid="{21B618D5-8F6C-4007-8B4C-822817C7A764}" name="סוג מספר מזהה מנפיק" dataDxfId="463"/>
    <tableColumn id="6" xr3:uid="{15E598F0-500C-46C8-9E45-4B22AD4BE0E4}" name="שם נייר ערך" dataDxfId="462"/>
    <tableColumn id="7" xr3:uid="{3711D7B4-2E5C-43D4-AA14-16BAC39203B7}" name="מספר נייר ערך" dataDxfId="461"/>
    <tableColumn id="8" xr3:uid="{6D19E26A-4FAB-4C0D-BB1E-877CCAADFF74}" name="סוג מספר נייר ערך" dataDxfId="460"/>
    <tableColumn id="9" xr3:uid="{1E5BD56F-FEF8-47C4-837C-31F5EE9BA12E}" name="מאפיין עיקרי" dataDxfId="459"/>
    <tableColumn id="10" xr3:uid="{8377A28E-0D50-4D26-9A2E-769BC80E9F02}" name="ישראל/חו&quot;ל" dataDxfId="458"/>
    <tableColumn id="11" xr3:uid="{091EEED8-3232-40E0-A7A3-C6D9F5B6D197}" name="מדינה לפי חשיפה כלכלית" dataDxfId="457"/>
    <tableColumn id="12" xr3:uid="{85917594-EA61-43BC-9009-E478E08B5C41}" name="זירת מסחר" dataDxfId="456"/>
    <tableColumn id="13" xr3:uid="{AE933146-C713-4B7E-87CD-E8046BA68EAA}" name="ענף מסחר" dataDxfId="455"/>
    <tableColumn id="14" xr3:uid="{F26CA5A8-ABA5-471D-8375-9CAA0D09E57F}" name="נכס בסיס" dataDxfId="454"/>
    <tableColumn id="15" xr3:uid="{5D3BBEF4-63DF-4286-AF04-F6CC066F9C9E}" name="תאריך פקיעה" dataDxfId="453"/>
    <tableColumn id="16" xr3:uid="{CB7D36BF-8FA4-4ED5-9E03-B8206FC6BF23}" name="בעל עניין/צד קשור" dataDxfId="452"/>
    <tableColumn id="17" xr3:uid="{B89C0A46-263F-4FD2-BC87-67690CBE5AAC}" name="מטבע פעילות" dataDxfId="451"/>
    <tableColumn id="18" xr3:uid="{E2157483-1FE6-4F78-B996-2DAE51B1EDEA}" name="שער מימוש" dataDxfId="450"/>
    <tableColumn id="19" xr3:uid="{B4C47C08-780E-4D5E-8B43-8E9DF6C630F3}" name="ערך נקוב (יחידות)" dataDxfId="449"/>
    <tableColumn id="20" xr3:uid="{4BD2853B-59B8-417F-BAD4-BF20493D0698}" name="שער חליפין" dataDxfId="448"/>
    <tableColumn id="21" xr3:uid="{D388FEC6-7D3E-4A83-B851-3258E70FBF17}" name="שער נייר הערך" dataDxfId="447"/>
    <tableColumn id="22" xr3:uid="{FFCA3DDE-2541-4377-A113-E8550AC59C23}" name="שווי הוגן (באלפי ש&quot;ח)" dataDxfId="446"/>
    <tableColumn id="23" xr3:uid="{FBC87151-6131-4D7A-BA0C-FD7B9AD08CBC}" name="שיעור מנכסי אפיק ההשקעה" dataDxfId="445"/>
    <tableColumn id="24" xr3:uid="{11C0FB9E-0E2E-4CF7-951C-3A8C639A26E3}" name="שיעור מסך נכסי ההשקעה" dataDxfId="44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ופציות" altTextSummary="אופציות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C99E9F-DD0C-422F-8F66-2DF7DC23782B}" name="טבלה11" displayName="טבלה11" ref="A1:T2" totalsRowShown="0" headerRowDxfId="420" dataDxfId="421" headerRowBorderDxfId="440" tableBorderDxfId="441">
  <autoFilter ref="A1:T2" xr:uid="{8EC99E9F-DD0C-422F-8F66-2DF7DC23782B}"/>
  <tableColumns count="20">
    <tableColumn id="1" xr3:uid="{A1F92427-F774-4DEC-BD04-181B8BFAABDF}" name="מספר קופה/קרן/ח.פ. עבור חברת ביטוח"/>
    <tableColumn id="2" xr3:uid="{75018EE8-5508-45DD-BFD3-5FE30E8F2603}" name="מספר מסלול"/>
    <tableColumn id="3" xr3:uid="{D9DD578F-DF03-4394-AE3B-C5DFD38D6C52}" name="שם מנפיק" dataDxfId="439"/>
    <tableColumn id="4" xr3:uid="{4CDF97D1-BBF1-4D3A-825F-78020A2B7C2E}" name="מספר מנפיק" dataDxfId="438"/>
    <tableColumn id="5" xr3:uid="{076A59CC-E007-4BA8-8985-38C575C62A85}" name="סוג מספר מזהה מנפיק" dataDxfId="437"/>
    <tableColumn id="6" xr3:uid="{4A292467-ADBD-4174-AF53-AD7635C52FA3}" name="שם נייר ערך" dataDxfId="436"/>
    <tableColumn id="7" xr3:uid="{92D7F371-A437-4026-8FC5-E79856B61793}" name="מספר נייר ערך" dataDxfId="435"/>
    <tableColumn id="8" xr3:uid="{F2E7FA14-2FF7-408A-BA2F-3B9CA378F968}" name="סוג מספר נייר ערך" dataDxfId="434"/>
    <tableColumn id="9" xr3:uid="{B50F987B-659A-4EA7-A4D8-B35ADF42EB40}" name="ישראל/חו&quot;ל" dataDxfId="433"/>
    <tableColumn id="10" xr3:uid="{5552E198-3A8B-4B92-80C8-A5FA9BAFD668}" name="מדינה לפי חשיפה כלכלית" dataDxfId="432"/>
    <tableColumn id="11" xr3:uid="{4352FF58-F01F-4104-AB81-2277F8C871B7}" name="זירת מסחר" dataDxfId="431"/>
    <tableColumn id="12" xr3:uid="{13420E2C-7E3B-427C-A3FA-2CFBEB4B3C22}" name="נכס בסיס" dataDxfId="430"/>
    <tableColumn id="13" xr3:uid="{EE31EC3C-27F5-412D-99F3-3F3EC3857D9B}" name="בעל עניין/צד קשור" dataDxfId="429"/>
    <tableColumn id="14" xr3:uid="{11C91DA8-770F-44AE-9097-CD098BD2FF2A}" name="מטבע פעילות" dataDxfId="428"/>
    <tableColumn id="15" xr3:uid="{BE1E1A02-4EF3-4A98-83C2-9887329A583F}" name="ערך נקוב (יחידות)" dataDxfId="427"/>
    <tableColumn id="16" xr3:uid="{9827AC9B-20C5-4678-B03D-27FEB29F04DF}" name="שער חליפין" dataDxfId="426"/>
    <tableColumn id="17" xr3:uid="{119F6B25-1F58-452E-9544-C8072C47F8FC}" name="שער נייר הערך" dataDxfId="425"/>
    <tableColumn id="18" xr3:uid="{F4CB3B50-1CA0-4377-B4D0-BBB5008F0275}" name="שווי הוגן (באלפי ש&quot;ח)" dataDxfId="424"/>
    <tableColumn id="19" xr3:uid="{3CF15621-DA4C-4903-A06C-F3CE8CF57F3B}" name="שיעור מנכסי אפיק ההשקעה" dataDxfId="423"/>
    <tableColumn id="20" xr3:uid="{B1A717F5-9240-4C56-940E-A82B9D61E8B9}" name="שיעור מסך נכסי ההשקעה" dataDxfId="42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חוזים עתידיים" altTextSummary="חוזים עתידיים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4550A7-2D12-4A0E-825A-5AF147A3C17F}" name="טבלה12" displayName="טבלה12" ref="A1:AB2" totalsRowShown="0" headerRowDxfId="390" dataDxfId="391" headerRowBorderDxfId="418" tableBorderDxfId="419">
  <autoFilter ref="A1:AB2" xr:uid="{134550A7-2D12-4A0E-825A-5AF147A3C17F}"/>
  <tableColumns count="28">
    <tableColumn id="1" xr3:uid="{1002724D-D23D-469B-B02D-6BC79DBC1201}" name="מספר קופה/קרן/ח.פ. עבור חברת ביטוח"/>
    <tableColumn id="2" xr3:uid="{29374C25-5D2C-4A94-9CD6-268CF5A26DB8}" name="מספר מסלול"/>
    <tableColumn id="3" xr3:uid="{E325E173-AE57-42A2-8071-BE2EF04AC658}" name="שם מנפיק" dataDxfId="417"/>
    <tableColumn id="4" xr3:uid="{0EACFD02-0B51-448B-AEA3-43ADB4E2554E}" name="מספר מנפיק" dataDxfId="416"/>
    <tableColumn id="5" xr3:uid="{5E5D6943-23C2-489C-9B77-CE5A0F53E09B}" name="סוג מספר מזהה מנפיק" dataDxfId="415"/>
    <tableColumn id="6" xr3:uid="{D08366A4-BA8A-4917-B232-1348A069E53B}" name="שם נייר ערך" dataDxfId="414"/>
    <tableColumn id="7" xr3:uid="{6025087E-3862-462E-AE95-7062356D7BFB}" name="מספר נייר ערך" dataDxfId="413"/>
    <tableColumn id="8" xr3:uid="{BFCB54DA-B352-47E6-B0D5-A4A6D91E27C7}" name="סוג מספר נייר ערך" dataDxfId="412"/>
    <tableColumn id="9" xr3:uid="{6D83F6C3-C7AC-4D89-9A35-FE78D88DD9C4}" name="מאפיין עיקרי" dataDxfId="411"/>
    <tableColumn id="10" xr3:uid="{B43F279F-1FAE-4B63-A6F0-EF155CE6C59E}" name="ישראל/חו&quot;ל" dataDxfId="410"/>
    <tableColumn id="11" xr3:uid="{E9F342CC-02AB-4E10-A5F1-F13E4A3E016B}" name="מדינה לפי חשיפה כלכלית" dataDxfId="409"/>
    <tableColumn id="12" xr3:uid="{C52EBBAF-29A7-415C-AB47-750360BB89E3}" name="סטאטוס סחירות" dataDxfId="408"/>
    <tableColumn id="13" xr3:uid="{41022C28-776C-4E88-BF3D-F34A419466C9}" name="זירת מסחר" dataDxfId="407"/>
    <tableColumn id="14" xr3:uid="{D3F4FB38-F7B8-447A-81A0-0230707CD627}" name="נכס בסיס" dataDxfId="406"/>
    <tableColumn id="15" xr3:uid="{93F2FACD-FD04-4019-8A35-BC9740C2CB4F}" name="בעל עניין/צד קשור" dataDxfId="405"/>
    <tableColumn id="16" xr3:uid="{AC9C2D51-91F8-4EF1-80AF-157C9C00E67B}" name="מח&quot;מ" dataDxfId="404"/>
    <tableColumn id="17" xr3:uid="{B92B1AAF-A6A3-4501-8218-F3664F546AF7}" name="שיעור ריבית" dataDxfId="403"/>
    <tableColumn id="18" xr3:uid="{57002D67-ED49-433A-B580-5F3E4351B2B5}" name="תשואה לפדיון" dataDxfId="402"/>
    <tableColumn id="19" xr3:uid="{102C9A83-DD28-4DBB-A4E2-1DF7F9FE013B}" name="דירוג" dataDxfId="401"/>
    <tableColumn id="20" xr3:uid="{8F46C9F1-1C0B-459C-9988-79D0731D948D}" name="שם מדרג" dataDxfId="400"/>
    <tableColumn id="21" xr3:uid="{2B81071A-F261-41FE-B2BA-566E34C2953A}" name="דירוג נייר הערך/המנפיק" dataDxfId="399"/>
    <tableColumn id="22" xr3:uid="{C17FC9D9-79EA-4E62-99C6-1DB36265ED63}" name="מטבע פעילות" dataDxfId="398"/>
    <tableColumn id="23" xr3:uid="{FCC62B93-05F6-4AB4-A8FF-EFE0057D0C68}" name="ערך נקוב (יחידות)" dataDxfId="397"/>
    <tableColumn id="24" xr3:uid="{AC75DC86-7206-4998-A5E6-3EE93CD7ED32}" name="שער חליפין" dataDxfId="396"/>
    <tableColumn id="25" xr3:uid="{482C9BDA-13F9-4395-A603-BD8EA6E83D21}" name="שער נייר הערך" dataDxfId="395"/>
    <tableColumn id="26" xr3:uid="{CA1F674C-55A4-48DC-BDAE-45ADF3266CD2}" name="שווי הוגן (באלפי ש&quot;ח)" dataDxfId="394"/>
    <tableColumn id="27" xr3:uid="{8B068693-7DD0-4927-95DD-4E0A7819372C}" name="שיעור מנכסי אפיק ההשקעה" dataDxfId="393"/>
    <tableColumn id="28" xr3:uid="{9E54BFFE-4EA8-40EB-8132-E9F74A640BA6}" name="שיעור מסך נכסי ההשקעה" dataDxfId="39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וצרים מובנים" altTextSummary="מוצרים מובנים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A6E2B1C-C4E6-4F82-81E6-63DD08255067}" name="טבלה13" displayName="טבלה13" ref="A1:Y2" totalsRowShown="0" headerRowDxfId="363" dataDxfId="364" headerRowBorderDxfId="388" tableBorderDxfId="389">
  <autoFilter ref="A1:Y2" xr:uid="{CA6E2B1C-C4E6-4F82-81E6-63DD08255067}"/>
  <tableColumns count="25">
    <tableColumn id="1" xr3:uid="{84A3DB99-4A9A-4ADD-9BDD-B721D45BE807}" name="מספר קופה/קרן/ח.פ. עבור חברת ביטוח"/>
    <tableColumn id="2" xr3:uid="{4145E515-4230-4708-B59A-2F346945C8FA}" name="מספר מסלול"/>
    <tableColumn id="3" xr3:uid="{A3CEDA39-6FBE-4C1B-A4B7-61E77E9047FC}" name="שם מנפיק" dataDxfId="387"/>
    <tableColumn id="4" xr3:uid="{5E5791AB-6F88-4D1B-ADA1-0DFFD08EE905}" name="שם נייר ערך" dataDxfId="386"/>
    <tableColumn id="5" xr3:uid="{D532220F-8C29-4474-A0D0-C7E7907D8DD2}" name="מספר נייר ערך" dataDxfId="385"/>
    <tableColumn id="6" xr3:uid="{BA8BE40F-3B6A-402A-A467-A79825B659DA}" name="סוג מספר נייר ערך" dataDxfId="384"/>
    <tableColumn id="7" xr3:uid="{3E7BB065-557A-4FEC-8F71-B0EB47C5C614}" name="מאפיין עיקרי" dataDxfId="383"/>
    <tableColumn id="8" xr3:uid="{1A5ED920-8F58-479D-9C53-6B42D7771036}" name="ישראל/חו&quot;ל" dataDxfId="382"/>
    <tableColumn id="9" xr3:uid="{8CEB62F7-E79E-48C3-8C6C-124287347279}" name="מדינה לפי חשיפה כלכלית" dataDxfId="381"/>
    <tableColumn id="10" xr3:uid="{FC99F9D8-45D0-4817-9275-6E42F5F78155}" name="תאריך רכישה" dataDxfId="380"/>
    <tableColumn id="11" xr3:uid="{78D01307-5510-4FB3-8697-5F64D5074540}" name="דירוג" dataDxfId="379"/>
    <tableColumn id="12" xr3:uid="{DF06C1C7-6C7D-4A74-9B13-56AF8F3CE4F0}" name="שם מדרג" dataDxfId="378"/>
    <tableColumn id="13" xr3:uid="{13E232D3-A76F-4F39-AC45-2EA6A87F0013}" name="מטבע פעילות" dataDxfId="377"/>
    <tableColumn id="14" xr3:uid="{2134ED32-F8D2-43A3-BA71-E5B0D862BCA1}" name="מח&quot;מ" dataDxfId="376"/>
    <tableColumn id="15" xr3:uid="{FF3EC572-99D2-4C4D-A12B-4DDFDAFDBD29}" name="מועד פדיון" dataDxfId="375"/>
    <tableColumn id="16" xr3:uid="{D22F3743-BD77-4252-967A-D1646FD98CC6}" name="שיעור ריבית" dataDxfId="374"/>
    <tableColumn id="17" xr3:uid="{6F5AE486-F261-49B7-9D9B-F0B69261D77F}" name="תשואה לפדיון" dataDxfId="373"/>
    <tableColumn id="18" xr3:uid="{269B7A71-6294-4CFA-AB80-2BDE06371D9D}" name="ערך נקוב (יחידות)" dataDxfId="372"/>
    <tableColumn id="19" xr3:uid="{95090481-31DA-4F8F-AB75-BE9A11FA1237}" name="שער חליפין" dataDxfId="371"/>
    <tableColumn id="20" xr3:uid="{1980EA66-AFC2-4517-9472-CB2E634232E0}" name="שער נייר הערך" dataDxfId="370"/>
    <tableColumn id="21" xr3:uid="{65036E54-E21E-4E96-A524-D6674770DFB9}" name="שווי הוגן (באלפי ש&quot;ח)" dataDxfId="369"/>
    <tableColumn id="22" xr3:uid="{000100C8-A025-4002-B77D-D259C6F56E2E}" name="עלות מופחתת (באלפי ש&quot;ח)" dataDxfId="368"/>
    <tableColumn id="23" xr3:uid="{C7B3AB02-2902-4D62-9A66-7CB62694835F}" name="השיטה שיושמה בדוח הכספי" dataDxfId="367"/>
    <tableColumn id="24" xr3:uid="{296E2E84-3CA4-4E8F-9837-52328D1CB8A2}" name="שיעור מנכסי אפיק ההשקעה" dataDxfId="366"/>
    <tableColumn id="25" xr3:uid="{D998B702-3E59-425D-BEA3-39D027017B9B}" name="שיעור מסך נכסי ההשקעה" dataDxfId="36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 ממשלתיות" altTextSummary="לא סחיר איגרות חוב ממשלתיות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D8A8C-B920-46C7-A525-08532BD2A7E8}" name="טבלה14" displayName="טבלה14" ref="A1:R88" totalsRowShown="0" headerRowDxfId="351" headerRowBorderDxfId="361" tableBorderDxfId="362">
  <autoFilter ref="A1:R88" xr:uid="{CB4D8A8C-B920-46C7-A525-08532BD2A7E8}"/>
  <tableColumns count="18">
    <tableColumn id="1" xr3:uid="{EF6B5B77-BA60-4AA3-ACD7-058AEA66C0FC}" name="מספר קופה/קרן/ח.פ. עבור חברת ביטוח"/>
    <tableColumn id="2" xr3:uid="{766F695B-39CB-41CA-97A5-C4EB2BDF4DFA}" name="מספר מסלול"/>
    <tableColumn id="3" xr3:uid="{FD188460-8A30-47F0-8C30-FE605B7EAABB}" name="מאפיין עיקרי"/>
    <tableColumn id="4" xr3:uid="{F253B6B5-45CF-4A51-9F0B-1F423398FC52}" name="שם נייר ערך"/>
    <tableColumn id="5" xr3:uid="{7E8AE3C9-BE99-4D89-8BD9-8460CD6A3F14}" name="מספר נייר ערך"/>
    <tableColumn id="6" xr3:uid="{8641EF0C-FFBD-4130-BC20-5445E9438908}" name="תאריך רכישה"/>
    <tableColumn id="7" xr3:uid="{A1826112-625E-4838-A513-602DE9D0267A}" name="מח&quot;מ" dataDxfId="360"/>
    <tableColumn id="8" xr3:uid="{FDC98CEC-4215-404F-B432-A9F1BD9AD02C}" name="סוג הצמדה"/>
    <tableColumn id="9" xr3:uid="{D3E513D5-BCA4-47ED-B936-2ED9DFEFE240}" name="מועד פדיון"/>
    <tableColumn id="10" xr3:uid="{0C6B6430-5F4F-4FF0-9306-E1CADCFC9077}" name="שיעור ריבית" dataDxfId="359"/>
    <tableColumn id="11" xr3:uid="{C8F48189-A379-4E3B-A00F-ED18E7374272}" name="תשואה לפדיון" dataDxfId="358"/>
    <tableColumn id="12" xr3:uid="{066B1DEE-3EF6-4D1F-B9EC-563CC60421AA}" name="ערך נקוב (יחידות)" dataDxfId="357"/>
    <tableColumn id="13" xr3:uid="{95B66819-7DD5-476D-9CD3-57D6D446D566}" name="שער נייר הערך" dataDxfId="356"/>
    <tableColumn id="14" xr3:uid="{2911E061-FD42-45A6-B3B4-BD47F5F17CBA}" name="שווי הוגן (באלפי ש&quot;ח)" dataDxfId="355"/>
    <tableColumn id="15" xr3:uid="{7F0202B2-B5FD-4EFF-929D-CFE8A645280A}" name="עלות מופחתת (באלפי ש&quot;ח)" dataDxfId="354"/>
    <tableColumn id="16" xr3:uid="{C7A09BDA-F1C5-4373-A491-DB04DF44FEAC}" name="השיטה שיושמה בדוח הכספי"/>
    <tableColumn id="17" xr3:uid="{E5C6BCBC-FAAA-4FBE-81A8-8227D4CB1723}" name="שיעור מנכסי אפיק ההשקעה" dataDxfId="353"/>
    <tableColumn id="18" xr3:uid="{0D4FD46C-868B-4981-BC4F-6113A74A6774}" name="שיעור מסך נכסי ההשקעה" dataDxfId="35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 מיועדות" altTextSummary="לא סחיר איגרות חוב מיועדות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09B5FDB-E511-451C-B70C-5D4059F08EEF}" name="טבלה15" displayName="טבלה15" ref="A1:G2" totalsRowShown="0" headerRowDxfId="345" headerRowBorderDxfId="349" tableBorderDxfId="350">
  <autoFilter ref="A1:G2" xr:uid="{409B5FDB-E511-451C-B70C-5D4059F08EEF}"/>
  <tableColumns count="7">
    <tableColumn id="1" xr3:uid="{5DFF3C35-2CC5-4CF2-94A0-3BD00D84BC6C}" name="מספר קרן"/>
    <tableColumn id="2" xr3:uid="{466CD4CD-2E94-4901-995E-4C9D51BC56BC}" name="מספר מסלול"/>
    <tableColumn id="3" xr3:uid="{81EFE700-E67F-4840-9F73-D7E6BE1557AA}" name="מאפיין עיקרי" dataDxfId="348"/>
    <tableColumn id="4" xr3:uid="{96AE9C99-BE54-42E4-86A1-49F805A54B41}" name="חודש הנפקת שכבה" dataDxfId="347"/>
    <tableColumn id="5" xr3:uid="{45433A44-4C19-4FD1-B812-417E8977B8B6}" name="חודש הבדיקה"/>
    <tableColumn id="6" xr3:uid="{DB968500-7BC1-429D-8D80-0063C866EE1E}" name="שווי הנכסים באפיק (באלפי ש&quot;ח)"/>
    <tableColumn id="7" xr3:uid="{8AAC0A8D-F42E-40CE-84D6-3271276F4639}" name="שיעור מסך נכסי ההשקעה" dataDxfId="34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פיק השקעה מובטח תשואה" altTextSummary="אפיק השקעה מובטח תשואה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7BC39B-ABB3-4C38-943D-2BC9CD84A1AA}" name="טבלה16" displayName="טבלה16" ref="A1:AN2" totalsRowShown="0" headerRowDxfId="307" headerRowBorderDxfId="343" tableBorderDxfId="344">
  <autoFilter ref="A1:AN2" xr:uid="{D77BC39B-ABB3-4C38-943D-2BC9CD84A1AA}"/>
  <tableColumns count="40">
    <tableColumn id="1" xr3:uid="{C551C20C-6318-4EBF-A120-198D4FB28CAB}" name="מספר קופה/קרן/ח.פ. עבור חברת ביטוח"/>
    <tableColumn id="2" xr3:uid="{F3D09EFF-AC11-431C-A63A-BFCF3A57BDBB}" name="מספר מסלול"/>
    <tableColumn id="3" xr3:uid="{1F26643D-66E6-42C8-AD27-9B2C448356A8}" name="שם מנפיק" dataDxfId="342"/>
    <tableColumn id="4" xr3:uid="{A53E07FB-D64E-4BB5-8397-35067CFCE935}" name="מספר מנפיק" dataDxfId="341"/>
    <tableColumn id="5" xr3:uid="{AC12C52E-9D92-4271-8F04-D54799021C80}" name="סוג מספר מזהה מנפיק" dataDxfId="340"/>
    <tableColumn id="6" xr3:uid="{2D7D50FD-86CB-491B-98F9-7C7473D8F8A0}" name="שם נייר ערך" dataDxfId="339"/>
    <tableColumn id="7" xr3:uid="{A7AC6CC5-65F0-45CE-83DA-C1FC9ED4EAE1}" name="מספר נייר ערך" dataDxfId="338"/>
    <tableColumn id="8" xr3:uid="{BDA48535-11EF-4793-AD2B-AC0AE94A24CB}" name="סוג מספר נייר ערך" dataDxfId="337"/>
    <tableColumn id="9" xr3:uid="{577330D2-7A4C-453D-B9C4-6509C249EF55}" name="מאפיין עיקרי" dataDxfId="336"/>
    <tableColumn id="10" xr3:uid="{917DA165-4197-47D2-BECE-E010EB0C5B4F}" name="ישראל/חו&quot;ל" dataDxfId="335"/>
    <tableColumn id="11" xr3:uid="{5FC5029B-B299-4ED0-8546-4E7D4541EEDA}" name="מדינה לפי חשיפה כלכלית" dataDxfId="334"/>
    <tableColumn id="12" xr3:uid="{AF12062B-33B9-4809-AB5E-83E79C0790AC}" name="ענף מסחר" dataDxfId="333"/>
    <tableColumn id="13" xr3:uid="{AD8C609E-5641-448A-AE51-568C1100E387}" name="בעל עניין/צד קשור" dataDxfId="332"/>
    <tableColumn id="14" xr3:uid="{5964F4A2-51EA-4CB1-AC23-91FEBA0B9133}" name="תאריך רכישה" dataDxfId="331"/>
    <tableColumn id="15" xr3:uid="{138E564B-55A5-460F-BB8D-B8F4C8D117D6}" name="דירוג" dataDxfId="330"/>
    <tableColumn id="16" xr3:uid="{714EEC0B-D866-435E-9A21-32E5CBCDD82B}" name="שם מדרג" dataDxfId="329"/>
    <tableColumn id="17" xr3:uid="{95003455-46CB-4724-8D7F-0969B4AE71F4}" name="דירוג נייר הערך/המנפיק" dataDxfId="328"/>
    <tableColumn id="18" xr3:uid="{47B8D146-9B28-45AD-8B78-26815EE630DE}" name="מטבע פעילות" dataDxfId="327"/>
    <tableColumn id="19" xr3:uid="{6D9BF4DF-C8FB-47F5-8467-6E3363EE034B}" name="מח&quot;מ" dataDxfId="326"/>
    <tableColumn id="20" xr3:uid="{386F6543-ED3D-4D45-8B7E-1E3DAD607A27}" name="סוג הצמדה" dataDxfId="325"/>
    <tableColumn id="21" xr3:uid="{102DE9E2-A037-4EF1-8F91-28E25AD952B8}" name="ריבית עוגן" dataDxfId="324"/>
    <tableColumn id="22" xr3:uid="{3CDB6BCC-5D24-4018-8A66-25A25FCEBF2E}" name="מועד פדיון" dataDxfId="323"/>
    <tableColumn id="23" xr3:uid="{11D3884C-702A-457B-B37B-A133DEC32785}" name="שיעור ריבית" dataDxfId="322"/>
    <tableColumn id="24" xr3:uid="{07C15315-05BA-48DA-921A-50A91D0ED6CB}" name="תשואה לפדיון" dataDxfId="321"/>
    <tableColumn id="25" xr3:uid="{4C3120ED-3303-4A2C-B9B2-363C378EBABF}" name="נחיתות חוזית" dataDxfId="320"/>
    <tableColumn id="26" xr3:uid="{60464847-8161-4D19-8F82-447E5A130F42}" name="האם סווג כחוב בעייתי" dataDxfId="319"/>
    <tableColumn id="27" xr3:uid="{16CCB2F9-C409-4FDD-92A0-FB5C0E1B0903}" name="סוג גורם משערך" dataDxfId="318"/>
    <tableColumn id="28" xr3:uid="{71BD9A62-4AE6-40E3-83B2-5DBD8D56AB95}" name="תלות/אי-תלות המשערך" dataDxfId="317"/>
    <tableColumn id="29" xr3:uid="{E2A1476C-E5B5-4D1F-ABB3-996C312C659E}" name="שם גורם משערך" dataDxfId="316"/>
    <tableColumn id="30" xr3:uid="{93C6D6A4-D008-42F3-8EEE-72B371FA10DF}" name="תאריך שערוך אחרון" dataDxfId="315"/>
    <tableColumn id="31" xr3:uid="{367BD59B-EAD6-4719-85F4-64BE14A27544}" name="תאריך אחרון בו נבחנה בפועל ירידת ערך" dataDxfId="314"/>
    <tableColumn id="32" xr3:uid="{52ACD623-0657-4D32-A292-B15A6EAE493F}" name="ערך נקוב (יחידות)" dataDxfId="313"/>
    <tableColumn id="33" xr3:uid="{8BD8B20D-5F96-4F6F-9D6F-45A6A1E806C7}" name="שער חליפין" dataDxfId="312"/>
    <tableColumn id="34" xr3:uid="{43C4D87A-1EF5-461D-9896-015507AF900E}" name="שער נייר הערך" dataDxfId="311"/>
    <tableColumn id="35" xr3:uid="{95CB251C-D389-403C-829E-F45399D0F255}" name="שווי הוגן (באלפי ש&quot;ח)" dataDxfId="310"/>
    <tableColumn id="36" xr3:uid="{05121D5A-986A-4FF9-9DAC-924533D9FF0F}" name="עלות מופחתת (באלפי ש&quot;ח)"/>
    <tableColumn id="37" xr3:uid="{D3605B4E-7389-4F8E-8183-44BC7277D297}" name="עלות מופחתת (במטבע הפעילות)" dataDxfId="309"/>
    <tableColumn id="38" xr3:uid="{A741B319-6CA6-43BE-AAEA-B63F1BF6C503}" name="השיטה שיושמה בדוח הכספי" dataDxfId="308"/>
    <tableColumn id="39" xr3:uid="{964DF4F1-E57C-4197-8CD4-9A0FF4A6110E}" name="שיעור מנכסי אפיק ההשקעה"/>
    <tableColumn id="40" xr3:uid="{2A31D7E3-C0FA-4874-AB59-03E630D785E3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ניירות ערך מסחריים" altTextSummary="לא סחיר ניירות ערך מסחריים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B1F9BEF-2DD7-4327-8696-535AFAE0A11D}" name="טבלה17" displayName="טבלה17" ref="A1:AL9" totalsRowShown="0" headerRowDxfId="291" dataDxfId="292" headerRowBorderDxfId="305" tableBorderDxfId="306">
  <autoFilter ref="A1:AL9" xr:uid="{BB1F9BEF-2DD7-4327-8696-535AFAE0A11D}"/>
  <tableColumns count="38">
    <tableColumn id="1" xr3:uid="{93995634-C26B-4837-B191-98C209236BC2}" name="מספר קופה/קרן/ח.פ. עבור חברת ביטוח"/>
    <tableColumn id="2" xr3:uid="{806D5182-F544-4EA8-9F4A-F5CFC49E264B}" name="מספר מסלול"/>
    <tableColumn id="3" xr3:uid="{57A716A6-9F84-4AFD-BEC3-63D62105A52D}" name="שם מנפיק"/>
    <tableColumn id="4" xr3:uid="{F8740616-3E70-45C4-84C8-AAA4F8A9B59A}" name="מספר מנפיק"/>
    <tableColumn id="5" xr3:uid="{75A79EEF-DA59-4B1F-8EAB-591F0CE6AD6A}" name="סוג מספר מזהה מנפיק"/>
    <tableColumn id="6" xr3:uid="{6D523782-38C8-4C83-846C-FE840C4DDA86}" name="שם נייר ערך"/>
    <tableColumn id="7" xr3:uid="{697BB501-0287-48D6-821E-98CF5CFD5994}" name="מספר נייר ערך"/>
    <tableColumn id="8" xr3:uid="{E34042DA-7DD3-4676-AA2D-E5998E8AF796}" name="סוג מספר נייר ערך"/>
    <tableColumn id="9" xr3:uid="{C0BF6CA1-93A2-4BDE-8679-F3C1D60272D0}" name="מאפיין עיקרי"/>
    <tableColumn id="10" xr3:uid="{6E518E2E-D483-4A96-A23B-3C2BDAA5250C}" name="ישראל/חו&quot;ל"/>
    <tableColumn id="11" xr3:uid="{F2C1F22C-E352-47FC-8A1B-98EC3BD4EF40}" name="מדינה לפי חשיפה כלכלית"/>
    <tableColumn id="12" xr3:uid="{46E63897-23E2-48FE-A8B5-A72277715178}" name="סטאטוס סחירות"/>
    <tableColumn id="13" xr3:uid="{B5536A8A-BABF-49C0-B0A7-6931FB0FC25C}" name="ענף מסחר"/>
    <tableColumn id="14" xr3:uid="{CFE30760-7738-4BCD-A322-ECC6462925CE}" name="בעל עניין/צד קשור"/>
    <tableColumn id="15" xr3:uid="{CF88B5F3-ACB3-4296-AB4F-F1D59CBBBE20}" name="תאריך רכישה"/>
    <tableColumn id="16" xr3:uid="{833545A1-9165-4B29-B8D6-B8D079E88C72}" name="דירוג"/>
    <tableColumn id="17" xr3:uid="{8BB17D7C-5603-4CB4-94E8-3950F3EEED49}" name="שם מדרג"/>
    <tableColumn id="18" xr3:uid="{603AE584-EAB6-4EF9-9FE3-925F6087025A}" name="דירוג נייר הערך/המנפיק"/>
    <tableColumn id="19" xr3:uid="{1EE3537F-ECA1-482F-B9A0-359ECDEE6EAB}" name="מטבע פעילות"/>
    <tableColumn id="20" xr3:uid="{60BF5669-5F93-434B-8DE8-F00F3F30F68E}" name="מח&quot;מ" dataDxfId="304"/>
    <tableColumn id="21" xr3:uid="{955343E9-4184-4B55-9572-100107E0DA2B}" name="מועד פדיון"/>
    <tableColumn id="22" xr3:uid="{81D51282-8223-45C4-8F9E-9889EA58B214}" name="תשואה לפדיון" dataDxfId="303"/>
    <tableColumn id="23" xr3:uid="{500C50AF-9EC9-4496-9A09-E5BC66083CA7}" name="שיעור ריבית" dataDxfId="302"/>
    <tableColumn id="24" xr3:uid="{5AD940DB-123F-475D-A256-3BC99365D8D6}" name="נחיתות חוזית"/>
    <tableColumn id="25" xr3:uid="{BE3497CB-10E8-4847-A6D0-1F055FE0BA5E}" name="האם סווג כחוב בעייתי"/>
    <tableColumn id="26" xr3:uid="{D9225C18-EF9E-44C1-98F5-B726B8743448}" name="סוג גורם משערך"/>
    <tableColumn id="27" xr3:uid="{A1FD692B-A0F1-46A6-9547-011BA9F14C4E}" name="תלות/אי-תלות המשערך"/>
    <tableColumn id="28" xr3:uid="{FBD6992C-3231-42AB-9074-D961E06D7236}" name="תאריך שערוך אחרון"/>
    <tableColumn id="29" xr3:uid="{A97E589C-7CA5-432B-BEA2-DE3FF98CDB3F}" name="תאריך אחרון בו נבחנה בפועל ירידת ערך"/>
    <tableColumn id="30" xr3:uid="{3A8A2C12-D9B3-441E-8AFD-566245110B10}" name="ערך נקוב (יחידות)" dataDxfId="301"/>
    <tableColumn id="31" xr3:uid="{09DA449F-F5A9-4FFC-9CFC-6D727EFED77E}" name="שער חליפין" dataDxfId="300"/>
    <tableColumn id="32" xr3:uid="{719D4855-7601-491D-B179-48F25BFED370}" name="שער נייר הערך" dataDxfId="299"/>
    <tableColumn id="33" xr3:uid="{81DF46EE-0831-4A62-9265-F1003B6559D5}" name="שווי הוגן (באלפי ש&quot;ח)" dataDxfId="298"/>
    <tableColumn id="34" xr3:uid="{D5BBDEAA-A49B-4751-B01F-560A7EA20078}" name="עלות מופחתת (באלפי ש&quot;ח)" dataDxfId="297"/>
    <tableColumn id="35" xr3:uid="{B11008CE-27CC-48F3-8FD5-0ECB28A000C7}" name="עלות מופחתת (במטבע הפעילות)" dataDxfId="296"/>
    <tableColumn id="36" xr3:uid="{5393FEDA-A496-4281-99E8-2591065EE5F9}" name="השיטה שיושמה בדוח הכספי" dataDxfId="295"/>
    <tableColumn id="37" xr3:uid="{8FA5D768-1135-4FA8-92A6-CD5E5C8D9176}" name="שיעור מנכסי אפיק ההשקעה" dataDxfId="294"/>
    <tableColumn id="38" xr3:uid="{80157ED6-35E4-471C-A2AB-ADB661B764C3}" name="שיעור מסך נכסי ההשקעה" dataDxfId="29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" altTextSummary="לא סחיר איגרות חוב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5235C02-1807-486D-B112-107B26520DA3}" name="טבלה18" displayName="טבלה18" ref="A1:Z2" totalsRowShown="0" headerRowDxfId="281" headerRowBorderDxfId="289" tableBorderDxfId="290">
  <autoFilter ref="A1:Z2" xr:uid="{D5235C02-1807-486D-B112-107B26520DA3}"/>
  <tableColumns count="26">
    <tableColumn id="1" xr3:uid="{582B89E9-D5C2-467A-BAE6-3E5F55E93797}" name="מספר קופה/קרן/ח.פ. עבור חברת ביטוח"/>
    <tableColumn id="2" xr3:uid="{68424D7E-19A8-4A0F-BAA8-7C123ADF4C3C}" name="מספר מסלול"/>
    <tableColumn id="3" xr3:uid="{AC1076ED-C4C3-4888-8E75-ECA7D0A3DF5D}" name="שם מנפיק"/>
    <tableColumn id="4" xr3:uid="{674E36DC-92D2-464C-8ABC-3A87D2CDEEBD}" name="מספר מנפיק"/>
    <tableColumn id="5" xr3:uid="{C3AC8A9F-95B5-445D-B7EF-45A485BC2B4A}" name="סוג מספר מזהה מנפיק"/>
    <tableColumn id="6" xr3:uid="{1DBFE782-460B-4752-9C1C-CB8DA360BB22}" name="שם נייר ערך"/>
    <tableColumn id="7" xr3:uid="{23A53B50-042D-4EA2-8B07-C3F9C7E59696}" name="מספר נייר ערך"/>
    <tableColumn id="8" xr3:uid="{DEC63D8A-A24E-494B-8B5D-4588FB2C73FC}" name="סוג מספר נייר ערך"/>
    <tableColumn id="9" xr3:uid="{BA26AA48-A4BA-40F9-B16E-BE45B5EBBBF6}" name="מאפיין עיקרי"/>
    <tableColumn id="10" xr3:uid="{A9C4CA91-BE47-4BA6-BB3C-271EA086E43A}" name="ישראל/חו&quot;ל"/>
    <tableColumn id="11" xr3:uid="{AAC5156C-242E-4EC0-9BE5-04A95A5D62EB}" name="מדינה לפי חשיפה כלכלית"/>
    <tableColumn id="12" xr3:uid="{9E73DDDD-C36D-4301-B4C7-AF632796CD61}" name="סטאטוס סחירות"/>
    <tableColumn id="13" xr3:uid="{808D092B-9409-425D-B1DC-1DEE0145FEED}" name="ענף מסחר"/>
    <tableColumn id="14" xr3:uid="{BB656425-3476-4D90-9318-655664F7AE86}" name="בעל עניין/צד קשור"/>
    <tableColumn id="15" xr3:uid="{7255C505-5D09-45E2-84F9-54250E227F9E}" name="תאריך רכישה"/>
    <tableColumn id="16" xr3:uid="{8976EA03-8AF7-4857-8128-85080B3DA035}" name="מטבע פעילות"/>
    <tableColumn id="17" xr3:uid="{5E044150-C90C-4366-BE2F-38CBF9642EA2}" name="סוג גורם משערך"/>
    <tableColumn id="18" xr3:uid="{51F5BE7D-3EED-49CA-9231-BE510E5235CB}" name="תלות/אי-תלות המשערך"/>
    <tableColumn id="19" xr3:uid="{DBAFB224-394E-4C93-B44E-31B3B9DDB2D8}" name="תאריך שערוך אחרון" dataDxfId="288"/>
    <tableColumn id="20" xr3:uid="{2EF93C33-3257-41D0-AF18-6EA0902CE84A}" name="תאריך אחרון בו נבחנה בפועל ירידת ערך"/>
    <tableColumn id="21" xr3:uid="{DFCF05EE-4EDA-4670-B8A5-F0EB58D1EFA6}" name="ערך נקוב (יחידות)" dataDxfId="287"/>
    <tableColumn id="22" xr3:uid="{660AD006-E5FD-4109-A4EA-E8F0ED18AACA}" name="שער חליפין" dataDxfId="286"/>
    <tableColumn id="23" xr3:uid="{51486E7A-E611-443F-A6AC-33443F553C4B}" name="שער נייר הערך" dataDxfId="285"/>
    <tableColumn id="24" xr3:uid="{7512B768-F238-4AB5-B6D2-60E6C7B296F1}" name="שווי הוגן (באלפי ש&quot;ח)" dataDxfId="284"/>
    <tableColumn id="25" xr3:uid="{7114FE9C-F621-4370-861E-914BE036F2E8}" name="שיעור מנכסי אפיק ההשקעה" dataDxfId="283"/>
    <tableColumn id="26" xr3:uid="{CFD7E5D2-2F52-4D09-8653-2FB5E317C868}" name="שיעור מסך נכסי ההשקעה" dataDxfId="28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מניות מבכ ויהש" altTextSummary="לא סחיר מניות מבכ ויהש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40959D-E89D-4B36-A6F4-6B436C6143CE}" name="טבלה19" displayName="טבלה19" ref="A1:AA91" totalsRowShown="0" headerRowDxfId="270">
  <autoFilter ref="A1:AA91" xr:uid="{3440959D-E89D-4B36-A6F4-6B436C6143CE}"/>
  <tableColumns count="27">
    <tableColumn id="1" xr3:uid="{97FC095D-B4C1-43AE-8493-EABB0609A3E0}" name="מספר מזהה קרן השקעה"/>
    <tableColumn id="2" xr3:uid="{5430AF19-309E-4442-9C8E-A43C717D2B2F}" name="מספר קופה/קרן/ח.פ. עבור חברת ביטוח"/>
    <tableColumn id="3" xr3:uid="{524E01E0-9986-45DA-A602-8444B96D025A}" name="מספר מסלול"/>
    <tableColumn id="4" xr3:uid="{5A595BA7-3181-47C4-908C-9694DF811F00}" name="שם שותף כללי קרן השקעות" dataDxfId="280"/>
    <tableColumn id="5" xr3:uid="{62DE1A15-C949-4A19-8240-6D1CB632B34B}" name="מספר מזהה שותף כללי קרן השקעות"/>
    <tableColumn id="6" xr3:uid="{7C887FA8-9B61-4620-8F9E-080E3530BCFB}" name="סוג מספר מזהה שותף כללי קרן השקעות"/>
    <tableColumn id="7" xr3:uid="{ED19AFF9-C7D7-4940-A732-D8CE51278ED9}" name="שם קרן השקעה"/>
    <tableColumn id="8" xr3:uid="{EC0CDF90-8DF8-47B8-B069-3CA8762A6388}" name=" מספר מזהה קרן השקעה"/>
    <tableColumn id="9" xr3:uid="{4E5AA956-FF97-4F6F-AD1A-EBDD6FB716E9}" name="סוג מספר מזהה קרן השקעות"/>
    <tableColumn id="10" xr3:uid="{DC9FAA57-1519-4684-A4A2-6DEC6D3F5132}" name="מאפיין עיקרי"/>
    <tableColumn id="11" xr3:uid="{7E267BBE-7D86-4A2D-91E7-2C1367291F94}" name="אסטרטגיית קרן ההשקעה"/>
    <tableColumn id="12" xr3:uid="{71567F65-4779-4ED1-B893-D06140E194D5}" name="ישראל/חו&quot;ל"/>
    <tableColumn id="13" xr3:uid="{D32AD978-869D-4846-88D7-0EDB47D805EC}" name="מדינת התאגדות קרן השקעה"/>
    <tableColumn id="14" xr3:uid="{BE2C08E0-20F6-4704-B8AF-F76488599F30}" name="מיקום משרד השותף הכללי" dataDxfId="279"/>
    <tableColumn id="15" xr3:uid="{D58D6715-7F9F-495D-8C1E-4CA5CA76C4CD}" name="מדינה לפי חשיפה כלכלית"/>
    <tableColumn id="16" xr3:uid="{280B18F0-4FBB-47E7-8F8D-0E5CA8B89F37}" name="בעל עניין/צד קשור"/>
    <tableColumn id="17" xr3:uid="{FB23F629-290F-4898-AC34-452D07E511B2}" name="תאריך רכישה" dataDxfId="278"/>
    <tableColumn id="18" xr3:uid="{AC81621D-0A98-4EFD-86F3-E47E2A543BFD}" name="מטבע פעילות"/>
    <tableColumn id="19" xr3:uid="{86800CE9-8840-4F51-B7D8-FB705C6979FA}" name="סוג גורם משערך"/>
    <tableColumn id="20" xr3:uid="{C98CCA80-B9C4-4922-9A56-44540A8EDC72}" name="תלות/אי-תלות המשערך"/>
    <tableColumn id="21" xr3:uid="{20E18742-0ECA-4E6E-AED2-3213E31C1E7F}" name="תאריך שערוך אחרון" dataDxfId="277"/>
    <tableColumn id="22" xr3:uid="{9B8A5041-3A81-4F93-B8C9-850970B20A1F}" name="שער חליפין" dataDxfId="276"/>
    <tableColumn id="23" xr3:uid="{F30F47E3-2828-4FFE-AA3C-0FBD37F5A6B3}" name="NAV_x000a_(במטבע הדיווח של קרן ההשקעה)" dataDxfId="275"/>
    <tableColumn id="24" xr3:uid="{2A2B1893-BEBA-4CBA-8BCC-354873490FA5}" name="שווי הוגן (באלפי ש&quot;ח)" dataDxfId="274"/>
    <tableColumn id="25" xr3:uid="{D495C8F7-B3C1-4F35-BFA3-C04E169C4180}" name="שיעור החזקה בקרן השקעה" dataDxfId="273"/>
    <tableColumn id="26" xr3:uid="{D801B7FE-0A7E-4305-8ED9-F6894909F06C}" name="שיעור מנכסי אפיק ההשקעה" dataDxfId="272"/>
    <tableColumn id="27" xr3:uid="{C541F785-A3CE-482D-9111-584F1992B955}" name="שיעור מסך נכסי ההשקעה" dataDxfId="27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השקעה" altTextSummary="קרנות השקעה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2E4C929-F0BE-454E-B8A4-533D4587602B}" name="טבלה20" displayName="טבלה20" ref="A1:AB2" totalsRowShown="0" headerRowDxfId="232" dataDxfId="233" headerRowBorderDxfId="260" tableBorderDxfId="261">
  <autoFilter ref="A1:AB2" xr:uid="{02E4C929-F0BE-454E-B8A4-533D4587602B}"/>
  <tableColumns count="28">
    <tableColumn id="1" xr3:uid="{ACE95D2E-EA10-4730-89F9-899025DD80D5}" name="מספר קופה/קרן/ח.פ. עבור חברת ביטוח"/>
    <tableColumn id="2" xr3:uid="{430FE4FD-38E3-4733-84B8-00DD46829F86}" name="מספר מסלול"/>
    <tableColumn id="3" xr3:uid="{F1278221-9BDF-4521-B6A1-598545C860F2}" name="שם מנפיק" dataDxfId="259"/>
    <tableColumn id="4" xr3:uid="{DC8C024F-84A4-4292-9CFA-6E9FED240C34}" name="מספר מנפיק" dataDxfId="258"/>
    <tableColumn id="5" xr3:uid="{C7C3649B-00B0-4C38-AC6B-37B4BD8C4243}" name="סוג מספר מזהה מנפיק" dataDxfId="257"/>
    <tableColumn id="6" xr3:uid="{00FBFE96-E2A2-4FEA-B108-F189F724A7C7}" name="שם נייר ערך" dataDxfId="256"/>
    <tableColumn id="7" xr3:uid="{BE90F779-0AF7-4BD1-AB2F-1632FD038025}" name="מספר נייר ערך" dataDxfId="255"/>
    <tableColumn id="8" xr3:uid="{C9FDFBEA-D4E3-4B15-9CFE-5052D45C7EBE}" name="סוג מספר נייר ערך" dataDxfId="254"/>
    <tableColumn id="9" xr3:uid="{98BA07FA-5CEF-42AE-BF86-C9BA29337AED}" name="ישראל/חו&quot;ל" dataDxfId="253"/>
    <tableColumn id="10" xr3:uid="{9015B101-3520-4DE8-B9B9-16DDAAC04151}" name="מדינה לפי חשיפה כלכלית" dataDxfId="252"/>
    <tableColumn id="11" xr3:uid="{7889785B-C132-4C2B-AA18-69F9F77BC04D}" name="סטאטוס סחירות" dataDxfId="251"/>
    <tableColumn id="12" xr3:uid="{28D07A11-95EE-4241-8831-F89232CCBF1B}" name="נכס בסיס (כתב אופציה)" dataDxfId="250"/>
    <tableColumn id="13" xr3:uid="{D3B7882B-23A5-4FE8-BBCE-770A3AF2D080}" name="ענף מסחר" dataDxfId="249"/>
    <tableColumn id="14" xr3:uid="{0A5FABC8-4BE7-43EB-9E1B-3B58B1179348}" name="תאריך פקיעה" dataDxfId="248"/>
    <tableColumn id="15" xr3:uid="{59C027A7-0326-429B-A63A-B667E039A780}" name="בעל עניין/צד קשור" dataDxfId="247"/>
    <tableColumn id="16" xr3:uid="{7F3642E8-5192-477B-8745-6936D6E9FC83}" name="תאריך רכישה" dataDxfId="246"/>
    <tableColumn id="17" xr3:uid="{FA52C6C7-591D-4F02-85DF-F83489B29A35}" name="מטבע פעילות" dataDxfId="245"/>
    <tableColumn id="18" xr3:uid="{65D42770-C89A-4470-8BE9-FE7573378F21}" name="סוג גורם משערך" dataDxfId="244"/>
    <tableColumn id="19" xr3:uid="{549569AF-81DF-46F3-B2DB-B2E7279AFE9F}" name="תלות/אי-תלות המשערך" dataDxfId="243"/>
    <tableColumn id="20" xr3:uid="{82F774E9-40A4-4BB6-AB47-384F8732346F}" name="תאריך שערוך אחרון" dataDxfId="242"/>
    <tableColumn id="21" xr3:uid="{04752015-F0F5-48C5-A7BF-B3C1999A0F9A}" name="שער מימוש" dataDxfId="241"/>
    <tableColumn id="22" xr3:uid="{F0885D19-D8E0-4564-82AA-223133C0F82B}" name="יחס המרה" dataDxfId="240"/>
    <tableColumn id="23" xr3:uid="{CF9D252A-C9F3-48E6-8C00-0F8AD9599D13}" name="ערך נקוב (יחידות)" dataDxfId="239"/>
    <tableColumn id="24" xr3:uid="{85FB6E1C-B214-4857-8C3C-96B6B57D63DF}" name="שער נייר הערך" dataDxfId="238"/>
    <tableColumn id="25" xr3:uid="{0794D6A2-9C29-425F-99EF-5580CB54FEBA}" name="שער חליפין" dataDxfId="237"/>
    <tableColumn id="26" xr3:uid="{039AA766-5000-4645-B211-B1BA70EFA247}" name="שווי הוגן (באלפי ש&quot;ח)" dataDxfId="236"/>
    <tableColumn id="27" xr3:uid="{0078318D-6662-4140-B327-D2977A1A7F68}" name="שיעור מנכסי אפיק ההשקעה" dataDxfId="235"/>
    <tableColumn id="28" xr3:uid="{78775E23-DF4A-40F3-80CC-C5A92AECAC88}" name="שיעור מסך נכסי ההשקעה" dataDxfId="23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כתבי אופציה" altTextSummary="לא סחיר כתבי אופציה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FE15DF7-12C2-4825-A970-1C1EA872463C}" name="טבלה21" displayName="טבלה21" ref="A1:AB2" totalsRowShown="0" headerRowDxfId="202" dataDxfId="203" headerRowBorderDxfId="230" tableBorderDxfId="231">
  <autoFilter ref="A1:AB2" xr:uid="{FFE15DF7-12C2-4825-A970-1C1EA872463C}"/>
  <tableColumns count="28">
    <tableColumn id="1" xr3:uid="{FA708935-D117-4438-9D87-3803409F92A6}" name="מספר קופה/קרן/ח.פ. עבור חברת ביטוח"/>
    <tableColumn id="2" xr3:uid="{6F587D40-1DB5-4F4E-86AC-4D7751582186}" name="מספר מסלול"/>
    <tableColumn id="3" xr3:uid="{170616C5-F9A6-4F4D-BD82-29B29A57DD6B}" name="שם מנפיק" dataDxfId="229"/>
    <tableColumn id="4" xr3:uid="{CED1AD47-C0A3-47C2-8CBF-9B2A8CE8398D}" name="מספר מנפיק" dataDxfId="228"/>
    <tableColumn id="5" xr3:uid="{47477381-2C64-4B7A-AD65-78081D1820C8}" name="סוג מספר מזהה מנפיק" dataDxfId="227"/>
    <tableColumn id="6" xr3:uid="{FB80E120-1F8F-4E7B-8D5C-4881CC41612D}" name="שם נייר ערך" dataDxfId="226"/>
    <tableColumn id="7" xr3:uid="{CE86A642-629C-4762-BA88-831F67ADF6CC}" name="מספר נייר ערך" dataDxfId="225"/>
    <tableColumn id="8" xr3:uid="{7B65B7C1-2D26-42A4-AA04-66F335C9AC4A}" name="סוג מספר נייר ערך" dataDxfId="224"/>
    <tableColumn id="9" xr3:uid="{0D878A97-A4F4-4C8A-9B53-82473218B521}" name="מאפיין עיקרי" dataDxfId="223"/>
    <tableColumn id="10" xr3:uid="{C24719CF-413C-4E76-AC82-CE1901961A7B}" name="ישראל/חו&quot;ל" dataDxfId="222"/>
    <tableColumn id="11" xr3:uid="{BE70D4EB-E2A5-46BB-90EB-B6F936A61CAE}" name="מדינה לפי חשיפה כלכלית" dataDxfId="221"/>
    <tableColumn id="12" xr3:uid="{B9CF9447-28A8-4926-B70F-BA349829A228}" name="ענף מסחר" dataDxfId="220"/>
    <tableColumn id="13" xr3:uid="{CC8BD74F-5D52-4F18-BA60-EB3A5D484D9F}" name="נכס בסיס" dataDxfId="219"/>
    <tableColumn id="14" xr3:uid="{9005327B-1E13-430B-A443-9B25FC35DA0D}" name="תאריך פקיעה" dataDxfId="218"/>
    <tableColumn id="15" xr3:uid="{3EC5E1B8-88A5-422D-8D8A-0DA2D260DB3C}" name="בעל עניין/צד קשור" dataDxfId="217"/>
    <tableColumn id="16" xr3:uid="{6BE2AD99-8DDB-44C1-940E-158E8256C513}" name="תאריך רכישה" dataDxfId="216"/>
    <tableColumn id="17" xr3:uid="{368C9CBD-B456-476E-99B9-C8703210E963}" name="מטבע פעילות" dataDxfId="215"/>
    <tableColumn id="18" xr3:uid="{68CC66CF-6131-439D-A6B4-7CB136B61E2A}" name="סוג גורם משערך" dataDxfId="214"/>
    <tableColumn id="19" xr3:uid="{F2F795C8-C595-464B-8726-36379D069EA3}" name="תלות/אי-תלות המשערך" dataDxfId="213"/>
    <tableColumn id="20" xr3:uid="{9F753AA2-0586-4251-B41E-62155C04B56C}" name="תאריך שערוך אחרון" dataDxfId="212"/>
    <tableColumn id="21" xr3:uid="{F4E76278-4693-4057-8EB9-2E5FCFBCC7B8}" name="שער מימוש" dataDxfId="211"/>
    <tableColumn id="22" xr3:uid="{25FE32B9-E48E-417D-9AB2-145EEFA8C2D5}" name="יחס המרה" dataDxfId="210"/>
    <tableColumn id="23" xr3:uid="{7EE7260A-F26C-41FD-8D6C-250D5E1D29C5}" name="ערך נקוב (יחידות)" dataDxfId="209"/>
    <tableColumn id="24" xr3:uid="{BD5A58F0-2620-4084-B0B8-B0603F6C99D1}" name="שער נייר הערך" dataDxfId="208"/>
    <tableColumn id="25" xr3:uid="{94B144E5-0B7A-440C-B236-C23F657EF9EE}" name="שער חליפין" dataDxfId="207"/>
    <tableColumn id="26" xr3:uid="{37671577-C4FB-4C47-A602-BD0256DF81DA}" name="שווי הוגן (בש&quot;ח)" dataDxfId="206"/>
    <tableColumn id="27" xr3:uid="{F897DECE-99AC-4B79-88F2-1FCE14A460C8}" name="שיעור מנכסי אפיק ההשקעה" dataDxfId="205"/>
    <tableColumn id="28" xr3:uid="{5A6CF708-D688-4E0C-9C6E-2E00805FB4CB}" name="שיעור מסך נכסי ההשקעה" dataDxfId="20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ופציות" altTextSummary="לא סחיר אופציות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BCDAE40-2EC0-4DC6-BBB5-9C99F441B602}" name="טבלה22" displayName="טבלה22" ref="A1:AO3" totalsRowShown="0" headerRowDxfId="166" headerRowBorderDxfId="200" tableBorderDxfId="201">
  <autoFilter ref="A1:AO3" xr:uid="{FBCDAE40-2EC0-4DC6-BBB5-9C99F441B602}"/>
  <tableColumns count="41">
    <tableColumn id="1" xr3:uid="{EDCB4A0B-D34D-4467-9C87-C42E10DFA73C}" name="מספר קופה/קרן/ח.פ. עבור חברת ביטוח"/>
    <tableColumn id="2" xr3:uid="{1FFC55C9-74D7-437F-A1E5-D6A59E3681A6}" name="מספר מסלול"/>
    <tableColumn id="3" xr3:uid="{8DCD1BF3-C86A-417D-8506-ABDFB36B394D}" name="מאפיין עיקרי"/>
    <tableColumn id="4" xr3:uid="{E037C85C-3954-4975-AC5B-331E08D022E3}" name="מספר עסקה (רגל 1)" dataDxfId="199"/>
    <tableColumn id="5" xr3:uid="{DB52B896-4AB2-44DD-BFA6-72EAEC3E2566}" name="מטבע פעילות (רגל 1)" dataDxfId="198"/>
    <tableColumn id="6" xr3:uid="{D2E3A717-349C-47C0-957A-A99722C0DDA9}" name="שער חליפין" dataDxfId="197"/>
    <tableColumn id="7" xr3:uid="{83C2C992-61D3-48F1-9801-A8DB923B06D8}" name="ערך נקוב (רגל 1)" dataDxfId="196"/>
    <tableColumn id="8" xr3:uid="{63CF4FB2-82BD-4BC4-8BF3-30762BFAF463}" name="שווי הוגן במטבע הנסחר (רגל 1)" dataDxfId="195"/>
    <tableColumn id="9" xr3:uid="{51AE3CD8-D73D-4433-8AD7-B8882B69613B}" name="שיעור מנכסי אפיק ההשקעה (רגל 1)" dataDxfId="194"/>
    <tableColumn id="10" xr3:uid="{9E399A7A-8A0F-4AC6-89EC-9306511A88E4}" name="שיעור מסך נכסי ההשקעה (רגל 1)" dataDxfId="193"/>
    <tableColumn id="11" xr3:uid="{9B510DA2-8B61-4283-A044-6B2D845B4B24}" name="מספר עסקה (רגל 2)"/>
    <tableColumn id="12" xr3:uid="{AC9E7537-EC27-4DBC-973C-74D37374CE55}" name="מטבע פעילות (רגל 2)" dataDxfId="192"/>
    <tableColumn id="13" xr3:uid="{F7C6C85E-D88A-4354-B8BC-78DF3AD70BD8}" name="שער חליפין2" dataDxfId="191"/>
    <tableColumn id="14" xr3:uid="{BD32E848-F2CD-4B50-BB06-DF1D5F761CD0}" name="ערך נקוב (רגל 2)" dataDxfId="190"/>
    <tableColumn id="15" xr3:uid="{87CD9BCA-75A4-46D3-A7ED-A9DB739E548E}" name="שווי הוגן במטבע הנסחר (רגל 2)" dataDxfId="189"/>
    <tableColumn id="16" xr3:uid="{ED53B21B-BBA2-4A15-A555-087EB21C6A20}" name="שיעור מנכסי ההשקעה (רגל 2)" dataDxfId="188"/>
    <tableColumn id="17" xr3:uid="{2F321839-B8A4-46D3-8409-7C26AFEBA84F}" name="שיעור מסך אפיק ההשקעה (רגל 2)" dataDxfId="187"/>
    <tableColumn id="18" xr3:uid="{FF3DB0D7-9B86-489B-ACD4-8ED0F26EADC8}" name="שווי הוגן (נטו  באלפי ש&quot;ח)" dataDxfId="186"/>
    <tableColumn id="19" xr3:uid="{CA8A51AD-D6CF-4CFA-A674-01AEABD12A38}" name="ישראל/חו&quot;ל"/>
    <tableColumn id="20" xr3:uid="{3143FED8-16D3-4D4C-93FC-EFCB40B4B463}" name="מדינה לפי חשיפה כלכלית" dataDxfId="185"/>
    <tableColumn id="21" xr3:uid="{BE1391F7-47F4-4BF8-B766-7AADCD3E10A0}" name="סוג הנכס" dataDxfId="184"/>
    <tableColumn id="22" xr3:uid="{1A388726-6F0C-49ED-B482-64AB197A98EC}" name="פקטור מוביל" dataDxfId="183"/>
    <tableColumn id="23" xr3:uid="{9887BE51-B81E-4DA8-93D0-0B7A062EEDB7}" name="פקטור נוסף" dataDxfId="182"/>
    <tableColumn id="24" xr3:uid="{7707C689-E897-430B-AF6B-D3BE7152D826}" name="טיקר" dataDxfId="181"/>
    <tableColumn id="25" xr3:uid="{7B68F791-BB6A-4E9F-9261-BB6292BE75EA}" name="בעל עניין/צד קשור"/>
    <tableColumn id="26" xr3:uid="{2E5CB6BD-F976-4986-9AA0-3132EB6B9D70}" name="מועד ההתקשרות בעסקה" dataDxfId="180"/>
    <tableColumn id="27" xr3:uid="{BEAEE73D-C0AE-4E65-AA4D-94B97FFFF260}" name="מועד סיום חוזי" dataDxfId="179"/>
    <tableColumn id="28" xr3:uid="{8101286D-FD0C-4B2C-B843-CEDA9C624068}" name="תדירות Reset" dataDxfId="178"/>
    <tableColumn id="29" xr3:uid="{EF341982-96D3-4D26-A6AB-23BE31D8437F}" name="סוג הסליקה" dataDxfId="177"/>
    <tableColumn id="30" xr3:uid="{79DBE36F-9133-4AAB-B7D7-316BEB621869}" name="נספח התחשבנות בטחונות - CSA" dataDxfId="176"/>
    <tableColumn id="31" xr3:uid="{8125A948-73F5-4A2A-8BD0-1B8B59623056}" name="גורם מצטט" dataDxfId="175"/>
    <tableColumn id="32" xr3:uid="{02D5BD4A-CA69-4992-9230-6240BD6F7DD0}" name="ריבית עוגן" dataDxfId="174"/>
    <tableColumn id="33" xr3:uid="{841B0AE7-E100-4E14-9116-55526AA1BF3C}" name="תקופת ריבית עוגן" dataDxfId="173"/>
    <tableColumn id="34" xr3:uid="{E2AE8A57-C4EC-47AA-8B55-C73605208176}" name="שיעור ריבית עוגן"/>
    <tableColumn id="35" xr3:uid="{12357919-C1D1-4A61-968E-D5A784B149AF}" name="שער נכס הבסיס במועד ההתקשרות בעסקה" dataDxfId="172"/>
    <tableColumn id="36" xr3:uid="{54A8B9BC-2DBF-4A95-8194-B3E33B8346F1}" name="שער הנגזר במועד ההתקשרות בעסקה" dataDxfId="171"/>
    <tableColumn id="37" xr3:uid="{CC98CD3D-F68C-4D7D-9B50-B2E2D3D10AF3}" name="האם קיים קנס בגין יציאה מוקדמת" dataDxfId="170"/>
    <tableColumn id="38" xr3:uid="{245CB354-5BB2-4970-BC90-996958CBA1FA}" name="שיעור הקנס בגין יציאה מוקדמת" dataDxfId="169"/>
    <tableColumn id="39" xr3:uid="{E578754B-5496-4967-BC1E-CE208DCE1063}" name="צד נגדי - Counterparty"/>
    <tableColumn id="40" xr3:uid="{1919810A-072A-41E5-B1D8-94A48EC9222A}" name="שיעור מנכסי אפיק ההשקעה" dataDxfId="168"/>
    <tableColumn id="41" xr3:uid="{A111F510-57F8-40DC-9CB5-1204CFB2F3E9}" name="שיעור מסך נכסי ההשקעה" dataDxfId="16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נגזרים אחרים" altTextSummary="לא סחיר נגזרים אחרים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C1DFB0E-6489-4FA0-B4CD-291E302507AD}" name="טבלה23" displayName="טבלה23" ref="A1:BA15" totalsRowShown="0" headerRowDxfId="143" headerRowBorderDxfId="164" tableBorderDxfId="165">
  <autoFilter ref="A1:BA15" xr:uid="{1C1DFB0E-6489-4FA0-B4CD-291E302507AD}"/>
  <tableColumns count="53">
    <tableColumn id="1" xr3:uid="{AC971E83-AD4A-4CE5-BB26-42AC65ECB29A}" name="מספר קופה/קרן/ח.פ. עבור חברת ביטוח"/>
    <tableColumn id="2" xr3:uid="{D30D1785-0DDB-4B92-A8F9-E6DCFD3560F8}" name="מספר מסלול"/>
    <tableColumn id="3" xr3:uid="{A22981A6-179B-4F7F-A55A-79A7DF3D2983}" name="מספר מזהה לווה"/>
    <tableColumn id="4" xr3:uid="{6D34E9B5-BB63-4FEA-9508-576D1535718A}" name="סוג מספר מזהה לווה"/>
    <tableColumn id="5" xr3:uid="{B19B1125-CF74-4757-AE8B-E6702FA4B93A}" name="שם הלוואה"/>
    <tableColumn id="6" xr3:uid="{D7CBB9AE-855E-4B24-BE4F-DB945FDBAB94}" name="מספר הלוואה"/>
    <tableColumn id="7" xr3:uid="{63D47151-54BE-40A2-95C2-C5C030BF860F}" name="מאפיין עיקרי"/>
    <tableColumn id="8" xr3:uid="{0CC10962-9656-410C-8D8F-DB77DB95ED7F}" name="מאפיין הלוואות מתואמות עבור זכויות מקרקעין"/>
    <tableColumn id="9" xr3:uid="{8AE0BD54-2A7D-4246-9496-98E4753886CC}" name="ישראל/חו&quot;ל"/>
    <tableColumn id="10" xr3:uid="{31E41DB2-4897-4E70-9144-EEF205455E76}" name="מדינה לפי חשיפה כלכלית"/>
    <tableColumn id="11" xr3:uid="{52559A48-027A-4EF3-B09C-3C99A485986A}" name="ענף מסחר"/>
    <tableColumn id="12" xr3:uid="{CBDBAD50-06AA-4A36-B849-A4FCC6FD4E72}" name="בעל עניין/צד קשור"/>
    <tableColumn id="13" xr3:uid="{1A286CF9-C0F0-4F4A-8B28-FDCA46022222}" name="קונסורציום/ סינדיקציה"/>
    <tableColumn id="14" xr3:uid="{71A26CB2-5A8A-4CB9-8143-E05497E3AF90}" name="מספר קונסורציום/ סינדיקציה" dataDxfId="163"/>
    <tableColumn id="15" xr3:uid="{0972AAC9-F81B-471C-AD9F-9DCD71A9FCEF}" name="תאריך העמדת הלוואה"/>
    <tableColumn id="16" xr3:uid="{14ECF345-85F0-4B04-A62F-267097F304D4}" name="דירוג" dataDxfId="162"/>
    <tableColumn id="17" xr3:uid="{9C9BEDA2-696D-419E-BC6A-AE3DBCB03A5C}" name="שם מדרג"/>
    <tableColumn id="18" xr3:uid="{C49A6137-DCE4-47C4-9784-8D5B4795201E}" name="דירוג הלוואה/המנפיק"/>
    <tableColumn id="19" xr3:uid="{E0322869-0062-468A-9A52-97CD04821E65}" name="מטבע פעילות"/>
    <tableColumn id="20" xr3:uid="{919F4A40-1B11-43BE-A183-E128E05C27B6}" name="מח&quot;מ" dataDxfId="161"/>
    <tableColumn id="21" xr3:uid="{75B128D0-C19E-42BD-A697-0F1B147122DC}" name="סוג הריבית"/>
    <tableColumn id="22" xr3:uid="{AD59D39B-7E5A-404D-AEF1-F98118BF98E7}" name="שיעור ריבית" dataDxfId="160"/>
    <tableColumn id="23" xr3:uid="{1009AC09-B160-4297-8739-6D79ABF7916C}" name="סוג הצמדה"/>
    <tableColumn id="24" xr3:uid="{6C2E1945-775C-457D-B104-A3FDA66F769A}" name="ריבית עוגן"/>
    <tableColumn id="25" xr3:uid="{E780EC6D-8518-45FF-A4EC-5BD15CB2EDBD}" name="שיעור תוספת/הפחתה לריבית העוגן" dataDxfId="159"/>
    <tableColumn id="26" xr3:uid="{1AE196A0-69E7-4E59-9531-A154DE2DE5BE}" name="תשואה לפדיון" dataDxfId="158"/>
    <tableColumn id="27" xr3:uid="{9423883A-4BAC-4E9D-9E99-A8651823E950}" name="מועד פדיון"/>
    <tableColumn id="28" xr3:uid="{B6AD9F79-EE75-443D-81A4-BF149570A3C6}" name="נחיתות חוזית"/>
    <tableColumn id="29" xr3:uid="{C0CB2916-5F68-43C4-9CC2-452B7F7D9BE8}" name="סוג בטוחה"/>
    <tableColumn id="30" xr3:uid="{752B1EDE-D0CF-4911-A332-5DE7CBF0F01F}" name="שווי הבטוחות העומדות כנגד ההלוואה" dataDxfId="157"/>
    <tableColumn id="31" xr3:uid="{C57FF5C1-117C-48DE-A721-46DAD0AF4D3B}" name="שיעור הבטוחות מהחוב" dataDxfId="156"/>
    <tableColumn id="32" xr3:uid="{C2D7630E-4B02-442A-8109-50BCE8527672}" name="מועד עדכון אחרון לשווי הבטוחות" dataDxfId="155"/>
    <tableColumn id="33" xr3:uid="{0F37D196-5BF6-461B-9885-5E49D4D3B436}" name="זכות חזרה"/>
    <tableColumn id="34" xr3:uid="{C650D130-13FF-4611-B162-65B5FEE04FB6}" name="מבנה לוח סילוקין"/>
    <tableColumn id="35" xr3:uid="{A20C6AB4-37AE-4EFD-B301-3DF1B7F0FA27}" name="יעוד הלוואה"/>
    <tableColumn id="36" xr3:uid="{CD373213-9C54-4741-A1E9-33B169E0FBAE}" name="זכות פירעון מוקדם"/>
    <tableColumn id="37" xr3:uid="{B19C3180-F92C-4407-AA7C-48FB0AA39FE6}" name="סוג גורם משערך"/>
    <tableColumn id="38" xr3:uid="{CA365781-067D-41B6-8E16-E75E9D354152}" name="שם גורם משערך"/>
    <tableColumn id="39" xr3:uid="{4ECA7DDE-C6DD-443E-9C5D-B5B8FECD9449}" name="תלות/אי-תלות המשערך"/>
    <tableColumn id="40" xr3:uid="{F75F033E-059A-4B06-BCF1-DC9975135A98}" name="תאריך שערוך אחרון"/>
    <tableColumn id="41" xr3:uid="{D205BA96-D4DE-41D5-9C49-1BBD6FFEFA03}" name="תאריך אחרון בו נבחנה בפועל ירידת ערך"/>
    <tableColumn id="42" xr3:uid="{9BF5B0F6-3D28-47DB-977A-25242F1D4909}" name="שיעור ריבית בגין אי-ניצול מסגרת האשראי" dataDxfId="154"/>
    <tableColumn id="43" xr3:uid="{1728E791-AD39-490A-B7F6-4CF80194319E}" name="ערך נקוב" dataDxfId="153"/>
    <tableColumn id="44" xr3:uid="{E1385BE1-D8AB-4A91-8E30-E943688540EF}" name="שער הלוואה" dataDxfId="152"/>
    <tableColumn id="45" xr3:uid="{BA8DA98B-DB48-42A9-8D4B-CA02798250DE}" name="שער חליפין" dataDxfId="151"/>
    <tableColumn id="46" xr3:uid="{47F5DA8C-B9E8-4BFD-828C-678DEC8C9FD3}" name="שווי הוגן (באלפי ש&quot;ח)" dataDxfId="150"/>
    <tableColumn id="47" xr3:uid="{BF971F8E-2436-4DE9-9916-49BFC0F8E68B}" name="שווי הוגן (במטבע הפעילות)" dataDxfId="149"/>
    <tableColumn id="48" xr3:uid="{507FCF00-9EC0-4F1D-8F11-C0F4DA4B34EE}" name="עלות מופחתת (באלפי ש&quot;ח)" dataDxfId="148"/>
    <tableColumn id="49" xr3:uid="{05AA2668-B81D-4FE2-87B4-E413DE58B4E3}" name="עלות מופחתת (במטבע הפעילות)" dataDxfId="147"/>
    <tableColumn id="50" xr3:uid="{5606EC41-E5EA-409E-A034-F69B3CD0499E}" name="האם סווג כחוב בעייתי"/>
    <tableColumn id="51" xr3:uid="{90BD5266-E37E-462B-88B4-EE962E9B1981}" name="השיטה שיושמה בדוח הכספי" dataDxfId="146"/>
    <tableColumn id="52" xr3:uid="{16F6CBDB-32E3-41B4-A271-194C6041B3A5}" name="שיעור מנכסי אפיק ההשקעה" dataDxfId="145"/>
    <tableColumn id="53" xr3:uid="{9EE8CD2F-C3CE-46A2-988F-3FD702891DDC}" name="שיעור מסך נכסי ההשקעה" dataDxfId="14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לוואות" altTextSummary="הלוואות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CC71365-DC7C-438B-8816-18B8EB5EFDB7}" name="טבלה24" displayName="טבלה24" ref="A1:AD2" totalsRowShown="0" headerRowDxfId="111" dataDxfId="112" headerRowBorderDxfId="141" tableBorderDxfId="142">
  <autoFilter ref="A1:AD2" xr:uid="{7CC71365-DC7C-438B-8816-18B8EB5EFDB7}"/>
  <tableColumns count="30">
    <tableColumn id="1" xr3:uid="{B690BA5B-CB7A-4597-B0BA-4053E79F7D0D}" name="מספר קופה/קרן/ח.פ. עבור חברת ביטוח"/>
    <tableColumn id="2" xr3:uid="{8AE69206-01A5-489D-BB45-B2338E6279B4}" name="מספר מסלול"/>
    <tableColumn id="3" xr3:uid="{52D1BFE1-1DEE-470B-B54A-08D4637A0F2A}" name="שם מנפיק" dataDxfId="140"/>
    <tableColumn id="4" xr3:uid="{AB0D471A-06EC-4163-99AE-EA82DB64C530}" name="מספר מנפיק" dataDxfId="139"/>
    <tableColumn id="5" xr3:uid="{877859FD-7318-49FB-94A3-AC1F421EFF3F}" name="סוג מספר מזהה מנפיק" dataDxfId="138"/>
    <tableColumn id="6" xr3:uid="{665F7A0A-8AC4-46DF-9B3C-D4C8D8FDAEF8}" name="שם נייר ערך" dataDxfId="137"/>
    <tableColumn id="7" xr3:uid="{C4EDC658-94F9-491A-9ECE-2F709C3CEF92}" name="מספר נייר ערך" dataDxfId="136"/>
    <tableColumn id="8" xr3:uid="{F4B8E15A-F190-47DE-A6ED-03252B2A3B14}" name="סוג מספר נייר ערך" dataDxfId="135"/>
    <tableColumn id="9" xr3:uid="{EADB52D2-5892-48DD-A814-6AAFC73E097B}" name="מאפיין עיקרי" dataDxfId="134"/>
    <tableColumn id="10" xr3:uid="{5327A25E-2E48-4A9F-9C35-66BC988956EC}" name="ישראל/חו&quot;ל" dataDxfId="133"/>
    <tableColumn id="11" xr3:uid="{45B43D00-3D5F-476B-8975-E4B9258798EF}" name="מדינה לפי חשיפה כלכלית" dataDxfId="132"/>
    <tableColumn id="12" xr3:uid="{87376C72-E6C3-4BF7-A49D-4F1B2EF355FD}" name="בעל עניין/צד קשור" dataDxfId="131"/>
    <tableColumn id="13" xr3:uid="{F23A9C7F-8E85-4A36-B899-C35B4388A975}" name="נכס בסיס" dataDxfId="130"/>
    <tableColumn id="14" xr3:uid="{8FC1F5FB-604B-4208-92BF-77AE71344CD8}" name="תאריך רכישה" dataDxfId="129"/>
    <tableColumn id="15" xr3:uid="{CD3FEB84-5BD1-4FC5-BCF1-27A505B2B845}" name="דירוג" dataDxfId="128"/>
    <tableColumn id="16" xr3:uid="{C9A214D6-8DA0-4E51-970B-323DDEAD5C50}" name="שם מדרג" dataDxfId="127"/>
    <tableColumn id="17" xr3:uid="{9CAB2C2F-A495-423B-9414-5EBDA4042AD2}" name="דירוג נייר הערך/המנפיק" dataDxfId="126"/>
    <tableColumn id="18" xr3:uid="{8C90DD04-00B4-45FC-9950-A7A04AD9283A}" name="מטבע פעילות" dataDxfId="125"/>
    <tableColumn id="19" xr3:uid="{FBAB86CA-5125-442D-ADF0-47FADA372B67}" name="מח&quot;מ" dataDxfId="124"/>
    <tableColumn id="20" xr3:uid="{E76EE776-76D0-406D-9C82-BAE392DCEB23}" name="שיעור ריבית" dataDxfId="123"/>
    <tableColumn id="21" xr3:uid="{BB167396-0A10-4204-91F0-2CBEDF65AEEB}" name="תשואה לפדיון" dataDxfId="122"/>
    <tableColumn id="22" xr3:uid="{774ABE03-DC1A-4014-AA65-A26471C3B75D}" name="סוג גורם משערך" dataDxfId="121"/>
    <tableColumn id="23" xr3:uid="{1070623B-C8D6-4450-A2F5-7FAEC4CC4379}" name="תלות/אי-תלות המשערך" dataDxfId="120"/>
    <tableColumn id="24" xr3:uid="{DAAF9152-0DB1-427D-BAA1-0FB2643277CC}" name="תאריך שערוך אחרון" dataDxfId="119"/>
    <tableColumn id="25" xr3:uid="{E731713D-F37C-42E3-AA03-9A5CD1629353}" name="ערך נקוב (יחידות)" dataDxfId="118"/>
    <tableColumn id="26" xr3:uid="{8E68C93E-2FE8-4B69-B18E-8F9625E44EEF}" name="שער חליפין" dataDxfId="117"/>
    <tableColumn id="27" xr3:uid="{72708DC9-455B-48C3-AA73-477A2F038D7D}" name="שער נייר הערך" dataDxfId="116"/>
    <tableColumn id="28" xr3:uid="{A8DFE57B-2E71-416E-AA79-1D9A52991AD4}" name="שווי הוגן (באלפי ש&quot;ח)" dataDxfId="115"/>
    <tableColumn id="29" xr3:uid="{5CA0C1F6-44DC-4BB8-90E7-EED9ACEC0375}" name="שיעור מנכסי אפיק ההשקעה" dataDxfId="114"/>
    <tableColumn id="30" xr3:uid="{08630B8D-1618-4B0D-8B1C-C2A5B6C6A0B2}" name="שיעור מסך נכסי ההשקעה" dataDxfId="11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מוצרים מובנים" altTextSummary="לא סחיר מוצרים מובנים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7A1FC80-67E5-44A5-99FE-D6ED45B63A6A}" name="טבלה25" displayName="טבלה25" ref="A1:V3" totalsRowShown="0" headerRowDxfId="99" headerRowBorderDxfId="109" tableBorderDxfId="110">
  <autoFilter ref="A1:V3" xr:uid="{C7A1FC80-67E5-44A5-99FE-D6ED45B63A6A}"/>
  <tableColumns count="22">
    <tableColumn id="1" xr3:uid="{A7A57E0F-90DC-4601-83DC-0A2C5229C9A2}" name="מספר קופה/קרן/ח.פ. עבור חברת ביטוח"/>
    <tableColumn id="2" xr3:uid="{5461C188-640A-425B-96CA-5A0B608808E2}" name="מספר מסלול"/>
    <tableColumn id="3" xr3:uid="{2DF51E58-D23D-4C73-B802-1A1D0C9CF25A}" name="שם הבנק"/>
    <tableColumn id="4" xr3:uid="{C170E589-81A4-47A5-BE04-CC9C7754143A}" name="מספר מזהה בנק"/>
    <tableColumn id="5" xr3:uid="{F5A135A4-FC6A-4ABE-8321-A49C3A9F0CCA}" name="סוג מספר מזהה בנק"/>
    <tableColumn id="6" xr3:uid="{FB6E9F6C-3BB0-469D-A721-F899167DF606}" name="מאפיין עיקרי"/>
    <tableColumn id="7" xr3:uid="{B226A4A5-A894-43F4-9D15-23C1DAA81494}" name="תאריך פקיעת פיקדון"/>
    <tableColumn id="8" xr3:uid="{94AB666A-4D3C-49E3-827B-CB8C5A164795}" name="ישראל/חו&quot;ל"/>
    <tableColumn id="9" xr3:uid="{513B6F95-8A93-434D-95B7-29EABAB30C5F}" name="מדינה לפי חשיפה כלכלית"/>
    <tableColumn id="10" xr3:uid="{300F1086-CDF8-4807-8294-6729CCD7EBFE}" name="בעל עניין/צד קשור"/>
    <tableColumn id="11" xr3:uid="{3CB1A90B-80D7-41EE-A8F2-B89A6D044AF6}" name="דירוג הבנק"/>
    <tableColumn id="12" xr3:uid="{3FBC870C-9527-4E46-A0DA-055953D230D0}" name="שם מדרג"/>
    <tableColumn id="13" xr3:uid="{2C902C30-E8B3-4923-882E-36ABB706DD6C}" name="מטבע פעילות"/>
    <tableColumn id="14" xr3:uid="{D00F5B21-60E3-4205-9911-5D450809E8BC}" name="מח&quot;מ" dataDxfId="108"/>
    <tableColumn id="15" xr3:uid="{9F349639-B6DF-42A8-B6A3-BA18C7CF7175}" name="שיעור ריבית" dataDxfId="107"/>
    <tableColumn id="16" xr3:uid="{BE3B8B6E-7C82-4715-A33E-5087F654E445}" name="תשואה לפדיון" dataDxfId="106"/>
    <tableColumn id="17" xr3:uid="{A51A2FD3-44DB-4A68-8D2E-7BC3BF8AA1E4}" name="שווי מטבעי" dataDxfId="105"/>
    <tableColumn id="18" xr3:uid="{495A56D1-7696-4877-9DC5-C46D1B8917FF}" name="שער חליפין" dataDxfId="104"/>
    <tableColumn id="19" xr3:uid="{A3909AF0-4C14-4380-81DE-369790CF463C}" name="שער פיקדון" dataDxfId="103"/>
    <tableColumn id="20" xr3:uid="{E912DA95-D4C9-47C6-A6A1-837E96C4233B}" name="שווי הוגן (באלפי ש&quot;ח)" dataDxfId="102"/>
    <tableColumn id="21" xr3:uid="{2501A808-A070-4BE8-ADBA-F2D23B406F38}" name="שיעור מנכסי אפיק ההשקעה" dataDxfId="101"/>
    <tableColumn id="22" xr3:uid="{A35BCEDB-1B04-4366-B90F-88E3DFC0C685}" name="שיעור מסך נכסי ההשקעה" dataDxfId="10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פיקדונות מעל 3 חודשים" altTextSummary="פיקדונות מעל 3 חודשים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A11E17F-1FC4-452F-B445-6204F8D5BACE}" name="טבלה26" displayName="טבלה26" ref="A1:X2" totalsRowShown="0" headerRowDxfId="87" dataDxfId="88" headerRowBorderDxfId="97" tableBorderDxfId="98">
  <autoFilter ref="A1:X2" xr:uid="{BA11E17F-1FC4-452F-B445-6204F8D5BACE}"/>
  <tableColumns count="24">
    <tableColumn id="1" xr3:uid="{D8424A1D-E7E6-4C56-982D-090B5F50D6DE}" name="מספר קופה/קרן/ח.פ. עבור חברת ביטוח"/>
    <tableColumn id="2" xr3:uid="{5A10CF3B-C22A-4B4E-9526-966450EC4F25}" name="מספר מסלול"/>
    <tableColumn id="3" xr3:uid="{B1995FCB-5A12-4FD8-91DD-8E84A7E804DA}" name="שם הנכס"/>
    <tableColumn id="4" xr3:uid="{0ED6EEC8-4C69-43E1-842B-A61A1B645EF7}" name="מאפיין עיקרי"/>
    <tableColumn id="5" xr3:uid="{8CBD8347-58DD-4F99-8FF8-C026CD553FED}" name="מדינת מיקום נדל&quot;ן"/>
    <tableColumn id="6" xr3:uid="{91ED55AE-D3D6-441B-84FD-0DC881ADB48E}" name="בעל עניין/צד קשור"/>
    <tableColumn id="7" xr3:uid="{116E9A9D-A7A5-4746-BE1A-B43F253188BD}" name="תאריך רכישה"/>
    <tableColumn id="8" xr3:uid="{EE341680-20EA-4833-AA65-CE5915142B7A}" name="שימוש עיקרי בנכס"/>
    <tableColumn id="9" xr3:uid="{E6E98CE6-B917-4DEB-A4B4-DC8A1D6D66FB}" name="מחזור חיי הנכס"/>
    <tableColumn id="10" xr3:uid="{969B3864-7DFF-4661-B303-6595F76DFABE}" name="כתובת הנכס"/>
    <tableColumn id="11" xr3:uid="{133E0542-704D-4F2B-9C8B-05B65AE5A18D}" name="שיעור תשואה בפועל במהלך הרבעון" dataDxfId="96"/>
    <tableColumn id="12" xr3:uid="{013E73E6-9224-4DBF-BE84-73A4114AD63B}" name="השיטה שבאמצעותה נקבע שווי הנכס"/>
    <tableColumn id="13" xr3:uid="{D550DF62-CA3E-4D2F-B4B6-FB2FFA3544D6}" name="סוג גורם משערך"/>
    <tableColumn id="14" xr3:uid="{1E8E010D-BE64-4371-960D-6B0501B8DE33}" name="שם גורם משערך"/>
    <tableColumn id="15" xr3:uid="{DD3CE697-CB99-42A2-8659-1CA18807F3E9}" name="תלות/אי-תלות המשערך"/>
    <tableColumn id="16" xr3:uid="{4313A790-D200-4229-9A4D-7EE88797DEB9}" name="תאריך שערוך אחרון"/>
    <tableColumn id="17" xr3:uid="{43A0E48D-90E7-4930-8ACD-E5AD30E591FD}" name="מטבע פעילות"/>
    <tableColumn id="18" xr3:uid="{45664913-56AC-4618-A9C6-6B4186BA71B1}" name="שווי הוגן (במטבע הפעילות)" dataDxfId="95"/>
    <tableColumn id="19" xr3:uid="{01B6A88C-4F27-4372-94E0-3BE51C95EB2E}" name="שווי הוגן (באלפי ש&quot;ח)" dataDxfId="94"/>
    <tableColumn id="20" xr3:uid="{9F35FE66-6A60-4446-99E6-B45D4C6884B2}" name="עלות מופחתת (באלפי ש&quot;ח)" dataDxfId="93"/>
    <tableColumn id="21" xr3:uid="{A337789F-5559-4EF0-AC94-D5C1DF5C600E}" name="עלות מופחתת (במטבע הפעילות)" dataDxfId="92"/>
    <tableColumn id="22" xr3:uid="{12323475-0CDE-4EFD-B615-FA697912DD4A}" name="השיטה שיושמה בדוח הכספי" dataDxfId="91"/>
    <tableColumn id="23" xr3:uid="{43CEE752-46D8-4520-8D18-6191C89DA7C2}" name="שיעור מנכסי אפיק ההשקעה" dataDxfId="90"/>
    <tableColumn id="24" xr3:uid="{D454A9AC-F2CC-4B30-802A-4986E0B71854}" name="שיעור מסך נכסי ההשקעה" dataDxfId="8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זכויות מקרקעין" altTextSummary="זכויות מקרקעין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751FFB9-6CA0-4ED0-9766-556D8326854A}" name="טבלה27" displayName="טבלה27" ref="A1:W2" totalsRowShown="0" headerRowDxfId="62" dataDxfId="63" headerRowBorderDxfId="85" tableBorderDxfId="86">
  <autoFilter ref="A1:W2" xr:uid="{F751FFB9-6CA0-4ED0-9766-556D8326854A}"/>
  <tableColumns count="23">
    <tableColumn id="1" xr3:uid="{7466B1D9-29E5-4552-B008-1BF57610C83F}" name="מספר קופה/קרן/ח.פ. עבור חברת ביטוח"/>
    <tableColumn id="2" xr3:uid="{7B2A8CB8-B240-4BBD-B3F4-94FFE759D92E}" name="מספר מסלול"/>
    <tableColumn id="3" xr3:uid="{8C4A159E-66FF-4D1E-8C1D-51A736B0ED99}" name="שם מנפיק" dataDxfId="84"/>
    <tableColumn id="4" xr3:uid="{FF6950D1-42EF-4A81-AC26-309C44F8C2A8}" name="מספר מנפיק" dataDxfId="83"/>
    <tableColumn id="5" xr3:uid="{05E17D1C-A95E-4D5B-AD67-3386BC684004}" name="סוג מספר מזהה מנפיק" dataDxfId="82"/>
    <tableColumn id="6" xr3:uid="{F21DEDF8-F6EE-4BCC-9B71-E2CB5D3A5D2F}" name="שם נייר ערך" dataDxfId="81"/>
    <tableColumn id="7" xr3:uid="{84D17D94-CACB-44E4-B5FC-567069CDF205}" name="מספר נייר ערך" dataDxfId="80"/>
    <tableColumn id="8" xr3:uid="{7B0F83D1-7ED3-407C-87D2-F4D80C0BDFFC}" name="סוג מספר נייר ערך" dataDxfId="79"/>
    <tableColumn id="9" xr3:uid="{A7DB0892-90AD-4612-A7A7-1F9B88160A3E}" name="מאפיין עיקרי" dataDxfId="78"/>
    <tableColumn id="10" xr3:uid="{E1284611-C6BC-4B72-A551-A4FD2E66818B}" name="ישראל/חו&quot;ל" dataDxfId="77"/>
    <tableColumn id="11" xr3:uid="{4D2EAAD5-ED0C-4F01-ACEB-742B668F3B70}" name="מדינה לפי חשיפה כלכלית" dataDxfId="76"/>
    <tableColumn id="12" xr3:uid="{21CE03C3-D74E-479B-9260-B68E0526F8AC}" name="ענף מסחר" dataDxfId="75"/>
    <tableColumn id="13" xr3:uid="{0AD33544-EBA3-4C9D-9536-B087CBD82EC6}" name="בעל עניין/צד קשור" dataDxfId="74"/>
    <tableColumn id="14" xr3:uid="{AECD32C0-0017-4D79-AF07-5D993BC5B007}" name="מטבע פעילות" dataDxfId="73"/>
    <tableColumn id="15" xr3:uid="{BDE70CE9-60BC-4AEE-A300-F83FBCDDC4D3}" name="סוג גורם משערך" dataDxfId="72"/>
    <tableColumn id="16" xr3:uid="{E42AB28E-B433-45ED-BC65-8F281023C1D9}" name="תלות/אי-תלות המשערך" dataDxfId="71"/>
    <tableColumn id="17" xr3:uid="{50EF2848-1638-46FD-90A1-52802951D2AB}" name="תאריך שערוך אחרון" dataDxfId="70"/>
    <tableColumn id="18" xr3:uid="{769ECC8E-3CA7-40B2-B25E-DDEC2D081136}" name="תאריך אחרון בו נבחנה בפועל ירידת ערך" dataDxfId="69"/>
    <tableColumn id="19" xr3:uid="{FF3D7C0D-A9FF-4597-AB6D-2F2524373E55}" name="שיעור אחזקה באמצעי שליטה" dataDxfId="68"/>
    <tableColumn id="20" xr3:uid="{7AEEBF74-975A-457F-8FF3-3C0D08793CE8}" name="שווי מאזני (באלפי ש&quot;ח)" dataDxfId="67"/>
    <tableColumn id="21" xr3:uid="{8B6B74B3-2E55-4B2D-BDDA-62099741BE1C}" name="שווי הוגן (באלפי ש&quot;ח)" dataDxfId="66"/>
    <tableColumn id="22" xr3:uid="{4D44E7CB-7B92-4356-85F6-7F32F0D1C5DD}" name="שיעור מנכסי אפיק ההשקעה" dataDxfId="65"/>
    <tableColumn id="23" xr3:uid="{7C5B0D12-B1F2-4ADA-B720-F7A8E6C97D94}" name="שיעור מסך נכסי ההשקעה" dataDxfId="6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שקעה בחברות מוחזקות" altTextSummary="השקעה בחברות מוחזקות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C607DDE-4085-4C77-BB5F-EAD83DD5AE39}" name="טבלה28" displayName="טבלה28" ref="A1:R2" totalsRowShown="0" headerRowDxfId="44" dataDxfId="45" headerRowBorderDxfId="60" tableBorderDxfId="61">
  <autoFilter ref="A1:R2" xr:uid="{BC607DDE-4085-4C77-BB5F-EAD83DD5AE39}"/>
  <tableColumns count="18">
    <tableColumn id="1" xr3:uid="{405C8914-D755-4D76-8837-07C5876EB569}" name="מספר קופה/קרן/ח.פ. עבור חברת ביטוח"/>
    <tableColumn id="2" xr3:uid="{6570142D-BEE0-4D85-99E4-D84B06E448FC}" name="מספר מסלול"/>
    <tableColumn id="3" xr3:uid="{A4F22E78-F383-4327-BD10-EA3C27DF88ED}" name="שם הנכס האחר" dataDxfId="59"/>
    <tableColumn id="4" xr3:uid="{8BA1B2DC-D383-481E-BF55-BA26A95EE3DE}" name="מספר הנכס האחר" dataDxfId="58"/>
    <tableColumn id="5" xr3:uid="{A246F4C4-92A5-4B35-915D-303CF11F748F}" name="מאפיין עיקרי" dataDxfId="57"/>
    <tableColumn id="6" xr3:uid="{DB0D2D52-FF5F-468B-9D6C-C7D2C8006994}" name="ישראל/חו&quot;ל" dataDxfId="56"/>
    <tableColumn id="7" xr3:uid="{2A13E526-6887-4DA1-A210-DF73DA41C478}" name="מדינה לפי חשיפה כלכלית" dataDxfId="55"/>
    <tableColumn id="8" xr3:uid="{42ACBE0D-F107-4414-9886-D1AC133946E3}" name="בעל עניין/צד קשור" dataDxfId="54"/>
    <tableColumn id="9" xr3:uid="{A486AF07-641D-4178-9336-54FC3A9CE271}" name="תאריך עסקה"/>
    <tableColumn id="10" xr3:uid="{A8370461-645B-4C2A-8BEE-7703104C1858}" name="מטבע פעילות" dataDxfId="53"/>
    <tableColumn id="11" xr3:uid="{FFAA115E-09A2-48B8-8794-B131CDC7EE54}" name="תאריך שערוך אחרון" dataDxfId="52"/>
    <tableColumn id="12" xr3:uid="{C6199936-17AE-4360-AC10-9B38D745E143}" name="שווי מטבעי"/>
    <tableColumn id="13" xr3:uid="{571C787A-013E-42D4-8E87-DF50C49EB79B}" name="שער חליפין" dataDxfId="51"/>
    <tableColumn id="14" xr3:uid="{84CD8236-5594-4FCB-A3E4-259B6A77B33C}" name="שווי הוגן (באלפי ש&quot;ח)" dataDxfId="50"/>
    <tableColumn id="15" xr3:uid="{978D246D-DA35-4F48-806A-B1B766F3A952}" name="עלות מופחתת (באלפי ש&quot;ח)" dataDxfId="49"/>
    <tableColumn id="16" xr3:uid="{D0BDC1E3-9E26-4A27-BDE1-B7CF978A77D5}" name="השיטה שיושמה בדוח הכספי" dataDxfId="48"/>
    <tableColumn id="17" xr3:uid="{A83B9538-15FB-4352-9F6B-2810DB661C68}" name="שיעור מנכסי אפיק ההשקעה" dataDxfId="47"/>
    <tableColumn id="18" xr3:uid="{89720093-0137-49F0-A692-F37B5593B597}" name="שיעור מסך נכסי ההשקעה" dataDxfId="4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נכסים אחרים" altTextSummary="נכסים אחרים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213BAD8-63A9-4B9C-8253-220EF1F93722}" name="טבלה29" displayName="טבלה29" ref="A1:T2" totalsRowShown="0" headerRowDxfId="23" dataDxfId="24" headerRowBorderDxfId="42" tableBorderDxfId="43">
  <autoFilter ref="A1:T2" xr:uid="{2213BAD8-63A9-4B9C-8253-220EF1F93722}"/>
  <tableColumns count="20">
    <tableColumn id="1" xr3:uid="{DF06E19B-820C-4D76-90D4-FBFA64D50455}" name="מספר קופה/קרן/ח.פ. עבור חברת ביטוח"/>
    <tableColumn id="2" xr3:uid="{7434B918-BBC2-4F80-B720-5410B80B51A8}" name="מספר מסלול"/>
    <tableColumn id="3" xr3:uid="{7D88B703-C7EF-4793-9BFD-F13441CED552}" name="מספר מזהה לווה" dataDxfId="41"/>
    <tableColumn id="4" xr3:uid="{6274439A-972D-4A3A-A28D-49496F57152C}" name="סוג מספר מזהה לווה" dataDxfId="40"/>
    <tableColumn id="5" xr3:uid="{60D14328-5928-4FFF-808B-9230B234D9A0}" name="שם הלוואה" dataDxfId="39"/>
    <tableColumn id="6" xr3:uid="{D6439073-2BB6-4D58-8E95-8A8660FB1E1B}" name="מספר הלוואה" dataDxfId="38"/>
    <tableColumn id="7" xr3:uid="{5B344CF4-3D71-4FC2-B339-F796EBD90B31}" name="תאריך העמדת מסגרת אשראי" dataDxfId="37"/>
    <tableColumn id="8" xr3:uid="{B06C0835-6A2B-403F-B0A1-C4C94EC40B93}" name="ישראל/חו&quot;ל" dataDxfId="36"/>
    <tableColumn id="9" xr3:uid="{007632CB-8066-46BA-A190-AEDB45021FAE}" name="מדינה לפי חשיפה כלכלית" dataDxfId="35"/>
    <tableColumn id="10" xr3:uid="{890228E3-7774-4866-8309-D37F5FE032B6}" name="בעל עניין/צד קשור" dataDxfId="34"/>
    <tableColumn id="11" xr3:uid="{1B850D61-9EC6-4D7C-B0E3-B8F4DD7EE2F8}" name="דירוג" dataDxfId="33"/>
    <tableColumn id="12" xr3:uid="{167E71ED-ABA9-4C33-B522-9CED32117914}" name="שם מדרג" dataDxfId="32"/>
    <tableColumn id="13" xr3:uid="{730F098D-07BA-43D4-A07C-2C6B6241E745}" name="דירוג הלוואה/המנפיק" dataDxfId="31"/>
    <tableColumn id="14" xr3:uid="{50139AE6-55CC-49EB-A009-72BB111997EC}" name="מטבע פעילות" dataDxfId="30"/>
    <tableColumn id="15" xr3:uid="{1CECEBA4-5593-45A4-B80D-6703BD45651E}" name="שער חליפין" dataDxfId="29"/>
    <tableColumn id="16" xr3:uid="{76475351-6444-4FA0-A231-C3E75BF69572}" name="שיעור ריבית"/>
    <tableColumn id="17" xr3:uid="{C4B73677-A703-411F-83E3-955609533E2C}" name="סוג הריבית" dataDxfId="28"/>
    <tableColumn id="18" xr3:uid="{190D9ED0-DF77-4FFD-B16F-412BAC078238}" name="סכום מסגרת האשראי הראשוני (במטבע הפעילות)" dataDxfId="27"/>
    <tableColumn id="19" xr3:uid="{49161A9D-2A0A-4738-B32E-DEE88C6649AA}" name="סכום מסגרת האשראי הראשוני (באלפי ש&quot;ח)" dataDxfId="26"/>
    <tableColumn id="20" xr3:uid="{B326915C-9277-4FDB-86BD-173D155A8FCA}" name="שיעור יתרת מסגרת אשראי" dataDxfId="2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גרות אשראי" altTextSummary="מסגרות אשראי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B0D1AD8-8171-4AF0-82ED-728B5B5BADAC}" name="טבלה30" displayName="טבלה30" ref="A1:Q93" totalsRowShown="0" headerRowDxfId="12" headerRowBorderDxfId="21" tableBorderDxfId="22">
  <autoFilter ref="A1:Q93" xr:uid="{AB0D1AD8-8171-4AF0-82ED-728B5B5BADAC}"/>
  <tableColumns count="17">
    <tableColumn id="1" xr3:uid="{B2D1670C-BC53-48E4-A93C-E5B024676876}" name="מספר קופה/קרן/ח.פ. עבור חברת ביטוח"/>
    <tableColumn id="2" xr3:uid="{18A61B4B-956A-43C3-9D48-016CC928BB74}" name="מספר מסלול"/>
    <tableColumn id="3" xr3:uid="{216980BF-D958-4C63-A294-9FDB7C0820A2}" name="מאפיין עיקרי" dataDxfId="20"/>
    <tableColumn id="4" xr3:uid="{EEDA5570-9DC2-4992-B34A-147FAD140F91}" name="שם שותף כללי קרן השקעות"/>
    <tableColumn id="5" xr3:uid="{35BFB54A-D072-43CD-8051-13A321AE6274}" name="מספר מזהה שותף כללי קרן השקעות"/>
    <tableColumn id="6" xr3:uid="{F0F692DB-DCFF-4B96-8A7C-AED5377668C5}" name="סוג מספר מזהה שותף כללי קרן השקעות"/>
    <tableColumn id="7" xr3:uid="{304ECB65-2D22-4ABA-B76C-B2E9A7531168}" name="שם קרן השקעה"/>
    <tableColumn id="8" xr3:uid="{C3741A0D-8D28-424A-A2C8-EE62BB01E5FF}" name="מספר מזהה קרן השקעה"/>
    <tableColumn id="9" xr3:uid="{0FCF3013-43ED-4AF5-BE33-ED382FC1CB3C}" name="סוג מספר מזהה קרן השקעות"/>
    <tableColumn id="10" xr3:uid="{7D93C390-A34A-448F-97FE-4B8171A0DF9B}" name="מטבע פעילות"/>
    <tableColumn id="11" xr3:uid="{6690D643-AED2-4E82-BC95-370209F25506}" name="תאריך העמדת התחייבות לקרן השקעה" dataDxfId="19"/>
    <tableColumn id="12" xr3:uid="{3BF9B623-EFC2-410F-935C-90D9DE8F0157}" name="סכום המחויבות הראשוני (במטבע הדיווח של קרן ההשקעה)" dataDxfId="18"/>
    <tableColumn id="13" xr3:uid="{9C5C2055-A999-4674-A16D-6A58F75E268B}" name="סכום המחויבות הראשוני (באלפי ש&quot;ח)" dataDxfId="17"/>
    <tableColumn id="14" xr3:uid="{4846C374-E3E8-42BF-B7CE-E6D6BEA8ACE1}" name="יתרת המחויבות לתקופת הדיווח (במטבע הדיווח של קרן ההשקעה)" dataDxfId="16"/>
    <tableColumn id="15" xr3:uid="{9C15B2D8-1669-422E-AC72-9464909E02E1}" name="יתרת המחויבות לתקופת הדיווח (באלפי ש&quot;ח)" dataDxfId="15"/>
    <tableColumn id="16" xr3:uid="{93D12F08-FCC9-435F-9B9B-4CCA178C3FFA}" name="שיעור יתרת המחויבות" dataDxfId="14"/>
    <tableColumn id="17" xr3:uid="{B194C959-5501-4BE6-B2B9-8E1F6E890888}" name="תאריך פקיעת מחויבות להשקעה" dataDxfId="1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יתרות התחייבות להשקעה" altTextSummary="יתרות התחייבות להשקעה"/>
    </ext>
  </extLst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9E9B7F0-AB87-4779-8F35-C002515343F4}" name="טבלה31" displayName="טבלה31" ref="A1:E1040" totalsRowShown="0" headerRowDxfId="11">
  <autoFilter ref="A1:E1040" xr:uid="{00000000-0001-0000-1F00-000000000000}"/>
  <tableColumns count="5">
    <tableColumn id="1" xr3:uid="{6B051728-9445-42A9-9B8B-39310C968B6A}" name="שם גיליון_x000a_(רלוונטי לגיליונות עם עמודה &quot;מאפיין עיקרי&quot;)" dataDxfId="10"/>
    <tableColumn id="2" xr3:uid="{6DD770B2-3555-4D93-AC11-485C8EFBF14C}" name="שם עמודה" dataDxfId="9"/>
    <tableColumn id="3" xr3:uid="{4731FDE9-5A82-4CA5-92CA-9C4AF2FA4B5C}" name="אפשרות בחירה" dataDxfId="8"/>
    <tableColumn id="4" xr3:uid="{F04291D1-F953-4514-8F40-0296253A03E9}" name="הערות והסברים" dataDxfId="7"/>
    <tableColumn id="5" xr3:uid="{742598EC-1E77-4847-9AC3-73BEDF84B081}" name="שינוי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פשרויות בחירה" altTextSummary="אפשרויות בחירה"/>
    </ext>
  </extLst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70F6947-D7FD-476A-9162-EDD0C3C4A64B}" name="טבלה32" displayName="טבלה32" ref="A1:D795" totalsRowShown="0" headerRowDxfId="0" dataDxfId="1" tableBorderDxfId="6">
  <autoFilter ref="A1:D795" xr:uid="{00000000-0009-0000-0000-000020000000}"/>
  <tableColumns count="4">
    <tableColumn id="1" xr3:uid="{6A7EF944-CDC2-4B8B-B3D1-CFF854A9FD42}" name="שם גיליון" dataDxfId="5"/>
    <tableColumn id="2" xr3:uid="{3AAE8583-C39A-49D4-826E-BD9D7B650FA4}" name="שם סעיף" dataDxfId="4"/>
    <tableColumn id="3" xr3:uid="{2FBF8A86-D30C-4096-98FB-8FD43ADEC1C0}" name="מספר סעיף" dataDxfId="3"/>
    <tableColumn id="4" xr3:uid="{8D022530-908E-405E-A233-99856DFCAC8D}" name="מידע שניתן לדווח רק לרשות" dataDxfId="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יפוי סעיפים" altTextSummary="מיפוי סעיפ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E5" sqref="E5"/>
    </sheetView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 x14ac:dyDescent="0.2">
      <c r="A1" s="151" t="s">
        <v>0</v>
      </c>
      <c r="B1" s="152"/>
      <c r="C1" s="152"/>
      <c r="D1" s="152"/>
    </row>
    <row r="2" spans="1:8" x14ac:dyDescent="0.2">
      <c r="A2" s="153" t="s">
        <v>2492</v>
      </c>
      <c r="B2" s="153"/>
      <c r="C2" s="153"/>
      <c r="D2" s="153"/>
    </row>
    <row r="3" spans="1:8" ht="15" x14ac:dyDescent="0.2">
      <c r="A3" t="s">
        <v>1</v>
      </c>
      <c r="B3" s="154" t="s">
        <v>2493</v>
      </c>
      <c r="C3" s="154" t="s">
        <v>2493</v>
      </c>
      <c r="D3" s="77" t="s">
        <v>1098</v>
      </c>
    </row>
    <row r="4" spans="1:8" x14ac:dyDescent="0.2">
      <c r="A4" s="153" t="s">
        <v>2492</v>
      </c>
      <c r="B4" s="153"/>
      <c r="C4" s="153"/>
      <c r="D4" s="153"/>
    </row>
    <row r="5" spans="1:8" ht="15" x14ac:dyDescent="0.2">
      <c r="A5" t="s">
        <v>2</v>
      </c>
      <c r="B5" s="154" t="s">
        <v>2493</v>
      </c>
      <c r="C5" s="154" t="s">
        <v>2493</v>
      </c>
      <c r="D5" s="77" t="s">
        <v>1107</v>
      </c>
    </row>
    <row r="6" spans="1:8" x14ac:dyDescent="0.2">
      <c r="A6" s="153" t="s">
        <v>2492</v>
      </c>
      <c r="B6" s="153"/>
      <c r="C6" s="153"/>
      <c r="D6" s="153"/>
    </row>
    <row r="7" spans="1:8" ht="15" x14ac:dyDescent="0.2">
      <c r="A7" t="s">
        <v>3</v>
      </c>
      <c r="B7" s="154" t="s">
        <v>2493</v>
      </c>
      <c r="C7" s="154" t="s">
        <v>2493</v>
      </c>
      <c r="D7" s="77" t="s">
        <v>1114</v>
      </c>
    </row>
    <row r="8" spans="1:8" ht="15" x14ac:dyDescent="0.2">
      <c r="A8" s="153" t="s">
        <v>2492</v>
      </c>
      <c r="B8" s="153"/>
      <c r="C8" s="153"/>
      <c r="D8" s="153"/>
      <c r="E8" s="26"/>
      <c r="F8" s="26"/>
      <c r="G8" s="26"/>
      <c r="H8" s="26"/>
    </row>
    <row r="9" spans="1:8" ht="15" x14ac:dyDescent="0.2">
      <c r="A9" t="s">
        <v>4</v>
      </c>
      <c r="B9" s="154" t="s">
        <v>2493</v>
      </c>
      <c r="C9" s="154" t="s">
        <v>2493</v>
      </c>
      <c r="D9" s="77">
        <v>2024</v>
      </c>
    </row>
    <row r="10" spans="1:8" x14ac:dyDescent="0.2">
      <c r="A10" s="153" t="s">
        <v>2492</v>
      </c>
      <c r="B10" s="153"/>
      <c r="C10" s="153"/>
      <c r="D10" s="153"/>
    </row>
    <row r="11" spans="1:8" ht="15" x14ac:dyDescent="0.2">
      <c r="A11" t="s">
        <v>5</v>
      </c>
      <c r="B11" s="154" t="s">
        <v>2493</v>
      </c>
      <c r="C11" s="154" t="s">
        <v>2493</v>
      </c>
      <c r="D11" s="77" t="s">
        <v>1128</v>
      </c>
    </row>
    <row r="12" spans="1:8" x14ac:dyDescent="0.2">
      <c r="A12" s="153" t="s">
        <v>2492</v>
      </c>
      <c r="B12" s="153"/>
      <c r="C12" s="153"/>
      <c r="D12" s="153"/>
    </row>
    <row r="13" spans="1:8" ht="15" x14ac:dyDescent="0.2">
      <c r="A13" t="s">
        <v>6</v>
      </c>
      <c r="B13" s="154" t="s">
        <v>2493</v>
      </c>
      <c r="C13" s="154" t="s">
        <v>2493</v>
      </c>
      <c r="D13" s="78">
        <f>IFERROR(VLOOKUP(D11,'File Name Info'!A35:B121,2,0),"תא מחושב")</f>
        <v>520023094</v>
      </c>
    </row>
    <row r="14" spans="1:8" x14ac:dyDescent="0.2">
      <c r="A14" s="153" t="s">
        <v>2492</v>
      </c>
      <c r="B14" s="153"/>
      <c r="C14" s="153"/>
      <c r="D14" s="153"/>
    </row>
    <row r="15" spans="1:8" ht="15" x14ac:dyDescent="0.25">
      <c r="A15" s="15" t="s">
        <v>7</v>
      </c>
      <c r="B15" s="154" t="s">
        <v>2493</v>
      </c>
      <c r="C15" s="154" t="s">
        <v>2493</v>
      </c>
      <c r="D15" s="7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520023094_pn_0424.xlxs</v>
      </c>
    </row>
    <row r="16" spans="1:8" ht="15" x14ac:dyDescent="0.2">
      <c r="A16" s="153" t="s">
        <v>2492</v>
      </c>
      <c r="B16" s="153"/>
      <c r="C16" s="153"/>
      <c r="D16" s="153"/>
      <c r="E16" s="26"/>
      <c r="F16" s="26"/>
      <c r="G16" s="26"/>
      <c r="H16" s="26"/>
    </row>
    <row r="17" spans="1:8" ht="15" x14ac:dyDescent="0.25">
      <c r="A17" s="15" t="s">
        <v>8</v>
      </c>
      <c r="B17" s="13" t="s">
        <v>9</v>
      </c>
      <c r="C17" s="154" t="s">
        <v>2493</v>
      </c>
      <c r="D17" s="127" t="s">
        <v>2402</v>
      </c>
    </row>
    <row r="18" spans="1:8" x14ac:dyDescent="0.2">
      <c r="A18" s="153" t="s">
        <v>2492</v>
      </c>
      <c r="B18" s="153"/>
      <c r="C18" s="153"/>
      <c r="D18" s="153"/>
      <c r="E18" s="14"/>
      <c r="F18" s="14"/>
      <c r="G18" s="14"/>
      <c r="H18" s="14"/>
    </row>
    <row r="19" spans="1:8" ht="15" x14ac:dyDescent="0.2">
      <c r="A19" s="154" t="s">
        <v>2493</v>
      </c>
      <c r="B19" s="13" t="s">
        <v>10</v>
      </c>
      <c r="C19" s="154" t="s">
        <v>2493</v>
      </c>
      <c r="D19" s="79" t="s">
        <v>2403</v>
      </c>
    </row>
    <row r="20" spans="1:8" x14ac:dyDescent="0.2">
      <c r="A20" s="153" t="s">
        <v>2492</v>
      </c>
      <c r="B20" s="153"/>
      <c r="C20" s="153"/>
      <c r="D20" s="153"/>
      <c r="E20" s="14"/>
      <c r="F20" s="14"/>
      <c r="G20" s="14"/>
      <c r="H20" s="14"/>
    </row>
    <row r="21" spans="1:8" ht="15" x14ac:dyDescent="0.2">
      <c r="A21" s="154" t="s">
        <v>2493</v>
      </c>
      <c r="B21" s="13" t="s">
        <v>11</v>
      </c>
      <c r="C21" s="154" t="s">
        <v>2493</v>
      </c>
      <c r="D21" s="80" t="s">
        <v>2404</v>
      </c>
    </row>
    <row r="22" spans="1:8" x14ac:dyDescent="0.2">
      <c r="A22" s="153" t="s">
        <v>2492</v>
      </c>
      <c r="B22" s="153"/>
      <c r="C22" s="153"/>
      <c r="D22" s="153"/>
    </row>
    <row r="23" spans="1:8" ht="15" x14ac:dyDescent="0.25">
      <c r="A23" s="15" t="s">
        <v>12</v>
      </c>
      <c r="D23" t="s">
        <v>13</v>
      </c>
    </row>
    <row r="24" spans="1:8" x14ac:dyDescent="0.2">
      <c r="A24" s="153" t="s">
        <v>2494</v>
      </c>
      <c r="B24" s="153"/>
      <c r="C24" s="153"/>
      <c r="D24" s="153"/>
    </row>
    <row r="25" spans="1:8" x14ac:dyDescent="0.2">
      <c r="D25" s="1"/>
    </row>
    <row r="28" spans="1:8" ht="14.1" customHeight="1" x14ac:dyDescent="0.2">
      <c r="A28" s="21"/>
      <c r="D28" s="22"/>
      <c r="E28" s="23"/>
      <c r="F28" s="23"/>
      <c r="G28" s="23"/>
      <c r="H28" s="23"/>
    </row>
    <row r="29" spans="1:8" x14ac:dyDescent="0.2">
      <c r="D29" s="13"/>
      <c r="E29" s="13"/>
      <c r="F29" s="13"/>
      <c r="G29" s="13"/>
      <c r="H29" s="13"/>
    </row>
  </sheetData>
  <mergeCells count="13">
    <mergeCell ref="A24:D24"/>
    <mergeCell ref="A12:D12"/>
    <mergeCell ref="A14:D14"/>
    <mergeCell ref="A16:D16"/>
    <mergeCell ref="A18:D18"/>
    <mergeCell ref="A20:D20"/>
    <mergeCell ref="A22:D22"/>
    <mergeCell ref="A1:D1"/>
    <mergeCell ref="A2:D2"/>
    <mergeCell ref="A4:D4"/>
    <mergeCell ref="A6:D6"/>
    <mergeCell ref="A8:D8"/>
    <mergeCell ref="A10:D10"/>
  </mergeCells>
  <conditionalFormatting sqref="D3">
    <cfRule type="containsText" dxfId="269" priority="14" operator="containsText" text="Please fill in data">
      <formula>NOT(ISERROR(SEARCH("Please fill in data",D3)))</formula>
    </cfRule>
  </conditionalFormatting>
  <conditionalFormatting sqref="D5">
    <cfRule type="containsText" dxfId="268" priority="8" operator="containsText" text="Please fill in data">
      <formula>NOT(ISERROR(SEARCH("Please fill in data",D5)))</formula>
    </cfRule>
  </conditionalFormatting>
  <conditionalFormatting sqref="D7 D9">
    <cfRule type="containsText" dxfId="267" priority="6" operator="containsText" text="Please fill in data">
      <formula>NOT(ISERROR(SEARCH("Please fill in data",D7)))</formula>
    </cfRule>
  </conditionalFormatting>
  <conditionalFormatting sqref="D11">
    <cfRule type="containsText" dxfId="266" priority="5" operator="containsText" text="Please fill in data">
      <formula>NOT(ISERROR(SEARCH("Please fill in data",D11)))</formula>
    </cfRule>
  </conditionalFormatting>
  <conditionalFormatting sqref="D13">
    <cfRule type="containsText" dxfId="265" priority="4" operator="containsText" text="Please fill in data">
      <formula>NOT(ISERROR(SEARCH("Please fill in data",D13)))</formula>
    </cfRule>
  </conditionalFormatting>
  <conditionalFormatting sqref="D15 D17">
    <cfRule type="containsText" dxfId="264" priority="1" operator="containsText" text="Please fill in data">
      <formula>NOT(ISERROR(SEARCH("Please fill in data",D15)))</formula>
    </cfRule>
  </conditionalFormatting>
  <conditionalFormatting sqref="D19">
    <cfRule type="containsText" dxfId="263" priority="21" operator="containsText" text="Please fill in data">
      <formula>NOT(ISERROR(SEARCH("Please fill in data",D19)))</formula>
    </cfRule>
  </conditionalFormatting>
  <conditionalFormatting sqref="D21">
    <cfRule type="containsText" dxfId="262" priority="20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3"/>
  <sheetViews>
    <sheetView showGridLines="0" rightToLeft="1" topLeftCell="A25" workbookViewId="0">
      <selection activeCell="A33" sqref="A33:E33"/>
    </sheetView>
  </sheetViews>
  <sheetFormatPr defaultColWidth="9" defaultRowHeight="12.75" x14ac:dyDescent="0.2"/>
  <cols>
    <col min="1" max="1" width="42.75" style="8" customWidth="1"/>
    <col min="2" max="2" width="13.75" style="9" bestFit="1" customWidth="1"/>
    <col min="3" max="3" width="13" style="9" customWidth="1"/>
    <col min="4" max="4" width="22" style="9" customWidth="1"/>
    <col min="5" max="5" width="19.125" style="9" customWidth="1"/>
    <col min="6" max="6" width="11.125" style="8" customWidth="1"/>
    <col min="7" max="8" width="8.625" style="8" customWidth="1"/>
    <col min="9" max="10" width="9" style="8"/>
    <col min="11" max="12" width="8.625" style="8" customWidth="1"/>
    <col min="13" max="16384" width="9" style="8"/>
  </cols>
  <sheetData>
    <row r="1" spans="1:5" ht="18.75" customHeight="1" x14ac:dyDescent="0.2">
      <c r="A1" s="155" t="s">
        <v>2495</v>
      </c>
      <c r="B1" s="36"/>
      <c r="C1" s="82" t="s">
        <v>14</v>
      </c>
      <c r="D1" s="81"/>
      <c r="E1" s="36"/>
    </row>
    <row r="2" spans="1:5" ht="39.75" customHeight="1" x14ac:dyDescent="0.2">
      <c r="A2" s="161" t="s">
        <v>2496</v>
      </c>
      <c r="B2" s="162" t="s">
        <v>15</v>
      </c>
      <c r="C2" s="162" t="s">
        <v>16</v>
      </c>
      <c r="D2" s="162" t="s">
        <v>17</v>
      </c>
      <c r="E2" s="163" t="s">
        <v>18</v>
      </c>
    </row>
    <row r="3" spans="1:5" ht="14.25" x14ac:dyDescent="0.2">
      <c r="A3" s="156" t="s">
        <v>19</v>
      </c>
      <c r="B3" s="144">
        <v>170276.13500000001</v>
      </c>
      <c r="C3" s="37"/>
      <c r="D3" s="37"/>
      <c r="E3" s="158">
        <v>1.443E-2</v>
      </c>
    </row>
    <row r="4" spans="1:5" ht="14.25" x14ac:dyDescent="0.2">
      <c r="A4" s="156" t="s">
        <v>20</v>
      </c>
      <c r="B4" s="144">
        <v>3486580.0630000001</v>
      </c>
      <c r="C4" s="37"/>
      <c r="D4" s="37"/>
      <c r="E4" s="158">
        <v>0.29547000000000001</v>
      </c>
    </row>
    <row r="5" spans="1:5" ht="14.25" x14ac:dyDescent="0.2">
      <c r="A5" s="156" t="s">
        <v>21</v>
      </c>
      <c r="B5" s="144"/>
      <c r="C5" s="37"/>
      <c r="D5" s="37"/>
      <c r="E5" s="159"/>
    </row>
    <row r="6" spans="1:5" ht="14.25" x14ac:dyDescent="0.2">
      <c r="A6" s="156" t="s">
        <v>22</v>
      </c>
      <c r="B6" s="144">
        <v>809888.54500000004</v>
      </c>
      <c r="C6" s="37"/>
      <c r="D6" s="37"/>
      <c r="E6" s="158">
        <v>6.8629999999999997E-2</v>
      </c>
    </row>
    <row r="7" spans="1:5" ht="14.25" x14ac:dyDescent="0.2">
      <c r="A7" s="156" t="s">
        <v>23</v>
      </c>
      <c r="B7" s="144">
        <v>483592.49300000002</v>
      </c>
      <c r="C7" s="37"/>
      <c r="D7" s="37"/>
      <c r="E7" s="158">
        <v>4.0980000000000003E-2</v>
      </c>
    </row>
    <row r="8" spans="1:5" ht="14.25" x14ac:dyDescent="0.2">
      <c r="A8" s="156" t="s">
        <v>24</v>
      </c>
      <c r="B8" s="144">
        <v>475718.59700000001</v>
      </c>
      <c r="C8" s="37"/>
      <c r="D8" s="37"/>
      <c r="E8" s="158">
        <v>4.0309999999999999E-2</v>
      </c>
    </row>
    <row r="9" spans="1:5" ht="14.25" x14ac:dyDescent="0.2">
      <c r="A9" s="156" t="s">
        <v>25</v>
      </c>
      <c r="B9" s="144">
        <v>121313.41800000001</v>
      </c>
      <c r="C9" s="37"/>
      <c r="D9" s="37"/>
      <c r="E9" s="158">
        <v>1.0279999999999999E-2</v>
      </c>
    </row>
    <row r="10" spans="1:5" ht="14.25" x14ac:dyDescent="0.2">
      <c r="A10" s="156" t="s">
        <v>26</v>
      </c>
      <c r="B10" s="144"/>
      <c r="C10" s="37"/>
      <c r="D10" s="37"/>
      <c r="E10" s="158"/>
    </row>
    <row r="11" spans="1:5" ht="14.25" x14ac:dyDescent="0.2">
      <c r="A11" s="156" t="s">
        <v>27</v>
      </c>
      <c r="B11" s="144"/>
      <c r="C11" s="37"/>
      <c r="D11" s="37"/>
      <c r="E11" s="158"/>
    </row>
    <row r="12" spans="1:5" ht="14.25" x14ac:dyDescent="0.2">
      <c r="A12" s="156" t="s">
        <v>28</v>
      </c>
      <c r="B12" s="144"/>
      <c r="C12" s="37"/>
      <c r="D12" s="37"/>
      <c r="E12" s="158"/>
    </row>
    <row r="13" spans="1:5" ht="14.25" x14ac:dyDescent="0.2">
      <c r="A13" s="156" t="s">
        <v>29</v>
      </c>
      <c r="B13" s="144"/>
      <c r="C13" s="37"/>
      <c r="D13" s="37"/>
      <c r="E13" s="158"/>
    </row>
    <row r="14" spans="1:5" ht="14.25" x14ac:dyDescent="0.2">
      <c r="A14" s="156" t="s">
        <v>30</v>
      </c>
      <c r="B14" s="144"/>
      <c r="C14" s="37"/>
      <c r="D14" s="37"/>
      <c r="E14" s="158"/>
    </row>
    <row r="15" spans="1:5" ht="14.25" x14ac:dyDescent="0.2">
      <c r="A15" s="156" t="s">
        <v>31</v>
      </c>
      <c r="B15" s="144">
        <v>4059240.017</v>
      </c>
      <c r="C15" s="37"/>
      <c r="D15" s="37"/>
      <c r="E15" s="158">
        <v>0.34399999999999997</v>
      </c>
    </row>
    <row r="16" spans="1:5" ht="14.25" x14ac:dyDescent="0.2">
      <c r="A16" s="156" t="s">
        <v>32</v>
      </c>
      <c r="B16" s="144"/>
      <c r="C16" s="37"/>
      <c r="D16" s="37"/>
      <c r="E16" s="158"/>
    </row>
    <row r="17" spans="1:5" ht="14.25" x14ac:dyDescent="0.2">
      <c r="A17" s="156" t="s">
        <v>33</v>
      </c>
      <c r="B17" s="144"/>
      <c r="C17" s="37"/>
      <c r="D17" s="37"/>
      <c r="E17" s="158"/>
    </row>
    <row r="18" spans="1:5" ht="14.25" x14ac:dyDescent="0.2">
      <c r="A18" s="156" t="s">
        <v>34</v>
      </c>
      <c r="B18" s="144">
        <v>165009.82199999999</v>
      </c>
      <c r="C18" s="37"/>
      <c r="D18" s="37"/>
      <c r="E18" s="158">
        <v>1.3979999999999999E-2</v>
      </c>
    </row>
    <row r="19" spans="1:5" ht="14.25" x14ac:dyDescent="0.2">
      <c r="A19" s="156" t="s">
        <v>35</v>
      </c>
      <c r="B19" s="144">
        <v>1043</v>
      </c>
      <c r="C19" s="37"/>
      <c r="D19" s="37"/>
      <c r="E19" s="158">
        <v>9.0000000000000006E-5</v>
      </c>
    </row>
    <row r="20" spans="1:5" ht="14.25" x14ac:dyDescent="0.2">
      <c r="A20" s="156" t="s">
        <v>36</v>
      </c>
      <c r="B20" s="144">
        <v>1615463.7069999999</v>
      </c>
      <c r="C20" s="37"/>
      <c r="D20" s="37"/>
      <c r="E20" s="158">
        <v>0.13689999999999999</v>
      </c>
    </row>
    <row r="21" spans="1:5" ht="14.25" x14ac:dyDescent="0.2">
      <c r="A21" s="156" t="s">
        <v>37</v>
      </c>
      <c r="B21" s="144"/>
      <c r="C21" s="37"/>
      <c r="D21" s="37"/>
      <c r="E21" s="158"/>
    </row>
    <row r="22" spans="1:5" ht="14.25" x14ac:dyDescent="0.2">
      <c r="A22" s="156" t="s">
        <v>38</v>
      </c>
      <c r="B22" s="144"/>
      <c r="C22" s="37"/>
      <c r="D22" s="37"/>
      <c r="E22" s="158"/>
    </row>
    <row r="23" spans="1:5" ht="14.25" x14ac:dyDescent="0.2">
      <c r="A23" s="156" t="s">
        <v>39</v>
      </c>
      <c r="B23" s="144">
        <v>-7722.59</v>
      </c>
      <c r="C23" s="37"/>
      <c r="D23" s="37"/>
      <c r="E23" s="158">
        <v>-6.4999999999999997E-4</v>
      </c>
    </row>
    <row r="24" spans="1:5" ht="14.25" x14ac:dyDescent="0.2">
      <c r="A24" s="156" t="s">
        <v>40</v>
      </c>
      <c r="B24" s="144">
        <v>409026.609</v>
      </c>
      <c r="C24" s="37"/>
      <c r="D24" s="37"/>
      <c r="E24" s="158">
        <v>3.4660000000000003E-2</v>
      </c>
    </row>
    <row r="25" spans="1:5" ht="14.25" x14ac:dyDescent="0.2">
      <c r="A25" s="156" t="s">
        <v>41</v>
      </c>
      <c r="B25" s="144"/>
      <c r="C25" s="37"/>
      <c r="D25" s="37"/>
      <c r="E25" s="158"/>
    </row>
    <row r="26" spans="1:5" ht="14.25" x14ac:dyDescent="0.2">
      <c r="A26" s="156" t="s">
        <v>42</v>
      </c>
      <c r="B26" s="144">
        <v>347.58699999999999</v>
      </c>
      <c r="C26" s="37"/>
      <c r="D26" s="37"/>
      <c r="E26" s="158">
        <v>3.0000000000000001E-5</v>
      </c>
    </row>
    <row r="27" spans="1:5" ht="14.25" x14ac:dyDescent="0.2">
      <c r="A27" s="156" t="s">
        <v>43</v>
      </c>
      <c r="B27" s="144">
        <v>10499.999</v>
      </c>
      <c r="C27" s="37"/>
      <c r="D27" s="37"/>
      <c r="E27" s="158">
        <v>8.8999999999999995E-4</v>
      </c>
    </row>
    <row r="28" spans="1:5" x14ac:dyDescent="0.2">
      <c r="A28" s="156" t="s">
        <v>44</v>
      </c>
      <c r="B28" s="37"/>
      <c r="C28" s="37"/>
      <c r="D28" s="37"/>
      <c r="E28" s="159"/>
    </row>
    <row r="29" spans="1:5" x14ac:dyDescent="0.2">
      <c r="A29" s="156" t="s">
        <v>45</v>
      </c>
      <c r="B29" s="37"/>
      <c r="C29" s="37"/>
      <c r="D29" s="37"/>
      <c r="E29" s="159"/>
    </row>
    <row r="30" spans="1:5" x14ac:dyDescent="0.2">
      <c r="A30" s="157" t="s">
        <v>46</v>
      </c>
      <c r="B30" s="124">
        <f>SUM(B3:B29)</f>
        <v>11800277.401999999</v>
      </c>
      <c r="C30" s="124">
        <f>SUM(C3:C29)</f>
        <v>0</v>
      </c>
      <c r="D30" s="124">
        <f>SUM(D3:D29)</f>
        <v>0</v>
      </c>
      <c r="E30" s="160">
        <f>SUM(E3:E29)</f>
        <v>1</v>
      </c>
    </row>
    <row r="31" spans="1:5" x14ac:dyDescent="0.2">
      <c r="A31" s="156" t="s">
        <v>47</v>
      </c>
      <c r="B31" s="37"/>
      <c r="C31" s="37"/>
      <c r="D31" s="37"/>
      <c r="E31" s="159"/>
    </row>
    <row r="32" spans="1:5" x14ac:dyDescent="0.2">
      <c r="A32" s="164" t="s">
        <v>48</v>
      </c>
      <c r="B32" s="165"/>
      <c r="C32" s="165"/>
      <c r="D32" s="165"/>
      <c r="E32" s="166"/>
    </row>
    <row r="33" spans="1:5" x14ac:dyDescent="0.2">
      <c r="A33" s="167" t="s">
        <v>2494</v>
      </c>
      <c r="B33" s="167"/>
      <c r="C33" s="167"/>
      <c r="D33" s="167"/>
      <c r="E33" s="167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1">
    <mergeCell ref="A33:E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W22"/>
  <sheetViews>
    <sheetView rightToLeft="1" workbookViewId="0">
      <selection activeCell="A8" sqref="A8:W8"/>
    </sheetView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2" width="14.375" style="2" bestFit="1" customWidth="1"/>
    <col min="13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23" s="3" customFormat="1" ht="66.75" customHeight="1" x14ac:dyDescent="0.2">
      <c r="A1" s="168" t="s">
        <v>49</v>
      </c>
      <c r="B1" s="168" t="s">
        <v>50</v>
      </c>
      <c r="C1" s="168" t="s">
        <v>51</v>
      </c>
      <c r="D1" s="168" t="s">
        <v>52</v>
      </c>
      <c r="E1" s="168" t="s">
        <v>53</v>
      </c>
      <c r="F1" s="168" t="s">
        <v>54</v>
      </c>
      <c r="G1" s="168" t="s">
        <v>55</v>
      </c>
      <c r="H1" s="168" t="s">
        <v>56</v>
      </c>
      <c r="I1" s="168" t="s">
        <v>57</v>
      </c>
      <c r="J1" s="168" t="s">
        <v>58</v>
      </c>
      <c r="K1" s="168" t="s">
        <v>59</v>
      </c>
      <c r="L1" s="168" t="s">
        <v>60</v>
      </c>
      <c r="M1" s="168" t="s">
        <v>61</v>
      </c>
      <c r="N1" s="168" t="s">
        <v>62</v>
      </c>
      <c r="O1" s="168" t="s">
        <v>63</v>
      </c>
      <c r="P1" s="168" t="s">
        <v>64</v>
      </c>
      <c r="Q1" s="168" t="s">
        <v>65</v>
      </c>
    </row>
    <row r="2" spans="1:23" x14ac:dyDescent="0.2">
      <c r="A2" t="s">
        <v>1204</v>
      </c>
      <c r="B2" t="s">
        <v>1204</v>
      </c>
      <c r="C2" t="s">
        <v>1205</v>
      </c>
      <c r="D2" t="s">
        <v>1206</v>
      </c>
      <c r="E2" t="s">
        <v>315</v>
      </c>
      <c r="F2" t="s">
        <v>937</v>
      </c>
      <c r="G2" t="s">
        <v>204</v>
      </c>
      <c r="H2" t="s">
        <v>339</v>
      </c>
      <c r="I2" t="s">
        <v>1207</v>
      </c>
      <c r="J2" t="s">
        <v>413</v>
      </c>
      <c r="K2" t="s">
        <v>1208</v>
      </c>
      <c r="L2" s="125">
        <v>131552509.23</v>
      </c>
      <c r="M2" s="125">
        <v>1</v>
      </c>
      <c r="N2" s="126">
        <v>4.1500000000000002E-2</v>
      </c>
      <c r="O2" s="125">
        <v>131552.50899999999</v>
      </c>
      <c r="P2" s="126">
        <v>0.77258000000000004</v>
      </c>
      <c r="Q2" s="126">
        <v>1.115E-2</v>
      </c>
    </row>
    <row r="3" spans="1:23" x14ac:dyDescent="0.2">
      <c r="A3" t="s">
        <v>1204</v>
      </c>
      <c r="B3" t="s">
        <v>1204</v>
      </c>
      <c r="C3" t="s">
        <v>1205</v>
      </c>
      <c r="D3" t="s">
        <v>1206</v>
      </c>
      <c r="E3" t="s">
        <v>315</v>
      </c>
      <c r="F3" t="s">
        <v>934</v>
      </c>
      <c r="G3" t="s">
        <v>204</v>
      </c>
      <c r="H3" t="s">
        <v>339</v>
      </c>
      <c r="I3" t="s">
        <v>1207</v>
      </c>
      <c r="J3" t="s">
        <v>413</v>
      </c>
      <c r="K3" t="s">
        <v>1208</v>
      </c>
      <c r="L3" s="125">
        <v>1204.6600000000001</v>
      </c>
      <c r="M3" s="125">
        <v>1</v>
      </c>
      <c r="N3"/>
      <c r="O3" s="125">
        <v>1.2050000000000001</v>
      </c>
      <c r="P3" s="126">
        <v>1.0000000000000001E-5</v>
      </c>
      <c r="Q3" s="126">
        <v>0</v>
      </c>
    </row>
    <row r="4" spans="1:23" x14ac:dyDescent="0.2">
      <c r="A4" t="s">
        <v>1204</v>
      </c>
      <c r="B4" t="s">
        <v>1204</v>
      </c>
      <c r="C4" t="s">
        <v>1205</v>
      </c>
      <c r="D4" t="s">
        <v>1206</v>
      </c>
      <c r="E4" t="s">
        <v>315</v>
      </c>
      <c r="F4" t="s">
        <v>936</v>
      </c>
      <c r="G4" t="s">
        <v>205</v>
      </c>
      <c r="H4" t="s">
        <v>339</v>
      </c>
      <c r="I4" t="s">
        <v>1207</v>
      </c>
      <c r="J4" t="s">
        <v>413</v>
      </c>
      <c r="K4" t="s">
        <v>1209</v>
      </c>
      <c r="L4" s="128">
        <v>9428242.9399999995</v>
      </c>
      <c r="M4" s="125">
        <v>3.6469999999999998</v>
      </c>
      <c r="N4"/>
      <c r="O4" s="125">
        <v>34384.802000000003</v>
      </c>
      <c r="P4" s="126">
        <v>0.20194000000000001</v>
      </c>
      <c r="Q4" s="126">
        <v>2.9099999999999998E-3</v>
      </c>
    </row>
    <row r="5" spans="1:23" x14ac:dyDescent="0.2">
      <c r="A5" t="s">
        <v>1204</v>
      </c>
      <c r="B5" t="s">
        <v>1204</v>
      </c>
      <c r="C5" t="s">
        <v>1205</v>
      </c>
      <c r="D5" t="s">
        <v>1206</v>
      </c>
      <c r="E5" t="s">
        <v>315</v>
      </c>
      <c r="F5" t="s">
        <v>936</v>
      </c>
      <c r="G5" t="s">
        <v>205</v>
      </c>
      <c r="H5" t="s">
        <v>339</v>
      </c>
      <c r="I5" t="s">
        <v>1207</v>
      </c>
      <c r="J5" t="s">
        <v>413</v>
      </c>
      <c r="K5" t="s">
        <v>1210</v>
      </c>
      <c r="L5" s="128">
        <v>908237.62</v>
      </c>
      <c r="M5" s="125">
        <v>3.7959999999999998</v>
      </c>
      <c r="N5"/>
      <c r="O5" s="125">
        <v>3448.0329999999999</v>
      </c>
      <c r="P5" s="126">
        <v>2.0250000000000001E-2</v>
      </c>
      <c r="Q5" s="126">
        <v>2.9E-4</v>
      </c>
    </row>
    <row r="6" spans="1:23" x14ac:dyDescent="0.2">
      <c r="A6" t="s">
        <v>1204</v>
      </c>
      <c r="B6" t="s">
        <v>1204</v>
      </c>
      <c r="C6" t="s">
        <v>1205</v>
      </c>
      <c r="D6" t="s">
        <v>1206</v>
      </c>
      <c r="E6" t="s">
        <v>315</v>
      </c>
      <c r="F6" t="s">
        <v>936</v>
      </c>
      <c r="G6" t="s">
        <v>205</v>
      </c>
      <c r="H6" t="s">
        <v>339</v>
      </c>
      <c r="I6" t="s">
        <v>1207</v>
      </c>
      <c r="J6" t="s">
        <v>413</v>
      </c>
      <c r="K6" t="s">
        <v>1211</v>
      </c>
      <c r="L6" s="128">
        <v>149067.69</v>
      </c>
      <c r="M6" s="125">
        <v>4.5739999999999998</v>
      </c>
      <c r="N6"/>
      <c r="O6" s="125">
        <v>681.88</v>
      </c>
      <c r="P6" s="126">
        <v>4.0000000000000001E-3</v>
      </c>
      <c r="Q6" s="126">
        <v>6.0000000000000002E-5</v>
      </c>
    </row>
    <row r="7" spans="1:23" x14ac:dyDescent="0.2">
      <c r="A7" t="s">
        <v>1204</v>
      </c>
      <c r="B7" t="s">
        <v>1204</v>
      </c>
      <c r="C7" t="s">
        <v>1205</v>
      </c>
      <c r="D7" t="s">
        <v>1206</v>
      </c>
      <c r="E7" t="s">
        <v>315</v>
      </c>
      <c r="F7" t="s">
        <v>936</v>
      </c>
      <c r="G7" t="s">
        <v>205</v>
      </c>
      <c r="H7" t="s">
        <v>339</v>
      </c>
      <c r="I7" t="s">
        <v>1207</v>
      </c>
      <c r="J7" t="s">
        <v>413</v>
      </c>
      <c r="K7" t="s">
        <v>1212</v>
      </c>
      <c r="L7" s="128">
        <v>81922.320000000007</v>
      </c>
      <c r="M7" s="125">
        <v>2.5350000000000001</v>
      </c>
      <c r="N7"/>
      <c r="O7" s="125">
        <v>207.70599999999999</v>
      </c>
      <c r="P7" s="126">
        <v>1.2199999999999999E-3</v>
      </c>
      <c r="Q7" s="126">
        <v>2.0000000000000002E-5</v>
      </c>
    </row>
    <row r="8" spans="1:23" x14ac:dyDescent="0.2">
      <c r="A8" s="153" t="s">
        <v>2494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</row>
    <row r="9" spans="1:23" x14ac:dyDescent="0.2">
      <c r="A9" s="102"/>
      <c r="B9" s="102"/>
      <c r="C9" s="102"/>
      <c r="D9"/>
      <c r="E9" s="16"/>
      <c r="F9" s="102"/>
      <c r="G9" s="102"/>
      <c r="H9" s="102"/>
      <c r="I9" s="102"/>
      <c r="J9" s="102"/>
      <c r="K9" s="102"/>
      <c r="L9" s="102"/>
      <c r="M9"/>
      <c r="N9"/>
      <c r="O9"/>
      <c r="P9"/>
      <c r="Q9"/>
    </row>
    <row r="10" spans="1:23" x14ac:dyDescent="0.2">
      <c r="A10" s="102"/>
      <c r="B10" s="102"/>
      <c r="C10" s="102"/>
      <c r="D10"/>
      <c r="E10" s="16"/>
      <c r="F10" s="102"/>
      <c r="G10" s="102"/>
      <c r="H10" s="102"/>
      <c r="I10" s="102"/>
      <c r="J10" s="102"/>
      <c r="K10" s="102"/>
      <c r="L10" s="102"/>
      <c r="M10"/>
      <c r="N10"/>
      <c r="O10"/>
      <c r="P10"/>
      <c r="Q10"/>
    </row>
    <row r="11" spans="1:23" x14ac:dyDescent="0.2">
      <c r="A11" s="102"/>
      <c r="B11" s="102"/>
      <c r="C11" s="102"/>
      <c r="D11"/>
      <c r="E11" s="16"/>
      <c r="F11" s="102"/>
      <c r="G11" s="102"/>
      <c r="H11" s="102"/>
      <c r="I11" s="102"/>
      <c r="J11" s="102"/>
      <c r="K11" s="102"/>
      <c r="L11" s="102"/>
      <c r="M11"/>
      <c r="N11"/>
      <c r="O11"/>
      <c r="P11"/>
      <c r="Q11"/>
    </row>
    <row r="12" spans="1:23" x14ac:dyDescent="0.2">
      <c r="A12" s="102"/>
      <c r="B12" s="102"/>
      <c r="C12" s="102"/>
      <c r="D12"/>
      <c r="E12" s="16"/>
      <c r="F12" s="102"/>
      <c r="G12" s="102"/>
      <c r="H12" s="102"/>
      <c r="I12" s="102"/>
      <c r="J12" s="102"/>
      <c r="K12" s="102"/>
      <c r="L12" s="102"/>
      <c r="M12"/>
      <c r="N12"/>
      <c r="O12"/>
      <c r="P12"/>
      <c r="Q12"/>
    </row>
    <row r="13" spans="1:23" x14ac:dyDescent="0.2">
      <c r="A13" s="102"/>
      <c r="B13" s="102"/>
      <c r="C13" s="102"/>
      <c r="D13"/>
      <c r="E13" s="16"/>
      <c r="F13" s="102"/>
      <c r="G13" s="102"/>
      <c r="H13" s="102"/>
      <c r="I13" s="102"/>
      <c r="J13" s="102"/>
      <c r="K13" s="102"/>
      <c r="L13" s="102"/>
      <c r="M13"/>
      <c r="N13"/>
      <c r="O13"/>
      <c r="P13"/>
      <c r="Q13"/>
    </row>
    <row r="14" spans="1:23" x14ac:dyDescent="0.2">
      <c r="A14" s="102"/>
      <c r="B14" s="102"/>
      <c r="C14" s="102"/>
      <c r="D14"/>
      <c r="E14" s="16"/>
      <c r="F14" s="102"/>
      <c r="G14" s="102"/>
      <c r="H14" s="102"/>
      <c r="I14" s="102"/>
      <c r="J14" s="102"/>
      <c r="K14" s="102"/>
      <c r="L14" s="102"/>
      <c r="M14"/>
      <c r="N14"/>
      <c r="O14"/>
      <c r="P14"/>
      <c r="Q14"/>
    </row>
    <row r="15" spans="1:23" x14ac:dyDescent="0.2">
      <c r="A15" s="102"/>
      <c r="B15" s="102"/>
      <c r="C15" s="102"/>
      <c r="D15"/>
      <c r="E15" s="16"/>
      <c r="F15" s="102"/>
      <c r="G15" s="102"/>
      <c r="H15" s="102"/>
      <c r="I15" s="102"/>
      <c r="J15" s="102"/>
      <c r="K15" s="102"/>
      <c r="L15" s="102"/>
      <c r="M15"/>
      <c r="N15"/>
      <c r="O15"/>
      <c r="P15"/>
      <c r="Q15"/>
    </row>
    <row r="16" spans="1:23" x14ac:dyDescent="0.2">
      <c r="A16" s="102"/>
      <c r="B16" s="102"/>
      <c r="C16" s="102"/>
      <c r="D16"/>
      <c r="E16" s="16"/>
      <c r="F16" s="102"/>
      <c r="G16" s="102"/>
      <c r="H16" s="102"/>
      <c r="I16" s="102"/>
      <c r="J16" s="102"/>
      <c r="K16" s="102"/>
      <c r="L16" s="102"/>
      <c r="M16"/>
      <c r="N16"/>
      <c r="O16"/>
      <c r="P16"/>
      <c r="Q16"/>
    </row>
    <row r="17" spans="4:17" x14ac:dyDescent="0.2">
      <c r="D17"/>
      <c r="E17" s="16"/>
      <c r="F17" s="102"/>
      <c r="G17" s="102"/>
      <c r="H17" s="102"/>
      <c r="I17" s="102"/>
      <c r="J17" s="102"/>
      <c r="K17" s="102"/>
      <c r="L17" s="102"/>
      <c r="M17"/>
      <c r="N17"/>
      <c r="O17"/>
      <c r="P17"/>
      <c r="Q17"/>
    </row>
    <row r="18" spans="4:17" x14ac:dyDescent="0.2">
      <c r="D18"/>
      <c r="E18" s="16"/>
      <c r="F18" s="102"/>
      <c r="G18" s="102"/>
      <c r="H18" s="102"/>
      <c r="I18" s="102"/>
      <c r="J18" s="102"/>
      <c r="K18" s="102"/>
      <c r="L18" s="102"/>
      <c r="M18"/>
      <c r="N18"/>
      <c r="O18"/>
      <c r="P18"/>
      <c r="Q18"/>
    </row>
    <row r="19" spans="4:17" x14ac:dyDescent="0.2">
      <c r="D19"/>
      <c r="E19" s="16"/>
      <c r="F19" s="102"/>
      <c r="G19" s="102"/>
      <c r="H19" s="102"/>
      <c r="I19" s="102"/>
      <c r="J19" s="102"/>
      <c r="K19" s="102"/>
      <c r="L19" s="102"/>
      <c r="M19"/>
      <c r="N19"/>
      <c r="O19"/>
      <c r="P19"/>
      <c r="Q19"/>
    </row>
    <row r="20" spans="4:17" x14ac:dyDescent="0.2">
      <c r="D20"/>
      <c r="E20" s="16"/>
      <c r="F20" s="102"/>
      <c r="G20" s="102"/>
      <c r="H20" s="102"/>
      <c r="I20" s="102"/>
      <c r="J20" s="102"/>
      <c r="K20" s="102"/>
      <c r="L20" s="102"/>
      <c r="M20"/>
      <c r="N20"/>
      <c r="O20"/>
      <c r="P20"/>
      <c r="Q20"/>
    </row>
    <row r="21" spans="4:17" x14ac:dyDescent="0.2">
      <c r="D21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</row>
    <row r="22" spans="4:17" x14ac:dyDescent="0.2">
      <c r="D2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1">
    <mergeCell ref="A8:W8"/>
  </mergeCells>
  <dataValidations count="4">
    <dataValidation type="list" allowBlank="1" showInputMessage="1" showErrorMessage="1" sqref="G2:G7 G9:G20" xr:uid="{00000000-0002-0000-0200-000000000000}">
      <formula1>israel_abroad</formula1>
    </dataValidation>
    <dataValidation type="list" allowBlank="1" showInputMessage="1" showErrorMessage="1" sqref="H2:H7 H9:H20" xr:uid="{00000000-0002-0000-0200-000001000000}">
      <formula1>Holding_interest</formula1>
    </dataValidation>
    <dataValidation type="list" allowBlank="1" showInputMessage="1" showErrorMessage="1" sqref="J2:J7 J9:J21" xr:uid="{00000000-0002-0000-0200-000002000000}">
      <formula1>Rating_Agency</formula1>
    </dataValidation>
    <dataValidation type="list" allowBlank="1" showInputMessage="1" showErrorMessage="1" sqref="E2:E7 E9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F2:F7 F9:F20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workbookViewId="0">
      <selection activeCell="F2" sqref="F2"/>
    </sheetView>
  </sheetViews>
  <sheetFormatPr defaultColWidth="9" defaultRowHeight="14.25" x14ac:dyDescent="0.2"/>
  <cols>
    <col min="1" max="1" width="29.375" style="4" customWidth="1"/>
    <col min="2" max="3" width="11.625" style="4" customWidth="1"/>
    <col min="4" max="4" width="14.875" style="4" bestFit="1" customWidth="1"/>
    <col min="5" max="5" width="12.75" style="4" customWidth="1"/>
    <col min="6" max="6" width="31.125" style="4" bestFit="1" customWidth="1"/>
    <col min="7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5.875" style="4" bestFit="1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6" ht="66.75" customHeight="1" x14ac:dyDescent="0.2">
      <c r="A1" s="168" t="s">
        <v>49</v>
      </c>
      <c r="B1" s="168" t="s">
        <v>50</v>
      </c>
      <c r="C1" s="168" t="s">
        <v>66</v>
      </c>
      <c r="D1" s="168" t="s">
        <v>67</v>
      </c>
      <c r="E1" s="168" t="s">
        <v>68</v>
      </c>
      <c r="F1" s="168" t="s">
        <v>54</v>
      </c>
      <c r="G1" s="168" t="s">
        <v>55</v>
      </c>
      <c r="H1" s="168" t="s">
        <v>69</v>
      </c>
      <c r="I1" s="168" t="s">
        <v>70</v>
      </c>
      <c r="J1" s="168" t="s">
        <v>71</v>
      </c>
      <c r="K1" s="168" t="s">
        <v>58</v>
      </c>
      <c r="L1" s="168" t="s">
        <v>59</v>
      </c>
      <c r="M1" s="168" t="s">
        <v>72</v>
      </c>
      <c r="N1" s="168" t="s">
        <v>73</v>
      </c>
      <c r="O1" s="168" t="s">
        <v>62</v>
      </c>
      <c r="P1" s="168" t="s">
        <v>74</v>
      </c>
      <c r="Q1" s="168" t="s">
        <v>75</v>
      </c>
      <c r="R1" s="168" t="s">
        <v>76</v>
      </c>
      <c r="S1" s="168" t="s">
        <v>61</v>
      </c>
      <c r="T1" s="168" t="s">
        <v>77</v>
      </c>
      <c r="U1" s="168" t="s">
        <v>63</v>
      </c>
      <c r="V1" s="168" t="s">
        <v>78</v>
      </c>
      <c r="W1" s="168" t="s">
        <v>17</v>
      </c>
      <c r="X1" s="168" t="s">
        <v>79</v>
      </c>
      <c r="Y1" s="168" t="s">
        <v>64</v>
      </c>
      <c r="Z1" s="168" t="s">
        <v>65</v>
      </c>
    </row>
    <row r="2" spans="1:26" x14ac:dyDescent="0.2">
      <c r="A2" t="s">
        <v>1204</v>
      </c>
      <c r="B2" t="s">
        <v>1204</v>
      </c>
      <c r="C2" t="s">
        <v>1213</v>
      </c>
      <c r="D2" t="s">
        <v>1214</v>
      </c>
      <c r="E2" t="s">
        <v>1215</v>
      </c>
      <c r="F2" t="s">
        <v>943</v>
      </c>
      <c r="G2" t="s">
        <v>204</v>
      </c>
      <c r="H2" t="s">
        <v>204</v>
      </c>
      <c r="I2" t="s">
        <v>340</v>
      </c>
      <c r="J2" t="s">
        <v>1216</v>
      </c>
      <c r="K2" t="s">
        <v>413</v>
      </c>
      <c r="L2" t="s">
        <v>1208</v>
      </c>
      <c r="M2" s="125">
        <v>24.78</v>
      </c>
      <c r="N2" t="s">
        <v>1217</v>
      </c>
      <c r="O2" s="126">
        <v>5.0000000000000001E-3</v>
      </c>
      <c r="P2" s="126">
        <v>2.0500000000000001E-2</v>
      </c>
      <c r="Q2"/>
      <c r="R2" s="125">
        <v>1339232241</v>
      </c>
      <c r="S2" s="125">
        <v>1</v>
      </c>
      <c r="T2" s="125">
        <v>78.59</v>
      </c>
      <c r="U2" s="125">
        <v>1052502.618</v>
      </c>
      <c r="V2"/>
      <c r="W2" s="16"/>
      <c r="X2" s="126">
        <v>0.14643</v>
      </c>
      <c r="Y2" s="126">
        <v>0.30187000000000003</v>
      </c>
      <c r="Z2" s="126">
        <v>8.9190000000000005E-2</v>
      </c>
    </row>
    <row r="3" spans="1:26" x14ac:dyDescent="0.2">
      <c r="A3" t="s">
        <v>1204</v>
      </c>
      <c r="B3" t="s">
        <v>1204</v>
      </c>
      <c r="C3" t="s">
        <v>1213</v>
      </c>
      <c r="D3" t="s">
        <v>1218</v>
      </c>
      <c r="E3" t="s">
        <v>1219</v>
      </c>
      <c r="F3" t="s">
        <v>943</v>
      </c>
      <c r="G3" t="s">
        <v>204</v>
      </c>
      <c r="H3" t="s">
        <v>204</v>
      </c>
      <c r="I3" t="s">
        <v>340</v>
      </c>
      <c r="J3" t="s">
        <v>1216</v>
      </c>
      <c r="K3" t="s">
        <v>413</v>
      </c>
      <c r="L3" t="s">
        <v>1208</v>
      </c>
      <c r="M3" s="125">
        <v>18.23</v>
      </c>
      <c r="N3" t="s">
        <v>1220</v>
      </c>
      <c r="O3" s="126">
        <v>0.01</v>
      </c>
      <c r="P3" s="126">
        <v>0.02</v>
      </c>
      <c r="Q3"/>
      <c r="R3" s="125">
        <v>976155375</v>
      </c>
      <c r="S3" s="125">
        <v>1</v>
      </c>
      <c r="T3" s="125">
        <v>97.65</v>
      </c>
      <c r="U3" s="125">
        <v>953215.72400000005</v>
      </c>
      <c r="V3"/>
      <c r="W3" s="16"/>
      <c r="X3" s="126">
        <v>5.3920000000000003E-2</v>
      </c>
      <c r="Y3" s="126">
        <v>0.27339999999999998</v>
      </c>
      <c r="Z3" s="126">
        <v>8.0780000000000005E-2</v>
      </c>
    </row>
    <row r="4" spans="1:26" x14ac:dyDescent="0.2">
      <c r="A4" t="s">
        <v>1204</v>
      </c>
      <c r="B4" t="s">
        <v>1204</v>
      </c>
      <c r="C4" t="s">
        <v>1213</v>
      </c>
      <c r="D4" t="s">
        <v>1221</v>
      </c>
      <c r="E4" t="s">
        <v>1222</v>
      </c>
      <c r="F4" t="s">
        <v>943</v>
      </c>
      <c r="G4" t="s">
        <v>204</v>
      </c>
      <c r="H4" t="s">
        <v>204</v>
      </c>
      <c r="I4" t="s">
        <v>340</v>
      </c>
      <c r="J4" t="s">
        <v>1216</v>
      </c>
      <c r="K4" t="s">
        <v>413</v>
      </c>
      <c r="L4" t="s">
        <v>1208</v>
      </c>
      <c r="M4" s="125">
        <v>13.67</v>
      </c>
      <c r="N4" t="s">
        <v>1223</v>
      </c>
      <c r="O4" s="126">
        <v>2.75E-2</v>
      </c>
      <c r="P4" s="126">
        <v>1.95E-2</v>
      </c>
      <c r="Q4"/>
      <c r="R4" s="125">
        <v>539572833</v>
      </c>
      <c r="S4" s="125">
        <v>1</v>
      </c>
      <c r="T4" s="125">
        <v>138.46</v>
      </c>
      <c r="U4" s="125">
        <v>747092.54500000004</v>
      </c>
      <c r="V4"/>
      <c r="W4" s="16"/>
      <c r="X4" s="126">
        <v>3.0079999999999999E-2</v>
      </c>
      <c r="Y4" s="126">
        <v>0.21428</v>
      </c>
      <c r="Z4" s="126">
        <v>6.3310000000000005E-2</v>
      </c>
    </row>
    <row r="5" spans="1:26" x14ac:dyDescent="0.2">
      <c r="A5" t="s">
        <v>1204</v>
      </c>
      <c r="B5" t="s">
        <v>1204</v>
      </c>
      <c r="C5" t="s">
        <v>1213</v>
      </c>
      <c r="D5" t="s">
        <v>1224</v>
      </c>
      <c r="E5" t="s">
        <v>1225</v>
      </c>
      <c r="F5" t="s">
        <v>943</v>
      </c>
      <c r="G5" t="s">
        <v>204</v>
      </c>
      <c r="H5" t="s">
        <v>204</v>
      </c>
      <c r="I5" t="s">
        <v>340</v>
      </c>
      <c r="J5" t="s">
        <v>1216</v>
      </c>
      <c r="K5" t="s">
        <v>413</v>
      </c>
      <c r="L5" t="s">
        <v>1208</v>
      </c>
      <c r="M5" s="125">
        <v>9.42</v>
      </c>
      <c r="N5" t="s">
        <v>1226</v>
      </c>
      <c r="O5" s="126">
        <v>0.04</v>
      </c>
      <c r="P5" s="126">
        <v>1.9300000000000001E-2</v>
      </c>
      <c r="Q5"/>
      <c r="R5" s="125">
        <v>154159020</v>
      </c>
      <c r="S5" s="125">
        <v>1</v>
      </c>
      <c r="T5" s="125">
        <v>169.09</v>
      </c>
      <c r="U5" s="125">
        <v>260667.48699999999</v>
      </c>
      <c r="V5"/>
      <c r="W5" s="16"/>
      <c r="X5" s="126">
        <v>9.6799999999999994E-3</v>
      </c>
      <c r="Y5" s="126">
        <v>7.4759999999999993E-2</v>
      </c>
      <c r="Z5" s="126">
        <v>2.2089999999999999E-2</v>
      </c>
    </row>
    <row r="6" spans="1:26" x14ac:dyDescent="0.2">
      <c r="A6" t="s">
        <v>1204</v>
      </c>
      <c r="B6" t="s">
        <v>1204</v>
      </c>
      <c r="C6" t="s">
        <v>1213</v>
      </c>
      <c r="D6" t="s">
        <v>1227</v>
      </c>
      <c r="E6" t="s">
        <v>1228</v>
      </c>
      <c r="F6" t="s">
        <v>943</v>
      </c>
      <c r="G6" t="s">
        <v>204</v>
      </c>
      <c r="H6" t="s">
        <v>204</v>
      </c>
      <c r="I6" t="s">
        <v>340</v>
      </c>
      <c r="J6" t="s">
        <v>1216</v>
      </c>
      <c r="K6" t="s">
        <v>413</v>
      </c>
      <c r="L6" t="s">
        <v>1208</v>
      </c>
      <c r="M6" s="125">
        <v>8.2799999999999994</v>
      </c>
      <c r="N6" t="s">
        <v>1229</v>
      </c>
      <c r="O6" s="126">
        <v>1.6E-2</v>
      </c>
      <c r="P6" s="126">
        <v>1.95E-2</v>
      </c>
      <c r="Q6"/>
      <c r="R6" s="125">
        <v>248957443</v>
      </c>
      <c r="S6" s="125">
        <v>1</v>
      </c>
      <c r="T6" s="125">
        <v>100.92</v>
      </c>
      <c r="U6" s="125">
        <v>251247.851</v>
      </c>
      <c r="V6"/>
      <c r="W6" s="16"/>
      <c r="X6" s="126">
        <v>5.4350000000000002E-2</v>
      </c>
      <c r="Y6" s="126">
        <v>7.2059999999999999E-2</v>
      </c>
      <c r="Z6" s="126">
        <v>2.129E-2</v>
      </c>
    </row>
    <row r="7" spans="1:26" x14ac:dyDescent="0.2">
      <c r="A7" t="s">
        <v>1204</v>
      </c>
      <c r="B7" t="s">
        <v>1204</v>
      </c>
      <c r="C7" t="s">
        <v>1213</v>
      </c>
      <c r="D7" t="s">
        <v>1230</v>
      </c>
      <c r="E7" t="s">
        <v>1231</v>
      </c>
      <c r="F7" t="s">
        <v>947</v>
      </c>
      <c r="G7" t="s">
        <v>204</v>
      </c>
      <c r="H7" t="s">
        <v>204</v>
      </c>
      <c r="I7" t="s">
        <v>340</v>
      </c>
      <c r="J7" t="s">
        <v>1232</v>
      </c>
      <c r="K7" t="s">
        <v>431</v>
      </c>
      <c r="L7" t="s">
        <v>1209</v>
      </c>
      <c r="M7" s="125">
        <v>13.617000000000001</v>
      </c>
      <c r="N7" t="s">
        <v>1233</v>
      </c>
      <c r="O7" s="126">
        <v>5.7500000000000002E-2</v>
      </c>
      <c r="P7" s="126">
        <v>6.5110000000000001E-2</v>
      </c>
      <c r="Q7"/>
      <c r="R7" s="125">
        <v>40000000</v>
      </c>
      <c r="S7" s="125">
        <v>3.6469999999999998</v>
      </c>
      <c r="T7" s="125">
        <v>93.375</v>
      </c>
      <c r="U7" s="125">
        <v>136214.72099999999</v>
      </c>
      <c r="V7"/>
      <c r="W7" s="16"/>
      <c r="X7" s="126">
        <v>1.333E-2</v>
      </c>
      <c r="Y7" s="126">
        <v>3.9070000000000001E-2</v>
      </c>
      <c r="Z7" s="126">
        <v>1.154E-2</v>
      </c>
    </row>
    <row r="8" spans="1:26" x14ac:dyDescent="0.2">
      <c r="A8" t="s">
        <v>1204</v>
      </c>
      <c r="B8" t="s">
        <v>1204</v>
      </c>
      <c r="C8" t="s">
        <v>1213</v>
      </c>
      <c r="D8" t="s">
        <v>1234</v>
      </c>
      <c r="E8" t="s">
        <v>1235</v>
      </c>
      <c r="F8" t="s">
        <v>943</v>
      </c>
      <c r="G8" t="s">
        <v>204</v>
      </c>
      <c r="H8" t="s">
        <v>204</v>
      </c>
      <c r="I8" t="s">
        <v>340</v>
      </c>
      <c r="J8" t="s">
        <v>1216</v>
      </c>
      <c r="K8" t="s">
        <v>413</v>
      </c>
      <c r="L8" t="s">
        <v>1208</v>
      </c>
      <c r="M8" s="125">
        <v>6.89</v>
      </c>
      <c r="N8" t="s">
        <v>1236</v>
      </c>
      <c r="O8" s="126">
        <v>0.01</v>
      </c>
      <c r="P8" s="126">
        <v>1.8700000000000001E-2</v>
      </c>
      <c r="Q8"/>
      <c r="R8" s="125">
        <v>80809466</v>
      </c>
      <c r="S8" s="125">
        <v>1</v>
      </c>
      <c r="T8" s="125">
        <v>102.23</v>
      </c>
      <c r="U8" s="125">
        <v>82611.517000000007</v>
      </c>
      <c r="V8"/>
      <c r="W8" s="16"/>
      <c r="X8" s="126">
        <v>6.8700000000000002E-3</v>
      </c>
      <c r="Y8" s="126">
        <v>2.3689999999999999E-2</v>
      </c>
      <c r="Z8" s="126">
        <v>7.0000000000000001E-3</v>
      </c>
    </row>
    <row r="9" spans="1:26" x14ac:dyDescent="0.2">
      <c r="A9" t="s">
        <v>1204</v>
      </c>
      <c r="B9" t="s">
        <v>1204</v>
      </c>
      <c r="C9" t="s">
        <v>1213</v>
      </c>
      <c r="D9" t="s">
        <v>1227</v>
      </c>
      <c r="E9" t="s">
        <v>1228</v>
      </c>
      <c r="F9" t="s">
        <v>943</v>
      </c>
      <c r="G9" t="s">
        <v>204</v>
      </c>
      <c r="H9" t="s">
        <v>204</v>
      </c>
      <c r="I9" t="s">
        <v>340</v>
      </c>
      <c r="J9" t="s">
        <v>1216</v>
      </c>
      <c r="K9" t="s">
        <v>413</v>
      </c>
      <c r="L9" t="s">
        <v>1208</v>
      </c>
      <c r="M9" s="125">
        <v>8.2799999999999994</v>
      </c>
      <c r="N9" t="s">
        <v>1229</v>
      </c>
      <c r="O9" s="126">
        <v>1.6E-2</v>
      </c>
      <c r="P9" s="126">
        <v>1.95E-2</v>
      </c>
      <c r="Q9"/>
      <c r="R9" s="125">
        <v>3000000</v>
      </c>
      <c r="S9" s="125">
        <v>1</v>
      </c>
      <c r="T9" s="125">
        <v>100.92</v>
      </c>
      <c r="U9" s="125">
        <v>3027.6</v>
      </c>
      <c r="V9"/>
      <c r="W9" s="16"/>
      <c r="X9" s="126">
        <v>6.4999999999999997E-4</v>
      </c>
      <c r="Y9" s="126">
        <v>8.7000000000000001E-4</v>
      </c>
      <c r="Z9" s="126">
        <v>2.5999999999999998E-4</v>
      </c>
    </row>
    <row r="10" spans="1:26" x14ac:dyDescent="0.2">
      <c r="A10" s="169" t="s">
        <v>2494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spans="1:26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/>
      <c r="M11"/>
      <c r="N11"/>
      <c r="O11"/>
      <c r="P11"/>
      <c r="Q11"/>
      <c r="R11"/>
      <c r="S11"/>
      <c r="T11"/>
      <c r="U11"/>
      <c r="V11"/>
      <c r="W11" s="16"/>
      <c r="X11"/>
      <c r="Y11"/>
      <c r="Z11"/>
    </row>
    <row r="12" spans="1:26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/>
      <c r="M12"/>
      <c r="N12"/>
      <c r="O12"/>
      <c r="P12"/>
      <c r="Q12"/>
      <c r="R12"/>
      <c r="S12"/>
      <c r="T12"/>
      <c r="U12"/>
      <c r="V12"/>
      <c r="W12" s="16"/>
      <c r="X12"/>
      <c r="Y12"/>
      <c r="Z12"/>
    </row>
    <row r="13" spans="1:26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/>
      <c r="M13"/>
      <c r="N13"/>
      <c r="O13"/>
      <c r="P13"/>
      <c r="Q13"/>
      <c r="R13"/>
      <c r="S13"/>
      <c r="T13"/>
      <c r="U13"/>
      <c r="V13"/>
      <c r="W13" s="16"/>
      <c r="X13"/>
      <c r="Y13"/>
      <c r="Z13"/>
    </row>
    <row r="14" spans="1:26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/>
      <c r="M14"/>
      <c r="N14"/>
      <c r="O14"/>
      <c r="P14"/>
      <c r="Q14"/>
      <c r="R14"/>
      <c r="S14"/>
      <c r="T14"/>
      <c r="U14"/>
      <c r="V14"/>
      <c r="W14" s="16"/>
      <c r="X14"/>
      <c r="Y14"/>
      <c r="Z14"/>
    </row>
    <row r="15" spans="1:26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/>
      <c r="M15"/>
      <c r="N15"/>
      <c r="O15"/>
      <c r="P15"/>
      <c r="Q15"/>
      <c r="R15"/>
      <c r="S15"/>
      <c r="T15"/>
      <c r="U15"/>
      <c r="V15"/>
      <c r="W15" s="16"/>
      <c r="X15"/>
      <c r="Y15"/>
      <c r="Z15"/>
    </row>
    <row r="16" spans="1:26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/>
      <c r="M16"/>
      <c r="N16"/>
      <c r="O16"/>
      <c r="P16"/>
      <c r="Q16"/>
      <c r="R16"/>
      <c r="S16"/>
      <c r="T16"/>
      <c r="U16"/>
      <c r="V16"/>
      <c r="W16" s="16"/>
      <c r="X16"/>
      <c r="Y16"/>
      <c r="Z16"/>
    </row>
    <row r="17" spans="1:26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/>
      <c r="M17"/>
      <c r="N17"/>
      <c r="O17"/>
      <c r="P17"/>
      <c r="Q17"/>
      <c r="R17"/>
      <c r="S17"/>
      <c r="T17"/>
      <c r="U17"/>
      <c r="V17"/>
      <c r="W17" s="16"/>
      <c r="X17"/>
      <c r="Y17"/>
      <c r="Z17"/>
    </row>
    <row r="18" spans="1:26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/>
      <c r="M18"/>
      <c r="N18"/>
      <c r="O18"/>
      <c r="P18"/>
      <c r="Q18"/>
      <c r="R18"/>
      <c r="S18"/>
      <c r="T18"/>
      <c r="U18"/>
      <c r="V18"/>
      <c r="W18" s="16"/>
      <c r="X18"/>
      <c r="Y18"/>
      <c r="Z18"/>
    </row>
    <row r="19" spans="1:26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/>
      <c r="M19"/>
      <c r="N19"/>
      <c r="O19"/>
      <c r="P19"/>
      <c r="Q19"/>
      <c r="R19"/>
      <c r="S19"/>
      <c r="T19"/>
      <c r="U19"/>
      <c r="V19"/>
      <c r="W19" s="16"/>
      <c r="X19"/>
      <c r="Y19"/>
      <c r="Z19"/>
    </row>
    <row r="20" spans="1:26" x14ac:dyDescent="0.2">
      <c r="F20" s="16"/>
      <c r="G20" s="16"/>
      <c r="H20" s="16"/>
      <c r="I20" s="16"/>
      <c r="K20" s="16"/>
      <c r="L20"/>
      <c r="M20"/>
      <c r="N20"/>
      <c r="O20"/>
      <c r="P20"/>
      <c r="Q20"/>
      <c r="R20"/>
      <c r="S20"/>
      <c r="T20"/>
      <c r="U20"/>
      <c r="V20"/>
      <c r="W20" s="16"/>
      <c r="X20"/>
      <c r="Y20"/>
      <c r="Z20"/>
    </row>
    <row r="21" spans="1:26" x14ac:dyDescent="0.2">
      <c r="L21" s="16"/>
    </row>
    <row r="22" spans="1:26" x14ac:dyDescent="0.2">
      <c r="L22" s="16"/>
    </row>
    <row r="23" spans="1:26" x14ac:dyDescent="0.2">
      <c r="L23" s="16"/>
    </row>
    <row r="24" spans="1:26" x14ac:dyDescent="0.2">
      <c r="L24" s="16"/>
    </row>
    <row r="25" spans="1:26" x14ac:dyDescent="0.2">
      <c r="L25" s="16"/>
    </row>
    <row r="26" spans="1:26" x14ac:dyDescent="0.2">
      <c r="L26" s="16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1">
    <mergeCell ref="A10:Z10"/>
  </mergeCells>
  <dataValidations count="5">
    <dataValidation type="list" allowBlank="1" showInputMessage="1" showErrorMessage="1" sqref="G2:G9 G11:G20" xr:uid="{00000000-0002-0000-0300-000000000000}">
      <formula1>israel_abroad</formula1>
    </dataValidation>
    <dataValidation type="list" allowBlank="1" showInputMessage="1" showErrorMessage="1" sqref="I2:I9 I11:I20" xr:uid="{00000000-0002-0000-0300-000001000000}">
      <formula1>Stock_Exchange_Gov_Bonds</formula1>
    </dataValidation>
    <dataValidation type="list" allowBlank="1" showInputMessage="1" showErrorMessage="1" sqref="K2:K9 K11:K20" xr:uid="{00000000-0002-0000-0300-000002000000}">
      <formula1>Rating_Agency</formula1>
    </dataValidation>
    <dataValidation type="list" allowBlank="1" showInputMessage="1" showErrorMessage="1" sqref="W2:W9 W11:W20" xr:uid="{00000000-0002-0000-0300-000003000000}">
      <formula1>In_the_books</formula1>
    </dataValidation>
    <dataValidation type="list" allowBlank="1" showInputMessage="1" showErrorMessage="1" sqref="H2:H9 H11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F2:F9 F11:F20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workbookViewId="0">
      <selection activeCell="A3" sqref="A3:AJ3"/>
    </sheetView>
  </sheetViews>
  <sheetFormatPr defaultColWidth="11.625" defaultRowHeight="14.25" x14ac:dyDescent="0.2"/>
  <cols>
    <col min="1" max="1" width="29.375" style="4" customWidth="1"/>
    <col min="2" max="3" width="11.625" style="4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9" width="11.625" style="4"/>
    <col min="10" max="10" width="11.625" style="4" customWidth="1"/>
    <col min="11" max="11" width="19.875" style="4" customWidth="1"/>
    <col min="12" max="13" width="11.625" style="4"/>
    <col min="14" max="14" width="15.125" style="4" customWidth="1"/>
    <col min="15" max="16" width="11.625" style="4"/>
    <col min="17" max="17" width="19" style="4" customWidth="1"/>
    <col min="18" max="18" width="11.75" style="4" customWidth="1"/>
    <col min="19" max="22" width="11.625" style="4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70</v>
      </c>
      <c r="M1" s="168" t="s">
        <v>83</v>
      </c>
      <c r="N1" s="168" t="s">
        <v>56</v>
      </c>
      <c r="O1" s="168" t="s">
        <v>71</v>
      </c>
      <c r="P1" s="168" t="s">
        <v>58</v>
      </c>
      <c r="Q1" s="168" t="s">
        <v>84</v>
      </c>
      <c r="R1" s="168" t="s">
        <v>59</v>
      </c>
      <c r="S1" s="168" t="s">
        <v>72</v>
      </c>
      <c r="T1" s="168" t="s">
        <v>85</v>
      </c>
      <c r="U1" s="168" t="s">
        <v>73</v>
      </c>
      <c r="V1" s="168" t="s">
        <v>62</v>
      </c>
      <c r="W1" s="168" t="s">
        <v>74</v>
      </c>
      <c r="X1" s="168" t="s">
        <v>86</v>
      </c>
      <c r="Y1" s="168" t="s">
        <v>87</v>
      </c>
      <c r="Z1" s="168" t="s">
        <v>76</v>
      </c>
      <c r="AA1" s="168" t="s">
        <v>61</v>
      </c>
      <c r="AB1" s="168" t="s">
        <v>77</v>
      </c>
      <c r="AC1" s="168" t="s">
        <v>75</v>
      </c>
      <c r="AD1" s="168" t="s">
        <v>63</v>
      </c>
      <c r="AE1" s="168" t="s">
        <v>78</v>
      </c>
      <c r="AF1" s="168" t="s">
        <v>88</v>
      </c>
      <c r="AG1" s="168" t="s">
        <v>17</v>
      </c>
      <c r="AH1" s="168" t="s">
        <v>79</v>
      </c>
      <c r="AI1" s="168" t="s">
        <v>64</v>
      </c>
      <c r="AJ1" s="168" t="s">
        <v>65</v>
      </c>
    </row>
    <row r="2" spans="1:36" x14ac:dyDescent="0.2">
      <c r="A2" t="s">
        <v>1204</v>
      </c>
      <c r="B2" t="s">
        <v>1204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/>
      <c r="P2" s="16"/>
      <c r="Q2" s="16"/>
      <c r="R2" s="16"/>
      <c r="S2" s="16"/>
      <c r="T2" s="103"/>
      <c r="U2" s="16"/>
      <c r="V2" s="16"/>
      <c r="X2" s="16"/>
      <c r="Y2" s="16"/>
      <c r="Z2" s="16"/>
      <c r="AA2" s="16"/>
      <c r="AB2" s="16"/>
      <c r="AC2" s="16"/>
      <c r="AD2" s="16"/>
      <c r="AE2" s="16"/>
      <c r="AF2"/>
      <c r="AG2" s="16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/>
      <c r="P4" s="16"/>
      <c r="Q4" s="16"/>
      <c r="R4" s="16"/>
      <c r="S4" s="16"/>
      <c r="T4" s="103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G4" s="16"/>
    </row>
    <row r="5" spans="1:36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/>
      <c r="P5" s="16"/>
      <c r="Q5" s="16"/>
      <c r="R5" s="16"/>
      <c r="S5" s="16"/>
      <c r="T5" s="103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G5" s="16"/>
    </row>
    <row r="6" spans="1:36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/>
      <c r="P6" s="16"/>
      <c r="Q6" s="16"/>
      <c r="R6" s="16"/>
      <c r="S6" s="16"/>
      <c r="T6" s="103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G6" s="16"/>
    </row>
    <row r="7" spans="1:36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/>
      <c r="P7" s="16"/>
      <c r="Q7" s="16"/>
      <c r="R7" s="16"/>
      <c r="S7" s="16"/>
      <c r="T7" s="103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G7"/>
    </row>
    <row r="8" spans="1:36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/>
      <c r="P8" s="16"/>
      <c r="Q8" s="16"/>
      <c r="R8" s="16"/>
      <c r="S8" s="16"/>
      <c r="T8" s="103"/>
      <c r="U8" s="16"/>
      <c r="V8" s="16"/>
      <c r="W8" s="16"/>
      <c r="X8" s="16"/>
      <c r="Y8" s="16"/>
      <c r="Z8" s="16"/>
      <c r="AB8"/>
      <c r="AC8"/>
      <c r="AG8"/>
    </row>
    <row r="9" spans="1:36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/>
      <c r="P9" s="16"/>
      <c r="Q9" s="16"/>
      <c r="R9" s="16"/>
      <c r="S9" s="16"/>
      <c r="T9" s="103"/>
      <c r="U9" s="16"/>
      <c r="V9" s="16"/>
      <c r="W9" s="16"/>
      <c r="X9" s="16"/>
      <c r="Y9" s="16"/>
      <c r="Z9" s="16"/>
      <c r="AB9" s="103"/>
      <c r="AC9" s="103"/>
      <c r="AD9" s="103"/>
      <c r="AG9" s="16"/>
    </row>
    <row r="10" spans="1:36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103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/>
    </row>
    <row r="11" spans="1:36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103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6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103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6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103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6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103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6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103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6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103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03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03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103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 x14ac:dyDescent="0.2">
      <c r="E20" s="16"/>
      <c r="H20" s="16"/>
      <c r="I20" s="16"/>
      <c r="J20" s="16"/>
      <c r="K20" s="16"/>
      <c r="L20" s="16"/>
      <c r="M20" s="16"/>
      <c r="N20" s="16"/>
      <c r="O20"/>
      <c r="P20" s="16"/>
      <c r="Q20" s="16"/>
      <c r="T20" s="103"/>
      <c r="X20" s="16"/>
      <c r="Y20" s="16"/>
      <c r="AG20" s="16"/>
    </row>
    <row r="21" spans="1:33" x14ac:dyDescent="0.2">
      <c r="T21" s="102"/>
    </row>
    <row r="22" spans="1:33" x14ac:dyDescent="0.2">
      <c r="T22" s="102"/>
    </row>
    <row r="23" spans="1:33" x14ac:dyDescent="0.2">
      <c r="T23" s="102"/>
    </row>
    <row r="24" spans="1:33" x14ac:dyDescent="0.2">
      <c r="T24" s="102"/>
    </row>
    <row r="25" spans="1:33" x14ac:dyDescent="0.2">
      <c r="T25"/>
    </row>
    <row r="1048572" spans="12:14" x14ac:dyDescent="0.2">
      <c r="L1048572" s="6"/>
      <c r="N1048572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1">
    <mergeCell ref="A3:AJ3"/>
  </mergeCell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 J4:J20" xr:uid="{00000000-0002-0000-0400-000001000000}">
      <formula1>israel_abroad</formula1>
    </dataValidation>
    <dataValidation type="list" allowBlank="1" showInputMessage="1" showErrorMessage="1" sqref="N1048572:N1048576 N2 N4:N20" xr:uid="{00000000-0002-0000-0400-000002000000}">
      <formula1>Holding_interest</formula1>
    </dataValidation>
    <dataValidation type="list" allowBlank="1" showInputMessage="1" showErrorMessage="1" sqref="P2 P4:P20" xr:uid="{00000000-0002-0000-0400-000003000000}">
      <formula1>Rating_Agency</formula1>
    </dataValidation>
    <dataValidation type="list" allowBlank="1" showInputMessage="1" showErrorMessage="1" sqref="Q2 Q4:Q20" xr:uid="{00000000-0002-0000-0400-000004000000}">
      <formula1>What_is_rated</formula1>
    </dataValidation>
    <dataValidation type="list" allowBlank="1" showInputMessage="1" showErrorMessage="1" sqref="AG9:AG20 AG2 AG4:AG6" xr:uid="{00000000-0002-0000-0400-000005000000}">
      <formula1>In_the_books</formula1>
    </dataValidation>
    <dataValidation type="list" allowBlank="1" showInputMessage="1" showErrorMessage="1" sqref="K2 K4:K20" xr:uid="{00000000-0002-0000-0400-000006000000}">
      <formula1>Country_list</formula1>
    </dataValidation>
    <dataValidation type="list" allowBlank="1" showInputMessage="1" showErrorMessage="1" sqref="T2 T4:T20" xr:uid="{00000000-0002-0000-0400-000007000000}">
      <formula1>Underlying_Interest_Rates</formula1>
    </dataValidation>
    <dataValidation type="list" allowBlank="1" showInputMessage="1" showErrorMessage="1" sqref="Y2 Y4:Y20" xr:uid="{00000000-0002-0000-0400-000008000000}">
      <formula1>Yes_No_Bad_Debt</formula1>
    </dataValidation>
    <dataValidation type="list" allowBlank="1" showInputMessage="1" showErrorMessage="1" sqref="X2 X4:X20" xr:uid="{00000000-0002-0000-0400-000009000000}">
      <formula1>Subordination_Risk</formula1>
    </dataValidation>
    <dataValidation type="list" allowBlank="1" showInputMessage="1" showErrorMessage="1" sqref="E2 E4:E20" xr:uid="{00000000-0002-0000-0400-00000A000000}">
      <formula1>Issuer_Number_Type_2</formula1>
    </dataValidation>
    <dataValidation type="list" allowBlank="1" showInputMessage="1" showErrorMessage="1" sqref="H4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 M4:M20" xr:uid="{00000000-0002-0000-0400-00000D000000}">
      <formula1>Industry_Sector</formula1>
    </dataValidation>
    <dataValidation type="list" allowBlank="1" showInputMessage="1" showErrorMessage="1" sqref="L2 L4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 I4:I20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1"/>
  <sheetViews>
    <sheetView rightToLeft="1" workbookViewId="0">
      <selection activeCell="C6" sqref="C6"/>
    </sheetView>
  </sheetViews>
  <sheetFormatPr defaultColWidth="11.625" defaultRowHeight="14.25" x14ac:dyDescent="0.2"/>
  <cols>
    <col min="1" max="1" width="14.125" style="2" customWidth="1"/>
    <col min="2" max="2" width="11.625" style="2"/>
    <col min="3" max="3" width="29.625" style="2" bestFit="1" customWidth="1"/>
    <col min="4" max="4" width="11.625" style="2"/>
    <col min="5" max="5" width="18.125" style="4" customWidth="1"/>
    <col min="6" max="6" width="21.375" style="2" bestFit="1" customWidth="1"/>
    <col min="7" max="7" width="14.875" style="2" bestFit="1" customWidth="1"/>
    <col min="8" max="8" width="7.875" style="2" customWidth="1"/>
    <col min="9" max="9" width="22.75" style="2" bestFit="1" customWidth="1"/>
    <col min="10" max="10" width="11.625" style="2" customWidth="1"/>
    <col min="11" max="11" width="19.875" style="2" customWidth="1"/>
    <col min="12" max="12" width="13.75" style="2" customWidth="1"/>
    <col min="13" max="14" width="11.625" style="2"/>
    <col min="15" max="15" width="15.125" style="2" customWidth="1"/>
    <col min="16" max="23" width="11.625" style="2"/>
    <col min="24" max="25" width="11.625" style="4"/>
    <col min="26" max="26" width="13.375" style="2" bestFit="1" customWidth="1"/>
    <col min="27" max="16384" width="11.625" style="2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89</v>
      </c>
      <c r="M1" s="168" t="s">
        <v>70</v>
      </c>
      <c r="N1" s="168" t="s">
        <v>83</v>
      </c>
      <c r="O1" s="168" t="s">
        <v>56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</row>
    <row r="2" spans="1:36" x14ac:dyDescent="0.2">
      <c r="A2" t="s">
        <v>1204</v>
      </c>
      <c r="B2" t="s">
        <v>1204</v>
      </c>
      <c r="C2" t="s">
        <v>1237</v>
      </c>
      <c r="D2" t="s">
        <v>1238</v>
      </c>
      <c r="E2" t="s">
        <v>80</v>
      </c>
      <c r="F2" t="s">
        <v>1239</v>
      </c>
      <c r="G2" t="s">
        <v>1240</v>
      </c>
      <c r="H2" t="s">
        <v>312</v>
      </c>
      <c r="I2" t="s">
        <v>754</v>
      </c>
      <c r="J2" t="s">
        <v>204</v>
      </c>
      <c r="K2" t="s">
        <v>204</v>
      </c>
      <c r="L2" t="s">
        <v>325</v>
      </c>
      <c r="M2" t="s">
        <v>340</v>
      </c>
      <c r="N2" t="s">
        <v>440</v>
      </c>
      <c r="O2" t="s">
        <v>339</v>
      </c>
      <c r="P2" t="s">
        <v>1241</v>
      </c>
      <c r="Q2" t="s">
        <v>415</v>
      </c>
      <c r="R2" t="s">
        <v>407</v>
      </c>
      <c r="S2" t="s">
        <v>1208</v>
      </c>
      <c r="T2" s="125">
        <v>10.38</v>
      </c>
      <c r="U2" t="s">
        <v>1242</v>
      </c>
      <c r="V2" s="126">
        <v>3.2000000000000001E-2</v>
      </c>
      <c r="W2" s="126">
        <v>3.0300000000000001E-2</v>
      </c>
      <c r="X2" t="s">
        <v>412</v>
      </c>
      <c r="Y2" t="s">
        <v>339</v>
      </c>
      <c r="Z2" s="125">
        <v>61920839</v>
      </c>
      <c r="AA2" s="125">
        <v>1</v>
      </c>
      <c r="AB2" s="125">
        <v>106.74</v>
      </c>
      <c r="AC2" s="103"/>
      <c r="AD2" s="125">
        <v>66094.304000000004</v>
      </c>
      <c r="AE2" s="103"/>
      <c r="AF2" s="103"/>
      <c r="AG2" s="16"/>
      <c r="AH2" s="126">
        <v>4.1700000000000001E-2</v>
      </c>
      <c r="AI2" s="126">
        <v>8.1610000000000002E-2</v>
      </c>
      <c r="AJ2" s="126">
        <v>5.5999999999999999E-3</v>
      </c>
    </row>
    <row r="3" spans="1:36" x14ac:dyDescent="0.2">
      <c r="A3" t="s">
        <v>1204</v>
      </c>
      <c r="B3" t="s">
        <v>1204</v>
      </c>
      <c r="C3" t="s">
        <v>1243</v>
      </c>
      <c r="D3" t="s">
        <v>1244</v>
      </c>
      <c r="E3" t="s">
        <v>80</v>
      </c>
      <c r="F3" t="s">
        <v>1245</v>
      </c>
      <c r="G3" t="s">
        <v>1246</v>
      </c>
      <c r="H3" t="s">
        <v>312</v>
      </c>
      <c r="I3" t="s">
        <v>754</v>
      </c>
      <c r="J3" t="s">
        <v>204</v>
      </c>
      <c r="K3" t="s">
        <v>204</v>
      </c>
      <c r="L3" t="s">
        <v>325</v>
      </c>
      <c r="M3" t="s">
        <v>340</v>
      </c>
      <c r="N3" t="s">
        <v>2405</v>
      </c>
      <c r="O3" t="s">
        <v>339</v>
      </c>
      <c r="P3" t="s">
        <v>1207</v>
      </c>
      <c r="Q3" t="s">
        <v>413</v>
      </c>
      <c r="R3" t="s">
        <v>407</v>
      </c>
      <c r="S3" t="s">
        <v>1208</v>
      </c>
      <c r="T3" s="125">
        <v>12.03</v>
      </c>
      <c r="U3" t="s">
        <v>1247</v>
      </c>
      <c r="V3" s="126">
        <v>2.07E-2</v>
      </c>
      <c r="W3" s="126">
        <v>2.8799999999999999E-2</v>
      </c>
      <c r="X3" t="s">
        <v>412</v>
      </c>
      <c r="Y3" t="s">
        <v>339</v>
      </c>
      <c r="Z3" s="125">
        <v>55378848.82</v>
      </c>
      <c r="AA3" s="125">
        <v>1</v>
      </c>
      <c r="AB3" s="125">
        <v>103.14</v>
      </c>
      <c r="AC3" s="103"/>
      <c r="AD3" s="125">
        <v>57117.745000000003</v>
      </c>
      <c r="AE3" s="103"/>
      <c r="AF3" s="102"/>
      <c r="AG3" s="16"/>
      <c r="AH3" s="126">
        <v>1.9130000000000001E-2</v>
      </c>
      <c r="AI3" s="126">
        <v>7.0529999999999995E-2</v>
      </c>
      <c r="AJ3" s="126">
        <v>4.8399999999999997E-3</v>
      </c>
    </row>
    <row r="4" spans="1:36" x14ac:dyDescent="0.2">
      <c r="A4" t="s">
        <v>1204</v>
      </c>
      <c r="B4" t="s">
        <v>1204</v>
      </c>
      <c r="C4" t="s">
        <v>1248</v>
      </c>
      <c r="D4" t="s">
        <v>1249</v>
      </c>
      <c r="E4" t="s">
        <v>80</v>
      </c>
      <c r="F4" t="s">
        <v>1250</v>
      </c>
      <c r="G4" t="s">
        <v>1251</v>
      </c>
      <c r="H4" t="s">
        <v>312</v>
      </c>
      <c r="I4" t="s">
        <v>754</v>
      </c>
      <c r="J4" t="s">
        <v>204</v>
      </c>
      <c r="K4" t="s">
        <v>204</v>
      </c>
      <c r="L4" t="s">
        <v>325</v>
      </c>
      <c r="M4" t="s">
        <v>340</v>
      </c>
      <c r="N4" t="s">
        <v>2406</v>
      </c>
      <c r="O4" t="s">
        <v>339</v>
      </c>
      <c r="P4" t="s">
        <v>1241</v>
      </c>
      <c r="Q4" t="s">
        <v>415</v>
      </c>
      <c r="R4" t="s">
        <v>407</v>
      </c>
      <c r="S4" t="s">
        <v>1208</v>
      </c>
      <c r="T4" s="125">
        <v>12.18</v>
      </c>
      <c r="U4" t="s">
        <v>1252</v>
      </c>
      <c r="V4" s="126">
        <v>3.6700000000000003E-2</v>
      </c>
      <c r="W4" s="126">
        <v>3.3300000000000003E-2</v>
      </c>
      <c r="X4" t="s">
        <v>412</v>
      </c>
      <c r="Y4" t="s">
        <v>339</v>
      </c>
      <c r="Z4" s="125">
        <v>52162367</v>
      </c>
      <c r="AA4" s="125">
        <v>1</v>
      </c>
      <c r="AB4" s="125">
        <v>105.86</v>
      </c>
      <c r="AC4" s="125">
        <v>850.90899999999999</v>
      </c>
      <c r="AD4" s="125">
        <v>56069.991000000002</v>
      </c>
      <c r="AE4" s="103"/>
      <c r="AF4" s="102"/>
      <c r="AG4" s="16"/>
      <c r="AH4" s="126">
        <v>5.2659999999999998E-2</v>
      </c>
      <c r="AI4" s="126">
        <v>7.0279999999999995E-2</v>
      </c>
      <c r="AJ4" s="126">
        <v>4.8199999999999996E-3</v>
      </c>
    </row>
    <row r="5" spans="1:36" x14ac:dyDescent="0.2">
      <c r="A5" t="s">
        <v>1204</v>
      </c>
      <c r="B5" t="s">
        <v>1204</v>
      </c>
      <c r="C5" t="s">
        <v>1253</v>
      </c>
      <c r="D5" t="s">
        <v>1254</v>
      </c>
      <c r="E5" t="s">
        <v>80</v>
      </c>
      <c r="F5" t="s">
        <v>1255</v>
      </c>
      <c r="G5" t="s">
        <v>1256</v>
      </c>
      <c r="H5" t="s">
        <v>312</v>
      </c>
      <c r="I5" t="s">
        <v>754</v>
      </c>
      <c r="J5" t="s">
        <v>204</v>
      </c>
      <c r="K5" t="s">
        <v>204</v>
      </c>
      <c r="L5" t="s">
        <v>325</v>
      </c>
      <c r="M5" t="s">
        <v>340</v>
      </c>
      <c r="N5" t="s">
        <v>440</v>
      </c>
      <c r="O5" t="s">
        <v>339</v>
      </c>
      <c r="P5" t="s">
        <v>1207</v>
      </c>
      <c r="Q5" t="s">
        <v>413</v>
      </c>
      <c r="R5" t="s">
        <v>407</v>
      </c>
      <c r="S5" t="s">
        <v>1208</v>
      </c>
      <c r="T5" s="125">
        <v>11.73</v>
      </c>
      <c r="U5" t="s">
        <v>1257</v>
      </c>
      <c r="V5" s="126">
        <v>3.2899999999999999E-2</v>
      </c>
      <c r="W5" s="126">
        <v>2.8299999999999999E-2</v>
      </c>
      <c r="X5" t="s">
        <v>412</v>
      </c>
      <c r="Y5" t="s">
        <v>339</v>
      </c>
      <c r="Z5" s="125">
        <v>49912000</v>
      </c>
      <c r="AA5" s="125">
        <v>1</v>
      </c>
      <c r="AB5" s="125">
        <v>106.61</v>
      </c>
      <c r="AC5" s="103"/>
      <c r="AD5" s="125">
        <v>53211.182999999997</v>
      </c>
      <c r="AE5" s="103"/>
      <c r="AF5" s="102"/>
      <c r="AG5" s="16"/>
      <c r="AH5" s="126">
        <v>9.9820000000000006E-2</v>
      </c>
      <c r="AI5" s="126">
        <v>6.5699999999999995E-2</v>
      </c>
      <c r="AJ5" s="126">
        <v>4.5100000000000001E-3</v>
      </c>
    </row>
    <row r="6" spans="1:36" x14ac:dyDescent="0.2">
      <c r="A6" t="s">
        <v>1204</v>
      </c>
      <c r="B6" t="s">
        <v>1204</v>
      </c>
      <c r="C6" t="s">
        <v>1237</v>
      </c>
      <c r="D6" t="s">
        <v>1238</v>
      </c>
      <c r="E6" t="s">
        <v>80</v>
      </c>
      <c r="F6" t="s">
        <v>1258</v>
      </c>
      <c r="G6" t="s">
        <v>1259</v>
      </c>
      <c r="H6" t="s">
        <v>312</v>
      </c>
      <c r="I6" t="s">
        <v>754</v>
      </c>
      <c r="J6" t="s">
        <v>204</v>
      </c>
      <c r="K6" t="s">
        <v>204</v>
      </c>
      <c r="L6" t="s">
        <v>325</v>
      </c>
      <c r="M6" t="s">
        <v>340</v>
      </c>
      <c r="N6" t="s">
        <v>440</v>
      </c>
      <c r="O6" t="s">
        <v>339</v>
      </c>
      <c r="P6" t="s">
        <v>1241</v>
      </c>
      <c r="Q6" t="s">
        <v>415</v>
      </c>
      <c r="R6" t="s">
        <v>407</v>
      </c>
      <c r="S6" t="s">
        <v>1208</v>
      </c>
      <c r="T6" s="125">
        <v>10.53</v>
      </c>
      <c r="U6" t="s">
        <v>1260</v>
      </c>
      <c r="V6" s="126">
        <v>1.2500000000000001E-2</v>
      </c>
      <c r="W6" s="126">
        <v>3.0099999999999998E-2</v>
      </c>
      <c r="X6" t="s">
        <v>412</v>
      </c>
      <c r="Y6" t="s">
        <v>339</v>
      </c>
      <c r="Z6" s="125">
        <v>34181698</v>
      </c>
      <c r="AA6" s="125">
        <v>1</v>
      </c>
      <c r="AB6" s="125">
        <v>95.26</v>
      </c>
      <c r="AC6" s="103"/>
      <c r="AD6" s="125">
        <v>32561.486000000001</v>
      </c>
      <c r="AE6" s="102"/>
      <c r="AF6" s="102"/>
      <c r="AG6" s="102"/>
      <c r="AH6" s="126">
        <v>7.9600000000000001E-3</v>
      </c>
      <c r="AI6" s="126">
        <v>4.02E-2</v>
      </c>
      <c r="AJ6" s="126">
        <v>2.7599999999999999E-3</v>
      </c>
    </row>
    <row r="7" spans="1:36" x14ac:dyDescent="0.2">
      <c r="A7" t="s">
        <v>1204</v>
      </c>
      <c r="B7" t="s">
        <v>1204</v>
      </c>
      <c r="C7" t="s">
        <v>1261</v>
      </c>
      <c r="D7" t="s">
        <v>1262</v>
      </c>
      <c r="E7" t="s">
        <v>80</v>
      </c>
      <c r="F7" t="s">
        <v>1263</v>
      </c>
      <c r="G7" t="s">
        <v>1264</v>
      </c>
      <c r="H7" t="s">
        <v>312</v>
      </c>
      <c r="I7" t="s">
        <v>754</v>
      </c>
      <c r="J7" t="s">
        <v>204</v>
      </c>
      <c r="K7" t="s">
        <v>204</v>
      </c>
      <c r="L7" t="s">
        <v>325</v>
      </c>
      <c r="M7" t="s">
        <v>340</v>
      </c>
      <c r="N7" t="s">
        <v>2406</v>
      </c>
      <c r="O7" t="s">
        <v>339</v>
      </c>
      <c r="P7" t="s">
        <v>1265</v>
      </c>
      <c r="Q7" t="s">
        <v>413</v>
      </c>
      <c r="R7" t="s">
        <v>407</v>
      </c>
      <c r="S7" t="s">
        <v>1208</v>
      </c>
      <c r="T7" s="125">
        <v>7.55</v>
      </c>
      <c r="U7" t="s">
        <v>1266</v>
      </c>
      <c r="V7" s="126">
        <v>3.5999999999999997E-2</v>
      </c>
      <c r="W7" s="126">
        <v>3.0599999999999999E-2</v>
      </c>
      <c r="X7" t="s">
        <v>412</v>
      </c>
      <c r="Y7" t="s">
        <v>339</v>
      </c>
      <c r="Z7" s="125">
        <v>29986000</v>
      </c>
      <c r="AA7" s="125">
        <v>1</v>
      </c>
      <c r="AB7" s="125">
        <v>105.31</v>
      </c>
      <c r="AC7" s="103"/>
      <c r="AD7" s="125">
        <v>31578.257000000001</v>
      </c>
      <c r="AE7" s="102"/>
      <c r="AF7" s="102"/>
      <c r="AG7" s="102"/>
      <c r="AH7" s="126">
        <v>7.4959999999999999E-2</v>
      </c>
      <c r="AI7" s="126">
        <v>3.8989999999999997E-2</v>
      </c>
      <c r="AJ7" s="126">
        <v>2.6800000000000001E-3</v>
      </c>
    </row>
    <row r="8" spans="1:36" x14ac:dyDescent="0.2">
      <c r="A8" t="s">
        <v>1204</v>
      </c>
      <c r="B8" t="s">
        <v>1204</v>
      </c>
      <c r="C8" t="s">
        <v>1267</v>
      </c>
      <c r="D8" t="s">
        <v>1268</v>
      </c>
      <c r="E8" t="s">
        <v>80</v>
      </c>
      <c r="F8" t="s">
        <v>1269</v>
      </c>
      <c r="G8" t="s">
        <v>1270</v>
      </c>
      <c r="H8" t="s">
        <v>312</v>
      </c>
      <c r="I8" t="s">
        <v>754</v>
      </c>
      <c r="J8" t="s">
        <v>204</v>
      </c>
      <c r="K8" t="s">
        <v>204</v>
      </c>
      <c r="L8" t="s">
        <v>325</v>
      </c>
      <c r="M8" t="s">
        <v>340</v>
      </c>
      <c r="N8" t="s">
        <v>448</v>
      </c>
      <c r="O8" t="s">
        <v>339</v>
      </c>
      <c r="P8" t="s">
        <v>1207</v>
      </c>
      <c r="Q8" t="s">
        <v>413</v>
      </c>
      <c r="R8" t="s">
        <v>407</v>
      </c>
      <c r="S8" t="s">
        <v>1208</v>
      </c>
      <c r="T8" s="125">
        <v>4.82</v>
      </c>
      <c r="U8" t="s">
        <v>1271</v>
      </c>
      <c r="V8" s="126">
        <v>2.1100000000000001E-2</v>
      </c>
      <c r="W8" s="126">
        <v>2.4299999999999999E-2</v>
      </c>
      <c r="X8" t="s">
        <v>412</v>
      </c>
      <c r="Y8" t="s">
        <v>339</v>
      </c>
      <c r="Z8" s="125">
        <v>30000000</v>
      </c>
      <c r="AA8" s="125">
        <v>1</v>
      </c>
      <c r="AB8" s="125">
        <v>104.01</v>
      </c>
      <c r="AC8" s="103"/>
      <c r="AD8" s="125">
        <v>31203</v>
      </c>
      <c r="AE8" s="103"/>
      <c r="AF8" s="102"/>
      <c r="AG8" s="16"/>
      <c r="AH8" s="126">
        <v>1.0489999999999999E-2</v>
      </c>
      <c r="AI8" s="126">
        <v>3.8530000000000002E-2</v>
      </c>
      <c r="AJ8" s="126">
        <v>2.64E-3</v>
      </c>
    </row>
    <row r="9" spans="1:36" x14ac:dyDescent="0.2">
      <c r="A9" t="s">
        <v>1204</v>
      </c>
      <c r="B9" t="s">
        <v>1204</v>
      </c>
      <c r="C9" t="s">
        <v>1272</v>
      </c>
      <c r="D9" t="s">
        <v>1273</v>
      </c>
      <c r="E9" t="s">
        <v>80</v>
      </c>
      <c r="F9" t="s">
        <v>1274</v>
      </c>
      <c r="G9" t="s">
        <v>1275</v>
      </c>
      <c r="H9" t="s">
        <v>312</v>
      </c>
      <c r="I9" t="s">
        <v>754</v>
      </c>
      <c r="J9" t="s">
        <v>204</v>
      </c>
      <c r="K9" t="s">
        <v>204</v>
      </c>
      <c r="L9" t="s">
        <v>325</v>
      </c>
      <c r="M9" t="s">
        <v>340</v>
      </c>
      <c r="N9" t="s">
        <v>448</v>
      </c>
      <c r="O9" t="s">
        <v>339</v>
      </c>
      <c r="P9" t="s">
        <v>1207</v>
      </c>
      <c r="Q9" t="s">
        <v>413</v>
      </c>
      <c r="R9" t="s">
        <v>407</v>
      </c>
      <c r="S9" t="s">
        <v>1208</v>
      </c>
      <c r="T9" s="125">
        <v>4.8499999999999996</v>
      </c>
      <c r="U9" t="s">
        <v>1276</v>
      </c>
      <c r="V9" s="126">
        <v>2.0199999999999999E-2</v>
      </c>
      <c r="W9" s="126">
        <v>2.4299999999999999E-2</v>
      </c>
      <c r="X9" t="s">
        <v>412</v>
      </c>
      <c r="Y9" t="s">
        <v>339</v>
      </c>
      <c r="Z9" s="125">
        <v>30000000</v>
      </c>
      <c r="AA9" s="125">
        <v>1</v>
      </c>
      <c r="AB9" s="125">
        <v>101.65</v>
      </c>
      <c r="AC9" s="103"/>
      <c r="AD9" s="125">
        <v>30495</v>
      </c>
      <c r="AE9" s="103"/>
      <c r="AF9" s="102"/>
      <c r="AG9" s="16"/>
      <c r="AH9" s="126">
        <v>8.4100000000000008E-3</v>
      </c>
      <c r="AI9" s="126">
        <v>3.7650000000000003E-2</v>
      </c>
      <c r="AJ9" s="126">
        <v>2.5799999999999998E-3</v>
      </c>
    </row>
    <row r="10" spans="1:36" x14ac:dyDescent="0.2">
      <c r="A10" t="s">
        <v>1204</v>
      </c>
      <c r="B10" t="s">
        <v>1204</v>
      </c>
      <c r="C10" t="s">
        <v>1277</v>
      </c>
      <c r="D10" t="s">
        <v>1278</v>
      </c>
      <c r="E10" t="s">
        <v>80</v>
      </c>
      <c r="F10" t="s">
        <v>1279</v>
      </c>
      <c r="G10" t="s">
        <v>1280</v>
      </c>
      <c r="H10" t="s">
        <v>312</v>
      </c>
      <c r="I10" t="s">
        <v>754</v>
      </c>
      <c r="J10" t="s">
        <v>204</v>
      </c>
      <c r="K10" t="s">
        <v>204</v>
      </c>
      <c r="L10" t="s">
        <v>325</v>
      </c>
      <c r="M10" t="s">
        <v>340</v>
      </c>
      <c r="N10" t="s">
        <v>448</v>
      </c>
      <c r="O10" t="s">
        <v>339</v>
      </c>
      <c r="P10" t="s">
        <v>1207</v>
      </c>
      <c r="Q10" t="s">
        <v>413</v>
      </c>
      <c r="R10" t="s">
        <v>407</v>
      </c>
      <c r="S10" t="s">
        <v>1208</v>
      </c>
      <c r="T10" s="125">
        <v>5.84</v>
      </c>
      <c r="U10" t="s">
        <v>1281</v>
      </c>
      <c r="V10" s="126">
        <v>2.6800000000000001E-2</v>
      </c>
      <c r="W10" s="126">
        <v>2.5499999999999998E-2</v>
      </c>
      <c r="X10" t="s">
        <v>412</v>
      </c>
      <c r="Y10" t="s">
        <v>339</v>
      </c>
      <c r="Z10" s="125">
        <v>30000000</v>
      </c>
      <c r="AA10" s="125">
        <v>1</v>
      </c>
      <c r="AB10" s="125">
        <v>100.6</v>
      </c>
      <c r="AC10" s="103"/>
      <c r="AD10" s="125">
        <v>30180</v>
      </c>
      <c r="AE10" s="103"/>
      <c r="AF10" s="102"/>
      <c r="AG10" s="16"/>
      <c r="AH10" s="126">
        <v>1.0710000000000001E-2</v>
      </c>
      <c r="AI10" s="126">
        <v>3.7260000000000001E-2</v>
      </c>
      <c r="AJ10" s="126">
        <v>2.5600000000000002E-3</v>
      </c>
    </row>
    <row r="11" spans="1:36" x14ac:dyDescent="0.2">
      <c r="A11" t="s">
        <v>1204</v>
      </c>
      <c r="B11" t="s">
        <v>1204</v>
      </c>
      <c r="C11" t="s">
        <v>1248</v>
      </c>
      <c r="D11" t="s">
        <v>1249</v>
      </c>
      <c r="E11" t="s">
        <v>80</v>
      </c>
      <c r="F11" t="s">
        <v>1282</v>
      </c>
      <c r="G11" t="s">
        <v>1283</v>
      </c>
      <c r="H11" t="s">
        <v>312</v>
      </c>
      <c r="I11" t="s">
        <v>754</v>
      </c>
      <c r="J11" t="s">
        <v>204</v>
      </c>
      <c r="K11" t="s">
        <v>204</v>
      </c>
      <c r="L11" t="s">
        <v>325</v>
      </c>
      <c r="M11" t="s">
        <v>340</v>
      </c>
      <c r="N11" t="s">
        <v>2406</v>
      </c>
      <c r="O11" t="s">
        <v>339</v>
      </c>
      <c r="P11" t="s">
        <v>1284</v>
      </c>
      <c r="Q11" t="s">
        <v>413</v>
      </c>
      <c r="R11" t="s">
        <v>407</v>
      </c>
      <c r="S11" t="s">
        <v>1208</v>
      </c>
      <c r="T11" s="125">
        <v>10.25</v>
      </c>
      <c r="U11" t="s">
        <v>1285</v>
      </c>
      <c r="V11" s="126">
        <v>1.6899999999999998E-2</v>
      </c>
      <c r="W11" s="126">
        <v>3.2099999999999997E-2</v>
      </c>
      <c r="X11" t="s">
        <v>412</v>
      </c>
      <c r="Y11" t="s">
        <v>339</v>
      </c>
      <c r="Z11" s="125">
        <v>27438588</v>
      </c>
      <c r="AA11" s="125">
        <v>1</v>
      </c>
      <c r="AB11" s="125">
        <v>97.41</v>
      </c>
      <c r="AC11" s="125">
        <v>263.21199999999999</v>
      </c>
      <c r="AD11" s="125">
        <v>26991.141</v>
      </c>
      <c r="AE11" s="103"/>
      <c r="AF11" s="102"/>
      <c r="AG11" s="16"/>
      <c r="AH11" s="126">
        <v>1.025E-2</v>
      </c>
      <c r="AI11" s="126">
        <v>3.3649999999999999E-2</v>
      </c>
      <c r="AJ11" s="126">
        <v>2.31E-3</v>
      </c>
    </row>
    <row r="12" spans="1:36" x14ac:dyDescent="0.2">
      <c r="A12" t="s">
        <v>1204</v>
      </c>
      <c r="B12" t="s">
        <v>1204</v>
      </c>
      <c r="C12" t="s">
        <v>1267</v>
      </c>
      <c r="D12" t="s">
        <v>1268</v>
      </c>
      <c r="E12" t="s">
        <v>80</v>
      </c>
      <c r="F12" t="s">
        <v>1286</v>
      </c>
      <c r="G12" t="s">
        <v>1287</v>
      </c>
      <c r="H12" t="s">
        <v>312</v>
      </c>
      <c r="I12" t="s">
        <v>754</v>
      </c>
      <c r="J12" t="s">
        <v>204</v>
      </c>
      <c r="K12" t="s">
        <v>204</v>
      </c>
      <c r="L12" t="s">
        <v>325</v>
      </c>
      <c r="M12" t="s">
        <v>340</v>
      </c>
      <c r="N12" t="s">
        <v>448</v>
      </c>
      <c r="O12" t="s">
        <v>339</v>
      </c>
      <c r="P12" t="s">
        <v>1207</v>
      </c>
      <c r="Q12" t="s">
        <v>413</v>
      </c>
      <c r="R12" t="s">
        <v>407</v>
      </c>
      <c r="S12" t="s">
        <v>1208</v>
      </c>
      <c r="T12" s="125">
        <v>3.74</v>
      </c>
      <c r="U12" t="s">
        <v>1288</v>
      </c>
      <c r="V12" s="126">
        <v>2E-3</v>
      </c>
      <c r="W12" s="126">
        <v>2.3800000000000002E-2</v>
      </c>
      <c r="X12" t="s">
        <v>412</v>
      </c>
      <c r="Y12" t="s">
        <v>339</v>
      </c>
      <c r="Z12" s="125">
        <v>25374654.359999999</v>
      </c>
      <c r="AA12" s="125">
        <v>1</v>
      </c>
      <c r="AB12" s="125">
        <v>103.66</v>
      </c>
      <c r="AC12" s="103"/>
      <c r="AD12" s="125">
        <v>26303.366999999998</v>
      </c>
      <c r="AE12" s="103"/>
      <c r="AF12" s="102"/>
      <c r="AG12" s="16"/>
      <c r="AH12" s="126">
        <v>8.8299999999999993E-3</v>
      </c>
      <c r="AI12" s="126">
        <v>3.2480000000000002E-2</v>
      </c>
      <c r="AJ12" s="126">
        <v>2.2300000000000002E-3</v>
      </c>
    </row>
    <row r="13" spans="1:36" x14ac:dyDescent="0.2">
      <c r="A13" t="s">
        <v>1204</v>
      </c>
      <c r="B13" t="s">
        <v>1204</v>
      </c>
      <c r="C13" t="s">
        <v>1289</v>
      </c>
      <c r="D13" t="s">
        <v>1290</v>
      </c>
      <c r="E13" t="s">
        <v>80</v>
      </c>
      <c r="F13" t="s">
        <v>1291</v>
      </c>
      <c r="G13" t="s">
        <v>1292</v>
      </c>
      <c r="H13" t="s">
        <v>312</v>
      </c>
      <c r="I13" t="s">
        <v>754</v>
      </c>
      <c r="J13" t="s">
        <v>204</v>
      </c>
      <c r="K13" t="s">
        <v>204</v>
      </c>
      <c r="L13" t="s">
        <v>325</v>
      </c>
      <c r="M13" t="s">
        <v>340</v>
      </c>
      <c r="N13" t="s">
        <v>448</v>
      </c>
      <c r="O13" t="s">
        <v>339</v>
      </c>
      <c r="P13" t="s">
        <v>1207</v>
      </c>
      <c r="Q13" t="s">
        <v>413</v>
      </c>
      <c r="R13" t="s">
        <v>407</v>
      </c>
      <c r="S13" t="s">
        <v>1208</v>
      </c>
      <c r="T13" s="125">
        <v>4.22</v>
      </c>
      <c r="U13" t="s">
        <v>1293</v>
      </c>
      <c r="V13" s="126">
        <v>1.3899999999999999E-2</v>
      </c>
      <c r="W13" s="126">
        <v>2.3E-2</v>
      </c>
      <c r="X13" t="s">
        <v>412</v>
      </c>
      <c r="Y13" t="s">
        <v>339</v>
      </c>
      <c r="Z13" s="125">
        <v>22793832.890000001</v>
      </c>
      <c r="AA13" s="125">
        <v>1</v>
      </c>
      <c r="AB13" s="125">
        <v>103.13</v>
      </c>
      <c r="AC13" s="103"/>
      <c r="AD13" s="125">
        <v>23507.279999999999</v>
      </c>
      <c r="AE13" s="103"/>
      <c r="AF13" s="102"/>
      <c r="AG13" s="16"/>
      <c r="AH13" s="126">
        <v>1.14E-2</v>
      </c>
      <c r="AI13" s="126">
        <v>2.903E-2</v>
      </c>
      <c r="AJ13" s="126">
        <v>1.99E-3</v>
      </c>
    </row>
    <row r="14" spans="1:36" x14ac:dyDescent="0.2">
      <c r="A14" t="s">
        <v>1204</v>
      </c>
      <c r="B14" t="s">
        <v>1204</v>
      </c>
      <c r="C14" t="s">
        <v>1277</v>
      </c>
      <c r="D14" t="s">
        <v>1278</v>
      </c>
      <c r="E14" t="s">
        <v>80</v>
      </c>
      <c r="F14" t="s">
        <v>1294</v>
      </c>
      <c r="G14" t="s">
        <v>1295</v>
      </c>
      <c r="H14" t="s">
        <v>312</v>
      </c>
      <c r="I14" t="s">
        <v>754</v>
      </c>
      <c r="J14" t="s">
        <v>204</v>
      </c>
      <c r="K14" t="s">
        <v>204</v>
      </c>
      <c r="L14" t="s">
        <v>325</v>
      </c>
      <c r="M14" t="s">
        <v>340</v>
      </c>
      <c r="N14" t="s">
        <v>448</v>
      </c>
      <c r="O14" t="s">
        <v>339</v>
      </c>
      <c r="P14" t="s">
        <v>1207</v>
      </c>
      <c r="Q14" t="s">
        <v>413</v>
      </c>
      <c r="R14" t="s">
        <v>407</v>
      </c>
      <c r="S14" t="s">
        <v>1208</v>
      </c>
      <c r="T14" s="125">
        <v>3.8</v>
      </c>
      <c r="U14" t="s">
        <v>1296</v>
      </c>
      <c r="V14" s="126">
        <v>1E-3</v>
      </c>
      <c r="W14" s="126">
        <v>2.3900000000000001E-2</v>
      </c>
      <c r="X14" t="s">
        <v>412</v>
      </c>
      <c r="Y14" t="s">
        <v>339</v>
      </c>
      <c r="Z14" s="125">
        <v>19999000</v>
      </c>
      <c r="AA14" s="125">
        <v>1</v>
      </c>
      <c r="AB14" s="125">
        <v>103.26</v>
      </c>
      <c r="AC14" s="103"/>
      <c r="AD14" s="125">
        <v>20650.967000000001</v>
      </c>
      <c r="AE14" s="103"/>
      <c r="AF14" s="102"/>
      <c r="AG14" s="16"/>
      <c r="AH14" s="126">
        <v>5.9199999999999999E-3</v>
      </c>
      <c r="AI14" s="126">
        <v>2.5499999999999998E-2</v>
      </c>
      <c r="AJ14" s="126">
        <v>1.75E-3</v>
      </c>
    </row>
    <row r="15" spans="1:36" x14ac:dyDescent="0.2">
      <c r="A15" t="s">
        <v>1204</v>
      </c>
      <c r="B15" t="s">
        <v>1204</v>
      </c>
      <c r="C15" t="s">
        <v>1248</v>
      </c>
      <c r="D15" t="s">
        <v>1249</v>
      </c>
      <c r="E15" t="s">
        <v>80</v>
      </c>
      <c r="F15" t="s">
        <v>1297</v>
      </c>
      <c r="G15" t="s">
        <v>1298</v>
      </c>
      <c r="H15" t="s">
        <v>312</v>
      </c>
      <c r="I15" t="s">
        <v>754</v>
      </c>
      <c r="J15" t="s">
        <v>204</v>
      </c>
      <c r="K15" t="s">
        <v>204</v>
      </c>
      <c r="L15" t="s">
        <v>325</v>
      </c>
      <c r="M15" t="s">
        <v>340</v>
      </c>
      <c r="N15" t="s">
        <v>2406</v>
      </c>
      <c r="O15" t="s">
        <v>339</v>
      </c>
      <c r="P15" t="s">
        <v>1284</v>
      </c>
      <c r="Q15" t="s">
        <v>413</v>
      </c>
      <c r="R15" t="s">
        <v>407</v>
      </c>
      <c r="S15" t="s">
        <v>1208</v>
      </c>
      <c r="T15" s="125">
        <v>6.72</v>
      </c>
      <c r="U15" t="s">
        <v>1299</v>
      </c>
      <c r="V15" s="126">
        <v>8.9999999999999993E-3</v>
      </c>
      <c r="W15" s="126">
        <v>2.98E-2</v>
      </c>
      <c r="X15" t="s">
        <v>412</v>
      </c>
      <c r="Y15" t="s">
        <v>339</v>
      </c>
      <c r="Z15" s="125">
        <v>16662000</v>
      </c>
      <c r="AA15" s="125">
        <v>1</v>
      </c>
      <c r="AB15" s="125">
        <v>98.8</v>
      </c>
      <c r="AC15" s="125">
        <v>85.119</v>
      </c>
      <c r="AD15" s="125">
        <v>16547.174999999999</v>
      </c>
      <c r="AE15" s="103"/>
      <c r="AF15" s="102"/>
      <c r="AG15" s="16"/>
      <c r="AH15" s="126">
        <v>8.7500000000000008E-3</v>
      </c>
      <c r="AI15" s="126">
        <v>2.0539999999999999E-2</v>
      </c>
      <c r="AJ15" s="126">
        <v>1.41E-3</v>
      </c>
    </row>
    <row r="16" spans="1:36" x14ac:dyDescent="0.2">
      <c r="A16" t="s">
        <v>1204</v>
      </c>
      <c r="B16" t="s">
        <v>1204</v>
      </c>
      <c r="C16" t="s">
        <v>1300</v>
      </c>
      <c r="D16" t="s">
        <v>1301</v>
      </c>
      <c r="E16" t="s">
        <v>80</v>
      </c>
      <c r="F16" t="s">
        <v>1302</v>
      </c>
      <c r="G16" t="s">
        <v>1303</v>
      </c>
      <c r="H16" t="s">
        <v>312</v>
      </c>
      <c r="I16" t="s">
        <v>951</v>
      </c>
      <c r="J16" t="s">
        <v>204</v>
      </c>
      <c r="K16" t="s">
        <v>204</v>
      </c>
      <c r="L16" t="s">
        <v>325</v>
      </c>
      <c r="M16" t="s">
        <v>340</v>
      </c>
      <c r="N16" t="s">
        <v>2406</v>
      </c>
      <c r="O16" t="s">
        <v>339</v>
      </c>
      <c r="P16" t="s">
        <v>1265</v>
      </c>
      <c r="Q16" t="s">
        <v>413</v>
      </c>
      <c r="R16" t="s">
        <v>407</v>
      </c>
      <c r="S16" t="s">
        <v>1208</v>
      </c>
      <c r="T16" s="125">
        <v>5.16</v>
      </c>
      <c r="U16" t="s">
        <v>1304</v>
      </c>
      <c r="V16" s="126">
        <v>2.4400000000000002E-2</v>
      </c>
      <c r="W16" s="126">
        <v>5.0599999999999999E-2</v>
      </c>
      <c r="X16" t="s">
        <v>412</v>
      </c>
      <c r="Y16" t="s">
        <v>339</v>
      </c>
      <c r="Z16" s="125">
        <v>18100000</v>
      </c>
      <c r="AA16" s="125">
        <v>1</v>
      </c>
      <c r="AB16" s="125">
        <v>87.69</v>
      </c>
      <c r="AC16" s="125">
        <v>441.64</v>
      </c>
      <c r="AD16" s="125">
        <v>16313.53</v>
      </c>
      <c r="AE16" s="103"/>
      <c r="AF16" s="102"/>
      <c r="AG16" s="16"/>
      <c r="AH16" s="126">
        <v>1.9789999999999999E-2</v>
      </c>
      <c r="AI16" s="126">
        <v>2.069E-2</v>
      </c>
      <c r="AJ16" s="126">
        <v>1.42E-3</v>
      </c>
    </row>
    <row r="17" spans="1:36" x14ac:dyDescent="0.2">
      <c r="A17" t="s">
        <v>1204</v>
      </c>
      <c r="B17" t="s">
        <v>1204</v>
      </c>
      <c r="C17" t="s">
        <v>1300</v>
      </c>
      <c r="D17" t="s">
        <v>1301</v>
      </c>
      <c r="E17" t="s">
        <v>80</v>
      </c>
      <c r="F17" t="s">
        <v>1305</v>
      </c>
      <c r="G17" t="s">
        <v>1306</v>
      </c>
      <c r="H17" t="s">
        <v>312</v>
      </c>
      <c r="I17" t="s">
        <v>754</v>
      </c>
      <c r="J17" t="s">
        <v>204</v>
      </c>
      <c r="K17" t="s">
        <v>204</v>
      </c>
      <c r="L17" t="s">
        <v>325</v>
      </c>
      <c r="M17" t="s">
        <v>340</v>
      </c>
      <c r="N17" t="s">
        <v>2406</v>
      </c>
      <c r="O17" t="s">
        <v>339</v>
      </c>
      <c r="P17" t="s">
        <v>1265</v>
      </c>
      <c r="Q17" t="s">
        <v>413</v>
      </c>
      <c r="R17" t="s">
        <v>407</v>
      </c>
      <c r="S17" t="s">
        <v>1208</v>
      </c>
      <c r="T17" s="125">
        <v>3.08</v>
      </c>
      <c r="U17" t="s">
        <v>1307</v>
      </c>
      <c r="V17" s="126">
        <v>1.14E-2</v>
      </c>
      <c r="W17" s="126">
        <v>2.7300000000000001E-2</v>
      </c>
      <c r="X17" t="s">
        <v>412</v>
      </c>
      <c r="Y17" t="s">
        <v>339</v>
      </c>
      <c r="Z17" s="125">
        <v>15000000</v>
      </c>
      <c r="AA17" s="125">
        <v>1</v>
      </c>
      <c r="AB17" s="125">
        <v>108.5</v>
      </c>
      <c r="AC17" s="103"/>
      <c r="AD17" s="125">
        <v>16275</v>
      </c>
      <c r="AE17" s="103"/>
      <c r="AF17" s="102"/>
      <c r="AG17" s="16"/>
      <c r="AH17" s="126">
        <v>6.3499999999999997E-3</v>
      </c>
      <c r="AI17" s="126">
        <v>2.01E-2</v>
      </c>
      <c r="AJ17" s="126">
        <v>1.3799999999999999E-3</v>
      </c>
    </row>
    <row r="18" spans="1:36" x14ac:dyDescent="0.2">
      <c r="A18" t="s">
        <v>1204</v>
      </c>
      <c r="B18" t="s">
        <v>1204</v>
      </c>
      <c r="C18" t="s">
        <v>1237</v>
      </c>
      <c r="D18" t="s">
        <v>1238</v>
      </c>
      <c r="E18" t="s">
        <v>80</v>
      </c>
      <c r="F18" t="s">
        <v>1308</v>
      </c>
      <c r="G18" t="s">
        <v>1309</v>
      </c>
      <c r="H18" t="s">
        <v>312</v>
      </c>
      <c r="I18" t="s">
        <v>754</v>
      </c>
      <c r="J18" t="s">
        <v>204</v>
      </c>
      <c r="K18" t="s">
        <v>204</v>
      </c>
      <c r="L18" t="s">
        <v>325</v>
      </c>
      <c r="M18" t="s">
        <v>340</v>
      </c>
      <c r="N18" t="s">
        <v>440</v>
      </c>
      <c r="O18" t="s">
        <v>339</v>
      </c>
      <c r="P18" t="s">
        <v>1241</v>
      </c>
      <c r="Q18" t="s">
        <v>415</v>
      </c>
      <c r="R18" t="s">
        <v>407</v>
      </c>
      <c r="S18" t="s">
        <v>1208</v>
      </c>
      <c r="T18" s="125">
        <v>7.52</v>
      </c>
      <c r="U18" t="s">
        <v>1310</v>
      </c>
      <c r="V18" s="126">
        <v>0.03</v>
      </c>
      <c r="W18" s="126">
        <v>2.87E-2</v>
      </c>
      <c r="X18" t="s">
        <v>412</v>
      </c>
      <c r="Y18" t="s">
        <v>339</v>
      </c>
      <c r="Z18" s="125">
        <v>15055424</v>
      </c>
      <c r="AA18" s="125">
        <v>1</v>
      </c>
      <c r="AB18" s="125">
        <v>105.85</v>
      </c>
      <c r="AC18" s="103"/>
      <c r="AD18" s="125">
        <v>15936.165999999999</v>
      </c>
      <c r="AE18" s="103"/>
      <c r="AF18" s="102"/>
      <c r="AG18" s="16"/>
      <c r="AH18" s="126">
        <v>1.3520000000000001E-2</v>
      </c>
      <c r="AI18" s="126">
        <v>1.968E-2</v>
      </c>
      <c r="AJ18" s="126">
        <v>1.3500000000000001E-3</v>
      </c>
    </row>
    <row r="19" spans="1:36" x14ac:dyDescent="0.2">
      <c r="A19" t="s">
        <v>1204</v>
      </c>
      <c r="B19" t="s">
        <v>1204</v>
      </c>
      <c r="C19" t="s">
        <v>1311</v>
      </c>
      <c r="D19" t="s">
        <v>1312</v>
      </c>
      <c r="E19" t="s">
        <v>80</v>
      </c>
      <c r="F19" t="s">
        <v>1313</v>
      </c>
      <c r="G19" t="s">
        <v>1314</v>
      </c>
      <c r="H19" t="s">
        <v>312</v>
      </c>
      <c r="I19" t="s">
        <v>754</v>
      </c>
      <c r="J19" t="s">
        <v>204</v>
      </c>
      <c r="K19" t="s">
        <v>204</v>
      </c>
      <c r="L19" t="s">
        <v>325</v>
      </c>
      <c r="M19" t="s">
        <v>340</v>
      </c>
      <c r="N19" t="s">
        <v>456</v>
      </c>
      <c r="O19" t="s">
        <v>339</v>
      </c>
      <c r="P19" t="s">
        <v>1315</v>
      </c>
      <c r="Q19" t="s">
        <v>413</v>
      </c>
      <c r="R19" t="s">
        <v>407</v>
      </c>
      <c r="S19" t="s">
        <v>1208</v>
      </c>
      <c r="T19" s="125">
        <v>5.4</v>
      </c>
      <c r="U19" t="s">
        <v>1316</v>
      </c>
      <c r="V19" s="126">
        <v>5.1499999999999997E-2</v>
      </c>
      <c r="W19" s="126">
        <v>4.2799999999999998E-2</v>
      </c>
      <c r="X19" t="s">
        <v>412</v>
      </c>
      <c r="Y19" t="s">
        <v>339</v>
      </c>
      <c r="Z19" s="125">
        <v>10546640.710000001</v>
      </c>
      <c r="AA19" s="125">
        <v>1</v>
      </c>
      <c r="AB19" s="125">
        <v>146.41</v>
      </c>
      <c r="AC19" s="103"/>
      <c r="AD19" s="125">
        <v>15441.337</v>
      </c>
      <c r="AE19" s="103"/>
      <c r="AF19" s="102"/>
      <c r="AG19" s="16"/>
      <c r="AH19" s="126">
        <v>3.15E-3</v>
      </c>
      <c r="AI19" s="126">
        <v>1.907E-2</v>
      </c>
      <c r="AJ19" s="126">
        <v>1.31E-3</v>
      </c>
    </row>
    <row r="20" spans="1:36" x14ac:dyDescent="0.2">
      <c r="A20" t="s">
        <v>1204</v>
      </c>
      <c r="B20" t="s">
        <v>1204</v>
      </c>
      <c r="C20" t="s">
        <v>1317</v>
      </c>
      <c r="D20" t="s">
        <v>1318</v>
      </c>
      <c r="E20" t="s">
        <v>80</v>
      </c>
      <c r="F20" t="s">
        <v>1319</v>
      </c>
      <c r="G20" t="s">
        <v>1320</v>
      </c>
      <c r="H20" t="s">
        <v>312</v>
      </c>
      <c r="I20" t="s">
        <v>754</v>
      </c>
      <c r="J20" t="s">
        <v>204</v>
      </c>
      <c r="K20" t="s">
        <v>204</v>
      </c>
      <c r="L20" t="s">
        <v>325</v>
      </c>
      <c r="M20" t="s">
        <v>340</v>
      </c>
      <c r="N20" t="s">
        <v>484</v>
      </c>
      <c r="O20" t="s">
        <v>339</v>
      </c>
      <c r="P20" t="s">
        <v>1265</v>
      </c>
      <c r="Q20" t="s">
        <v>413</v>
      </c>
      <c r="R20" t="s">
        <v>407</v>
      </c>
      <c r="S20" t="s">
        <v>1208</v>
      </c>
      <c r="T20" s="125">
        <v>8.15</v>
      </c>
      <c r="U20" t="s">
        <v>1321</v>
      </c>
      <c r="V20" s="126">
        <v>5.7999999999999996E-3</v>
      </c>
      <c r="W20" s="126">
        <v>2.8199999999999999E-2</v>
      </c>
      <c r="X20" t="s">
        <v>412</v>
      </c>
      <c r="Y20" t="s">
        <v>339</v>
      </c>
      <c r="Z20" s="125">
        <v>15812429</v>
      </c>
      <c r="AA20" s="125">
        <v>1</v>
      </c>
      <c r="AB20" s="125">
        <v>93.99</v>
      </c>
      <c r="AC20" s="102"/>
      <c r="AD20" s="125">
        <v>14862.102000000001</v>
      </c>
      <c r="AE20" s="102"/>
      <c r="AF20" s="102"/>
      <c r="AG20" s="102"/>
      <c r="AH20" s="126">
        <v>3.3059999999999999E-2</v>
      </c>
      <c r="AI20" s="126">
        <v>1.8350000000000002E-2</v>
      </c>
      <c r="AJ20" s="126">
        <v>1.2600000000000001E-3</v>
      </c>
    </row>
    <row r="21" spans="1:36" x14ac:dyDescent="0.2">
      <c r="A21" t="s">
        <v>1204</v>
      </c>
      <c r="B21" t="s">
        <v>1204</v>
      </c>
      <c r="C21" t="s">
        <v>1322</v>
      </c>
      <c r="D21" t="s">
        <v>1323</v>
      </c>
      <c r="E21" t="s">
        <v>80</v>
      </c>
      <c r="F21" t="s">
        <v>1324</v>
      </c>
      <c r="G21" t="s">
        <v>1325</v>
      </c>
      <c r="H21" t="s">
        <v>312</v>
      </c>
      <c r="I21" t="s">
        <v>754</v>
      </c>
      <c r="J21" t="s">
        <v>204</v>
      </c>
      <c r="K21" t="s">
        <v>204</v>
      </c>
      <c r="L21" t="s">
        <v>325</v>
      </c>
      <c r="M21" t="s">
        <v>340</v>
      </c>
      <c r="N21" t="s">
        <v>447</v>
      </c>
      <c r="O21" t="s">
        <v>339</v>
      </c>
      <c r="P21" t="s">
        <v>1326</v>
      </c>
      <c r="Q21" t="s">
        <v>413</v>
      </c>
      <c r="R21" t="s">
        <v>407</v>
      </c>
      <c r="S21" t="s">
        <v>1208</v>
      </c>
      <c r="T21" s="125">
        <v>2.6</v>
      </c>
      <c r="U21" t="s">
        <v>1327</v>
      </c>
      <c r="V21" s="126">
        <v>3.9E-2</v>
      </c>
      <c r="W21" s="126">
        <v>3.15E-2</v>
      </c>
      <c r="X21" t="s">
        <v>412</v>
      </c>
      <c r="Y21" t="s">
        <v>339</v>
      </c>
      <c r="Z21" s="125">
        <v>11779308.539999999</v>
      </c>
      <c r="AA21" s="125">
        <v>1</v>
      </c>
      <c r="AB21" s="125">
        <v>118.87</v>
      </c>
      <c r="AC21" s="102"/>
      <c r="AD21" s="125">
        <v>14002.064</v>
      </c>
      <c r="AE21" s="102"/>
      <c r="AF21" s="102"/>
      <c r="AG21" s="102"/>
      <c r="AH21" s="126">
        <v>7.7600000000000004E-3</v>
      </c>
      <c r="AI21" s="126">
        <v>1.729E-2</v>
      </c>
      <c r="AJ21" s="126">
        <v>1.1900000000000001E-3</v>
      </c>
    </row>
    <row r="22" spans="1:36" x14ac:dyDescent="0.2">
      <c r="A22" t="s">
        <v>1204</v>
      </c>
      <c r="B22" t="s">
        <v>1204</v>
      </c>
      <c r="C22" t="s">
        <v>1328</v>
      </c>
      <c r="D22" t="s">
        <v>1329</v>
      </c>
      <c r="E22" t="s">
        <v>80</v>
      </c>
      <c r="F22" t="s">
        <v>1330</v>
      </c>
      <c r="G22" t="s">
        <v>1331</v>
      </c>
      <c r="H22" t="s">
        <v>312</v>
      </c>
      <c r="I22" t="s">
        <v>754</v>
      </c>
      <c r="J22" t="s">
        <v>204</v>
      </c>
      <c r="K22" t="s">
        <v>204</v>
      </c>
      <c r="L22" t="s">
        <v>325</v>
      </c>
      <c r="M22" t="s">
        <v>340</v>
      </c>
      <c r="N22" t="s">
        <v>2406</v>
      </c>
      <c r="O22" t="s">
        <v>339</v>
      </c>
      <c r="P22" t="s">
        <v>1265</v>
      </c>
      <c r="Q22" t="s">
        <v>413</v>
      </c>
      <c r="R22" t="s">
        <v>407</v>
      </c>
      <c r="S22" t="s">
        <v>1208</v>
      </c>
      <c r="T22" s="125">
        <v>5.16</v>
      </c>
      <c r="U22" t="s">
        <v>1332</v>
      </c>
      <c r="V22" s="126">
        <v>2.5999999999999999E-2</v>
      </c>
      <c r="W22" s="126">
        <v>2.7300000000000001E-2</v>
      </c>
      <c r="X22" t="s">
        <v>412</v>
      </c>
      <c r="Y22" t="s">
        <v>339</v>
      </c>
      <c r="Z22" s="125">
        <v>11365000</v>
      </c>
      <c r="AA22" s="125">
        <v>1</v>
      </c>
      <c r="AB22" s="125">
        <v>102.81</v>
      </c>
      <c r="AC22" s="125">
        <v>152.80600000000001</v>
      </c>
      <c r="AD22" s="125">
        <v>11837.162</v>
      </c>
      <c r="AE22" s="102"/>
      <c r="AF22" s="102"/>
      <c r="AG22" s="102"/>
      <c r="AH22" s="126">
        <v>2.12E-2</v>
      </c>
      <c r="AI22" s="126">
        <v>1.4800000000000001E-2</v>
      </c>
      <c r="AJ22" s="126">
        <v>1.0200000000000001E-3</v>
      </c>
    </row>
    <row r="23" spans="1:36" x14ac:dyDescent="0.2">
      <c r="A23" t="s">
        <v>1204</v>
      </c>
      <c r="B23" t="s">
        <v>1204</v>
      </c>
      <c r="C23" t="s">
        <v>1333</v>
      </c>
      <c r="D23" t="s">
        <v>1334</v>
      </c>
      <c r="E23" t="s">
        <v>80</v>
      </c>
      <c r="F23" t="s">
        <v>1335</v>
      </c>
      <c r="G23" t="s">
        <v>1336</v>
      </c>
      <c r="H23" t="s">
        <v>312</v>
      </c>
      <c r="I23" t="s">
        <v>754</v>
      </c>
      <c r="J23" t="s">
        <v>204</v>
      </c>
      <c r="K23" t="s">
        <v>204</v>
      </c>
      <c r="L23" t="s">
        <v>325</v>
      </c>
      <c r="M23" t="s">
        <v>340</v>
      </c>
      <c r="N23" t="s">
        <v>2406</v>
      </c>
      <c r="O23" t="s">
        <v>339</v>
      </c>
      <c r="P23" t="s">
        <v>1265</v>
      </c>
      <c r="Q23" t="s">
        <v>413</v>
      </c>
      <c r="R23" t="s">
        <v>407</v>
      </c>
      <c r="S23" t="s">
        <v>1208</v>
      </c>
      <c r="T23" s="125">
        <v>5.6</v>
      </c>
      <c r="U23" t="s">
        <v>1337</v>
      </c>
      <c r="V23" s="126">
        <v>3.5000000000000001E-3</v>
      </c>
      <c r="W23" s="126">
        <v>2.98E-2</v>
      </c>
      <c r="X23" t="s">
        <v>412</v>
      </c>
      <c r="Y23" t="s">
        <v>339</v>
      </c>
      <c r="Z23" s="125">
        <v>11870000</v>
      </c>
      <c r="AA23" s="125">
        <v>1</v>
      </c>
      <c r="AB23" s="125">
        <v>97.28</v>
      </c>
      <c r="AC23" s="102"/>
      <c r="AD23" s="125">
        <v>11547.136</v>
      </c>
      <c r="AE23" s="102"/>
      <c r="AF23" s="102"/>
      <c r="AG23" s="102"/>
      <c r="AH23" s="126">
        <v>1.1560000000000001E-2</v>
      </c>
      <c r="AI23" s="126">
        <v>1.426E-2</v>
      </c>
      <c r="AJ23" s="126">
        <v>9.7999999999999997E-4</v>
      </c>
    </row>
    <row r="24" spans="1:36" x14ac:dyDescent="0.2">
      <c r="A24" t="s">
        <v>1204</v>
      </c>
      <c r="B24" t="s">
        <v>1204</v>
      </c>
      <c r="C24" t="s">
        <v>1272</v>
      </c>
      <c r="D24" t="s">
        <v>1273</v>
      </c>
      <c r="E24" t="s">
        <v>80</v>
      </c>
      <c r="F24" t="s">
        <v>1338</v>
      </c>
      <c r="G24" t="s">
        <v>1339</v>
      </c>
      <c r="H24" t="s">
        <v>312</v>
      </c>
      <c r="I24" t="s">
        <v>754</v>
      </c>
      <c r="J24" t="s">
        <v>204</v>
      </c>
      <c r="K24" t="s">
        <v>204</v>
      </c>
      <c r="L24" t="s">
        <v>325</v>
      </c>
      <c r="M24" t="s">
        <v>340</v>
      </c>
      <c r="N24" t="s">
        <v>448</v>
      </c>
      <c r="O24" t="s">
        <v>339</v>
      </c>
      <c r="P24" t="s">
        <v>1207</v>
      </c>
      <c r="Q24" t="s">
        <v>413</v>
      </c>
      <c r="R24" t="s">
        <v>407</v>
      </c>
      <c r="S24" t="s">
        <v>1208</v>
      </c>
      <c r="T24" s="125">
        <v>4.8899999999999997</v>
      </c>
      <c r="U24" t="s">
        <v>1340</v>
      </c>
      <c r="V24" s="126">
        <v>1E-3</v>
      </c>
      <c r="W24" s="126">
        <v>2.3599999999999999E-2</v>
      </c>
      <c r="X24" t="s">
        <v>412</v>
      </c>
      <c r="Y24" t="s">
        <v>339</v>
      </c>
      <c r="Z24" s="125">
        <v>10486108</v>
      </c>
      <c r="AA24" s="125">
        <v>1</v>
      </c>
      <c r="AB24" s="125">
        <v>100.78</v>
      </c>
      <c r="AC24" s="102"/>
      <c r="AD24" s="125">
        <v>10567.9</v>
      </c>
      <c r="AE24" s="102"/>
      <c r="AF24" s="102"/>
      <c r="AG24" s="102"/>
      <c r="AH24" s="126">
        <v>4.2199999999999998E-3</v>
      </c>
      <c r="AI24" s="126">
        <v>1.3050000000000001E-2</v>
      </c>
      <c r="AJ24" s="126">
        <v>8.9999999999999998E-4</v>
      </c>
    </row>
    <row r="25" spans="1:36" x14ac:dyDescent="0.2">
      <c r="A25" t="s">
        <v>1204</v>
      </c>
      <c r="B25" t="s">
        <v>1204</v>
      </c>
      <c r="C25" t="s">
        <v>1341</v>
      </c>
      <c r="D25" t="s">
        <v>1342</v>
      </c>
      <c r="E25" t="s">
        <v>80</v>
      </c>
      <c r="F25" t="s">
        <v>1343</v>
      </c>
      <c r="G25" t="s">
        <v>1344</v>
      </c>
      <c r="H25" t="s">
        <v>312</v>
      </c>
      <c r="I25" t="s">
        <v>754</v>
      </c>
      <c r="J25" t="s">
        <v>204</v>
      </c>
      <c r="K25" t="s">
        <v>204</v>
      </c>
      <c r="L25" t="s">
        <v>325</v>
      </c>
      <c r="M25" t="s">
        <v>340</v>
      </c>
      <c r="N25" t="s">
        <v>2407</v>
      </c>
      <c r="O25" t="s">
        <v>339</v>
      </c>
      <c r="P25" t="s">
        <v>1345</v>
      </c>
      <c r="Q25" t="s">
        <v>415</v>
      </c>
      <c r="R25" t="s">
        <v>407</v>
      </c>
      <c r="S25" t="s">
        <v>1208</v>
      </c>
      <c r="T25" s="125">
        <v>3.91</v>
      </c>
      <c r="U25" t="s">
        <v>1346</v>
      </c>
      <c r="V25" s="126">
        <v>1.09E-2</v>
      </c>
      <c r="W25" s="126">
        <v>3.0200000000000001E-2</v>
      </c>
      <c r="X25" t="s">
        <v>412</v>
      </c>
      <c r="Y25" t="s">
        <v>339</v>
      </c>
      <c r="Z25" s="125">
        <v>10000000</v>
      </c>
      <c r="AA25" s="125">
        <v>1</v>
      </c>
      <c r="AB25" s="125">
        <v>105.53</v>
      </c>
      <c r="AC25" s="102"/>
      <c r="AD25" s="125">
        <v>10553</v>
      </c>
      <c r="AE25" s="102"/>
      <c r="AF25" s="102"/>
      <c r="AG25" s="102"/>
      <c r="AH25" s="126">
        <v>1.7899999999999999E-2</v>
      </c>
      <c r="AI25" s="126">
        <v>1.303E-2</v>
      </c>
      <c r="AJ25" s="126">
        <v>8.8999999999999995E-4</v>
      </c>
    </row>
    <row r="26" spans="1:36" x14ac:dyDescent="0.2">
      <c r="A26" t="s">
        <v>1204</v>
      </c>
      <c r="B26" t="s">
        <v>1204</v>
      </c>
      <c r="C26" t="s">
        <v>1277</v>
      </c>
      <c r="D26" t="s">
        <v>1278</v>
      </c>
      <c r="E26" t="s">
        <v>80</v>
      </c>
      <c r="F26" t="s">
        <v>1347</v>
      </c>
      <c r="G26" t="s">
        <v>1348</v>
      </c>
      <c r="H26" t="s">
        <v>312</v>
      </c>
      <c r="I26" t="s">
        <v>754</v>
      </c>
      <c r="J26" t="s">
        <v>204</v>
      </c>
      <c r="K26" t="s">
        <v>204</v>
      </c>
      <c r="L26" t="s">
        <v>325</v>
      </c>
      <c r="M26" t="s">
        <v>340</v>
      </c>
      <c r="N26" t="s">
        <v>448</v>
      </c>
      <c r="O26" t="s">
        <v>339</v>
      </c>
      <c r="P26" t="s">
        <v>1207</v>
      </c>
      <c r="Q26" t="s">
        <v>413</v>
      </c>
      <c r="R26" t="s">
        <v>407</v>
      </c>
      <c r="S26" t="s">
        <v>1208</v>
      </c>
      <c r="T26" s="125">
        <v>5.47</v>
      </c>
      <c r="U26" t="s">
        <v>1349</v>
      </c>
      <c r="V26" s="126">
        <v>2E-3</v>
      </c>
      <c r="W26" s="126">
        <v>2.46E-2</v>
      </c>
      <c r="X26" t="s">
        <v>412</v>
      </c>
      <c r="Y26" t="s">
        <v>339</v>
      </c>
      <c r="Z26" s="125">
        <v>10295950</v>
      </c>
      <c r="AA26" s="125">
        <v>1</v>
      </c>
      <c r="AB26" s="125">
        <v>102.2</v>
      </c>
      <c r="AD26" s="125">
        <v>10522.460999999999</v>
      </c>
      <c r="AH26" s="126">
        <v>1.074E-2</v>
      </c>
      <c r="AI26" s="126">
        <v>1.299E-2</v>
      </c>
      <c r="AJ26" s="126">
        <v>8.8999999999999995E-4</v>
      </c>
    </row>
    <row r="27" spans="1:36" x14ac:dyDescent="0.2">
      <c r="A27" t="s">
        <v>1204</v>
      </c>
      <c r="B27" t="s">
        <v>1204</v>
      </c>
      <c r="C27" t="s">
        <v>1350</v>
      </c>
      <c r="D27" t="s">
        <v>1351</v>
      </c>
      <c r="E27" t="s">
        <v>80</v>
      </c>
      <c r="F27" t="s">
        <v>1352</v>
      </c>
      <c r="G27" t="s">
        <v>1353</v>
      </c>
      <c r="H27" t="s">
        <v>312</v>
      </c>
      <c r="I27" t="s">
        <v>754</v>
      </c>
      <c r="J27" t="s">
        <v>204</v>
      </c>
      <c r="K27" t="s">
        <v>204</v>
      </c>
      <c r="L27" t="s">
        <v>325</v>
      </c>
      <c r="M27" t="s">
        <v>340</v>
      </c>
      <c r="N27" t="s">
        <v>2406</v>
      </c>
      <c r="O27" t="s">
        <v>339</v>
      </c>
      <c r="P27" t="s">
        <v>1207</v>
      </c>
      <c r="Q27" t="s">
        <v>413</v>
      </c>
      <c r="R27" t="s">
        <v>407</v>
      </c>
      <c r="S27" t="s">
        <v>1208</v>
      </c>
      <c r="T27" s="125">
        <v>13.19</v>
      </c>
      <c r="U27" t="s">
        <v>1354</v>
      </c>
      <c r="V27" s="126">
        <v>9.5999999999999992E-3</v>
      </c>
      <c r="W27" s="126">
        <v>2.86E-2</v>
      </c>
      <c r="X27" t="s">
        <v>412</v>
      </c>
      <c r="Y27" t="s">
        <v>339</v>
      </c>
      <c r="Z27" s="125">
        <v>11782915</v>
      </c>
      <c r="AA27" s="125">
        <v>1</v>
      </c>
      <c r="AB27" s="125">
        <v>89.15</v>
      </c>
      <c r="AD27" s="125">
        <v>10504.468999999999</v>
      </c>
      <c r="AH27" s="126">
        <v>2.946E-2</v>
      </c>
      <c r="AI27" s="126">
        <v>1.2970000000000001E-2</v>
      </c>
      <c r="AJ27" s="126">
        <v>8.8999999999999995E-4</v>
      </c>
    </row>
    <row r="28" spans="1:36" x14ac:dyDescent="0.2">
      <c r="A28" t="s">
        <v>1204</v>
      </c>
      <c r="B28" t="s">
        <v>1204</v>
      </c>
      <c r="C28" t="s">
        <v>1355</v>
      </c>
      <c r="D28" t="s">
        <v>1356</v>
      </c>
      <c r="E28" t="s">
        <v>80</v>
      </c>
      <c r="F28" t="s">
        <v>1357</v>
      </c>
      <c r="G28" t="s">
        <v>1358</v>
      </c>
      <c r="H28" t="s">
        <v>312</v>
      </c>
      <c r="I28" t="s">
        <v>754</v>
      </c>
      <c r="J28" t="s">
        <v>204</v>
      </c>
      <c r="K28" t="s">
        <v>204</v>
      </c>
      <c r="L28" t="s">
        <v>325</v>
      </c>
      <c r="M28" t="s">
        <v>340</v>
      </c>
      <c r="N28" t="s">
        <v>443</v>
      </c>
      <c r="O28" t="s">
        <v>339</v>
      </c>
      <c r="P28" t="s">
        <v>1359</v>
      </c>
      <c r="Q28" t="s">
        <v>415</v>
      </c>
      <c r="R28" t="s">
        <v>407</v>
      </c>
      <c r="S28" t="s">
        <v>1208</v>
      </c>
      <c r="T28" s="125">
        <v>3.01</v>
      </c>
      <c r="U28" t="s">
        <v>1360</v>
      </c>
      <c r="V28" s="126">
        <v>0.01</v>
      </c>
      <c r="W28" s="126">
        <v>3.0800000000000001E-2</v>
      </c>
      <c r="X28" t="s">
        <v>412</v>
      </c>
      <c r="Y28" t="s">
        <v>339</v>
      </c>
      <c r="Z28" s="125">
        <v>9300000</v>
      </c>
      <c r="AA28" s="125">
        <v>1</v>
      </c>
      <c r="AB28" s="125">
        <v>106.09</v>
      </c>
      <c r="AD28" s="125">
        <v>9866.3700000000008</v>
      </c>
      <c r="AH28" s="126">
        <v>5.28E-3</v>
      </c>
      <c r="AI28" s="126">
        <v>1.218E-2</v>
      </c>
      <c r="AJ28" s="126">
        <v>8.4000000000000003E-4</v>
      </c>
    </row>
    <row r="29" spans="1:36" x14ac:dyDescent="0.2">
      <c r="A29" t="s">
        <v>1204</v>
      </c>
      <c r="B29" t="s">
        <v>1204</v>
      </c>
      <c r="C29" t="s">
        <v>1333</v>
      </c>
      <c r="D29" t="s">
        <v>1334</v>
      </c>
      <c r="E29" t="s">
        <v>80</v>
      </c>
      <c r="F29" t="s">
        <v>1361</v>
      </c>
      <c r="G29" t="s">
        <v>1362</v>
      </c>
      <c r="H29" t="s">
        <v>312</v>
      </c>
      <c r="I29" t="s">
        <v>754</v>
      </c>
      <c r="J29" t="s">
        <v>204</v>
      </c>
      <c r="K29" t="s">
        <v>204</v>
      </c>
      <c r="L29" t="s">
        <v>325</v>
      </c>
      <c r="M29" t="s">
        <v>340</v>
      </c>
      <c r="N29" t="s">
        <v>2406</v>
      </c>
      <c r="O29" t="s">
        <v>339</v>
      </c>
      <c r="P29" t="s">
        <v>1363</v>
      </c>
      <c r="Q29" t="s">
        <v>415</v>
      </c>
      <c r="R29" t="s">
        <v>407</v>
      </c>
      <c r="S29" t="s">
        <v>1208</v>
      </c>
      <c r="T29" s="125">
        <v>3.24</v>
      </c>
      <c r="U29" t="s">
        <v>1364</v>
      </c>
      <c r="V29" s="126">
        <v>2.81E-2</v>
      </c>
      <c r="W29" s="126">
        <v>2.6800000000000001E-2</v>
      </c>
      <c r="X29" t="s">
        <v>412</v>
      </c>
      <c r="Y29" t="s">
        <v>339</v>
      </c>
      <c r="Z29" s="125">
        <v>8073562.9400000004</v>
      </c>
      <c r="AA29" s="125">
        <v>1</v>
      </c>
      <c r="AB29" s="125">
        <v>117.18</v>
      </c>
      <c r="AD29" s="125">
        <v>9460.6010000000006</v>
      </c>
      <c r="AH29" s="126">
        <v>8.5000000000000006E-3</v>
      </c>
      <c r="AI29" s="126">
        <v>1.1679999999999999E-2</v>
      </c>
      <c r="AJ29" s="126">
        <v>8.0000000000000004E-4</v>
      </c>
    </row>
    <row r="30" spans="1:36" x14ac:dyDescent="0.2">
      <c r="A30" t="s">
        <v>1204</v>
      </c>
      <c r="B30" t="s">
        <v>1204</v>
      </c>
      <c r="C30" t="s">
        <v>1322</v>
      </c>
      <c r="D30" t="s">
        <v>1323</v>
      </c>
      <c r="E30" t="s">
        <v>80</v>
      </c>
      <c r="F30" t="s">
        <v>1365</v>
      </c>
      <c r="G30" t="s">
        <v>1366</v>
      </c>
      <c r="H30" t="s">
        <v>312</v>
      </c>
      <c r="I30" t="s">
        <v>951</v>
      </c>
      <c r="J30" t="s">
        <v>204</v>
      </c>
      <c r="K30" t="s">
        <v>204</v>
      </c>
      <c r="L30" t="s">
        <v>325</v>
      </c>
      <c r="M30" t="s">
        <v>340</v>
      </c>
      <c r="N30" t="s">
        <v>447</v>
      </c>
      <c r="O30" t="s">
        <v>339</v>
      </c>
      <c r="P30" t="s">
        <v>1326</v>
      </c>
      <c r="Q30" t="s">
        <v>413</v>
      </c>
      <c r="R30" t="s">
        <v>407</v>
      </c>
      <c r="S30" t="s">
        <v>1208</v>
      </c>
      <c r="T30" s="125">
        <v>3.1</v>
      </c>
      <c r="U30" t="s">
        <v>1367</v>
      </c>
      <c r="V30" s="126">
        <v>2.8000000000000001E-2</v>
      </c>
      <c r="W30" s="126">
        <v>5.6800000000000003E-2</v>
      </c>
      <c r="X30" t="s">
        <v>412</v>
      </c>
      <c r="Y30" t="s">
        <v>339</v>
      </c>
      <c r="Z30" s="125">
        <v>10000000</v>
      </c>
      <c r="AA30" s="125">
        <v>1</v>
      </c>
      <c r="AB30" s="125">
        <v>92.22</v>
      </c>
      <c r="AD30" s="125">
        <v>9222</v>
      </c>
      <c r="AH30" s="126">
        <v>1.2840000000000001E-2</v>
      </c>
      <c r="AI30" s="126">
        <v>1.1390000000000001E-2</v>
      </c>
      <c r="AJ30" s="126">
        <v>7.7999999999999999E-4</v>
      </c>
    </row>
    <row r="31" spans="1:36" x14ac:dyDescent="0.2">
      <c r="A31" t="s">
        <v>1204</v>
      </c>
      <c r="B31" t="s">
        <v>1204</v>
      </c>
      <c r="C31" t="s">
        <v>1368</v>
      </c>
      <c r="D31" t="s">
        <v>1369</v>
      </c>
      <c r="E31" t="s">
        <v>80</v>
      </c>
      <c r="F31" t="s">
        <v>1370</v>
      </c>
      <c r="G31" t="s">
        <v>1371</v>
      </c>
      <c r="H31" t="s">
        <v>312</v>
      </c>
      <c r="I31" t="s">
        <v>951</v>
      </c>
      <c r="J31" t="s">
        <v>204</v>
      </c>
      <c r="K31" t="s">
        <v>204</v>
      </c>
      <c r="L31" t="s">
        <v>325</v>
      </c>
      <c r="M31" t="s">
        <v>340</v>
      </c>
      <c r="N31" t="s">
        <v>2406</v>
      </c>
      <c r="O31" t="s">
        <v>339</v>
      </c>
      <c r="P31" t="s">
        <v>1315</v>
      </c>
      <c r="Q31" t="s">
        <v>413</v>
      </c>
      <c r="R31" t="s">
        <v>407</v>
      </c>
      <c r="S31" t="s">
        <v>1208</v>
      </c>
      <c r="T31" s="125">
        <v>4.09</v>
      </c>
      <c r="U31" t="s">
        <v>1372</v>
      </c>
      <c r="V31" s="126">
        <v>2.41E-2</v>
      </c>
      <c r="W31" s="126">
        <v>5.2499999999999998E-2</v>
      </c>
      <c r="X31" t="s">
        <v>412</v>
      </c>
      <c r="Y31" t="s">
        <v>339</v>
      </c>
      <c r="Z31" s="125">
        <v>9665821.3300000001</v>
      </c>
      <c r="AA31" s="125">
        <v>1</v>
      </c>
      <c r="AB31" s="125">
        <v>91.16</v>
      </c>
      <c r="AD31" s="125">
        <v>8811.3629999999994</v>
      </c>
      <c r="AH31" s="126">
        <v>5.5399999999999998E-3</v>
      </c>
      <c r="AI31" s="126">
        <v>1.0880000000000001E-2</v>
      </c>
      <c r="AJ31" s="126">
        <v>7.5000000000000002E-4</v>
      </c>
    </row>
    <row r="32" spans="1:36" x14ac:dyDescent="0.2">
      <c r="A32" t="s">
        <v>1204</v>
      </c>
      <c r="B32" t="s">
        <v>1204</v>
      </c>
      <c r="C32" t="s">
        <v>1373</v>
      </c>
      <c r="D32" t="s">
        <v>1374</v>
      </c>
      <c r="E32" t="s">
        <v>80</v>
      </c>
      <c r="F32" t="s">
        <v>1375</v>
      </c>
      <c r="G32" t="s">
        <v>1376</v>
      </c>
      <c r="H32" t="s">
        <v>312</v>
      </c>
      <c r="I32" t="s">
        <v>951</v>
      </c>
      <c r="J32" t="s">
        <v>204</v>
      </c>
      <c r="K32" t="s">
        <v>204</v>
      </c>
      <c r="L32" t="s">
        <v>325</v>
      </c>
      <c r="M32" t="s">
        <v>340</v>
      </c>
      <c r="N32" t="s">
        <v>459</v>
      </c>
      <c r="O32" t="s">
        <v>339</v>
      </c>
      <c r="P32" t="s">
        <v>1284</v>
      </c>
      <c r="Q32" t="s">
        <v>413</v>
      </c>
      <c r="R32" t="s">
        <v>407</v>
      </c>
      <c r="S32" t="s">
        <v>1208</v>
      </c>
      <c r="T32" s="125">
        <v>6.09</v>
      </c>
      <c r="U32" t="s">
        <v>1377</v>
      </c>
      <c r="V32" s="126">
        <v>1.9E-2</v>
      </c>
      <c r="W32" s="126">
        <v>4.8800000000000003E-2</v>
      </c>
      <c r="X32" t="s">
        <v>412</v>
      </c>
      <c r="Y32" t="s">
        <v>339</v>
      </c>
      <c r="Z32" s="125">
        <v>10195400</v>
      </c>
      <c r="AA32" s="125">
        <v>1</v>
      </c>
      <c r="AB32" s="125">
        <v>83.51</v>
      </c>
      <c r="AD32" s="125">
        <v>8514.1790000000001</v>
      </c>
      <c r="AH32" s="126">
        <v>9.4800000000000006E-3</v>
      </c>
      <c r="AI32" s="126">
        <v>1.051E-2</v>
      </c>
      <c r="AJ32" s="126">
        <v>7.2000000000000005E-4</v>
      </c>
    </row>
    <row r="33" spans="1:36" x14ac:dyDescent="0.2">
      <c r="A33" t="s">
        <v>1204</v>
      </c>
      <c r="B33" t="s">
        <v>1204</v>
      </c>
      <c r="C33" t="s">
        <v>1378</v>
      </c>
      <c r="D33" t="s">
        <v>1379</v>
      </c>
      <c r="E33" t="s">
        <v>80</v>
      </c>
      <c r="F33" t="s">
        <v>1380</v>
      </c>
      <c r="G33" t="s">
        <v>1381</v>
      </c>
      <c r="H33" t="s">
        <v>312</v>
      </c>
      <c r="I33" t="s">
        <v>754</v>
      </c>
      <c r="J33" t="s">
        <v>204</v>
      </c>
      <c r="K33" t="s">
        <v>204</v>
      </c>
      <c r="L33" t="s">
        <v>325</v>
      </c>
      <c r="M33" t="s">
        <v>340</v>
      </c>
      <c r="N33" t="s">
        <v>2406</v>
      </c>
      <c r="O33" t="s">
        <v>339</v>
      </c>
      <c r="P33" t="s">
        <v>1265</v>
      </c>
      <c r="Q33" t="s">
        <v>413</v>
      </c>
      <c r="R33" t="s">
        <v>407</v>
      </c>
      <c r="S33" t="s">
        <v>1208</v>
      </c>
      <c r="T33" s="125">
        <v>5.12</v>
      </c>
      <c r="U33" t="s">
        <v>1349</v>
      </c>
      <c r="V33" s="126">
        <v>2.5000000000000001E-3</v>
      </c>
      <c r="W33" s="126">
        <v>2.6200000000000001E-2</v>
      </c>
      <c r="X33" t="s">
        <v>412</v>
      </c>
      <c r="Y33" t="s">
        <v>339</v>
      </c>
      <c r="Z33" s="125">
        <v>8285010.0099999998</v>
      </c>
      <c r="AA33" s="125">
        <v>1</v>
      </c>
      <c r="AB33" s="125">
        <v>100.3</v>
      </c>
      <c r="AC33" s="125">
        <v>119.529</v>
      </c>
      <c r="AD33" s="125">
        <v>8429.3940000000002</v>
      </c>
      <c r="AH33" s="126">
        <v>7.6099999999999996E-3</v>
      </c>
      <c r="AI33" s="126">
        <v>1.056E-2</v>
      </c>
      <c r="AJ33" s="126">
        <v>7.2000000000000005E-4</v>
      </c>
    </row>
    <row r="34" spans="1:36" x14ac:dyDescent="0.2">
      <c r="A34" t="s">
        <v>1204</v>
      </c>
      <c r="B34" t="s">
        <v>1204</v>
      </c>
      <c r="C34" t="s">
        <v>1378</v>
      </c>
      <c r="D34" t="s">
        <v>1379</v>
      </c>
      <c r="E34" t="s">
        <v>80</v>
      </c>
      <c r="F34" t="s">
        <v>1382</v>
      </c>
      <c r="G34" t="s">
        <v>1383</v>
      </c>
      <c r="H34" t="s">
        <v>312</v>
      </c>
      <c r="I34" t="s">
        <v>754</v>
      </c>
      <c r="J34" t="s">
        <v>204</v>
      </c>
      <c r="K34" t="s">
        <v>204</v>
      </c>
      <c r="L34" t="s">
        <v>325</v>
      </c>
      <c r="M34" t="s">
        <v>340</v>
      </c>
      <c r="N34" t="s">
        <v>2406</v>
      </c>
      <c r="O34" t="s">
        <v>339</v>
      </c>
      <c r="P34" t="s">
        <v>1265</v>
      </c>
      <c r="Q34" t="s">
        <v>413</v>
      </c>
      <c r="R34" t="s">
        <v>407</v>
      </c>
      <c r="S34" t="s">
        <v>1208</v>
      </c>
      <c r="T34" s="125">
        <v>3.74</v>
      </c>
      <c r="U34" t="s">
        <v>1384</v>
      </c>
      <c r="V34" s="126">
        <v>2.2499999999999999E-2</v>
      </c>
      <c r="W34" s="126">
        <v>2.8400000000000002E-2</v>
      </c>
      <c r="X34" t="s">
        <v>412</v>
      </c>
      <c r="Y34" t="s">
        <v>339</v>
      </c>
      <c r="Z34" s="125">
        <v>7095354.8600000003</v>
      </c>
      <c r="AA34" s="125">
        <v>1</v>
      </c>
      <c r="AB34" s="125">
        <v>114.28</v>
      </c>
      <c r="AC34" s="125">
        <v>220.08</v>
      </c>
      <c r="AD34" s="125">
        <v>8328.6509999999998</v>
      </c>
      <c r="AH34" s="126">
        <v>6.1799999999999997E-3</v>
      </c>
      <c r="AI34" s="126">
        <v>1.056E-2</v>
      </c>
      <c r="AJ34" s="126">
        <v>7.2000000000000005E-4</v>
      </c>
    </row>
    <row r="35" spans="1:36" x14ac:dyDescent="0.2">
      <c r="A35" t="s">
        <v>1204</v>
      </c>
      <c r="B35" t="s">
        <v>1204</v>
      </c>
      <c r="C35" t="s">
        <v>1385</v>
      </c>
      <c r="D35" t="s">
        <v>1386</v>
      </c>
      <c r="E35" t="s">
        <v>80</v>
      </c>
      <c r="F35" t="s">
        <v>1387</v>
      </c>
      <c r="G35" t="s">
        <v>1388</v>
      </c>
      <c r="H35" t="s">
        <v>312</v>
      </c>
      <c r="I35" t="s">
        <v>951</v>
      </c>
      <c r="J35" t="s">
        <v>204</v>
      </c>
      <c r="K35" t="s">
        <v>204</v>
      </c>
      <c r="L35" t="s">
        <v>325</v>
      </c>
      <c r="M35" t="s">
        <v>340</v>
      </c>
      <c r="N35" t="s">
        <v>2406</v>
      </c>
      <c r="O35" t="s">
        <v>339</v>
      </c>
      <c r="P35" t="s">
        <v>1265</v>
      </c>
      <c r="Q35" t="s">
        <v>413</v>
      </c>
      <c r="R35" t="s">
        <v>407</v>
      </c>
      <c r="S35" t="s">
        <v>1208</v>
      </c>
      <c r="T35" s="125">
        <v>5.0199999999999996</v>
      </c>
      <c r="U35" t="s">
        <v>1389</v>
      </c>
      <c r="V35" s="126">
        <v>2.5499999999999998E-2</v>
      </c>
      <c r="W35" s="126">
        <v>5.1200000000000002E-2</v>
      </c>
      <c r="X35" t="s">
        <v>412</v>
      </c>
      <c r="Y35" t="s">
        <v>339</v>
      </c>
      <c r="Z35" s="125">
        <v>9285714.2899999991</v>
      </c>
      <c r="AA35" s="125">
        <v>1</v>
      </c>
      <c r="AB35" s="125">
        <v>88.21</v>
      </c>
      <c r="AD35" s="125">
        <v>8190.9290000000001</v>
      </c>
      <c r="AH35" s="126">
        <v>6.5700000000000003E-3</v>
      </c>
      <c r="AI35" s="126">
        <v>1.0109999999999999E-2</v>
      </c>
      <c r="AJ35" s="126">
        <v>6.8999999999999997E-4</v>
      </c>
    </row>
    <row r="36" spans="1:36" x14ac:dyDescent="0.2">
      <c r="A36" t="s">
        <v>1204</v>
      </c>
      <c r="B36" t="s">
        <v>1204</v>
      </c>
      <c r="C36" t="s">
        <v>1390</v>
      </c>
      <c r="D36" t="s">
        <v>1391</v>
      </c>
      <c r="E36" t="s">
        <v>80</v>
      </c>
      <c r="F36" t="s">
        <v>1392</v>
      </c>
      <c r="G36" t="s">
        <v>1393</v>
      </c>
      <c r="H36" t="s">
        <v>312</v>
      </c>
      <c r="I36" t="s">
        <v>951</v>
      </c>
      <c r="J36" t="s">
        <v>204</v>
      </c>
      <c r="K36" t="s">
        <v>204</v>
      </c>
      <c r="L36" t="s">
        <v>325</v>
      </c>
      <c r="M36" t="s">
        <v>340</v>
      </c>
      <c r="N36" t="s">
        <v>445</v>
      </c>
      <c r="O36" t="s">
        <v>339</v>
      </c>
      <c r="P36" t="s">
        <v>1394</v>
      </c>
      <c r="Q36" t="s">
        <v>415</v>
      </c>
      <c r="R36" t="s">
        <v>407</v>
      </c>
      <c r="S36" t="s">
        <v>1208</v>
      </c>
      <c r="T36" s="125">
        <v>4.88</v>
      </c>
      <c r="U36" t="s">
        <v>1395</v>
      </c>
      <c r="V36" s="126">
        <v>2.64E-2</v>
      </c>
      <c r="W36" s="126">
        <v>4.8800000000000003E-2</v>
      </c>
      <c r="X36" t="s">
        <v>412</v>
      </c>
      <c r="Y36" t="s">
        <v>339</v>
      </c>
      <c r="Z36" s="125">
        <v>7800000</v>
      </c>
      <c r="AA36" s="125">
        <v>1</v>
      </c>
      <c r="AB36" s="125">
        <v>90.64</v>
      </c>
      <c r="AD36" s="125">
        <v>7069.92</v>
      </c>
      <c r="AH36" s="126">
        <v>4.7699999999999999E-3</v>
      </c>
      <c r="AI36" s="126">
        <v>8.7299999999999999E-3</v>
      </c>
      <c r="AJ36" s="126">
        <v>5.9999999999999995E-4</v>
      </c>
    </row>
    <row r="37" spans="1:36" x14ac:dyDescent="0.2">
      <c r="A37" t="s">
        <v>1204</v>
      </c>
      <c r="B37" t="s">
        <v>1204</v>
      </c>
      <c r="C37" t="s">
        <v>1396</v>
      </c>
      <c r="D37" t="s">
        <v>1397</v>
      </c>
      <c r="E37" t="s">
        <v>80</v>
      </c>
      <c r="F37" t="s">
        <v>1398</v>
      </c>
      <c r="G37" t="s">
        <v>1399</v>
      </c>
      <c r="H37" t="s">
        <v>312</v>
      </c>
      <c r="I37" t="s">
        <v>754</v>
      </c>
      <c r="J37" t="s">
        <v>204</v>
      </c>
      <c r="K37" t="s">
        <v>204</v>
      </c>
      <c r="L37" t="s">
        <v>325</v>
      </c>
      <c r="M37" t="s">
        <v>340</v>
      </c>
      <c r="N37" t="s">
        <v>451</v>
      </c>
      <c r="O37" t="s">
        <v>339</v>
      </c>
      <c r="P37" t="s">
        <v>1400</v>
      </c>
      <c r="Q37" t="s">
        <v>413</v>
      </c>
      <c r="R37" t="s">
        <v>407</v>
      </c>
      <c r="S37" t="s">
        <v>1208</v>
      </c>
      <c r="T37" s="125">
        <v>4.1500000000000004</v>
      </c>
      <c r="U37" t="s">
        <v>1401</v>
      </c>
      <c r="V37" s="126">
        <v>7.4999999999999997E-3</v>
      </c>
      <c r="W37" s="126">
        <v>3.1399999999999997E-2</v>
      </c>
      <c r="X37" t="s">
        <v>412</v>
      </c>
      <c r="Y37" t="s">
        <v>339</v>
      </c>
      <c r="Z37" s="125">
        <v>6447368.9800000004</v>
      </c>
      <c r="AA37" s="125">
        <v>1</v>
      </c>
      <c r="AB37" s="125">
        <v>101.89</v>
      </c>
      <c r="AD37" s="125">
        <v>6569.2240000000002</v>
      </c>
      <c r="AH37" s="126">
        <v>1.4330000000000001E-2</v>
      </c>
      <c r="AI37" s="126">
        <v>8.1099999999999992E-3</v>
      </c>
      <c r="AJ37" s="126">
        <v>5.5999999999999995E-4</v>
      </c>
    </row>
    <row r="38" spans="1:36" x14ac:dyDescent="0.2">
      <c r="A38" t="s">
        <v>1204</v>
      </c>
      <c r="B38" t="s">
        <v>1204</v>
      </c>
      <c r="C38" t="s">
        <v>1248</v>
      </c>
      <c r="D38" t="s">
        <v>1249</v>
      </c>
      <c r="E38" t="s">
        <v>80</v>
      </c>
      <c r="F38" t="s">
        <v>1402</v>
      </c>
      <c r="G38" t="s">
        <v>1403</v>
      </c>
      <c r="H38" t="s">
        <v>312</v>
      </c>
      <c r="I38" t="s">
        <v>754</v>
      </c>
      <c r="J38" t="s">
        <v>204</v>
      </c>
      <c r="K38" t="s">
        <v>204</v>
      </c>
      <c r="L38" t="s">
        <v>325</v>
      </c>
      <c r="M38" t="s">
        <v>340</v>
      </c>
      <c r="N38" t="s">
        <v>2406</v>
      </c>
      <c r="O38" t="s">
        <v>339</v>
      </c>
      <c r="P38" t="s">
        <v>1241</v>
      </c>
      <c r="Q38" t="s">
        <v>415</v>
      </c>
      <c r="R38" t="s">
        <v>407</v>
      </c>
      <c r="S38" t="s">
        <v>1208</v>
      </c>
      <c r="T38" s="125">
        <v>5.3</v>
      </c>
      <c r="U38" t="s">
        <v>1404</v>
      </c>
      <c r="V38" s="126">
        <v>2.4799999999999999E-2</v>
      </c>
      <c r="W38" s="126">
        <v>2.8400000000000002E-2</v>
      </c>
      <c r="X38" t="s">
        <v>412</v>
      </c>
      <c r="Y38" t="s">
        <v>339</v>
      </c>
      <c r="Z38" s="125">
        <v>5327894</v>
      </c>
      <c r="AA38" s="125">
        <v>1</v>
      </c>
      <c r="AB38" s="125">
        <v>113.17</v>
      </c>
      <c r="AD38" s="125">
        <v>6029.5780000000004</v>
      </c>
      <c r="AH38" s="126">
        <v>2.7200000000000002E-3</v>
      </c>
      <c r="AI38" s="126">
        <v>7.4400000000000004E-3</v>
      </c>
      <c r="AJ38" s="126">
        <v>5.1000000000000004E-4</v>
      </c>
    </row>
    <row r="39" spans="1:36" x14ac:dyDescent="0.2">
      <c r="A39" t="s">
        <v>1204</v>
      </c>
      <c r="B39" t="s">
        <v>1204</v>
      </c>
      <c r="C39" t="s">
        <v>1385</v>
      </c>
      <c r="D39" t="s">
        <v>1386</v>
      </c>
      <c r="E39" t="s">
        <v>80</v>
      </c>
      <c r="F39" t="s">
        <v>1405</v>
      </c>
      <c r="G39" t="s">
        <v>1406</v>
      </c>
      <c r="H39" t="s">
        <v>312</v>
      </c>
      <c r="I39" t="s">
        <v>754</v>
      </c>
      <c r="J39" t="s">
        <v>204</v>
      </c>
      <c r="K39" t="s">
        <v>204</v>
      </c>
      <c r="L39" t="s">
        <v>325</v>
      </c>
      <c r="M39" t="s">
        <v>340</v>
      </c>
      <c r="N39" t="s">
        <v>2406</v>
      </c>
      <c r="O39" t="s">
        <v>339</v>
      </c>
      <c r="P39" t="s">
        <v>1265</v>
      </c>
      <c r="Q39" t="s">
        <v>413</v>
      </c>
      <c r="R39" t="s">
        <v>407</v>
      </c>
      <c r="S39" t="s">
        <v>1208</v>
      </c>
      <c r="T39" s="125">
        <v>3.75</v>
      </c>
      <c r="U39" t="s">
        <v>1407</v>
      </c>
      <c r="V39" s="126">
        <v>5.0000000000000001E-3</v>
      </c>
      <c r="W39" s="126">
        <v>2.86E-2</v>
      </c>
      <c r="X39" t="s">
        <v>412</v>
      </c>
      <c r="Y39" t="s">
        <v>339</v>
      </c>
      <c r="Z39" s="125">
        <v>5541812.5</v>
      </c>
      <c r="AA39" s="125">
        <v>1</v>
      </c>
      <c r="AB39" s="125">
        <v>105.22</v>
      </c>
      <c r="AD39" s="125">
        <v>5831.0950000000003</v>
      </c>
      <c r="AH39" s="126">
        <v>3.3700000000000002E-3</v>
      </c>
      <c r="AI39" s="126">
        <v>7.1999999999999998E-3</v>
      </c>
      <c r="AJ39" s="126">
        <v>4.8999999999999998E-4</v>
      </c>
    </row>
    <row r="40" spans="1:36" x14ac:dyDescent="0.2">
      <c r="A40" t="s">
        <v>1204</v>
      </c>
      <c r="B40" t="s">
        <v>1204</v>
      </c>
      <c r="C40" t="s">
        <v>1390</v>
      </c>
      <c r="D40" t="s">
        <v>1391</v>
      </c>
      <c r="E40" t="s">
        <v>80</v>
      </c>
      <c r="F40" t="s">
        <v>1408</v>
      </c>
      <c r="G40" t="s">
        <v>1409</v>
      </c>
      <c r="H40" t="s">
        <v>312</v>
      </c>
      <c r="I40" t="s">
        <v>951</v>
      </c>
      <c r="J40" t="s">
        <v>204</v>
      </c>
      <c r="K40" t="s">
        <v>204</v>
      </c>
      <c r="L40" t="s">
        <v>325</v>
      </c>
      <c r="M40" t="s">
        <v>340</v>
      </c>
      <c r="N40" t="s">
        <v>445</v>
      </c>
      <c r="O40" t="s">
        <v>339</v>
      </c>
      <c r="P40" t="s">
        <v>1315</v>
      </c>
      <c r="Q40" t="s">
        <v>413</v>
      </c>
      <c r="R40" t="s">
        <v>407</v>
      </c>
      <c r="S40" t="s">
        <v>1208</v>
      </c>
      <c r="T40" s="125">
        <v>6.56</v>
      </c>
      <c r="U40" t="s">
        <v>1410</v>
      </c>
      <c r="V40" s="126">
        <v>2.5000000000000001E-2</v>
      </c>
      <c r="W40" s="126">
        <v>5.2699999999999997E-2</v>
      </c>
      <c r="X40" t="s">
        <v>412</v>
      </c>
      <c r="Y40" t="s">
        <v>339</v>
      </c>
      <c r="Z40" s="125">
        <v>6590821.4500000002</v>
      </c>
      <c r="AA40" s="125">
        <v>1</v>
      </c>
      <c r="AB40" s="125">
        <v>84.49</v>
      </c>
      <c r="AD40" s="125">
        <v>5568.585</v>
      </c>
      <c r="AH40" s="126">
        <v>8.9700000000000005E-3</v>
      </c>
      <c r="AI40" s="126">
        <v>6.8799999999999998E-3</v>
      </c>
      <c r="AJ40" s="126">
        <v>4.6999999999999999E-4</v>
      </c>
    </row>
    <row r="41" spans="1:36" x14ac:dyDescent="0.2">
      <c r="A41" t="s">
        <v>1204</v>
      </c>
      <c r="B41" t="s">
        <v>1204</v>
      </c>
      <c r="C41" t="s">
        <v>1317</v>
      </c>
      <c r="D41" t="s">
        <v>1318</v>
      </c>
      <c r="E41" t="s">
        <v>80</v>
      </c>
      <c r="F41" t="s">
        <v>1411</v>
      </c>
      <c r="G41" t="s">
        <v>1412</v>
      </c>
      <c r="H41" t="s">
        <v>312</v>
      </c>
      <c r="I41" t="s">
        <v>754</v>
      </c>
      <c r="J41" t="s">
        <v>204</v>
      </c>
      <c r="K41" t="s">
        <v>204</v>
      </c>
      <c r="L41" t="s">
        <v>325</v>
      </c>
      <c r="M41" t="s">
        <v>340</v>
      </c>
      <c r="N41" t="s">
        <v>484</v>
      </c>
      <c r="O41" t="s">
        <v>339</v>
      </c>
      <c r="P41" t="s">
        <v>1265</v>
      </c>
      <c r="Q41" t="s">
        <v>413</v>
      </c>
      <c r="R41" t="s">
        <v>407</v>
      </c>
      <c r="S41" t="s">
        <v>1208</v>
      </c>
      <c r="T41" s="125">
        <v>3.3</v>
      </c>
      <c r="U41" t="s">
        <v>1413</v>
      </c>
      <c r="V41" s="126">
        <v>1.7000000000000001E-2</v>
      </c>
      <c r="W41" s="126">
        <v>2.4500000000000001E-2</v>
      </c>
      <c r="X41" t="s">
        <v>412</v>
      </c>
      <c r="Y41" t="s">
        <v>339</v>
      </c>
      <c r="Z41" s="125">
        <v>4900498</v>
      </c>
      <c r="AA41" s="125">
        <v>1</v>
      </c>
      <c r="AB41" s="125">
        <v>110.98</v>
      </c>
      <c r="AD41" s="125">
        <v>5438.5730000000003</v>
      </c>
      <c r="AH41" s="126">
        <v>3.8600000000000001E-3</v>
      </c>
      <c r="AI41" s="126">
        <v>6.7200000000000003E-3</v>
      </c>
      <c r="AJ41" s="126">
        <v>4.6000000000000001E-4</v>
      </c>
    </row>
    <row r="42" spans="1:36" x14ac:dyDescent="0.2">
      <c r="A42" t="s">
        <v>1204</v>
      </c>
      <c r="B42" t="s">
        <v>1204</v>
      </c>
      <c r="C42" t="s">
        <v>1289</v>
      </c>
      <c r="D42" t="s">
        <v>1290</v>
      </c>
      <c r="E42" t="s">
        <v>80</v>
      </c>
      <c r="F42" t="s">
        <v>1414</v>
      </c>
      <c r="G42" t="s">
        <v>1415</v>
      </c>
      <c r="H42" t="s">
        <v>312</v>
      </c>
      <c r="I42" t="s">
        <v>754</v>
      </c>
      <c r="J42" t="s">
        <v>204</v>
      </c>
      <c r="K42" t="s">
        <v>204</v>
      </c>
      <c r="L42" t="s">
        <v>325</v>
      </c>
      <c r="M42" t="s">
        <v>340</v>
      </c>
      <c r="N42" t="s">
        <v>448</v>
      </c>
      <c r="O42" t="s">
        <v>339</v>
      </c>
      <c r="P42" t="s">
        <v>1207</v>
      </c>
      <c r="Q42" t="s">
        <v>413</v>
      </c>
      <c r="R42" t="s">
        <v>407</v>
      </c>
      <c r="S42" t="s">
        <v>1208</v>
      </c>
      <c r="T42" s="125">
        <v>3.84</v>
      </c>
      <c r="U42" t="s">
        <v>1416</v>
      </c>
      <c r="V42" s="126">
        <v>1E-3</v>
      </c>
      <c r="W42" s="126">
        <v>2.3599999999999999E-2</v>
      </c>
      <c r="X42" t="s">
        <v>412</v>
      </c>
      <c r="Y42" t="s">
        <v>339</v>
      </c>
      <c r="Z42" s="125">
        <v>5114820.37</v>
      </c>
      <c r="AA42" s="125">
        <v>1</v>
      </c>
      <c r="AB42" s="125">
        <v>103.09</v>
      </c>
      <c r="AD42" s="125">
        <v>5272.8680000000004</v>
      </c>
      <c r="AH42" s="126">
        <v>1.5499999999999999E-3</v>
      </c>
      <c r="AI42" s="126">
        <v>6.5100000000000002E-3</v>
      </c>
      <c r="AJ42" s="126">
        <v>4.4999999999999999E-4</v>
      </c>
    </row>
    <row r="43" spans="1:36" x14ac:dyDescent="0.2">
      <c r="A43" t="s">
        <v>1204</v>
      </c>
      <c r="B43" t="s">
        <v>1204</v>
      </c>
      <c r="C43" t="s">
        <v>1417</v>
      </c>
      <c r="D43" t="s">
        <v>1418</v>
      </c>
      <c r="E43" t="s">
        <v>80</v>
      </c>
      <c r="F43" t="s">
        <v>1419</v>
      </c>
      <c r="G43" t="s">
        <v>1420</v>
      </c>
      <c r="H43" t="s">
        <v>312</v>
      </c>
      <c r="I43" t="s">
        <v>951</v>
      </c>
      <c r="J43" t="s">
        <v>204</v>
      </c>
      <c r="K43" t="s">
        <v>204</v>
      </c>
      <c r="L43" t="s">
        <v>325</v>
      </c>
      <c r="M43" t="s">
        <v>340</v>
      </c>
      <c r="N43" t="s">
        <v>440</v>
      </c>
      <c r="O43" t="s">
        <v>339</v>
      </c>
      <c r="P43" t="s">
        <v>1421</v>
      </c>
      <c r="Q43" t="s">
        <v>415</v>
      </c>
      <c r="R43" t="s">
        <v>407</v>
      </c>
      <c r="S43" t="s">
        <v>1208</v>
      </c>
      <c r="T43" s="125">
        <v>4.21</v>
      </c>
      <c r="U43" t="s">
        <v>1389</v>
      </c>
      <c r="V43" s="126">
        <v>6.7699999999999996E-2</v>
      </c>
      <c r="W43" s="126">
        <v>5.57E-2</v>
      </c>
      <c r="X43" t="s">
        <v>412</v>
      </c>
      <c r="Y43" t="s">
        <v>339</v>
      </c>
      <c r="Z43" s="125">
        <v>5000000</v>
      </c>
      <c r="AA43" s="125">
        <v>1</v>
      </c>
      <c r="AB43" s="125">
        <v>105.34</v>
      </c>
      <c r="AD43" s="125">
        <v>5267</v>
      </c>
      <c r="AH43" s="126">
        <v>6.6699999999999997E-3</v>
      </c>
      <c r="AI43" s="126">
        <v>6.4999999999999997E-3</v>
      </c>
      <c r="AJ43" s="126">
        <v>4.4999999999999999E-4</v>
      </c>
    </row>
    <row r="44" spans="1:36" x14ac:dyDescent="0.2">
      <c r="A44" t="s">
        <v>1204</v>
      </c>
      <c r="B44" t="s">
        <v>1204</v>
      </c>
      <c r="C44" t="s">
        <v>1422</v>
      </c>
      <c r="D44" t="s">
        <v>1423</v>
      </c>
      <c r="E44" t="s">
        <v>80</v>
      </c>
      <c r="F44" t="s">
        <v>1424</v>
      </c>
      <c r="G44" t="s">
        <v>1425</v>
      </c>
      <c r="H44" t="s">
        <v>312</v>
      </c>
      <c r="I44" t="s">
        <v>951</v>
      </c>
      <c r="J44" t="s">
        <v>204</v>
      </c>
      <c r="K44" t="s">
        <v>204</v>
      </c>
      <c r="L44" t="s">
        <v>325</v>
      </c>
      <c r="M44" t="s">
        <v>340</v>
      </c>
      <c r="N44" t="s">
        <v>445</v>
      </c>
      <c r="O44" t="s">
        <v>339</v>
      </c>
      <c r="P44" t="s">
        <v>1315</v>
      </c>
      <c r="Q44" t="s">
        <v>413</v>
      </c>
      <c r="R44" t="s">
        <v>407</v>
      </c>
      <c r="S44" t="s">
        <v>1208</v>
      </c>
      <c r="T44" s="125">
        <v>7.14</v>
      </c>
      <c r="U44" t="s">
        <v>1426</v>
      </c>
      <c r="V44" s="126">
        <v>6.0199999999999997E-2</v>
      </c>
      <c r="W44" s="126">
        <v>5.3400000000000003E-2</v>
      </c>
      <c r="X44" t="s">
        <v>412</v>
      </c>
      <c r="Y44" t="s">
        <v>339</v>
      </c>
      <c r="Z44" s="125">
        <v>4999000</v>
      </c>
      <c r="AA44" s="125">
        <v>1</v>
      </c>
      <c r="AB44" s="125">
        <v>105.33</v>
      </c>
      <c r="AD44" s="125">
        <v>5265.4470000000001</v>
      </c>
      <c r="AH44" s="126">
        <v>0.01</v>
      </c>
      <c r="AI44" s="126">
        <v>6.4999999999999997E-3</v>
      </c>
      <c r="AJ44" s="126">
        <v>4.4999999999999999E-4</v>
      </c>
    </row>
    <row r="45" spans="1:36" x14ac:dyDescent="0.2">
      <c r="A45" t="s">
        <v>1204</v>
      </c>
      <c r="B45" t="s">
        <v>1204</v>
      </c>
      <c r="C45" t="s">
        <v>1300</v>
      </c>
      <c r="D45" t="s">
        <v>1301</v>
      </c>
      <c r="E45" t="s">
        <v>80</v>
      </c>
      <c r="F45" t="s">
        <v>1427</v>
      </c>
      <c r="G45" t="s">
        <v>1428</v>
      </c>
      <c r="H45" t="s">
        <v>312</v>
      </c>
      <c r="I45" t="s">
        <v>754</v>
      </c>
      <c r="J45" t="s">
        <v>204</v>
      </c>
      <c r="K45" t="s">
        <v>204</v>
      </c>
      <c r="L45" t="s">
        <v>325</v>
      </c>
      <c r="M45" t="s">
        <v>340</v>
      </c>
      <c r="N45" t="s">
        <v>2406</v>
      </c>
      <c r="O45" t="s">
        <v>339</v>
      </c>
      <c r="P45" t="s">
        <v>1265</v>
      </c>
      <c r="Q45" t="s">
        <v>413</v>
      </c>
      <c r="R45" t="s">
        <v>407</v>
      </c>
      <c r="S45" t="s">
        <v>1208</v>
      </c>
      <c r="T45" s="125">
        <v>5.37</v>
      </c>
      <c r="U45" t="s">
        <v>1304</v>
      </c>
      <c r="V45" s="126">
        <v>9.1999999999999998E-3</v>
      </c>
      <c r="W45" s="126">
        <v>2.9000000000000001E-2</v>
      </c>
      <c r="X45" t="s">
        <v>412</v>
      </c>
      <c r="Y45" t="s">
        <v>339</v>
      </c>
      <c r="Z45" s="125">
        <v>5000000</v>
      </c>
      <c r="AA45" s="125">
        <v>1</v>
      </c>
      <c r="AB45" s="125">
        <v>103.99</v>
      </c>
      <c r="AC45" s="125">
        <v>53.110999999999997</v>
      </c>
      <c r="AD45" s="125">
        <v>5252.6109999999999</v>
      </c>
      <c r="AH45" s="126">
        <v>2.5000000000000001E-3</v>
      </c>
      <c r="AI45" s="126">
        <v>6.5500000000000003E-3</v>
      </c>
      <c r="AJ45" s="126">
        <v>4.4999999999999999E-4</v>
      </c>
    </row>
    <row r="46" spans="1:36" x14ac:dyDescent="0.2">
      <c r="A46" t="s">
        <v>1204</v>
      </c>
      <c r="B46" t="s">
        <v>1204</v>
      </c>
      <c r="C46" t="s">
        <v>1328</v>
      </c>
      <c r="D46" t="s">
        <v>1329</v>
      </c>
      <c r="E46" t="s">
        <v>80</v>
      </c>
      <c r="F46" t="s">
        <v>1429</v>
      </c>
      <c r="G46" t="s">
        <v>1430</v>
      </c>
      <c r="H46" t="s">
        <v>312</v>
      </c>
      <c r="I46" t="s">
        <v>754</v>
      </c>
      <c r="J46" t="s">
        <v>204</v>
      </c>
      <c r="K46" t="s">
        <v>204</v>
      </c>
      <c r="L46" t="s">
        <v>325</v>
      </c>
      <c r="M46" t="s">
        <v>340</v>
      </c>
      <c r="N46" t="s">
        <v>2406</v>
      </c>
      <c r="O46" t="s">
        <v>339</v>
      </c>
      <c r="P46" t="s">
        <v>1394</v>
      </c>
      <c r="Q46" t="s">
        <v>415</v>
      </c>
      <c r="R46" t="s">
        <v>407</v>
      </c>
      <c r="S46" t="s">
        <v>1208</v>
      </c>
      <c r="T46" s="125">
        <v>4.01</v>
      </c>
      <c r="U46" t="s">
        <v>1431</v>
      </c>
      <c r="V46" s="126">
        <v>1.3299999999999999E-2</v>
      </c>
      <c r="W46" s="126">
        <v>2.7900000000000001E-2</v>
      </c>
      <c r="X46" t="s">
        <v>412</v>
      </c>
      <c r="Y46" t="s">
        <v>339</v>
      </c>
      <c r="Z46" s="125">
        <v>4750000</v>
      </c>
      <c r="AA46" s="125">
        <v>1</v>
      </c>
      <c r="AB46" s="125">
        <v>109.04</v>
      </c>
      <c r="AD46" s="125">
        <v>5179.3999999999996</v>
      </c>
      <c r="AH46" s="126">
        <v>3.8E-3</v>
      </c>
      <c r="AI46" s="126">
        <v>6.4000000000000003E-3</v>
      </c>
      <c r="AJ46" s="126">
        <v>4.4000000000000002E-4</v>
      </c>
    </row>
    <row r="47" spans="1:36" x14ac:dyDescent="0.2">
      <c r="A47" t="s">
        <v>1204</v>
      </c>
      <c r="B47" t="s">
        <v>1204</v>
      </c>
      <c r="C47" t="s">
        <v>1432</v>
      </c>
      <c r="D47" t="s">
        <v>1433</v>
      </c>
      <c r="E47" t="s">
        <v>80</v>
      </c>
      <c r="F47" t="s">
        <v>1434</v>
      </c>
      <c r="G47" t="s">
        <v>1435</v>
      </c>
      <c r="H47" t="s">
        <v>312</v>
      </c>
      <c r="I47" t="s">
        <v>951</v>
      </c>
      <c r="J47" t="s">
        <v>204</v>
      </c>
      <c r="K47" t="s">
        <v>204</v>
      </c>
      <c r="L47" t="s">
        <v>325</v>
      </c>
      <c r="M47" t="s">
        <v>340</v>
      </c>
      <c r="N47" t="s">
        <v>440</v>
      </c>
      <c r="O47" t="s">
        <v>339</v>
      </c>
      <c r="P47" t="s">
        <v>1436</v>
      </c>
      <c r="Q47" t="s">
        <v>413</v>
      </c>
      <c r="R47" t="s">
        <v>407</v>
      </c>
      <c r="S47" t="s">
        <v>1208</v>
      </c>
      <c r="T47" s="125">
        <v>3.02</v>
      </c>
      <c r="U47" t="s">
        <v>1437</v>
      </c>
      <c r="V47" s="126">
        <v>2.5000000000000001E-2</v>
      </c>
      <c r="W47" s="126">
        <v>5.2999999999999999E-2</v>
      </c>
      <c r="X47" t="s">
        <v>412</v>
      </c>
      <c r="Y47" t="s">
        <v>339</v>
      </c>
      <c r="Z47" s="125">
        <v>5400000.0099999998</v>
      </c>
      <c r="AA47" s="125">
        <v>1</v>
      </c>
      <c r="AB47" s="125">
        <v>92.88</v>
      </c>
      <c r="AD47" s="125">
        <v>5015.5200000000004</v>
      </c>
      <c r="AH47" s="126">
        <v>6.3499999999999997E-3</v>
      </c>
      <c r="AI47" s="126">
        <v>6.1900000000000002E-3</v>
      </c>
      <c r="AJ47" s="126">
        <v>4.2999999999999999E-4</v>
      </c>
    </row>
    <row r="48" spans="1:36" x14ac:dyDescent="0.2">
      <c r="A48" t="s">
        <v>1204</v>
      </c>
      <c r="B48" t="s">
        <v>1204</v>
      </c>
      <c r="C48" t="s">
        <v>1438</v>
      </c>
      <c r="D48" t="s">
        <v>1439</v>
      </c>
      <c r="E48" t="s">
        <v>80</v>
      </c>
      <c r="F48" t="s">
        <v>1440</v>
      </c>
      <c r="G48" t="s">
        <v>1441</v>
      </c>
      <c r="H48" t="s">
        <v>312</v>
      </c>
      <c r="I48" t="s">
        <v>951</v>
      </c>
      <c r="J48" t="s">
        <v>204</v>
      </c>
      <c r="K48" t="s">
        <v>204</v>
      </c>
      <c r="L48" t="s">
        <v>325</v>
      </c>
      <c r="M48" t="s">
        <v>340</v>
      </c>
      <c r="N48" t="s">
        <v>456</v>
      </c>
      <c r="O48" t="s">
        <v>339</v>
      </c>
      <c r="P48" t="s">
        <v>1265</v>
      </c>
      <c r="Q48" t="s">
        <v>413</v>
      </c>
      <c r="R48" t="s">
        <v>407</v>
      </c>
      <c r="S48" t="s">
        <v>1208</v>
      </c>
      <c r="T48" s="125">
        <v>7.69</v>
      </c>
      <c r="U48" t="s">
        <v>1442</v>
      </c>
      <c r="V48" s="126">
        <v>2.4E-2</v>
      </c>
      <c r="W48" s="126">
        <v>5.0999999999999997E-2</v>
      </c>
      <c r="X48" t="s">
        <v>412</v>
      </c>
      <c r="Y48" t="s">
        <v>339</v>
      </c>
      <c r="Z48" s="125">
        <v>5999303.5</v>
      </c>
      <c r="AA48" s="125">
        <v>1</v>
      </c>
      <c r="AB48" s="125">
        <v>81.680000000000007</v>
      </c>
      <c r="AD48" s="125">
        <v>4900.2309999999998</v>
      </c>
      <c r="AH48" s="126">
        <v>7.8300000000000002E-3</v>
      </c>
      <c r="AI48" s="126">
        <v>6.0499999999999998E-3</v>
      </c>
      <c r="AJ48" s="126">
        <v>4.2000000000000002E-4</v>
      </c>
    </row>
    <row r="49" spans="1:36" x14ac:dyDescent="0.2">
      <c r="A49" t="s">
        <v>1204</v>
      </c>
      <c r="B49" t="s">
        <v>1204</v>
      </c>
      <c r="C49" t="s">
        <v>1443</v>
      </c>
      <c r="D49" t="s">
        <v>1444</v>
      </c>
      <c r="E49" t="s">
        <v>80</v>
      </c>
      <c r="F49" t="s">
        <v>1445</v>
      </c>
      <c r="G49" t="s">
        <v>1446</v>
      </c>
      <c r="H49" t="s">
        <v>312</v>
      </c>
      <c r="I49" t="s">
        <v>951</v>
      </c>
      <c r="J49" t="s">
        <v>204</v>
      </c>
      <c r="K49" t="s">
        <v>204</v>
      </c>
      <c r="L49" t="s">
        <v>325</v>
      </c>
      <c r="M49" t="s">
        <v>340</v>
      </c>
      <c r="N49" t="s">
        <v>2406</v>
      </c>
      <c r="O49" t="s">
        <v>339</v>
      </c>
      <c r="P49" t="s">
        <v>1400</v>
      </c>
      <c r="Q49" t="s">
        <v>413</v>
      </c>
      <c r="R49" t="s">
        <v>407</v>
      </c>
      <c r="S49" t="s">
        <v>1208</v>
      </c>
      <c r="T49" s="125">
        <v>2.75</v>
      </c>
      <c r="U49" t="s">
        <v>1447</v>
      </c>
      <c r="V49" s="126">
        <v>6.6299999999999998E-2</v>
      </c>
      <c r="W49" s="126">
        <v>5.45E-2</v>
      </c>
      <c r="X49" t="s">
        <v>412</v>
      </c>
      <c r="Y49" t="s">
        <v>339</v>
      </c>
      <c r="Z49" s="125">
        <v>3604822</v>
      </c>
      <c r="AA49" s="125">
        <v>1</v>
      </c>
      <c r="AB49" s="125">
        <v>103.56</v>
      </c>
      <c r="AD49" s="125">
        <v>3733.154</v>
      </c>
      <c r="AH49" s="126">
        <v>2.7200000000000002E-3</v>
      </c>
      <c r="AI49" s="126">
        <v>4.6100000000000004E-3</v>
      </c>
      <c r="AJ49" s="126">
        <v>3.2000000000000003E-4</v>
      </c>
    </row>
    <row r="50" spans="1:36" x14ac:dyDescent="0.2">
      <c r="A50" t="s">
        <v>1204</v>
      </c>
      <c r="B50" t="s">
        <v>1204</v>
      </c>
      <c r="C50" t="s">
        <v>1448</v>
      </c>
      <c r="D50" t="s">
        <v>1449</v>
      </c>
      <c r="E50" t="s">
        <v>80</v>
      </c>
      <c r="F50" t="s">
        <v>1450</v>
      </c>
      <c r="G50" t="s">
        <v>1451</v>
      </c>
      <c r="H50" t="s">
        <v>312</v>
      </c>
      <c r="I50" t="s">
        <v>951</v>
      </c>
      <c r="J50" t="s">
        <v>204</v>
      </c>
      <c r="K50" t="s">
        <v>204</v>
      </c>
      <c r="L50" t="s">
        <v>325</v>
      </c>
      <c r="M50" t="s">
        <v>340</v>
      </c>
      <c r="N50" t="s">
        <v>445</v>
      </c>
      <c r="O50" t="s">
        <v>339</v>
      </c>
      <c r="P50" t="s">
        <v>1359</v>
      </c>
      <c r="Q50" t="s">
        <v>415</v>
      </c>
      <c r="R50" t="s">
        <v>407</v>
      </c>
      <c r="S50" t="s">
        <v>1208</v>
      </c>
      <c r="T50" s="125">
        <v>4.88</v>
      </c>
      <c r="U50" t="s">
        <v>1395</v>
      </c>
      <c r="V50" s="126">
        <v>2.3800000000000002E-2</v>
      </c>
      <c r="W50" s="126">
        <v>5.0500000000000003E-2</v>
      </c>
      <c r="X50" t="s">
        <v>412</v>
      </c>
      <c r="Y50" t="s">
        <v>339</v>
      </c>
      <c r="Z50" s="125">
        <v>2004042</v>
      </c>
      <c r="AA50" s="125">
        <v>1</v>
      </c>
      <c r="AB50" s="125">
        <v>89.75</v>
      </c>
      <c r="AD50" s="125">
        <v>1798.6279999999999</v>
      </c>
      <c r="AH50" s="126">
        <v>3.0799999999999998E-3</v>
      </c>
      <c r="AI50" s="126">
        <v>2.2200000000000002E-3</v>
      </c>
      <c r="AJ50" s="126">
        <v>1.4999999999999999E-4</v>
      </c>
    </row>
    <row r="51" spans="1:36" x14ac:dyDescent="0.2">
      <c r="A51" s="169" t="s">
        <v>2494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51:AJ51"/>
  </mergeCell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J64"/>
  <sheetViews>
    <sheetView rightToLeft="1" topLeftCell="A54" workbookViewId="0">
      <selection activeCell="A63" sqref="A63:X63"/>
    </sheetView>
  </sheetViews>
  <sheetFormatPr defaultColWidth="9" defaultRowHeight="14.25" x14ac:dyDescent="0.2"/>
  <cols>
    <col min="1" max="1" width="13.5" style="4" customWidth="1"/>
    <col min="2" max="2" width="11.625" style="4" customWidth="1"/>
    <col min="3" max="3" width="40.625" style="4" bestFit="1" customWidth="1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4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89</v>
      </c>
      <c r="M1" s="168" t="s">
        <v>70</v>
      </c>
      <c r="N1" s="168" t="s">
        <v>83</v>
      </c>
      <c r="O1" s="168" t="s">
        <v>56</v>
      </c>
      <c r="P1" s="168" t="s">
        <v>59</v>
      </c>
      <c r="Q1" s="168" t="s">
        <v>76</v>
      </c>
      <c r="R1" s="168" t="s">
        <v>61</v>
      </c>
      <c r="S1" s="168" t="s">
        <v>77</v>
      </c>
      <c r="T1" s="168" t="s">
        <v>75</v>
      </c>
      <c r="U1" s="168" t="s">
        <v>63</v>
      </c>
      <c r="V1" s="168" t="s">
        <v>79</v>
      </c>
      <c r="W1" s="168" t="s">
        <v>64</v>
      </c>
      <c r="X1" s="168" t="s">
        <v>65</v>
      </c>
    </row>
    <row r="2" spans="1:24" x14ac:dyDescent="0.2">
      <c r="A2" t="s">
        <v>1204</v>
      </c>
      <c r="B2" t="s">
        <v>1204</v>
      </c>
      <c r="C2" t="s">
        <v>1289</v>
      </c>
      <c r="D2" t="s">
        <v>1290</v>
      </c>
      <c r="E2" t="s">
        <v>80</v>
      </c>
      <c r="F2" t="s">
        <v>1459</v>
      </c>
      <c r="G2" t="s">
        <v>1460</v>
      </c>
      <c r="H2" t="s">
        <v>312</v>
      </c>
      <c r="I2" t="s">
        <v>917</v>
      </c>
      <c r="J2" t="s">
        <v>204</v>
      </c>
      <c r="K2" t="s">
        <v>204</v>
      </c>
      <c r="L2" t="s">
        <v>325</v>
      </c>
      <c r="M2" t="s">
        <v>340</v>
      </c>
      <c r="N2" t="s">
        <v>448</v>
      </c>
      <c r="O2" t="s">
        <v>339</v>
      </c>
      <c r="P2" t="s">
        <v>1208</v>
      </c>
      <c r="Q2" s="125">
        <v>470000</v>
      </c>
      <c r="R2" s="125">
        <v>1</v>
      </c>
      <c r="S2" s="125">
        <v>4402</v>
      </c>
      <c r="T2" s="103"/>
      <c r="U2" s="125">
        <v>20689.400000000001</v>
      </c>
      <c r="V2" s="126">
        <v>3.5E-4</v>
      </c>
      <c r="W2" s="126">
        <v>4.2779999999999999E-2</v>
      </c>
      <c r="X2" s="126">
        <v>1.75E-3</v>
      </c>
    </row>
    <row r="3" spans="1:24" x14ac:dyDescent="0.2">
      <c r="A3" t="s">
        <v>1204</v>
      </c>
      <c r="B3" t="s">
        <v>1204</v>
      </c>
      <c r="C3" t="s">
        <v>1272</v>
      </c>
      <c r="D3" t="s">
        <v>1273</v>
      </c>
      <c r="E3" t="s">
        <v>80</v>
      </c>
      <c r="F3" t="s">
        <v>1461</v>
      </c>
      <c r="G3" t="s">
        <v>1462</v>
      </c>
      <c r="H3" t="s">
        <v>312</v>
      </c>
      <c r="I3" t="s">
        <v>917</v>
      </c>
      <c r="J3" t="s">
        <v>204</v>
      </c>
      <c r="K3" t="s">
        <v>204</v>
      </c>
      <c r="L3" t="s">
        <v>325</v>
      </c>
      <c r="M3" t="s">
        <v>340</v>
      </c>
      <c r="N3" t="s">
        <v>448</v>
      </c>
      <c r="O3" t="s">
        <v>339</v>
      </c>
      <c r="P3" t="s">
        <v>1208</v>
      </c>
      <c r="Q3" s="125">
        <v>442000</v>
      </c>
      <c r="R3" s="125">
        <v>1</v>
      </c>
      <c r="S3" s="125">
        <v>4335</v>
      </c>
      <c r="T3" s="103"/>
      <c r="U3" s="125">
        <v>19160.7</v>
      </c>
      <c r="V3" s="126">
        <v>2.9999999999999997E-4</v>
      </c>
      <c r="W3" s="126">
        <v>3.9620000000000002E-2</v>
      </c>
      <c r="X3" s="126">
        <v>1.6199999999999999E-3</v>
      </c>
    </row>
    <row r="4" spans="1:24" x14ac:dyDescent="0.2">
      <c r="A4" t="s">
        <v>1204</v>
      </c>
      <c r="B4" t="s">
        <v>1204</v>
      </c>
      <c r="C4" t="s">
        <v>1463</v>
      </c>
      <c r="D4" t="s">
        <v>1464</v>
      </c>
      <c r="E4" t="s">
        <v>80</v>
      </c>
      <c r="F4" t="s">
        <v>1465</v>
      </c>
      <c r="G4" t="s">
        <v>1466</v>
      </c>
      <c r="H4" t="s">
        <v>312</v>
      </c>
      <c r="I4" t="s">
        <v>917</v>
      </c>
      <c r="J4" t="s">
        <v>204</v>
      </c>
      <c r="K4" t="s">
        <v>204</v>
      </c>
      <c r="L4" t="s">
        <v>325</v>
      </c>
      <c r="M4" t="s">
        <v>340</v>
      </c>
      <c r="N4" t="s">
        <v>448</v>
      </c>
      <c r="O4" t="s">
        <v>339</v>
      </c>
      <c r="P4" t="s">
        <v>1208</v>
      </c>
      <c r="Q4" s="125">
        <v>114500</v>
      </c>
      <c r="R4" s="125">
        <v>1</v>
      </c>
      <c r="S4" s="125">
        <v>15760</v>
      </c>
      <c r="T4" s="103"/>
      <c r="U4" s="125">
        <v>18045.2</v>
      </c>
      <c r="V4" s="126">
        <v>4.4999999999999999E-4</v>
      </c>
      <c r="W4" s="126">
        <v>3.7310000000000003E-2</v>
      </c>
      <c r="X4" s="126">
        <v>1.5299999999999999E-3</v>
      </c>
    </row>
    <row r="5" spans="1:24" x14ac:dyDescent="0.2">
      <c r="A5" t="s">
        <v>1204</v>
      </c>
      <c r="B5" t="s">
        <v>1204</v>
      </c>
      <c r="C5" t="s">
        <v>1467</v>
      </c>
      <c r="D5" t="s">
        <v>1468</v>
      </c>
      <c r="E5" t="s">
        <v>80</v>
      </c>
      <c r="F5" t="s">
        <v>1469</v>
      </c>
      <c r="G5" t="s">
        <v>1470</v>
      </c>
      <c r="H5" t="s">
        <v>312</v>
      </c>
      <c r="I5" t="s">
        <v>917</v>
      </c>
      <c r="J5" t="s">
        <v>204</v>
      </c>
      <c r="K5" t="s">
        <v>204</v>
      </c>
      <c r="L5" t="s">
        <v>325</v>
      </c>
      <c r="M5" t="s">
        <v>340</v>
      </c>
      <c r="N5" t="s">
        <v>451</v>
      </c>
      <c r="O5" t="s">
        <v>339</v>
      </c>
      <c r="P5" t="s">
        <v>1208</v>
      </c>
      <c r="Q5" s="125">
        <v>41000000</v>
      </c>
      <c r="R5" s="125">
        <v>1</v>
      </c>
      <c r="S5" s="125">
        <v>42.9</v>
      </c>
      <c r="T5" s="103"/>
      <c r="U5" s="125">
        <v>17589</v>
      </c>
      <c r="V5" s="126">
        <v>0.16039</v>
      </c>
      <c r="W5" s="126">
        <v>3.637E-2</v>
      </c>
      <c r="X5" s="126">
        <v>1.49E-3</v>
      </c>
    </row>
    <row r="6" spans="1:24" x14ac:dyDescent="0.2">
      <c r="A6" t="s">
        <v>1204</v>
      </c>
      <c r="B6" t="s">
        <v>1204</v>
      </c>
      <c r="C6" t="s">
        <v>1471</v>
      </c>
      <c r="D6" t="s">
        <v>1472</v>
      </c>
      <c r="E6" t="s">
        <v>80</v>
      </c>
      <c r="F6" t="s">
        <v>1473</v>
      </c>
      <c r="G6" t="s">
        <v>1474</v>
      </c>
      <c r="H6" t="s">
        <v>312</v>
      </c>
      <c r="I6" t="s">
        <v>917</v>
      </c>
      <c r="J6" t="s">
        <v>204</v>
      </c>
      <c r="K6" t="s">
        <v>204</v>
      </c>
      <c r="L6" t="s">
        <v>325</v>
      </c>
      <c r="M6" t="s">
        <v>340</v>
      </c>
      <c r="N6" t="s">
        <v>480</v>
      </c>
      <c r="O6" t="s">
        <v>339</v>
      </c>
      <c r="P6" t="s">
        <v>1208</v>
      </c>
      <c r="Q6" s="125">
        <v>27500</v>
      </c>
      <c r="R6" s="125">
        <v>1</v>
      </c>
      <c r="S6" s="125">
        <v>62120</v>
      </c>
      <c r="T6" s="103"/>
      <c r="U6" s="125">
        <v>17083</v>
      </c>
      <c r="V6" s="126">
        <v>4.2999999999999999E-4</v>
      </c>
      <c r="W6" s="126">
        <v>3.533E-2</v>
      </c>
      <c r="X6" s="126">
        <v>1.4499999999999999E-3</v>
      </c>
    </row>
    <row r="7" spans="1:24" x14ac:dyDescent="0.2">
      <c r="A7" t="s">
        <v>1204</v>
      </c>
      <c r="B7" t="s">
        <v>1204</v>
      </c>
      <c r="C7" t="s">
        <v>1475</v>
      </c>
      <c r="D7" t="s">
        <v>1476</v>
      </c>
      <c r="E7" t="s">
        <v>80</v>
      </c>
      <c r="F7" t="s">
        <v>1477</v>
      </c>
      <c r="G7" t="s">
        <v>1478</v>
      </c>
      <c r="H7" t="s">
        <v>312</v>
      </c>
      <c r="I7" t="s">
        <v>917</v>
      </c>
      <c r="J7" t="s">
        <v>204</v>
      </c>
      <c r="K7" t="s">
        <v>204</v>
      </c>
      <c r="L7" t="s">
        <v>325</v>
      </c>
      <c r="M7" t="s">
        <v>340</v>
      </c>
      <c r="N7" t="s">
        <v>448</v>
      </c>
      <c r="O7" t="s">
        <v>339</v>
      </c>
      <c r="P7" t="s">
        <v>1208</v>
      </c>
      <c r="Q7" s="125">
        <v>600000</v>
      </c>
      <c r="R7" s="125">
        <v>1</v>
      </c>
      <c r="S7" s="125">
        <v>2492</v>
      </c>
      <c r="T7" s="103"/>
      <c r="U7" s="125">
        <v>14952</v>
      </c>
      <c r="V7" s="126">
        <v>4.8999999999999998E-4</v>
      </c>
      <c r="W7" s="126">
        <v>3.092E-2</v>
      </c>
      <c r="X7" s="126">
        <v>1.2700000000000001E-3</v>
      </c>
    </row>
    <row r="8" spans="1:24" x14ac:dyDescent="0.2">
      <c r="A8" t="s">
        <v>1204</v>
      </c>
      <c r="B8" t="s">
        <v>1204</v>
      </c>
      <c r="C8" t="s">
        <v>1479</v>
      </c>
      <c r="D8" t="s">
        <v>1480</v>
      </c>
      <c r="E8" t="s">
        <v>80</v>
      </c>
      <c r="F8" t="s">
        <v>1481</v>
      </c>
      <c r="G8" t="s">
        <v>1482</v>
      </c>
      <c r="H8" t="s">
        <v>312</v>
      </c>
      <c r="I8" t="s">
        <v>917</v>
      </c>
      <c r="J8" t="s">
        <v>204</v>
      </c>
      <c r="K8" t="s">
        <v>204</v>
      </c>
      <c r="L8" t="s">
        <v>325</v>
      </c>
      <c r="M8" t="s">
        <v>340</v>
      </c>
      <c r="N8" t="s">
        <v>467</v>
      </c>
      <c r="O8" t="s">
        <v>339</v>
      </c>
      <c r="P8" t="s">
        <v>1208</v>
      </c>
      <c r="Q8" s="125">
        <v>177000</v>
      </c>
      <c r="R8" s="125">
        <v>1</v>
      </c>
      <c r="S8" s="125">
        <v>8101</v>
      </c>
      <c r="T8" s="103"/>
      <c r="U8" s="125">
        <v>14338.77</v>
      </c>
      <c r="V8" s="126">
        <v>1.6000000000000001E-4</v>
      </c>
      <c r="W8" s="126">
        <v>2.9649999999999999E-2</v>
      </c>
      <c r="X8" s="126">
        <v>1.2199999999999999E-3</v>
      </c>
    </row>
    <row r="9" spans="1:24" x14ac:dyDescent="0.2">
      <c r="A9" t="s">
        <v>1204</v>
      </c>
      <c r="B9" t="s">
        <v>1204</v>
      </c>
      <c r="C9" t="s">
        <v>1483</v>
      </c>
      <c r="D9" t="s">
        <v>1484</v>
      </c>
      <c r="E9" t="s">
        <v>80</v>
      </c>
      <c r="F9" t="s">
        <v>1485</v>
      </c>
      <c r="G9" t="s">
        <v>1486</v>
      </c>
      <c r="H9" t="s">
        <v>312</v>
      </c>
      <c r="I9" t="s">
        <v>917</v>
      </c>
      <c r="J9" t="s">
        <v>204</v>
      </c>
      <c r="K9" t="s">
        <v>204</v>
      </c>
      <c r="L9" t="s">
        <v>325</v>
      </c>
      <c r="M9" t="s">
        <v>340</v>
      </c>
      <c r="N9" t="s">
        <v>458</v>
      </c>
      <c r="O9" t="s">
        <v>339</v>
      </c>
      <c r="P9" t="s">
        <v>1208</v>
      </c>
      <c r="Q9" s="125">
        <v>64500</v>
      </c>
      <c r="R9" s="125">
        <v>1</v>
      </c>
      <c r="S9" s="125">
        <v>18890</v>
      </c>
      <c r="T9" s="103"/>
      <c r="U9" s="125">
        <v>12184.05</v>
      </c>
      <c r="V9" s="126">
        <v>5.9000000000000003E-4</v>
      </c>
      <c r="W9" s="126">
        <v>2.5190000000000001E-2</v>
      </c>
      <c r="X9" s="126">
        <v>1.0300000000000001E-3</v>
      </c>
    </row>
    <row r="10" spans="1:24" x14ac:dyDescent="0.2">
      <c r="A10" t="s">
        <v>1204</v>
      </c>
      <c r="B10" t="s">
        <v>1204</v>
      </c>
      <c r="C10" t="s">
        <v>1487</v>
      </c>
      <c r="D10" t="s">
        <v>1488</v>
      </c>
      <c r="E10" t="s">
        <v>80</v>
      </c>
      <c r="F10" t="s">
        <v>1489</v>
      </c>
      <c r="G10" t="s">
        <v>1490</v>
      </c>
      <c r="H10" t="s">
        <v>312</v>
      </c>
      <c r="I10" t="s">
        <v>917</v>
      </c>
      <c r="J10" t="s">
        <v>204</v>
      </c>
      <c r="K10" t="s">
        <v>204</v>
      </c>
      <c r="L10" t="s">
        <v>325</v>
      </c>
      <c r="M10" t="s">
        <v>340</v>
      </c>
      <c r="N10" t="s">
        <v>458</v>
      </c>
      <c r="O10" t="s">
        <v>339</v>
      </c>
      <c r="P10" t="s">
        <v>1208</v>
      </c>
      <c r="Q10" s="125">
        <v>14912</v>
      </c>
      <c r="R10" s="125">
        <v>1</v>
      </c>
      <c r="S10" s="125">
        <v>71910</v>
      </c>
      <c r="T10" s="103"/>
      <c r="U10" s="125">
        <v>10723.218999999999</v>
      </c>
      <c r="V10" s="126">
        <v>5.1999999999999995E-4</v>
      </c>
      <c r="W10" s="126">
        <v>2.2169999999999999E-2</v>
      </c>
      <c r="X10" s="126">
        <v>9.1E-4</v>
      </c>
    </row>
    <row r="11" spans="1:24" x14ac:dyDescent="0.2">
      <c r="A11" t="s">
        <v>1204</v>
      </c>
      <c r="B11" t="s">
        <v>1204</v>
      </c>
      <c r="C11" t="s">
        <v>1438</v>
      </c>
      <c r="D11" t="s">
        <v>1439</v>
      </c>
      <c r="E11" t="s">
        <v>80</v>
      </c>
      <c r="F11" t="s">
        <v>1491</v>
      </c>
      <c r="G11" t="s">
        <v>1492</v>
      </c>
      <c r="H11" t="s">
        <v>312</v>
      </c>
      <c r="I11" t="s">
        <v>917</v>
      </c>
      <c r="J11" t="s">
        <v>204</v>
      </c>
      <c r="K11" t="s">
        <v>204</v>
      </c>
      <c r="L11" t="s">
        <v>325</v>
      </c>
      <c r="M11" t="s">
        <v>340</v>
      </c>
      <c r="N11" t="s">
        <v>456</v>
      </c>
      <c r="O11" t="s">
        <v>339</v>
      </c>
      <c r="P11" t="s">
        <v>1208</v>
      </c>
      <c r="Q11" s="125">
        <v>591000</v>
      </c>
      <c r="R11" s="125">
        <v>1</v>
      </c>
      <c r="S11" s="125">
        <v>1800</v>
      </c>
      <c r="T11" s="103"/>
      <c r="U11" s="125">
        <v>10638</v>
      </c>
      <c r="V11" s="126">
        <v>4.6000000000000001E-4</v>
      </c>
      <c r="W11" s="126">
        <v>2.1999999999999999E-2</v>
      </c>
      <c r="X11" s="126">
        <v>8.9999999999999998E-4</v>
      </c>
    </row>
    <row r="12" spans="1:24" x14ac:dyDescent="0.2">
      <c r="A12" t="s">
        <v>1204</v>
      </c>
      <c r="B12" t="s">
        <v>1204</v>
      </c>
      <c r="C12" t="s">
        <v>1328</v>
      </c>
      <c r="D12" t="s">
        <v>1329</v>
      </c>
      <c r="E12" t="s">
        <v>80</v>
      </c>
      <c r="F12" t="s">
        <v>1493</v>
      </c>
      <c r="G12" t="s">
        <v>1494</v>
      </c>
      <c r="H12" t="s">
        <v>312</v>
      </c>
      <c r="I12" t="s">
        <v>917</v>
      </c>
      <c r="J12" t="s">
        <v>204</v>
      </c>
      <c r="K12" t="s">
        <v>204</v>
      </c>
      <c r="L12" t="s">
        <v>325</v>
      </c>
      <c r="M12" t="s">
        <v>340</v>
      </c>
      <c r="N12" t="s">
        <v>2406</v>
      </c>
      <c r="O12" t="s">
        <v>339</v>
      </c>
      <c r="P12" t="s">
        <v>1208</v>
      </c>
      <c r="Q12" s="125">
        <v>18100</v>
      </c>
      <c r="R12" s="125">
        <v>1</v>
      </c>
      <c r="S12" s="125">
        <v>54030</v>
      </c>
      <c r="T12" s="103"/>
      <c r="U12" s="125">
        <v>9779.43</v>
      </c>
      <c r="V12" s="126">
        <v>8.4999999999999995E-4</v>
      </c>
      <c r="W12" s="126">
        <v>2.0219999999999998E-2</v>
      </c>
      <c r="X12" s="126">
        <v>8.3000000000000001E-4</v>
      </c>
    </row>
    <row r="13" spans="1:24" x14ac:dyDescent="0.2">
      <c r="A13" t="s">
        <v>1204</v>
      </c>
      <c r="B13" t="s">
        <v>1204</v>
      </c>
      <c r="C13" t="s">
        <v>1495</v>
      </c>
      <c r="D13" t="s">
        <v>1496</v>
      </c>
      <c r="E13" t="s">
        <v>80</v>
      </c>
      <c r="F13" t="s">
        <v>1497</v>
      </c>
      <c r="G13" t="s">
        <v>1498</v>
      </c>
      <c r="H13" t="s">
        <v>312</v>
      </c>
      <c r="I13" t="s">
        <v>917</v>
      </c>
      <c r="J13" t="s">
        <v>204</v>
      </c>
      <c r="K13" t="s">
        <v>204</v>
      </c>
      <c r="L13" t="s">
        <v>325</v>
      </c>
      <c r="M13" t="s">
        <v>340</v>
      </c>
      <c r="N13" t="s">
        <v>445</v>
      </c>
      <c r="O13" t="s">
        <v>339</v>
      </c>
      <c r="P13" t="s">
        <v>1208</v>
      </c>
      <c r="Q13" s="125">
        <v>184000</v>
      </c>
      <c r="R13" s="125">
        <v>1</v>
      </c>
      <c r="S13" s="125">
        <v>5039</v>
      </c>
      <c r="T13" s="125">
        <v>224.32400000000001</v>
      </c>
      <c r="U13" s="125">
        <v>9496.0840000000007</v>
      </c>
      <c r="V13" s="126">
        <v>8.7000000000000001E-4</v>
      </c>
      <c r="W13" s="126">
        <v>2.01E-2</v>
      </c>
      <c r="X13" s="126">
        <v>8.1999999999999998E-4</v>
      </c>
    </row>
    <row r="14" spans="1:24" x14ac:dyDescent="0.2">
      <c r="A14" t="s">
        <v>1204</v>
      </c>
      <c r="B14" t="s">
        <v>1204</v>
      </c>
      <c r="C14" t="s">
        <v>1499</v>
      </c>
      <c r="D14" t="s">
        <v>1500</v>
      </c>
      <c r="E14" t="s">
        <v>80</v>
      </c>
      <c r="F14" t="s">
        <v>1501</v>
      </c>
      <c r="G14" t="s">
        <v>1502</v>
      </c>
      <c r="H14" t="s">
        <v>312</v>
      </c>
      <c r="I14" t="s">
        <v>917</v>
      </c>
      <c r="J14" t="s">
        <v>204</v>
      </c>
      <c r="K14" t="s">
        <v>204</v>
      </c>
      <c r="L14" t="s">
        <v>325</v>
      </c>
      <c r="M14" t="s">
        <v>340</v>
      </c>
      <c r="N14" t="s">
        <v>445</v>
      </c>
      <c r="O14" t="s">
        <v>339</v>
      </c>
      <c r="P14" t="s">
        <v>1208</v>
      </c>
      <c r="Q14" s="125">
        <v>106000</v>
      </c>
      <c r="R14" s="125">
        <v>1</v>
      </c>
      <c r="S14" s="125">
        <v>8570</v>
      </c>
      <c r="T14" s="103"/>
      <c r="U14" s="125">
        <v>9084.2000000000007</v>
      </c>
      <c r="V14" s="126">
        <v>1.4300000000000001E-3</v>
      </c>
      <c r="W14" s="126">
        <v>1.8780000000000002E-2</v>
      </c>
      <c r="X14" s="126">
        <v>7.6999999999999996E-4</v>
      </c>
    </row>
    <row r="15" spans="1:24" x14ac:dyDescent="0.2">
      <c r="A15" t="s">
        <v>1204</v>
      </c>
      <c r="B15" t="s">
        <v>1204</v>
      </c>
      <c r="C15" t="s">
        <v>1452</v>
      </c>
      <c r="D15" t="s">
        <v>1453</v>
      </c>
      <c r="E15" t="s">
        <v>80</v>
      </c>
      <c r="F15" t="s">
        <v>1503</v>
      </c>
      <c r="G15" t="s">
        <v>1504</v>
      </c>
      <c r="H15" t="s">
        <v>312</v>
      </c>
      <c r="I15" t="s">
        <v>917</v>
      </c>
      <c r="J15" t="s">
        <v>204</v>
      </c>
      <c r="K15" t="s">
        <v>204</v>
      </c>
      <c r="L15" t="s">
        <v>325</v>
      </c>
      <c r="M15" t="s">
        <v>340</v>
      </c>
      <c r="N15" t="s">
        <v>446</v>
      </c>
      <c r="O15" t="s">
        <v>339</v>
      </c>
      <c r="P15" t="s">
        <v>1208</v>
      </c>
      <c r="Q15" s="125">
        <v>9000</v>
      </c>
      <c r="R15" s="125">
        <v>1</v>
      </c>
      <c r="S15" s="125">
        <v>95300</v>
      </c>
      <c r="T15" s="125">
        <v>16.411999999999999</v>
      </c>
      <c r="U15" s="125">
        <v>8593.4120000000003</v>
      </c>
      <c r="V15" s="126">
        <v>2.0000000000000001E-4</v>
      </c>
      <c r="W15" s="126">
        <v>1.78E-2</v>
      </c>
      <c r="X15" s="126">
        <v>7.2999999999999996E-4</v>
      </c>
    </row>
    <row r="16" spans="1:24" x14ac:dyDescent="0.2">
      <c r="A16" t="s">
        <v>1204</v>
      </c>
      <c r="B16" t="s">
        <v>1204</v>
      </c>
      <c r="C16" t="s">
        <v>1458</v>
      </c>
      <c r="D16" t="s">
        <v>1505</v>
      </c>
      <c r="E16" t="s">
        <v>80</v>
      </c>
      <c r="F16" t="s">
        <v>1506</v>
      </c>
      <c r="G16" t="s">
        <v>1507</v>
      </c>
      <c r="H16" t="s">
        <v>312</v>
      </c>
      <c r="I16" t="s">
        <v>917</v>
      </c>
      <c r="J16" t="s">
        <v>204</v>
      </c>
      <c r="K16" t="s">
        <v>204</v>
      </c>
      <c r="L16" t="s">
        <v>325</v>
      </c>
      <c r="M16" t="s">
        <v>340</v>
      </c>
      <c r="N16" t="s">
        <v>454</v>
      </c>
      <c r="O16" t="s">
        <v>339</v>
      </c>
      <c r="P16" t="s">
        <v>1208</v>
      </c>
      <c r="Q16" s="125">
        <v>16700</v>
      </c>
      <c r="R16" s="125">
        <v>1</v>
      </c>
      <c r="S16" s="125">
        <v>47500</v>
      </c>
      <c r="T16" s="103"/>
      <c r="U16" s="125">
        <v>7932.5</v>
      </c>
      <c r="V16" s="126">
        <v>9.1E-4</v>
      </c>
      <c r="W16" s="126">
        <v>1.6400000000000001E-2</v>
      </c>
      <c r="X16" s="126">
        <v>6.7000000000000002E-4</v>
      </c>
    </row>
    <row r="17" spans="1:24" x14ac:dyDescent="0.2">
      <c r="A17" t="s">
        <v>1204</v>
      </c>
      <c r="B17" t="s">
        <v>1204</v>
      </c>
      <c r="C17" t="s">
        <v>1317</v>
      </c>
      <c r="D17" t="s">
        <v>1318</v>
      </c>
      <c r="E17" t="s">
        <v>80</v>
      </c>
      <c r="F17" t="s">
        <v>1508</v>
      </c>
      <c r="G17" t="s">
        <v>1509</v>
      </c>
      <c r="H17" t="s">
        <v>312</v>
      </c>
      <c r="I17" t="s">
        <v>917</v>
      </c>
      <c r="J17" t="s">
        <v>204</v>
      </c>
      <c r="K17" t="s">
        <v>204</v>
      </c>
      <c r="L17" t="s">
        <v>325</v>
      </c>
      <c r="M17" t="s">
        <v>340</v>
      </c>
      <c r="N17" t="s">
        <v>484</v>
      </c>
      <c r="O17" t="s">
        <v>339</v>
      </c>
      <c r="P17" t="s">
        <v>1208</v>
      </c>
      <c r="Q17" s="125">
        <v>1400000</v>
      </c>
      <c r="R17" s="125">
        <v>1</v>
      </c>
      <c r="S17" s="125">
        <v>519</v>
      </c>
      <c r="T17" s="103"/>
      <c r="U17" s="125">
        <v>7266</v>
      </c>
      <c r="V17" s="126">
        <v>5.1000000000000004E-4</v>
      </c>
      <c r="W17" s="126">
        <v>1.503E-2</v>
      </c>
      <c r="X17" s="126">
        <v>6.2E-4</v>
      </c>
    </row>
    <row r="18" spans="1:24" x14ac:dyDescent="0.2">
      <c r="A18" t="s">
        <v>1204</v>
      </c>
      <c r="B18" t="s">
        <v>1204</v>
      </c>
      <c r="C18" t="s">
        <v>1510</v>
      </c>
      <c r="D18" t="s">
        <v>1511</v>
      </c>
      <c r="E18" t="s">
        <v>80</v>
      </c>
      <c r="F18" t="s">
        <v>1512</v>
      </c>
      <c r="G18" t="s">
        <v>1513</v>
      </c>
      <c r="H18" t="s">
        <v>312</v>
      </c>
      <c r="I18" t="s">
        <v>917</v>
      </c>
      <c r="J18" t="s">
        <v>204</v>
      </c>
      <c r="K18" t="s">
        <v>204</v>
      </c>
      <c r="L18" t="s">
        <v>325</v>
      </c>
      <c r="M18" t="s">
        <v>340</v>
      </c>
      <c r="N18" t="s">
        <v>2406</v>
      </c>
      <c r="O18" t="s">
        <v>339</v>
      </c>
      <c r="P18" t="s">
        <v>1208</v>
      </c>
      <c r="Q18" s="125">
        <v>20800</v>
      </c>
      <c r="R18" s="125">
        <v>1</v>
      </c>
      <c r="S18" s="125">
        <v>34770</v>
      </c>
      <c r="T18" s="102"/>
      <c r="U18" s="125">
        <v>7232.16</v>
      </c>
      <c r="V18" s="126">
        <v>1.7099999999999999E-3</v>
      </c>
      <c r="W18" s="126">
        <v>1.4959999999999999E-2</v>
      </c>
      <c r="X18" s="126">
        <v>6.0999999999999997E-4</v>
      </c>
    </row>
    <row r="19" spans="1:24" x14ac:dyDescent="0.2">
      <c r="A19" t="s">
        <v>1204</v>
      </c>
      <c r="B19" t="s">
        <v>1204</v>
      </c>
      <c r="C19" t="s">
        <v>1514</v>
      </c>
      <c r="D19" t="s">
        <v>1515</v>
      </c>
      <c r="E19" t="s">
        <v>80</v>
      </c>
      <c r="F19" t="s">
        <v>1516</v>
      </c>
      <c r="G19" t="s">
        <v>1517</v>
      </c>
      <c r="H19" t="s">
        <v>312</v>
      </c>
      <c r="I19" t="s">
        <v>917</v>
      </c>
      <c r="J19" t="s">
        <v>204</v>
      </c>
      <c r="K19" t="s">
        <v>204</v>
      </c>
      <c r="L19" t="s">
        <v>325</v>
      </c>
      <c r="M19" t="s">
        <v>340</v>
      </c>
      <c r="N19" t="s">
        <v>458</v>
      </c>
      <c r="O19" t="s">
        <v>339</v>
      </c>
      <c r="P19" t="s">
        <v>1208</v>
      </c>
      <c r="Q19" s="125">
        <v>17700</v>
      </c>
      <c r="R19" s="125">
        <v>1</v>
      </c>
      <c r="S19" s="125">
        <v>29800</v>
      </c>
      <c r="T19" s="102"/>
      <c r="U19" s="125">
        <v>5274.6</v>
      </c>
      <c r="V19" s="126">
        <v>4.0000000000000002E-4</v>
      </c>
      <c r="W19" s="126">
        <v>1.091E-2</v>
      </c>
      <c r="X19" s="126">
        <v>4.4999999999999999E-4</v>
      </c>
    </row>
    <row r="20" spans="1:24" x14ac:dyDescent="0.2">
      <c r="A20" t="s">
        <v>1204</v>
      </c>
      <c r="B20" t="s">
        <v>1204</v>
      </c>
      <c r="C20" t="s">
        <v>1373</v>
      </c>
      <c r="D20" t="s">
        <v>1374</v>
      </c>
      <c r="E20" t="s">
        <v>80</v>
      </c>
      <c r="F20" t="s">
        <v>1518</v>
      </c>
      <c r="G20" t="s">
        <v>1519</v>
      </c>
      <c r="H20" t="s">
        <v>312</v>
      </c>
      <c r="I20" t="s">
        <v>917</v>
      </c>
      <c r="J20" t="s">
        <v>204</v>
      </c>
      <c r="K20" t="s">
        <v>204</v>
      </c>
      <c r="L20" t="s">
        <v>325</v>
      </c>
      <c r="M20" t="s">
        <v>340</v>
      </c>
      <c r="N20" t="s">
        <v>459</v>
      </c>
      <c r="O20" t="s">
        <v>339</v>
      </c>
      <c r="P20" t="s">
        <v>1208</v>
      </c>
      <c r="Q20" s="125">
        <v>75000</v>
      </c>
      <c r="R20" s="125">
        <v>1</v>
      </c>
      <c r="S20" s="125">
        <v>6896</v>
      </c>
      <c r="T20" s="102"/>
      <c r="U20" s="125">
        <v>5172</v>
      </c>
      <c r="V20" s="126">
        <v>6.4000000000000005E-4</v>
      </c>
      <c r="W20" s="126">
        <v>1.069E-2</v>
      </c>
      <c r="X20" s="126">
        <v>4.4000000000000002E-4</v>
      </c>
    </row>
    <row r="21" spans="1:24" x14ac:dyDescent="0.2">
      <c r="A21" t="s">
        <v>1204</v>
      </c>
      <c r="B21" t="s">
        <v>1204</v>
      </c>
      <c r="C21" t="s">
        <v>1520</v>
      </c>
      <c r="D21" t="s">
        <v>1521</v>
      </c>
      <c r="E21" t="s">
        <v>80</v>
      </c>
      <c r="F21" t="s">
        <v>1522</v>
      </c>
      <c r="G21" t="s">
        <v>1523</v>
      </c>
      <c r="H21" t="s">
        <v>312</v>
      </c>
      <c r="I21" t="s">
        <v>917</v>
      </c>
      <c r="J21" t="s">
        <v>204</v>
      </c>
      <c r="K21" t="s">
        <v>204</v>
      </c>
      <c r="L21" t="s">
        <v>325</v>
      </c>
      <c r="M21" t="s">
        <v>340</v>
      </c>
      <c r="N21" t="s">
        <v>448</v>
      </c>
      <c r="O21" t="s">
        <v>339</v>
      </c>
      <c r="P21" t="s">
        <v>1208</v>
      </c>
      <c r="Q21" s="125">
        <v>27000</v>
      </c>
      <c r="R21" s="125">
        <v>1</v>
      </c>
      <c r="S21" s="125">
        <v>17940</v>
      </c>
      <c r="T21" s="102"/>
      <c r="U21" s="125">
        <v>4843.8</v>
      </c>
      <c r="V21" s="126">
        <v>2.7E-4</v>
      </c>
      <c r="W21" s="126">
        <v>1.0019999999999999E-2</v>
      </c>
      <c r="X21" s="126">
        <v>4.0999999999999999E-4</v>
      </c>
    </row>
    <row r="22" spans="1:24" x14ac:dyDescent="0.2">
      <c r="A22" t="s">
        <v>1204</v>
      </c>
      <c r="B22" t="s">
        <v>1204</v>
      </c>
      <c r="C22" t="s">
        <v>1524</v>
      </c>
      <c r="D22" t="s">
        <v>1525</v>
      </c>
      <c r="E22" t="s">
        <v>80</v>
      </c>
      <c r="F22" t="s">
        <v>1526</v>
      </c>
      <c r="G22" t="s">
        <v>1527</v>
      </c>
      <c r="H22" t="s">
        <v>312</v>
      </c>
      <c r="I22" t="s">
        <v>917</v>
      </c>
      <c r="J22" t="s">
        <v>204</v>
      </c>
      <c r="K22" t="s">
        <v>204</v>
      </c>
      <c r="L22" t="s">
        <v>325</v>
      </c>
      <c r="M22" t="s">
        <v>340</v>
      </c>
      <c r="N22" t="s">
        <v>484</v>
      </c>
      <c r="O22" t="s">
        <v>339</v>
      </c>
      <c r="P22" t="s">
        <v>1208</v>
      </c>
      <c r="Q22" s="125">
        <v>227813</v>
      </c>
      <c r="R22" s="125">
        <v>1</v>
      </c>
      <c r="S22" s="125">
        <v>2073</v>
      </c>
      <c r="T22" s="102"/>
      <c r="U22" s="125">
        <v>4722.5630000000001</v>
      </c>
      <c r="V22" s="126">
        <v>1.39E-3</v>
      </c>
      <c r="W22" s="126">
        <v>9.7699999999999992E-3</v>
      </c>
      <c r="X22" s="126">
        <v>4.0000000000000002E-4</v>
      </c>
    </row>
    <row r="23" spans="1:24" x14ac:dyDescent="0.2">
      <c r="A23" t="s">
        <v>1204</v>
      </c>
      <c r="B23" t="s">
        <v>1204</v>
      </c>
      <c r="C23" t="s">
        <v>1248</v>
      </c>
      <c r="D23" t="s">
        <v>1249</v>
      </c>
      <c r="E23" t="s">
        <v>80</v>
      </c>
      <c r="F23" t="s">
        <v>1528</v>
      </c>
      <c r="G23" t="s">
        <v>1529</v>
      </c>
      <c r="H23" t="s">
        <v>312</v>
      </c>
      <c r="I23" t="s">
        <v>917</v>
      </c>
      <c r="J23" t="s">
        <v>204</v>
      </c>
      <c r="K23" t="s">
        <v>204</v>
      </c>
      <c r="L23" t="s">
        <v>325</v>
      </c>
      <c r="M23" t="s">
        <v>340</v>
      </c>
      <c r="N23" t="s">
        <v>2406</v>
      </c>
      <c r="O23" t="s">
        <v>339</v>
      </c>
      <c r="P23" t="s">
        <v>1208</v>
      </c>
      <c r="Q23" s="125">
        <v>15420</v>
      </c>
      <c r="R23" s="125">
        <v>1</v>
      </c>
      <c r="S23" s="125">
        <v>30090</v>
      </c>
      <c r="T23" s="102"/>
      <c r="U23" s="125">
        <v>4639.8779999999997</v>
      </c>
      <c r="V23" s="126">
        <v>1.2999999999999999E-4</v>
      </c>
      <c r="W23" s="126">
        <v>9.5899999999999996E-3</v>
      </c>
      <c r="X23" s="126">
        <v>3.8999999999999999E-4</v>
      </c>
    </row>
    <row r="24" spans="1:24" x14ac:dyDescent="0.2">
      <c r="A24" t="s">
        <v>1204</v>
      </c>
      <c r="B24" t="s">
        <v>1204</v>
      </c>
      <c r="C24" t="s">
        <v>1530</v>
      </c>
      <c r="D24" t="s">
        <v>1531</v>
      </c>
      <c r="E24" t="s">
        <v>80</v>
      </c>
      <c r="F24" t="s">
        <v>1532</v>
      </c>
      <c r="G24" t="s">
        <v>1533</v>
      </c>
      <c r="H24" t="s">
        <v>312</v>
      </c>
      <c r="I24" t="s">
        <v>917</v>
      </c>
      <c r="J24" t="s">
        <v>204</v>
      </c>
      <c r="K24" t="s">
        <v>204</v>
      </c>
      <c r="L24" t="s">
        <v>325</v>
      </c>
      <c r="M24" t="s">
        <v>340</v>
      </c>
      <c r="N24" t="s">
        <v>2407</v>
      </c>
      <c r="O24" t="s">
        <v>339</v>
      </c>
      <c r="P24" t="s">
        <v>1208</v>
      </c>
      <c r="Q24" s="125">
        <v>82500</v>
      </c>
      <c r="R24" s="125">
        <v>1</v>
      </c>
      <c r="S24" s="125">
        <v>5600</v>
      </c>
      <c r="T24" s="102"/>
      <c r="U24" s="125">
        <v>4620</v>
      </c>
      <c r="V24" s="126">
        <v>1.1199999999999999E-3</v>
      </c>
      <c r="W24" s="126">
        <v>9.5499999999999995E-3</v>
      </c>
      <c r="X24" s="126">
        <v>3.8999999999999999E-4</v>
      </c>
    </row>
    <row r="25" spans="1:24" x14ac:dyDescent="0.2">
      <c r="A25" t="s">
        <v>1204</v>
      </c>
      <c r="B25" t="s">
        <v>1204</v>
      </c>
      <c r="C25" t="s">
        <v>1534</v>
      </c>
      <c r="D25" t="s">
        <v>1535</v>
      </c>
      <c r="E25" t="s">
        <v>80</v>
      </c>
      <c r="F25" t="s">
        <v>1536</v>
      </c>
      <c r="G25" t="s">
        <v>1537</v>
      </c>
      <c r="H25" t="s">
        <v>312</v>
      </c>
      <c r="I25" t="s">
        <v>917</v>
      </c>
      <c r="J25" t="s">
        <v>204</v>
      </c>
      <c r="K25" t="s">
        <v>204</v>
      </c>
      <c r="L25" t="s">
        <v>325</v>
      </c>
      <c r="M25" t="s">
        <v>340</v>
      </c>
      <c r="N25" t="s">
        <v>437</v>
      </c>
      <c r="O25" t="s">
        <v>339</v>
      </c>
      <c r="P25" t="s">
        <v>1208</v>
      </c>
      <c r="Q25" s="125">
        <v>22657</v>
      </c>
      <c r="R25" s="125">
        <v>1</v>
      </c>
      <c r="S25" s="125">
        <v>20100</v>
      </c>
      <c r="T25" s="102"/>
      <c r="U25" s="125">
        <v>4554.0569999999998</v>
      </c>
      <c r="V25" s="126">
        <v>8.8000000000000003E-4</v>
      </c>
      <c r="W25" s="126">
        <v>9.4199999999999996E-3</v>
      </c>
      <c r="X25" s="126">
        <v>3.8999999999999999E-4</v>
      </c>
    </row>
    <row r="26" spans="1:24" x14ac:dyDescent="0.2">
      <c r="A26" t="s">
        <v>1204</v>
      </c>
      <c r="B26" t="s">
        <v>1204</v>
      </c>
      <c r="C26" t="s">
        <v>1538</v>
      </c>
      <c r="D26" t="s">
        <v>1539</v>
      </c>
      <c r="E26" t="s">
        <v>80</v>
      </c>
      <c r="F26" t="s">
        <v>1540</v>
      </c>
      <c r="G26" t="s">
        <v>1541</v>
      </c>
      <c r="H26" t="s">
        <v>312</v>
      </c>
      <c r="I26" t="s">
        <v>917</v>
      </c>
      <c r="J26" t="s">
        <v>204</v>
      </c>
      <c r="K26" t="s">
        <v>204</v>
      </c>
      <c r="L26" t="s">
        <v>325</v>
      </c>
      <c r="M26" t="s">
        <v>340</v>
      </c>
      <c r="N26" t="s">
        <v>475</v>
      </c>
      <c r="O26" t="s">
        <v>339</v>
      </c>
      <c r="P26" t="s">
        <v>1208</v>
      </c>
      <c r="Q26" s="125">
        <v>18000</v>
      </c>
      <c r="R26" s="125">
        <v>1</v>
      </c>
      <c r="S26" s="125">
        <v>24720</v>
      </c>
      <c r="T26" s="102"/>
      <c r="U26" s="125">
        <v>4449.6000000000004</v>
      </c>
      <c r="V26" s="126">
        <v>1.31E-3</v>
      </c>
      <c r="W26" s="126">
        <v>9.1999999999999998E-3</v>
      </c>
      <c r="X26" s="126">
        <v>3.8000000000000002E-4</v>
      </c>
    </row>
    <row r="27" spans="1:24" x14ac:dyDescent="0.2">
      <c r="A27" t="s">
        <v>1204</v>
      </c>
      <c r="B27" t="s">
        <v>1204</v>
      </c>
      <c r="C27" t="s">
        <v>1542</v>
      </c>
      <c r="D27" t="s">
        <v>1543</v>
      </c>
      <c r="E27" t="s">
        <v>80</v>
      </c>
      <c r="F27" t="s">
        <v>1544</v>
      </c>
      <c r="G27" t="s">
        <v>1545</v>
      </c>
      <c r="H27" t="s">
        <v>312</v>
      </c>
      <c r="I27" t="s">
        <v>917</v>
      </c>
      <c r="J27" t="s">
        <v>204</v>
      </c>
      <c r="K27" t="s">
        <v>204</v>
      </c>
      <c r="L27" t="s">
        <v>325</v>
      </c>
      <c r="M27" t="s">
        <v>340</v>
      </c>
      <c r="N27" t="s">
        <v>2406</v>
      </c>
      <c r="O27" t="s">
        <v>339</v>
      </c>
      <c r="P27" t="s">
        <v>1208</v>
      </c>
      <c r="Q27" s="125">
        <v>2236000</v>
      </c>
      <c r="R27" s="125">
        <v>1</v>
      </c>
      <c r="S27" s="125">
        <v>198</v>
      </c>
      <c r="T27" s="102"/>
      <c r="U27" s="125">
        <v>4427.28</v>
      </c>
      <c r="V27" s="126">
        <v>3.2399999999999998E-3</v>
      </c>
      <c r="W27" s="126">
        <v>9.1500000000000001E-3</v>
      </c>
      <c r="X27" s="126">
        <v>3.8000000000000002E-4</v>
      </c>
    </row>
    <row r="28" spans="1:24" x14ac:dyDescent="0.2">
      <c r="A28" t="s">
        <v>1204</v>
      </c>
      <c r="B28" t="s">
        <v>1204</v>
      </c>
      <c r="C28" t="s">
        <v>1455</v>
      </c>
      <c r="D28" t="s">
        <v>1456</v>
      </c>
      <c r="E28" t="s">
        <v>80</v>
      </c>
      <c r="F28" t="s">
        <v>1546</v>
      </c>
      <c r="G28" t="s">
        <v>1547</v>
      </c>
      <c r="H28" t="s">
        <v>312</v>
      </c>
      <c r="I28" t="s">
        <v>917</v>
      </c>
      <c r="J28" t="s">
        <v>204</v>
      </c>
      <c r="K28" t="s">
        <v>204</v>
      </c>
      <c r="L28" t="s">
        <v>325</v>
      </c>
      <c r="M28" t="s">
        <v>340</v>
      </c>
      <c r="N28" t="s">
        <v>440</v>
      </c>
      <c r="O28" t="s">
        <v>339</v>
      </c>
      <c r="P28" t="s">
        <v>1208</v>
      </c>
      <c r="Q28" s="125">
        <v>8200</v>
      </c>
      <c r="R28" s="125">
        <v>1</v>
      </c>
      <c r="S28" s="125">
        <v>45100</v>
      </c>
      <c r="T28" s="125">
        <v>57.573999999999998</v>
      </c>
      <c r="U28" s="125">
        <v>3755.7739999999999</v>
      </c>
      <c r="V28" s="126">
        <v>7.6999999999999996E-4</v>
      </c>
      <c r="W28" s="126">
        <v>7.8899999999999994E-3</v>
      </c>
      <c r="X28" s="126">
        <v>3.2000000000000003E-4</v>
      </c>
    </row>
    <row r="29" spans="1:24" x14ac:dyDescent="0.2">
      <c r="A29" t="s">
        <v>1204</v>
      </c>
      <c r="B29" t="s">
        <v>1204</v>
      </c>
      <c r="C29" t="s">
        <v>1548</v>
      </c>
      <c r="D29" t="s">
        <v>1549</v>
      </c>
      <c r="E29" t="s">
        <v>80</v>
      </c>
      <c r="F29" t="s">
        <v>1550</v>
      </c>
      <c r="G29" t="s">
        <v>1551</v>
      </c>
      <c r="H29" t="s">
        <v>312</v>
      </c>
      <c r="I29" t="s">
        <v>917</v>
      </c>
      <c r="J29" t="s">
        <v>204</v>
      </c>
      <c r="K29" t="s">
        <v>204</v>
      </c>
      <c r="L29" t="s">
        <v>325</v>
      </c>
      <c r="M29" t="s">
        <v>340</v>
      </c>
      <c r="N29" t="s">
        <v>2406</v>
      </c>
      <c r="O29" t="s">
        <v>338</v>
      </c>
      <c r="P29" t="s">
        <v>1208</v>
      </c>
      <c r="Q29" s="125">
        <v>78592</v>
      </c>
      <c r="R29" s="125">
        <v>1</v>
      </c>
      <c r="S29" s="125">
        <v>1919</v>
      </c>
      <c r="T29" s="102"/>
      <c r="U29" s="125">
        <v>1508.18</v>
      </c>
      <c r="V29" s="126">
        <v>4.2000000000000002E-4</v>
      </c>
      <c r="W29" s="126">
        <v>3.1199999999999999E-3</v>
      </c>
      <c r="X29" s="126">
        <v>1.2999999999999999E-4</v>
      </c>
    </row>
    <row r="30" spans="1:24" x14ac:dyDescent="0.2">
      <c r="A30" t="s">
        <v>1204</v>
      </c>
      <c r="B30" t="s">
        <v>1204</v>
      </c>
      <c r="C30" t="s">
        <v>1552</v>
      </c>
      <c r="D30" t="s">
        <v>1553</v>
      </c>
      <c r="E30" t="s">
        <v>80</v>
      </c>
      <c r="F30" t="s">
        <v>1554</v>
      </c>
      <c r="G30" t="s">
        <v>1555</v>
      </c>
      <c r="H30" t="s">
        <v>312</v>
      </c>
      <c r="I30" t="s">
        <v>917</v>
      </c>
      <c r="J30" t="s">
        <v>204</v>
      </c>
      <c r="K30" t="s">
        <v>204</v>
      </c>
      <c r="L30" t="s">
        <v>325</v>
      </c>
      <c r="M30" t="s">
        <v>340</v>
      </c>
      <c r="N30" t="s">
        <v>471</v>
      </c>
      <c r="O30" t="s">
        <v>339</v>
      </c>
      <c r="P30" t="s">
        <v>1208</v>
      </c>
      <c r="Q30" s="125">
        <v>8853.7999999999993</v>
      </c>
      <c r="R30" s="125">
        <v>1</v>
      </c>
      <c r="S30" s="125">
        <v>6305</v>
      </c>
      <c r="U30" s="125">
        <v>558.23199999999997</v>
      </c>
      <c r="V30" s="126">
        <v>1.0000000000000001E-5</v>
      </c>
      <c r="W30" s="126">
        <v>1.15E-3</v>
      </c>
      <c r="X30" s="126">
        <v>5.0000000000000002E-5</v>
      </c>
    </row>
    <row r="31" spans="1:24" x14ac:dyDescent="0.2">
      <c r="A31" t="s">
        <v>1204</v>
      </c>
      <c r="B31" t="s">
        <v>1204</v>
      </c>
      <c r="C31" t="s">
        <v>1556</v>
      </c>
      <c r="D31" t="s">
        <v>1557</v>
      </c>
      <c r="E31" t="s">
        <v>80</v>
      </c>
      <c r="F31" t="s">
        <v>1558</v>
      </c>
      <c r="G31" t="s">
        <v>1559</v>
      </c>
      <c r="H31" t="s">
        <v>312</v>
      </c>
      <c r="I31" t="s">
        <v>917</v>
      </c>
      <c r="J31" t="s">
        <v>204</v>
      </c>
      <c r="K31" t="s">
        <v>204</v>
      </c>
      <c r="L31" t="s">
        <v>325</v>
      </c>
      <c r="M31" t="s">
        <v>340</v>
      </c>
      <c r="N31" t="s">
        <v>476</v>
      </c>
      <c r="O31" t="s">
        <v>339</v>
      </c>
      <c r="P31" t="s">
        <v>1208</v>
      </c>
      <c r="Q31" s="125">
        <v>0</v>
      </c>
      <c r="R31" s="125">
        <v>1</v>
      </c>
      <c r="S31" s="125">
        <v>0</v>
      </c>
      <c r="T31" s="125">
        <v>16.503</v>
      </c>
      <c r="U31" s="125">
        <v>16.503</v>
      </c>
      <c r="V31" s="129">
        <v>0</v>
      </c>
      <c r="W31" s="126">
        <v>6.9999999999999994E-5</v>
      </c>
      <c r="X31" s="126">
        <v>0</v>
      </c>
    </row>
    <row r="32" spans="1:24" x14ac:dyDescent="0.2">
      <c r="A32" t="s">
        <v>1204</v>
      </c>
      <c r="B32" t="s">
        <v>1204</v>
      </c>
      <c r="C32" t="s">
        <v>1560</v>
      </c>
      <c r="D32" t="s">
        <v>1561</v>
      </c>
      <c r="E32" t="s">
        <v>80</v>
      </c>
      <c r="F32" t="s">
        <v>1562</v>
      </c>
      <c r="G32" t="s">
        <v>1563</v>
      </c>
      <c r="H32" t="s">
        <v>321</v>
      </c>
      <c r="I32" t="s">
        <v>917</v>
      </c>
      <c r="J32" t="s">
        <v>205</v>
      </c>
      <c r="K32" t="s">
        <v>224</v>
      </c>
      <c r="L32" t="s">
        <v>325</v>
      </c>
      <c r="M32" t="s">
        <v>346</v>
      </c>
      <c r="N32" t="s">
        <v>458</v>
      </c>
      <c r="O32" t="s">
        <v>339</v>
      </c>
      <c r="P32" t="s">
        <v>1209</v>
      </c>
      <c r="Q32" s="125">
        <v>35200</v>
      </c>
      <c r="R32" s="125">
        <v>3.6469999999999998</v>
      </c>
      <c r="S32" s="125">
        <v>13429</v>
      </c>
      <c r="U32" s="125">
        <v>17239.398000000001</v>
      </c>
      <c r="V32" s="126">
        <v>0</v>
      </c>
      <c r="W32" s="126">
        <v>3.5650000000000001E-2</v>
      </c>
      <c r="X32" s="126">
        <v>1.4599999999999999E-3</v>
      </c>
    </row>
    <row r="33" spans="1:24" x14ac:dyDescent="0.2">
      <c r="A33" t="s">
        <v>1204</v>
      </c>
      <c r="B33" t="s">
        <v>1204</v>
      </c>
      <c r="C33" t="s">
        <v>1564</v>
      </c>
      <c r="D33" t="s">
        <v>1565</v>
      </c>
      <c r="E33" t="s">
        <v>80</v>
      </c>
      <c r="F33" t="s">
        <v>1566</v>
      </c>
      <c r="G33" t="s">
        <v>1567</v>
      </c>
      <c r="H33" t="s">
        <v>321</v>
      </c>
      <c r="I33" t="s">
        <v>917</v>
      </c>
      <c r="J33" t="s">
        <v>205</v>
      </c>
      <c r="K33" t="s">
        <v>224</v>
      </c>
      <c r="L33" t="s">
        <v>325</v>
      </c>
      <c r="M33" t="s">
        <v>346</v>
      </c>
      <c r="N33" t="s">
        <v>480</v>
      </c>
      <c r="O33" t="s">
        <v>339</v>
      </c>
      <c r="P33" t="s">
        <v>1209</v>
      </c>
      <c r="Q33" s="125">
        <v>23697</v>
      </c>
      <c r="R33" s="125">
        <v>3.6469999999999998</v>
      </c>
      <c r="S33" s="125">
        <v>18930</v>
      </c>
      <c r="U33" s="125">
        <v>16359.866</v>
      </c>
      <c r="V33" s="126">
        <v>0</v>
      </c>
      <c r="W33" s="126">
        <v>3.3829999999999999E-2</v>
      </c>
      <c r="X33" s="126">
        <v>1.39E-3</v>
      </c>
    </row>
    <row r="34" spans="1:24" x14ac:dyDescent="0.2">
      <c r="A34" t="s">
        <v>1204</v>
      </c>
      <c r="B34" t="s">
        <v>1204</v>
      </c>
      <c r="C34" t="s">
        <v>1568</v>
      </c>
      <c r="D34" t="s">
        <v>1569</v>
      </c>
      <c r="E34" t="s">
        <v>80</v>
      </c>
      <c r="F34" t="s">
        <v>1570</v>
      </c>
      <c r="G34" t="s">
        <v>1571</v>
      </c>
      <c r="H34" t="s">
        <v>321</v>
      </c>
      <c r="I34" t="s">
        <v>917</v>
      </c>
      <c r="J34" t="s">
        <v>205</v>
      </c>
      <c r="K34" t="s">
        <v>224</v>
      </c>
      <c r="L34" t="s">
        <v>325</v>
      </c>
      <c r="M34" t="s">
        <v>346</v>
      </c>
      <c r="N34" t="s">
        <v>462</v>
      </c>
      <c r="O34" t="s">
        <v>339</v>
      </c>
      <c r="P34" t="s">
        <v>1209</v>
      </c>
      <c r="Q34" s="125">
        <v>19738</v>
      </c>
      <c r="R34" s="125">
        <v>3.6469999999999998</v>
      </c>
      <c r="S34" s="125">
        <v>21939</v>
      </c>
      <c r="U34" s="125">
        <v>15792.675999999999</v>
      </c>
      <c r="V34" s="126">
        <v>0</v>
      </c>
      <c r="W34" s="126">
        <v>3.2660000000000002E-2</v>
      </c>
      <c r="X34" s="126">
        <v>1.34E-3</v>
      </c>
    </row>
    <row r="35" spans="1:24" x14ac:dyDescent="0.2">
      <c r="A35" t="s">
        <v>1204</v>
      </c>
      <c r="B35" t="s">
        <v>1204</v>
      </c>
      <c r="C35" t="s">
        <v>1572</v>
      </c>
      <c r="D35" t="s">
        <v>1573</v>
      </c>
      <c r="E35" t="s">
        <v>80</v>
      </c>
      <c r="F35" t="s">
        <v>1574</v>
      </c>
      <c r="G35" t="s">
        <v>1575</v>
      </c>
      <c r="H35" t="s">
        <v>321</v>
      </c>
      <c r="I35" t="s">
        <v>917</v>
      </c>
      <c r="J35" t="s">
        <v>205</v>
      </c>
      <c r="K35" t="s">
        <v>224</v>
      </c>
      <c r="L35" t="s">
        <v>325</v>
      </c>
      <c r="M35" t="s">
        <v>346</v>
      </c>
      <c r="N35" t="s">
        <v>480</v>
      </c>
      <c r="O35" t="s">
        <v>339</v>
      </c>
      <c r="P35" t="s">
        <v>1209</v>
      </c>
      <c r="Q35" s="125">
        <v>16850</v>
      </c>
      <c r="R35" s="125">
        <v>3.6469999999999998</v>
      </c>
      <c r="S35" s="125">
        <v>25042</v>
      </c>
      <c r="U35" s="125">
        <v>15388.797</v>
      </c>
      <c r="V35" s="126">
        <v>0</v>
      </c>
      <c r="W35" s="126">
        <v>3.1820000000000001E-2</v>
      </c>
      <c r="X35" s="126">
        <v>1.2999999999999999E-3</v>
      </c>
    </row>
    <row r="36" spans="1:24" x14ac:dyDescent="0.2">
      <c r="A36" t="s">
        <v>1204</v>
      </c>
      <c r="B36" t="s">
        <v>1204</v>
      </c>
      <c r="C36" t="s">
        <v>1576</v>
      </c>
      <c r="D36" t="s">
        <v>1577</v>
      </c>
      <c r="E36" t="s">
        <v>80</v>
      </c>
      <c r="F36" t="s">
        <v>1578</v>
      </c>
      <c r="G36" t="s">
        <v>1579</v>
      </c>
      <c r="H36" t="s">
        <v>321</v>
      </c>
      <c r="I36" t="s">
        <v>917</v>
      </c>
      <c r="J36" t="s">
        <v>205</v>
      </c>
      <c r="K36" t="s">
        <v>224</v>
      </c>
      <c r="L36" t="s">
        <v>325</v>
      </c>
      <c r="M36" t="s">
        <v>346</v>
      </c>
      <c r="N36" t="s">
        <v>480</v>
      </c>
      <c r="O36" t="s">
        <v>339</v>
      </c>
      <c r="P36" t="s">
        <v>1209</v>
      </c>
      <c r="Q36" s="125">
        <v>6654</v>
      </c>
      <c r="R36" s="125">
        <v>3.6469999999999998</v>
      </c>
      <c r="S36" s="125">
        <v>58551</v>
      </c>
      <c r="U36" s="125">
        <v>14208.652</v>
      </c>
      <c r="V36" s="126">
        <v>0</v>
      </c>
      <c r="W36" s="126">
        <v>2.938E-2</v>
      </c>
      <c r="X36" s="126">
        <v>1.1999999999999999E-3</v>
      </c>
    </row>
    <row r="37" spans="1:24" x14ac:dyDescent="0.2">
      <c r="A37" t="s">
        <v>1204</v>
      </c>
      <c r="B37" t="s">
        <v>1204</v>
      </c>
      <c r="C37" t="s">
        <v>1580</v>
      </c>
      <c r="D37" t="s">
        <v>1581</v>
      </c>
      <c r="E37" t="s">
        <v>80</v>
      </c>
      <c r="F37" t="s">
        <v>1582</v>
      </c>
      <c r="G37" t="s">
        <v>1583</v>
      </c>
      <c r="H37" t="s">
        <v>321</v>
      </c>
      <c r="I37" t="s">
        <v>917</v>
      </c>
      <c r="J37" t="s">
        <v>205</v>
      </c>
      <c r="K37" t="s">
        <v>224</v>
      </c>
      <c r="L37" t="s">
        <v>325</v>
      </c>
      <c r="M37" t="s">
        <v>346</v>
      </c>
      <c r="N37" t="s">
        <v>480</v>
      </c>
      <c r="O37" t="s">
        <v>339</v>
      </c>
      <c r="P37" t="s">
        <v>1209</v>
      </c>
      <c r="Q37" s="125">
        <v>8864</v>
      </c>
      <c r="R37" s="125">
        <v>3.6469999999999998</v>
      </c>
      <c r="S37" s="125">
        <v>42150</v>
      </c>
      <c r="U37" s="125">
        <v>13625.834000000001</v>
      </c>
      <c r="V37" s="126">
        <v>0</v>
      </c>
      <c r="W37" s="126">
        <v>2.818E-2</v>
      </c>
      <c r="X37" s="126">
        <v>1.15E-3</v>
      </c>
    </row>
    <row r="38" spans="1:24" x14ac:dyDescent="0.2">
      <c r="A38" t="s">
        <v>1204</v>
      </c>
      <c r="B38" t="s">
        <v>1204</v>
      </c>
      <c r="C38" t="s">
        <v>1584</v>
      </c>
      <c r="D38" t="s">
        <v>1585</v>
      </c>
      <c r="E38" t="s">
        <v>80</v>
      </c>
      <c r="F38" t="s">
        <v>1586</v>
      </c>
      <c r="G38" t="s">
        <v>1587</v>
      </c>
      <c r="H38" t="s">
        <v>321</v>
      </c>
      <c r="I38" t="s">
        <v>917</v>
      </c>
      <c r="J38" t="s">
        <v>205</v>
      </c>
      <c r="K38" t="s">
        <v>224</v>
      </c>
      <c r="L38" t="s">
        <v>325</v>
      </c>
      <c r="M38" t="s">
        <v>344</v>
      </c>
      <c r="N38" t="s">
        <v>478</v>
      </c>
      <c r="O38" t="s">
        <v>339</v>
      </c>
      <c r="P38" t="s">
        <v>1209</v>
      </c>
      <c r="Q38" s="125">
        <v>7646</v>
      </c>
      <c r="R38" s="125">
        <v>3.6469999999999998</v>
      </c>
      <c r="S38" s="125">
        <v>31604</v>
      </c>
      <c r="U38" s="125">
        <v>8812.7630000000008</v>
      </c>
      <c r="V38" s="126">
        <v>0</v>
      </c>
      <c r="W38" s="126">
        <v>1.822E-2</v>
      </c>
      <c r="X38" s="126">
        <v>7.5000000000000002E-4</v>
      </c>
    </row>
    <row r="39" spans="1:24" x14ac:dyDescent="0.2">
      <c r="A39" t="s">
        <v>1204</v>
      </c>
      <c r="B39" t="s">
        <v>1204</v>
      </c>
      <c r="C39" t="s">
        <v>1588</v>
      </c>
      <c r="D39" t="s">
        <v>1589</v>
      </c>
      <c r="E39" t="s">
        <v>80</v>
      </c>
      <c r="F39" t="s">
        <v>1590</v>
      </c>
      <c r="G39" t="s">
        <v>1591</v>
      </c>
      <c r="H39" t="s">
        <v>321</v>
      </c>
      <c r="I39" t="s">
        <v>917</v>
      </c>
      <c r="J39" t="s">
        <v>205</v>
      </c>
      <c r="K39" t="s">
        <v>224</v>
      </c>
      <c r="L39" t="s">
        <v>325</v>
      </c>
      <c r="M39" t="s">
        <v>344</v>
      </c>
      <c r="N39" t="s">
        <v>445</v>
      </c>
      <c r="O39" t="s">
        <v>339</v>
      </c>
      <c r="P39" t="s">
        <v>1209</v>
      </c>
      <c r="Q39" s="125">
        <v>4957</v>
      </c>
      <c r="R39" s="125">
        <v>3.6469999999999998</v>
      </c>
      <c r="S39" s="125">
        <v>45328</v>
      </c>
      <c r="U39" s="125">
        <v>8194.4770000000008</v>
      </c>
      <c r="V39" s="126">
        <v>0</v>
      </c>
      <c r="W39" s="126">
        <v>1.695E-2</v>
      </c>
      <c r="X39" s="126">
        <v>6.8999999999999997E-4</v>
      </c>
    </row>
    <row r="40" spans="1:24" x14ac:dyDescent="0.2">
      <c r="A40" t="s">
        <v>1204</v>
      </c>
      <c r="B40" t="s">
        <v>1204</v>
      </c>
      <c r="C40" t="s">
        <v>1592</v>
      </c>
      <c r="D40" t="s">
        <v>1593</v>
      </c>
      <c r="E40" t="s">
        <v>80</v>
      </c>
      <c r="F40" t="s">
        <v>1594</v>
      </c>
      <c r="G40" t="s">
        <v>1595</v>
      </c>
      <c r="H40" t="s">
        <v>321</v>
      </c>
      <c r="I40" t="s">
        <v>917</v>
      </c>
      <c r="J40" t="s">
        <v>205</v>
      </c>
      <c r="K40" t="s">
        <v>293</v>
      </c>
      <c r="L40" t="s">
        <v>325</v>
      </c>
      <c r="M40" t="s">
        <v>314</v>
      </c>
      <c r="N40" t="s">
        <v>2407</v>
      </c>
      <c r="O40" t="s">
        <v>339</v>
      </c>
      <c r="P40" t="s">
        <v>1210</v>
      </c>
      <c r="Q40" s="125">
        <v>2079208</v>
      </c>
      <c r="R40" s="125">
        <v>3.7959999999999998</v>
      </c>
      <c r="S40" s="125">
        <v>102</v>
      </c>
      <c r="U40" s="125">
        <v>8051.375</v>
      </c>
      <c r="V40" s="126">
        <v>5.679E-2</v>
      </c>
      <c r="W40" s="126">
        <v>1.6650000000000002E-2</v>
      </c>
      <c r="X40" s="126">
        <v>6.8000000000000005E-4</v>
      </c>
    </row>
    <row r="41" spans="1:24" x14ac:dyDescent="0.2">
      <c r="A41" t="s">
        <v>1204</v>
      </c>
      <c r="B41" t="s">
        <v>1204</v>
      </c>
      <c r="C41" t="s">
        <v>1596</v>
      </c>
      <c r="D41" t="s">
        <v>1597</v>
      </c>
      <c r="E41" t="s">
        <v>80</v>
      </c>
      <c r="F41" t="s">
        <v>1598</v>
      </c>
      <c r="G41" t="s">
        <v>1599</v>
      </c>
      <c r="H41" t="s">
        <v>321</v>
      </c>
      <c r="I41" t="s">
        <v>917</v>
      </c>
      <c r="J41" t="s">
        <v>205</v>
      </c>
      <c r="K41" t="s">
        <v>224</v>
      </c>
      <c r="L41" t="s">
        <v>325</v>
      </c>
      <c r="M41" t="s">
        <v>346</v>
      </c>
      <c r="N41" t="s">
        <v>569</v>
      </c>
      <c r="O41" t="s">
        <v>339</v>
      </c>
      <c r="P41" t="s">
        <v>1209</v>
      </c>
      <c r="Q41" s="125">
        <v>4800</v>
      </c>
      <c r="R41" s="125">
        <v>3.6469999999999998</v>
      </c>
      <c r="S41" s="125">
        <v>40384</v>
      </c>
      <c r="U41" s="125">
        <v>7069.4620000000004</v>
      </c>
      <c r="V41" s="126">
        <v>0</v>
      </c>
      <c r="W41" s="126">
        <v>1.4619999999999999E-2</v>
      </c>
      <c r="X41" s="126">
        <v>5.9999999999999995E-4</v>
      </c>
    </row>
    <row r="42" spans="1:24" x14ac:dyDescent="0.2">
      <c r="A42" t="s">
        <v>1204</v>
      </c>
      <c r="B42" t="s">
        <v>1204</v>
      </c>
      <c r="C42" t="s">
        <v>1600</v>
      </c>
      <c r="D42" t="s">
        <v>1601</v>
      </c>
      <c r="E42" t="s">
        <v>80</v>
      </c>
      <c r="F42" t="s">
        <v>1602</v>
      </c>
      <c r="G42" t="s">
        <v>1603</v>
      </c>
      <c r="H42" t="s">
        <v>321</v>
      </c>
      <c r="I42" t="s">
        <v>917</v>
      </c>
      <c r="J42" t="s">
        <v>205</v>
      </c>
      <c r="K42" t="s">
        <v>233</v>
      </c>
      <c r="L42" t="s">
        <v>325</v>
      </c>
      <c r="M42" t="s">
        <v>374</v>
      </c>
      <c r="N42" t="s">
        <v>454</v>
      </c>
      <c r="O42" t="s">
        <v>339</v>
      </c>
      <c r="P42" t="s">
        <v>1211</v>
      </c>
      <c r="Q42" s="125">
        <v>61241.74</v>
      </c>
      <c r="R42" s="125">
        <v>4.5739999999999998</v>
      </c>
      <c r="S42" s="125">
        <v>2476</v>
      </c>
      <c r="U42" s="125">
        <v>6936.2190000000001</v>
      </c>
      <c r="V42" s="126">
        <v>1.0000000000000001E-5</v>
      </c>
      <c r="W42" s="126">
        <v>1.434E-2</v>
      </c>
      <c r="X42" s="126">
        <v>5.9000000000000003E-4</v>
      </c>
    </row>
    <row r="43" spans="1:24" x14ac:dyDescent="0.2">
      <c r="A43" t="s">
        <v>1204</v>
      </c>
      <c r="B43" t="s">
        <v>1204</v>
      </c>
      <c r="C43" t="s">
        <v>1604</v>
      </c>
      <c r="D43" t="s">
        <v>1605</v>
      </c>
      <c r="E43" t="s">
        <v>80</v>
      </c>
      <c r="F43" t="s">
        <v>1606</v>
      </c>
      <c r="G43" t="s">
        <v>1607</v>
      </c>
      <c r="H43" t="s">
        <v>321</v>
      </c>
      <c r="I43" t="s">
        <v>917</v>
      </c>
      <c r="J43" t="s">
        <v>205</v>
      </c>
      <c r="K43" t="s">
        <v>224</v>
      </c>
      <c r="L43" t="s">
        <v>325</v>
      </c>
      <c r="M43" t="s">
        <v>344</v>
      </c>
      <c r="N43" t="s">
        <v>462</v>
      </c>
      <c r="O43" t="s">
        <v>339</v>
      </c>
      <c r="P43" t="s">
        <v>1209</v>
      </c>
      <c r="Q43" s="125">
        <v>20900</v>
      </c>
      <c r="R43" s="125">
        <v>3.6469999999999998</v>
      </c>
      <c r="S43" s="125">
        <v>9035</v>
      </c>
      <c r="T43" s="125">
        <v>4.109</v>
      </c>
      <c r="U43" s="125">
        <v>6901.6689999999999</v>
      </c>
      <c r="V43" s="126">
        <v>0</v>
      </c>
      <c r="W43" s="126">
        <v>1.4279999999999999E-2</v>
      </c>
      <c r="X43" s="126">
        <v>5.9000000000000003E-4</v>
      </c>
    </row>
    <row r="44" spans="1:24" x14ac:dyDescent="0.2">
      <c r="A44" t="s">
        <v>1204</v>
      </c>
      <c r="B44" t="s">
        <v>1204</v>
      </c>
      <c r="C44" t="s">
        <v>1608</v>
      </c>
      <c r="D44" t="s">
        <v>1609</v>
      </c>
      <c r="E44" t="s">
        <v>80</v>
      </c>
      <c r="F44" t="s">
        <v>1610</v>
      </c>
      <c r="G44" t="s">
        <v>1611</v>
      </c>
      <c r="H44" t="s">
        <v>321</v>
      </c>
      <c r="I44" t="s">
        <v>917</v>
      </c>
      <c r="J44" t="s">
        <v>205</v>
      </c>
      <c r="K44" t="s">
        <v>224</v>
      </c>
      <c r="L44" t="s">
        <v>325</v>
      </c>
      <c r="M44" t="s">
        <v>346</v>
      </c>
      <c r="N44" t="s">
        <v>480</v>
      </c>
      <c r="O44" t="s">
        <v>339</v>
      </c>
      <c r="P44" t="s">
        <v>1209</v>
      </c>
      <c r="Q44" s="125">
        <v>4085</v>
      </c>
      <c r="R44" s="125">
        <v>3.6469999999999998</v>
      </c>
      <c r="S44" s="125">
        <v>44468</v>
      </c>
      <c r="U44" s="125">
        <v>6624.84</v>
      </c>
      <c r="V44" s="126">
        <v>1.0000000000000001E-5</v>
      </c>
      <c r="W44" s="126">
        <v>1.37E-2</v>
      </c>
      <c r="X44" s="126">
        <v>5.5999999999999995E-4</v>
      </c>
    </row>
    <row r="45" spans="1:24" x14ac:dyDescent="0.2">
      <c r="A45" t="s">
        <v>1204</v>
      </c>
      <c r="B45" t="s">
        <v>1204</v>
      </c>
      <c r="C45" t="s">
        <v>1612</v>
      </c>
      <c r="D45" t="s">
        <v>1613</v>
      </c>
      <c r="E45" t="s">
        <v>80</v>
      </c>
      <c r="F45" t="s">
        <v>1614</v>
      </c>
      <c r="G45" t="s">
        <v>1615</v>
      </c>
      <c r="H45" t="s">
        <v>321</v>
      </c>
      <c r="I45" t="s">
        <v>917</v>
      </c>
      <c r="J45" t="s">
        <v>205</v>
      </c>
      <c r="K45" t="s">
        <v>224</v>
      </c>
      <c r="L45" t="s">
        <v>325</v>
      </c>
      <c r="M45" t="s">
        <v>344</v>
      </c>
      <c r="N45" t="s">
        <v>480</v>
      </c>
      <c r="O45" t="s">
        <v>339</v>
      </c>
      <c r="P45" t="s">
        <v>1209</v>
      </c>
      <c r="Q45" s="125">
        <v>9070</v>
      </c>
      <c r="R45" s="125">
        <v>3.6469999999999998</v>
      </c>
      <c r="S45" s="125">
        <v>18196</v>
      </c>
      <c r="U45" s="125">
        <v>6018.9260000000004</v>
      </c>
      <c r="V45" s="126">
        <v>3.0000000000000001E-5</v>
      </c>
      <c r="W45" s="126">
        <v>1.2449999999999999E-2</v>
      </c>
      <c r="X45" s="126">
        <v>5.1000000000000004E-4</v>
      </c>
    </row>
    <row r="46" spans="1:24" x14ac:dyDescent="0.2">
      <c r="A46" t="s">
        <v>1204</v>
      </c>
      <c r="B46" t="s">
        <v>1204</v>
      </c>
      <c r="C46" t="s">
        <v>1616</v>
      </c>
      <c r="D46" t="s">
        <v>1617</v>
      </c>
      <c r="E46" t="s">
        <v>80</v>
      </c>
      <c r="F46" t="s">
        <v>1618</v>
      </c>
      <c r="G46" t="s">
        <v>1619</v>
      </c>
      <c r="H46" t="s">
        <v>321</v>
      </c>
      <c r="I46" t="s">
        <v>917</v>
      </c>
      <c r="J46" t="s">
        <v>205</v>
      </c>
      <c r="K46" t="s">
        <v>224</v>
      </c>
      <c r="L46" t="s">
        <v>325</v>
      </c>
      <c r="M46" t="s">
        <v>344</v>
      </c>
      <c r="N46" t="s">
        <v>448</v>
      </c>
      <c r="O46" t="s">
        <v>339</v>
      </c>
      <c r="P46" t="s">
        <v>1209</v>
      </c>
      <c r="Q46" s="125">
        <v>1755</v>
      </c>
      <c r="R46" s="125">
        <v>3.6469999999999998</v>
      </c>
      <c r="S46" s="125">
        <v>91627</v>
      </c>
      <c r="U46" s="125">
        <v>5864.5720000000001</v>
      </c>
      <c r="V46" s="126">
        <v>0</v>
      </c>
      <c r="W46" s="126">
        <v>1.213E-2</v>
      </c>
      <c r="X46" s="126">
        <v>5.0000000000000001E-4</v>
      </c>
    </row>
    <row r="47" spans="1:24" x14ac:dyDescent="0.2">
      <c r="A47" t="s">
        <v>1204</v>
      </c>
      <c r="B47" t="s">
        <v>1204</v>
      </c>
      <c r="C47" t="s">
        <v>1620</v>
      </c>
      <c r="D47" t="s">
        <v>1621</v>
      </c>
      <c r="E47" t="s">
        <v>80</v>
      </c>
      <c r="F47" t="s">
        <v>1622</v>
      </c>
      <c r="G47" t="s">
        <v>1623</v>
      </c>
      <c r="H47" t="s">
        <v>321</v>
      </c>
      <c r="I47" t="s">
        <v>917</v>
      </c>
      <c r="J47" t="s">
        <v>205</v>
      </c>
      <c r="K47" t="s">
        <v>224</v>
      </c>
      <c r="L47" t="s">
        <v>325</v>
      </c>
      <c r="M47" t="s">
        <v>344</v>
      </c>
      <c r="N47" t="s">
        <v>460</v>
      </c>
      <c r="O47" t="s">
        <v>339</v>
      </c>
      <c r="P47" t="s">
        <v>1209</v>
      </c>
      <c r="Q47" s="125">
        <v>2482</v>
      </c>
      <c r="R47" s="125">
        <v>3.6469999999999998</v>
      </c>
      <c r="S47" s="125">
        <v>56991</v>
      </c>
      <c r="T47" s="125">
        <v>1.3220000000000001</v>
      </c>
      <c r="U47" s="125">
        <v>5163.5619999999999</v>
      </c>
      <c r="V47" s="126">
        <v>2.0000000000000002E-5</v>
      </c>
      <c r="W47" s="126">
        <v>1.068E-2</v>
      </c>
      <c r="X47" s="126">
        <v>4.4000000000000002E-4</v>
      </c>
    </row>
    <row r="48" spans="1:24" x14ac:dyDescent="0.2">
      <c r="A48" t="s">
        <v>1204</v>
      </c>
      <c r="B48" t="s">
        <v>1204</v>
      </c>
      <c r="C48" t="s">
        <v>1624</v>
      </c>
      <c r="D48" t="s">
        <v>1625</v>
      </c>
      <c r="E48" t="s">
        <v>80</v>
      </c>
      <c r="F48" t="s">
        <v>1626</v>
      </c>
      <c r="G48" t="s">
        <v>1627</v>
      </c>
      <c r="H48" t="s">
        <v>321</v>
      </c>
      <c r="I48" t="s">
        <v>917</v>
      </c>
      <c r="J48" t="s">
        <v>205</v>
      </c>
      <c r="K48" t="s">
        <v>224</v>
      </c>
      <c r="L48" t="s">
        <v>325</v>
      </c>
      <c r="M48" t="s">
        <v>344</v>
      </c>
      <c r="N48" t="s">
        <v>455</v>
      </c>
      <c r="O48" t="s">
        <v>339</v>
      </c>
      <c r="P48" t="s">
        <v>1209</v>
      </c>
      <c r="Q48" s="125">
        <v>8250</v>
      </c>
      <c r="R48" s="125">
        <v>3.6469999999999998</v>
      </c>
      <c r="S48" s="125">
        <v>16679</v>
      </c>
      <c r="T48" s="125">
        <v>1.7330000000000001</v>
      </c>
      <c r="U48" s="125">
        <v>5024.6540000000005</v>
      </c>
      <c r="V48" s="126">
        <v>0</v>
      </c>
      <c r="W48" s="126">
        <v>1.039E-2</v>
      </c>
      <c r="X48" s="126">
        <v>4.2999999999999999E-4</v>
      </c>
    </row>
    <row r="49" spans="1:36" x14ac:dyDescent="0.2">
      <c r="A49" t="s">
        <v>1204</v>
      </c>
      <c r="B49" t="s">
        <v>1204</v>
      </c>
      <c r="C49" t="s">
        <v>1628</v>
      </c>
      <c r="D49" t="s">
        <v>1629</v>
      </c>
      <c r="E49" t="s">
        <v>80</v>
      </c>
      <c r="F49" t="s">
        <v>1630</v>
      </c>
      <c r="G49" t="s">
        <v>1631</v>
      </c>
      <c r="H49" t="s">
        <v>321</v>
      </c>
      <c r="I49" t="s">
        <v>917</v>
      </c>
      <c r="J49" t="s">
        <v>205</v>
      </c>
      <c r="K49" t="s">
        <v>224</v>
      </c>
      <c r="L49" t="s">
        <v>325</v>
      </c>
      <c r="M49" t="s">
        <v>344</v>
      </c>
      <c r="N49" t="s">
        <v>458</v>
      </c>
      <c r="O49" t="s">
        <v>339</v>
      </c>
      <c r="P49" t="s">
        <v>1209</v>
      </c>
      <c r="Q49" s="125">
        <v>6600</v>
      </c>
      <c r="R49" s="125">
        <v>3.6469999999999998</v>
      </c>
      <c r="S49" s="125">
        <v>19749</v>
      </c>
      <c r="T49" s="125">
        <v>2.536</v>
      </c>
      <c r="U49" s="125">
        <v>4762.8710000000001</v>
      </c>
      <c r="V49" s="126">
        <v>0</v>
      </c>
      <c r="W49" s="126">
        <v>9.8499999999999994E-3</v>
      </c>
      <c r="X49" s="126">
        <v>4.0000000000000002E-4</v>
      </c>
    </row>
    <row r="50" spans="1:36" x14ac:dyDescent="0.2">
      <c r="A50" t="s">
        <v>1204</v>
      </c>
      <c r="B50" t="s">
        <v>1204</v>
      </c>
      <c r="C50" t="s">
        <v>1632</v>
      </c>
      <c r="D50" t="s">
        <v>1633</v>
      </c>
      <c r="E50" t="s">
        <v>80</v>
      </c>
      <c r="F50" t="s">
        <v>1634</v>
      </c>
      <c r="G50" t="s">
        <v>1635</v>
      </c>
      <c r="H50" t="s">
        <v>321</v>
      </c>
      <c r="I50" t="s">
        <v>917</v>
      </c>
      <c r="J50" t="s">
        <v>205</v>
      </c>
      <c r="K50" t="s">
        <v>224</v>
      </c>
      <c r="L50" t="s">
        <v>325</v>
      </c>
      <c r="M50" t="s">
        <v>344</v>
      </c>
      <c r="N50" t="s">
        <v>478</v>
      </c>
      <c r="O50" t="s">
        <v>339</v>
      </c>
      <c r="P50" t="s">
        <v>1209</v>
      </c>
      <c r="Q50" s="125">
        <v>2400</v>
      </c>
      <c r="R50" s="125">
        <v>3.6469999999999998</v>
      </c>
      <c r="S50" s="125">
        <v>52657</v>
      </c>
      <c r="U50" s="125">
        <v>4608.9620000000004</v>
      </c>
      <c r="V50" s="126">
        <v>0</v>
      </c>
      <c r="W50" s="126">
        <v>9.5300000000000003E-3</v>
      </c>
      <c r="X50" s="126">
        <v>3.8999999999999999E-4</v>
      </c>
    </row>
    <row r="51" spans="1:36" x14ac:dyDescent="0.2">
      <c r="A51" t="s">
        <v>1204</v>
      </c>
      <c r="B51" t="s">
        <v>1204</v>
      </c>
      <c r="C51" t="s">
        <v>1636</v>
      </c>
      <c r="D51" t="s">
        <v>1637</v>
      </c>
      <c r="E51" t="s">
        <v>80</v>
      </c>
      <c r="F51" t="s">
        <v>1638</v>
      </c>
      <c r="G51" t="s">
        <v>1639</v>
      </c>
      <c r="H51" t="s">
        <v>321</v>
      </c>
      <c r="I51" t="s">
        <v>917</v>
      </c>
      <c r="J51" t="s">
        <v>205</v>
      </c>
      <c r="K51" t="s">
        <v>224</v>
      </c>
      <c r="L51" t="s">
        <v>325</v>
      </c>
      <c r="M51" t="s">
        <v>344</v>
      </c>
      <c r="N51" t="s">
        <v>454</v>
      </c>
      <c r="O51" t="s">
        <v>339</v>
      </c>
      <c r="P51" t="s">
        <v>1209</v>
      </c>
      <c r="Q51" s="125">
        <v>11200</v>
      </c>
      <c r="R51" s="125">
        <v>3.6469999999999998</v>
      </c>
      <c r="S51" s="125">
        <v>10757</v>
      </c>
      <c r="U51" s="125">
        <v>4393.8469999999998</v>
      </c>
      <c r="V51" s="126">
        <v>0</v>
      </c>
      <c r="W51" s="126">
        <v>9.0900000000000009E-3</v>
      </c>
      <c r="X51" s="126">
        <v>3.6999999999999999E-4</v>
      </c>
    </row>
    <row r="52" spans="1:36" x14ac:dyDescent="0.2">
      <c r="A52" t="s">
        <v>1204</v>
      </c>
      <c r="B52" t="s">
        <v>1204</v>
      </c>
      <c r="C52" t="s">
        <v>1640</v>
      </c>
      <c r="D52" t="s">
        <v>1641</v>
      </c>
      <c r="E52" t="s">
        <v>80</v>
      </c>
      <c r="F52" t="s">
        <v>1642</v>
      </c>
      <c r="G52" t="s">
        <v>1643</v>
      </c>
      <c r="H52" t="s">
        <v>321</v>
      </c>
      <c r="I52" t="s">
        <v>917</v>
      </c>
      <c r="J52" t="s">
        <v>205</v>
      </c>
      <c r="K52" t="s">
        <v>224</v>
      </c>
      <c r="L52" t="s">
        <v>325</v>
      </c>
      <c r="M52" t="s">
        <v>346</v>
      </c>
      <c r="N52" t="s">
        <v>456</v>
      </c>
      <c r="O52" t="s">
        <v>339</v>
      </c>
      <c r="P52" t="s">
        <v>1209</v>
      </c>
      <c r="Q52" s="125">
        <v>2560</v>
      </c>
      <c r="R52" s="125">
        <v>3.6469999999999998</v>
      </c>
      <c r="S52" s="125">
        <v>41867</v>
      </c>
      <c r="U52" s="125">
        <v>3908.837</v>
      </c>
      <c r="V52" s="126">
        <v>1.0000000000000001E-5</v>
      </c>
      <c r="W52" s="126">
        <v>8.0800000000000004E-3</v>
      </c>
      <c r="X52" s="126">
        <v>3.3E-4</v>
      </c>
    </row>
    <row r="53" spans="1:36" x14ac:dyDescent="0.2">
      <c r="A53" t="s">
        <v>1204</v>
      </c>
      <c r="B53" t="s">
        <v>1204</v>
      </c>
      <c r="C53" t="s">
        <v>1644</v>
      </c>
      <c r="D53" t="s">
        <v>1645</v>
      </c>
      <c r="E53" t="s">
        <v>80</v>
      </c>
      <c r="F53" t="s">
        <v>1646</v>
      </c>
      <c r="G53" t="s">
        <v>1647</v>
      </c>
      <c r="H53" t="s">
        <v>321</v>
      </c>
      <c r="I53" t="s">
        <v>917</v>
      </c>
      <c r="J53" t="s">
        <v>205</v>
      </c>
      <c r="K53" t="s">
        <v>224</v>
      </c>
      <c r="L53" t="s">
        <v>325</v>
      </c>
      <c r="M53" t="s">
        <v>344</v>
      </c>
      <c r="N53" t="s">
        <v>480</v>
      </c>
      <c r="O53" t="s">
        <v>339</v>
      </c>
      <c r="P53" t="s">
        <v>1209</v>
      </c>
      <c r="Q53" s="125">
        <v>17144</v>
      </c>
      <c r="R53" s="125">
        <v>3.6469999999999998</v>
      </c>
      <c r="S53" s="125">
        <v>6032</v>
      </c>
      <c r="U53" s="125">
        <v>3771.4580000000001</v>
      </c>
      <c r="V53" s="126">
        <v>1.0000000000000001E-5</v>
      </c>
      <c r="W53" s="126">
        <v>7.7999999999999996E-3</v>
      </c>
      <c r="X53" s="126">
        <v>3.2000000000000003E-4</v>
      </c>
    </row>
    <row r="54" spans="1:36" x14ac:dyDescent="0.2">
      <c r="A54" t="s">
        <v>1204</v>
      </c>
      <c r="B54" t="s">
        <v>1204</v>
      </c>
      <c r="C54" t="s">
        <v>1648</v>
      </c>
      <c r="D54" t="s">
        <v>1649</v>
      </c>
      <c r="E54" t="s">
        <v>80</v>
      </c>
      <c r="F54" t="s">
        <v>1650</v>
      </c>
      <c r="G54" t="s">
        <v>1651</v>
      </c>
      <c r="H54" t="s">
        <v>321</v>
      </c>
      <c r="I54" t="s">
        <v>917</v>
      </c>
      <c r="J54" t="s">
        <v>205</v>
      </c>
      <c r="K54" t="s">
        <v>224</v>
      </c>
      <c r="L54" t="s">
        <v>325</v>
      </c>
      <c r="M54" t="s">
        <v>344</v>
      </c>
      <c r="N54" t="s">
        <v>509</v>
      </c>
      <c r="O54" t="s">
        <v>339</v>
      </c>
      <c r="P54" t="s">
        <v>1209</v>
      </c>
      <c r="Q54" s="125">
        <v>17000</v>
      </c>
      <c r="R54" s="125">
        <v>3.6469999999999998</v>
      </c>
      <c r="S54" s="125">
        <v>6050</v>
      </c>
      <c r="U54" s="125">
        <v>3750.94</v>
      </c>
      <c r="V54" s="126">
        <v>3.0000000000000001E-5</v>
      </c>
      <c r="W54" s="126">
        <v>7.7600000000000004E-3</v>
      </c>
      <c r="X54" s="126">
        <v>3.2000000000000003E-4</v>
      </c>
    </row>
    <row r="55" spans="1:36" x14ac:dyDescent="0.2">
      <c r="A55" t="s">
        <v>1204</v>
      </c>
      <c r="B55" t="s">
        <v>1204</v>
      </c>
      <c r="C55" t="s">
        <v>1652</v>
      </c>
      <c r="D55" t="s">
        <v>1653</v>
      </c>
      <c r="E55" t="s">
        <v>80</v>
      </c>
      <c r="F55" t="s">
        <v>1654</v>
      </c>
      <c r="G55" t="s">
        <v>1655</v>
      </c>
      <c r="H55" t="s">
        <v>321</v>
      </c>
      <c r="I55" t="s">
        <v>917</v>
      </c>
      <c r="J55" t="s">
        <v>205</v>
      </c>
      <c r="K55" t="s">
        <v>224</v>
      </c>
      <c r="L55" t="s">
        <v>325</v>
      </c>
      <c r="M55" t="s">
        <v>344</v>
      </c>
      <c r="N55" t="s">
        <v>448</v>
      </c>
      <c r="O55" t="s">
        <v>339</v>
      </c>
      <c r="P55" t="s">
        <v>1209</v>
      </c>
      <c r="Q55" s="125">
        <v>4165</v>
      </c>
      <c r="R55" s="125">
        <v>3.6469999999999998</v>
      </c>
      <c r="S55" s="125">
        <v>23971</v>
      </c>
      <c r="U55" s="125">
        <v>3641.136</v>
      </c>
      <c r="V55" s="126">
        <v>0</v>
      </c>
      <c r="W55" s="126">
        <v>7.5300000000000002E-3</v>
      </c>
      <c r="X55" s="126">
        <v>3.1E-4</v>
      </c>
    </row>
    <row r="56" spans="1:36" x14ac:dyDescent="0.2">
      <c r="A56" t="s">
        <v>1204</v>
      </c>
      <c r="B56" t="s">
        <v>1204</v>
      </c>
      <c r="C56" t="s">
        <v>1656</v>
      </c>
      <c r="D56" t="s">
        <v>1657</v>
      </c>
      <c r="E56" t="s">
        <v>80</v>
      </c>
      <c r="F56" t="s">
        <v>1658</v>
      </c>
      <c r="G56" t="s">
        <v>1659</v>
      </c>
      <c r="H56" t="s">
        <v>321</v>
      </c>
      <c r="I56" t="s">
        <v>917</v>
      </c>
      <c r="J56" t="s">
        <v>205</v>
      </c>
      <c r="K56" t="s">
        <v>224</v>
      </c>
      <c r="L56" t="s">
        <v>325</v>
      </c>
      <c r="M56" t="s">
        <v>344</v>
      </c>
      <c r="N56" t="s">
        <v>463</v>
      </c>
      <c r="O56" t="s">
        <v>339</v>
      </c>
      <c r="P56" t="s">
        <v>1209</v>
      </c>
      <c r="Q56" s="125">
        <v>25400</v>
      </c>
      <c r="R56" s="125">
        <v>3.6469999999999998</v>
      </c>
      <c r="S56" s="125">
        <v>3808</v>
      </c>
      <c r="U56" s="125">
        <v>3527.4949999999999</v>
      </c>
      <c r="V56" s="126">
        <v>2.0000000000000002E-5</v>
      </c>
      <c r="W56" s="126">
        <v>7.2899999999999996E-3</v>
      </c>
      <c r="X56" s="126">
        <v>2.9999999999999997E-4</v>
      </c>
    </row>
    <row r="57" spans="1:36" x14ac:dyDescent="0.2">
      <c r="A57" t="s">
        <v>1204</v>
      </c>
      <c r="B57" t="s">
        <v>1204</v>
      </c>
      <c r="C57" t="s">
        <v>1660</v>
      </c>
      <c r="D57" t="s">
        <v>1661</v>
      </c>
      <c r="E57" t="s">
        <v>80</v>
      </c>
      <c r="F57" t="s">
        <v>1662</v>
      </c>
      <c r="G57" t="s">
        <v>1663</v>
      </c>
      <c r="H57" t="s">
        <v>321</v>
      </c>
      <c r="I57" t="s">
        <v>917</v>
      </c>
      <c r="J57" t="s">
        <v>205</v>
      </c>
      <c r="K57" t="s">
        <v>224</v>
      </c>
      <c r="L57" t="s">
        <v>325</v>
      </c>
      <c r="M57" t="s">
        <v>344</v>
      </c>
      <c r="N57" t="s">
        <v>484</v>
      </c>
      <c r="O57" t="s">
        <v>339</v>
      </c>
      <c r="P57" t="s">
        <v>1209</v>
      </c>
      <c r="Q57" s="125">
        <v>8545</v>
      </c>
      <c r="R57" s="125">
        <v>3.6469999999999998</v>
      </c>
      <c r="S57" s="125">
        <v>11135</v>
      </c>
      <c r="T57" s="125">
        <v>3.2040000000000002</v>
      </c>
      <c r="U57" s="125">
        <v>3481.7550000000001</v>
      </c>
      <c r="V57" s="126">
        <v>0</v>
      </c>
      <c r="W57" s="126">
        <v>7.2100000000000003E-3</v>
      </c>
      <c r="X57" s="126">
        <v>2.9999999999999997E-4</v>
      </c>
    </row>
    <row r="58" spans="1:36" x14ac:dyDescent="0.2">
      <c r="A58" t="s">
        <v>1204</v>
      </c>
      <c r="B58" t="s">
        <v>1204</v>
      </c>
      <c r="C58" t="s">
        <v>1664</v>
      </c>
      <c r="D58" t="s">
        <v>1665</v>
      </c>
      <c r="E58" t="s">
        <v>80</v>
      </c>
      <c r="F58" t="s">
        <v>1666</v>
      </c>
      <c r="G58" t="s">
        <v>1667</v>
      </c>
      <c r="H58" t="s">
        <v>321</v>
      </c>
      <c r="I58" t="s">
        <v>917</v>
      </c>
      <c r="J58" t="s">
        <v>205</v>
      </c>
      <c r="K58" t="s">
        <v>224</v>
      </c>
      <c r="L58" t="s">
        <v>325</v>
      </c>
      <c r="M58" t="s">
        <v>344</v>
      </c>
      <c r="N58" t="s">
        <v>448</v>
      </c>
      <c r="O58" t="s">
        <v>339</v>
      </c>
      <c r="P58" t="s">
        <v>1209</v>
      </c>
      <c r="Q58" s="125">
        <v>13500</v>
      </c>
      <c r="R58" s="125">
        <v>3.6469999999999998</v>
      </c>
      <c r="S58" s="125">
        <v>7024</v>
      </c>
      <c r="U58" s="125">
        <v>3458.2310000000002</v>
      </c>
      <c r="V58" s="126">
        <v>0</v>
      </c>
      <c r="W58" s="126">
        <v>7.1500000000000001E-3</v>
      </c>
      <c r="X58" s="126">
        <v>2.9E-4</v>
      </c>
    </row>
    <row r="59" spans="1:36" x14ac:dyDescent="0.2">
      <c r="A59" t="s">
        <v>1204</v>
      </c>
      <c r="B59" t="s">
        <v>1204</v>
      </c>
      <c r="C59" t="s">
        <v>1668</v>
      </c>
      <c r="D59" t="s">
        <v>1669</v>
      </c>
      <c r="E59" t="s">
        <v>80</v>
      </c>
      <c r="F59" t="s">
        <v>1670</v>
      </c>
      <c r="G59" t="s">
        <v>1671</v>
      </c>
      <c r="H59" t="s">
        <v>321</v>
      </c>
      <c r="I59" t="s">
        <v>917</v>
      </c>
      <c r="J59" t="s">
        <v>205</v>
      </c>
      <c r="K59" t="s">
        <v>224</v>
      </c>
      <c r="L59" t="s">
        <v>325</v>
      </c>
      <c r="M59" t="s">
        <v>344</v>
      </c>
      <c r="N59" t="s">
        <v>480</v>
      </c>
      <c r="O59" t="s">
        <v>339</v>
      </c>
      <c r="P59" t="s">
        <v>1209</v>
      </c>
      <c r="Q59" s="125">
        <v>5400</v>
      </c>
      <c r="R59" s="125">
        <v>3.6469999999999998</v>
      </c>
      <c r="S59" s="125">
        <v>16664</v>
      </c>
      <c r="U59" s="125">
        <v>3281.7750000000001</v>
      </c>
      <c r="V59" s="126">
        <v>0</v>
      </c>
      <c r="W59" s="126">
        <v>6.79E-3</v>
      </c>
      <c r="X59" s="126">
        <v>2.7999999999999998E-4</v>
      </c>
    </row>
    <row r="60" spans="1:36" x14ac:dyDescent="0.2">
      <c r="A60" t="s">
        <v>1204</v>
      </c>
      <c r="B60" t="s">
        <v>1204</v>
      </c>
      <c r="C60" t="s">
        <v>1672</v>
      </c>
      <c r="D60" t="s">
        <v>1673</v>
      </c>
      <c r="E60" t="s">
        <v>80</v>
      </c>
      <c r="F60" t="s">
        <v>1674</v>
      </c>
      <c r="G60" t="s">
        <v>1675</v>
      </c>
      <c r="H60" t="s">
        <v>321</v>
      </c>
      <c r="I60" t="s">
        <v>917</v>
      </c>
      <c r="J60" t="s">
        <v>205</v>
      </c>
      <c r="K60" t="s">
        <v>224</v>
      </c>
      <c r="L60" t="s">
        <v>325</v>
      </c>
      <c r="M60" t="s">
        <v>346</v>
      </c>
      <c r="N60" t="s">
        <v>458</v>
      </c>
      <c r="O60" t="s">
        <v>339</v>
      </c>
      <c r="P60" t="s">
        <v>1209</v>
      </c>
      <c r="Q60" s="125">
        <v>1200</v>
      </c>
      <c r="R60" s="125">
        <v>3.6469999999999998</v>
      </c>
      <c r="S60" s="125">
        <v>69308</v>
      </c>
      <c r="U60" s="125">
        <v>3033.1950000000002</v>
      </c>
      <c r="V60" s="126">
        <v>0</v>
      </c>
      <c r="W60" s="126">
        <v>6.2700000000000004E-3</v>
      </c>
      <c r="X60" s="126">
        <v>2.5999999999999998E-4</v>
      </c>
    </row>
    <row r="61" spans="1:36" x14ac:dyDescent="0.2">
      <c r="A61" t="s">
        <v>1204</v>
      </c>
      <c r="B61" t="s">
        <v>1204</v>
      </c>
      <c r="C61" t="s">
        <v>1676</v>
      </c>
      <c r="D61" t="s">
        <v>1677</v>
      </c>
      <c r="E61" t="s">
        <v>80</v>
      </c>
      <c r="F61" t="s">
        <v>1678</v>
      </c>
      <c r="G61" t="s">
        <v>1679</v>
      </c>
      <c r="H61" t="s">
        <v>321</v>
      </c>
      <c r="I61" t="s">
        <v>917</v>
      </c>
      <c r="J61" t="s">
        <v>205</v>
      </c>
      <c r="K61" t="s">
        <v>224</v>
      </c>
      <c r="L61" t="s">
        <v>325</v>
      </c>
      <c r="M61" t="s">
        <v>346</v>
      </c>
      <c r="N61" t="s">
        <v>458</v>
      </c>
      <c r="O61" t="s">
        <v>339</v>
      </c>
      <c r="P61" t="s">
        <v>1209</v>
      </c>
      <c r="Q61" s="125">
        <v>3360</v>
      </c>
      <c r="R61" s="125">
        <v>3.6469999999999998</v>
      </c>
      <c r="S61" s="125">
        <v>23184</v>
      </c>
      <c r="U61" s="125">
        <v>2840.9490000000001</v>
      </c>
      <c r="V61" s="126">
        <v>0</v>
      </c>
      <c r="W61" s="126">
        <v>5.8700000000000002E-3</v>
      </c>
      <c r="X61" s="126">
        <v>2.4000000000000001E-4</v>
      </c>
    </row>
    <row r="62" spans="1:36" x14ac:dyDescent="0.2">
      <c r="A62" t="s">
        <v>1204</v>
      </c>
      <c r="B62" t="s">
        <v>1204</v>
      </c>
      <c r="C62" t="s">
        <v>1680</v>
      </c>
      <c r="D62" t="s">
        <v>1681</v>
      </c>
      <c r="E62" t="s">
        <v>80</v>
      </c>
      <c r="F62" t="s">
        <v>1682</v>
      </c>
      <c r="G62" t="s">
        <v>1683</v>
      </c>
      <c r="H62" t="s">
        <v>321</v>
      </c>
      <c r="I62" t="s">
        <v>917</v>
      </c>
      <c r="J62" t="s">
        <v>205</v>
      </c>
      <c r="K62" t="s">
        <v>224</v>
      </c>
      <c r="L62" t="s">
        <v>325</v>
      </c>
      <c r="M62" t="s">
        <v>346</v>
      </c>
      <c r="N62" t="s">
        <v>458</v>
      </c>
      <c r="O62" t="s">
        <v>339</v>
      </c>
      <c r="P62" t="s">
        <v>1209</v>
      </c>
      <c r="Q62" s="125">
        <v>3890</v>
      </c>
      <c r="R62" s="125">
        <v>3.6469999999999998</v>
      </c>
      <c r="S62" s="125">
        <v>16263</v>
      </c>
      <c r="U62" s="125">
        <v>2307.2040000000002</v>
      </c>
      <c r="V62" s="126">
        <v>0</v>
      </c>
      <c r="W62" s="126">
        <v>4.7699999999999999E-3</v>
      </c>
      <c r="X62" s="126">
        <v>2.0000000000000001E-4</v>
      </c>
    </row>
    <row r="63" spans="1:36" x14ac:dyDescent="0.2">
      <c r="A63" t="s">
        <v>1204</v>
      </c>
      <c r="B63" t="s">
        <v>1204</v>
      </c>
      <c r="C63" t="s">
        <v>1684</v>
      </c>
      <c r="D63" t="s">
        <v>1685</v>
      </c>
      <c r="E63" t="s">
        <v>80</v>
      </c>
      <c r="F63" t="s">
        <v>1686</v>
      </c>
      <c r="G63" t="s">
        <v>1687</v>
      </c>
      <c r="H63" t="s">
        <v>321</v>
      </c>
      <c r="I63" t="s">
        <v>917</v>
      </c>
      <c r="J63" t="s">
        <v>205</v>
      </c>
      <c r="K63" t="s">
        <v>224</v>
      </c>
      <c r="L63" t="s">
        <v>325</v>
      </c>
      <c r="M63" t="s">
        <v>344</v>
      </c>
      <c r="N63" t="s">
        <v>437</v>
      </c>
      <c r="O63" t="s">
        <v>339</v>
      </c>
      <c r="P63" t="s">
        <v>1209</v>
      </c>
      <c r="Q63" s="125">
        <v>8000</v>
      </c>
      <c r="R63" s="125">
        <v>3.6469999999999998</v>
      </c>
      <c r="S63" s="125">
        <v>7567</v>
      </c>
      <c r="T63" s="125">
        <v>2.4</v>
      </c>
      <c r="U63" s="125">
        <v>2216.5010000000002</v>
      </c>
      <c r="V63" s="126">
        <v>1.0000000000000001E-5</v>
      </c>
      <c r="W63" s="126">
        <v>4.5900000000000003E-3</v>
      </c>
      <c r="X63" s="126">
        <v>1.9000000000000001E-4</v>
      </c>
    </row>
    <row r="64" spans="1:36" x14ac:dyDescent="0.2">
      <c r="A64" s="169" t="s">
        <v>2494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1">
    <mergeCell ref="A64:AJ64"/>
  </mergeCells>
  <dataValidations count="8">
    <dataValidation type="list" allowBlank="1" showInputMessage="1" showErrorMessage="1" sqref="J2:J17" xr:uid="{00000000-0002-0000-0600-000000000000}">
      <formula1>israel_abroad</formula1>
    </dataValidation>
    <dataValidation type="list" allowBlank="1" showInputMessage="1" showErrorMessage="1" sqref="O2:O17" xr:uid="{00000000-0002-0000-0600-000001000000}">
      <formula1>Holding_interest</formula1>
    </dataValidation>
    <dataValidation type="list" allowBlank="1" showInputMessage="1" showErrorMessage="1" sqref="K2:K18" xr:uid="{00000000-0002-0000-0600-000002000000}">
      <formula1>Country_list</formula1>
    </dataValidation>
    <dataValidation type="list" allowBlank="1" showInputMessage="1" showErrorMessage="1" sqref="E2:E18" xr:uid="{00000000-0002-0000-0600-000003000000}">
      <formula1>Issuer_Number_Type_2</formula1>
    </dataValidation>
    <dataValidation type="list" allowBlank="1" showInputMessage="1" showErrorMessage="1" sqref="H2:H18" xr:uid="{00000000-0002-0000-0600-000004000000}">
      <formula1>Security_ID_Number_Type</formula1>
    </dataValidation>
    <dataValidation type="list" allowBlank="1" showInputMessage="1" showErrorMessage="1" sqref="N2:N19" xr:uid="{00000000-0002-0000-0600-000005000000}">
      <formula1>Industry_Sector</formula1>
    </dataValidation>
    <dataValidation type="list" allowBlank="1" showInputMessage="1" showErrorMessage="1" sqref="L2:L18" xr:uid="{00000000-0002-0000-0600-000006000000}">
      <formula1>Tradeable_Status</formula1>
    </dataValidation>
    <dataValidation type="list" allowBlank="1" showInputMessage="1" showErrorMessage="1" sqref="M2:M18" xr:uid="{00000000-0002-0000-06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J31"/>
  <sheetViews>
    <sheetView rightToLeft="1" topLeftCell="O1" workbookViewId="0">
      <selection activeCell="A31" sqref="A31:AJ31"/>
    </sheetView>
  </sheetViews>
  <sheetFormatPr defaultColWidth="9" defaultRowHeight="14.25" x14ac:dyDescent="0.2"/>
  <cols>
    <col min="1" max="1" width="11.875" style="2" customWidth="1"/>
    <col min="2" max="4" width="11.625" style="2" customWidth="1"/>
    <col min="5" max="5" width="18.125" style="4" customWidth="1"/>
    <col min="6" max="6" width="47.75" style="2" bestFit="1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0.25" style="2" customWidth="1"/>
    <col min="13" max="13" width="24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3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70</v>
      </c>
      <c r="M1" s="168" t="s">
        <v>90</v>
      </c>
      <c r="N1" s="168" t="s">
        <v>56</v>
      </c>
      <c r="O1" s="168" t="s">
        <v>59</v>
      </c>
      <c r="P1" s="168" t="s">
        <v>76</v>
      </c>
      <c r="Q1" s="168" t="s">
        <v>61</v>
      </c>
      <c r="R1" s="168" t="s">
        <v>77</v>
      </c>
      <c r="S1" s="168" t="s">
        <v>75</v>
      </c>
      <c r="T1" s="168" t="s">
        <v>63</v>
      </c>
      <c r="U1" s="168" t="s">
        <v>79</v>
      </c>
      <c r="V1" s="168" t="s">
        <v>64</v>
      </c>
      <c r="W1" s="168" t="s">
        <v>65</v>
      </c>
    </row>
    <row r="2" spans="1:23" x14ac:dyDescent="0.2">
      <c r="A2" t="s">
        <v>1204</v>
      </c>
      <c r="B2" t="s">
        <v>1204</v>
      </c>
      <c r="C2" t="s">
        <v>1688</v>
      </c>
      <c r="D2" t="s">
        <v>1689</v>
      </c>
      <c r="E2" t="s">
        <v>80</v>
      </c>
      <c r="F2" t="s">
        <v>1690</v>
      </c>
      <c r="G2" t="s">
        <v>1691</v>
      </c>
      <c r="H2" t="s">
        <v>312</v>
      </c>
      <c r="I2" t="s">
        <v>964</v>
      </c>
      <c r="J2" t="s">
        <v>204</v>
      </c>
      <c r="K2" t="s">
        <v>204</v>
      </c>
      <c r="L2" t="s">
        <v>340</v>
      </c>
      <c r="M2" t="s">
        <v>577</v>
      </c>
      <c r="N2" t="s">
        <v>339</v>
      </c>
      <c r="O2" t="s">
        <v>1208</v>
      </c>
      <c r="P2" s="125">
        <v>34690000</v>
      </c>
      <c r="Q2" s="125">
        <v>1</v>
      </c>
      <c r="R2" s="125">
        <v>184.99</v>
      </c>
      <c r="S2" s="103"/>
      <c r="T2" s="125">
        <v>64173.031000000003</v>
      </c>
      <c r="U2" s="126">
        <v>9.8019999999999996E-2</v>
      </c>
      <c r="V2" s="126">
        <v>0.13489999999999999</v>
      </c>
      <c r="W2" s="126">
        <v>5.4400000000000004E-3</v>
      </c>
    </row>
    <row r="3" spans="1:23" x14ac:dyDescent="0.2">
      <c r="A3" t="s">
        <v>1204</v>
      </c>
      <c r="B3" t="s">
        <v>1204</v>
      </c>
      <c r="C3" t="s">
        <v>1692</v>
      </c>
      <c r="D3" t="s">
        <v>1693</v>
      </c>
      <c r="E3" t="s">
        <v>80</v>
      </c>
      <c r="F3" t="s">
        <v>1694</v>
      </c>
      <c r="G3" t="s">
        <v>1695</v>
      </c>
      <c r="H3" t="s">
        <v>312</v>
      </c>
      <c r="I3" t="s">
        <v>964</v>
      </c>
      <c r="J3" t="s">
        <v>204</v>
      </c>
      <c r="K3" t="s">
        <v>204</v>
      </c>
      <c r="L3" t="s">
        <v>340</v>
      </c>
      <c r="M3" t="s">
        <v>577</v>
      </c>
      <c r="N3" t="s">
        <v>339</v>
      </c>
      <c r="O3" t="s">
        <v>1208</v>
      </c>
      <c r="P3" s="125">
        <v>24800000</v>
      </c>
      <c r="Q3" s="125">
        <v>1</v>
      </c>
      <c r="R3" s="125">
        <v>168.89</v>
      </c>
      <c r="S3" s="103"/>
      <c r="T3" s="125">
        <v>41884.720000000001</v>
      </c>
      <c r="U3" s="126">
        <v>5.348E-2</v>
      </c>
      <c r="V3" s="126">
        <v>8.8050000000000003E-2</v>
      </c>
      <c r="W3" s="126">
        <v>3.5500000000000002E-3</v>
      </c>
    </row>
    <row r="4" spans="1:23" x14ac:dyDescent="0.2">
      <c r="A4" t="s">
        <v>1204</v>
      </c>
      <c r="B4" t="s">
        <v>1204</v>
      </c>
      <c r="C4" t="s">
        <v>1696</v>
      </c>
      <c r="D4" t="s">
        <v>1697</v>
      </c>
      <c r="E4" t="s">
        <v>80</v>
      </c>
      <c r="F4" t="s">
        <v>1698</v>
      </c>
      <c r="G4" t="s">
        <v>1699</v>
      </c>
      <c r="H4" t="s">
        <v>312</v>
      </c>
      <c r="I4" t="s">
        <v>965</v>
      </c>
      <c r="J4" t="s">
        <v>204</v>
      </c>
      <c r="K4" t="s">
        <v>204</v>
      </c>
      <c r="L4" t="s">
        <v>340</v>
      </c>
      <c r="M4" t="s">
        <v>604</v>
      </c>
      <c r="N4" t="s">
        <v>339</v>
      </c>
      <c r="O4" t="s">
        <v>1208</v>
      </c>
      <c r="P4" s="125">
        <v>212193</v>
      </c>
      <c r="Q4" s="125">
        <v>1</v>
      </c>
      <c r="R4" s="125">
        <v>9241</v>
      </c>
      <c r="S4" s="103"/>
      <c r="T4" s="125">
        <v>19608.755000000001</v>
      </c>
      <c r="U4" s="126">
        <v>5.9199999999999999E-3</v>
      </c>
      <c r="V4" s="126">
        <v>4.122E-2</v>
      </c>
      <c r="W4" s="126">
        <v>1.66E-3</v>
      </c>
    </row>
    <row r="5" spans="1:23" x14ac:dyDescent="0.2">
      <c r="A5" t="s">
        <v>1204</v>
      </c>
      <c r="B5" t="s">
        <v>1204</v>
      </c>
      <c r="C5" t="s">
        <v>1696</v>
      </c>
      <c r="D5" t="s">
        <v>1697</v>
      </c>
      <c r="E5" t="s">
        <v>80</v>
      </c>
      <c r="F5" t="s">
        <v>1700</v>
      </c>
      <c r="G5" t="s">
        <v>1701</v>
      </c>
      <c r="H5" t="s">
        <v>312</v>
      </c>
      <c r="I5" t="s">
        <v>965</v>
      </c>
      <c r="J5" t="s">
        <v>204</v>
      </c>
      <c r="K5" t="s">
        <v>204</v>
      </c>
      <c r="L5" t="s">
        <v>340</v>
      </c>
      <c r="M5" t="s">
        <v>602</v>
      </c>
      <c r="N5" t="s">
        <v>339</v>
      </c>
      <c r="O5" t="s">
        <v>1208</v>
      </c>
      <c r="P5" s="125">
        <v>200129</v>
      </c>
      <c r="Q5" s="125">
        <v>1</v>
      </c>
      <c r="R5" s="125">
        <v>7280</v>
      </c>
      <c r="S5" s="103"/>
      <c r="T5" s="125">
        <v>14569.391</v>
      </c>
      <c r="U5" s="126">
        <v>4.4470000000000003E-2</v>
      </c>
      <c r="V5" s="126">
        <v>3.0630000000000001E-2</v>
      </c>
      <c r="W5" s="126">
        <v>1.23E-3</v>
      </c>
    </row>
    <row r="6" spans="1:23" x14ac:dyDescent="0.2">
      <c r="A6" t="s">
        <v>1204</v>
      </c>
      <c r="B6" t="s">
        <v>1204</v>
      </c>
      <c r="C6" t="s">
        <v>1702</v>
      </c>
      <c r="D6" t="s">
        <v>1703</v>
      </c>
      <c r="E6" t="s">
        <v>80</v>
      </c>
      <c r="F6" t="s">
        <v>1704</v>
      </c>
      <c r="G6" t="s">
        <v>1705</v>
      </c>
      <c r="H6" t="s">
        <v>312</v>
      </c>
      <c r="I6" t="s">
        <v>964</v>
      </c>
      <c r="J6" t="s">
        <v>204</v>
      </c>
      <c r="K6" t="s">
        <v>204</v>
      </c>
      <c r="L6" t="s">
        <v>340</v>
      </c>
      <c r="M6" t="s">
        <v>697</v>
      </c>
      <c r="N6" t="s">
        <v>339</v>
      </c>
      <c r="O6" t="s">
        <v>1208</v>
      </c>
      <c r="P6" s="125">
        <v>6563000</v>
      </c>
      <c r="Q6" s="125">
        <v>1</v>
      </c>
      <c r="R6" s="125">
        <v>159.69</v>
      </c>
      <c r="S6" s="103"/>
      <c r="T6" s="125">
        <v>10480.455</v>
      </c>
      <c r="U6" s="126">
        <v>5.6239999999999998E-2</v>
      </c>
      <c r="V6" s="126">
        <v>2.2030000000000001E-2</v>
      </c>
      <c r="W6" s="126">
        <v>8.8999999999999995E-4</v>
      </c>
    </row>
    <row r="7" spans="1:23" x14ac:dyDescent="0.2">
      <c r="A7" t="s">
        <v>1204</v>
      </c>
      <c r="B7" t="s">
        <v>1204</v>
      </c>
      <c r="C7" t="s">
        <v>1696</v>
      </c>
      <c r="D7" t="s">
        <v>1706</v>
      </c>
      <c r="E7" t="s">
        <v>80</v>
      </c>
      <c r="F7" t="s">
        <v>1707</v>
      </c>
      <c r="G7" t="s">
        <v>1708</v>
      </c>
      <c r="H7" t="s">
        <v>312</v>
      </c>
      <c r="I7" t="s">
        <v>964</v>
      </c>
      <c r="J7" t="s">
        <v>204</v>
      </c>
      <c r="K7" t="s">
        <v>204</v>
      </c>
      <c r="L7" t="s">
        <v>340</v>
      </c>
      <c r="M7" t="s">
        <v>577</v>
      </c>
      <c r="N7" t="s">
        <v>339</v>
      </c>
      <c r="O7" t="s">
        <v>1208</v>
      </c>
      <c r="P7" s="125">
        <v>4840000</v>
      </c>
      <c r="Q7" s="125">
        <v>1</v>
      </c>
      <c r="R7" s="125">
        <v>171.43</v>
      </c>
      <c r="S7" s="103"/>
      <c r="T7" s="125">
        <v>8297.2119999999995</v>
      </c>
      <c r="U7" s="126">
        <v>1.8360000000000001E-2</v>
      </c>
      <c r="V7" s="126">
        <v>1.7440000000000001E-2</v>
      </c>
      <c r="W7" s="126">
        <v>6.9999999999999999E-4</v>
      </c>
    </row>
    <row r="8" spans="1:23" x14ac:dyDescent="0.2">
      <c r="A8" t="s">
        <v>1204</v>
      </c>
      <c r="B8" t="s">
        <v>1204</v>
      </c>
      <c r="C8" t="s">
        <v>1709</v>
      </c>
      <c r="D8" t="s">
        <v>1710</v>
      </c>
      <c r="E8" t="s">
        <v>80</v>
      </c>
      <c r="F8" t="s">
        <v>1711</v>
      </c>
      <c r="G8" t="s">
        <v>1712</v>
      </c>
      <c r="H8" t="s">
        <v>312</v>
      </c>
      <c r="I8" t="s">
        <v>964</v>
      </c>
      <c r="J8" t="s">
        <v>204</v>
      </c>
      <c r="K8" t="s">
        <v>204</v>
      </c>
      <c r="L8" t="s">
        <v>340</v>
      </c>
      <c r="M8" t="s">
        <v>700</v>
      </c>
      <c r="N8" t="s">
        <v>339</v>
      </c>
      <c r="O8" t="s">
        <v>1208</v>
      </c>
      <c r="P8" s="125">
        <v>223581</v>
      </c>
      <c r="Q8" s="125">
        <v>1</v>
      </c>
      <c r="R8" s="125">
        <v>2117</v>
      </c>
      <c r="S8" s="103"/>
      <c r="T8" s="125">
        <v>4733.21</v>
      </c>
      <c r="U8" s="126">
        <v>6.3450000000000006E-2</v>
      </c>
      <c r="V8" s="126">
        <v>9.9500000000000005E-3</v>
      </c>
      <c r="W8" s="126">
        <v>4.0000000000000002E-4</v>
      </c>
    </row>
    <row r="9" spans="1:23" x14ac:dyDescent="0.2">
      <c r="A9" t="s">
        <v>1204</v>
      </c>
      <c r="B9" t="s">
        <v>1204</v>
      </c>
      <c r="C9" t="s">
        <v>1713</v>
      </c>
      <c r="D9" t="s">
        <v>1714</v>
      </c>
      <c r="E9" t="s">
        <v>80</v>
      </c>
      <c r="F9" t="s">
        <v>1715</v>
      </c>
      <c r="G9" t="s">
        <v>1716</v>
      </c>
      <c r="H9" t="s">
        <v>321</v>
      </c>
      <c r="I9" t="s">
        <v>965</v>
      </c>
      <c r="J9" t="s">
        <v>205</v>
      </c>
      <c r="K9" t="s">
        <v>224</v>
      </c>
      <c r="L9" t="s">
        <v>344</v>
      </c>
      <c r="M9" t="s">
        <v>595</v>
      </c>
      <c r="N9" t="s">
        <v>339</v>
      </c>
      <c r="O9" t="s">
        <v>1209</v>
      </c>
      <c r="P9" s="125">
        <v>245145</v>
      </c>
      <c r="Q9" s="125">
        <v>3.6469999999999998</v>
      </c>
      <c r="R9" s="125">
        <v>4833</v>
      </c>
      <c r="S9" s="103"/>
      <c r="T9" s="125">
        <v>43209.137999999999</v>
      </c>
      <c r="U9" s="126">
        <v>2.5999999999999998E-4</v>
      </c>
      <c r="V9" s="126">
        <v>9.0829999999999994E-2</v>
      </c>
      <c r="W9" s="126">
        <v>3.6600000000000001E-3</v>
      </c>
    </row>
    <row r="10" spans="1:23" x14ac:dyDescent="0.2">
      <c r="A10" t="s">
        <v>1204</v>
      </c>
      <c r="B10" t="s">
        <v>1204</v>
      </c>
      <c r="C10" t="s">
        <v>1717</v>
      </c>
      <c r="D10" t="s">
        <v>1718</v>
      </c>
      <c r="E10" t="s">
        <v>80</v>
      </c>
      <c r="F10" t="s">
        <v>1719</v>
      </c>
      <c r="G10" t="s">
        <v>1720</v>
      </c>
      <c r="H10" t="s">
        <v>321</v>
      </c>
      <c r="I10" t="s">
        <v>965</v>
      </c>
      <c r="J10" t="s">
        <v>205</v>
      </c>
      <c r="K10" t="s">
        <v>224</v>
      </c>
      <c r="L10" t="s">
        <v>380</v>
      </c>
      <c r="M10" t="s">
        <v>611</v>
      </c>
      <c r="N10" t="s">
        <v>339</v>
      </c>
      <c r="O10" t="s">
        <v>1209</v>
      </c>
      <c r="P10" s="125">
        <v>9880</v>
      </c>
      <c r="Q10" s="125">
        <v>3.6469999999999998</v>
      </c>
      <c r="R10" s="125">
        <v>69812.5</v>
      </c>
      <c r="S10" s="103"/>
      <c r="T10" s="125">
        <v>25155.091</v>
      </c>
      <c r="U10" s="126">
        <v>1.0000000000000001E-5</v>
      </c>
      <c r="V10" s="126">
        <v>5.2880000000000003E-2</v>
      </c>
      <c r="W10" s="126">
        <v>2.1299999999999999E-3</v>
      </c>
    </row>
    <row r="11" spans="1:23" x14ac:dyDescent="0.2">
      <c r="A11" t="s">
        <v>1204</v>
      </c>
      <c r="B11" t="s">
        <v>1204</v>
      </c>
      <c r="C11" t="s">
        <v>1721</v>
      </c>
      <c r="D11" t="s">
        <v>1722</v>
      </c>
      <c r="E11" t="s">
        <v>80</v>
      </c>
      <c r="F11" t="s">
        <v>1723</v>
      </c>
      <c r="G11" t="s">
        <v>1724</v>
      </c>
      <c r="H11" t="s">
        <v>321</v>
      </c>
      <c r="I11" t="s">
        <v>965</v>
      </c>
      <c r="J11" t="s">
        <v>205</v>
      </c>
      <c r="K11" t="s">
        <v>281</v>
      </c>
      <c r="L11" t="s">
        <v>314</v>
      </c>
      <c r="M11" t="s">
        <v>610</v>
      </c>
      <c r="N11" t="s">
        <v>339</v>
      </c>
      <c r="O11" t="s">
        <v>1210</v>
      </c>
      <c r="P11" s="125">
        <v>187735</v>
      </c>
      <c r="Q11" s="125">
        <v>3.7959999999999998</v>
      </c>
      <c r="R11" s="125">
        <v>3412.2</v>
      </c>
      <c r="S11" s="103"/>
      <c r="T11" s="125">
        <v>24319.334999999999</v>
      </c>
      <c r="U11" s="126">
        <v>2.8600000000000001E-3</v>
      </c>
      <c r="V11" s="126">
        <v>5.1119999999999999E-2</v>
      </c>
      <c r="W11" s="126">
        <v>2.0600000000000002E-3</v>
      </c>
    </row>
    <row r="12" spans="1:23" x14ac:dyDescent="0.2">
      <c r="A12" t="s">
        <v>1204</v>
      </c>
      <c r="B12" t="s">
        <v>1204</v>
      </c>
      <c r="C12" t="s">
        <v>1725</v>
      </c>
      <c r="D12" t="s">
        <v>1726</v>
      </c>
      <c r="E12" t="s">
        <v>80</v>
      </c>
      <c r="F12" t="s">
        <v>1727</v>
      </c>
      <c r="G12" t="s">
        <v>1728</v>
      </c>
      <c r="H12" t="s">
        <v>321</v>
      </c>
      <c r="I12" t="s">
        <v>965</v>
      </c>
      <c r="J12" t="s">
        <v>205</v>
      </c>
      <c r="K12" t="s">
        <v>224</v>
      </c>
      <c r="L12" t="s">
        <v>344</v>
      </c>
      <c r="M12" t="s">
        <v>597</v>
      </c>
      <c r="N12" t="s">
        <v>339</v>
      </c>
      <c r="O12" t="s">
        <v>1209</v>
      </c>
      <c r="P12" s="125">
        <v>56430</v>
      </c>
      <c r="Q12" s="125">
        <v>3.6469999999999998</v>
      </c>
      <c r="R12" s="125">
        <v>10012</v>
      </c>
      <c r="S12" s="103"/>
      <c r="T12" s="125">
        <v>20604.717000000001</v>
      </c>
      <c r="U12" s="126">
        <v>7.2000000000000005E-4</v>
      </c>
      <c r="V12" s="126">
        <v>4.3310000000000001E-2</v>
      </c>
      <c r="W12" s="126">
        <v>1.75E-3</v>
      </c>
    </row>
    <row r="13" spans="1:23" x14ac:dyDescent="0.2">
      <c r="A13" t="s">
        <v>1204</v>
      </c>
      <c r="B13" t="s">
        <v>1204</v>
      </c>
      <c r="C13" t="s">
        <v>1624</v>
      </c>
      <c r="D13" t="s">
        <v>1625</v>
      </c>
      <c r="E13" t="s">
        <v>80</v>
      </c>
      <c r="F13" t="s">
        <v>1729</v>
      </c>
      <c r="G13" t="s">
        <v>1730</v>
      </c>
      <c r="H13" t="s">
        <v>321</v>
      </c>
      <c r="I13" t="s">
        <v>965</v>
      </c>
      <c r="J13" t="s">
        <v>205</v>
      </c>
      <c r="K13" t="s">
        <v>224</v>
      </c>
      <c r="L13" t="s">
        <v>344</v>
      </c>
      <c r="M13" t="s">
        <v>602</v>
      </c>
      <c r="N13" t="s">
        <v>339</v>
      </c>
      <c r="O13" t="s">
        <v>1209</v>
      </c>
      <c r="P13" s="125">
        <v>42110</v>
      </c>
      <c r="Q13" s="125">
        <v>3.6469999999999998</v>
      </c>
      <c r="R13" s="125">
        <v>12675</v>
      </c>
      <c r="S13" s="103"/>
      <c r="T13" s="125">
        <v>19465.652999999998</v>
      </c>
      <c r="U13" s="126">
        <v>3.1E-4</v>
      </c>
      <c r="V13" s="126">
        <v>4.0919999999999998E-2</v>
      </c>
      <c r="W13" s="126">
        <v>1.65E-3</v>
      </c>
    </row>
    <row r="14" spans="1:23" x14ac:dyDescent="0.2">
      <c r="A14" t="s">
        <v>1204</v>
      </c>
      <c r="B14" t="s">
        <v>1204</v>
      </c>
      <c r="C14" t="s">
        <v>1731</v>
      </c>
      <c r="D14" t="s">
        <v>1732</v>
      </c>
      <c r="E14" t="s">
        <v>80</v>
      </c>
      <c r="F14" t="s">
        <v>1733</v>
      </c>
      <c r="G14" t="s">
        <v>1734</v>
      </c>
      <c r="H14" t="s">
        <v>321</v>
      </c>
      <c r="I14" t="s">
        <v>965</v>
      </c>
      <c r="J14" t="s">
        <v>205</v>
      </c>
      <c r="K14" t="s">
        <v>224</v>
      </c>
      <c r="L14" t="s">
        <v>344</v>
      </c>
      <c r="M14" t="s">
        <v>595</v>
      </c>
      <c r="N14" t="s">
        <v>339</v>
      </c>
      <c r="O14" t="s">
        <v>1209</v>
      </c>
      <c r="P14" s="125">
        <v>39445</v>
      </c>
      <c r="Q14" s="125">
        <v>3.6469999999999998</v>
      </c>
      <c r="R14" s="125">
        <v>13176</v>
      </c>
      <c r="S14" s="103"/>
      <c r="T14" s="125">
        <v>18954.455000000002</v>
      </c>
      <c r="U14" s="126">
        <v>2.3000000000000001E-4</v>
      </c>
      <c r="V14" s="126">
        <v>3.984E-2</v>
      </c>
      <c r="W14" s="126">
        <v>1.6100000000000001E-3</v>
      </c>
    </row>
    <row r="15" spans="1:23" x14ac:dyDescent="0.2">
      <c r="A15" t="s">
        <v>1204</v>
      </c>
      <c r="B15" t="s">
        <v>1204</v>
      </c>
      <c r="C15" t="s">
        <v>1713</v>
      </c>
      <c r="D15" t="s">
        <v>1714</v>
      </c>
      <c r="E15" t="s">
        <v>80</v>
      </c>
      <c r="F15" t="s">
        <v>1735</v>
      </c>
      <c r="G15" t="s">
        <v>1736</v>
      </c>
      <c r="H15" t="s">
        <v>321</v>
      </c>
      <c r="I15" t="s">
        <v>965</v>
      </c>
      <c r="J15" t="s">
        <v>205</v>
      </c>
      <c r="K15" t="s">
        <v>224</v>
      </c>
      <c r="L15" t="s">
        <v>344</v>
      </c>
      <c r="M15" t="s">
        <v>589</v>
      </c>
      <c r="N15" t="s">
        <v>339</v>
      </c>
      <c r="O15" t="s">
        <v>1209</v>
      </c>
      <c r="P15" s="125">
        <v>33429</v>
      </c>
      <c r="Q15" s="125">
        <v>3.6469999999999998</v>
      </c>
      <c r="R15" s="125">
        <v>13757</v>
      </c>
      <c r="S15" s="103"/>
      <c r="T15" s="125">
        <v>16771.923999999999</v>
      </c>
      <c r="U15" s="126">
        <v>1.2E-4</v>
      </c>
      <c r="V15" s="126">
        <v>3.526E-2</v>
      </c>
      <c r="W15" s="126">
        <v>1.42E-3</v>
      </c>
    </row>
    <row r="16" spans="1:23" x14ac:dyDescent="0.2">
      <c r="A16" t="s">
        <v>1204</v>
      </c>
      <c r="B16" t="s">
        <v>1204</v>
      </c>
      <c r="C16" t="s">
        <v>1737</v>
      </c>
      <c r="D16" t="s">
        <v>1738</v>
      </c>
      <c r="E16" t="s">
        <v>80</v>
      </c>
      <c r="F16" t="s">
        <v>1739</v>
      </c>
      <c r="G16" t="s">
        <v>1740</v>
      </c>
      <c r="H16" t="s">
        <v>321</v>
      </c>
      <c r="I16" t="s">
        <v>965</v>
      </c>
      <c r="J16" t="s">
        <v>205</v>
      </c>
      <c r="K16" t="s">
        <v>224</v>
      </c>
      <c r="L16" t="s">
        <v>344</v>
      </c>
      <c r="M16" t="s">
        <v>595</v>
      </c>
      <c r="N16" t="s">
        <v>339</v>
      </c>
      <c r="O16" t="s">
        <v>1209</v>
      </c>
      <c r="P16" s="125">
        <v>36252</v>
      </c>
      <c r="Q16" s="125">
        <v>3.6469999999999998</v>
      </c>
      <c r="R16" s="125">
        <v>10550</v>
      </c>
      <c r="S16" s="103"/>
      <c r="T16" s="125">
        <v>13948.264999999999</v>
      </c>
      <c r="U16" s="126">
        <v>2.3E-3</v>
      </c>
      <c r="V16" s="126">
        <v>2.9319999999999999E-2</v>
      </c>
      <c r="W16" s="126">
        <v>1.1800000000000001E-3</v>
      </c>
    </row>
    <row r="17" spans="1:36" x14ac:dyDescent="0.2">
      <c r="A17" t="s">
        <v>1204</v>
      </c>
      <c r="B17" t="s">
        <v>1204</v>
      </c>
      <c r="C17" t="s">
        <v>1717</v>
      </c>
      <c r="D17" t="s">
        <v>1718</v>
      </c>
      <c r="E17" t="s">
        <v>80</v>
      </c>
      <c r="F17" t="s">
        <v>1741</v>
      </c>
      <c r="G17" t="s">
        <v>1742</v>
      </c>
      <c r="H17" t="s">
        <v>321</v>
      </c>
      <c r="I17" t="s">
        <v>965</v>
      </c>
      <c r="J17" t="s">
        <v>205</v>
      </c>
      <c r="K17" t="s">
        <v>224</v>
      </c>
      <c r="L17" t="s">
        <v>344</v>
      </c>
      <c r="M17" t="s">
        <v>604</v>
      </c>
      <c r="N17" t="s">
        <v>339</v>
      </c>
      <c r="O17" t="s">
        <v>1209</v>
      </c>
      <c r="P17" s="125">
        <v>100111</v>
      </c>
      <c r="Q17" s="125">
        <v>3.6469999999999998</v>
      </c>
      <c r="R17" s="125">
        <v>3742</v>
      </c>
      <c r="S17" s="103"/>
      <c r="T17" s="125">
        <v>13662.222</v>
      </c>
      <c r="U17" s="126">
        <v>8.9999999999999998E-4</v>
      </c>
      <c r="V17" s="126">
        <v>2.8719999999999999E-2</v>
      </c>
      <c r="W17" s="126">
        <v>1.16E-3</v>
      </c>
    </row>
    <row r="18" spans="1:36" x14ac:dyDescent="0.2">
      <c r="A18" t="s">
        <v>1204</v>
      </c>
      <c r="B18" t="s">
        <v>1204</v>
      </c>
      <c r="C18" t="s">
        <v>1743</v>
      </c>
      <c r="D18" t="s">
        <v>1744</v>
      </c>
      <c r="E18" t="s">
        <v>80</v>
      </c>
      <c r="F18" t="s">
        <v>1745</v>
      </c>
      <c r="G18" t="s">
        <v>1746</v>
      </c>
      <c r="H18" t="s">
        <v>321</v>
      </c>
      <c r="I18" t="s">
        <v>965</v>
      </c>
      <c r="J18" t="s">
        <v>205</v>
      </c>
      <c r="K18" t="s">
        <v>224</v>
      </c>
      <c r="L18" t="s">
        <v>346</v>
      </c>
      <c r="M18" t="s">
        <v>602</v>
      </c>
      <c r="N18" t="s">
        <v>339</v>
      </c>
      <c r="O18" t="s">
        <v>1209</v>
      </c>
      <c r="P18" s="125">
        <v>41720</v>
      </c>
      <c r="Q18" s="125">
        <v>3.6469999999999998</v>
      </c>
      <c r="R18" s="125">
        <v>8933</v>
      </c>
      <c r="S18" s="103"/>
      <c r="T18" s="125">
        <v>13591.813</v>
      </c>
      <c r="U18" s="126">
        <v>5.6930000000000001E-2</v>
      </c>
      <c r="V18" s="126">
        <v>2.8570000000000002E-2</v>
      </c>
      <c r="W18" s="126">
        <v>1.15E-3</v>
      </c>
    </row>
    <row r="19" spans="1:36" x14ac:dyDescent="0.2">
      <c r="A19" t="s">
        <v>1204</v>
      </c>
      <c r="B19" t="s">
        <v>1204</v>
      </c>
      <c r="C19" t="s">
        <v>1747</v>
      </c>
      <c r="D19" t="s">
        <v>1748</v>
      </c>
      <c r="E19" t="s">
        <v>80</v>
      </c>
      <c r="F19" t="s">
        <v>1749</v>
      </c>
      <c r="G19" t="s">
        <v>1750</v>
      </c>
      <c r="H19" t="s">
        <v>321</v>
      </c>
      <c r="I19" t="s">
        <v>965</v>
      </c>
      <c r="J19" t="s">
        <v>205</v>
      </c>
      <c r="K19" t="s">
        <v>224</v>
      </c>
      <c r="L19" t="s">
        <v>344</v>
      </c>
      <c r="M19" t="s">
        <v>595</v>
      </c>
      <c r="N19" t="s">
        <v>339</v>
      </c>
      <c r="O19" t="s">
        <v>1209</v>
      </c>
      <c r="P19" s="125">
        <v>45994</v>
      </c>
      <c r="Q19" s="125">
        <v>3.6469999999999998</v>
      </c>
      <c r="R19" s="125">
        <v>7861</v>
      </c>
      <c r="S19" s="103"/>
      <c r="T19" s="125">
        <v>13186.050999999999</v>
      </c>
      <c r="U19" s="126">
        <v>9.1E-4</v>
      </c>
      <c r="V19" s="126">
        <v>2.7720000000000002E-2</v>
      </c>
      <c r="W19" s="126">
        <v>1.1199999999999999E-3</v>
      </c>
    </row>
    <row r="20" spans="1:36" x14ac:dyDescent="0.2">
      <c r="A20" t="s">
        <v>1204</v>
      </c>
      <c r="B20" t="s">
        <v>1204</v>
      </c>
      <c r="C20" t="s">
        <v>1751</v>
      </c>
      <c r="D20" t="s">
        <v>1752</v>
      </c>
      <c r="E20" t="s">
        <v>80</v>
      </c>
      <c r="F20" t="s">
        <v>1753</v>
      </c>
      <c r="G20" t="s">
        <v>1754</v>
      </c>
      <c r="H20" t="s">
        <v>321</v>
      </c>
      <c r="I20" t="s">
        <v>965</v>
      </c>
      <c r="J20" t="s">
        <v>205</v>
      </c>
      <c r="K20" t="s">
        <v>224</v>
      </c>
      <c r="L20" t="s">
        <v>344</v>
      </c>
      <c r="M20" t="s">
        <v>595</v>
      </c>
      <c r="N20" t="s">
        <v>339</v>
      </c>
      <c r="O20" t="s">
        <v>1209</v>
      </c>
      <c r="P20" s="125">
        <v>12480</v>
      </c>
      <c r="Q20" s="125">
        <v>3.6469999999999998</v>
      </c>
      <c r="R20" s="125">
        <v>24217</v>
      </c>
      <c r="S20" s="102"/>
      <c r="T20" s="125">
        <v>11022.261</v>
      </c>
      <c r="U20" s="126">
        <v>1.3999999999999999E-4</v>
      </c>
      <c r="V20" s="126">
        <v>2.317E-2</v>
      </c>
      <c r="W20" s="126">
        <v>9.3000000000000005E-4</v>
      </c>
    </row>
    <row r="21" spans="1:36" x14ac:dyDescent="0.2">
      <c r="A21" t="s">
        <v>1204</v>
      </c>
      <c r="B21" t="s">
        <v>1204</v>
      </c>
      <c r="C21" t="s">
        <v>1755</v>
      </c>
      <c r="D21" t="s">
        <v>1756</v>
      </c>
      <c r="E21" t="s">
        <v>80</v>
      </c>
      <c r="F21" t="s">
        <v>1757</v>
      </c>
      <c r="G21" t="s">
        <v>1758</v>
      </c>
      <c r="H21" t="s">
        <v>321</v>
      </c>
      <c r="I21" t="s">
        <v>965</v>
      </c>
      <c r="J21" t="s">
        <v>205</v>
      </c>
      <c r="K21" t="s">
        <v>224</v>
      </c>
      <c r="L21" t="s">
        <v>344</v>
      </c>
      <c r="M21" t="s">
        <v>596</v>
      </c>
      <c r="N21" t="s">
        <v>339</v>
      </c>
      <c r="O21" t="s">
        <v>1209</v>
      </c>
      <c r="P21" s="125">
        <v>20000</v>
      </c>
      <c r="Q21" s="125">
        <v>3.6469999999999998</v>
      </c>
      <c r="R21" s="125">
        <v>14535</v>
      </c>
      <c r="S21" s="102"/>
      <c r="T21" s="125">
        <v>10601.829</v>
      </c>
      <c r="U21" s="126">
        <v>4.4999999999999999E-4</v>
      </c>
      <c r="V21" s="126">
        <v>2.2290000000000001E-2</v>
      </c>
      <c r="W21" s="126">
        <v>8.9999999999999998E-4</v>
      </c>
    </row>
    <row r="22" spans="1:36" x14ac:dyDescent="0.2">
      <c r="A22" t="s">
        <v>1204</v>
      </c>
      <c r="B22" t="s">
        <v>1204</v>
      </c>
      <c r="C22" t="s">
        <v>1759</v>
      </c>
      <c r="D22" t="s">
        <v>1760</v>
      </c>
      <c r="E22" t="s">
        <v>80</v>
      </c>
      <c r="F22" t="s">
        <v>1761</v>
      </c>
      <c r="G22" t="s">
        <v>1762</v>
      </c>
      <c r="H22" t="s">
        <v>321</v>
      </c>
      <c r="I22" t="s">
        <v>965</v>
      </c>
      <c r="J22" t="s">
        <v>205</v>
      </c>
      <c r="K22" t="s">
        <v>224</v>
      </c>
      <c r="L22" t="s">
        <v>344</v>
      </c>
      <c r="M22" t="s">
        <v>611</v>
      </c>
      <c r="N22" t="s">
        <v>339</v>
      </c>
      <c r="O22" t="s">
        <v>1209</v>
      </c>
      <c r="P22" s="125">
        <v>75760</v>
      </c>
      <c r="Q22" s="125">
        <v>3.6469999999999998</v>
      </c>
      <c r="R22" s="125">
        <v>3741</v>
      </c>
      <c r="S22" s="102"/>
      <c r="T22" s="125">
        <v>10336.26</v>
      </c>
      <c r="U22" s="126">
        <v>9.5200000000000007E-3</v>
      </c>
      <c r="V22" s="126">
        <v>2.1729999999999999E-2</v>
      </c>
      <c r="W22" s="126">
        <v>8.8000000000000003E-4</v>
      </c>
    </row>
    <row r="23" spans="1:36" x14ac:dyDescent="0.2">
      <c r="A23" t="s">
        <v>1204</v>
      </c>
      <c r="B23" t="s">
        <v>1204</v>
      </c>
      <c r="C23" t="s">
        <v>1763</v>
      </c>
      <c r="D23" t="s">
        <v>1764</v>
      </c>
      <c r="E23" t="s">
        <v>80</v>
      </c>
      <c r="F23" t="s">
        <v>1765</v>
      </c>
      <c r="G23" t="s">
        <v>1766</v>
      </c>
      <c r="H23" t="s">
        <v>321</v>
      </c>
      <c r="I23" t="s">
        <v>965</v>
      </c>
      <c r="J23" t="s">
        <v>205</v>
      </c>
      <c r="K23" t="s">
        <v>224</v>
      </c>
      <c r="L23" t="s">
        <v>344</v>
      </c>
      <c r="M23" t="s">
        <v>596</v>
      </c>
      <c r="N23" t="s">
        <v>339</v>
      </c>
      <c r="O23" t="s">
        <v>1209</v>
      </c>
      <c r="P23" s="125">
        <v>22225</v>
      </c>
      <c r="Q23" s="125">
        <v>3.6469999999999998</v>
      </c>
      <c r="R23" s="125">
        <v>11029</v>
      </c>
      <c r="S23" s="102"/>
      <c r="T23" s="125">
        <v>8939.509</v>
      </c>
      <c r="U23" s="126">
        <v>6.8999999999999997E-4</v>
      </c>
      <c r="V23" s="126">
        <v>1.8790000000000001E-2</v>
      </c>
      <c r="W23" s="126">
        <v>7.6000000000000004E-4</v>
      </c>
    </row>
    <row r="24" spans="1:36" x14ac:dyDescent="0.2">
      <c r="A24" t="s">
        <v>1204</v>
      </c>
      <c r="B24" t="s">
        <v>1204</v>
      </c>
      <c r="C24" t="s">
        <v>1713</v>
      </c>
      <c r="D24" t="s">
        <v>1714</v>
      </c>
      <c r="E24" t="s">
        <v>80</v>
      </c>
      <c r="F24" t="s">
        <v>1767</v>
      </c>
      <c r="G24" t="s">
        <v>1768</v>
      </c>
      <c r="H24" t="s">
        <v>321</v>
      </c>
      <c r="I24" t="s">
        <v>965</v>
      </c>
      <c r="J24" t="s">
        <v>205</v>
      </c>
      <c r="K24" t="s">
        <v>224</v>
      </c>
      <c r="L24" t="s">
        <v>344</v>
      </c>
      <c r="M24" t="s">
        <v>596</v>
      </c>
      <c r="N24" t="s">
        <v>339</v>
      </c>
      <c r="O24" t="s">
        <v>1209</v>
      </c>
      <c r="P24" s="125">
        <v>23200</v>
      </c>
      <c r="Q24" s="125">
        <v>3.6469999999999998</v>
      </c>
      <c r="R24" s="125">
        <v>10450</v>
      </c>
      <c r="S24" s="102"/>
      <c r="T24" s="125">
        <v>8841.7870000000003</v>
      </c>
      <c r="U24" s="126">
        <v>1.4499999999999999E-3</v>
      </c>
      <c r="V24" s="126">
        <v>1.8589999999999999E-2</v>
      </c>
      <c r="W24" s="126">
        <v>7.5000000000000002E-4</v>
      </c>
    </row>
    <row r="25" spans="1:36" x14ac:dyDescent="0.2">
      <c r="A25" t="s">
        <v>1204</v>
      </c>
      <c r="B25" t="s">
        <v>1204</v>
      </c>
      <c r="C25" t="s">
        <v>1624</v>
      </c>
      <c r="D25" t="s">
        <v>1769</v>
      </c>
      <c r="E25" t="s">
        <v>80</v>
      </c>
      <c r="F25" t="s">
        <v>1770</v>
      </c>
      <c r="G25" t="s">
        <v>1771</v>
      </c>
      <c r="H25" t="s">
        <v>321</v>
      </c>
      <c r="I25" t="s">
        <v>965</v>
      </c>
      <c r="J25" t="s">
        <v>205</v>
      </c>
      <c r="K25" t="s">
        <v>224</v>
      </c>
      <c r="L25" t="s">
        <v>344</v>
      </c>
      <c r="M25" t="s">
        <v>596</v>
      </c>
      <c r="N25" t="s">
        <v>339</v>
      </c>
      <c r="O25" t="s">
        <v>1209</v>
      </c>
      <c r="P25" s="125">
        <v>35093</v>
      </c>
      <c r="Q25" s="125">
        <v>3.6469999999999998</v>
      </c>
      <c r="R25" s="125">
        <v>6710</v>
      </c>
      <c r="T25" s="125">
        <v>8587.7379999999994</v>
      </c>
      <c r="U25" s="126">
        <v>2.0000000000000001E-4</v>
      </c>
      <c r="V25" s="126">
        <v>1.805E-2</v>
      </c>
      <c r="W25" s="126">
        <v>7.2999999999999996E-4</v>
      </c>
    </row>
    <row r="26" spans="1:36" x14ac:dyDescent="0.2">
      <c r="A26" t="s">
        <v>1204</v>
      </c>
      <c r="B26" t="s">
        <v>1204</v>
      </c>
      <c r="C26" t="s">
        <v>1743</v>
      </c>
      <c r="D26" t="s">
        <v>1744</v>
      </c>
      <c r="E26" t="s">
        <v>80</v>
      </c>
      <c r="F26" t="s">
        <v>1772</v>
      </c>
      <c r="G26" t="s">
        <v>1773</v>
      </c>
      <c r="H26" t="s">
        <v>321</v>
      </c>
      <c r="I26" t="s">
        <v>965</v>
      </c>
      <c r="J26" t="s">
        <v>205</v>
      </c>
      <c r="K26" t="s">
        <v>224</v>
      </c>
      <c r="L26" t="s">
        <v>344</v>
      </c>
      <c r="M26" t="s">
        <v>595</v>
      </c>
      <c r="N26" t="s">
        <v>339</v>
      </c>
      <c r="O26" t="s">
        <v>1209</v>
      </c>
      <c r="P26" s="125">
        <v>18134</v>
      </c>
      <c r="Q26" s="125">
        <v>3.6469999999999998</v>
      </c>
      <c r="R26" s="125">
        <v>12759</v>
      </c>
      <c r="S26" s="102"/>
      <c r="T26" s="125">
        <v>8438.1260000000002</v>
      </c>
      <c r="U26" s="126">
        <v>5.0000000000000002E-5</v>
      </c>
      <c r="V26" s="126">
        <v>1.7739999999999999E-2</v>
      </c>
      <c r="W26" s="126">
        <v>7.2000000000000005E-4</v>
      </c>
    </row>
    <row r="27" spans="1:36" x14ac:dyDescent="0.2">
      <c r="A27" t="s">
        <v>1204</v>
      </c>
      <c r="B27" t="s">
        <v>1204</v>
      </c>
      <c r="C27" t="s">
        <v>1721</v>
      </c>
      <c r="D27" t="s">
        <v>1774</v>
      </c>
      <c r="E27" t="s">
        <v>80</v>
      </c>
      <c r="F27" t="s">
        <v>1775</v>
      </c>
      <c r="G27" t="s">
        <v>1776</v>
      </c>
      <c r="H27" t="s">
        <v>321</v>
      </c>
      <c r="I27" t="s">
        <v>965</v>
      </c>
      <c r="J27" t="s">
        <v>205</v>
      </c>
      <c r="K27" t="s">
        <v>233</v>
      </c>
      <c r="L27" t="s">
        <v>380</v>
      </c>
      <c r="M27" t="s">
        <v>584</v>
      </c>
      <c r="N27" t="s">
        <v>339</v>
      </c>
      <c r="O27" t="s">
        <v>1209</v>
      </c>
      <c r="P27" s="125">
        <v>7600</v>
      </c>
      <c r="Q27" s="125">
        <v>3.6469999999999998</v>
      </c>
      <c r="R27" s="125">
        <v>25462.5</v>
      </c>
      <c r="T27" s="125">
        <v>7057.4920000000002</v>
      </c>
      <c r="U27" s="126">
        <v>1.1E-4</v>
      </c>
      <c r="V27" s="126">
        <v>1.4840000000000001E-2</v>
      </c>
      <c r="W27" s="126">
        <v>5.9999999999999995E-4</v>
      </c>
    </row>
    <row r="28" spans="1:36" x14ac:dyDescent="0.2">
      <c r="A28" t="s">
        <v>1204</v>
      </c>
      <c r="B28" t="s">
        <v>1204</v>
      </c>
      <c r="C28" t="s">
        <v>1725</v>
      </c>
      <c r="D28" t="s">
        <v>1726</v>
      </c>
      <c r="E28" t="s">
        <v>80</v>
      </c>
      <c r="F28" t="s">
        <v>1777</v>
      </c>
      <c r="G28" t="s">
        <v>1778</v>
      </c>
      <c r="H28" t="s">
        <v>321</v>
      </c>
      <c r="I28" t="s">
        <v>965</v>
      </c>
      <c r="J28" t="s">
        <v>205</v>
      </c>
      <c r="K28" t="s">
        <v>224</v>
      </c>
      <c r="L28" t="s">
        <v>344</v>
      </c>
      <c r="M28" t="s">
        <v>589</v>
      </c>
      <c r="N28" t="s">
        <v>339</v>
      </c>
      <c r="O28" t="s">
        <v>1209</v>
      </c>
      <c r="P28" s="125">
        <v>34650</v>
      </c>
      <c r="Q28" s="125">
        <v>3.6469999999999998</v>
      </c>
      <c r="R28" s="125">
        <v>4799</v>
      </c>
      <c r="T28" s="125">
        <v>6064.4269999999997</v>
      </c>
      <c r="U28" s="126">
        <v>2.4099999999999998E-3</v>
      </c>
      <c r="V28" s="126">
        <v>1.2749999999999999E-2</v>
      </c>
      <c r="W28" s="126">
        <v>5.1000000000000004E-4</v>
      </c>
    </row>
    <row r="29" spans="1:36" x14ac:dyDescent="0.2">
      <c r="A29" t="s">
        <v>1204</v>
      </c>
      <c r="B29" t="s">
        <v>1204</v>
      </c>
      <c r="C29" t="s">
        <v>1779</v>
      </c>
      <c r="D29" t="s">
        <v>1780</v>
      </c>
      <c r="E29" t="s">
        <v>80</v>
      </c>
      <c r="F29" t="s">
        <v>1781</v>
      </c>
      <c r="G29" t="s">
        <v>1782</v>
      </c>
      <c r="H29" t="s">
        <v>321</v>
      </c>
      <c r="I29" t="s">
        <v>965</v>
      </c>
      <c r="J29" t="s">
        <v>205</v>
      </c>
      <c r="K29" t="s">
        <v>224</v>
      </c>
      <c r="L29" t="s">
        <v>346</v>
      </c>
      <c r="M29" t="s">
        <v>597</v>
      </c>
      <c r="N29" t="s">
        <v>339</v>
      </c>
      <c r="O29" t="s">
        <v>1209</v>
      </c>
      <c r="P29" s="125">
        <v>15266</v>
      </c>
      <c r="Q29" s="125">
        <v>3.6469999999999998</v>
      </c>
      <c r="R29" s="125">
        <v>8628</v>
      </c>
      <c r="T29" s="125">
        <v>4803.6480000000001</v>
      </c>
      <c r="U29" s="126">
        <v>2.8800000000000002E-3</v>
      </c>
      <c r="V29" s="126">
        <v>1.01E-2</v>
      </c>
      <c r="W29" s="126">
        <v>4.0999999999999999E-4</v>
      </c>
    </row>
    <row r="30" spans="1:36" x14ac:dyDescent="0.2">
      <c r="A30" t="s">
        <v>1204</v>
      </c>
      <c r="B30" t="s">
        <v>1204</v>
      </c>
      <c r="C30" t="s">
        <v>1783</v>
      </c>
      <c r="D30" t="s">
        <v>1784</v>
      </c>
      <c r="E30" t="s">
        <v>80</v>
      </c>
      <c r="F30" t="s">
        <v>1785</v>
      </c>
      <c r="G30" t="s">
        <v>1786</v>
      </c>
      <c r="H30" t="s">
        <v>321</v>
      </c>
      <c r="I30" t="s">
        <v>965</v>
      </c>
      <c r="J30" t="s">
        <v>205</v>
      </c>
      <c r="K30" t="s">
        <v>224</v>
      </c>
      <c r="L30" t="s">
        <v>344</v>
      </c>
      <c r="M30" t="s">
        <v>604</v>
      </c>
      <c r="N30" t="s">
        <v>339</v>
      </c>
      <c r="O30" t="s">
        <v>1209</v>
      </c>
      <c r="P30" s="125">
        <v>13427</v>
      </c>
      <c r="Q30" s="125">
        <v>3.6469999999999998</v>
      </c>
      <c r="R30" s="125">
        <v>9006</v>
      </c>
      <c r="T30" s="125">
        <v>4410.0820000000003</v>
      </c>
      <c r="U30" s="126">
        <v>1.8000000000000001E-4</v>
      </c>
      <c r="V30" s="126">
        <v>9.2700000000000005E-3</v>
      </c>
      <c r="W30" s="126">
        <v>3.6999999999999999E-4</v>
      </c>
    </row>
    <row r="31" spans="1:36" x14ac:dyDescent="0.2">
      <c r="A31" s="169" t="s">
        <v>2494</v>
      </c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1:AJ31"/>
  </mergeCell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J1048574"/>
  <sheetViews>
    <sheetView rightToLeft="1" workbookViewId="0">
      <selection activeCell="A7" sqref="A7:AJ7"/>
    </sheetView>
  </sheetViews>
  <sheetFormatPr defaultColWidth="9" defaultRowHeight="14.25" x14ac:dyDescent="0.2"/>
  <cols>
    <col min="1" max="1" width="12.2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91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89</v>
      </c>
      <c r="M1" s="168" t="s">
        <v>70</v>
      </c>
      <c r="N1" s="168" t="s">
        <v>90</v>
      </c>
      <c r="O1" s="168" t="s">
        <v>56</v>
      </c>
      <c r="P1" s="168" t="s">
        <v>59</v>
      </c>
      <c r="Q1" s="168" t="s">
        <v>76</v>
      </c>
      <c r="R1" s="168" t="s">
        <v>61</v>
      </c>
      <c r="S1" s="168" t="s">
        <v>77</v>
      </c>
      <c r="T1" s="168" t="s">
        <v>63</v>
      </c>
      <c r="U1" s="168" t="s">
        <v>79</v>
      </c>
      <c r="V1" s="168" t="s">
        <v>64</v>
      </c>
      <c r="W1" s="168" t="s">
        <v>65</v>
      </c>
    </row>
    <row r="2" spans="1:36" x14ac:dyDescent="0.2">
      <c r="A2" t="s">
        <v>1204</v>
      </c>
      <c r="B2" t="s">
        <v>1204</v>
      </c>
      <c r="C2" t="s">
        <v>1787</v>
      </c>
      <c r="D2" t="s">
        <v>1788</v>
      </c>
      <c r="E2" t="s">
        <v>80</v>
      </c>
      <c r="F2" t="s">
        <v>1789</v>
      </c>
      <c r="G2" t="s">
        <v>1790</v>
      </c>
      <c r="H2" t="s">
        <v>321</v>
      </c>
      <c r="I2" t="s">
        <v>917</v>
      </c>
      <c r="J2" t="s">
        <v>205</v>
      </c>
      <c r="K2" t="s">
        <v>296</v>
      </c>
      <c r="L2" t="s">
        <v>325</v>
      </c>
      <c r="M2" t="s">
        <v>314</v>
      </c>
      <c r="N2" t="s">
        <v>595</v>
      </c>
      <c r="O2" t="s">
        <v>339</v>
      </c>
      <c r="P2" t="s">
        <v>1209</v>
      </c>
      <c r="Q2" s="125">
        <v>47392.35</v>
      </c>
      <c r="R2" s="125">
        <v>3.6469999999999998</v>
      </c>
      <c r="S2" s="125">
        <v>20219</v>
      </c>
      <c r="T2" s="125">
        <v>34946.499000000003</v>
      </c>
      <c r="U2" s="126">
        <v>0.1048</v>
      </c>
      <c r="V2" s="126">
        <v>0.28806999999999999</v>
      </c>
      <c r="W2" s="126">
        <v>2.96E-3</v>
      </c>
    </row>
    <row r="3" spans="1:36" x14ac:dyDescent="0.2">
      <c r="A3" t="s">
        <v>1204</v>
      </c>
      <c r="B3" t="s">
        <v>1204</v>
      </c>
      <c r="C3" t="s">
        <v>1791</v>
      </c>
      <c r="D3" t="s">
        <v>1792</v>
      </c>
      <c r="E3" t="s">
        <v>80</v>
      </c>
      <c r="F3" t="s">
        <v>1793</v>
      </c>
      <c r="G3" t="s">
        <v>1794</v>
      </c>
      <c r="H3" t="s">
        <v>321</v>
      </c>
      <c r="I3" t="s">
        <v>917</v>
      </c>
      <c r="J3" t="s">
        <v>205</v>
      </c>
      <c r="K3" t="s">
        <v>244</v>
      </c>
      <c r="L3" t="s">
        <v>325</v>
      </c>
      <c r="M3" t="s">
        <v>344</v>
      </c>
      <c r="N3" t="s">
        <v>713</v>
      </c>
      <c r="O3" t="s">
        <v>339</v>
      </c>
      <c r="P3" t="s">
        <v>1209</v>
      </c>
      <c r="Q3" s="125">
        <v>233352.86</v>
      </c>
      <c r="R3" s="125">
        <v>3.6469999999999998</v>
      </c>
      <c r="S3" s="125">
        <v>3492.29</v>
      </c>
      <c r="T3" s="125">
        <v>29720.710999999999</v>
      </c>
      <c r="U3" s="126">
        <v>1.193E-2</v>
      </c>
      <c r="V3" s="126">
        <v>0.24499000000000001</v>
      </c>
      <c r="W3" s="126">
        <v>2.5200000000000001E-3</v>
      </c>
    </row>
    <row r="4" spans="1:36" x14ac:dyDescent="0.2">
      <c r="A4" t="s">
        <v>1204</v>
      </c>
      <c r="B4" t="s">
        <v>1204</v>
      </c>
      <c r="C4" t="s">
        <v>1795</v>
      </c>
      <c r="D4" t="s">
        <v>1796</v>
      </c>
      <c r="E4" t="s">
        <v>80</v>
      </c>
      <c r="F4" t="s">
        <v>1797</v>
      </c>
      <c r="G4" t="s">
        <v>1798</v>
      </c>
      <c r="H4" t="s">
        <v>321</v>
      </c>
      <c r="I4" t="s">
        <v>917</v>
      </c>
      <c r="J4" t="s">
        <v>205</v>
      </c>
      <c r="K4" t="s">
        <v>268</v>
      </c>
      <c r="L4" t="s">
        <v>325</v>
      </c>
      <c r="M4" t="s">
        <v>344</v>
      </c>
      <c r="N4" t="s">
        <v>713</v>
      </c>
      <c r="O4" t="s">
        <v>339</v>
      </c>
      <c r="P4" t="s">
        <v>1209</v>
      </c>
      <c r="Q4" s="125">
        <v>674140.94</v>
      </c>
      <c r="R4" s="125">
        <v>3.6469999999999998</v>
      </c>
      <c r="S4" s="125">
        <v>1080</v>
      </c>
      <c r="T4" s="125">
        <v>26552.794000000002</v>
      </c>
      <c r="U4" s="126">
        <v>8.2210000000000005E-2</v>
      </c>
      <c r="V4" s="126">
        <v>0.21887999999999999</v>
      </c>
      <c r="W4" s="126">
        <v>2.2499999999999998E-3</v>
      </c>
    </row>
    <row r="5" spans="1:36" x14ac:dyDescent="0.2">
      <c r="A5" t="s">
        <v>1204</v>
      </c>
      <c r="B5" t="s">
        <v>1204</v>
      </c>
      <c r="C5" t="s">
        <v>1799</v>
      </c>
      <c r="D5" t="s">
        <v>1800</v>
      </c>
      <c r="E5" t="s">
        <v>80</v>
      </c>
      <c r="F5" t="s">
        <v>1801</v>
      </c>
      <c r="G5" t="s">
        <v>1802</v>
      </c>
      <c r="H5" t="s">
        <v>321</v>
      </c>
      <c r="I5" t="s">
        <v>917</v>
      </c>
      <c r="J5" t="s">
        <v>205</v>
      </c>
      <c r="K5" t="s">
        <v>251</v>
      </c>
      <c r="L5" t="s">
        <v>325</v>
      </c>
      <c r="M5" t="s">
        <v>314</v>
      </c>
      <c r="N5" t="s">
        <v>713</v>
      </c>
      <c r="O5" t="s">
        <v>339</v>
      </c>
      <c r="P5" t="s">
        <v>1209</v>
      </c>
      <c r="Q5" s="125">
        <v>125524.9</v>
      </c>
      <c r="R5" s="125">
        <v>3.6469999999999998</v>
      </c>
      <c r="S5" s="125">
        <v>3651</v>
      </c>
      <c r="T5" s="125">
        <v>16713.887999999999</v>
      </c>
      <c r="U5" s="126">
        <v>1.0000000000000001E-5</v>
      </c>
      <c r="V5" s="126">
        <v>0.13777</v>
      </c>
      <c r="W5" s="126">
        <v>1.42E-3</v>
      </c>
    </row>
    <row r="6" spans="1:36" x14ac:dyDescent="0.2">
      <c r="A6" t="s">
        <v>1204</v>
      </c>
      <c r="B6" t="s">
        <v>1204</v>
      </c>
      <c r="C6" t="s">
        <v>1795</v>
      </c>
      <c r="D6" t="s">
        <v>1796</v>
      </c>
      <c r="E6" t="s">
        <v>80</v>
      </c>
      <c r="F6" t="s">
        <v>1803</v>
      </c>
      <c r="G6" t="s">
        <v>1804</v>
      </c>
      <c r="H6" t="s">
        <v>321</v>
      </c>
      <c r="I6" t="s">
        <v>917</v>
      </c>
      <c r="J6" t="s">
        <v>205</v>
      </c>
      <c r="K6" t="s">
        <v>246</v>
      </c>
      <c r="L6" t="s">
        <v>325</v>
      </c>
      <c r="M6" t="s">
        <v>370</v>
      </c>
      <c r="N6" t="s">
        <v>713</v>
      </c>
      <c r="O6" t="s">
        <v>339</v>
      </c>
      <c r="P6" t="s">
        <v>1209</v>
      </c>
      <c r="Q6" s="125">
        <v>301945.59999999998</v>
      </c>
      <c r="R6" s="125">
        <v>3.6469999999999998</v>
      </c>
      <c r="S6" s="125">
        <v>1215</v>
      </c>
      <c r="T6" s="125">
        <v>13379.527</v>
      </c>
      <c r="U6" s="126">
        <v>3.6819999999999999E-2</v>
      </c>
      <c r="V6" s="126">
        <v>0.11029</v>
      </c>
      <c r="W6" s="126">
        <v>1.1299999999999999E-3</v>
      </c>
    </row>
    <row r="7" spans="1:36" x14ac:dyDescent="0.2">
      <c r="A7" s="169" t="s">
        <v>2494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</row>
    <row r="8" spans="1:36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/>
      <c r="M8" s="16"/>
      <c r="N8" s="103"/>
      <c r="O8" s="103"/>
      <c r="P8" s="16"/>
      <c r="Q8" s="16"/>
      <c r="R8" s="16"/>
      <c r="S8" s="16"/>
      <c r="T8" s="16"/>
      <c r="U8" s="16"/>
      <c r="V8" s="16"/>
      <c r="W8" s="16"/>
    </row>
    <row r="9" spans="1:36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/>
      <c r="M9" s="16"/>
      <c r="N9" s="103"/>
      <c r="O9" s="103"/>
      <c r="P9" s="16"/>
      <c r="Q9" s="16"/>
      <c r="R9" s="16"/>
      <c r="S9" s="16"/>
      <c r="T9" s="16"/>
      <c r="U9" s="16"/>
      <c r="V9" s="16"/>
      <c r="W9" s="16"/>
    </row>
    <row r="10" spans="1:36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/>
      <c r="M10" s="16"/>
      <c r="N10" s="103"/>
      <c r="O10" s="103"/>
      <c r="P10" s="16"/>
      <c r="Q10" s="16"/>
      <c r="R10" s="16"/>
      <c r="S10" s="16"/>
      <c r="T10" s="16"/>
      <c r="U10" s="16"/>
      <c r="V10" s="16"/>
      <c r="W10" s="16"/>
    </row>
    <row r="11" spans="1:36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/>
      <c r="M11" s="16"/>
      <c r="N11" s="103"/>
      <c r="O11" s="103"/>
      <c r="P11" s="16"/>
      <c r="Q11" s="16"/>
      <c r="R11" s="16"/>
      <c r="S11" s="16"/>
      <c r="T11" s="16"/>
      <c r="U11" s="16"/>
      <c r="V11" s="16"/>
      <c r="W11" s="16"/>
    </row>
    <row r="12" spans="1:36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/>
      <c r="M12" s="16"/>
      <c r="N12" s="103"/>
      <c r="O12" s="103"/>
      <c r="P12" s="16"/>
      <c r="Q12" s="16"/>
      <c r="R12" s="16"/>
      <c r="S12" s="16"/>
      <c r="T12" s="16"/>
      <c r="U12" s="16"/>
      <c r="V12" s="16"/>
      <c r="W12" s="16"/>
    </row>
    <row r="13" spans="1:36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/>
      <c r="M13" s="16"/>
      <c r="N13" s="103"/>
      <c r="O13" s="103"/>
      <c r="P13" s="16"/>
      <c r="Q13" s="16"/>
      <c r="R13" s="16"/>
      <c r="S13" s="16"/>
      <c r="T13" s="16"/>
      <c r="U13" s="16"/>
      <c r="V13" s="16"/>
      <c r="W13" s="16"/>
    </row>
    <row r="14" spans="1:36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/>
      <c r="M14" s="16"/>
      <c r="N14" s="103"/>
      <c r="O14" s="103"/>
      <c r="P14" s="16"/>
      <c r="Q14" s="16"/>
      <c r="R14" s="16"/>
      <c r="S14" s="16"/>
      <c r="T14" s="16"/>
      <c r="U14" s="16"/>
      <c r="V14" s="16"/>
      <c r="W14" s="16"/>
    </row>
    <row r="15" spans="1:36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/>
      <c r="M15" s="16"/>
      <c r="N15" s="103"/>
      <c r="O15" s="103"/>
      <c r="P15" s="16"/>
      <c r="Q15" s="16"/>
      <c r="R15" s="16"/>
      <c r="S15" s="16"/>
      <c r="T15" s="16"/>
      <c r="U15" s="16"/>
      <c r="V15" s="16"/>
      <c r="W15" s="16"/>
    </row>
    <row r="16" spans="1:36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/>
      <c r="M16" s="16"/>
      <c r="N16" s="103"/>
      <c r="O16" s="103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/>
      <c r="M17" s="16"/>
      <c r="N17" s="103"/>
      <c r="O17" s="103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/>
      <c r="M18" s="16"/>
      <c r="N18" s="103"/>
      <c r="O18" s="103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/>
      <c r="M19" s="16"/>
      <c r="N19" s="103"/>
      <c r="O19" s="103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E20" s="16"/>
      <c r="H20" s="16"/>
      <c r="I20" s="16"/>
      <c r="J20" s="16"/>
      <c r="K20" s="16"/>
      <c r="L20"/>
      <c r="M20" s="16"/>
      <c r="N20" s="103"/>
      <c r="O20" s="103"/>
    </row>
    <row r="21" spans="1:23" x14ac:dyDescent="0.2">
      <c r="L21"/>
      <c r="M21" s="4"/>
    </row>
    <row r="22" spans="1:23" x14ac:dyDescent="0.2">
      <c r="H22" s="102"/>
      <c r="L22"/>
      <c r="M22" s="4"/>
    </row>
    <row r="23" spans="1:23" x14ac:dyDescent="0.2">
      <c r="H23" s="102"/>
      <c r="L23"/>
      <c r="M23" s="102"/>
    </row>
    <row r="24" spans="1:23" x14ac:dyDescent="0.2">
      <c r="H24" s="102"/>
      <c r="L24"/>
      <c r="M24" s="102"/>
    </row>
    <row r="25" spans="1:23" x14ac:dyDescent="0.2">
      <c r="H25" s="102"/>
      <c r="L25"/>
      <c r="M25" s="102"/>
    </row>
    <row r="26" spans="1:23" x14ac:dyDescent="0.2">
      <c r="H26" s="102"/>
      <c r="M26" s="102"/>
    </row>
    <row r="27" spans="1:23" x14ac:dyDescent="0.2">
      <c r="H27" s="102"/>
      <c r="M27" s="102"/>
    </row>
    <row r="28" spans="1:23" x14ac:dyDescent="0.2">
      <c r="H28" s="102"/>
      <c r="M28" s="102"/>
    </row>
    <row r="1048574" spans="14:14" x14ac:dyDescent="0.2">
      <c r="N1048574" s="104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7:AJ7"/>
  </mergeCells>
  <dataValidations count="8">
    <dataValidation type="list" allowBlank="1" showInputMessage="1" showErrorMessage="1" sqref="J2:J6 J8:J20" xr:uid="{00000000-0002-0000-0800-000000000000}">
      <formula1>israel_abroad</formula1>
    </dataValidation>
    <dataValidation type="list" allowBlank="1" showInputMessage="1" showErrorMessage="1" sqref="O2:O6 O8:O20" xr:uid="{00000000-0002-0000-0800-000001000000}">
      <formula1>Holding_interest</formula1>
    </dataValidation>
    <dataValidation type="list" allowBlank="1" showInputMessage="1" showErrorMessage="1" sqref="N2:N6 N8:N20" xr:uid="{00000000-0002-0000-0800-000002000000}">
      <formula1>Fund_type</formula1>
    </dataValidation>
    <dataValidation type="list" allowBlank="1" showInputMessage="1" showErrorMessage="1" sqref="E2:E6 E8:E20" xr:uid="{00000000-0002-0000-0800-000003000000}">
      <formula1>Issuer_Type_TFunds</formula1>
    </dataValidation>
    <dataValidation type="list" allowBlank="1" showInputMessage="1" showErrorMessage="1" sqref="H2:H6 H8:H20" xr:uid="{00000000-0002-0000-0800-000004000000}">
      <formula1>Security_ID_Number_Type</formula1>
    </dataValidation>
    <dataValidation type="list" allowBlank="1" showInputMessage="1" showErrorMessage="1" sqref="L2:L6 L8:L20" xr:uid="{00000000-0002-0000-0800-000005000000}">
      <formula1>tradeable_status_funds</formula1>
    </dataValidation>
    <dataValidation type="list" allowBlank="1" showInputMessage="1" showErrorMessage="1" sqref="K2:K6 K8:K20" xr:uid="{00000000-0002-0000-0800-000006000000}">
      <formula1>Country_list_funds</formula1>
    </dataValidation>
    <dataValidation type="list" allowBlank="1" showInputMessage="1" showErrorMessage="1" sqref="M2:M6 M8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I2:I6 I8:I20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J22"/>
  <sheetViews>
    <sheetView rightToLeft="1" workbookViewId="0">
      <selection activeCell="A3" sqref="A3:AJ3"/>
    </sheetView>
  </sheetViews>
  <sheetFormatPr defaultColWidth="9" defaultRowHeight="14.25" x14ac:dyDescent="0.2"/>
  <cols>
    <col min="1" max="1" width="12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55</v>
      </c>
      <c r="J1" s="168" t="s">
        <v>69</v>
      </c>
      <c r="K1" s="168" t="s">
        <v>89</v>
      </c>
      <c r="L1" s="168" t="s">
        <v>70</v>
      </c>
      <c r="M1" s="168" t="s">
        <v>92</v>
      </c>
      <c r="N1" s="168" t="s">
        <v>83</v>
      </c>
      <c r="O1" s="168" t="s">
        <v>93</v>
      </c>
      <c r="P1" s="168" t="s">
        <v>56</v>
      </c>
      <c r="Q1" s="168" t="s">
        <v>59</v>
      </c>
      <c r="R1" s="168" t="s">
        <v>94</v>
      </c>
      <c r="S1" s="168" t="s">
        <v>95</v>
      </c>
      <c r="T1" s="168" t="s">
        <v>76</v>
      </c>
      <c r="U1" s="168" t="s">
        <v>61</v>
      </c>
      <c r="V1" s="168" t="s">
        <v>77</v>
      </c>
      <c r="W1" s="168" t="s">
        <v>63</v>
      </c>
      <c r="X1" s="168" t="s">
        <v>64</v>
      </c>
      <c r="Y1" s="168" t="s">
        <v>65</v>
      </c>
    </row>
    <row r="2" spans="1:36" x14ac:dyDescent="0.2">
      <c r="A2" t="s">
        <v>1204</v>
      </c>
      <c r="B2" t="s">
        <v>1204</v>
      </c>
      <c r="C2" s="103"/>
      <c r="D2" s="103"/>
      <c r="E2" s="16"/>
      <c r="F2" s="103"/>
      <c r="G2" s="103"/>
      <c r="H2" s="16"/>
      <c r="I2" s="16"/>
      <c r="J2" s="16"/>
      <c r="K2" s="103"/>
      <c r="L2" s="16"/>
      <c r="M2" s="103"/>
      <c r="N2" s="103"/>
      <c r="O2" s="103"/>
      <c r="P2" s="103"/>
      <c r="Q2" s="16"/>
      <c r="R2" s="16"/>
      <c r="S2" s="16"/>
      <c r="T2" s="103"/>
      <c r="U2" s="103"/>
      <c r="V2" s="103"/>
      <c r="W2" s="103"/>
      <c r="X2" s="103"/>
      <c r="Y2" s="103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3"/>
      <c r="D4" s="103"/>
      <c r="E4" s="16"/>
      <c r="F4" s="103"/>
      <c r="G4" s="103"/>
      <c r="H4" s="16"/>
      <c r="I4" s="16"/>
      <c r="J4" s="16"/>
      <c r="K4" s="103"/>
      <c r="L4" s="16"/>
      <c r="M4" s="103"/>
      <c r="N4" s="103"/>
      <c r="O4" s="103"/>
      <c r="P4" s="103"/>
      <c r="Q4" s="16"/>
      <c r="R4" s="16"/>
      <c r="S4" s="16"/>
      <c r="T4" s="103"/>
      <c r="U4" s="103"/>
      <c r="V4" s="103"/>
      <c r="W4" s="103"/>
      <c r="X4" s="103"/>
      <c r="Y4" s="103"/>
    </row>
    <row r="5" spans="1:36" x14ac:dyDescent="0.2">
      <c r="A5" s="103"/>
      <c r="B5" s="103"/>
      <c r="C5" s="103"/>
      <c r="D5" s="103"/>
      <c r="E5" s="16"/>
      <c r="F5" s="103"/>
      <c r="G5" s="103"/>
      <c r="H5" s="16"/>
      <c r="I5" s="16"/>
      <c r="J5" s="16"/>
      <c r="K5" s="103"/>
      <c r="L5" s="16"/>
      <c r="M5" s="103"/>
      <c r="N5" s="103"/>
      <c r="O5" s="103"/>
      <c r="P5" s="103"/>
      <c r="Q5" s="16"/>
      <c r="R5" s="16"/>
      <c r="S5" s="16"/>
      <c r="T5" s="103"/>
      <c r="U5" s="103"/>
      <c r="V5" s="103"/>
      <c r="W5" s="103"/>
      <c r="X5" s="103"/>
      <c r="Y5" s="103"/>
    </row>
    <row r="6" spans="1:36" x14ac:dyDescent="0.2">
      <c r="A6" s="103"/>
      <c r="B6" s="103"/>
      <c r="C6" s="103"/>
      <c r="D6" s="103"/>
      <c r="E6" s="16"/>
      <c r="F6" s="103"/>
      <c r="G6" s="103"/>
      <c r="H6" s="16"/>
      <c r="I6" s="16"/>
      <c r="J6" s="16"/>
      <c r="K6" s="103"/>
      <c r="L6" s="16"/>
      <c r="M6" s="103"/>
      <c r="N6" s="103"/>
      <c r="O6" s="103"/>
      <c r="P6" s="103"/>
      <c r="Q6" s="16"/>
      <c r="R6" s="16"/>
      <c r="S6" s="16"/>
      <c r="T6" s="103"/>
      <c r="U6" s="103"/>
      <c r="V6" s="103"/>
      <c r="W6" s="103"/>
      <c r="X6" s="103"/>
      <c r="Y6" s="103"/>
    </row>
    <row r="7" spans="1:36" x14ac:dyDescent="0.2">
      <c r="A7" s="103"/>
      <c r="B7" s="103"/>
      <c r="C7" s="103"/>
      <c r="D7" s="103"/>
      <c r="E7" s="16"/>
      <c r="F7" s="103"/>
      <c r="G7" s="103"/>
      <c r="H7" s="16"/>
      <c r="I7" s="16"/>
      <c r="J7" s="16"/>
      <c r="K7" s="103"/>
      <c r="L7" s="16"/>
      <c r="M7" s="103"/>
      <c r="N7" s="103"/>
      <c r="O7" s="103"/>
      <c r="P7" s="103"/>
      <c r="Q7" s="16"/>
      <c r="R7" s="16"/>
      <c r="S7" s="16"/>
      <c r="T7" s="103"/>
      <c r="U7" s="103"/>
      <c r="V7" s="103"/>
      <c r="W7" s="103"/>
      <c r="X7" s="103"/>
      <c r="Y7" s="103"/>
    </row>
    <row r="8" spans="1:36" x14ac:dyDescent="0.2">
      <c r="A8" s="103"/>
      <c r="B8" s="103"/>
      <c r="C8" s="103"/>
      <c r="D8" s="103"/>
      <c r="E8" s="16"/>
      <c r="F8" s="103"/>
      <c r="G8" s="103"/>
      <c r="H8" s="16"/>
      <c r="I8" s="16"/>
      <c r="J8" s="16"/>
      <c r="K8" s="103"/>
      <c r="L8" s="16"/>
      <c r="M8" s="103"/>
      <c r="N8" s="103"/>
      <c r="O8" s="103"/>
      <c r="P8" s="103"/>
      <c r="Q8" s="16"/>
      <c r="R8" s="16"/>
      <c r="S8" s="16"/>
      <c r="T8" s="103"/>
      <c r="U8" s="103"/>
      <c r="V8" s="103"/>
      <c r="W8" s="103"/>
      <c r="X8" s="103"/>
      <c r="Y8" s="103"/>
    </row>
    <row r="9" spans="1:36" x14ac:dyDescent="0.2">
      <c r="A9" s="103"/>
      <c r="B9" s="103"/>
      <c r="C9" s="103"/>
      <c r="D9" s="103"/>
      <c r="E9" s="16"/>
      <c r="F9" s="103"/>
      <c r="G9" s="103"/>
      <c r="H9" s="16"/>
      <c r="I9" s="16"/>
      <c r="J9" s="16"/>
      <c r="K9" s="103"/>
      <c r="L9" s="16"/>
      <c r="M9" s="103"/>
      <c r="N9" s="103"/>
      <c r="O9" s="103"/>
      <c r="P9" s="103"/>
      <c r="Q9" s="16"/>
      <c r="R9" s="16"/>
      <c r="S9" s="16"/>
      <c r="T9" s="103"/>
      <c r="U9" s="103"/>
      <c r="V9" s="103"/>
      <c r="W9" s="103"/>
      <c r="X9" s="103"/>
      <c r="Y9" s="103"/>
    </row>
    <row r="10" spans="1:36" x14ac:dyDescent="0.2">
      <c r="A10" s="103"/>
      <c r="B10" s="103"/>
      <c r="C10" s="103"/>
      <c r="D10" s="103"/>
      <c r="E10" s="16"/>
      <c r="F10" s="103"/>
      <c r="G10" s="103"/>
      <c r="H10" s="16"/>
      <c r="I10" s="16"/>
      <c r="J10" s="16"/>
      <c r="K10" s="103"/>
      <c r="L10" s="16"/>
      <c r="M10" s="103"/>
      <c r="N10" s="103"/>
      <c r="O10" s="103"/>
      <c r="P10" s="103"/>
      <c r="Q10" s="16"/>
      <c r="R10" s="16"/>
      <c r="S10" s="16"/>
      <c r="T10" s="103"/>
      <c r="U10" s="103"/>
      <c r="V10" s="103"/>
      <c r="W10" s="103"/>
      <c r="X10" s="103"/>
      <c r="Y10" s="103"/>
    </row>
    <row r="11" spans="1:36" x14ac:dyDescent="0.2">
      <c r="A11" s="103"/>
      <c r="B11" s="103"/>
      <c r="C11" s="103"/>
      <c r="D11" s="103"/>
      <c r="E11" s="16"/>
      <c r="F11" s="103"/>
      <c r="G11" s="103"/>
      <c r="H11" s="16"/>
      <c r="I11" s="16"/>
      <c r="J11" s="16"/>
      <c r="K11" s="103"/>
      <c r="L11" s="16"/>
      <c r="M11" s="103"/>
      <c r="N11" s="103"/>
      <c r="O11" s="103"/>
      <c r="P11" s="103"/>
      <c r="Q11" s="16"/>
      <c r="R11" s="16"/>
      <c r="S11" s="16"/>
      <c r="T11" s="103"/>
      <c r="U11" s="103"/>
      <c r="V11" s="103"/>
      <c r="W11" s="103"/>
      <c r="X11" s="103"/>
      <c r="Y11" s="103"/>
    </row>
    <row r="12" spans="1:36" x14ac:dyDescent="0.2">
      <c r="A12" s="103"/>
      <c r="B12" s="103"/>
      <c r="C12" s="103"/>
      <c r="D12" s="103"/>
      <c r="E12" s="16"/>
      <c r="F12" s="103"/>
      <c r="G12" s="103"/>
      <c r="H12" s="16"/>
      <c r="I12" s="16"/>
      <c r="J12" s="16"/>
      <c r="K12" s="103"/>
      <c r="L12" s="16"/>
      <c r="M12" s="103"/>
      <c r="N12" s="103"/>
      <c r="O12" s="103"/>
      <c r="P12" s="103"/>
      <c r="Q12" s="16"/>
      <c r="R12" s="16"/>
      <c r="S12" s="16"/>
      <c r="T12" s="103"/>
      <c r="U12" s="103"/>
      <c r="V12" s="103"/>
      <c r="W12" s="103"/>
      <c r="X12" s="103"/>
      <c r="Y12" s="103"/>
    </row>
    <row r="13" spans="1:36" x14ac:dyDescent="0.2">
      <c r="A13" s="103"/>
      <c r="B13" s="103"/>
      <c r="C13" s="103"/>
      <c r="D13" s="103"/>
      <c r="E13" s="16"/>
      <c r="F13" s="103"/>
      <c r="G13" s="103"/>
      <c r="H13" s="16"/>
      <c r="I13" s="16"/>
      <c r="J13" s="16"/>
      <c r="K13" s="103"/>
      <c r="L13" s="16"/>
      <c r="M13" s="103"/>
      <c r="N13" s="103"/>
      <c r="O13" s="103"/>
      <c r="P13" s="103"/>
      <c r="Q13" s="16"/>
      <c r="R13" s="16"/>
      <c r="S13" s="16"/>
      <c r="T13" s="103"/>
      <c r="U13" s="103"/>
      <c r="V13" s="103"/>
      <c r="W13" s="103"/>
      <c r="X13" s="103"/>
      <c r="Y13" s="103"/>
    </row>
    <row r="14" spans="1:36" x14ac:dyDescent="0.2">
      <c r="A14" s="103"/>
      <c r="B14" s="103"/>
      <c r="C14" s="103"/>
      <c r="D14" s="103"/>
      <c r="E14" s="16"/>
      <c r="F14" s="103"/>
      <c r="G14" s="103"/>
      <c r="H14" s="16"/>
      <c r="I14" s="16"/>
      <c r="J14" s="16"/>
      <c r="K14" s="103"/>
      <c r="L14" s="16"/>
      <c r="M14" s="103"/>
      <c r="N14" s="103"/>
      <c r="O14" s="103"/>
      <c r="P14" s="103"/>
      <c r="Q14" s="16"/>
      <c r="R14" s="16"/>
      <c r="S14" s="16"/>
      <c r="T14" s="103"/>
      <c r="U14" s="103"/>
      <c r="V14" s="103"/>
      <c r="W14" s="103"/>
      <c r="X14" s="103"/>
      <c r="Y14" s="103"/>
    </row>
    <row r="15" spans="1:36" x14ac:dyDescent="0.2">
      <c r="A15" s="103"/>
      <c r="B15" s="103"/>
      <c r="C15" s="103"/>
      <c r="D15" s="103"/>
      <c r="E15" s="16"/>
      <c r="F15" s="103"/>
      <c r="G15" s="103"/>
      <c r="H15" s="16"/>
      <c r="I15" s="16"/>
      <c r="J15" s="16"/>
      <c r="K15" s="103"/>
      <c r="L15" s="16"/>
      <c r="M15" s="103"/>
      <c r="N15" s="103"/>
      <c r="O15" s="103"/>
      <c r="P15" s="103"/>
      <c r="Q15" s="16"/>
      <c r="R15" s="16"/>
      <c r="S15" s="16"/>
      <c r="T15" s="103"/>
      <c r="U15" s="103"/>
      <c r="V15" s="103"/>
      <c r="W15" s="103"/>
      <c r="X15" s="103"/>
      <c r="Y15" s="103"/>
    </row>
    <row r="16" spans="1:36" x14ac:dyDescent="0.2">
      <c r="A16" s="103"/>
      <c r="B16" s="103"/>
      <c r="C16" s="103"/>
      <c r="D16" s="103"/>
      <c r="E16" s="16"/>
      <c r="F16" s="103"/>
      <c r="G16" s="103"/>
      <c r="H16" s="16"/>
      <c r="I16" s="16"/>
      <c r="J16" s="16"/>
      <c r="K16" s="103"/>
      <c r="L16" s="16"/>
      <c r="M16" s="103"/>
      <c r="N16" s="103"/>
      <c r="O16" s="103"/>
      <c r="P16" s="103"/>
      <c r="Q16" s="16"/>
      <c r="R16" s="16"/>
      <c r="S16" s="16"/>
      <c r="T16" s="103"/>
      <c r="U16" s="103"/>
      <c r="V16" s="103"/>
      <c r="W16" s="103"/>
      <c r="X16" s="103"/>
      <c r="Y16" s="103"/>
    </row>
    <row r="17" spans="1:25" x14ac:dyDescent="0.2">
      <c r="A17" s="103"/>
      <c r="B17" s="103"/>
      <c r="C17" s="103"/>
      <c r="D17" s="103"/>
      <c r="E17" s="16"/>
      <c r="F17" s="103"/>
      <c r="G17" s="103"/>
      <c r="H17" s="16"/>
      <c r="I17" s="16"/>
      <c r="J17" s="16"/>
      <c r="K17" s="103"/>
      <c r="L17" s="16"/>
      <c r="M17" s="103"/>
      <c r="N17" s="103"/>
      <c r="O17" s="103"/>
      <c r="P17" s="103"/>
      <c r="Q17" s="16"/>
      <c r="R17" s="16"/>
      <c r="S17" s="16"/>
      <c r="T17" s="103"/>
      <c r="U17" s="103"/>
      <c r="V17" s="103"/>
      <c r="W17" s="103"/>
      <c r="X17" s="103"/>
      <c r="Y17" s="103"/>
    </row>
    <row r="18" spans="1:25" x14ac:dyDescent="0.2">
      <c r="A18" s="103"/>
      <c r="B18" s="103"/>
      <c r="C18" s="103"/>
      <c r="D18" s="103"/>
      <c r="E18" s="16"/>
      <c r="F18" s="103"/>
      <c r="G18" s="103"/>
      <c r="H18" s="16"/>
      <c r="I18" s="16"/>
      <c r="J18" s="16"/>
      <c r="K18" s="103"/>
      <c r="L18" s="16"/>
      <c r="M18" s="103"/>
      <c r="N18" s="103"/>
      <c r="O18" s="103"/>
      <c r="P18" s="103"/>
      <c r="Q18" s="16"/>
      <c r="R18" s="16"/>
      <c r="S18" s="16"/>
      <c r="T18" s="103"/>
      <c r="U18" s="103"/>
      <c r="V18" s="103"/>
      <c r="W18" s="103"/>
      <c r="X18" s="103"/>
      <c r="Y18" s="103"/>
    </row>
    <row r="19" spans="1:25" x14ac:dyDescent="0.2">
      <c r="A19" s="103"/>
      <c r="B19" s="103"/>
      <c r="C19" s="103"/>
      <c r="D19" s="103"/>
      <c r="E19" s="16"/>
      <c r="F19" s="103"/>
      <c r="G19" s="103"/>
      <c r="H19" s="16"/>
      <c r="I19" s="16"/>
      <c r="J19" s="16"/>
      <c r="K19" s="103"/>
      <c r="L19" s="16"/>
      <c r="M19" s="103"/>
      <c r="N19" s="103"/>
      <c r="O19" s="103"/>
      <c r="P19" s="103"/>
      <c r="Q19" s="16"/>
      <c r="R19" s="16"/>
      <c r="S19" s="16"/>
      <c r="T19" s="103"/>
      <c r="U19" s="103"/>
      <c r="V19" s="103"/>
      <c r="W19" s="103"/>
      <c r="X19" s="103"/>
      <c r="Y19" s="103"/>
    </row>
    <row r="20" spans="1:25" x14ac:dyDescent="0.2">
      <c r="A20" s="102"/>
      <c r="B20" s="102"/>
      <c r="C20" s="102"/>
      <c r="D20" s="102"/>
      <c r="E20" s="16"/>
      <c r="F20" s="102"/>
      <c r="G20" s="102"/>
      <c r="H20" s="16"/>
      <c r="I20" s="16"/>
      <c r="J20" s="16"/>
      <c r="K20" s="103"/>
      <c r="L20" s="16"/>
      <c r="M20" s="102"/>
      <c r="N20" s="103"/>
      <c r="O20" s="102"/>
      <c r="P20" s="103"/>
      <c r="Q20" s="102"/>
      <c r="R20" s="102"/>
      <c r="S20" s="102"/>
      <c r="T20" s="102"/>
      <c r="U20" s="102"/>
      <c r="V20" s="102"/>
      <c r="W20" s="102"/>
      <c r="X20" s="102"/>
      <c r="Y20" s="102"/>
    </row>
    <row r="21" spans="1:25" customFormat="1" x14ac:dyDescent="0.2">
      <c r="H21" s="4"/>
      <c r="L21" s="4"/>
    </row>
    <row r="22" spans="1:25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4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8">
    <dataValidation type="list" allowBlank="1" showInputMessage="1" showErrorMessage="1" sqref="I2 I4:I20" xr:uid="{00000000-0002-0000-0900-000000000000}">
      <formula1>israel_abroad</formula1>
    </dataValidation>
    <dataValidation type="list" allowBlank="1" showInputMessage="1" showErrorMessage="1" sqref="N2 N4:N20" xr:uid="{00000000-0002-0000-0900-000001000000}">
      <formula1>Industry_sectors</formula1>
    </dataValidation>
    <dataValidation type="list" allowBlank="1" showInputMessage="1" showErrorMessage="1" sqref="P2 P4:P20" xr:uid="{00000000-0002-0000-0900-000002000000}">
      <formula1>Holding_interest</formula1>
    </dataValidation>
    <dataValidation type="list" allowBlank="1" showInputMessage="1" showErrorMessage="1" sqref="J2 J4:J20" xr:uid="{00000000-0002-0000-0900-000003000000}">
      <formula1>Country_list</formula1>
    </dataValidation>
    <dataValidation type="list" allowBlank="1" showInputMessage="1" showErrorMessage="1" sqref="E2 E4:E20" xr:uid="{00000000-0002-0000-0900-000004000000}">
      <formula1>Issuer_Type_TFunds</formula1>
    </dataValidation>
    <dataValidation type="list" allowBlank="1" showInputMessage="1" showErrorMessage="1" sqref="H2 H4:H20" xr:uid="{00000000-0002-0000-0900-000005000000}">
      <formula1>Security_ID_Number_Type</formula1>
    </dataValidation>
    <dataValidation type="list" allowBlank="1" showInputMessage="1" showErrorMessage="1" sqref="K2 K4:K20" xr:uid="{00000000-0002-0000-0900-000006000000}">
      <formula1>tradeable_status_warrants</formula1>
    </dataValidation>
    <dataValidation type="list" allowBlank="1" showInputMessage="1" showErrorMessage="1" sqref="L2 L4:L20" xr:uid="{00000000-0002-0000-0900-000007000000}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AJ30"/>
  <sheetViews>
    <sheetView rightToLeft="1" workbookViewId="0">
      <selection activeCell="A3" sqref="A3:AJ3"/>
    </sheetView>
  </sheetViews>
  <sheetFormatPr defaultColWidth="9" defaultRowHeight="14.25" x14ac:dyDescent="0.2"/>
  <cols>
    <col min="1" max="1" width="10.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70</v>
      </c>
      <c r="M1" s="168" t="s">
        <v>83</v>
      </c>
      <c r="N1" s="168" t="s">
        <v>96</v>
      </c>
      <c r="O1" s="168" t="s">
        <v>93</v>
      </c>
      <c r="P1" s="168" t="s">
        <v>56</v>
      </c>
      <c r="Q1" s="168" t="s">
        <v>59</v>
      </c>
      <c r="R1" s="168" t="s">
        <v>94</v>
      </c>
      <c r="S1" s="168" t="s">
        <v>76</v>
      </c>
      <c r="T1" s="168" t="s">
        <v>61</v>
      </c>
      <c r="U1" s="168" t="s">
        <v>77</v>
      </c>
      <c r="V1" s="168" t="s">
        <v>63</v>
      </c>
      <c r="W1" s="168" t="s">
        <v>64</v>
      </c>
      <c r="X1" s="168" t="s">
        <v>65</v>
      </c>
    </row>
    <row r="2" spans="1:36" x14ac:dyDescent="0.2">
      <c r="A2" t="s">
        <v>1204</v>
      </c>
      <c r="B2" t="s">
        <v>1204</v>
      </c>
      <c r="C2" s="103"/>
      <c r="D2" s="103"/>
      <c r="E2" s="16"/>
      <c r="F2" s="103"/>
      <c r="G2" s="103"/>
      <c r="H2" s="16"/>
      <c r="I2" s="103"/>
      <c r="J2" s="16"/>
      <c r="K2" s="16"/>
      <c r="L2" s="16"/>
      <c r="M2" s="103"/>
      <c r="N2" s="103"/>
      <c r="O2" s="103"/>
      <c r="P2" s="103"/>
      <c r="Q2" s="16"/>
      <c r="R2" s="16"/>
      <c r="S2" s="103"/>
      <c r="T2" s="103"/>
      <c r="U2" s="103"/>
      <c r="V2" s="103"/>
      <c r="W2" s="103"/>
      <c r="X2" s="103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3"/>
      <c r="D4" s="103"/>
      <c r="E4" s="16"/>
      <c r="F4" s="103"/>
      <c r="G4" s="103"/>
      <c r="H4" s="16"/>
      <c r="I4" s="103"/>
      <c r="J4" s="16"/>
      <c r="K4" s="16"/>
      <c r="L4" s="16"/>
      <c r="M4" s="103"/>
      <c r="N4" s="103"/>
      <c r="O4" s="103"/>
      <c r="P4" s="103"/>
      <c r="Q4" s="16"/>
      <c r="R4" s="16"/>
      <c r="S4" s="103"/>
      <c r="T4" s="103"/>
      <c r="U4" s="103"/>
      <c r="V4" s="103"/>
      <c r="W4" s="103"/>
      <c r="X4" s="103"/>
    </row>
    <row r="5" spans="1:36" x14ac:dyDescent="0.2">
      <c r="A5" s="103"/>
      <c r="B5" s="103"/>
      <c r="C5" s="103"/>
      <c r="D5" s="103"/>
      <c r="E5" s="16"/>
      <c r="F5" s="103"/>
      <c r="G5" s="103"/>
      <c r="H5" s="16"/>
      <c r="I5" s="103"/>
      <c r="J5" s="16"/>
      <c r="K5" s="16"/>
      <c r="L5" s="16"/>
      <c r="M5" s="103"/>
      <c r="N5" s="103"/>
      <c r="O5" s="103"/>
      <c r="P5" s="103"/>
      <c r="Q5" s="16"/>
      <c r="R5" s="16"/>
      <c r="S5" s="103"/>
      <c r="T5" s="103"/>
      <c r="U5" s="103"/>
      <c r="V5" s="103"/>
      <c r="W5" s="103"/>
      <c r="X5" s="103"/>
    </row>
    <row r="6" spans="1:36" x14ac:dyDescent="0.2">
      <c r="A6" s="103"/>
      <c r="B6" s="103"/>
      <c r="C6" s="103"/>
      <c r="D6" s="103"/>
      <c r="E6" s="16"/>
      <c r="F6" s="103"/>
      <c r="G6" s="103"/>
      <c r="H6" s="16"/>
      <c r="I6" s="103"/>
      <c r="J6" s="16"/>
      <c r="K6" s="16"/>
      <c r="L6" s="16"/>
      <c r="M6" s="103"/>
      <c r="N6" s="103"/>
      <c r="O6" s="103"/>
      <c r="P6" s="103"/>
      <c r="Q6" s="16"/>
      <c r="R6" s="16"/>
      <c r="S6" s="103"/>
      <c r="T6" s="103"/>
      <c r="U6" s="103"/>
      <c r="V6" s="103"/>
      <c r="W6" s="103"/>
      <c r="X6" s="103"/>
    </row>
    <row r="7" spans="1:36" x14ac:dyDescent="0.2">
      <c r="A7" s="103"/>
      <c r="B7" s="103"/>
      <c r="C7" s="103"/>
      <c r="D7" s="103"/>
      <c r="E7" s="16"/>
      <c r="F7" s="103"/>
      <c r="G7" s="103"/>
      <c r="H7" s="16"/>
      <c r="I7" s="103"/>
      <c r="J7" s="16"/>
      <c r="K7" s="16"/>
      <c r="L7" s="16"/>
      <c r="M7" s="103"/>
      <c r="N7" s="103"/>
      <c r="O7" s="103"/>
      <c r="P7" s="103"/>
      <c r="Q7" s="16"/>
      <c r="R7" s="16"/>
      <c r="S7" s="103"/>
      <c r="T7" s="103"/>
      <c r="U7" s="103"/>
      <c r="V7" s="103"/>
      <c r="W7" s="103"/>
      <c r="X7" s="103"/>
    </row>
    <row r="8" spans="1:36" x14ac:dyDescent="0.2">
      <c r="A8" s="103"/>
      <c r="B8" s="103"/>
      <c r="C8" s="103"/>
      <c r="D8" s="103"/>
      <c r="E8" s="16"/>
      <c r="F8" s="103"/>
      <c r="G8" s="103"/>
      <c r="H8" s="16"/>
      <c r="I8" s="103"/>
      <c r="J8" s="16"/>
      <c r="K8" s="16"/>
      <c r="L8" s="16"/>
      <c r="M8" s="103"/>
      <c r="N8" s="103"/>
      <c r="O8" s="103"/>
      <c r="P8" s="103"/>
      <c r="Q8" s="16"/>
      <c r="R8" s="16"/>
      <c r="S8" s="103"/>
      <c r="T8" s="103"/>
      <c r="U8" s="103"/>
      <c r="V8" s="103"/>
      <c r="W8" s="103"/>
      <c r="X8" s="103"/>
    </row>
    <row r="9" spans="1:36" x14ac:dyDescent="0.2">
      <c r="A9" s="103"/>
      <c r="B9" s="103"/>
      <c r="C9" s="103"/>
      <c r="D9" s="103"/>
      <c r="E9" s="16"/>
      <c r="F9" s="103"/>
      <c r="G9" s="103"/>
      <c r="H9" s="16"/>
      <c r="I9" s="103"/>
      <c r="J9" s="16"/>
      <c r="K9" s="16"/>
      <c r="L9" s="16"/>
      <c r="M9" s="103"/>
      <c r="N9" s="103"/>
      <c r="O9" s="103"/>
      <c r="P9" s="103"/>
      <c r="Q9" s="16"/>
      <c r="R9" s="16"/>
      <c r="S9" s="103"/>
      <c r="T9" s="103"/>
      <c r="U9" s="103"/>
      <c r="V9" s="103"/>
      <c r="W9" s="103"/>
      <c r="X9" s="103"/>
    </row>
    <row r="10" spans="1:36" x14ac:dyDescent="0.2">
      <c r="A10" s="103"/>
      <c r="B10" s="103"/>
      <c r="C10" s="103"/>
      <c r="D10" s="103"/>
      <c r="E10" s="16"/>
      <c r="F10" s="103"/>
      <c r="G10" s="103"/>
      <c r="H10" s="16"/>
      <c r="I10" s="103"/>
      <c r="J10" s="16"/>
      <c r="K10" s="16"/>
      <c r="L10" s="16"/>
      <c r="M10" s="103"/>
      <c r="N10" s="103"/>
      <c r="O10" s="103"/>
      <c r="P10" s="103"/>
      <c r="Q10" s="16"/>
      <c r="R10" s="16"/>
      <c r="S10" s="103"/>
      <c r="T10" s="103"/>
      <c r="U10" s="103"/>
      <c r="V10" s="103"/>
      <c r="W10" s="103"/>
      <c r="X10" s="103"/>
    </row>
    <row r="11" spans="1:36" x14ac:dyDescent="0.2">
      <c r="A11" s="103"/>
      <c r="B11" s="103"/>
      <c r="C11" s="103"/>
      <c r="D11" s="103"/>
      <c r="E11" s="16"/>
      <c r="F11" s="103"/>
      <c r="G11" s="103"/>
      <c r="H11" s="16"/>
      <c r="I11" s="103"/>
      <c r="J11" s="16"/>
      <c r="K11" s="16"/>
      <c r="L11" s="16"/>
      <c r="M11" s="103"/>
      <c r="N11" s="103"/>
      <c r="O11" s="103"/>
      <c r="P11" s="103"/>
      <c r="Q11" s="16"/>
      <c r="R11" s="16"/>
      <c r="S11" s="103"/>
      <c r="T11" s="103"/>
      <c r="U11" s="103"/>
      <c r="V11" s="103"/>
      <c r="W11" s="103"/>
      <c r="X11" s="103"/>
    </row>
    <row r="12" spans="1:36" x14ac:dyDescent="0.2">
      <c r="A12" s="103"/>
      <c r="B12" s="103"/>
      <c r="C12" s="103"/>
      <c r="D12" s="103"/>
      <c r="E12" s="16"/>
      <c r="F12" s="103"/>
      <c r="G12" s="103"/>
      <c r="H12" s="16"/>
      <c r="I12" s="103"/>
      <c r="J12" s="16"/>
      <c r="K12" s="16"/>
      <c r="L12" s="16"/>
      <c r="M12" s="103"/>
      <c r="N12" s="103"/>
      <c r="O12" s="103"/>
      <c r="P12" s="103"/>
      <c r="Q12" s="16"/>
      <c r="R12" s="16"/>
      <c r="S12" s="103"/>
      <c r="T12" s="103"/>
      <c r="U12" s="103"/>
      <c r="V12" s="103"/>
      <c r="W12" s="103"/>
      <c r="X12" s="103"/>
    </row>
    <row r="13" spans="1:36" x14ac:dyDescent="0.2">
      <c r="A13" s="103"/>
      <c r="B13" s="103"/>
      <c r="C13" s="103"/>
      <c r="D13" s="103"/>
      <c r="E13" s="16"/>
      <c r="F13" s="103"/>
      <c r="G13" s="103"/>
      <c r="H13" s="16"/>
      <c r="I13" s="103"/>
      <c r="J13" s="16"/>
      <c r="K13" s="16"/>
      <c r="L13" s="16"/>
      <c r="M13" s="103"/>
      <c r="N13" s="103"/>
      <c r="O13" s="103"/>
      <c r="P13" s="103"/>
      <c r="Q13" s="16"/>
      <c r="R13" s="16"/>
      <c r="S13" s="103"/>
      <c r="T13" s="103"/>
      <c r="U13" s="103"/>
      <c r="V13" s="103"/>
      <c r="W13" s="103"/>
      <c r="X13" s="103"/>
    </row>
    <row r="14" spans="1:36" x14ac:dyDescent="0.2">
      <c r="A14" s="103"/>
      <c r="B14" s="103"/>
      <c r="C14" s="103"/>
      <c r="D14" s="103"/>
      <c r="E14" s="16"/>
      <c r="F14" s="103"/>
      <c r="G14" s="103"/>
      <c r="H14" s="16"/>
      <c r="I14" s="103"/>
      <c r="J14" s="16"/>
      <c r="K14" s="16"/>
      <c r="L14" s="16"/>
      <c r="M14" s="103"/>
      <c r="N14" s="103"/>
      <c r="O14" s="103"/>
      <c r="P14" s="103"/>
      <c r="Q14" s="16"/>
      <c r="R14" s="16"/>
      <c r="S14" s="103"/>
      <c r="T14" s="103"/>
      <c r="U14" s="103"/>
      <c r="V14" s="103"/>
      <c r="W14" s="103"/>
      <c r="X14" s="103"/>
    </row>
    <row r="15" spans="1:36" x14ac:dyDescent="0.2">
      <c r="A15" s="103"/>
      <c r="B15" s="103"/>
      <c r="C15" s="103"/>
      <c r="D15" s="103"/>
      <c r="E15" s="16"/>
      <c r="F15" s="103"/>
      <c r="G15" s="103"/>
      <c r="H15" s="16"/>
      <c r="I15" s="103"/>
      <c r="J15" s="16"/>
      <c r="K15" s="16"/>
      <c r="L15" s="16"/>
      <c r="M15" s="103"/>
      <c r="N15" s="103"/>
      <c r="O15" s="103"/>
      <c r="P15" s="103"/>
      <c r="Q15" s="16"/>
      <c r="R15" s="16"/>
      <c r="S15" s="103"/>
      <c r="T15" s="103"/>
      <c r="U15" s="103"/>
      <c r="V15" s="103"/>
      <c r="W15" s="103"/>
      <c r="X15" s="103"/>
    </row>
    <row r="16" spans="1:36" x14ac:dyDescent="0.2">
      <c r="A16" s="103"/>
      <c r="B16" s="103"/>
      <c r="C16" s="103"/>
      <c r="D16" s="103"/>
      <c r="E16" s="16"/>
      <c r="F16" s="103"/>
      <c r="G16" s="103"/>
      <c r="H16" s="16"/>
      <c r="I16" s="103"/>
      <c r="J16" s="16"/>
      <c r="K16" s="16"/>
      <c r="L16" s="16"/>
      <c r="M16" s="103"/>
      <c r="N16" s="103"/>
      <c r="O16" s="103"/>
      <c r="P16" s="103"/>
      <c r="Q16" s="16"/>
      <c r="R16" s="16"/>
      <c r="S16" s="103"/>
      <c r="T16" s="103"/>
      <c r="U16" s="103"/>
      <c r="V16" s="103"/>
      <c r="W16" s="103"/>
      <c r="X16" s="103"/>
    </row>
    <row r="17" spans="1:24" x14ac:dyDescent="0.2">
      <c r="A17" s="103"/>
      <c r="B17" s="103"/>
      <c r="C17" s="103"/>
      <c r="D17" s="103"/>
      <c r="E17" s="16"/>
      <c r="F17" s="103"/>
      <c r="G17" s="103"/>
      <c r="H17" s="16"/>
      <c r="I17" s="103"/>
      <c r="J17" s="16"/>
      <c r="K17" s="16"/>
      <c r="L17" s="16"/>
      <c r="M17" s="103"/>
      <c r="N17" s="103"/>
      <c r="O17" s="103"/>
      <c r="P17" s="103"/>
      <c r="Q17" s="16"/>
      <c r="R17" s="16"/>
      <c r="S17" s="103"/>
      <c r="T17" s="103"/>
      <c r="U17" s="103"/>
      <c r="V17" s="103"/>
      <c r="W17" s="103"/>
      <c r="X17" s="103"/>
    </row>
    <row r="18" spans="1:24" x14ac:dyDescent="0.2">
      <c r="A18" s="103"/>
      <c r="B18" s="103"/>
      <c r="C18" s="103"/>
      <c r="D18" s="103"/>
      <c r="E18" s="16"/>
      <c r="F18" s="103"/>
      <c r="G18" s="103"/>
      <c r="H18" s="16"/>
      <c r="I18" s="103"/>
      <c r="J18" s="16"/>
      <c r="K18" s="16"/>
      <c r="L18" s="16"/>
      <c r="M18" s="103"/>
      <c r="N18" s="103"/>
      <c r="O18" s="103"/>
      <c r="P18" s="103"/>
      <c r="Q18" s="16"/>
      <c r="R18" s="16"/>
      <c r="S18" s="103"/>
      <c r="T18" s="103"/>
      <c r="U18" s="103"/>
      <c r="V18" s="103"/>
      <c r="W18" s="103"/>
      <c r="X18" s="103"/>
    </row>
    <row r="19" spans="1:24" x14ac:dyDescent="0.2">
      <c r="A19" s="103"/>
      <c r="B19" s="103"/>
      <c r="C19" s="103"/>
      <c r="D19" s="103"/>
      <c r="E19" s="16"/>
      <c r="F19" s="103"/>
      <c r="G19" s="103"/>
      <c r="H19" s="16"/>
      <c r="I19" s="103"/>
      <c r="J19" s="16"/>
      <c r="K19" s="16"/>
      <c r="L19" s="16"/>
      <c r="M19" s="103"/>
      <c r="N19" s="103"/>
      <c r="O19" s="103"/>
      <c r="P19" s="103"/>
      <c r="Q19" s="16"/>
      <c r="R19" s="16"/>
      <c r="S19" s="103"/>
      <c r="T19" s="103"/>
      <c r="U19" s="103"/>
      <c r="V19" s="103"/>
      <c r="W19" s="103"/>
      <c r="X19" s="103"/>
    </row>
    <row r="20" spans="1:24" x14ac:dyDescent="0.2">
      <c r="A20" s="102"/>
      <c r="B20" s="102"/>
      <c r="C20" s="102"/>
      <c r="D20" s="102"/>
      <c r="E20" s="16"/>
      <c r="F20" s="102"/>
      <c r="G20" s="102"/>
      <c r="H20" s="16"/>
      <c r="I20" s="103"/>
      <c r="J20" s="16"/>
      <c r="K20" s="16"/>
      <c r="L20" s="16"/>
      <c r="M20" s="103"/>
      <c r="N20" s="102"/>
      <c r="O20" s="102"/>
      <c r="P20" s="103"/>
      <c r="Q20" s="102"/>
      <c r="R20" s="102"/>
      <c r="S20" s="102"/>
      <c r="T20" s="102"/>
      <c r="U20" s="102"/>
      <c r="V20" s="102"/>
      <c r="W20" s="102"/>
      <c r="X20" s="102"/>
    </row>
    <row r="21" spans="1:24" x14ac:dyDescent="0.2">
      <c r="A21" s="102"/>
      <c r="B21" s="102"/>
      <c r="C21" s="102"/>
      <c r="D21" s="102"/>
      <c r="E21"/>
      <c r="F21" s="102"/>
      <c r="G21" s="102"/>
      <c r="H21" s="4"/>
      <c r="I21" s="102"/>
      <c r="J21" s="102"/>
      <c r="K21" s="102"/>
      <c r="L21" s="4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</row>
    <row r="22" spans="1:24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4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</row>
    <row r="30" spans="1:24" x14ac:dyDescent="0.2">
      <c r="A30" s="102"/>
      <c r="B30" s="102"/>
      <c r="C30" s="102"/>
      <c r="D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8">
    <dataValidation type="list" allowBlank="1" showInputMessage="1" showErrorMessage="1" sqref="J2 J4:J20" xr:uid="{00000000-0002-0000-0A00-000000000000}">
      <formula1>israel_abroad</formula1>
    </dataValidation>
    <dataValidation type="list" allowBlank="1" showInputMessage="1" showErrorMessage="1" sqref="P2 P4:P20" xr:uid="{00000000-0002-0000-0A00-000001000000}">
      <formula1>Holding_interest</formula1>
    </dataValidation>
    <dataValidation type="list" allowBlank="1" showInputMessage="1" showErrorMessage="1" sqref="N2 N4:N19" xr:uid="{00000000-0002-0000-0A00-000002000000}">
      <formula1>Underlying_Asset</formula1>
    </dataValidation>
    <dataValidation type="list" allowBlank="1" showInputMessage="1" showErrorMessage="1" sqref="K2 K4:K20" xr:uid="{00000000-0002-0000-0A00-000003000000}">
      <formula1>Country_list</formula1>
    </dataValidation>
    <dataValidation type="list" allowBlank="1" showInputMessage="1" showErrorMessage="1" sqref="E2 E4:E20" xr:uid="{00000000-0002-0000-0A00-000004000000}">
      <formula1>Issuer_Type_TFunds</formula1>
    </dataValidation>
    <dataValidation type="list" allowBlank="1" showInputMessage="1" showErrorMessage="1" sqref="H2 H4:H20" xr:uid="{00000000-0002-0000-0A00-000005000000}">
      <formula1>Security_ID_Number_Type</formula1>
    </dataValidation>
    <dataValidation type="list" allowBlank="1" showInputMessage="1" showErrorMessage="1" sqref="M2 M4:M20" xr:uid="{00000000-0002-0000-0A00-000006000000}">
      <formula1>Industry_Sector</formula1>
    </dataValidation>
    <dataValidation type="list" allowBlank="1" showInputMessage="1" showErrorMessage="1" sqref="L2 L4:L20" xr:uid="{00000000-0002-0000-0A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 I4:I20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J22"/>
  <sheetViews>
    <sheetView rightToLeft="1" workbookViewId="0">
      <selection activeCell="A3" sqref="A3:AJ3"/>
    </sheetView>
  </sheetViews>
  <sheetFormatPr defaultColWidth="9" defaultRowHeight="14.25" x14ac:dyDescent="0.2"/>
  <cols>
    <col min="1" max="1" width="11.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1.625" style="2"/>
    <col min="12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55</v>
      </c>
      <c r="J1" s="168" t="s">
        <v>69</v>
      </c>
      <c r="K1" s="168" t="s">
        <v>70</v>
      </c>
      <c r="L1" s="168" t="s">
        <v>96</v>
      </c>
      <c r="M1" s="168" t="s">
        <v>56</v>
      </c>
      <c r="N1" s="168" t="s">
        <v>59</v>
      </c>
      <c r="O1" s="168" t="s">
        <v>76</v>
      </c>
      <c r="P1" s="168" t="s">
        <v>61</v>
      </c>
      <c r="Q1" s="168" t="s">
        <v>77</v>
      </c>
      <c r="R1" s="168" t="s">
        <v>63</v>
      </c>
      <c r="S1" s="168" t="s">
        <v>64</v>
      </c>
      <c r="T1" s="168" t="s">
        <v>65</v>
      </c>
    </row>
    <row r="2" spans="1:36" x14ac:dyDescent="0.2">
      <c r="A2" t="s">
        <v>1204</v>
      </c>
      <c r="B2" t="s">
        <v>1204</v>
      </c>
      <c r="C2" s="102"/>
      <c r="D2" s="102"/>
      <c r="E2" s="16"/>
      <c r="F2" s="103"/>
      <c r="G2" s="103"/>
      <c r="H2" s="16"/>
      <c r="I2" s="16"/>
      <c r="J2" s="16"/>
      <c r="K2" s="16"/>
      <c r="L2" s="103"/>
      <c r="M2" s="103"/>
      <c r="N2" s="16"/>
      <c r="O2" s="103"/>
      <c r="P2" s="103"/>
      <c r="Q2" s="103"/>
      <c r="R2" s="103"/>
      <c r="S2" s="103"/>
      <c r="T2" s="103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2"/>
      <c r="D4" s="102"/>
      <c r="E4" s="16"/>
      <c r="F4" s="103"/>
      <c r="G4" s="103"/>
      <c r="H4" s="16"/>
      <c r="I4" s="16"/>
      <c r="J4" s="16"/>
      <c r="K4" s="16"/>
      <c r="L4" s="103"/>
      <c r="M4" s="103"/>
      <c r="N4" s="16"/>
      <c r="O4" s="103"/>
      <c r="P4" s="103"/>
      <c r="Q4" s="103"/>
      <c r="R4" s="103"/>
      <c r="S4" s="103"/>
      <c r="T4" s="103"/>
    </row>
    <row r="5" spans="1:36" x14ac:dyDescent="0.2">
      <c r="A5" s="103"/>
      <c r="B5" s="103"/>
      <c r="C5" s="102"/>
      <c r="D5" s="102"/>
      <c r="E5" s="16"/>
      <c r="F5" s="103"/>
      <c r="G5" s="103"/>
      <c r="H5" s="16"/>
      <c r="I5" s="16"/>
      <c r="J5" s="16"/>
      <c r="K5" s="16"/>
      <c r="L5" s="103"/>
      <c r="M5" s="103"/>
      <c r="N5" s="16"/>
      <c r="O5" s="103"/>
      <c r="P5" s="103"/>
      <c r="Q5" s="103"/>
      <c r="R5" s="103"/>
      <c r="S5" s="103"/>
      <c r="T5" s="103"/>
    </row>
    <row r="6" spans="1:36" x14ac:dyDescent="0.2">
      <c r="A6" s="103"/>
      <c r="B6" s="103"/>
      <c r="C6" s="102"/>
      <c r="D6" s="102"/>
      <c r="E6" s="16"/>
      <c r="F6" s="103"/>
      <c r="G6" s="103"/>
      <c r="H6" s="16"/>
      <c r="I6" s="16"/>
      <c r="J6" s="16"/>
      <c r="K6" s="16"/>
      <c r="L6" s="103"/>
      <c r="M6" s="103"/>
      <c r="N6" s="16"/>
      <c r="O6" s="103"/>
      <c r="P6" s="103"/>
      <c r="Q6" s="103"/>
      <c r="R6" s="103"/>
      <c r="S6" s="103"/>
      <c r="T6" s="103"/>
    </row>
    <row r="7" spans="1:36" x14ac:dyDescent="0.2">
      <c r="A7" s="103"/>
      <c r="B7" s="103"/>
      <c r="C7" s="102"/>
      <c r="D7" s="102"/>
      <c r="E7" s="16"/>
      <c r="F7" s="103"/>
      <c r="G7" s="103"/>
      <c r="H7" s="16"/>
      <c r="I7" s="16"/>
      <c r="J7" s="16"/>
      <c r="K7" s="16"/>
      <c r="L7" s="103"/>
      <c r="M7" s="103"/>
      <c r="N7" s="16"/>
      <c r="O7" s="103"/>
      <c r="P7" s="103"/>
      <c r="Q7" s="103"/>
      <c r="R7" s="103"/>
      <c r="S7" s="103"/>
      <c r="T7" s="103"/>
    </row>
    <row r="8" spans="1:36" x14ac:dyDescent="0.2">
      <c r="A8" s="103"/>
      <c r="B8" s="103"/>
      <c r="C8" s="102"/>
      <c r="D8" s="102"/>
      <c r="E8" s="16"/>
      <c r="F8" s="103"/>
      <c r="G8" s="103"/>
      <c r="H8" s="16"/>
      <c r="I8" s="16"/>
      <c r="J8" s="16"/>
      <c r="K8" s="16"/>
      <c r="L8" s="103"/>
      <c r="M8" s="103"/>
      <c r="N8" s="16"/>
      <c r="O8" s="103"/>
      <c r="P8" s="103"/>
      <c r="Q8" s="103"/>
      <c r="R8" s="103"/>
      <c r="S8" s="103"/>
      <c r="T8" s="103"/>
    </row>
    <row r="9" spans="1:36" x14ac:dyDescent="0.2">
      <c r="A9" s="103"/>
      <c r="B9" s="103"/>
      <c r="C9" s="102"/>
      <c r="D9" s="102"/>
      <c r="E9" s="16"/>
      <c r="F9" s="103"/>
      <c r="G9" s="103"/>
      <c r="H9" s="16"/>
      <c r="I9" s="16"/>
      <c r="J9" s="16"/>
      <c r="K9" s="16"/>
      <c r="L9" s="103"/>
      <c r="M9" s="103"/>
      <c r="N9" s="16"/>
      <c r="O9" s="103"/>
      <c r="P9" s="103"/>
      <c r="Q9" s="103"/>
      <c r="R9" s="103"/>
      <c r="S9" s="103"/>
      <c r="T9" s="103"/>
    </row>
    <row r="10" spans="1:36" x14ac:dyDescent="0.2">
      <c r="A10" s="103"/>
      <c r="B10" s="103"/>
      <c r="C10" s="102"/>
      <c r="D10" s="102"/>
      <c r="E10" s="16"/>
      <c r="F10" s="103"/>
      <c r="G10" s="103"/>
      <c r="H10" s="16"/>
      <c r="I10" s="16"/>
      <c r="J10" s="16"/>
      <c r="K10" s="16"/>
      <c r="L10" s="103"/>
      <c r="M10" s="103"/>
      <c r="N10" s="16"/>
      <c r="O10" s="103"/>
      <c r="P10" s="103"/>
      <c r="Q10" s="103"/>
      <c r="R10" s="103"/>
      <c r="S10" s="103"/>
      <c r="T10" s="103"/>
    </row>
    <row r="11" spans="1:36" x14ac:dyDescent="0.2">
      <c r="A11" s="103"/>
      <c r="B11" s="103"/>
      <c r="C11" s="102"/>
      <c r="D11" s="102"/>
      <c r="E11" s="16"/>
      <c r="F11" s="103"/>
      <c r="G11" s="103"/>
      <c r="H11" s="16"/>
      <c r="I11" s="16"/>
      <c r="J11" s="16"/>
      <c r="K11" s="16"/>
      <c r="L11" s="103"/>
      <c r="M11" s="103"/>
      <c r="N11" s="16"/>
      <c r="O11" s="103"/>
      <c r="P11" s="103"/>
      <c r="Q11" s="103"/>
      <c r="R11" s="103"/>
      <c r="S11" s="103"/>
      <c r="T11" s="103"/>
    </row>
    <row r="12" spans="1:36" x14ac:dyDescent="0.2">
      <c r="A12" s="103"/>
      <c r="B12" s="103"/>
      <c r="C12" s="102"/>
      <c r="D12" s="102"/>
      <c r="E12" s="16"/>
      <c r="F12" s="103"/>
      <c r="G12" s="103"/>
      <c r="H12" s="16"/>
      <c r="I12" s="16"/>
      <c r="J12" s="16"/>
      <c r="K12" s="16"/>
      <c r="L12" s="103"/>
      <c r="M12" s="103"/>
      <c r="N12" s="16"/>
      <c r="O12" s="103"/>
      <c r="P12" s="103"/>
      <c r="Q12" s="103"/>
      <c r="R12" s="103"/>
      <c r="S12" s="103"/>
      <c r="T12" s="103"/>
    </row>
    <row r="13" spans="1:36" x14ac:dyDescent="0.2">
      <c r="A13" s="103"/>
      <c r="B13" s="103"/>
      <c r="C13" s="102"/>
      <c r="D13" s="102"/>
      <c r="E13" s="16"/>
      <c r="F13" s="103"/>
      <c r="G13" s="103"/>
      <c r="H13" s="16"/>
      <c r="I13" s="16"/>
      <c r="J13" s="16"/>
      <c r="K13" s="16"/>
      <c r="L13" s="103"/>
      <c r="M13" s="103"/>
      <c r="N13" s="16"/>
      <c r="O13" s="103"/>
      <c r="P13" s="103"/>
      <c r="Q13" s="103"/>
      <c r="R13" s="103"/>
      <c r="S13" s="103"/>
      <c r="T13" s="103"/>
    </row>
    <row r="14" spans="1:36" x14ac:dyDescent="0.2">
      <c r="A14" s="103"/>
      <c r="B14" s="103"/>
      <c r="C14" s="102"/>
      <c r="D14" s="102"/>
      <c r="E14" s="16"/>
      <c r="F14" s="103"/>
      <c r="G14" s="103"/>
      <c r="H14" s="16"/>
      <c r="I14" s="16"/>
      <c r="J14" s="16"/>
      <c r="K14" s="16"/>
      <c r="L14" s="103"/>
      <c r="M14" s="103"/>
      <c r="N14" s="16"/>
      <c r="O14" s="103"/>
      <c r="P14" s="103"/>
      <c r="Q14" s="103"/>
      <c r="R14" s="103"/>
      <c r="S14" s="103"/>
      <c r="T14" s="103"/>
    </row>
    <row r="15" spans="1:36" x14ac:dyDescent="0.2">
      <c r="A15" s="103"/>
      <c r="B15" s="103"/>
      <c r="C15" s="102"/>
      <c r="D15" s="102"/>
      <c r="E15" s="16"/>
      <c r="F15" s="103"/>
      <c r="G15" s="103"/>
      <c r="H15" s="16"/>
      <c r="I15" s="16"/>
      <c r="J15" s="16"/>
      <c r="K15" s="16"/>
      <c r="L15" s="103"/>
      <c r="M15" s="103"/>
      <c r="N15" s="16"/>
      <c r="O15" s="103"/>
      <c r="P15" s="103"/>
      <c r="Q15" s="103"/>
      <c r="R15" s="103"/>
      <c r="S15" s="103"/>
      <c r="T15" s="103"/>
    </row>
    <row r="16" spans="1:36" x14ac:dyDescent="0.2">
      <c r="A16" s="103"/>
      <c r="B16" s="103"/>
      <c r="C16" s="102"/>
      <c r="D16" s="102"/>
      <c r="E16" s="16"/>
      <c r="F16" s="103"/>
      <c r="G16" s="103"/>
      <c r="H16" s="16"/>
      <c r="I16" s="16"/>
      <c r="J16" s="16"/>
      <c r="K16" s="16"/>
      <c r="L16" s="103"/>
      <c r="M16" s="103"/>
      <c r="N16" s="16"/>
      <c r="O16" s="103"/>
      <c r="P16" s="103"/>
      <c r="Q16" s="103"/>
      <c r="R16" s="103"/>
      <c r="S16" s="103"/>
      <c r="T16" s="103"/>
    </row>
    <row r="17" spans="1:20" x14ac:dyDescent="0.2">
      <c r="A17" s="103"/>
      <c r="B17" s="103"/>
      <c r="C17" s="102"/>
      <c r="D17" s="102"/>
      <c r="E17" s="16"/>
      <c r="F17" s="103"/>
      <c r="G17" s="103"/>
      <c r="H17" s="16"/>
      <c r="I17" s="16"/>
      <c r="J17" s="16"/>
      <c r="K17" s="16"/>
      <c r="L17" s="103"/>
      <c r="M17" s="103"/>
      <c r="N17" s="16"/>
      <c r="O17" s="103"/>
      <c r="P17" s="103"/>
      <c r="Q17" s="103"/>
      <c r="R17" s="103"/>
      <c r="S17" s="103"/>
      <c r="T17" s="103"/>
    </row>
    <row r="18" spans="1:20" x14ac:dyDescent="0.2">
      <c r="A18" s="103"/>
      <c r="B18" s="103"/>
      <c r="C18" s="102"/>
      <c r="D18" s="102"/>
      <c r="E18" s="16"/>
      <c r="F18" s="103"/>
      <c r="G18" s="103"/>
      <c r="H18" s="16"/>
      <c r="I18" s="16"/>
      <c r="J18" s="16"/>
      <c r="K18" s="16"/>
      <c r="L18" s="103"/>
      <c r="M18" s="103"/>
      <c r="N18" s="16"/>
      <c r="O18" s="103"/>
      <c r="P18" s="103"/>
      <c r="Q18" s="103"/>
      <c r="R18" s="103"/>
      <c r="S18" s="103"/>
      <c r="T18" s="103"/>
    </row>
    <row r="19" spans="1:20" x14ac:dyDescent="0.2">
      <c r="A19" s="103"/>
      <c r="B19" s="103"/>
      <c r="C19" s="102"/>
      <c r="D19" s="102"/>
      <c r="E19" s="16"/>
      <c r="F19" s="103"/>
      <c r="G19" s="103"/>
      <c r="H19" s="16"/>
      <c r="I19" s="16"/>
      <c r="J19" s="16"/>
      <c r="K19" s="16"/>
      <c r="L19" s="103"/>
      <c r="M19" s="103"/>
      <c r="N19" s="16"/>
      <c r="O19" s="103"/>
      <c r="P19" s="103"/>
      <c r="Q19" s="103"/>
      <c r="R19" s="103"/>
      <c r="S19" s="103"/>
      <c r="T19" s="103"/>
    </row>
    <row r="20" spans="1:20" x14ac:dyDescent="0.2">
      <c r="A20" s="102"/>
      <c r="B20" s="102"/>
      <c r="C20" s="102"/>
      <c r="D20" s="102"/>
      <c r="E20" s="16"/>
      <c r="F20" s="102"/>
      <c r="G20" s="102"/>
      <c r="H20" s="16"/>
      <c r="I20" s="102"/>
      <c r="J20" s="16"/>
      <c r="K20" s="16"/>
      <c r="L20" s="103"/>
      <c r="M20" s="103"/>
      <c r="N20" s="102"/>
      <c r="O20" s="102"/>
      <c r="P20" s="102"/>
      <c r="Q20" s="102"/>
      <c r="R20" s="102"/>
      <c r="S20" s="102"/>
      <c r="T20" s="102"/>
    </row>
    <row r="21" spans="1:20" x14ac:dyDescent="0.2">
      <c r="A21" s="102"/>
      <c r="B21" s="102"/>
      <c r="C21" s="102"/>
      <c r="D21" s="102"/>
      <c r="E21"/>
      <c r="F21" s="102"/>
      <c r="G21" s="102"/>
      <c r="H21" s="4"/>
      <c r="I21" s="102"/>
      <c r="J21" s="102"/>
      <c r="K21" s="4"/>
      <c r="L21" s="102"/>
      <c r="M21" s="102"/>
      <c r="N21" s="102"/>
      <c r="O21" s="102"/>
      <c r="P21" s="102"/>
      <c r="Q21" s="102"/>
      <c r="R21" s="102"/>
      <c r="S21" s="102"/>
      <c r="T21" s="102"/>
    </row>
    <row r="22" spans="1:20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4"/>
      <c r="L22" s="102"/>
      <c r="M22" s="102"/>
      <c r="N22" s="102"/>
      <c r="O22" s="102"/>
      <c r="P22" s="102"/>
      <c r="Q22" s="102"/>
      <c r="R22" s="102"/>
      <c r="S22" s="102"/>
      <c r="T22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7">
    <dataValidation type="list" allowBlank="1" showInputMessage="1" showErrorMessage="1" sqref="I2 I4:I19" xr:uid="{00000000-0002-0000-0B00-000000000000}">
      <formula1>israel_abroad</formula1>
    </dataValidation>
    <dataValidation type="list" allowBlank="1" showInputMessage="1" showErrorMessage="1" sqref="M2 M4:M20" xr:uid="{00000000-0002-0000-0B00-000001000000}">
      <formula1>Holding_interest</formula1>
    </dataValidation>
    <dataValidation type="list" allowBlank="1" showInputMessage="1" showErrorMessage="1" sqref="L2 L4:L20" xr:uid="{00000000-0002-0000-0B00-000002000000}">
      <formula1>Underlying_Asset</formula1>
    </dataValidation>
    <dataValidation type="list" allowBlank="1" showInputMessage="1" showErrorMessage="1" sqref="J2 J4:J20" xr:uid="{00000000-0002-0000-0B00-000003000000}">
      <formula1>Country_list</formula1>
    </dataValidation>
    <dataValidation type="list" allowBlank="1" showInputMessage="1" showErrorMessage="1" sqref="E2 E4:E20" xr:uid="{00000000-0002-0000-0B00-000004000000}">
      <formula1>Issuer_Type_TFunds</formula1>
    </dataValidation>
    <dataValidation type="list" allowBlank="1" showInputMessage="1" showErrorMessage="1" sqref="H2 H4:H20" xr:uid="{00000000-0002-0000-0B00-000005000000}">
      <formula1>Security_ID_Number_Type</formula1>
    </dataValidation>
    <dataValidation type="list" allowBlank="1" showInputMessage="1" showErrorMessage="1" sqref="K2 K4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J22"/>
  <sheetViews>
    <sheetView rightToLeft="1" workbookViewId="0">
      <selection activeCell="A3" sqref="A3:AJ3"/>
    </sheetView>
  </sheetViews>
  <sheetFormatPr defaultColWidth="9" defaultRowHeight="14.25" x14ac:dyDescent="0.2"/>
  <cols>
    <col min="1" max="1" width="12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89</v>
      </c>
      <c r="M1" s="168" t="s">
        <v>70</v>
      </c>
      <c r="N1" s="168" t="s">
        <v>96</v>
      </c>
      <c r="O1" s="168" t="s">
        <v>56</v>
      </c>
      <c r="P1" s="168" t="s">
        <v>72</v>
      </c>
      <c r="Q1" s="168" t="s">
        <v>62</v>
      </c>
      <c r="R1" s="168" t="s">
        <v>74</v>
      </c>
      <c r="S1" s="168" t="s">
        <v>71</v>
      </c>
      <c r="T1" s="168" t="s">
        <v>58</v>
      </c>
      <c r="U1" s="168" t="s">
        <v>84</v>
      </c>
      <c r="V1" s="168" t="s">
        <v>59</v>
      </c>
      <c r="W1" s="168" t="s">
        <v>76</v>
      </c>
      <c r="X1" s="168" t="s">
        <v>61</v>
      </c>
      <c r="Y1" s="168" t="s">
        <v>77</v>
      </c>
      <c r="Z1" s="168" t="s">
        <v>63</v>
      </c>
      <c r="AA1" s="168" t="s">
        <v>64</v>
      </c>
      <c r="AB1" s="168" t="s">
        <v>65</v>
      </c>
    </row>
    <row r="2" spans="1:36" x14ac:dyDescent="0.2">
      <c r="A2" t="s">
        <v>1204</v>
      </c>
      <c r="B2" t="s">
        <v>1204</v>
      </c>
      <c r="C2" s="103"/>
      <c r="D2" s="103"/>
      <c r="E2" s="16"/>
      <c r="F2" s="103"/>
      <c r="G2" s="103"/>
      <c r="H2" s="16"/>
      <c r="I2" s="103"/>
      <c r="J2" s="16"/>
      <c r="K2" s="16"/>
      <c r="L2" s="103"/>
      <c r="M2" s="16"/>
      <c r="N2" s="103"/>
      <c r="O2" s="103"/>
      <c r="P2" s="103"/>
      <c r="Q2" s="103"/>
      <c r="R2" s="103"/>
      <c r="S2" s="103"/>
      <c r="T2" s="103"/>
      <c r="U2" s="103"/>
      <c r="V2" s="16"/>
      <c r="W2" s="103"/>
      <c r="X2" s="103"/>
      <c r="Y2" s="103"/>
      <c r="Z2" s="103"/>
      <c r="AA2" s="103"/>
      <c r="AB2" s="103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3"/>
      <c r="D4" s="103"/>
      <c r="E4" s="16"/>
      <c r="F4" s="103"/>
      <c r="G4" s="103"/>
      <c r="H4" s="16"/>
      <c r="I4" s="103"/>
      <c r="J4" s="16"/>
      <c r="K4" s="16"/>
      <c r="L4" s="103"/>
      <c r="M4" s="16"/>
      <c r="N4" s="103"/>
      <c r="O4" s="103"/>
      <c r="P4" s="103"/>
      <c r="Q4" s="103"/>
      <c r="R4" s="103"/>
      <c r="S4" s="103"/>
      <c r="T4" s="103"/>
      <c r="U4" s="103"/>
      <c r="V4" s="16"/>
      <c r="W4" s="103"/>
      <c r="X4" s="103"/>
      <c r="Y4" s="103"/>
      <c r="Z4" s="103"/>
      <c r="AA4" s="103"/>
      <c r="AB4" s="103"/>
    </row>
    <row r="5" spans="1:36" x14ac:dyDescent="0.2">
      <c r="A5" s="103"/>
      <c r="B5" s="103"/>
      <c r="C5" s="103"/>
      <c r="D5" s="103"/>
      <c r="E5" s="16"/>
      <c r="F5" s="103"/>
      <c r="G5" s="103"/>
      <c r="H5" s="16"/>
      <c r="I5" s="103"/>
      <c r="J5" s="16"/>
      <c r="K5" s="16"/>
      <c r="L5" s="103"/>
      <c r="M5" s="16"/>
      <c r="N5" s="103"/>
      <c r="O5" s="103"/>
      <c r="P5" s="103"/>
      <c r="Q5" s="103"/>
      <c r="R5" s="103"/>
      <c r="S5" s="103"/>
      <c r="T5" s="103"/>
      <c r="U5" s="103"/>
      <c r="V5" s="16"/>
      <c r="W5" s="103"/>
      <c r="X5" s="103"/>
      <c r="Y5" s="103"/>
      <c r="Z5" s="103"/>
      <c r="AA5" s="103"/>
      <c r="AB5" s="103"/>
    </row>
    <row r="6" spans="1:36" x14ac:dyDescent="0.2">
      <c r="A6" s="103"/>
      <c r="B6" s="103"/>
      <c r="C6" s="103"/>
      <c r="D6" s="103"/>
      <c r="E6" s="16"/>
      <c r="F6" s="103"/>
      <c r="G6" s="103"/>
      <c r="H6" s="16"/>
      <c r="I6" s="103"/>
      <c r="J6" s="16"/>
      <c r="K6" s="16"/>
      <c r="L6" s="103"/>
      <c r="M6" s="16"/>
      <c r="N6" s="103"/>
      <c r="O6" s="103"/>
      <c r="P6" s="103"/>
      <c r="Q6" s="103"/>
      <c r="R6" s="103"/>
      <c r="S6" s="103"/>
      <c r="T6" s="103"/>
      <c r="U6" s="103"/>
      <c r="V6" s="16"/>
      <c r="W6" s="103"/>
      <c r="X6" s="103"/>
      <c r="Y6" s="103"/>
      <c r="Z6" s="103"/>
      <c r="AA6" s="103"/>
      <c r="AB6" s="103"/>
    </row>
    <row r="7" spans="1:36" x14ac:dyDescent="0.2">
      <c r="A7" s="103"/>
      <c r="B7" s="103"/>
      <c r="C7" s="103"/>
      <c r="D7" s="103"/>
      <c r="E7" s="16"/>
      <c r="F7" s="103"/>
      <c r="G7" s="103"/>
      <c r="H7" s="16"/>
      <c r="I7" s="103"/>
      <c r="J7" s="16"/>
      <c r="K7" s="16"/>
      <c r="L7" s="103"/>
      <c r="M7" s="16"/>
      <c r="N7" s="103"/>
      <c r="O7" s="103"/>
      <c r="P7" s="103"/>
      <c r="Q7" s="103"/>
      <c r="R7" s="103"/>
      <c r="S7" s="103"/>
      <c r="T7" s="103"/>
      <c r="U7" s="103"/>
      <c r="V7" s="16"/>
      <c r="W7" s="103"/>
      <c r="X7" s="103"/>
      <c r="Y7" s="103"/>
      <c r="Z7" s="103"/>
      <c r="AA7" s="103"/>
      <c r="AB7" s="103"/>
    </row>
    <row r="8" spans="1:36" x14ac:dyDescent="0.2">
      <c r="A8" s="103"/>
      <c r="B8" s="103"/>
      <c r="C8" s="103"/>
      <c r="D8" s="103"/>
      <c r="E8" s="16"/>
      <c r="F8" s="103"/>
      <c r="G8" s="103"/>
      <c r="H8" s="16"/>
      <c r="I8" s="103"/>
      <c r="J8" s="16"/>
      <c r="K8" s="16"/>
      <c r="L8" s="103"/>
      <c r="M8" s="16"/>
      <c r="N8" s="103"/>
      <c r="O8" s="103"/>
      <c r="P8" s="103"/>
      <c r="Q8" s="103"/>
      <c r="R8" s="103"/>
      <c r="S8" s="103"/>
      <c r="T8" s="103"/>
      <c r="U8" s="103"/>
      <c r="V8" s="16"/>
      <c r="W8" s="103"/>
      <c r="X8" s="103"/>
      <c r="Y8" s="103"/>
      <c r="Z8" s="103"/>
      <c r="AA8" s="103"/>
      <c r="AB8" s="103"/>
    </row>
    <row r="9" spans="1:36" x14ac:dyDescent="0.2">
      <c r="A9" s="103"/>
      <c r="B9" s="103"/>
      <c r="C9" s="103"/>
      <c r="D9" s="103"/>
      <c r="E9" s="16"/>
      <c r="F9" s="103"/>
      <c r="G9" s="103"/>
      <c r="H9" s="16"/>
      <c r="I9" s="103"/>
      <c r="J9" s="16"/>
      <c r="K9" s="16"/>
      <c r="L9" s="103"/>
      <c r="M9" s="16"/>
      <c r="N9" s="103"/>
      <c r="O9" s="103"/>
      <c r="P9" s="103"/>
      <c r="Q9" s="103"/>
      <c r="R9" s="103"/>
      <c r="S9" s="103"/>
      <c r="T9" s="103"/>
      <c r="U9" s="103"/>
      <c r="V9" s="16"/>
      <c r="W9" s="103"/>
      <c r="X9" s="103"/>
      <c r="Y9" s="103"/>
      <c r="Z9" s="103"/>
      <c r="AA9" s="103"/>
      <c r="AB9" s="103"/>
    </row>
    <row r="10" spans="1:36" x14ac:dyDescent="0.2">
      <c r="A10" s="103"/>
      <c r="B10" s="103"/>
      <c r="C10" s="103"/>
      <c r="D10" s="103"/>
      <c r="E10" s="16"/>
      <c r="F10" s="103"/>
      <c r="G10" s="103"/>
      <c r="H10" s="16"/>
      <c r="I10" s="103"/>
      <c r="J10" s="16"/>
      <c r="K10" s="16"/>
      <c r="L10" s="103"/>
      <c r="M10" s="16"/>
      <c r="N10" s="103"/>
      <c r="O10" s="103"/>
      <c r="P10" s="103"/>
      <c r="Q10" s="103"/>
      <c r="R10" s="103"/>
      <c r="S10" s="103"/>
      <c r="T10" s="103"/>
      <c r="U10" s="103"/>
      <c r="V10" s="16"/>
      <c r="W10" s="103"/>
      <c r="X10" s="103"/>
      <c r="Y10" s="103"/>
      <c r="Z10" s="103"/>
      <c r="AA10" s="103"/>
      <c r="AB10" s="103"/>
    </row>
    <row r="11" spans="1:36" x14ac:dyDescent="0.2">
      <c r="A11" s="103"/>
      <c r="B11" s="103"/>
      <c r="C11" s="103"/>
      <c r="D11" s="103"/>
      <c r="E11" s="16"/>
      <c r="F11" s="103"/>
      <c r="G11" s="103"/>
      <c r="H11" s="16"/>
      <c r="I11" s="103"/>
      <c r="J11" s="16"/>
      <c r="K11" s="16"/>
      <c r="L11" s="103"/>
      <c r="M11" s="16"/>
      <c r="N11" s="103"/>
      <c r="O11" s="103"/>
      <c r="P11" s="103"/>
      <c r="Q11" s="103"/>
      <c r="R11" s="103"/>
      <c r="S11" s="103"/>
      <c r="T11" s="103"/>
      <c r="U11" s="103"/>
      <c r="V11" s="16"/>
      <c r="W11" s="103"/>
      <c r="X11" s="103"/>
      <c r="Y11" s="103"/>
      <c r="Z11" s="103"/>
      <c r="AA11" s="103"/>
      <c r="AB11" s="103"/>
    </row>
    <row r="12" spans="1:36" x14ac:dyDescent="0.2">
      <c r="A12" s="103"/>
      <c r="B12" s="103"/>
      <c r="C12" s="103"/>
      <c r="D12" s="103"/>
      <c r="E12" s="16"/>
      <c r="F12" s="103"/>
      <c r="G12" s="103"/>
      <c r="H12" s="16"/>
      <c r="I12" s="103"/>
      <c r="J12" s="16"/>
      <c r="K12" s="16"/>
      <c r="L12" s="103"/>
      <c r="M12" s="16"/>
      <c r="N12" s="103"/>
      <c r="O12" s="103"/>
      <c r="P12" s="103"/>
      <c r="Q12" s="103"/>
      <c r="R12" s="103"/>
      <c r="S12" s="103"/>
      <c r="T12" s="103"/>
      <c r="U12" s="103"/>
      <c r="V12" s="16"/>
      <c r="W12" s="103"/>
      <c r="X12" s="103"/>
      <c r="Y12" s="103"/>
      <c r="Z12" s="103"/>
      <c r="AA12" s="103"/>
      <c r="AB12" s="103"/>
    </row>
    <row r="13" spans="1:36" x14ac:dyDescent="0.2">
      <c r="A13" s="103"/>
      <c r="B13" s="103"/>
      <c r="C13" s="103"/>
      <c r="D13" s="103"/>
      <c r="E13" s="16"/>
      <c r="F13" s="103"/>
      <c r="G13" s="103"/>
      <c r="H13" s="16"/>
      <c r="I13" s="103"/>
      <c r="J13" s="16"/>
      <c r="K13" s="16"/>
      <c r="L13" s="103"/>
      <c r="M13" s="16"/>
      <c r="N13" s="103"/>
      <c r="O13" s="103"/>
      <c r="P13" s="103"/>
      <c r="Q13" s="103"/>
      <c r="R13" s="103"/>
      <c r="S13" s="103"/>
      <c r="T13" s="103"/>
      <c r="U13" s="103"/>
      <c r="V13" s="16"/>
      <c r="W13" s="103"/>
      <c r="X13" s="103"/>
      <c r="Y13" s="103"/>
      <c r="Z13" s="103"/>
      <c r="AA13" s="103"/>
      <c r="AB13" s="103"/>
    </row>
    <row r="14" spans="1:36" x14ac:dyDescent="0.2">
      <c r="A14" s="103"/>
      <c r="B14" s="103"/>
      <c r="C14" s="103"/>
      <c r="D14" s="103"/>
      <c r="E14" s="16"/>
      <c r="F14" s="103"/>
      <c r="G14" s="103"/>
      <c r="H14" s="16"/>
      <c r="I14" s="103"/>
      <c r="J14" s="16"/>
      <c r="K14" s="16"/>
      <c r="L14" s="103"/>
      <c r="M14" s="16"/>
      <c r="N14" s="103"/>
      <c r="O14" s="103"/>
      <c r="P14" s="103"/>
      <c r="Q14" s="103"/>
      <c r="R14" s="103"/>
      <c r="S14" s="103"/>
      <c r="T14" s="103"/>
      <c r="U14" s="103"/>
      <c r="V14" s="16"/>
      <c r="W14" s="103"/>
      <c r="X14" s="103"/>
      <c r="Y14" s="103"/>
      <c r="Z14" s="103"/>
      <c r="AA14" s="103"/>
      <c r="AB14" s="103"/>
    </row>
    <row r="15" spans="1:36" x14ac:dyDescent="0.2">
      <c r="A15" s="103"/>
      <c r="B15" s="103"/>
      <c r="C15" s="103"/>
      <c r="D15" s="103"/>
      <c r="E15" s="16"/>
      <c r="F15" s="103"/>
      <c r="G15" s="103"/>
      <c r="H15" s="16"/>
      <c r="I15" s="103"/>
      <c r="J15" s="16"/>
      <c r="K15" s="16"/>
      <c r="L15" s="103"/>
      <c r="M15" s="16"/>
      <c r="N15" s="103"/>
      <c r="O15" s="103"/>
      <c r="P15" s="103"/>
      <c r="Q15" s="103"/>
      <c r="R15" s="103"/>
      <c r="S15" s="103"/>
      <c r="T15" s="103"/>
      <c r="U15" s="103"/>
      <c r="V15" s="16"/>
      <c r="W15" s="103"/>
      <c r="X15" s="103"/>
      <c r="Y15" s="103"/>
      <c r="Z15" s="103"/>
      <c r="AA15" s="103"/>
      <c r="AB15" s="103"/>
    </row>
    <row r="16" spans="1:36" x14ac:dyDescent="0.2">
      <c r="A16" s="103"/>
      <c r="B16" s="103"/>
      <c r="C16" s="103"/>
      <c r="D16" s="103"/>
      <c r="E16" s="16"/>
      <c r="F16" s="103"/>
      <c r="G16" s="103"/>
      <c r="H16" s="16"/>
      <c r="I16" s="103"/>
      <c r="J16" s="16"/>
      <c r="K16" s="16"/>
      <c r="L16" s="103"/>
      <c r="M16" s="16"/>
      <c r="N16" s="103"/>
      <c r="O16" s="103"/>
      <c r="P16" s="103"/>
      <c r="Q16" s="103"/>
      <c r="R16" s="103"/>
      <c r="S16" s="103"/>
      <c r="T16" s="103"/>
      <c r="U16" s="103"/>
      <c r="V16" s="16"/>
      <c r="W16" s="103"/>
      <c r="X16" s="103"/>
      <c r="Y16" s="103"/>
      <c r="Z16" s="103"/>
      <c r="AA16" s="103"/>
      <c r="AB16" s="103"/>
    </row>
    <row r="17" spans="1:28" x14ac:dyDescent="0.2">
      <c r="A17" s="103"/>
      <c r="B17" s="103"/>
      <c r="C17" s="103"/>
      <c r="D17" s="103"/>
      <c r="E17" s="16"/>
      <c r="F17" s="103"/>
      <c r="G17" s="103"/>
      <c r="H17" s="16"/>
      <c r="I17" s="103"/>
      <c r="J17" s="16"/>
      <c r="K17" s="16"/>
      <c r="L17" s="103"/>
      <c r="M17" s="16"/>
      <c r="N17" s="103"/>
      <c r="O17" s="103"/>
      <c r="P17" s="103"/>
      <c r="Q17" s="103"/>
      <c r="R17" s="103"/>
      <c r="S17" s="103"/>
      <c r="T17" s="103"/>
      <c r="U17" s="103"/>
      <c r="V17" s="16"/>
      <c r="W17" s="103"/>
      <c r="X17" s="103"/>
      <c r="Y17" s="103"/>
      <c r="Z17" s="103"/>
      <c r="AA17" s="103"/>
      <c r="AB17" s="103"/>
    </row>
    <row r="18" spans="1:28" x14ac:dyDescent="0.2">
      <c r="A18" s="103"/>
      <c r="B18" s="103"/>
      <c r="C18" s="103"/>
      <c r="D18" s="103"/>
      <c r="E18" s="16"/>
      <c r="F18" s="103"/>
      <c r="G18" s="103"/>
      <c r="H18" s="16"/>
      <c r="I18" s="103"/>
      <c r="J18" s="16"/>
      <c r="K18" s="16"/>
      <c r="L18" s="103"/>
      <c r="M18" s="16"/>
      <c r="N18" s="103"/>
      <c r="O18" s="103"/>
      <c r="P18" s="103"/>
      <c r="Q18" s="103"/>
      <c r="R18" s="103"/>
      <c r="S18" s="103"/>
      <c r="T18" s="103"/>
      <c r="U18" s="103"/>
      <c r="V18" s="16"/>
      <c r="W18" s="103"/>
      <c r="X18" s="103"/>
      <c r="Y18" s="103"/>
      <c r="Z18" s="103"/>
      <c r="AA18" s="103"/>
      <c r="AB18" s="103"/>
    </row>
    <row r="19" spans="1:28" x14ac:dyDescent="0.2">
      <c r="A19" s="103"/>
      <c r="B19" s="103"/>
      <c r="C19" s="103"/>
      <c r="D19" s="103"/>
      <c r="E19" s="16"/>
      <c r="F19" s="103"/>
      <c r="G19" s="103"/>
      <c r="H19" s="16"/>
      <c r="I19" s="103"/>
      <c r="J19" s="16"/>
      <c r="K19" s="16"/>
      <c r="L19" s="103"/>
      <c r="M19" s="16"/>
      <c r="N19" s="103"/>
      <c r="O19" s="103"/>
      <c r="P19" s="103"/>
      <c r="Q19" s="103"/>
      <c r="R19" s="103"/>
      <c r="S19" s="103"/>
      <c r="T19" s="103"/>
      <c r="U19" s="103"/>
      <c r="V19" s="16"/>
      <c r="W19" s="103"/>
      <c r="X19" s="103"/>
      <c r="Y19" s="103"/>
      <c r="Z19" s="103"/>
      <c r="AA19" s="103"/>
      <c r="AB19" s="103"/>
    </row>
    <row r="20" spans="1:28" x14ac:dyDescent="0.2">
      <c r="A20" s="102"/>
      <c r="B20" s="102"/>
      <c r="C20" s="102"/>
      <c r="D20" s="102"/>
      <c r="E20" s="16"/>
      <c r="F20" s="102"/>
      <c r="G20" s="102"/>
      <c r="H20" s="16"/>
      <c r="I20" s="103"/>
      <c r="J20" s="16"/>
      <c r="K20" s="16"/>
      <c r="L20" s="103"/>
      <c r="M20" s="16"/>
      <c r="N20" s="103"/>
      <c r="O20" s="103"/>
      <c r="P20" s="102"/>
      <c r="Q20" s="102"/>
      <c r="R20" s="102"/>
      <c r="S20" s="102"/>
      <c r="T20" s="103"/>
      <c r="U20" s="103"/>
      <c r="V20" s="102"/>
      <c r="W20" s="102"/>
      <c r="X20" s="102"/>
      <c r="Y20" s="102"/>
      <c r="Z20" s="102"/>
      <c r="AA20" s="102"/>
      <c r="AB20" s="102"/>
    </row>
    <row r="21" spans="1:28" x14ac:dyDescent="0.2">
      <c r="A21" s="102"/>
      <c r="B21" s="102"/>
      <c r="C21" s="102"/>
      <c r="D21" s="102"/>
      <c r="E21"/>
      <c r="F21" s="102"/>
      <c r="G21" s="102"/>
      <c r="H21" s="4"/>
      <c r="I21" s="102"/>
      <c r="J21" s="102"/>
      <c r="K21" s="102"/>
      <c r="L21" s="102"/>
      <c r="M21" s="4"/>
      <c r="N21" s="103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</row>
    <row r="22" spans="1:28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102"/>
      <c r="M22" s="4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10">
    <dataValidation type="list" allowBlank="1" showInputMessage="1" showErrorMessage="1" sqref="J2 J4:J20" xr:uid="{00000000-0002-0000-0C00-000000000000}">
      <formula1>israel_abroad</formula1>
    </dataValidation>
    <dataValidation type="list" allowBlank="1" showInputMessage="1" showErrorMessage="1" sqref="O2 O4:O20" xr:uid="{00000000-0002-0000-0C00-000001000000}">
      <formula1>Holding_interest</formula1>
    </dataValidation>
    <dataValidation type="list" allowBlank="1" showInputMessage="1" showErrorMessage="1" sqref="U2 U4:U20" xr:uid="{00000000-0002-0000-0C00-000002000000}">
      <formula1>What_is_rated</formula1>
    </dataValidation>
    <dataValidation type="list" allowBlank="1" showInputMessage="1" showErrorMessage="1" sqref="T2 T4:T20" xr:uid="{00000000-0002-0000-0C00-000003000000}">
      <formula1>Rating_Agency</formula1>
    </dataValidation>
    <dataValidation type="list" allowBlank="1" showInputMessage="1" showErrorMessage="1" sqref="K2 K4:K20" xr:uid="{00000000-0002-0000-0C00-000004000000}">
      <formula1>Country_list</formula1>
    </dataValidation>
    <dataValidation type="list" allowBlank="1" showInputMessage="1" showErrorMessage="1" sqref="E2 E4:E20" xr:uid="{00000000-0002-0000-0C00-000005000000}">
      <formula1>Issuer_Type_TFunds</formula1>
    </dataValidation>
    <dataValidation type="list" allowBlank="1" showInputMessage="1" showErrorMessage="1" sqref="N2 N4:N21" xr:uid="{00000000-0002-0000-0C00-000006000000}">
      <formula1>Underlying_Asset_Structured</formula1>
    </dataValidation>
    <dataValidation type="list" allowBlank="1" showInputMessage="1" showErrorMessage="1" sqref="H2 H4:H20" xr:uid="{00000000-0002-0000-0C00-000007000000}">
      <formula1>Security_ID_Number_Type</formula1>
    </dataValidation>
    <dataValidation type="list" allowBlank="1" showInputMessage="1" showErrorMessage="1" sqref="L2 L4:L20" xr:uid="{00000000-0002-0000-0C00-000008000000}">
      <formula1>Tradeable_Status</formula1>
    </dataValidation>
    <dataValidation type="list" allowBlank="1" showInputMessage="1" showErrorMessage="1" sqref="M2 M4:M20" xr:uid="{00000000-0002-0000-0C00-000009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 I4:I20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J21"/>
  <sheetViews>
    <sheetView rightToLeft="1" workbookViewId="0">
      <selection activeCell="A3" sqref="A3:AJ3"/>
    </sheetView>
  </sheetViews>
  <sheetFormatPr defaultRowHeight="14.25" x14ac:dyDescent="0.2"/>
  <cols>
    <col min="1" max="1" width="11.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67</v>
      </c>
      <c r="E1" s="168" t="s">
        <v>68</v>
      </c>
      <c r="F1" s="168" t="s">
        <v>82</v>
      </c>
      <c r="G1" s="168" t="s">
        <v>54</v>
      </c>
      <c r="H1" s="168" t="s">
        <v>55</v>
      </c>
      <c r="I1" s="168" t="s">
        <v>69</v>
      </c>
      <c r="J1" s="168" t="s">
        <v>97</v>
      </c>
      <c r="K1" s="168" t="s">
        <v>71</v>
      </c>
      <c r="L1" s="168" t="s">
        <v>58</v>
      </c>
      <c r="M1" s="168" t="s">
        <v>59</v>
      </c>
      <c r="N1" s="168" t="s">
        <v>72</v>
      </c>
      <c r="O1" s="168" t="s">
        <v>73</v>
      </c>
      <c r="P1" s="168" t="s">
        <v>62</v>
      </c>
      <c r="Q1" s="168" t="s">
        <v>74</v>
      </c>
      <c r="R1" s="168" t="s">
        <v>76</v>
      </c>
      <c r="S1" s="168" t="s">
        <v>61</v>
      </c>
      <c r="T1" s="168" t="s">
        <v>77</v>
      </c>
      <c r="U1" s="168" t="s">
        <v>63</v>
      </c>
      <c r="V1" s="168" t="s">
        <v>78</v>
      </c>
      <c r="W1" s="168" t="s">
        <v>17</v>
      </c>
      <c r="X1" s="168" t="s">
        <v>64</v>
      </c>
      <c r="Y1" s="168" t="s">
        <v>65</v>
      </c>
    </row>
    <row r="2" spans="1:36" x14ac:dyDescent="0.2">
      <c r="A2" t="s">
        <v>1204</v>
      </c>
      <c r="B2" t="s">
        <v>1204</v>
      </c>
      <c r="C2" s="103"/>
      <c r="D2" s="103"/>
      <c r="E2" s="103"/>
      <c r="F2" s="103"/>
      <c r="G2" s="103"/>
      <c r="H2" s="16"/>
      <c r="I2" s="16"/>
      <c r="J2" s="103"/>
      <c r="K2" s="103"/>
      <c r="L2" s="103"/>
      <c r="M2" s="16"/>
      <c r="N2" s="103"/>
      <c r="O2" s="103"/>
      <c r="P2" s="103"/>
      <c r="Q2" s="103"/>
      <c r="R2" s="103"/>
      <c r="S2" s="103"/>
      <c r="T2" s="103"/>
      <c r="U2" s="103"/>
      <c r="V2" s="103"/>
      <c r="W2" s="16"/>
      <c r="X2" s="103"/>
      <c r="Y2" s="103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3"/>
      <c r="D4" s="103"/>
      <c r="E4" s="103"/>
      <c r="F4" s="103"/>
      <c r="G4" s="103"/>
      <c r="H4" s="16"/>
      <c r="I4" s="16"/>
      <c r="J4" s="103"/>
      <c r="K4" s="103"/>
      <c r="L4" s="103"/>
      <c r="M4" s="16"/>
      <c r="N4" s="103"/>
      <c r="O4" s="103"/>
      <c r="P4" s="103"/>
      <c r="Q4" s="103"/>
      <c r="R4" s="103"/>
      <c r="S4" s="103"/>
      <c r="T4" s="103"/>
      <c r="U4" s="103"/>
      <c r="V4" s="103"/>
      <c r="W4" s="16"/>
      <c r="X4" s="103"/>
      <c r="Y4" s="103"/>
    </row>
    <row r="5" spans="1:36" x14ac:dyDescent="0.2">
      <c r="A5" s="103"/>
      <c r="B5" s="103"/>
      <c r="C5" s="103"/>
      <c r="D5" s="103"/>
      <c r="E5" s="103"/>
      <c r="F5" s="103"/>
      <c r="G5" s="103"/>
      <c r="H5" s="16"/>
      <c r="I5" s="16"/>
      <c r="J5" s="103"/>
      <c r="K5" s="16"/>
      <c r="L5" s="103"/>
      <c r="N5" s="103"/>
      <c r="O5" s="103"/>
      <c r="P5" s="16"/>
      <c r="Q5" s="16"/>
      <c r="R5" s="103"/>
      <c r="T5" s="103"/>
      <c r="U5" s="103"/>
      <c r="V5" s="103"/>
      <c r="W5" s="103"/>
      <c r="X5" s="103"/>
      <c r="Y5" s="103"/>
      <c r="Z5" s="103"/>
      <c r="AA5" s="103"/>
    </row>
    <row r="6" spans="1:36" x14ac:dyDescent="0.2">
      <c r="A6" s="103"/>
      <c r="B6" s="103"/>
      <c r="C6" s="103"/>
      <c r="D6" s="103"/>
      <c r="E6" s="103"/>
      <c r="F6" s="103"/>
      <c r="G6" s="103"/>
      <c r="H6" s="16"/>
      <c r="I6" s="16"/>
      <c r="J6" s="103"/>
      <c r="K6" s="103"/>
      <c r="L6" s="103"/>
      <c r="M6" s="16"/>
      <c r="N6" s="103"/>
      <c r="O6" s="103"/>
      <c r="P6" s="103"/>
      <c r="Q6" s="103"/>
      <c r="R6" s="103"/>
      <c r="S6" s="103"/>
      <c r="T6" s="103"/>
      <c r="U6" s="103"/>
      <c r="V6" s="103"/>
      <c r="W6" s="16"/>
      <c r="X6" s="103"/>
      <c r="Y6" s="103"/>
    </row>
    <row r="7" spans="1:36" x14ac:dyDescent="0.2">
      <c r="A7" s="103"/>
      <c r="B7" s="103"/>
      <c r="C7" s="103"/>
      <c r="D7" s="103"/>
      <c r="E7" s="103"/>
      <c r="F7" s="103"/>
      <c r="G7" s="103"/>
      <c r="H7" s="16"/>
      <c r="I7" s="16"/>
      <c r="J7" s="103"/>
      <c r="K7" s="103"/>
      <c r="L7" s="103"/>
      <c r="M7" s="16"/>
      <c r="N7" s="103"/>
      <c r="O7" s="103"/>
      <c r="P7" s="103"/>
      <c r="Q7" s="103"/>
      <c r="R7" s="103"/>
      <c r="S7" s="103"/>
      <c r="T7" s="103"/>
      <c r="U7" s="103"/>
      <c r="V7" s="103"/>
      <c r="W7" s="16"/>
      <c r="X7" s="103"/>
      <c r="Y7" s="103"/>
    </row>
    <row r="8" spans="1:36" x14ac:dyDescent="0.2">
      <c r="A8" s="103"/>
      <c r="B8" s="103"/>
      <c r="C8" s="103"/>
      <c r="D8" s="103"/>
      <c r="E8" s="103"/>
      <c r="F8" s="103"/>
      <c r="G8" s="103"/>
      <c r="H8" s="16"/>
      <c r="I8" s="16"/>
      <c r="J8" s="103"/>
      <c r="K8" s="103"/>
      <c r="L8" s="103"/>
      <c r="M8" s="16"/>
      <c r="N8" s="103"/>
      <c r="O8" s="103"/>
      <c r="P8" s="103"/>
      <c r="Q8" s="103"/>
      <c r="R8" s="103"/>
      <c r="S8" s="103"/>
      <c r="T8" s="103"/>
      <c r="U8" s="103"/>
      <c r="V8" s="103"/>
      <c r="W8" s="16"/>
      <c r="X8" s="103"/>
      <c r="Y8" s="103"/>
    </row>
    <row r="9" spans="1:36" x14ac:dyDescent="0.2">
      <c r="A9" s="103"/>
      <c r="B9" s="103"/>
      <c r="C9" s="103"/>
      <c r="D9" s="103"/>
      <c r="E9" s="103"/>
      <c r="F9" s="103"/>
      <c r="G9" s="103"/>
      <c r="H9" s="16"/>
      <c r="I9" s="16"/>
      <c r="J9" s="103"/>
      <c r="K9" s="103"/>
      <c r="L9" s="103"/>
      <c r="M9" s="16"/>
      <c r="N9" s="103"/>
      <c r="O9" s="103"/>
      <c r="P9" s="103"/>
      <c r="Q9" s="103"/>
      <c r="R9" s="103"/>
      <c r="S9" s="103"/>
      <c r="T9" s="103"/>
      <c r="U9" s="103"/>
      <c r="V9" s="103"/>
      <c r="W9" s="16"/>
      <c r="X9" s="103"/>
      <c r="Y9" s="103"/>
    </row>
    <row r="10" spans="1:36" x14ac:dyDescent="0.2">
      <c r="A10" s="103"/>
      <c r="B10" s="103"/>
      <c r="C10" s="103"/>
      <c r="D10" s="103"/>
      <c r="E10" s="103"/>
      <c r="F10" s="103"/>
      <c r="G10" s="103"/>
      <c r="H10" s="16"/>
      <c r="I10" s="16"/>
      <c r="J10" s="103"/>
      <c r="K10" s="103"/>
      <c r="L10" s="103"/>
      <c r="M10" s="16"/>
      <c r="N10" s="103"/>
      <c r="O10" s="103"/>
      <c r="P10" s="103"/>
      <c r="Q10" s="103"/>
      <c r="R10" s="103"/>
      <c r="S10" s="103"/>
      <c r="T10" s="103"/>
      <c r="U10" s="103"/>
      <c r="V10" s="103"/>
      <c r="W10" s="16"/>
      <c r="X10" s="103"/>
      <c r="Y10" s="103"/>
    </row>
    <row r="11" spans="1:36" x14ac:dyDescent="0.2">
      <c r="A11" s="103"/>
      <c r="B11" s="103"/>
      <c r="C11" s="103"/>
      <c r="D11" s="103"/>
      <c r="E11" s="103"/>
      <c r="F11" s="103"/>
      <c r="G11" s="103"/>
      <c r="H11" s="16"/>
      <c r="I11" s="16"/>
      <c r="J11" s="103"/>
      <c r="K11" s="103"/>
      <c r="L11" s="103"/>
      <c r="M11" s="16"/>
      <c r="N11" s="103"/>
      <c r="O11" s="103"/>
      <c r="P11" s="103"/>
      <c r="Q11" s="103"/>
      <c r="R11" s="103"/>
      <c r="S11" s="103"/>
      <c r="T11" s="103"/>
      <c r="U11" s="103"/>
      <c r="V11" s="103"/>
      <c r="W11" s="16"/>
      <c r="X11" s="103"/>
      <c r="Y11" s="103"/>
    </row>
    <row r="12" spans="1:36" x14ac:dyDescent="0.2">
      <c r="A12" s="103"/>
      <c r="B12" s="103"/>
      <c r="C12" s="103"/>
      <c r="D12" s="103"/>
      <c r="E12" s="103"/>
      <c r="F12" s="103"/>
      <c r="G12" s="103"/>
      <c r="H12" s="16"/>
      <c r="I12" s="16"/>
      <c r="J12" s="103"/>
      <c r="K12" s="103"/>
      <c r="L12" s="103"/>
      <c r="M12" s="16"/>
      <c r="N12" s="103"/>
      <c r="O12" s="103"/>
      <c r="P12" s="103"/>
      <c r="Q12" s="103"/>
      <c r="R12" s="103"/>
      <c r="S12" s="103"/>
      <c r="T12" s="103"/>
      <c r="U12" s="103"/>
      <c r="V12" s="103"/>
      <c r="W12" s="16"/>
      <c r="X12" s="103"/>
      <c r="Y12" s="103"/>
    </row>
    <row r="13" spans="1:36" x14ac:dyDescent="0.2">
      <c r="A13" s="103"/>
      <c r="B13" s="103"/>
      <c r="C13" s="103"/>
      <c r="D13" s="103"/>
      <c r="E13" s="103"/>
      <c r="F13" s="103"/>
      <c r="G13" s="103"/>
      <c r="H13" s="16"/>
      <c r="I13" s="16"/>
      <c r="J13" s="103"/>
      <c r="K13" s="103"/>
      <c r="L13" s="103"/>
      <c r="M13" s="16"/>
      <c r="N13" s="103"/>
      <c r="O13" s="103"/>
      <c r="P13" s="103"/>
      <c r="Q13" s="103"/>
      <c r="R13" s="103"/>
      <c r="S13" s="103"/>
      <c r="T13" s="103"/>
      <c r="U13" s="103"/>
      <c r="V13" s="103"/>
      <c r="W13" s="16"/>
      <c r="X13" s="103"/>
      <c r="Y13" s="103"/>
    </row>
    <row r="14" spans="1:36" x14ac:dyDescent="0.2">
      <c r="A14" s="103"/>
      <c r="B14" s="103"/>
      <c r="C14" s="103"/>
      <c r="D14" s="103"/>
      <c r="E14" s="103"/>
      <c r="F14" s="103"/>
      <c r="G14" s="103"/>
      <c r="H14" s="16"/>
      <c r="I14" s="16"/>
      <c r="J14" s="103"/>
      <c r="K14" s="103"/>
      <c r="L14" s="103"/>
      <c r="M14" s="16"/>
      <c r="N14" s="103"/>
      <c r="O14" s="103"/>
      <c r="P14" s="103"/>
      <c r="Q14" s="103"/>
      <c r="R14" s="103"/>
      <c r="S14" s="103"/>
      <c r="T14" s="103"/>
      <c r="U14" s="103"/>
      <c r="V14" s="103"/>
      <c r="W14" s="16"/>
      <c r="X14" s="103"/>
      <c r="Y14" s="103"/>
    </row>
    <row r="15" spans="1:36" x14ac:dyDescent="0.2">
      <c r="A15" s="103"/>
      <c r="B15" s="103"/>
      <c r="C15" s="103"/>
      <c r="D15" s="103"/>
      <c r="E15" s="103"/>
      <c r="F15" s="103"/>
      <c r="G15" s="103"/>
      <c r="H15" s="16"/>
      <c r="I15" s="16"/>
      <c r="J15" s="103"/>
      <c r="K15" s="103"/>
      <c r="L15" s="103"/>
      <c r="M15" s="16"/>
      <c r="N15" s="103"/>
      <c r="O15" s="103"/>
      <c r="P15" s="103"/>
      <c r="Q15" s="103"/>
      <c r="R15" s="103"/>
      <c r="S15" s="103"/>
      <c r="T15" s="103"/>
      <c r="U15" s="103"/>
      <c r="V15" s="103"/>
      <c r="W15" s="16"/>
      <c r="X15" s="103"/>
      <c r="Y15" s="103"/>
    </row>
    <row r="16" spans="1:36" x14ac:dyDescent="0.2">
      <c r="A16" s="103"/>
      <c r="B16" s="103"/>
      <c r="C16" s="103"/>
      <c r="D16" s="103"/>
      <c r="E16" s="103"/>
      <c r="F16" s="103"/>
      <c r="G16" s="103"/>
      <c r="H16" s="16"/>
      <c r="I16" s="16"/>
      <c r="J16" s="103"/>
      <c r="K16" s="103"/>
      <c r="L16" s="103"/>
      <c r="M16" s="16"/>
      <c r="N16" s="103"/>
      <c r="O16" s="103"/>
      <c r="P16" s="103"/>
      <c r="Q16" s="103"/>
      <c r="R16" s="103"/>
      <c r="S16" s="103"/>
      <c r="T16" s="103"/>
      <c r="U16" s="103"/>
      <c r="V16" s="103"/>
      <c r="W16" s="16"/>
      <c r="X16" s="103"/>
      <c r="Y16" s="103"/>
    </row>
    <row r="17" spans="1:25" x14ac:dyDescent="0.2">
      <c r="A17" s="103"/>
      <c r="B17" s="103"/>
      <c r="C17" s="103"/>
      <c r="D17" s="103"/>
      <c r="E17" s="103"/>
      <c r="F17" s="103"/>
      <c r="G17" s="103"/>
      <c r="H17" s="16"/>
      <c r="I17" s="16"/>
      <c r="J17" s="103"/>
      <c r="K17" s="103"/>
      <c r="L17" s="103"/>
      <c r="M17" s="16"/>
      <c r="N17" s="103"/>
      <c r="O17" s="103"/>
      <c r="P17" s="103"/>
      <c r="Q17" s="103"/>
      <c r="R17" s="103"/>
      <c r="S17" s="103"/>
      <c r="T17" s="103"/>
      <c r="U17" s="103"/>
      <c r="V17" s="103"/>
      <c r="W17" s="16"/>
      <c r="X17" s="103"/>
      <c r="Y17" s="103"/>
    </row>
    <row r="18" spans="1:25" x14ac:dyDescent="0.2">
      <c r="A18" s="103"/>
      <c r="B18" s="103"/>
      <c r="C18" s="103"/>
      <c r="D18" s="103"/>
      <c r="E18" s="103"/>
      <c r="F18" s="103"/>
      <c r="G18" s="103"/>
      <c r="H18" s="16"/>
      <c r="I18" s="16"/>
      <c r="J18" s="103"/>
      <c r="K18" s="103"/>
      <c r="L18" s="103"/>
      <c r="M18" s="16"/>
      <c r="N18" s="103"/>
      <c r="O18" s="103"/>
      <c r="P18" s="103"/>
      <c r="Q18" s="103"/>
      <c r="R18" s="103"/>
      <c r="S18" s="103"/>
      <c r="T18" s="103"/>
      <c r="U18" s="103"/>
      <c r="V18" s="103"/>
      <c r="W18" s="16"/>
      <c r="X18" s="103"/>
      <c r="Y18" s="103"/>
    </row>
    <row r="19" spans="1:25" x14ac:dyDescent="0.2">
      <c r="A19" s="103"/>
      <c r="B19" s="103"/>
      <c r="C19" s="103"/>
      <c r="D19" s="103"/>
      <c r="E19" s="103"/>
      <c r="F19" s="103"/>
      <c r="G19" s="103"/>
      <c r="H19" s="16"/>
      <c r="I19" s="16"/>
      <c r="J19" s="103"/>
      <c r="K19" s="103"/>
      <c r="L19" s="103"/>
      <c r="M19" s="16"/>
      <c r="N19" s="103"/>
      <c r="O19" s="103"/>
      <c r="P19" s="103"/>
      <c r="Q19" s="103"/>
      <c r="R19" s="103"/>
      <c r="S19" s="103"/>
      <c r="T19" s="103"/>
      <c r="U19" s="103"/>
      <c r="V19" s="103"/>
      <c r="W19" s="16"/>
      <c r="X19" s="103"/>
      <c r="Y19" s="103"/>
    </row>
    <row r="20" spans="1:25" x14ac:dyDescent="0.2">
      <c r="F20" s="103"/>
      <c r="G20" s="103"/>
      <c r="H20" s="16"/>
      <c r="I20" s="16"/>
      <c r="L20" s="103"/>
      <c r="W20" s="16"/>
      <c r="X20" s="102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9">
    <dataValidation type="list" allowBlank="1" showInputMessage="1" showErrorMessage="1" sqref="W6:W20 W2 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K5 H2 H4:H20" xr:uid="{00000000-0002-0000-0D00-000002000000}">
      <formula1>israel_abroad</formula1>
    </dataValidation>
    <dataValidation type="list" allowBlank="1" showInputMessage="1" showErrorMessage="1" sqref="O5 L2 L4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 I4:I20" xr:uid="{00000000-0002-0000-0D00-000007000000}">
      <formula1>Country_list</formula1>
    </dataValidation>
    <dataValidation type="list" allowBlank="1" showInputMessage="1" showErrorMessage="1" sqref="F2 F4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 G4:G20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AJ89"/>
  <sheetViews>
    <sheetView rightToLeft="1" workbookViewId="0"/>
  </sheetViews>
  <sheetFormatPr defaultColWidth="9" defaultRowHeight="14.25" x14ac:dyDescent="0.2"/>
  <cols>
    <col min="1" max="1" width="12.12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ht="66.75" customHeight="1" x14ac:dyDescent="0.2">
      <c r="A1" s="168" t="s">
        <v>49</v>
      </c>
      <c r="B1" s="168" t="s">
        <v>50</v>
      </c>
      <c r="C1" s="168" t="s">
        <v>54</v>
      </c>
      <c r="D1" s="168" t="s">
        <v>67</v>
      </c>
      <c r="E1" s="168" t="s">
        <v>68</v>
      </c>
      <c r="F1" s="168" t="s">
        <v>97</v>
      </c>
      <c r="G1" s="168" t="s">
        <v>72</v>
      </c>
      <c r="H1" s="168" t="s">
        <v>98</v>
      </c>
      <c r="I1" s="168" t="s">
        <v>73</v>
      </c>
      <c r="J1" s="168" t="s">
        <v>62</v>
      </c>
      <c r="K1" s="168" t="s">
        <v>74</v>
      </c>
      <c r="L1" s="168" t="s">
        <v>76</v>
      </c>
      <c r="M1" s="168" t="s">
        <v>77</v>
      </c>
      <c r="N1" s="168" t="s">
        <v>63</v>
      </c>
      <c r="O1" s="168" t="s">
        <v>78</v>
      </c>
      <c r="P1" s="168" t="s">
        <v>17</v>
      </c>
      <c r="Q1" s="168" t="s">
        <v>64</v>
      </c>
      <c r="R1" s="168" t="s">
        <v>65</v>
      </c>
      <c r="S1" s="102"/>
    </row>
    <row r="2" spans="1:19" x14ac:dyDescent="0.2">
      <c r="A2" t="s">
        <v>1204</v>
      </c>
      <c r="B2" t="s">
        <v>1204</v>
      </c>
      <c r="C2" t="s">
        <v>1805</v>
      </c>
      <c r="D2" t="s">
        <v>1806</v>
      </c>
      <c r="E2" t="s">
        <v>1807</v>
      </c>
      <c r="F2" t="s">
        <v>1808</v>
      </c>
      <c r="G2" s="125">
        <v>2.5110000000000001</v>
      </c>
      <c r="H2" t="s">
        <v>754</v>
      </c>
      <c r="I2" t="s">
        <v>1809</v>
      </c>
      <c r="J2" s="126">
        <v>4.8000000000000001E-2</v>
      </c>
      <c r="K2" s="126">
        <v>1.6639999999999999E-2</v>
      </c>
      <c r="L2" s="125">
        <v>110922000</v>
      </c>
      <c r="M2" s="125">
        <v>129.005</v>
      </c>
      <c r="N2" s="125">
        <v>143094.80799999999</v>
      </c>
      <c r="O2" s="103"/>
      <c r="P2" s="16"/>
      <c r="Q2" s="126">
        <v>3.5249999999999997E-2</v>
      </c>
      <c r="R2" s="126">
        <v>1.213E-2</v>
      </c>
      <c r="S2" s="102"/>
    </row>
    <row r="3" spans="1:19" x14ac:dyDescent="0.2">
      <c r="A3" t="s">
        <v>1204</v>
      </c>
      <c r="B3" t="s">
        <v>1204</v>
      </c>
      <c r="C3" t="s">
        <v>1805</v>
      </c>
      <c r="D3" t="s">
        <v>1810</v>
      </c>
      <c r="E3" t="s">
        <v>1811</v>
      </c>
      <c r="F3" t="s">
        <v>1812</v>
      </c>
      <c r="G3" s="125">
        <v>7.9189999999999996</v>
      </c>
      <c r="H3" t="s">
        <v>754</v>
      </c>
      <c r="I3" t="s">
        <v>1813</v>
      </c>
      <c r="J3" s="126">
        <v>4.8000000000000001E-2</v>
      </c>
      <c r="K3" s="126">
        <v>1.8419999999999999E-2</v>
      </c>
      <c r="L3" s="125">
        <v>82298000</v>
      </c>
      <c r="M3" s="125">
        <v>145.398</v>
      </c>
      <c r="N3" s="125">
        <v>119659.997</v>
      </c>
      <c r="O3" s="103"/>
      <c r="P3" s="16"/>
      <c r="Q3" s="126">
        <v>2.9479999999999999E-2</v>
      </c>
      <c r="R3" s="126">
        <v>1.014E-2</v>
      </c>
      <c r="S3" s="102"/>
    </row>
    <row r="4" spans="1:19" x14ac:dyDescent="0.2">
      <c r="A4" t="s">
        <v>1204</v>
      </c>
      <c r="B4" t="s">
        <v>1204</v>
      </c>
      <c r="C4" t="s">
        <v>1805</v>
      </c>
      <c r="D4" t="s">
        <v>1814</v>
      </c>
      <c r="E4" t="s">
        <v>1815</v>
      </c>
      <c r="F4" t="s">
        <v>1816</v>
      </c>
      <c r="G4" s="125">
        <v>4.6159999999999997</v>
      </c>
      <c r="H4" t="s">
        <v>754</v>
      </c>
      <c r="I4" t="s">
        <v>1817</v>
      </c>
      <c r="J4" s="126">
        <v>4.8000000000000001E-2</v>
      </c>
      <c r="K4" s="126">
        <v>1.805E-2</v>
      </c>
      <c r="L4" s="125">
        <v>86388000</v>
      </c>
      <c r="M4" s="125">
        <v>135.273</v>
      </c>
      <c r="N4" s="125">
        <v>116859.673</v>
      </c>
      <c r="O4" s="103"/>
      <c r="P4" s="16"/>
      <c r="Q4" s="126">
        <v>2.879E-2</v>
      </c>
      <c r="R4" s="126">
        <v>9.9000000000000008E-3</v>
      </c>
      <c r="S4" s="102"/>
    </row>
    <row r="5" spans="1:19" x14ac:dyDescent="0.2">
      <c r="A5" t="s">
        <v>1204</v>
      </c>
      <c r="B5" t="s">
        <v>1204</v>
      </c>
      <c r="C5" t="s">
        <v>1805</v>
      </c>
      <c r="D5" t="s">
        <v>1818</v>
      </c>
      <c r="E5" t="s">
        <v>1819</v>
      </c>
      <c r="F5" t="s">
        <v>1820</v>
      </c>
      <c r="G5" s="125">
        <v>8.6910000000000007</v>
      </c>
      <c r="H5" t="s">
        <v>754</v>
      </c>
      <c r="I5" t="s">
        <v>1821</v>
      </c>
      <c r="J5" s="126">
        <v>4.8000000000000001E-2</v>
      </c>
      <c r="K5" s="126">
        <v>1.864E-2</v>
      </c>
      <c r="L5" s="125">
        <v>75448000</v>
      </c>
      <c r="M5" s="125">
        <v>148.96700000000001</v>
      </c>
      <c r="N5" s="125">
        <v>112392.637</v>
      </c>
      <c r="O5" s="103"/>
      <c r="P5" s="103"/>
      <c r="Q5" s="126">
        <v>2.7689999999999999E-2</v>
      </c>
      <c r="R5" s="126">
        <v>9.5200000000000007E-3</v>
      </c>
      <c r="S5" s="102"/>
    </row>
    <row r="6" spans="1:19" x14ac:dyDescent="0.2">
      <c r="A6" t="s">
        <v>1204</v>
      </c>
      <c r="B6" t="s">
        <v>1204</v>
      </c>
      <c r="C6" t="s">
        <v>1805</v>
      </c>
      <c r="D6" t="s">
        <v>1822</v>
      </c>
      <c r="E6" t="s">
        <v>1823</v>
      </c>
      <c r="F6" t="s">
        <v>1824</v>
      </c>
      <c r="G6" s="125">
        <v>4.048</v>
      </c>
      <c r="H6" t="s">
        <v>754</v>
      </c>
      <c r="I6" t="s">
        <v>1825</v>
      </c>
      <c r="J6" s="126">
        <v>4.8000000000000001E-2</v>
      </c>
      <c r="K6" s="126">
        <v>1.7760000000000001E-2</v>
      </c>
      <c r="L6" s="125">
        <v>84041000</v>
      </c>
      <c r="M6" s="125">
        <v>130.70400000000001</v>
      </c>
      <c r="N6" s="125">
        <v>109845.118</v>
      </c>
      <c r="O6" s="103"/>
      <c r="P6" s="16"/>
      <c r="Q6" s="126">
        <v>2.7060000000000001E-2</v>
      </c>
      <c r="R6" s="126">
        <v>9.3100000000000006E-3</v>
      </c>
      <c r="S6" s="102"/>
    </row>
    <row r="7" spans="1:19" x14ac:dyDescent="0.2">
      <c r="A7" t="s">
        <v>1204</v>
      </c>
      <c r="B7" t="s">
        <v>1204</v>
      </c>
      <c r="C7" t="s">
        <v>1805</v>
      </c>
      <c r="D7" t="s">
        <v>1826</v>
      </c>
      <c r="E7" t="s">
        <v>1827</v>
      </c>
      <c r="F7" t="s">
        <v>1828</v>
      </c>
      <c r="G7" s="125">
        <v>6.4829999999999997</v>
      </c>
      <c r="H7" t="s">
        <v>754</v>
      </c>
      <c r="I7" t="s">
        <v>1829</v>
      </c>
      <c r="J7" s="126">
        <v>4.8000000000000001E-2</v>
      </c>
      <c r="K7" s="126">
        <v>1.8010000000000002E-2</v>
      </c>
      <c r="L7" s="125">
        <v>75728000</v>
      </c>
      <c r="M7" s="125">
        <v>143.08000000000001</v>
      </c>
      <c r="N7" s="125">
        <v>108351.826</v>
      </c>
      <c r="O7" s="103"/>
      <c r="P7" s="16"/>
      <c r="Q7" s="126">
        <v>2.6689999999999998E-2</v>
      </c>
      <c r="R7" s="126">
        <v>9.1800000000000007E-3</v>
      </c>
      <c r="S7" s="102"/>
    </row>
    <row r="8" spans="1:19" x14ac:dyDescent="0.2">
      <c r="A8" t="s">
        <v>1204</v>
      </c>
      <c r="B8" t="s">
        <v>1204</v>
      </c>
      <c r="C8" t="s">
        <v>1805</v>
      </c>
      <c r="D8" t="s">
        <v>1830</v>
      </c>
      <c r="E8" t="s">
        <v>1831</v>
      </c>
      <c r="F8" t="s">
        <v>1832</v>
      </c>
      <c r="G8" s="125">
        <v>4.383</v>
      </c>
      <c r="H8" t="s">
        <v>754</v>
      </c>
      <c r="I8" t="s">
        <v>1833</v>
      </c>
      <c r="J8" s="126">
        <v>4.8000000000000001E-2</v>
      </c>
      <c r="K8" s="126">
        <v>1.7850000000000001E-2</v>
      </c>
      <c r="L8" s="125">
        <v>77619000</v>
      </c>
      <c r="M8" s="125">
        <v>132.31200000000001</v>
      </c>
      <c r="N8" s="125">
        <v>102699.469</v>
      </c>
      <c r="O8" s="103"/>
      <c r="P8" s="16"/>
      <c r="Q8" s="126">
        <v>2.53E-2</v>
      </c>
      <c r="R8" s="126">
        <v>8.6999999999999994E-3</v>
      </c>
      <c r="S8" s="102"/>
    </row>
    <row r="9" spans="1:19" x14ac:dyDescent="0.2">
      <c r="A9" t="s">
        <v>1204</v>
      </c>
      <c r="B9" t="s">
        <v>1204</v>
      </c>
      <c r="C9" t="s">
        <v>1805</v>
      </c>
      <c r="D9" t="s">
        <v>1834</v>
      </c>
      <c r="E9" t="s">
        <v>1835</v>
      </c>
      <c r="F9" t="s">
        <v>1836</v>
      </c>
      <c r="G9" s="125">
        <v>5.7240000000000002</v>
      </c>
      <c r="H9" t="s">
        <v>754</v>
      </c>
      <c r="I9" t="s">
        <v>1837</v>
      </c>
      <c r="J9" s="126">
        <v>4.8000000000000001E-2</v>
      </c>
      <c r="K9" s="126">
        <v>1.7760000000000001E-2</v>
      </c>
      <c r="L9" s="125">
        <v>66006000</v>
      </c>
      <c r="M9" s="125">
        <v>140.006</v>
      </c>
      <c r="N9" s="125">
        <v>92412.433000000005</v>
      </c>
      <c r="O9" s="103"/>
      <c r="P9" s="16"/>
      <c r="Q9" s="126">
        <v>2.2769999999999999E-2</v>
      </c>
      <c r="R9" s="126">
        <v>7.8300000000000002E-3</v>
      </c>
      <c r="S9" s="102"/>
    </row>
    <row r="10" spans="1:19" x14ac:dyDescent="0.2">
      <c r="A10" t="s">
        <v>1204</v>
      </c>
      <c r="B10" t="s">
        <v>1204</v>
      </c>
      <c r="C10" t="s">
        <v>1805</v>
      </c>
      <c r="D10" t="s">
        <v>1838</v>
      </c>
      <c r="E10" t="s">
        <v>1839</v>
      </c>
      <c r="F10" t="s">
        <v>1840</v>
      </c>
      <c r="G10" s="125">
        <v>2.673</v>
      </c>
      <c r="H10" t="s">
        <v>754</v>
      </c>
      <c r="I10" t="s">
        <v>1841</v>
      </c>
      <c r="J10" s="126">
        <v>4.8000000000000001E-2</v>
      </c>
      <c r="K10" s="126">
        <v>1.736E-2</v>
      </c>
      <c r="L10" s="125">
        <v>69132000</v>
      </c>
      <c r="M10" s="125">
        <v>127.309</v>
      </c>
      <c r="N10" s="125">
        <v>88011.209000000003</v>
      </c>
      <c r="O10" s="103"/>
      <c r="P10" s="16"/>
      <c r="Q10" s="126">
        <v>2.1680000000000001E-2</v>
      </c>
      <c r="R10" s="126">
        <v>7.4599999999999996E-3</v>
      </c>
      <c r="S10" s="102"/>
    </row>
    <row r="11" spans="1:19" x14ac:dyDescent="0.2">
      <c r="A11" t="s">
        <v>1204</v>
      </c>
      <c r="B11" t="s">
        <v>1204</v>
      </c>
      <c r="C11" t="s">
        <v>1805</v>
      </c>
      <c r="D11" t="s">
        <v>1842</v>
      </c>
      <c r="E11" t="s">
        <v>1843</v>
      </c>
      <c r="F11" t="s">
        <v>1844</v>
      </c>
      <c r="G11" s="125">
        <v>4.1289999999999996</v>
      </c>
      <c r="H11" t="s">
        <v>754</v>
      </c>
      <c r="I11" t="s">
        <v>1845</v>
      </c>
      <c r="J11" s="126">
        <v>4.8000000000000001E-2</v>
      </c>
      <c r="K11" s="126">
        <v>1.7760000000000001E-2</v>
      </c>
      <c r="L11" s="125">
        <v>57209000</v>
      </c>
      <c r="M11" s="125">
        <v>132.56800000000001</v>
      </c>
      <c r="N11" s="125">
        <v>75840.585000000006</v>
      </c>
      <c r="O11" s="103"/>
      <c r="P11" s="16"/>
      <c r="Q11" s="126">
        <v>1.8679999999999999E-2</v>
      </c>
      <c r="R11" s="126">
        <v>6.43E-3</v>
      </c>
      <c r="S11" s="102"/>
    </row>
    <row r="12" spans="1:19" x14ac:dyDescent="0.2">
      <c r="A12" t="s">
        <v>1204</v>
      </c>
      <c r="B12" t="s">
        <v>1204</v>
      </c>
      <c r="C12" t="s">
        <v>1805</v>
      </c>
      <c r="D12" t="s">
        <v>1846</v>
      </c>
      <c r="E12" t="s">
        <v>1847</v>
      </c>
      <c r="F12" t="s">
        <v>1848</v>
      </c>
      <c r="G12" s="125">
        <v>9.2759999999999998</v>
      </c>
      <c r="H12" t="s">
        <v>754</v>
      </c>
      <c r="I12" t="s">
        <v>1849</v>
      </c>
      <c r="J12" s="126">
        <v>4.8000000000000001E-2</v>
      </c>
      <c r="K12" s="126">
        <v>1.8710000000000001E-2</v>
      </c>
      <c r="L12" s="125">
        <v>50270000</v>
      </c>
      <c r="M12" s="125">
        <v>149.52799999999999</v>
      </c>
      <c r="N12" s="125">
        <v>75167.835000000006</v>
      </c>
      <c r="O12" s="103"/>
      <c r="P12" s="16"/>
      <c r="Q12" s="126">
        <v>1.8519999999999998E-2</v>
      </c>
      <c r="R12" s="126">
        <v>6.3699999999999998E-3</v>
      </c>
      <c r="S12" s="102"/>
    </row>
    <row r="13" spans="1:19" x14ac:dyDescent="0.2">
      <c r="A13" t="s">
        <v>1204</v>
      </c>
      <c r="B13" t="s">
        <v>1204</v>
      </c>
      <c r="C13" t="s">
        <v>1805</v>
      </c>
      <c r="D13" t="s">
        <v>1850</v>
      </c>
      <c r="E13" t="s">
        <v>1851</v>
      </c>
      <c r="F13" t="s">
        <v>1852</v>
      </c>
      <c r="G13" s="125">
        <v>4.2160000000000002</v>
      </c>
      <c r="H13" t="s">
        <v>754</v>
      </c>
      <c r="I13" t="s">
        <v>1853</v>
      </c>
      <c r="J13" s="126">
        <v>4.8000000000000001E-2</v>
      </c>
      <c r="K13" s="126">
        <v>1.7850000000000001E-2</v>
      </c>
      <c r="L13" s="125">
        <v>56827000</v>
      </c>
      <c r="M13" s="125">
        <v>132.185</v>
      </c>
      <c r="N13" s="125">
        <v>75116.926000000007</v>
      </c>
      <c r="O13" s="103"/>
      <c r="P13" s="16"/>
      <c r="Q13" s="126">
        <v>1.8509999999999999E-2</v>
      </c>
      <c r="R13" s="126">
        <v>6.3699999999999998E-3</v>
      </c>
      <c r="S13" s="102"/>
    </row>
    <row r="14" spans="1:19" x14ac:dyDescent="0.2">
      <c r="A14" t="s">
        <v>1204</v>
      </c>
      <c r="B14" t="s">
        <v>1204</v>
      </c>
      <c r="C14" t="s">
        <v>1805</v>
      </c>
      <c r="D14" t="s">
        <v>1854</v>
      </c>
      <c r="E14" t="s">
        <v>1855</v>
      </c>
      <c r="F14" t="s">
        <v>1856</v>
      </c>
      <c r="G14" s="125">
        <v>4.5389999999999997</v>
      </c>
      <c r="H14" t="s">
        <v>754</v>
      </c>
      <c r="I14" t="s">
        <v>1857</v>
      </c>
      <c r="J14" s="126">
        <v>4.8000000000000001E-2</v>
      </c>
      <c r="K14" s="126">
        <v>1.7950000000000001E-2</v>
      </c>
      <c r="L14" s="125">
        <v>55042000</v>
      </c>
      <c r="M14" s="125">
        <v>134.304</v>
      </c>
      <c r="N14" s="125">
        <v>73923.804999999993</v>
      </c>
      <c r="O14" s="103"/>
      <c r="P14" s="16"/>
      <c r="Q14" s="126">
        <v>1.821E-2</v>
      </c>
      <c r="R14" s="126">
        <v>6.2599999999999999E-3</v>
      </c>
      <c r="S14" s="102"/>
    </row>
    <row r="15" spans="1:19" x14ac:dyDescent="0.2">
      <c r="A15" t="s">
        <v>1204</v>
      </c>
      <c r="B15" t="s">
        <v>1204</v>
      </c>
      <c r="C15" t="s">
        <v>1805</v>
      </c>
      <c r="D15" t="s">
        <v>1858</v>
      </c>
      <c r="E15" t="s">
        <v>1859</v>
      </c>
      <c r="F15" t="s">
        <v>1860</v>
      </c>
      <c r="G15" s="125">
        <v>7.2110000000000003</v>
      </c>
      <c r="H15" t="s">
        <v>754</v>
      </c>
      <c r="I15" t="s">
        <v>1861</v>
      </c>
      <c r="J15" s="126">
        <v>4.8000000000000001E-2</v>
      </c>
      <c r="K15" s="126">
        <v>1.823E-2</v>
      </c>
      <c r="L15" s="125">
        <v>51157000</v>
      </c>
      <c r="M15" s="125">
        <v>143.94399999999999</v>
      </c>
      <c r="N15" s="125">
        <v>73637.225999999995</v>
      </c>
      <c r="O15" s="103"/>
      <c r="P15" s="16"/>
      <c r="Q15" s="126">
        <v>1.814E-2</v>
      </c>
      <c r="R15" s="126">
        <v>6.2399999999999999E-3</v>
      </c>
      <c r="S15" s="102"/>
    </row>
    <row r="16" spans="1:19" x14ac:dyDescent="0.2">
      <c r="A16" t="s">
        <v>1204</v>
      </c>
      <c r="B16" t="s">
        <v>1204</v>
      </c>
      <c r="C16" t="s">
        <v>1805</v>
      </c>
      <c r="D16" t="s">
        <v>1862</v>
      </c>
      <c r="E16" t="s">
        <v>1863</v>
      </c>
      <c r="F16" t="s">
        <v>1864</v>
      </c>
      <c r="G16" s="125">
        <v>4.7009999999999996</v>
      </c>
      <c r="H16" t="s">
        <v>754</v>
      </c>
      <c r="I16" t="s">
        <v>1865</v>
      </c>
      <c r="J16" s="126">
        <v>4.8000000000000001E-2</v>
      </c>
      <c r="K16" s="126">
        <v>1.804E-2</v>
      </c>
      <c r="L16" s="125">
        <v>53789000</v>
      </c>
      <c r="M16" s="125">
        <v>136.03</v>
      </c>
      <c r="N16" s="125">
        <v>73168.95</v>
      </c>
      <c r="O16" s="103"/>
      <c r="P16" s="16"/>
      <c r="Q16" s="126">
        <v>1.8030000000000001E-2</v>
      </c>
      <c r="R16" s="126">
        <v>6.1999999999999998E-3</v>
      </c>
      <c r="S16" s="102"/>
    </row>
    <row r="17" spans="1:18" x14ac:dyDescent="0.2">
      <c r="A17" t="s">
        <v>1204</v>
      </c>
      <c r="B17" t="s">
        <v>1204</v>
      </c>
      <c r="C17" t="s">
        <v>1805</v>
      </c>
      <c r="D17" t="s">
        <v>1866</v>
      </c>
      <c r="E17" t="s">
        <v>1867</v>
      </c>
      <c r="F17" t="s">
        <v>1868</v>
      </c>
      <c r="G17" s="125">
        <v>2.782</v>
      </c>
      <c r="H17" t="s">
        <v>754</v>
      </c>
      <c r="I17" t="s">
        <v>1869</v>
      </c>
      <c r="J17" s="126">
        <v>4.8000000000000001E-2</v>
      </c>
      <c r="K17" s="126">
        <v>1.738E-2</v>
      </c>
      <c r="L17" s="125">
        <v>55904000</v>
      </c>
      <c r="M17" s="125">
        <v>130.59</v>
      </c>
      <c r="N17" s="125">
        <v>73004.827000000005</v>
      </c>
      <c r="O17" s="103"/>
      <c r="P17" s="16"/>
      <c r="Q17" s="126">
        <v>1.7979999999999999E-2</v>
      </c>
      <c r="R17" s="126">
        <v>6.1900000000000002E-3</v>
      </c>
    </row>
    <row r="18" spans="1:18" x14ac:dyDescent="0.2">
      <c r="A18" t="s">
        <v>1204</v>
      </c>
      <c r="B18" t="s">
        <v>1204</v>
      </c>
      <c r="C18" t="s">
        <v>1805</v>
      </c>
      <c r="D18" t="s">
        <v>1870</v>
      </c>
      <c r="E18" t="s">
        <v>1871</v>
      </c>
      <c r="F18" t="s">
        <v>1872</v>
      </c>
      <c r="G18" s="125">
        <v>3.7989999999999999</v>
      </c>
      <c r="H18" t="s">
        <v>754</v>
      </c>
      <c r="I18" t="s">
        <v>1873</v>
      </c>
      <c r="J18" s="126">
        <v>4.8000000000000001E-2</v>
      </c>
      <c r="K18" s="126">
        <v>1.7680000000000001E-2</v>
      </c>
      <c r="L18" s="125">
        <v>54828000</v>
      </c>
      <c r="M18" s="125">
        <v>131.57900000000001</v>
      </c>
      <c r="N18" s="125">
        <v>72142.273000000001</v>
      </c>
      <c r="O18" s="103"/>
      <c r="P18" s="16"/>
      <c r="Q18" s="126">
        <v>1.7770000000000001E-2</v>
      </c>
      <c r="R18" s="126">
        <v>6.11E-3</v>
      </c>
    </row>
    <row r="19" spans="1:18" x14ac:dyDescent="0.2">
      <c r="A19" t="s">
        <v>1204</v>
      </c>
      <c r="B19" t="s">
        <v>1204</v>
      </c>
      <c r="C19" t="s">
        <v>1805</v>
      </c>
      <c r="D19" t="s">
        <v>1874</v>
      </c>
      <c r="E19" t="s">
        <v>1875</v>
      </c>
      <c r="F19" t="s">
        <v>1876</v>
      </c>
      <c r="G19" s="125">
        <v>2.758</v>
      </c>
      <c r="H19" t="s">
        <v>754</v>
      </c>
      <c r="I19" t="s">
        <v>1877</v>
      </c>
      <c r="J19" s="126">
        <v>4.8000000000000001E-2</v>
      </c>
      <c r="K19" s="126">
        <v>1.738E-2</v>
      </c>
      <c r="L19" s="125">
        <v>54836000</v>
      </c>
      <c r="M19" s="125">
        <v>127.35599999999999</v>
      </c>
      <c r="N19" s="125">
        <v>69837.017999999996</v>
      </c>
      <c r="O19" s="103"/>
      <c r="P19" s="16"/>
      <c r="Q19" s="126">
        <v>1.72E-2</v>
      </c>
      <c r="R19" s="126">
        <v>5.9199999999999999E-3</v>
      </c>
    </row>
    <row r="20" spans="1:18" x14ac:dyDescent="0.2">
      <c r="A20" t="s">
        <v>1204</v>
      </c>
      <c r="B20" t="s">
        <v>1204</v>
      </c>
      <c r="C20" t="s">
        <v>1805</v>
      </c>
      <c r="D20" t="s">
        <v>1878</v>
      </c>
      <c r="E20" t="s">
        <v>1879</v>
      </c>
      <c r="F20" t="s">
        <v>1880</v>
      </c>
      <c r="G20" s="125">
        <v>5.585</v>
      </c>
      <c r="H20" t="s">
        <v>754</v>
      </c>
      <c r="I20" t="s">
        <v>1881</v>
      </c>
      <c r="J20" s="126">
        <v>4.8000000000000001E-2</v>
      </c>
      <c r="K20" s="126">
        <v>1.772E-2</v>
      </c>
      <c r="L20" s="125">
        <v>49987000</v>
      </c>
      <c r="M20" s="125">
        <v>139.30799999999999</v>
      </c>
      <c r="N20" s="125">
        <v>69635.948000000004</v>
      </c>
      <c r="O20" s="102"/>
      <c r="P20" s="16"/>
      <c r="Q20" s="126">
        <v>1.7149999999999999E-2</v>
      </c>
      <c r="R20" s="126">
        <v>5.8999999999999999E-3</v>
      </c>
    </row>
    <row r="21" spans="1:18" x14ac:dyDescent="0.2">
      <c r="A21" t="s">
        <v>1204</v>
      </c>
      <c r="B21" t="s">
        <v>1204</v>
      </c>
      <c r="C21" t="s">
        <v>1805</v>
      </c>
      <c r="D21" t="s">
        <v>1882</v>
      </c>
      <c r="E21" t="s">
        <v>1883</v>
      </c>
      <c r="F21" t="s">
        <v>1884</v>
      </c>
      <c r="G21" s="125">
        <v>4.7839999999999998</v>
      </c>
      <c r="H21" t="s">
        <v>754</v>
      </c>
      <c r="I21" t="s">
        <v>1885</v>
      </c>
      <c r="J21" s="126">
        <v>4.8000000000000001E-2</v>
      </c>
      <c r="K21" s="126">
        <v>1.804E-2</v>
      </c>
      <c r="L21" s="125">
        <v>51014000</v>
      </c>
      <c r="M21" s="125">
        <v>135.41800000000001</v>
      </c>
      <c r="N21" s="125">
        <v>69082.144</v>
      </c>
      <c r="O21" s="102"/>
      <c r="Q21" s="126">
        <v>1.702E-2</v>
      </c>
      <c r="R21" s="126">
        <v>5.8500000000000002E-3</v>
      </c>
    </row>
    <row r="22" spans="1:18" x14ac:dyDescent="0.2">
      <c r="A22" t="s">
        <v>1204</v>
      </c>
      <c r="B22" t="s">
        <v>1204</v>
      </c>
      <c r="C22" t="s">
        <v>1805</v>
      </c>
      <c r="D22" t="s">
        <v>1886</v>
      </c>
      <c r="E22" t="s">
        <v>1887</v>
      </c>
      <c r="F22" t="s">
        <v>1888</v>
      </c>
      <c r="G22" s="125">
        <v>3.46</v>
      </c>
      <c r="H22" t="s">
        <v>754</v>
      </c>
      <c r="I22" t="s">
        <v>1889</v>
      </c>
      <c r="J22" s="126">
        <v>4.8000000000000001E-2</v>
      </c>
      <c r="K22" s="126">
        <v>1.753E-2</v>
      </c>
      <c r="L22" s="125">
        <v>53450000</v>
      </c>
      <c r="M22" s="125">
        <v>129.06200000000001</v>
      </c>
      <c r="N22" s="125">
        <v>68983.485000000001</v>
      </c>
      <c r="O22" s="102"/>
      <c r="Q22" s="126">
        <v>1.6990000000000002E-2</v>
      </c>
      <c r="R22" s="126">
        <v>5.8500000000000002E-3</v>
      </c>
    </row>
    <row r="23" spans="1:18" x14ac:dyDescent="0.2">
      <c r="A23" t="s">
        <v>1204</v>
      </c>
      <c r="B23" t="s">
        <v>1204</v>
      </c>
      <c r="C23" t="s">
        <v>1805</v>
      </c>
      <c r="D23" t="s">
        <v>1890</v>
      </c>
      <c r="E23" t="s">
        <v>1891</v>
      </c>
      <c r="F23" t="s">
        <v>1892</v>
      </c>
      <c r="G23" s="125">
        <v>3.5449999999999999</v>
      </c>
      <c r="H23" t="s">
        <v>754</v>
      </c>
      <c r="I23" t="s">
        <v>1893</v>
      </c>
      <c r="J23" s="126">
        <v>4.8000000000000001E-2</v>
      </c>
      <c r="K23" s="126">
        <v>1.7520000000000001E-2</v>
      </c>
      <c r="L23" s="125">
        <v>53085000</v>
      </c>
      <c r="M23" s="125">
        <v>128.87299999999999</v>
      </c>
      <c r="N23" s="125">
        <v>68412.012000000002</v>
      </c>
      <c r="O23" s="102"/>
      <c r="Q23" s="126">
        <v>1.685E-2</v>
      </c>
      <c r="R23" s="126">
        <v>5.7999999999999996E-3</v>
      </c>
    </row>
    <row r="24" spans="1:18" x14ac:dyDescent="0.2">
      <c r="A24" t="s">
        <v>1204</v>
      </c>
      <c r="B24" t="s">
        <v>1204</v>
      </c>
      <c r="C24" t="s">
        <v>1805</v>
      </c>
      <c r="D24" t="s">
        <v>1894</v>
      </c>
      <c r="E24" t="s">
        <v>1895</v>
      </c>
      <c r="F24" t="s">
        <v>1896</v>
      </c>
      <c r="G24" s="125">
        <v>3.198</v>
      </c>
      <c r="H24" t="s">
        <v>754</v>
      </c>
      <c r="I24" t="s">
        <v>1897</v>
      </c>
      <c r="J24" s="126">
        <v>4.8000000000000001E-2</v>
      </c>
      <c r="K24" s="126">
        <v>1.7469999999999999E-2</v>
      </c>
      <c r="L24" s="125">
        <v>52682000</v>
      </c>
      <c r="M24" s="125">
        <v>128.83000000000001</v>
      </c>
      <c r="N24" s="125">
        <v>67870.331999999995</v>
      </c>
      <c r="O24" s="102"/>
      <c r="Q24" s="126">
        <v>1.6719999999999999E-2</v>
      </c>
      <c r="R24" s="126">
        <v>5.7499999999999999E-3</v>
      </c>
    </row>
    <row r="25" spans="1:18" x14ac:dyDescent="0.2">
      <c r="A25" t="s">
        <v>1204</v>
      </c>
      <c r="B25" t="s">
        <v>1204</v>
      </c>
      <c r="C25" t="s">
        <v>1805</v>
      </c>
      <c r="D25" t="s">
        <v>1898</v>
      </c>
      <c r="E25" t="s">
        <v>1899</v>
      </c>
      <c r="F25" t="s">
        <v>1900</v>
      </c>
      <c r="G25" s="125">
        <v>3.1160000000000001</v>
      </c>
      <c r="H25" t="s">
        <v>754</v>
      </c>
      <c r="I25" t="s">
        <v>1901</v>
      </c>
      <c r="J25" s="126">
        <v>4.8000000000000001E-2</v>
      </c>
      <c r="K25" s="126">
        <v>1.7409999999999998E-2</v>
      </c>
      <c r="L25" s="125">
        <v>51856000</v>
      </c>
      <c r="M25" s="125">
        <v>129.55000000000001</v>
      </c>
      <c r="N25" s="125">
        <v>67179.457999999999</v>
      </c>
      <c r="O25" s="102"/>
      <c r="Q25" s="126">
        <v>1.6549999999999999E-2</v>
      </c>
      <c r="R25" s="126">
        <v>5.6899999999999997E-3</v>
      </c>
    </row>
    <row r="26" spans="1:18" x14ac:dyDescent="0.2">
      <c r="A26" t="s">
        <v>1204</v>
      </c>
      <c r="B26" t="s">
        <v>1204</v>
      </c>
      <c r="C26" t="s">
        <v>1805</v>
      </c>
      <c r="D26" t="s">
        <v>1902</v>
      </c>
      <c r="E26" t="s">
        <v>1903</v>
      </c>
      <c r="F26" t="s">
        <v>1904</v>
      </c>
      <c r="G26" s="125">
        <v>7.2969999999999997</v>
      </c>
      <c r="H26" t="s">
        <v>754</v>
      </c>
      <c r="I26" t="s">
        <v>1905</v>
      </c>
      <c r="J26" s="126">
        <v>4.8000000000000001E-2</v>
      </c>
      <c r="K26" s="126">
        <v>1.8290000000000001E-2</v>
      </c>
      <c r="L26" s="125">
        <v>45249000</v>
      </c>
      <c r="M26" s="125">
        <v>143.65700000000001</v>
      </c>
      <c r="N26" s="125">
        <v>65003.25</v>
      </c>
      <c r="O26" s="102"/>
      <c r="Q26" s="126">
        <v>1.601E-2</v>
      </c>
      <c r="R26" s="126">
        <v>5.5100000000000001E-3</v>
      </c>
    </row>
    <row r="27" spans="1:18" x14ac:dyDescent="0.2">
      <c r="A27" t="s">
        <v>1204</v>
      </c>
      <c r="B27" t="s">
        <v>1204</v>
      </c>
      <c r="C27" t="s">
        <v>1805</v>
      </c>
      <c r="D27" t="s">
        <v>1906</v>
      </c>
      <c r="E27" t="s">
        <v>1907</v>
      </c>
      <c r="F27" t="s">
        <v>1908</v>
      </c>
      <c r="G27" s="125">
        <v>3.2959999999999998</v>
      </c>
      <c r="H27" t="s">
        <v>754</v>
      </c>
      <c r="I27" t="s">
        <v>1909</v>
      </c>
      <c r="J27" s="126">
        <v>4.8000000000000001E-2</v>
      </c>
      <c r="K27" s="126">
        <v>1.746E-2</v>
      </c>
      <c r="L27" s="125">
        <v>47753000</v>
      </c>
      <c r="M27" s="125">
        <v>130.09399999999999</v>
      </c>
      <c r="N27" s="125">
        <v>62123.587</v>
      </c>
      <c r="O27" s="102"/>
      <c r="Q27" s="126">
        <v>1.5299999999999999E-2</v>
      </c>
      <c r="R27" s="126">
        <v>5.2599999999999999E-3</v>
      </c>
    </row>
    <row r="28" spans="1:18" x14ac:dyDescent="0.2">
      <c r="A28" t="s">
        <v>1204</v>
      </c>
      <c r="B28" t="s">
        <v>1204</v>
      </c>
      <c r="C28" t="s">
        <v>1805</v>
      </c>
      <c r="D28" t="s">
        <v>1910</v>
      </c>
      <c r="E28" t="s">
        <v>1911</v>
      </c>
      <c r="F28" t="s">
        <v>1912</v>
      </c>
      <c r="G28" s="125">
        <v>7.734</v>
      </c>
      <c r="H28" t="s">
        <v>754</v>
      </c>
      <c r="I28" t="s">
        <v>1913</v>
      </c>
      <c r="J28" s="126">
        <v>4.8000000000000001E-2</v>
      </c>
      <c r="K28" s="126">
        <v>1.839E-2</v>
      </c>
      <c r="L28" s="125">
        <v>40720000</v>
      </c>
      <c r="M28" s="125">
        <v>144.89500000000001</v>
      </c>
      <c r="N28" s="125">
        <v>59001.205000000002</v>
      </c>
      <c r="Q28" s="126">
        <v>1.4540000000000001E-2</v>
      </c>
      <c r="R28" s="126">
        <v>5.0000000000000001E-3</v>
      </c>
    </row>
    <row r="29" spans="1:18" x14ac:dyDescent="0.2">
      <c r="A29" t="s">
        <v>1204</v>
      </c>
      <c r="B29" t="s">
        <v>1204</v>
      </c>
      <c r="C29" t="s">
        <v>1805</v>
      </c>
      <c r="D29" t="s">
        <v>1914</v>
      </c>
      <c r="E29" t="s">
        <v>1915</v>
      </c>
      <c r="F29" t="s">
        <v>1916</v>
      </c>
      <c r="G29" s="125">
        <v>8.0020000000000007</v>
      </c>
      <c r="H29" t="s">
        <v>754</v>
      </c>
      <c r="I29" t="s">
        <v>1917</v>
      </c>
      <c r="J29" s="126">
        <v>4.8000000000000001E-2</v>
      </c>
      <c r="K29" s="126">
        <v>1.848E-2</v>
      </c>
      <c r="L29" s="125">
        <v>40253000</v>
      </c>
      <c r="M29" s="125">
        <v>145.54599999999999</v>
      </c>
      <c r="N29" s="125">
        <v>58586.819000000003</v>
      </c>
      <c r="Q29" s="126">
        <v>1.443E-2</v>
      </c>
      <c r="R29" s="126">
        <v>4.96E-3</v>
      </c>
    </row>
    <row r="30" spans="1:18" x14ac:dyDescent="0.2">
      <c r="A30" t="s">
        <v>1204</v>
      </c>
      <c r="B30" t="s">
        <v>1204</v>
      </c>
      <c r="C30" t="s">
        <v>1805</v>
      </c>
      <c r="D30" t="s">
        <v>1918</v>
      </c>
      <c r="E30" t="s">
        <v>1919</v>
      </c>
      <c r="F30" t="s">
        <v>1920</v>
      </c>
      <c r="G30" s="125">
        <v>3.8809999999999998</v>
      </c>
      <c r="H30" t="s">
        <v>754</v>
      </c>
      <c r="I30" t="s">
        <v>1921</v>
      </c>
      <c r="J30" s="126">
        <v>4.8000000000000001E-2</v>
      </c>
      <c r="K30" s="126">
        <v>1.7680000000000001E-2</v>
      </c>
      <c r="L30" s="125">
        <v>42155000</v>
      </c>
      <c r="M30" s="125">
        <v>131.65</v>
      </c>
      <c r="N30" s="125">
        <v>55497.103000000003</v>
      </c>
      <c r="Q30" s="126">
        <v>1.367E-2</v>
      </c>
      <c r="R30" s="126">
        <v>4.7000000000000002E-3</v>
      </c>
    </row>
    <row r="31" spans="1:18" x14ac:dyDescent="0.2">
      <c r="A31" t="s">
        <v>1204</v>
      </c>
      <c r="B31" t="s">
        <v>1204</v>
      </c>
      <c r="C31" t="s">
        <v>1805</v>
      </c>
      <c r="D31" t="s">
        <v>1922</v>
      </c>
      <c r="E31" t="s">
        <v>1923</v>
      </c>
      <c r="F31" t="s">
        <v>1924</v>
      </c>
      <c r="G31" s="125">
        <v>3.6269999999999998</v>
      </c>
      <c r="H31" t="s">
        <v>754</v>
      </c>
      <c r="I31" t="s">
        <v>1925</v>
      </c>
      <c r="J31" s="126">
        <v>4.8000000000000001E-2</v>
      </c>
      <c r="K31" s="126">
        <v>1.7600000000000001E-2</v>
      </c>
      <c r="L31" s="125">
        <v>42806000</v>
      </c>
      <c r="M31" s="125">
        <v>128.27799999999999</v>
      </c>
      <c r="N31" s="125">
        <v>54910.572999999997</v>
      </c>
      <c r="Q31" s="126">
        <v>1.353E-2</v>
      </c>
      <c r="R31" s="126">
        <v>4.6499999999999996E-3</v>
      </c>
    </row>
    <row r="32" spans="1:18" x14ac:dyDescent="0.2">
      <c r="A32" t="s">
        <v>1204</v>
      </c>
      <c r="B32" t="s">
        <v>1204</v>
      </c>
      <c r="C32" t="s">
        <v>1805</v>
      </c>
      <c r="D32" t="s">
        <v>1926</v>
      </c>
      <c r="E32" t="s">
        <v>1927</v>
      </c>
      <c r="F32" t="s">
        <v>1928</v>
      </c>
      <c r="G32" s="125">
        <v>5.42</v>
      </c>
      <c r="H32" t="s">
        <v>754</v>
      </c>
      <c r="I32" t="s">
        <v>1929</v>
      </c>
      <c r="J32" s="126">
        <v>4.8000000000000001E-2</v>
      </c>
      <c r="K32" s="126">
        <v>1.77E-2</v>
      </c>
      <c r="L32" s="125">
        <v>36903000</v>
      </c>
      <c r="M32" s="125">
        <v>139.01499999999999</v>
      </c>
      <c r="N32" s="125">
        <v>51300.716999999997</v>
      </c>
      <c r="Q32" s="126">
        <v>1.264E-2</v>
      </c>
      <c r="R32" s="126">
        <v>4.3499999999999997E-3</v>
      </c>
    </row>
    <row r="33" spans="1:18" x14ac:dyDescent="0.2">
      <c r="A33" t="s">
        <v>1204</v>
      </c>
      <c r="B33" t="s">
        <v>1204</v>
      </c>
      <c r="C33" t="s">
        <v>1805</v>
      </c>
      <c r="D33" t="s">
        <v>1930</v>
      </c>
      <c r="E33" t="s">
        <v>1931</v>
      </c>
      <c r="F33" t="s">
        <v>1932</v>
      </c>
      <c r="G33" s="125">
        <v>8.0869999999999997</v>
      </c>
      <c r="H33" t="s">
        <v>754</v>
      </c>
      <c r="I33" t="s">
        <v>1933</v>
      </c>
      <c r="J33" s="126">
        <v>4.8000000000000001E-2</v>
      </c>
      <c r="K33" s="126">
        <v>1.848E-2</v>
      </c>
      <c r="L33" s="125">
        <v>34486000</v>
      </c>
      <c r="M33" s="125">
        <v>145.02699999999999</v>
      </c>
      <c r="N33" s="125">
        <v>50014.127</v>
      </c>
      <c r="Q33" s="126">
        <v>1.2319999999999999E-2</v>
      </c>
      <c r="R33" s="126">
        <v>4.2399999999999998E-3</v>
      </c>
    </row>
    <row r="34" spans="1:18" x14ac:dyDescent="0.2">
      <c r="A34" t="s">
        <v>1204</v>
      </c>
      <c r="B34" t="s">
        <v>1204</v>
      </c>
      <c r="C34" t="s">
        <v>1805</v>
      </c>
      <c r="D34" t="s">
        <v>1934</v>
      </c>
      <c r="E34" t="s">
        <v>1935</v>
      </c>
      <c r="F34" t="s">
        <v>1936</v>
      </c>
      <c r="G34" s="125">
        <v>6.4379999999999997</v>
      </c>
      <c r="H34" t="s">
        <v>754</v>
      </c>
      <c r="I34" t="s">
        <v>1937</v>
      </c>
      <c r="J34" s="126">
        <v>4.8000000000000001E-2</v>
      </c>
      <c r="K34" s="126">
        <v>1.805E-2</v>
      </c>
      <c r="L34" s="125">
        <v>35626000</v>
      </c>
      <c r="M34" s="125">
        <v>140.303</v>
      </c>
      <c r="N34" s="125">
        <v>49984.243000000002</v>
      </c>
      <c r="Q34" s="126">
        <v>1.231E-2</v>
      </c>
      <c r="R34" s="126">
        <v>4.2399999999999998E-3</v>
      </c>
    </row>
    <row r="35" spans="1:18" x14ac:dyDescent="0.2">
      <c r="A35" t="s">
        <v>1204</v>
      </c>
      <c r="B35" t="s">
        <v>1204</v>
      </c>
      <c r="C35" t="s">
        <v>1805</v>
      </c>
      <c r="D35" t="s">
        <v>1938</v>
      </c>
      <c r="E35" t="s">
        <v>1939</v>
      </c>
      <c r="F35" t="s">
        <v>1940</v>
      </c>
      <c r="G35" s="125">
        <v>7.8150000000000004</v>
      </c>
      <c r="H35" t="s">
        <v>754</v>
      </c>
      <c r="I35" t="s">
        <v>1941</v>
      </c>
      <c r="J35" s="126">
        <v>4.8000000000000001E-2</v>
      </c>
      <c r="K35" s="126">
        <v>1.839E-2</v>
      </c>
      <c r="L35" s="125">
        <v>33469000</v>
      </c>
      <c r="M35" s="125">
        <v>143.959</v>
      </c>
      <c r="N35" s="125">
        <v>48181.764000000003</v>
      </c>
      <c r="Q35" s="126">
        <v>1.187E-2</v>
      </c>
      <c r="R35" s="126">
        <v>4.0800000000000003E-3</v>
      </c>
    </row>
    <row r="36" spans="1:18" x14ac:dyDescent="0.2">
      <c r="A36" t="s">
        <v>1204</v>
      </c>
      <c r="B36" t="s">
        <v>1204</v>
      </c>
      <c r="C36" t="s">
        <v>1805</v>
      </c>
      <c r="D36" t="s">
        <v>1942</v>
      </c>
      <c r="E36" t="s">
        <v>1943</v>
      </c>
      <c r="F36" t="s">
        <v>1944</v>
      </c>
      <c r="G36" s="125">
        <v>6.851</v>
      </c>
      <c r="H36" t="s">
        <v>754</v>
      </c>
      <c r="I36" t="s">
        <v>1945</v>
      </c>
      <c r="J36" s="126">
        <v>4.8000000000000001E-2</v>
      </c>
      <c r="K36" s="126">
        <v>1.8120000000000001E-2</v>
      </c>
      <c r="L36" s="125">
        <v>33259000</v>
      </c>
      <c r="M36" s="125">
        <v>143.87700000000001</v>
      </c>
      <c r="N36" s="125">
        <v>47852.127999999997</v>
      </c>
      <c r="Q36" s="126">
        <v>1.179E-2</v>
      </c>
      <c r="R36" s="126">
        <v>4.0600000000000002E-3</v>
      </c>
    </row>
    <row r="37" spans="1:18" x14ac:dyDescent="0.2">
      <c r="A37" t="s">
        <v>1204</v>
      </c>
      <c r="B37" t="s">
        <v>1204</v>
      </c>
      <c r="C37" t="s">
        <v>1805</v>
      </c>
      <c r="D37" t="s">
        <v>1946</v>
      </c>
      <c r="E37" t="s">
        <v>1947</v>
      </c>
      <c r="F37" t="s">
        <v>1948</v>
      </c>
      <c r="G37" s="125">
        <v>6.5640000000000001</v>
      </c>
      <c r="H37" t="s">
        <v>754</v>
      </c>
      <c r="I37" t="s">
        <v>1949</v>
      </c>
      <c r="J37" s="126">
        <v>4.8000000000000001E-2</v>
      </c>
      <c r="K37" s="126">
        <v>1.8079999999999999E-2</v>
      </c>
      <c r="L37" s="125">
        <v>33414000</v>
      </c>
      <c r="M37" s="125">
        <v>142.95400000000001</v>
      </c>
      <c r="N37" s="125">
        <v>47766.500999999997</v>
      </c>
      <c r="Q37" s="126">
        <v>1.1769999999999999E-2</v>
      </c>
      <c r="R37" s="126">
        <v>4.0499999999999998E-3</v>
      </c>
    </row>
    <row r="38" spans="1:18" x14ac:dyDescent="0.2">
      <c r="A38" t="s">
        <v>1204</v>
      </c>
      <c r="B38" t="s">
        <v>1204</v>
      </c>
      <c r="C38" t="s">
        <v>1805</v>
      </c>
      <c r="D38" t="s">
        <v>1950</v>
      </c>
      <c r="E38" t="s">
        <v>1951</v>
      </c>
      <c r="F38" t="s">
        <v>1952</v>
      </c>
      <c r="G38" s="125">
        <v>8.94</v>
      </c>
      <c r="H38" t="s">
        <v>754</v>
      </c>
      <c r="I38" t="s">
        <v>1953</v>
      </c>
      <c r="J38" s="126">
        <v>4.8000000000000001E-2</v>
      </c>
      <c r="K38" s="126">
        <v>1.8679999999999999E-2</v>
      </c>
      <c r="L38" s="125">
        <v>30965000</v>
      </c>
      <c r="M38" s="125">
        <v>147.92400000000001</v>
      </c>
      <c r="N38" s="125">
        <v>45804.673999999999</v>
      </c>
      <c r="Q38" s="126">
        <v>1.128E-2</v>
      </c>
      <c r="R38" s="126">
        <v>3.8800000000000002E-3</v>
      </c>
    </row>
    <row r="39" spans="1:18" x14ac:dyDescent="0.2">
      <c r="A39" t="s">
        <v>1204</v>
      </c>
      <c r="B39" t="s">
        <v>1204</v>
      </c>
      <c r="C39" t="s">
        <v>1805</v>
      </c>
      <c r="D39" t="s">
        <v>1954</v>
      </c>
      <c r="E39" t="s">
        <v>1955</v>
      </c>
      <c r="F39" t="s">
        <v>1956</v>
      </c>
      <c r="G39" s="125">
        <v>8.1690000000000005</v>
      </c>
      <c r="H39" t="s">
        <v>754</v>
      </c>
      <c r="I39" t="s">
        <v>1957</v>
      </c>
      <c r="J39" s="126">
        <v>4.8000000000000001E-2</v>
      </c>
      <c r="K39" s="126">
        <v>1.848E-2</v>
      </c>
      <c r="L39" s="125">
        <v>31553000</v>
      </c>
      <c r="M39" s="125">
        <v>145.09399999999999</v>
      </c>
      <c r="N39" s="125">
        <v>45781.487999999998</v>
      </c>
      <c r="Q39" s="126">
        <v>1.128E-2</v>
      </c>
      <c r="R39" s="126">
        <v>3.8800000000000002E-3</v>
      </c>
    </row>
    <row r="40" spans="1:18" x14ac:dyDescent="0.2">
      <c r="A40" t="s">
        <v>1204</v>
      </c>
      <c r="B40" t="s">
        <v>1204</v>
      </c>
      <c r="C40" t="s">
        <v>1805</v>
      </c>
      <c r="D40" t="s">
        <v>1958</v>
      </c>
      <c r="E40" t="s">
        <v>1959</v>
      </c>
      <c r="F40" t="s">
        <v>1960</v>
      </c>
      <c r="G40" s="125">
        <v>9.5250000000000004</v>
      </c>
      <c r="H40" t="s">
        <v>754</v>
      </c>
      <c r="I40" t="s">
        <v>1961</v>
      </c>
      <c r="J40" s="126">
        <v>4.8000000000000001E-2</v>
      </c>
      <c r="K40" s="126">
        <v>1.8749999999999999E-2</v>
      </c>
      <c r="L40" s="125">
        <v>30640000</v>
      </c>
      <c r="M40" s="125">
        <v>147.47</v>
      </c>
      <c r="N40" s="125">
        <v>45184.95</v>
      </c>
      <c r="Q40" s="126">
        <v>1.1129999999999999E-2</v>
      </c>
      <c r="R40" s="126">
        <v>3.8300000000000001E-3</v>
      </c>
    </row>
    <row r="41" spans="1:18" x14ac:dyDescent="0.2">
      <c r="A41" t="s">
        <v>1204</v>
      </c>
      <c r="B41" t="s">
        <v>1204</v>
      </c>
      <c r="C41" t="s">
        <v>1805</v>
      </c>
      <c r="D41" t="s">
        <v>1962</v>
      </c>
      <c r="E41" t="s">
        <v>1963</v>
      </c>
      <c r="F41" t="s">
        <v>1964</v>
      </c>
      <c r="G41" s="125">
        <v>6.2779999999999996</v>
      </c>
      <c r="H41" t="s">
        <v>754</v>
      </c>
      <c r="I41" t="s">
        <v>1965</v>
      </c>
      <c r="J41" s="126">
        <v>4.8000000000000001E-2</v>
      </c>
      <c r="K41" s="126">
        <v>1.7979999999999999E-2</v>
      </c>
      <c r="L41" s="125">
        <v>31498000</v>
      </c>
      <c r="M41" s="125">
        <v>141.477</v>
      </c>
      <c r="N41" s="125">
        <v>44562.368999999999</v>
      </c>
      <c r="Q41" s="126">
        <v>1.098E-2</v>
      </c>
      <c r="R41" s="126">
        <v>3.7799999999999999E-3</v>
      </c>
    </row>
    <row r="42" spans="1:18" x14ac:dyDescent="0.2">
      <c r="A42" t="s">
        <v>1204</v>
      </c>
      <c r="B42" t="s">
        <v>1204</v>
      </c>
      <c r="C42" t="s">
        <v>1805</v>
      </c>
      <c r="D42" t="s">
        <v>1966</v>
      </c>
      <c r="E42" t="s">
        <v>1967</v>
      </c>
      <c r="F42" t="s">
        <v>1968</v>
      </c>
      <c r="G42" s="125">
        <v>2.5960000000000001</v>
      </c>
      <c r="H42" t="s">
        <v>754</v>
      </c>
      <c r="I42" t="s">
        <v>1969</v>
      </c>
      <c r="J42" s="126">
        <v>4.8000000000000001E-2</v>
      </c>
      <c r="K42" s="126">
        <v>1.736E-2</v>
      </c>
      <c r="L42" s="125">
        <v>33844000</v>
      </c>
      <c r="M42" s="125">
        <v>127.47799999999999</v>
      </c>
      <c r="N42" s="125">
        <v>43143.695</v>
      </c>
      <c r="Q42" s="126">
        <v>1.0630000000000001E-2</v>
      </c>
      <c r="R42" s="126">
        <v>3.6600000000000001E-3</v>
      </c>
    </row>
    <row r="43" spans="1:18" x14ac:dyDescent="0.2">
      <c r="A43" t="s">
        <v>1204</v>
      </c>
      <c r="B43" t="s">
        <v>1204</v>
      </c>
      <c r="C43" t="s">
        <v>1805</v>
      </c>
      <c r="D43" t="s">
        <v>1970</v>
      </c>
      <c r="E43" t="s">
        <v>1971</v>
      </c>
      <c r="F43" t="s">
        <v>1972</v>
      </c>
      <c r="G43" s="125">
        <v>5.6390000000000002</v>
      </c>
      <c r="H43" t="s">
        <v>754</v>
      </c>
      <c r="I43" t="s">
        <v>1973</v>
      </c>
      <c r="J43" s="126">
        <v>4.8000000000000001E-2</v>
      </c>
      <c r="K43" s="126">
        <v>1.7749999999999998E-2</v>
      </c>
      <c r="L43" s="125">
        <v>30527000</v>
      </c>
      <c r="M43" s="125">
        <v>140.64699999999999</v>
      </c>
      <c r="N43" s="125">
        <v>42935.286</v>
      </c>
      <c r="Q43" s="126">
        <v>1.0580000000000001E-2</v>
      </c>
      <c r="R43" s="126">
        <v>3.64E-3</v>
      </c>
    </row>
    <row r="44" spans="1:18" x14ac:dyDescent="0.2">
      <c r="A44" t="s">
        <v>1204</v>
      </c>
      <c r="B44" t="s">
        <v>1204</v>
      </c>
      <c r="C44" t="s">
        <v>1805</v>
      </c>
      <c r="D44" t="s">
        <v>1974</v>
      </c>
      <c r="E44" t="s">
        <v>1975</v>
      </c>
      <c r="F44" t="s">
        <v>1976</v>
      </c>
      <c r="G44" s="125">
        <v>5.5019999999999998</v>
      </c>
      <c r="H44" t="s">
        <v>754</v>
      </c>
      <c r="I44" t="s">
        <v>1977</v>
      </c>
      <c r="J44" s="126">
        <v>4.8000000000000001E-2</v>
      </c>
      <c r="K44" s="126">
        <v>1.771E-2</v>
      </c>
      <c r="L44" s="125">
        <v>30101000</v>
      </c>
      <c r="M44" s="125">
        <v>139.232</v>
      </c>
      <c r="N44" s="125">
        <v>41910.135000000002</v>
      </c>
      <c r="Q44" s="126">
        <v>1.0319999999999999E-2</v>
      </c>
      <c r="R44" s="126">
        <v>3.5500000000000002E-3</v>
      </c>
    </row>
    <row r="45" spans="1:18" x14ac:dyDescent="0.2">
      <c r="A45" t="s">
        <v>1204</v>
      </c>
      <c r="B45" t="s">
        <v>1204</v>
      </c>
      <c r="C45" t="s">
        <v>1805</v>
      </c>
      <c r="D45" t="s">
        <v>1978</v>
      </c>
      <c r="E45" t="s">
        <v>1979</v>
      </c>
      <c r="F45" t="s">
        <v>1980</v>
      </c>
      <c r="G45" s="125">
        <v>7.6479999999999997</v>
      </c>
      <c r="H45" t="s">
        <v>754</v>
      </c>
      <c r="I45" t="s">
        <v>1981</v>
      </c>
      <c r="J45" s="126">
        <v>4.8000000000000001E-2</v>
      </c>
      <c r="K45" s="126">
        <v>1.8380000000000001E-2</v>
      </c>
      <c r="L45" s="125">
        <v>27481000</v>
      </c>
      <c r="M45" s="125">
        <v>145.27199999999999</v>
      </c>
      <c r="N45" s="125">
        <v>39922.296000000002</v>
      </c>
      <c r="Q45" s="126">
        <v>9.8300000000000002E-3</v>
      </c>
      <c r="R45" s="126">
        <v>3.3800000000000002E-3</v>
      </c>
    </row>
    <row r="46" spans="1:18" x14ac:dyDescent="0.2">
      <c r="A46" t="s">
        <v>1204</v>
      </c>
      <c r="B46" t="s">
        <v>1204</v>
      </c>
      <c r="C46" t="s">
        <v>1805</v>
      </c>
      <c r="D46" t="s">
        <v>1982</v>
      </c>
      <c r="E46" t="s">
        <v>1983</v>
      </c>
      <c r="F46" t="s">
        <v>1984</v>
      </c>
      <c r="G46" s="125">
        <v>5.6689999999999996</v>
      </c>
      <c r="H46" t="s">
        <v>754</v>
      </c>
      <c r="I46" t="s">
        <v>1985</v>
      </c>
      <c r="J46" s="126">
        <v>4.8000000000000001E-2</v>
      </c>
      <c r="K46" s="126">
        <v>1.78E-2</v>
      </c>
      <c r="L46" s="125">
        <v>28618000</v>
      </c>
      <c r="M46" s="125">
        <v>138.47200000000001</v>
      </c>
      <c r="N46" s="125">
        <v>39627.955999999998</v>
      </c>
      <c r="Q46" s="126">
        <v>9.7599999999999996E-3</v>
      </c>
      <c r="R46" s="126">
        <v>3.3600000000000001E-3</v>
      </c>
    </row>
    <row r="47" spans="1:18" x14ac:dyDescent="0.2">
      <c r="A47" t="s">
        <v>1204</v>
      </c>
      <c r="B47" t="s">
        <v>1204</v>
      </c>
      <c r="C47" t="s">
        <v>1805</v>
      </c>
      <c r="D47" t="s">
        <v>1986</v>
      </c>
      <c r="E47" t="s">
        <v>1987</v>
      </c>
      <c r="F47" t="s">
        <v>1988</v>
      </c>
      <c r="G47" s="125">
        <v>3.0310000000000001</v>
      </c>
      <c r="H47" t="s">
        <v>754</v>
      </c>
      <c r="I47" t="s">
        <v>1989</v>
      </c>
      <c r="J47" s="126">
        <v>4.8000000000000001E-2</v>
      </c>
      <c r="K47" s="126">
        <v>1.7409999999999998E-2</v>
      </c>
      <c r="L47" s="125">
        <v>30128000</v>
      </c>
      <c r="M47" s="125">
        <v>129.99600000000001</v>
      </c>
      <c r="N47" s="125">
        <v>39165.290999999997</v>
      </c>
      <c r="Q47" s="126">
        <v>9.6500000000000006E-3</v>
      </c>
      <c r="R47" s="126">
        <v>3.32E-3</v>
      </c>
    </row>
    <row r="48" spans="1:18" x14ac:dyDescent="0.2">
      <c r="A48" t="s">
        <v>1204</v>
      </c>
      <c r="B48" t="s">
        <v>1204</v>
      </c>
      <c r="C48" t="s">
        <v>1805</v>
      </c>
      <c r="D48" t="s">
        <v>1990</v>
      </c>
      <c r="E48" t="s">
        <v>1991</v>
      </c>
      <c r="F48" t="s">
        <v>1992</v>
      </c>
      <c r="G48" s="125">
        <v>3.9630000000000001</v>
      </c>
      <c r="H48" t="s">
        <v>754</v>
      </c>
      <c r="I48" t="s">
        <v>1327</v>
      </c>
      <c r="J48" s="126">
        <v>4.8000000000000001E-2</v>
      </c>
      <c r="K48" s="126">
        <v>1.7670000000000002E-2</v>
      </c>
      <c r="L48" s="125">
        <v>29193000</v>
      </c>
      <c r="M48" s="125">
        <v>131.07400000000001</v>
      </c>
      <c r="N48" s="125">
        <v>38264.305</v>
      </c>
      <c r="Q48" s="126">
        <v>9.4299999999999991E-3</v>
      </c>
      <c r="R48" s="126">
        <v>3.2399999999999998E-3</v>
      </c>
    </row>
    <row r="49" spans="1:18" x14ac:dyDescent="0.2">
      <c r="A49" t="s">
        <v>1204</v>
      </c>
      <c r="B49" t="s">
        <v>1204</v>
      </c>
      <c r="C49" t="s">
        <v>1805</v>
      </c>
      <c r="D49" t="s">
        <v>1993</v>
      </c>
      <c r="E49" t="s">
        <v>1994</v>
      </c>
      <c r="F49" t="s">
        <v>1995</v>
      </c>
      <c r="G49" s="125">
        <v>4.298</v>
      </c>
      <c r="H49" t="s">
        <v>754</v>
      </c>
      <c r="I49" t="s">
        <v>1996</v>
      </c>
      <c r="J49" s="126">
        <v>4.8000000000000001E-2</v>
      </c>
      <c r="K49" s="126">
        <v>1.7850000000000001E-2</v>
      </c>
      <c r="L49" s="125">
        <v>28938000</v>
      </c>
      <c r="M49" s="125">
        <v>132.12299999999999</v>
      </c>
      <c r="N49" s="125">
        <v>38233.633000000002</v>
      </c>
      <c r="Q49" s="126">
        <v>9.4199999999999996E-3</v>
      </c>
      <c r="R49" s="126">
        <v>3.2399999999999998E-3</v>
      </c>
    </row>
    <row r="50" spans="1:18" x14ac:dyDescent="0.2">
      <c r="A50" t="s">
        <v>1204</v>
      </c>
      <c r="B50" t="s">
        <v>1204</v>
      </c>
      <c r="C50" t="s">
        <v>1805</v>
      </c>
      <c r="D50" t="s">
        <v>1997</v>
      </c>
      <c r="E50" t="s">
        <v>1998</v>
      </c>
      <c r="F50" t="s">
        <v>1999</v>
      </c>
      <c r="G50" s="125">
        <v>6.7679999999999998</v>
      </c>
      <c r="H50" t="s">
        <v>754</v>
      </c>
      <c r="I50" t="s">
        <v>2000</v>
      </c>
      <c r="J50" s="126">
        <v>4.8000000000000001E-2</v>
      </c>
      <c r="K50" s="126">
        <v>1.8110000000000001E-2</v>
      </c>
      <c r="L50" s="125">
        <v>26248000</v>
      </c>
      <c r="M50" s="125">
        <v>144.24</v>
      </c>
      <c r="N50" s="125">
        <v>37860.203000000001</v>
      </c>
      <c r="Q50" s="126">
        <v>9.3299999999999998E-3</v>
      </c>
      <c r="R50" s="126">
        <v>3.2100000000000002E-3</v>
      </c>
    </row>
    <row r="51" spans="1:18" x14ac:dyDescent="0.2">
      <c r="A51" t="s">
        <v>1204</v>
      </c>
      <c r="B51" t="s">
        <v>1204</v>
      </c>
      <c r="C51" t="s">
        <v>1805</v>
      </c>
      <c r="D51" t="s">
        <v>2001</v>
      </c>
      <c r="E51" t="s">
        <v>2002</v>
      </c>
      <c r="F51" t="s">
        <v>2003</v>
      </c>
      <c r="G51" s="125">
        <v>6.3559999999999999</v>
      </c>
      <c r="H51" t="s">
        <v>754</v>
      </c>
      <c r="I51" t="s">
        <v>2004</v>
      </c>
      <c r="J51" s="126">
        <v>4.8000000000000001E-2</v>
      </c>
      <c r="K51" s="126">
        <v>1.7979999999999999E-2</v>
      </c>
      <c r="L51" s="125">
        <v>25635000</v>
      </c>
      <c r="M51" s="125">
        <v>140.85300000000001</v>
      </c>
      <c r="N51" s="125">
        <v>36107.620000000003</v>
      </c>
      <c r="Q51" s="126">
        <v>8.8999999999999999E-3</v>
      </c>
      <c r="R51" s="126">
        <v>3.0599999999999998E-3</v>
      </c>
    </row>
    <row r="52" spans="1:18" x14ac:dyDescent="0.2">
      <c r="A52" t="s">
        <v>1204</v>
      </c>
      <c r="B52" t="s">
        <v>1204</v>
      </c>
      <c r="C52" t="s">
        <v>1805</v>
      </c>
      <c r="D52" t="s">
        <v>2005</v>
      </c>
      <c r="E52" t="s">
        <v>2006</v>
      </c>
      <c r="F52" t="s">
        <v>2007</v>
      </c>
      <c r="G52" s="125">
        <v>9.109</v>
      </c>
      <c r="H52" t="s">
        <v>754</v>
      </c>
      <c r="I52" t="s">
        <v>2008</v>
      </c>
      <c r="J52" s="126">
        <v>4.8000000000000001E-2</v>
      </c>
      <c r="K52" s="126">
        <v>1.8700000000000001E-2</v>
      </c>
      <c r="L52" s="125">
        <v>23980000</v>
      </c>
      <c r="M52" s="125">
        <v>149.851</v>
      </c>
      <c r="N52" s="125">
        <v>35934.338000000003</v>
      </c>
      <c r="Q52" s="126">
        <v>8.8500000000000002E-3</v>
      </c>
      <c r="R52" s="126">
        <v>3.0500000000000002E-3</v>
      </c>
    </row>
    <row r="53" spans="1:18" x14ac:dyDescent="0.2">
      <c r="A53" t="s">
        <v>1204</v>
      </c>
      <c r="B53" t="s">
        <v>1204</v>
      </c>
      <c r="C53" t="s">
        <v>1805</v>
      </c>
      <c r="D53" t="s">
        <v>2009</v>
      </c>
      <c r="E53" t="s">
        <v>2010</v>
      </c>
      <c r="F53" t="s">
        <v>2011</v>
      </c>
      <c r="G53" s="125">
        <v>8.86</v>
      </c>
      <c r="H53" t="s">
        <v>754</v>
      </c>
      <c r="I53" t="s">
        <v>2012</v>
      </c>
      <c r="J53" s="126">
        <v>4.8000000000000001E-2</v>
      </c>
      <c r="K53" s="126">
        <v>1.865E-2</v>
      </c>
      <c r="L53" s="125">
        <v>23684000</v>
      </c>
      <c r="M53" s="125">
        <v>150.75399999999999</v>
      </c>
      <c r="N53" s="125">
        <v>35704.654000000002</v>
      </c>
      <c r="Q53" s="126">
        <v>8.8000000000000005E-3</v>
      </c>
      <c r="R53" s="126">
        <v>3.0300000000000001E-3</v>
      </c>
    </row>
    <row r="54" spans="1:18" x14ac:dyDescent="0.2">
      <c r="A54" t="s">
        <v>1204</v>
      </c>
      <c r="B54" t="s">
        <v>1204</v>
      </c>
      <c r="C54" t="s">
        <v>1805</v>
      </c>
      <c r="D54" t="s">
        <v>2013</v>
      </c>
      <c r="E54" t="s">
        <v>2014</v>
      </c>
      <c r="F54" t="s">
        <v>2015</v>
      </c>
      <c r="G54" s="125">
        <v>8.1829999999999998</v>
      </c>
      <c r="H54" t="s">
        <v>754</v>
      </c>
      <c r="I54" t="s">
        <v>2016</v>
      </c>
      <c r="J54" s="126">
        <v>4.8000000000000001E-2</v>
      </c>
      <c r="K54" s="126">
        <v>1.8499999999999999E-2</v>
      </c>
      <c r="L54" s="125">
        <v>24152000</v>
      </c>
      <c r="M54" s="125">
        <v>147.333</v>
      </c>
      <c r="N54" s="125">
        <v>35583.752999999997</v>
      </c>
      <c r="Q54" s="126">
        <v>8.77E-3</v>
      </c>
      <c r="R54" s="126">
        <v>3.0200000000000001E-3</v>
      </c>
    </row>
    <row r="55" spans="1:18" x14ac:dyDescent="0.2">
      <c r="A55" t="s">
        <v>1204</v>
      </c>
      <c r="B55" t="s">
        <v>1204</v>
      </c>
      <c r="C55" t="s">
        <v>1805</v>
      </c>
      <c r="D55" t="s">
        <v>2017</v>
      </c>
      <c r="E55" t="s">
        <v>2018</v>
      </c>
      <c r="F55" t="s">
        <v>2019</v>
      </c>
      <c r="G55" s="125">
        <v>8.9450000000000003</v>
      </c>
      <c r="H55" t="s">
        <v>754</v>
      </c>
      <c r="I55" t="s">
        <v>2020</v>
      </c>
      <c r="J55" s="126">
        <v>4.8000000000000001E-2</v>
      </c>
      <c r="K55" s="126">
        <v>1.866E-2</v>
      </c>
      <c r="L55" s="125">
        <v>23303000</v>
      </c>
      <c r="M55" s="125">
        <v>150.66499999999999</v>
      </c>
      <c r="N55" s="125">
        <v>35109.446000000004</v>
      </c>
      <c r="Q55" s="126">
        <v>8.6499999999999997E-3</v>
      </c>
      <c r="R55" s="126">
        <v>2.98E-3</v>
      </c>
    </row>
    <row r="56" spans="1:18" x14ac:dyDescent="0.2">
      <c r="A56" t="s">
        <v>1204</v>
      </c>
      <c r="B56" t="s">
        <v>1204</v>
      </c>
      <c r="C56" t="s">
        <v>1805</v>
      </c>
      <c r="D56" t="s">
        <v>2021</v>
      </c>
      <c r="E56" t="s">
        <v>2022</v>
      </c>
      <c r="F56" t="s">
        <v>2023</v>
      </c>
      <c r="G56" s="125">
        <v>3.6389999999999998</v>
      </c>
      <c r="H56" t="s">
        <v>754</v>
      </c>
      <c r="I56" t="s">
        <v>2024</v>
      </c>
      <c r="J56" s="126">
        <v>4.8000000000000001E-2</v>
      </c>
      <c r="K56" s="126">
        <v>1.685E-2</v>
      </c>
      <c r="L56" s="125">
        <v>24689000</v>
      </c>
      <c r="M56" s="125">
        <v>131.35300000000001</v>
      </c>
      <c r="N56" s="125">
        <v>32429.649000000001</v>
      </c>
      <c r="Q56" s="126">
        <v>7.9900000000000006E-3</v>
      </c>
      <c r="R56" s="126">
        <v>2.7499999999999998E-3</v>
      </c>
    </row>
    <row r="57" spans="1:18" x14ac:dyDescent="0.2">
      <c r="A57" t="s">
        <v>1204</v>
      </c>
      <c r="B57" t="s">
        <v>1204</v>
      </c>
      <c r="C57" t="s">
        <v>1805</v>
      </c>
      <c r="D57" t="s">
        <v>2025</v>
      </c>
      <c r="E57" t="s">
        <v>2026</v>
      </c>
      <c r="F57" t="s">
        <v>2027</v>
      </c>
      <c r="G57" s="125">
        <v>6.7309999999999999</v>
      </c>
      <c r="H57" t="s">
        <v>754</v>
      </c>
      <c r="I57" t="s">
        <v>2028</v>
      </c>
      <c r="J57" s="126">
        <v>4.8000000000000001E-2</v>
      </c>
      <c r="K57" s="126">
        <v>1.8089999999999998E-2</v>
      </c>
      <c r="L57" s="125">
        <v>22393000</v>
      </c>
      <c r="M57" s="125">
        <v>141.94800000000001</v>
      </c>
      <c r="N57" s="125">
        <v>31786.359</v>
      </c>
      <c r="Q57" s="126">
        <v>7.8300000000000002E-3</v>
      </c>
      <c r="R57" s="126">
        <v>2.6900000000000001E-3</v>
      </c>
    </row>
    <row r="58" spans="1:18" x14ac:dyDescent="0.2">
      <c r="A58" t="s">
        <v>1204</v>
      </c>
      <c r="B58" t="s">
        <v>1204</v>
      </c>
      <c r="C58" t="s">
        <v>1805</v>
      </c>
      <c r="D58" t="s">
        <v>2029</v>
      </c>
      <c r="E58" t="s">
        <v>2030</v>
      </c>
      <c r="F58" t="s">
        <v>2031</v>
      </c>
      <c r="G58" s="125">
        <v>5.3419999999999996</v>
      </c>
      <c r="H58" t="s">
        <v>754</v>
      </c>
      <c r="I58" t="s">
        <v>2032</v>
      </c>
      <c r="J58" s="126">
        <v>4.8000000000000001E-2</v>
      </c>
      <c r="K58" s="126">
        <v>1.7610000000000001E-2</v>
      </c>
      <c r="L58" s="125">
        <v>21625000</v>
      </c>
      <c r="M58" s="125">
        <v>138.565</v>
      </c>
      <c r="N58" s="125">
        <v>29964.782999999999</v>
      </c>
      <c r="Q58" s="126">
        <v>7.3800000000000003E-3</v>
      </c>
      <c r="R58" s="126">
        <v>2.5400000000000002E-3</v>
      </c>
    </row>
    <row r="59" spans="1:18" x14ac:dyDescent="0.2">
      <c r="A59" t="s">
        <v>1204</v>
      </c>
      <c r="B59" t="s">
        <v>1204</v>
      </c>
      <c r="C59" t="s">
        <v>1805</v>
      </c>
      <c r="D59" t="s">
        <v>2033</v>
      </c>
      <c r="E59" t="s">
        <v>2034</v>
      </c>
      <c r="F59" t="s">
        <v>2035</v>
      </c>
      <c r="G59" s="125">
        <v>4.0439999999999996</v>
      </c>
      <c r="H59" t="s">
        <v>754</v>
      </c>
      <c r="I59" t="s">
        <v>1346</v>
      </c>
      <c r="J59" s="126">
        <v>4.8000000000000001E-2</v>
      </c>
      <c r="K59" s="126">
        <v>1.7760000000000001E-2</v>
      </c>
      <c r="L59" s="125">
        <v>22242000</v>
      </c>
      <c r="M59" s="125">
        <v>133.155</v>
      </c>
      <c r="N59" s="125">
        <v>29616.395</v>
      </c>
      <c r="Q59" s="126">
        <v>7.3000000000000001E-3</v>
      </c>
      <c r="R59" s="126">
        <v>2.5100000000000001E-3</v>
      </c>
    </row>
    <row r="60" spans="1:18" x14ac:dyDescent="0.2">
      <c r="A60" t="s">
        <v>1204</v>
      </c>
      <c r="B60" t="s">
        <v>1204</v>
      </c>
      <c r="C60" t="s">
        <v>1805</v>
      </c>
      <c r="D60" t="s">
        <v>2036</v>
      </c>
      <c r="E60" t="s">
        <v>2037</v>
      </c>
      <c r="F60" t="s">
        <v>2038</v>
      </c>
      <c r="G60" s="125">
        <v>5.194</v>
      </c>
      <c r="H60" t="s">
        <v>754</v>
      </c>
      <c r="I60" t="s">
        <v>2039</v>
      </c>
      <c r="J60" s="126">
        <v>4.8000000000000001E-2</v>
      </c>
      <c r="K60" s="126">
        <v>1.7559999999999999E-2</v>
      </c>
      <c r="L60" s="125">
        <v>21560000</v>
      </c>
      <c r="M60" s="125">
        <v>135.90799999999999</v>
      </c>
      <c r="N60" s="125">
        <v>29301.868999999999</v>
      </c>
      <c r="Q60" s="126">
        <v>7.2199999999999999E-3</v>
      </c>
      <c r="R60" s="126">
        <v>2.48E-3</v>
      </c>
    </row>
    <row r="61" spans="1:18" x14ac:dyDescent="0.2">
      <c r="A61" t="s">
        <v>1204</v>
      </c>
      <c r="B61" t="s">
        <v>1204</v>
      </c>
      <c r="C61" t="s">
        <v>1805</v>
      </c>
      <c r="D61" t="s">
        <v>2040</v>
      </c>
      <c r="E61" t="s">
        <v>2041</v>
      </c>
      <c r="F61" t="s">
        <v>2042</v>
      </c>
      <c r="G61" s="125">
        <v>9.4410000000000007</v>
      </c>
      <c r="H61" t="s">
        <v>754</v>
      </c>
      <c r="I61" t="s">
        <v>2043</v>
      </c>
      <c r="J61" s="126">
        <v>4.8000000000000001E-2</v>
      </c>
      <c r="K61" s="126">
        <v>1.8749999999999999E-2</v>
      </c>
      <c r="L61" s="125">
        <v>19368000</v>
      </c>
      <c r="M61" s="125">
        <v>147.994</v>
      </c>
      <c r="N61" s="125">
        <v>28663.55</v>
      </c>
      <c r="Q61" s="126">
        <v>7.0600000000000003E-3</v>
      </c>
      <c r="R61" s="126">
        <v>2.4299999999999999E-3</v>
      </c>
    </row>
    <row r="62" spans="1:18" x14ac:dyDescent="0.2">
      <c r="A62" t="s">
        <v>1204</v>
      </c>
      <c r="B62" t="s">
        <v>1204</v>
      </c>
      <c r="C62" t="s">
        <v>1805</v>
      </c>
      <c r="D62" t="s">
        <v>2044</v>
      </c>
      <c r="E62" t="s">
        <v>2045</v>
      </c>
      <c r="F62" t="s">
        <v>2046</v>
      </c>
      <c r="G62" s="125">
        <v>7.18</v>
      </c>
      <c r="H62" t="s">
        <v>754</v>
      </c>
      <c r="I62" t="s">
        <v>2047</v>
      </c>
      <c r="J62" s="126">
        <v>4.8000000000000001E-2</v>
      </c>
      <c r="K62" s="126">
        <v>1.8259999999999998E-2</v>
      </c>
      <c r="L62" s="125">
        <v>20093000</v>
      </c>
      <c r="M62" s="125">
        <v>142.46600000000001</v>
      </c>
      <c r="N62" s="125">
        <v>28625.744999999999</v>
      </c>
      <c r="Q62" s="126">
        <v>7.0499999999999998E-3</v>
      </c>
      <c r="R62" s="126">
        <v>2.4299999999999999E-3</v>
      </c>
    </row>
    <row r="63" spans="1:18" x14ac:dyDescent="0.2">
      <c r="A63" t="s">
        <v>1204</v>
      </c>
      <c r="B63" t="s">
        <v>1204</v>
      </c>
      <c r="C63" t="s">
        <v>1805</v>
      </c>
      <c r="D63" t="s">
        <v>2048</v>
      </c>
      <c r="E63" t="s">
        <v>2049</v>
      </c>
      <c r="F63" t="s">
        <v>2050</v>
      </c>
      <c r="G63" s="125">
        <v>3.7210000000000001</v>
      </c>
      <c r="H63" t="s">
        <v>754</v>
      </c>
      <c r="I63" t="s">
        <v>2051</v>
      </c>
      <c r="J63" s="126">
        <v>4.8000000000000001E-2</v>
      </c>
      <c r="K63" s="126">
        <v>1.7590000000000001E-2</v>
      </c>
      <c r="L63" s="125">
        <v>21042000</v>
      </c>
      <c r="M63" s="125">
        <v>131.02500000000001</v>
      </c>
      <c r="N63" s="125">
        <v>27570.215</v>
      </c>
      <c r="Q63" s="126">
        <v>6.79E-3</v>
      </c>
      <c r="R63" s="126">
        <v>2.3400000000000001E-3</v>
      </c>
    </row>
    <row r="64" spans="1:18" x14ac:dyDescent="0.2">
      <c r="A64" t="s">
        <v>1204</v>
      </c>
      <c r="B64" t="s">
        <v>1204</v>
      </c>
      <c r="C64" t="s">
        <v>1805</v>
      </c>
      <c r="D64" t="s">
        <v>2052</v>
      </c>
      <c r="E64" t="s">
        <v>2053</v>
      </c>
      <c r="F64" t="s">
        <v>2054</v>
      </c>
      <c r="G64" s="125">
        <v>9.0259999999999998</v>
      </c>
      <c r="H64" t="s">
        <v>754</v>
      </c>
      <c r="I64" t="s">
        <v>2055</v>
      </c>
      <c r="J64" s="126">
        <v>4.8000000000000001E-2</v>
      </c>
      <c r="K64" s="126">
        <v>1.8700000000000001E-2</v>
      </c>
      <c r="L64" s="125">
        <v>18202000</v>
      </c>
      <c r="M64" s="125">
        <v>150.536</v>
      </c>
      <c r="N64" s="125">
        <v>27400.572</v>
      </c>
      <c r="Q64" s="126">
        <v>6.7499999999999999E-3</v>
      </c>
      <c r="R64" s="126">
        <v>2.32E-3</v>
      </c>
    </row>
    <row r="65" spans="1:18" x14ac:dyDescent="0.2">
      <c r="A65" t="s">
        <v>1204</v>
      </c>
      <c r="B65" t="s">
        <v>1204</v>
      </c>
      <c r="C65" t="s">
        <v>1805</v>
      </c>
      <c r="D65" t="s">
        <v>2056</v>
      </c>
      <c r="E65" t="s">
        <v>2057</v>
      </c>
      <c r="F65" t="s">
        <v>2058</v>
      </c>
      <c r="G65" s="125">
        <v>7.0960000000000001</v>
      </c>
      <c r="H65" t="s">
        <v>754</v>
      </c>
      <c r="I65" t="s">
        <v>2059</v>
      </c>
      <c r="J65" s="126">
        <v>4.8000000000000001E-2</v>
      </c>
      <c r="K65" s="126">
        <v>1.8200000000000001E-2</v>
      </c>
      <c r="L65" s="125">
        <v>17589000</v>
      </c>
      <c r="M65" s="125">
        <v>143.315</v>
      </c>
      <c r="N65" s="125">
        <v>25207.719000000001</v>
      </c>
      <c r="Q65" s="126">
        <v>6.2100000000000002E-3</v>
      </c>
      <c r="R65" s="126">
        <v>2.14E-3</v>
      </c>
    </row>
    <row r="66" spans="1:18" x14ac:dyDescent="0.2">
      <c r="A66" t="s">
        <v>1204</v>
      </c>
      <c r="B66" t="s">
        <v>1204</v>
      </c>
      <c r="C66" t="s">
        <v>1805</v>
      </c>
      <c r="D66" t="s">
        <v>2060</v>
      </c>
      <c r="E66" t="s">
        <v>2061</v>
      </c>
      <c r="F66" t="s">
        <v>2062</v>
      </c>
      <c r="G66" s="125">
        <v>9.1940000000000008</v>
      </c>
      <c r="H66" t="s">
        <v>754</v>
      </c>
      <c r="I66" t="s">
        <v>2063</v>
      </c>
      <c r="J66" s="126">
        <v>4.8000000000000001E-2</v>
      </c>
      <c r="K66" s="126">
        <v>1.8700000000000001E-2</v>
      </c>
      <c r="L66" s="125">
        <v>16899000</v>
      </c>
      <c r="M66" s="125">
        <v>148.71899999999999</v>
      </c>
      <c r="N66" s="125">
        <v>25131.966</v>
      </c>
      <c r="Q66" s="126">
        <v>6.1900000000000002E-3</v>
      </c>
      <c r="R66" s="126">
        <v>2.1299999999999999E-3</v>
      </c>
    </row>
    <row r="67" spans="1:18" x14ac:dyDescent="0.2">
      <c r="A67" t="s">
        <v>1204</v>
      </c>
      <c r="B67" t="s">
        <v>1204</v>
      </c>
      <c r="C67" t="s">
        <v>1805</v>
      </c>
      <c r="D67" t="s">
        <v>2064</v>
      </c>
      <c r="E67" t="s">
        <v>2065</v>
      </c>
      <c r="F67" t="s">
        <v>2066</v>
      </c>
      <c r="G67" s="125">
        <v>6.8129999999999997</v>
      </c>
      <c r="H67" t="s">
        <v>754</v>
      </c>
      <c r="I67" t="s">
        <v>2067</v>
      </c>
      <c r="J67" s="126">
        <v>4.8000000000000001E-2</v>
      </c>
      <c r="K67" s="126">
        <v>1.8159999999999999E-2</v>
      </c>
      <c r="L67" s="125">
        <v>17413000</v>
      </c>
      <c r="M67" s="125">
        <v>141.25299999999999</v>
      </c>
      <c r="N67" s="125">
        <v>24596.373</v>
      </c>
      <c r="Q67" s="126">
        <v>6.0600000000000003E-3</v>
      </c>
      <c r="R67" s="126">
        <v>2.0799999999999998E-3</v>
      </c>
    </row>
    <row r="68" spans="1:18" x14ac:dyDescent="0.2">
      <c r="A68" t="s">
        <v>1204</v>
      </c>
      <c r="B68" t="s">
        <v>1204</v>
      </c>
      <c r="C68" t="s">
        <v>1805</v>
      </c>
      <c r="D68" t="s">
        <v>2068</v>
      </c>
      <c r="E68" t="s">
        <v>2069</v>
      </c>
      <c r="F68" t="s">
        <v>2070</v>
      </c>
      <c r="G68" s="125">
        <v>7.8360000000000003</v>
      </c>
      <c r="H68" t="s">
        <v>754</v>
      </c>
      <c r="I68" t="s">
        <v>2071</v>
      </c>
      <c r="J68" s="126">
        <v>4.8000000000000001E-2</v>
      </c>
      <c r="K68" s="126">
        <v>1.8409999999999999E-2</v>
      </c>
      <c r="L68" s="125">
        <v>15360000</v>
      </c>
      <c r="M68" s="125">
        <v>144.76400000000001</v>
      </c>
      <c r="N68" s="125">
        <v>22235.744999999999</v>
      </c>
      <c r="Q68" s="126">
        <v>5.4799999999999996E-3</v>
      </c>
      <c r="R68" s="126">
        <v>1.8799999999999999E-3</v>
      </c>
    </row>
    <row r="69" spans="1:18" x14ac:dyDescent="0.2">
      <c r="A69" t="s">
        <v>1204</v>
      </c>
      <c r="B69" t="s">
        <v>1204</v>
      </c>
      <c r="C69" t="s">
        <v>1805</v>
      </c>
      <c r="D69" t="s">
        <v>2072</v>
      </c>
      <c r="E69" t="s">
        <v>2073</v>
      </c>
      <c r="F69" t="s">
        <v>2074</v>
      </c>
      <c r="G69" s="125">
        <v>6.6459999999999999</v>
      </c>
      <c r="H69" t="s">
        <v>754</v>
      </c>
      <c r="I69" t="s">
        <v>2075</v>
      </c>
      <c r="J69" s="126">
        <v>4.8000000000000001E-2</v>
      </c>
      <c r="K69" s="126">
        <v>1.8079999999999999E-2</v>
      </c>
      <c r="L69" s="125">
        <v>15612000</v>
      </c>
      <c r="M69" s="125">
        <v>142.31</v>
      </c>
      <c r="N69" s="125">
        <v>22217.42</v>
      </c>
      <c r="Q69" s="126">
        <v>5.47E-3</v>
      </c>
      <c r="R69" s="126">
        <v>1.8799999999999999E-3</v>
      </c>
    </row>
    <row r="70" spans="1:18" x14ac:dyDescent="0.2">
      <c r="A70" t="s">
        <v>1204</v>
      </c>
      <c r="B70" t="s">
        <v>1204</v>
      </c>
      <c r="C70" t="s">
        <v>1805</v>
      </c>
      <c r="D70" t="s">
        <v>2076</v>
      </c>
      <c r="E70" t="s">
        <v>2077</v>
      </c>
      <c r="F70" t="s">
        <v>2078</v>
      </c>
      <c r="G70" s="125">
        <v>2.8639999999999999</v>
      </c>
      <c r="H70" t="s">
        <v>754</v>
      </c>
      <c r="I70" t="s">
        <v>2079</v>
      </c>
      <c r="J70" s="126">
        <v>4.8000000000000001E-2</v>
      </c>
      <c r="K70" s="126">
        <v>1.738E-2</v>
      </c>
      <c r="L70" s="125">
        <v>17042000</v>
      </c>
      <c r="M70" s="125">
        <v>130.15799999999999</v>
      </c>
      <c r="N70" s="125">
        <v>22181.453000000001</v>
      </c>
      <c r="Q70" s="126">
        <v>5.4599999999999996E-3</v>
      </c>
      <c r="R70" s="126">
        <v>1.8799999999999999E-3</v>
      </c>
    </row>
    <row r="71" spans="1:18" x14ac:dyDescent="0.2">
      <c r="A71" t="s">
        <v>1204</v>
      </c>
      <c r="B71" t="s">
        <v>1204</v>
      </c>
      <c r="C71" t="s">
        <v>1805</v>
      </c>
      <c r="D71" t="s">
        <v>2080</v>
      </c>
      <c r="E71" t="s">
        <v>2081</v>
      </c>
      <c r="F71" t="s">
        <v>2082</v>
      </c>
      <c r="G71" s="125">
        <v>5.2549999999999999</v>
      </c>
      <c r="H71" t="s">
        <v>754</v>
      </c>
      <c r="I71" t="s">
        <v>2083</v>
      </c>
      <c r="J71" s="126">
        <v>4.8000000000000001E-2</v>
      </c>
      <c r="K71" s="126">
        <v>1.7600000000000001E-2</v>
      </c>
      <c r="L71" s="125">
        <v>15985000</v>
      </c>
      <c r="M71" s="125">
        <v>138.642</v>
      </c>
      <c r="N71" s="125">
        <v>22161.938999999998</v>
      </c>
      <c r="Q71" s="126">
        <v>5.4599999999999996E-3</v>
      </c>
      <c r="R71" s="126">
        <v>1.8799999999999999E-3</v>
      </c>
    </row>
    <row r="72" spans="1:18" x14ac:dyDescent="0.2">
      <c r="A72" t="s">
        <v>1204</v>
      </c>
      <c r="B72" t="s">
        <v>1204</v>
      </c>
      <c r="C72" t="s">
        <v>1805</v>
      </c>
      <c r="D72" t="s">
        <v>2084</v>
      </c>
      <c r="E72" t="s">
        <v>2085</v>
      </c>
      <c r="F72" t="s">
        <v>2086</v>
      </c>
      <c r="G72" s="125">
        <v>4.4649999999999999</v>
      </c>
      <c r="H72" t="s">
        <v>754</v>
      </c>
      <c r="I72" t="s">
        <v>2087</v>
      </c>
      <c r="J72" s="126">
        <v>4.8000000000000001E-2</v>
      </c>
      <c r="K72" s="126">
        <v>1.7950000000000001E-2</v>
      </c>
      <c r="L72" s="125">
        <v>15672000</v>
      </c>
      <c r="M72" s="125">
        <v>131.67599999999999</v>
      </c>
      <c r="N72" s="125">
        <v>20636.224999999999</v>
      </c>
      <c r="Q72" s="126">
        <v>5.0800000000000003E-3</v>
      </c>
      <c r="R72" s="126">
        <v>1.75E-3</v>
      </c>
    </row>
    <row r="73" spans="1:18" x14ac:dyDescent="0.2">
      <c r="A73" t="s">
        <v>1204</v>
      </c>
      <c r="B73" t="s">
        <v>1204</v>
      </c>
      <c r="C73" t="s">
        <v>1805</v>
      </c>
      <c r="D73" t="s">
        <v>2088</v>
      </c>
      <c r="E73" t="s">
        <v>2089</v>
      </c>
      <c r="F73" t="s">
        <v>2090</v>
      </c>
      <c r="G73" s="125">
        <v>7.9020000000000001</v>
      </c>
      <c r="H73" t="s">
        <v>754</v>
      </c>
      <c r="I73" t="s">
        <v>2091</v>
      </c>
      <c r="J73" s="126">
        <v>4.8000000000000001E-2</v>
      </c>
      <c r="K73" s="126">
        <v>1.8450000000000001E-2</v>
      </c>
      <c r="L73" s="125">
        <v>14264000</v>
      </c>
      <c r="M73" s="125">
        <v>143.24199999999999</v>
      </c>
      <c r="N73" s="125">
        <v>20431.987000000001</v>
      </c>
      <c r="Q73" s="126">
        <v>5.0299999999999997E-3</v>
      </c>
      <c r="R73" s="126">
        <v>1.73E-3</v>
      </c>
    </row>
    <row r="74" spans="1:18" x14ac:dyDescent="0.2">
      <c r="A74" t="s">
        <v>1204</v>
      </c>
      <c r="B74" t="s">
        <v>1204</v>
      </c>
      <c r="C74" t="s">
        <v>1805</v>
      </c>
      <c r="D74" t="s">
        <v>2092</v>
      </c>
      <c r="E74" t="s">
        <v>2093</v>
      </c>
      <c r="F74" t="s">
        <v>2094</v>
      </c>
      <c r="G74" s="125">
        <v>8.27</v>
      </c>
      <c r="H74" t="s">
        <v>754</v>
      </c>
      <c r="I74" t="s">
        <v>2095</v>
      </c>
      <c r="J74" s="126">
        <v>4.8000000000000001E-2</v>
      </c>
      <c r="K74" s="126">
        <v>1.8509999999999999E-2</v>
      </c>
      <c r="L74" s="125">
        <v>13643000</v>
      </c>
      <c r="M74" s="125">
        <v>147.09200000000001</v>
      </c>
      <c r="N74" s="125">
        <v>20067.761999999999</v>
      </c>
      <c r="Q74" s="126">
        <v>4.9399999999999999E-3</v>
      </c>
      <c r="R74" s="126">
        <v>1.6999999999999999E-3</v>
      </c>
    </row>
    <row r="75" spans="1:18" x14ac:dyDescent="0.2">
      <c r="A75" t="s">
        <v>1204</v>
      </c>
      <c r="B75" t="s">
        <v>1204</v>
      </c>
      <c r="C75" t="s">
        <v>1805</v>
      </c>
      <c r="D75" t="s">
        <v>2096</v>
      </c>
      <c r="E75" t="s">
        <v>2097</v>
      </c>
      <c r="F75" t="s">
        <v>2098</v>
      </c>
      <c r="G75" s="125">
        <v>5.8949999999999996</v>
      </c>
      <c r="H75" t="s">
        <v>754</v>
      </c>
      <c r="I75" t="s">
        <v>2099</v>
      </c>
      <c r="J75" s="126">
        <v>4.8000000000000001E-2</v>
      </c>
      <c r="K75" s="126">
        <v>1.7850000000000001E-2</v>
      </c>
      <c r="L75" s="125">
        <v>11299000</v>
      </c>
      <c r="M75" s="125">
        <v>139.374</v>
      </c>
      <c r="N75" s="125">
        <v>15747.873</v>
      </c>
      <c r="Q75" s="126">
        <v>3.8800000000000002E-3</v>
      </c>
      <c r="R75" s="126">
        <v>1.33E-3</v>
      </c>
    </row>
    <row r="76" spans="1:18" x14ac:dyDescent="0.2">
      <c r="A76" t="s">
        <v>1204</v>
      </c>
      <c r="B76" t="s">
        <v>1204</v>
      </c>
      <c r="C76" t="s">
        <v>1805</v>
      </c>
      <c r="D76" t="s">
        <v>2100</v>
      </c>
      <c r="E76" t="s">
        <v>2101</v>
      </c>
      <c r="F76" t="s">
        <v>2102</v>
      </c>
      <c r="G76" s="125">
        <v>9.2750000000000004</v>
      </c>
      <c r="H76" t="s">
        <v>754</v>
      </c>
      <c r="I76" t="s">
        <v>2103</v>
      </c>
      <c r="J76" s="126">
        <v>4.8000000000000001E-2</v>
      </c>
      <c r="K76" s="126">
        <v>1.874E-2</v>
      </c>
      <c r="L76" s="125">
        <v>10537000</v>
      </c>
      <c r="M76" s="125">
        <v>148.001</v>
      </c>
      <c r="N76" s="125">
        <v>15594.911</v>
      </c>
      <c r="Q76" s="126">
        <v>3.8400000000000001E-3</v>
      </c>
      <c r="R76" s="126">
        <v>1.32E-3</v>
      </c>
    </row>
    <row r="77" spans="1:18" x14ac:dyDescent="0.2">
      <c r="A77" t="s">
        <v>1204</v>
      </c>
      <c r="B77" t="s">
        <v>1204</v>
      </c>
      <c r="C77" t="s">
        <v>1805</v>
      </c>
      <c r="D77" t="s">
        <v>2104</v>
      </c>
      <c r="E77" t="s">
        <v>2105</v>
      </c>
      <c r="F77" t="s">
        <v>2106</v>
      </c>
      <c r="G77" s="125">
        <v>9.359</v>
      </c>
      <c r="H77" t="s">
        <v>754</v>
      </c>
      <c r="I77" t="s">
        <v>2107</v>
      </c>
      <c r="J77" s="126">
        <v>4.8000000000000001E-2</v>
      </c>
      <c r="K77" s="126">
        <v>1.8749999999999999E-2</v>
      </c>
      <c r="L77" s="125">
        <v>10295000</v>
      </c>
      <c r="M77" s="125">
        <v>148.66200000000001</v>
      </c>
      <c r="N77" s="125">
        <v>15304.735000000001</v>
      </c>
      <c r="Q77" s="126">
        <v>3.7699999999999999E-3</v>
      </c>
      <c r="R77" s="126">
        <v>1.2999999999999999E-3</v>
      </c>
    </row>
    <row r="78" spans="1:18" x14ac:dyDescent="0.2">
      <c r="A78" t="s">
        <v>1204</v>
      </c>
      <c r="B78" t="s">
        <v>1204</v>
      </c>
      <c r="C78" t="s">
        <v>1805</v>
      </c>
      <c r="D78" t="s">
        <v>2108</v>
      </c>
      <c r="E78" t="s">
        <v>2109</v>
      </c>
      <c r="F78" t="s">
        <v>2110</v>
      </c>
      <c r="G78" s="125">
        <v>2.944</v>
      </c>
      <c r="H78" t="s">
        <v>754</v>
      </c>
      <c r="I78" t="s">
        <v>2111</v>
      </c>
      <c r="J78" s="126">
        <v>4.8000000000000001E-2</v>
      </c>
      <c r="K78" s="126">
        <v>1.7420000000000001E-2</v>
      </c>
      <c r="L78" s="125">
        <v>11248000</v>
      </c>
      <c r="M78" s="125">
        <v>130.19200000000001</v>
      </c>
      <c r="N78" s="125">
        <v>14644.022999999999</v>
      </c>
      <c r="Q78" s="126">
        <v>3.6099999999999999E-3</v>
      </c>
      <c r="R78" s="126">
        <v>1.24E-3</v>
      </c>
    </row>
    <row r="79" spans="1:18" x14ac:dyDescent="0.2">
      <c r="A79" t="s">
        <v>1204</v>
      </c>
      <c r="B79" t="s">
        <v>1204</v>
      </c>
      <c r="C79" t="s">
        <v>1805</v>
      </c>
      <c r="D79" t="s">
        <v>2112</v>
      </c>
      <c r="E79" t="s">
        <v>2113</v>
      </c>
      <c r="F79" t="s">
        <v>2114</v>
      </c>
      <c r="G79" s="125">
        <v>5.8070000000000004</v>
      </c>
      <c r="H79" t="s">
        <v>754</v>
      </c>
      <c r="I79" t="s">
        <v>2115</v>
      </c>
      <c r="J79" s="126">
        <v>4.8000000000000001E-2</v>
      </c>
      <c r="K79" s="126">
        <v>1.7840000000000002E-2</v>
      </c>
      <c r="L79" s="125">
        <v>8906000</v>
      </c>
      <c r="M79" s="125">
        <v>139.17400000000001</v>
      </c>
      <c r="N79" s="125">
        <v>12394.844999999999</v>
      </c>
      <c r="Q79" s="126">
        <v>3.0500000000000002E-3</v>
      </c>
      <c r="R79" s="126">
        <v>1.0499999999999999E-3</v>
      </c>
    </row>
    <row r="80" spans="1:18" x14ac:dyDescent="0.2">
      <c r="A80" t="s">
        <v>1204</v>
      </c>
      <c r="B80" t="s">
        <v>1204</v>
      </c>
      <c r="C80" t="s">
        <v>1805</v>
      </c>
      <c r="D80" t="s">
        <v>2116</v>
      </c>
      <c r="E80" t="s">
        <v>2117</v>
      </c>
      <c r="F80" t="s">
        <v>2118</v>
      </c>
      <c r="G80" s="125">
        <v>8.8559999999999999</v>
      </c>
      <c r="H80" t="s">
        <v>754</v>
      </c>
      <c r="I80" t="s">
        <v>2119</v>
      </c>
      <c r="J80" s="126">
        <v>4.8000000000000001E-2</v>
      </c>
      <c r="K80" s="126">
        <v>1.864E-2</v>
      </c>
      <c r="L80" s="125">
        <v>8074000</v>
      </c>
      <c r="M80" s="125">
        <v>148.655</v>
      </c>
      <c r="N80" s="125">
        <v>12002.397000000001</v>
      </c>
      <c r="Q80" s="126">
        <v>2.96E-3</v>
      </c>
      <c r="R80" s="126">
        <v>1.0200000000000001E-3</v>
      </c>
    </row>
    <row r="81" spans="1:36" x14ac:dyDescent="0.2">
      <c r="A81" t="s">
        <v>1204</v>
      </c>
      <c r="B81" t="s">
        <v>1204</v>
      </c>
      <c r="C81" t="s">
        <v>1805</v>
      </c>
      <c r="D81" t="s">
        <v>2120</v>
      </c>
      <c r="E81" t="s">
        <v>2121</v>
      </c>
      <c r="F81" t="s">
        <v>2122</v>
      </c>
      <c r="G81" s="125">
        <v>9.1910000000000007</v>
      </c>
      <c r="H81" t="s">
        <v>754</v>
      </c>
      <c r="I81" t="s">
        <v>2123</v>
      </c>
      <c r="J81" s="126">
        <v>4.8000000000000001E-2</v>
      </c>
      <c r="K81" s="126">
        <v>1.8710000000000001E-2</v>
      </c>
      <c r="L81" s="125">
        <v>7596000</v>
      </c>
      <c r="M81" s="125">
        <v>149.91499999999999</v>
      </c>
      <c r="N81" s="125">
        <v>11387.526</v>
      </c>
      <c r="Q81" s="126">
        <v>2.81E-3</v>
      </c>
      <c r="R81" s="126">
        <v>9.7000000000000005E-4</v>
      </c>
    </row>
    <row r="82" spans="1:36" x14ac:dyDescent="0.2">
      <c r="A82" t="s">
        <v>1204</v>
      </c>
      <c r="B82" t="s">
        <v>1204</v>
      </c>
      <c r="C82" t="s">
        <v>1805</v>
      </c>
      <c r="D82" t="s">
        <v>2124</v>
      </c>
      <c r="E82" t="s">
        <v>2125</v>
      </c>
      <c r="F82" t="s">
        <v>2126</v>
      </c>
      <c r="G82" s="125">
        <v>5.2770000000000001</v>
      </c>
      <c r="H82" t="s">
        <v>754</v>
      </c>
      <c r="I82" t="s">
        <v>1457</v>
      </c>
      <c r="J82" s="126">
        <v>4.8000000000000001E-2</v>
      </c>
      <c r="K82" s="126">
        <v>1.7649999999999999E-2</v>
      </c>
      <c r="L82" s="125">
        <v>6078000</v>
      </c>
      <c r="M82" s="125">
        <v>135.51300000000001</v>
      </c>
      <c r="N82" s="125">
        <v>8236.4570000000003</v>
      </c>
      <c r="Q82" s="126">
        <v>2.0300000000000001E-3</v>
      </c>
      <c r="R82" s="126">
        <v>6.9999999999999999E-4</v>
      </c>
    </row>
    <row r="83" spans="1:36" x14ac:dyDescent="0.2">
      <c r="A83" t="s">
        <v>1204</v>
      </c>
      <c r="B83" t="s">
        <v>1204</v>
      </c>
      <c r="C83" t="s">
        <v>1805</v>
      </c>
      <c r="D83" t="s">
        <v>2127</v>
      </c>
      <c r="E83" t="s">
        <v>2128</v>
      </c>
      <c r="F83" t="s">
        <v>2129</v>
      </c>
      <c r="G83" s="125">
        <v>3.3780000000000001</v>
      </c>
      <c r="H83" t="s">
        <v>754</v>
      </c>
      <c r="I83" t="s">
        <v>2130</v>
      </c>
      <c r="J83" s="126">
        <v>4.8000000000000001E-2</v>
      </c>
      <c r="K83" s="126">
        <v>1.753E-2</v>
      </c>
      <c r="L83" s="125">
        <v>4559000</v>
      </c>
      <c r="M83" s="125">
        <v>129.499</v>
      </c>
      <c r="N83" s="125">
        <v>5903.866</v>
      </c>
      <c r="Q83" s="126">
        <v>1.4499999999999999E-3</v>
      </c>
      <c r="R83" s="126">
        <v>5.0000000000000001E-4</v>
      </c>
    </row>
    <row r="84" spans="1:36" x14ac:dyDescent="0.2">
      <c r="A84" t="s">
        <v>1204</v>
      </c>
      <c r="B84" t="s">
        <v>1204</v>
      </c>
      <c r="C84" t="s">
        <v>1805</v>
      </c>
      <c r="D84" t="s">
        <v>2131</v>
      </c>
      <c r="E84" t="s">
        <v>2132</v>
      </c>
      <c r="F84" t="s">
        <v>2133</v>
      </c>
      <c r="G84" s="125">
        <v>9.52</v>
      </c>
      <c r="H84" t="s">
        <v>754</v>
      </c>
      <c r="I84" t="s">
        <v>2134</v>
      </c>
      <c r="J84" s="126">
        <v>4.8000000000000001E-2</v>
      </c>
      <c r="K84" s="126">
        <v>1.8749999999999999E-2</v>
      </c>
      <c r="L84" s="125">
        <v>3926000</v>
      </c>
      <c r="M84" s="125">
        <v>149.67400000000001</v>
      </c>
      <c r="N84" s="125">
        <v>5876.1859999999997</v>
      </c>
      <c r="Q84" s="126">
        <v>1.4499999999999999E-3</v>
      </c>
      <c r="R84" s="126">
        <v>5.0000000000000001E-4</v>
      </c>
    </row>
    <row r="85" spans="1:36" x14ac:dyDescent="0.2">
      <c r="A85" t="s">
        <v>1204</v>
      </c>
      <c r="B85" t="s">
        <v>1204</v>
      </c>
      <c r="C85" t="s">
        <v>1805</v>
      </c>
      <c r="D85" t="s">
        <v>2135</v>
      </c>
      <c r="E85" t="s">
        <v>2136</v>
      </c>
      <c r="F85" t="s">
        <v>2137</v>
      </c>
      <c r="G85" s="125">
        <v>5.976</v>
      </c>
      <c r="H85" t="s">
        <v>754</v>
      </c>
      <c r="I85" t="s">
        <v>2138</v>
      </c>
      <c r="J85" s="126">
        <v>4.8000000000000001E-2</v>
      </c>
      <c r="K85" s="126">
        <v>1.7860000000000001E-2</v>
      </c>
      <c r="L85" s="125">
        <v>3648000</v>
      </c>
      <c r="M85" s="125">
        <v>139.30799999999999</v>
      </c>
      <c r="N85" s="125">
        <v>5081.9409999999998</v>
      </c>
      <c r="Q85" s="126">
        <v>1.25E-3</v>
      </c>
      <c r="R85" s="126">
        <v>4.2999999999999999E-4</v>
      </c>
    </row>
    <row r="86" spans="1:36" x14ac:dyDescent="0.2">
      <c r="A86" t="s">
        <v>1204</v>
      </c>
      <c r="B86" t="s">
        <v>1204</v>
      </c>
      <c r="C86" t="s">
        <v>1805</v>
      </c>
      <c r="D86" t="s">
        <v>2139</v>
      </c>
      <c r="E86" t="s">
        <v>2140</v>
      </c>
      <c r="F86" t="s">
        <v>2141</v>
      </c>
      <c r="G86" s="125">
        <v>7.383</v>
      </c>
      <c r="H86" t="s">
        <v>754</v>
      </c>
      <c r="I86" t="s">
        <v>2142</v>
      </c>
      <c r="J86" s="126">
        <v>4.8000000000000001E-2</v>
      </c>
      <c r="K86" s="126">
        <v>1.8290000000000001E-2</v>
      </c>
      <c r="L86" s="125">
        <v>2884000</v>
      </c>
      <c r="M86" s="125">
        <v>143.286</v>
      </c>
      <c r="N86" s="125">
        <v>4132.3670000000002</v>
      </c>
      <c r="Q86" s="126">
        <v>1.0200000000000001E-3</v>
      </c>
      <c r="R86" s="126">
        <v>3.5E-4</v>
      </c>
    </row>
    <row r="87" spans="1:36" x14ac:dyDescent="0.2">
      <c r="A87" t="s">
        <v>1204</v>
      </c>
      <c r="B87" t="s">
        <v>1204</v>
      </c>
      <c r="C87" t="s">
        <v>1805</v>
      </c>
      <c r="D87" t="s">
        <v>2143</v>
      </c>
      <c r="E87" t="s">
        <v>2144</v>
      </c>
      <c r="F87" t="s">
        <v>2145</v>
      </c>
      <c r="G87" s="125">
        <v>8.2509999999999994</v>
      </c>
      <c r="H87" t="s">
        <v>754</v>
      </c>
      <c r="I87" t="s">
        <v>2146</v>
      </c>
      <c r="J87" s="126">
        <v>4.8000000000000001E-2</v>
      </c>
      <c r="K87" s="126">
        <v>1.8540000000000001E-2</v>
      </c>
      <c r="L87" s="125">
        <v>1874000</v>
      </c>
      <c r="M87" s="125">
        <v>144.24</v>
      </c>
      <c r="N87" s="125">
        <v>2703.0529999999999</v>
      </c>
      <c r="Q87" s="126">
        <v>6.7000000000000002E-4</v>
      </c>
      <c r="R87" s="126">
        <v>2.3000000000000001E-4</v>
      </c>
    </row>
    <row r="88" spans="1:36" x14ac:dyDescent="0.2">
      <c r="A88" t="s">
        <v>1204</v>
      </c>
      <c r="B88" t="s">
        <v>1204</v>
      </c>
      <c r="C88" t="s">
        <v>1805</v>
      </c>
      <c r="D88" t="s">
        <v>2147</v>
      </c>
      <c r="E88" t="s">
        <v>2148</v>
      </c>
      <c r="F88" t="s">
        <v>2149</v>
      </c>
      <c r="G88" s="125">
        <v>6.0220000000000002</v>
      </c>
      <c r="H88" t="s">
        <v>754</v>
      </c>
      <c r="I88" t="s">
        <v>1384</v>
      </c>
      <c r="J88" s="126">
        <v>4.8000000000000001E-2</v>
      </c>
      <c r="K88" s="126">
        <v>1.789E-2</v>
      </c>
      <c r="L88" s="125">
        <v>1842000</v>
      </c>
      <c r="M88" s="125">
        <v>141.91200000000001</v>
      </c>
      <c r="N88" s="125">
        <v>2614.011</v>
      </c>
      <c r="Q88" s="126">
        <v>6.4000000000000005E-4</v>
      </c>
      <c r="R88" s="126">
        <v>2.2000000000000001E-4</v>
      </c>
    </row>
    <row r="89" spans="1:36" x14ac:dyDescent="0.2">
      <c r="A89" s="169" t="s">
        <v>2494</v>
      </c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1">
    <mergeCell ref="A89:AJ89"/>
  </mergeCell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AJ27"/>
  <sheetViews>
    <sheetView rightToLeft="1" workbookViewId="0">
      <selection activeCell="D2" sqref="D2"/>
    </sheetView>
  </sheetViews>
  <sheetFormatPr defaultColWidth="9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36" ht="66.75" customHeight="1" x14ac:dyDescent="0.2">
      <c r="A1" s="168" t="s">
        <v>99</v>
      </c>
      <c r="B1" s="168" t="s">
        <v>50</v>
      </c>
      <c r="C1" s="168" t="s">
        <v>54</v>
      </c>
      <c r="D1" s="168" t="s">
        <v>100</v>
      </c>
      <c r="E1" s="168" t="s">
        <v>101</v>
      </c>
      <c r="F1" s="168" t="s">
        <v>102</v>
      </c>
      <c r="G1" s="168" t="s">
        <v>65</v>
      </c>
      <c r="H1" s="102"/>
    </row>
    <row r="2" spans="1:36" x14ac:dyDescent="0.2">
      <c r="A2" t="s">
        <v>1204</v>
      </c>
      <c r="B2" t="s">
        <v>1204</v>
      </c>
      <c r="C2" s="103"/>
      <c r="D2" s="96"/>
      <c r="G2" s="103"/>
      <c r="H2" s="102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</row>
    <row r="4" spans="1:36" x14ac:dyDescent="0.2">
      <c r="A4" s="103"/>
      <c r="B4" s="103"/>
      <c r="C4" s="103"/>
      <c r="G4" s="103"/>
      <c r="H4" s="102"/>
    </row>
    <row r="5" spans="1:36" x14ac:dyDescent="0.2">
      <c r="A5" s="103"/>
      <c r="B5" s="103"/>
      <c r="C5" s="103"/>
      <c r="G5" s="103"/>
      <c r="H5" s="102"/>
    </row>
    <row r="6" spans="1:36" x14ac:dyDescent="0.2">
      <c r="A6" s="103"/>
      <c r="B6" s="103"/>
      <c r="C6" s="103"/>
      <c r="G6" s="103"/>
      <c r="H6" s="102"/>
    </row>
    <row r="7" spans="1:36" x14ac:dyDescent="0.2">
      <c r="A7" s="103"/>
      <c r="B7" s="103"/>
      <c r="C7" s="103"/>
      <c r="G7" s="103"/>
      <c r="H7" s="102"/>
    </row>
    <row r="8" spans="1:36" x14ac:dyDescent="0.2">
      <c r="A8" s="103"/>
      <c r="B8" s="103"/>
      <c r="C8" s="103"/>
      <c r="G8" s="103"/>
      <c r="H8" s="102"/>
    </row>
    <row r="9" spans="1:36" x14ac:dyDescent="0.2">
      <c r="A9" s="103"/>
      <c r="B9" s="103"/>
      <c r="C9" s="103"/>
      <c r="G9" s="103"/>
      <c r="H9" s="102"/>
    </row>
    <row r="10" spans="1:36" x14ac:dyDescent="0.2">
      <c r="A10" s="103"/>
      <c r="B10" s="103"/>
      <c r="C10" s="103"/>
      <c r="G10" s="103"/>
      <c r="H10" s="102"/>
    </row>
    <row r="11" spans="1:36" x14ac:dyDescent="0.2">
      <c r="A11" s="103"/>
      <c r="B11" s="103"/>
      <c r="C11" s="103"/>
      <c r="G11" s="103"/>
      <c r="H11" s="102"/>
    </row>
    <row r="12" spans="1:36" x14ac:dyDescent="0.2">
      <c r="A12" s="103"/>
      <c r="B12" s="103"/>
      <c r="C12" s="103"/>
      <c r="G12" s="103"/>
      <c r="H12" s="102"/>
    </row>
    <row r="13" spans="1:36" x14ac:dyDescent="0.2">
      <c r="A13" s="103"/>
      <c r="B13" s="103"/>
      <c r="C13" s="103"/>
      <c r="G13" s="103"/>
      <c r="H13" s="102"/>
    </row>
    <row r="14" spans="1:36" x14ac:dyDescent="0.2">
      <c r="A14" s="103"/>
      <c r="B14" s="103"/>
      <c r="C14" s="103"/>
      <c r="G14" s="103"/>
      <c r="H14" s="102"/>
    </row>
    <row r="15" spans="1:36" x14ac:dyDescent="0.2">
      <c r="A15" s="103"/>
      <c r="B15" s="103"/>
      <c r="C15" s="103"/>
      <c r="G15" s="103"/>
      <c r="H15" s="102"/>
    </row>
    <row r="16" spans="1:36" x14ac:dyDescent="0.2">
      <c r="A16" s="103"/>
      <c r="B16" s="103"/>
      <c r="C16" s="103"/>
      <c r="G16" s="103"/>
      <c r="H16" s="102"/>
    </row>
    <row r="17" spans="1:7" x14ac:dyDescent="0.2">
      <c r="A17" s="103"/>
      <c r="B17" s="103"/>
      <c r="C17" s="103"/>
      <c r="G17" s="103"/>
    </row>
    <row r="18" spans="1:7" x14ac:dyDescent="0.2">
      <c r="A18" s="103"/>
      <c r="B18" s="103"/>
      <c r="C18" s="103"/>
      <c r="G18" s="103"/>
    </row>
    <row r="19" spans="1:7" x14ac:dyDescent="0.2">
      <c r="A19" s="103"/>
      <c r="B19" s="103"/>
      <c r="C19" s="103"/>
      <c r="G19" s="103"/>
    </row>
    <row r="20" spans="1:7" x14ac:dyDescent="0.2">
      <c r="A20" s="102"/>
      <c r="B20" s="102"/>
      <c r="C20" s="103"/>
      <c r="G20" s="102"/>
    </row>
    <row r="21" spans="1:7" x14ac:dyDescent="0.2">
      <c r="A21" s="102"/>
      <c r="B21" s="102"/>
      <c r="C21"/>
      <c r="G21" s="102"/>
    </row>
    <row r="22" spans="1:7" x14ac:dyDescent="0.2">
      <c r="A22" s="102"/>
      <c r="B22" s="102"/>
      <c r="C22"/>
      <c r="G22" s="102"/>
    </row>
    <row r="23" spans="1:7" x14ac:dyDescent="0.2">
      <c r="A23" s="102"/>
      <c r="B23" s="102"/>
      <c r="C23"/>
      <c r="G23" s="102"/>
    </row>
    <row r="24" spans="1:7" x14ac:dyDescent="0.2">
      <c r="A24" s="102"/>
      <c r="B24" s="102"/>
      <c r="C24"/>
      <c r="G24" s="102"/>
    </row>
    <row r="25" spans="1:7" x14ac:dyDescent="0.2">
      <c r="A25" s="102"/>
      <c r="B25" s="102"/>
      <c r="C25"/>
      <c r="G25" s="102"/>
    </row>
    <row r="26" spans="1:7" x14ac:dyDescent="0.2">
      <c r="A26" s="102"/>
      <c r="B26" s="102"/>
      <c r="C26"/>
      <c r="G26" s="102"/>
    </row>
    <row r="27" spans="1:7" x14ac:dyDescent="0.2">
      <c r="A27" s="102"/>
      <c r="B27" s="102"/>
      <c r="C27"/>
      <c r="G27" s="102"/>
    </row>
  </sheetData>
  <sheetProtection formatColumns="0"/>
  <mergeCells count="1">
    <mergeCell ref="A3:G3"/>
  </mergeCells>
  <dataValidations count="1">
    <dataValidation type="list" allowBlank="1" showInputMessage="1" showErrorMessage="1" sqref="C2 C4:C20" xr:uid="{00000000-0002-0000-0F00-000000000000}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G2" sqref="G2"/>
    </sheetView>
  </sheetViews>
  <sheetFormatPr defaultRowHeight="14.25" x14ac:dyDescent="0.2"/>
  <cols>
    <col min="1" max="1" width="11.2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0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83</v>
      </c>
      <c r="M1" s="168" t="s">
        <v>56</v>
      </c>
      <c r="N1" s="168" t="s">
        <v>97</v>
      </c>
      <c r="O1" s="168" t="s">
        <v>71</v>
      </c>
      <c r="P1" s="168" t="s">
        <v>58</v>
      </c>
      <c r="Q1" s="168" t="s">
        <v>84</v>
      </c>
      <c r="R1" s="168" t="s">
        <v>59</v>
      </c>
      <c r="S1" s="168" t="s">
        <v>72</v>
      </c>
      <c r="T1" s="168" t="s">
        <v>98</v>
      </c>
      <c r="U1" s="168" t="s">
        <v>85</v>
      </c>
      <c r="V1" s="168" t="s">
        <v>73</v>
      </c>
      <c r="W1" s="168" t="s">
        <v>62</v>
      </c>
      <c r="X1" s="168" t="s">
        <v>74</v>
      </c>
      <c r="Y1" s="168" t="s">
        <v>86</v>
      </c>
      <c r="Z1" s="168" t="s">
        <v>87</v>
      </c>
      <c r="AA1" s="168" t="s">
        <v>103</v>
      </c>
      <c r="AB1" s="168" t="s">
        <v>104</v>
      </c>
      <c r="AC1" s="168" t="s">
        <v>105</v>
      </c>
      <c r="AD1" s="168" t="s">
        <v>106</v>
      </c>
      <c r="AE1" s="168" t="s">
        <v>107</v>
      </c>
      <c r="AF1" s="168" t="s">
        <v>76</v>
      </c>
      <c r="AG1" s="168" t="s">
        <v>61</v>
      </c>
      <c r="AH1" s="168" t="s">
        <v>77</v>
      </c>
      <c r="AI1" s="168" t="s">
        <v>63</v>
      </c>
      <c r="AJ1" s="168" t="s">
        <v>78</v>
      </c>
      <c r="AK1" s="168" t="s">
        <v>88</v>
      </c>
      <c r="AL1" s="168" t="s">
        <v>17</v>
      </c>
      <c r="AM1" s="168" t="s">
        <v>64</v>
      </c>
      <c r="AN1" s="168" t="s">
        <v>65</v>
      </c>
    </row>
    <row r="2" spans="1:40" x14ac:dyDescent="0.2">
      <c r="A2" t="s">
        <v>1204</v>
      </c>
      <c r="B2" t="s">
        <v>1204</v>
      </c>
      <c r="C2" s="103"/>
      <c r="D2" s="103"/>
      <c r="E2" s="16"/>
      <c r="F2" s="103"/>
      <c r="G2" s="103"/>
      <c r="H2" s="16"/>
      <c r="I2" s="103"/>
      <c r="J2" s="16"/>
      <c r="K2" s="16"/>
      <c r="L2" s="103"/>
      <c r="M2" s="103"/>
      <c r="N2" s="103"/>
      <c r="O2" s="103"/>
      <c r="P2" s="103"/>
      <c r="Q2" s="103"/>
      <c r="R2" s="16"/>
      <c r="S2" s="103"/>
      <c r="T2" s="103"/>
      <c r="U2" s="103"/>
      <c r="V2" s="103"/>
      <c r="W2" s="103"/>
      <c r="X2" s="103"/>
      <c r="Y2" s="16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K2" s="103"/>
      <c r="AL2" s="103"/>
    </row>
    <row r="3" spans="1:40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03"/>
      <c r="AL3" s="103"/>
    </row>
    <row r="4" spans="1:40" x14ac:dyDescent="0.2">
      <c r="A4" s="103"/>
      <c r="B4" s="103"/>
      <c r="C4" s="103"/>
      <c r="D4" s="103"/>
      <c r="E4" s="16"/>
      <c r="F4" s="103"/>
      <c r="G4" s="103"/>
      <c r="H4" s="16"/>
      <c r="I4" s="103"/>
      <c r="J4" s="16"/>
      <c r="K4" s="16"/>
      <c r="L4" s="103"/>
      <c r="M4" s="103"/>
      <c r="N4" s="103"/>
      <c r="O4" s="103"/>
      <c r="P4" s="103"/>
      <c r="Q4" s="103"/>
      <c r="R4" s="16"/>
      <c r="S4" s="103"/>
      <c r="T4" s="103"/>
      <c r="U4" s="103"/>
      <c r="V4" s="103"/>
      <c r="W4" s="103"/>
      <c r="X4" s="103"/>
      <c r="Y4" s="16"/>
      <c r="Z4" s="16"/>
      <c r="AA4" s="103"/>
      <c r="AB4" s="103"/>
      <c r="AD4" s="103"/>
      <c r="AE4" s="103"/>
      <c r="AF4" s="103"/>
      <c r="AG4" s="103"/>
      <c r="AH4" s="103"/>
      <c r="AI4" s="103"/>
      <c r="AK4" s="103"/>
      <c r="AL4" s="103"/>
    </row>
    <row r="5" spans="1:40" x14ac:dyDescent="0.2">
      <c r="A5" s="103"/>
      <c r="B5" s="103"/>
      <c r="C5" s="103"/>
      <c r="D5" s="103"/>
      <c r="E5" s="16"/>
      <c r="F5" s="103"/>
      <c r="G5" s="103"/>
      <c r="H5" s="16"/>
      <c r="I5" s="103"/>
      <c r="J5" s="16"/>
      <c r="K5" s="16"/>
      <c r="L5" s="103"/>
      <c r="M5" s="103"/>
      <c r="N5" s="103"/>
      <c r="O5" s="103"/>
      <c r="P5" s="103"/>
      <c r="Q5" s="103"/>
      <c r="R5" s="16"/>
      <c r="S5" s="103"/>
      <c r="T5" s="103"/>
      <c r="U5" s="103"/>
      <c r="V5" s="103"/>
      <c r="W5" s="103"/>
      <c r="X5" s="103"/>
      <c r="Y5" s="16"/>
      <c r="Z5" s="16"/>
      <c r="AA5" s="103"/>
      <c r="AB5" s="103"/>
      <c r="AD5" s="103"/>
      <c r="AE5" s="103"/>
      <c r="AF5" s="103"/>
      <c r="AG5" s="103"/>
      <c r="AH5" s="103"/>
      <c r="AI5" s="103"/>
      <c r="AK5" s="103"/>
      <c r="AL5" s="103"/>
    </row>
    <row r="6" spans="1:40" x14ac:dyDescent="0.2">
      <c r="A6" s="103"/>
      <c r="B6" s="103"/>
      <c r="C6" s="103"/>
      <c r="D6" s="103"/>
      <c r="E6" s="16"/>
      <c r="F6" s="103"/>
      <c r="G6" s="103"/>
      <c r="H6" s="16"/>
      <c r="I6" s="103"/>
      <c r="J6" s="16"/>
      <c r="K6" s="16"/>
      <c r="L6" s="103"/>
      <c r="M6" s="103"/>
      <c r="N6" s="103"/>
      <c r="O6" s="103"/>
      <c r="P6" s="103"/>
      <c r="Q6" s="103"/>
      <c r="R6" s="16"/>
      <c r="S6" s="103"/>
      <c r="T6" s="103"/>
      <c r="U6" s="103"/>
      <c r="V6" s="103"/>
      <c r="W6" s="103"/>
      <c r="X6" s="103"/>
      <c r="Y6" s="16"/>
      <c r="Z6" s="16"/>
      <c r="AA6" s="103"/>
      <c r="AB6" s="103"/>
      <c r="AD6" s="103"/>
      <c r="AE6" s="103"/>
      <c r="AF6" s="103"/>
      <c r="AG6" s="103"/>
      <c r="AH6" s="103"/>
      <c r="AI6" s="103"/>
      <c r="AK6" s="103"/>
      <c r="AL6" s="103"/>
    </row>
    <row r="7" spans="1:40" x14ac:dyDescent="0.2">
      <c r="A7" s="103"/>
      <c r="B7" s="103"/>
      <c r="C7" s="103"/>
      <c r="D7" s="103"/>
      <c r="E7" s="16"/>
      <c r="F7" s="103"/>
      <c r="G7" s="103"/>
      <c r="H7" s="16"/>
      <c r="I7" s="103"/>
      <c r="J7" s="16"/>
      <c r="K7" s="16"/>
      <c r="L7" s="103"/>
      <c r="M7" s="103"/>
      <c r="N7" s="103"/>
      <c r="O7" s="103"/>
      <c r="P7" s="103"/>
      <c r="Q7" s="103"/>
      <c r="R7" s="16"/>
      <c r="S7" s="103"/>
      <c r="T7" s="103"/>
      <c r="U7" s="103"/>
      <c r="V7" s="103"/>
      <c r="W7" s="103"/>
      <c r="X7" s="103"/>
      <c r="Y7" s="16"/>
      <c r="Z7" s="16"/>
      <c r="AA7" s="103"/>
      <c r="AB7" s="103"/>
      <c r="AD7" s="103"/>
      <c r="AE7" s="103"/>
      <c r="AF7" s="103"/>
      <c r="AG7" s="103"/>
      <c r="AH7" s="103"/>
      <c r="AI7" s="103"/>
      <c r="AK7" s="103"/>
      <c r="AL7" s="103"/>
    </row>
    <row r="8" spans="1:40" x14ac:dyDescent="0.2">
      <c r="A8" s="103"/>
      <c r="B8" s="103"/>
      <c r="C8" s="103"/>
      <c r="D8" s="103"/>
      <c r="E8" s="16"/>
      <c r="F8" s="103"/>
      <c r="G8" s="103"/>
      <c r="H8" s="16"/>
      <c r="I8" s="103"/>
      <c r="J8" s="16"/>
      <c r="K8" s="16"/>
      <c r="L8" s="103"/>
      <c r="M8" s="103"/>
      <c r="N8" s="103"/>
      <c r="O8" s="103"/>
      <c r="P8" s="103"/>
      <c r="Q8" s="103"/>
      <c r="R8" s="16"/>
      <c r="S8" s="103"/>
      <c r="T8" s="103"/>
      <c r="U8" s="103"/>
      <c r="V8" s="103"/>
      <c r="W8" s="103"/>
      <c r="X8" s="103"/>
      <c r="Y8" s="16"/>
      <c r="Z8" s="16"/>
      <c r="AA8" s="103"/>
      <c r="AB8" s="103"/>
      <c r="AD8" s="103"/>
      <c r="AE8" s="103"/>
      <c r="AF8" s="103"/>
      <c r="AG8" s="103"/>
      <c r="AH8" s="103"/>
      <c r="AI8" s="103"/>
      <c r="AK8" s="103"/>
      <c r="AL8" s="103"/>
    </row>
    <row r="9" spans="1:40" x14ac:dyDescent="0.2">
      <c r="A9" s="103"/>
      <c r="B9" s="103"/>
      <c r="C9" s="103"/>
      <c r="D9" s="103"/>
      <c r="E9" s="16"/>
      <c r="F9" s="103"/>
      <c r="G9" s="103"/>
      <c r="H9" s="16"/>
      <c r="I9" s="103"/>
      <c r="J9" s="16"/>
      <c r="K9" s="16"/>
      <c r="L9" s="103"/>
      <c r="M9" s="103"/>
      <c r="N9" s="103"/>
      <c r="O9" s="103"/>
      <c r="P9" s="103"/>
      <c r="Q9" s="103"/>
      <c r="R9" s="16"/>
      <c r="S9" s="103"/>
      <c r="T9" s="103"/>
      <c r="U9" s="103"/>
      <c r="V9" s="103"/>
      <c r="W9" s="103"/>
      <c r="X9" s="103"/>
      <c r="Y9" s="16"/>
      <c r="Z9" s="16"/>
      <c r="AA9" s="103"/>
      <c r="AB9" s="103"/>
      <c r="AD9" s="103"/>
      <c r="AE9" s="103"/>
      <c r="AF9" s="103"/>
      <c r="AG9" s="103"/>
      <c r="AH9" s="103"/>
      <c r="AL9" s="103"/>
    </row>
    <row r="10" spans="1:40" x14ac:dyDescent="0.2">
      <c r="A10" s="103"/>
      <c r="B10" s="103"/>
      <c r="C10" s="103"/>
      <c r="D10" s="103"/>
      <c r="E10" s="16"/>
      <c r="F10" s="103"/>
      <c r="G10" s="103"/>
      <c r="H10" s="16"/>
      <c r="I10" s="103"/>
      <c r="J10" s="16"/>
      <c r="K10" s="16"/>
      <c r="L10" s="103"/>
      <c r="M10" s="103"/>
      <c r="N10" s="103"/>
      <c r="O10" s="103"/>
      <c r="P10" s="103"/>
      <c r="Q10" s="103"/>
      <c r="R10" s="16"/>
      <c r="S10" s="103"/>
      <c r="T10" s="103"/>
      <c r="U10" s="103"/>
      <c r="V10" s="103"/>
      <c r="W10" s="103"/>
      <c r="X10" s="103"/>
      <c r="Y10" s="16"/>
      <c r="Z10" s="16"/>
      <c r="AA10" s="103"/>
      <c r="AB10" s="103"/>
      <c r="AD10" s="103"/>
      <c r="AE10" s="103"/>
      <c r="AF10" s="103"/>
      <c r="AG10" s="103"/>
      <c r="AH10" s="103"/>
      <c r="AL10" s="103"/>
    </row>
    <row r="11" spans="1:40" x14ac:dyDescent="0.2">
      <c r="A11" s="103"/>
      <c r="B11" s="103"/>
      <c r="C11" s="103"/>
      <c r="D11" s="103"/>
      <c r="E11" s="16"/>
      <c r="F11" s="103"/>
      <c r="G11" s="103"/>
      <c r="H11" s="16"/>
      <c r="I11" s="103"/>
      <c r="J11" s="16"/>
      <c r="K11" s="16"/>
      <c r="L11" s="103"/>
      <c r="M11" s="103"/>
      <c r="N11" s="103"/>
      <c r="O11" s="103"/>
      <c r="P11" s="103"/>
      <c r="Q11" s="103"/>
      <c r="R11" s="16"/>
      <c r="S11" s="103"/>
      <c r="T11" s="103"/>
      <c r="U11" s="103"/>
      <c r="V11" s="103"/>
      <c r="W11" s="103"/>
      <c r="X11" s="103"/>
      <c r="Y11" s="16"/>
      <c r="Z11" s="16"/>
      <c r="AA11" s="103"/>
      <c r="AB11" s="103"/>
      <c r="AD11" s="103"/>
      <c r="AE11" s="103"/>
      <c r="AF11" s="103"/>
      <c r="AG11" s="103"/>
      <c r="AH11" s="103"/>
      <c r="AI11" s="103"/>
      <c r="AK11" s="103"/>
      <c r="AL11" s="103"/>
    </row>
    <row r="12" spans="1:40" x14ac:dyDescent="0.2">
      <c r="A12" s="103"/>
      <c r="B12" s="103"/>
      <c r="C12" s="103"/>
      <c r="D12" s="103"/>
      <c r="E12" s="16"/>
      <c r="F12" s="103"/>
      <c r="G12" s="103"/>
      <c r="H12" s="16"/>
      <c r="I12" s="103"/>
      <c r="J12" s="16"/>
      <c r="K12" s="16"/>
      <c r="L12" s="103"/>
      <c r="M12" s="103"/>
      <c r="N12" s="103"/>
      <c r="O12" s="103"/>
      <c r="P12" s="103"/>
      <c r="Q12" s="103"/>
      <c r="R12" s="16"/>
      <c r="S12" s="103"/>
      <c r="T12" s="103"/>
      <c r="U12" s="103"/>
      <c r="V12" s="103"/>
      <c r="W12" s="103"/>
      <c r="X12" s="103"/>
      <c r="Y12" s="16"/>
      <c r="Z12" s="16"/>
      <c r="AA12" s="103"/>
      <c r="AB12" s="103"/>
      <c r="AD12" s="103"/>
      <c r="AE12" s="103"/>
      <c r="AF12" s="103"/>
      <c r="AG12" s="103"/>
      <c r="AH12" s="103"/>
      <c r="AI12" s="103"/>
      <c r="AK12" s="103"/>
      <c r="AL12" s="103"/>
    </row>
    <row r="13" spans="1:40" x14ac:dyDescent="0.2">
      <c r="A13" s="103"/>
      <c r="B13" s="103"/>
      <c r="C13" s="103"/>
      <c r="D13" s="103"/>
      <c r="E13" s="16"/>
      <c r="F13" s="103"/>
      <c r="G13" s="103"/>
      <c r="H13" s="16"/>
      <c r="I13" s="103"/>
      <c r="J13" s="16"/>
      <c r="K13" s="16"/>
      <c r="L13" s="103"/>
      <c r="M13" s="103"/>
      <c r="N13" s="103"/>
      <c r="O13" s="103"/>
      <c r="P13" s="103"/>
      <c r="Q13" s="103"/>
      <c r="R13" s="16"/>
      <c r="S13" s="103"/>
      <c r="T13" s="103"/>
      <c r="U13" s="103"/>
      <c r="V13" s="103"/>
      <c r="W13" s="103"/>
      <c r="X13" s="103"/>
      <c r="Y13" s="16"/>
      <c r="Z13" s="16"/>
      <c r="AA13" s="103"/>
      <c r="AB13" s="103"/>
      <c r="AD13" s="103"/>
      <c r="AE13" s="103"/>
      <c r="AF13" s="103"/>
      <c r="AG13" s="103"/>
      <c r="AH13" s="103"/>
      <c r="AI13" s="103"/>
      <c r="AK13" s="103"/>
      <c r="AL13" s="103"/>
    </row>
    <row r="14" spans="1:40" x14ac:dyDescent="0.2">
      <c r="A14" s="103"/>
      <c r="B14" s="103"/>
      <c r="C14" s="103"/>
      <c r="D14" s="103"/>
      <c r="E14" s="16"/>
      <c r="F14" s="103"/>
      <c r="G14" s="103"/>
      <c r="H14" s="16"/>
      <c r="I14" s="103"/>
      <c r="J14" s="16"/>
      <c r="K14" s="16"/>
      <c r="L14" s="103"/>
      <c r="M14" s="103"/>
      <c r="N14" s="103"/>
      <c r="O14" s="103"/>
      <c r="P14" s="103"/>
      <c r="Q14" s="103"/>
      <c r="R14" s="16"/>
      <c r="S14" s="103"/>
      <c r="T14" s="103"/>
      <c r="U14" s="103"/>
      <c r="V14" s="103"/>
      <c r="W14" s="103"/>
      <c r="X14" s="103"/>
      <c r="Y14" s="16"/>
      <c r="Z14" s="16"/>
      <c r="AA14" s="103"/>
      <c r="AB14" s="103"/>
      <c r="AD14" s="103"/>
      <c r="AE14" s="103"/>
      <c r="AF14" s="103"/>
      <c r="AG14" s="103"/>
      <c r="AH14" s="103"/>
      <c r="AI14" s="103"/>
      <c r="AK14" s="103"/>
      <c r="AL14" s="103"/>
    </row>
    <row r="15" spans="1:40" x14ac:dyDescent="0.2">
      <c r="A15" s="103"/>
      <c r="B15" s="103"/>
      <c r="C15" s="103"/>
      <c r="D15" s="103"/>
      <c r="E15" s="16"/>
      <c r="F15" s="103"/>
      <c r="G15" s="103"/>
      <c r="H15" s="16"/>
      <c r="I15" s="103"/>
      <c r="J15" s="16"/>
      <c r="K15" s="16"/>
      <c r="L15" s="103"/>
      <c r="M15" s="103"/>
      <c r="N15" s="103"/>
      <c r="O15" s="103"/>
      <c r="P15" s="103"/>
      <c r="Q15" s="103"/>
      <c r="R15" s="16"/>
      <c r="S15" s="103"/>
      <c r="T15" s="103"/>
      <c r="U15" s="103"/>
      <c r="V15" s="103"/>
      <c r="W15" s="103"/>
      <c r="X15" s="103"/>
      <c r="Y15" s="16"/>
      <c r="Z15" s="16"/>
      <c r="AA15" s="103"/>
      <c r="AB15" s="103"/>
      <c r="AD15" s="103"/>
      <c r="AE15" s="103"/>
      <c r="AF15" s="103"/>
      <c r="AG15" s="103"/>
      <c r="AH15" s="103"/>
      <c r="AI15" s="103"/>
      <c r="AK15" s="103"/>
      <c r="AL15" s="103"/>
    </row>
    <row r="16" spans="1:40" x14ac:dyDescent="0.2">
      <c r="A16" s="103"/>
      <c r="B16" s="103"/>
      <c r="C16" s="103"/>
      <c r="D16" s="103"/>
      <c r="E16" s="16"/>
      <c r="F16" s="103"/>
      <c r="G16" s="103"/>
      <c r="H16" s="16"/>
      <c r="I16" s="103"/>
      <c r="J16" s="16"/>
      <c r="K16" s="16"/>
      <c r="L16" s="103"/>
      <c r="M16" s="103"/>
      <c r="N16" s="103"/>
      <c r="O16" s="103"/>
      <c r="P16" s="103"/>
      <c r="Q16" s="103"/>
      <c r="R16" s="16"/>
      <c r="S16" s="103"/>
      <c r="T16" s="103"/>
      <c r="U16" s="103"/>
      <c r="V16" s="103"/>
      <c r="W16" s="103"/>
      <c r="X16" s="103"/>
      <c r="Y16" s="16"/>
      <c r="Z16" s="16"/>
      <c r="AA16" s="103"/>
      <c r="AB16" s="103"/>
      <c r="AD16" s="103"/>
      <c r="AE16" s="103"/>
      <c r="AF16" s="103"/>
      <c r="AG16" s="103"/>
      <c r="AH16" s="103"/>
      <c r="AI16" s="103"/>
      <c r="AK16" s="103"/>
      <c r="AL16" s="103"/>
    </row>
    <row r="17" spans="1:38" x14ac:dyDescent="0.2">
      <c r="A17" s="103"/>
      <c r="B17" s="103"/>
      <c r="C17" s="103"/>
      <c r="D17" s="103"/>
      <c r="E17" s="16"/>
      <c r="F17" s="103"/>
      <c r="G17" s="103"/>
      <c r="H17" s="16"/>
      <c r="I17" s="103"/>
      <c r="J17" s="16"/>
      <c r="K17" s="16"/>
      <c r="L17" s="103"/>
      <c r="M17" s="103"/>
      <c r="N17" s="103"/>
      <c r="O17" s="103"/>
      <c r="P17" s="103"/>
      <c r="Q17" s="103"/>
      <c r="R17" s="16"/>
      <c r="S17" s="103"/>
      <c r="T17" s="103"/>
      <c r="U17" s="103"/>
      <c r="V17" s="103"/>
      <c r="W17" s="103"/>
      <c r="X17" s="103"/>
      <c r="Y17" s="16"/>
      <c r="Z17" s="16"/>
      <c r="AA17" s="103"/>
      <c r="AB17" s="103"/>
      <c r="AD17" s="103"/>
      <c r="AE17" s="103"/>
      <c r="AF17" s="103"/>
      <c r="AG17" s="103"/>
      <c r="AH17" s="103"/>
      <c r="AI17" s="103"/>
      <c r="AK17" s="103"/>
      <c r="AL17" s="103"/>
    </row>
    <row r="18" spans="1:38" x14ac:dyDescent="0.2">
      <c r="A18" s="103"/>
      <c r="B18" s="103"/>
      <c r="C18" s="103"/>
      <c r="D18" s="103"/>
      <c r="E18" s="16"/>
      <c r="F18" s="103"/>
      <c r="G18" s="103"/>
      <c r="H18" s="16"/>
      <c r="I18" s="103"/>
      <c r="J18" s="16"/>
      <c r="K18" s="16"/>
      <c r="L18" s="103"/>
      <c r="M18" s="103"/>
      <c r="N18" s="103"/>
      <c r="O18" s="103"/>
      <c r="P18" s="103"/>
      <c r="Q18" s="103"/>
      <c r="R18" s="16"/>
      <c r="S18" s="103"/>
      <c r="T18" s="103"/>
      <c r="U18" s="103"/>
      <c r="V18" s="103"/>
      <c r="W18" s="103"/>
      <c r="X18" s="103"/>
      <c r="Y18" s="16"/>
      <c r="Z18" s="16"/>
      <c r="AA18" s="103"/>
      <c r="AB18" s="103"/>
      <c r="AD18" s="103"/>
      <c r="AE18" s="103"/>
      <c r="AF18" s="103"/>
      <c r="AG18" s="103"/>
      <c r="AH18" s="103"/>
      <c r="AI18" s="103"/>
      <c r="AK18" s="103"/>
      <c r="AL18" s="103"/>
    </row>
    <row r="19" spans="1:38" x14ac:dyDescent="0.2">
      <c r="A19" s="103"/>
      <c r="B19" s="103"/>
      <c r="C19" s="103"/>
      <c r="D19" s="103"/>
      <c r="E19" s="16"/>
      <c r="F19" s="103"/>
      <c r="G19" s="103"/>
      <c r="H19" s="16"/>
      <c r="I19" s="103"/>
      <c r="J19" s="16"/>
      <c r="K19" s="16"/>
      <c r="L19" s="103"/>
      <c r="M19" s="103"/>
      <c r="N19" s="103"/>
      <c r="O19" s="103"/>
      <c r="P19" s="103"/>
      <c r="Q19" s="103"/>
      <c r="R19" s="16"/>
      <c r="S19" s="103"/>
      <c r="T19" s="103"/>
      <c r="U19" s="103"/>
      <c r="V19" s="103"/>
      <c r="W19" s="103"/>
      <c r="X19" s="103"/>
      <c r="Y19" s="16"/>
      <c r="Z19" s="16"/>
      <c r="AA19" s="103"/>
      <c r="AB19" s="103"/>
      <c r="AD19" s="103"/>
      <c r="AE19" s="103"/>
      <c r="AF19" s="103"/>
      <c r="AG19" s="103"/>
      <c r="AH19" s="103"/>
      <c r="AI19" s="103"/>
      <c r="AK19" s="103"/>
      <c r="AL19" s="103"/>
    </row>
    <row r="20" spans="1:38" x14ac:dyDescent="0.2">
      <c r="E20" s="16"/>
      <c r="H20" s="16"/>
      <c r="I20" s="103"/>
      <c r="J20" s="16"/>
      <c r="K20" s="16"/>
      <c r="L20" s="103"/>
      <c r="M20" s="103"/>
      <c r="P20" s="103"/>
      <c r="Q20" s="103"/>
      <c r="T20" s="103"/>
      <c r="U20" s="103"/>
      <c r="Y20" s="16"/>
      <c r="Z20" s="16"/>
      <c r="AA20" s="103"/>
      <c r="AB20" s="103"/>
      <c r="AL20" s="103"/>
    </row>
    <row r="21" spans="1:38" x14ac:dyDescent="0.2">
      <c r="E21"/>
      <c r="L21"/>
      <c r="Z21"/>
      <c r="AL21" s="102"/>
    </row>
    <row r="22" spans="1:38" x14ac:dyDescent="0.2">
      <c r="L22" s="102"/>
      <c r="T22" s="102"/>
      <c r="U22" s="102"/>
      <c r="AL22" s="102"/>
    </row>
    <row r="23" spans="1:38" x14ac:dyDescent="0.2">
      <c r="L23" s="102"/>
      <c r="T23" s="102"/>
      <c r="U23" s="102"/>
    </row>
    <row r="24" spans="1:38" x14ac:dyDescent="0.2">
      <c r="L24" s="102"/>
      <c r="T24" s="102"/>
      <c r="U24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16">
    <dataValidation type="list" allowBlank="1" showInputMessage="1" showErrorMessage="1" sqref="J2 J4:J20" xr:uid="{00000000-0002-0000-1000-000000000000}">
      <formula1>israel_abroad</formula1>
    </dataValidation>
    <dataValidation type="list" allowBlank="1" showInputMessage="1" showErrorMessage="1" sqref="Q2 Q4:Q20" xr:uid="{00000000-0002-0000-1000-000001000000}">
      <formula1>What_is_rated</formula1>
    </dataValidation>
    <dataValidation type="list" allowBlank="1" showInputMessage="1" showErrorMessage="1" sqref="P2 P4:P20" xr:uid="{00000000-0002-0000-1000-000002000000}">
      <formula1>Rating_Agency</formula1>
    </dataValidation>
    <dataValidation type="list" allowBlank="1" showInputMessage="1" showErrorMessage="1" sqref="M2 M4:M20" xr:uid="{00000000-0002-0000-1000-000003000000}">
      <formula1>Holding_interest</formula1>
    </dataValidation>
    <dataValidation type="list" allowBlank="1" showInputMessage="1" showErrorMessage="1" sqref="K2 K4:K20" xr:uid="{00000000-0002-0000-1000-000004000000}">
      <formula1>Country_list</formula1>
    </dataValidation>
    <dataValidation type="list" allowBlank="1" showInputMessage="1" showErrorMessage="1" sqref="AA4:AA20 AA2" xr:uid="{00000000-0002-0000-1000-000005000000}">
      <formula1>Valuation</formula1>
    </dataValidation>
    <dataValidation type="list" allowBlank="1" showInputMessage="1" showErrorMessage="1" sqref="AB2 AB4:AB20" xr:uid="{00000000-0002-0000-1000-000006000000}">
      <formula1>Dependence_Independence</formula1>
    </dataValidation>
    <dataValidation type="list" allowBlank="1" showInputMessage="1" showErrorMessage="1" sqref="U2 U4:U20" xr:uid="{00000000-0002-0000-1000-000007000000}">
      <formula1>Underlying_Interest_Rates</formula1>
    </dataValidation>
    <dataValidation type="list" allowBlank="1" showInputMessage="1" showErrorMessage="1" sqref="T2 T4:T20" xr:uid="{00000000-0002-0000-1000-000008000000}">
      <formula1>Linked_Type</formula1>
    </dataValidation>
    <dataValidation type="list" allowBlank="1" showInputMessage="1" showErrorMessage="1" sqref="Z2 Z4:Z20" xr:uid="{00000000-0002-0000-1000-000009000000}">
      <formula1>Yes_No_Bad_Debt</formula1>
    </dataValidation>
    <dataValidation type="list" allowBlank="1" showInputMessage="1" showErrorMessage="1" sqref="E4:E20" xr:uid="{00000000-0002-0000-1000-00000A000000}">
      <formula1>Issuer_Number_Type_2</formula1>
    </dataValidation>
    <dataValidation type="list" allowBlank="1" showInputMessage="1" showErrorMessage="1" sqref="H2 H4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 Y4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 L4:L20" xr:uid="{00000000-0002-0000-1000-00000F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 I4:I20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I6" sqref="I6"/>
    </sheetView>
  </sheetViews>
  <sheetFormatPr defaultColWidth="9" defaultRowHeight="14.25" x14ac:dyDescent="0.2"/>
  <cols>
    <col min="1" max="1" width="12.12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625" style="2" customWidth="1"/>
    <col min="17" max="17" width="13.375" style="2" bestFit="1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8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89</v>
      </c>
      <c r="M1" s="168" t="s">
        <v>83</v>
      </c>
      <c r="N1" s="168" t="s">
        <v>56</v>
      </c>
      <c r="O1" s="168" t="s">
        <v>97</v>
      </c>
      <c r="P1" s="168" t="s">
        <v>71</v>
      </c>
      <c r="Q1" s="168" t="s">
        <v>58</v>
      </c>
      <c r="R1" s="168" t="s">
        <v>84</v>
      </c>
      <c r="S1" s="168" t="s">
        <v>59</v>
      </c>
      <c r="T1" s="168" t="s">
        <v>72</v>
      </c>
      <c r="U1" s="168" t="s">
        <v>73</v>
      </c>
      <c r="V1" s="168" t="s">
        <v>74</v>
      </c>
      <c r="W1" s="168" t="s">
        <v>62</v>
      </c>
      <c r="X1" s="168" t="s">
        <v>86</v>
      </c>
      <c r="Y1" s="168" t="s">
        <v>87</v>
      </c>
      <c r="Z1" s="168" t="s">
        <v>103</v>
      </c>
      <c r="AA1" s="168" t="s">
        <v>104</v>
      </c>
      <c r="AB1" s="168" t="s">
        <v>106</v>
      </c>
      <c r="AC1" s="168" t="s">
        <v>107</v>
      </c>
      <c r="AD1" s="168" t="s">
        <v>76</v>
      </c>
      <c r="AE1" s="168" t="s">
        <v>61</v>
      </c>
      <c r="AF1" s="168" t="s">
        <v>77</v>
      </c>
      <c r="AG1" s="168" t="s">
        <v>63</v>
      </c>
      <c r="AH1" s="168" t="s">
        <v>78</v>
      </c>
      <c r="AI1" s="168" t="s">
        <v>88</v>
      </c>
      <c r="AJ1" s="168" t="s">
        <v>17</v>
      </c>
      <c r="AK1" s="168" t="s">
        <v>64</v>
      </c>
      <c r="AL1" s="168" t="s">
        <v>65</v>
      </c>
    </row>
    <row r="2" spans="1:38" x14ac:dyDescent="0.2">
      <c r="A2" t="s">
        <v>1204</v>
      </c>
      <c r="B2" t="s">
        <v>1204</v>
      </c>
      <c r="C2" t="s">
        <v>1243</v>
      </c>
      <c r="D2" t="s">
        <v>1244</v>
      </c>
      <c r="E2" t="s">
        <v>80</v>
      </c>
      <c r="F2" t="s">
        <v>2150</v>
      </c>
      <c r="G2" t="s">
        <v>2151</v>
      </c>
      <c r="H2" t="s">
        <v>312</v>
      </c>
      <c r="I2" t="s">
        <v>754</v>
      </c>
      <c r="J2" t="s">
        <v>204</v>
      </c>
      <c r="K2" t="s">
        <v>204</v>
      </c>
      <c r="L2" t="s">
        <v>327</v>
      </c>
      <c r="M2" t="s">
        <v>2405</v>
      </c>
      <c r="N2" t="s">
        <v>339</v>
      </c>
      <c r="O2" t="s">
        <v>2152</v>
      </c>
      <c r="P2" t="s">
        <v>1207</v>
      </c>
      <c r="Q2" t="s">
        <v>413</v>
      </c>
      <c r="R2" t="s">
        <v>407</v>
      </c>
      <c r="S2" t="s">
        <v>1208</v>
      </c>
      <c r="T2" s="125">
        <v>9.3550000000000004</v>
      </c>
      <c r="U2" t="s">
        <v>2153</v>
      </c>
      <c r="V2" s="126">
        <v>3.1419999999999997E-2</v>
      </c>
      <c r="W2" s="126">
        <v>4.1000000000000002E-2</v>
      </c>
      <c r="X2" t="s">
        <v>412</v>
      </c>
      <c r="Y2" t="s">
        <v>339</v>
      </c>
      <c r="Z2" t="s">
        <v>886</v>
      </c>
      <c r="AA2" t="s">
        <v>889</v>
      </c>
      <c r="AB2" t="s">
        <v>2154</v>
      </c>
      <c r="AC2" t="s">
        <v>2154</v>
      </c>
      <c r="AD2" s="125">
        <v>59460160.229999997</v>
      </c>
      <c r="AE2" s="125">
        <v>1</v>
      </c>
      <c r="AF2" s="125">
        <v>132.43</v>
      </c>
      <c r="AG2" s="125">
        <v>78743.09</v>
      </c>
      <c r="AH2" s="103"/>
      <c r="AI2" s="103"/>
      <c r="AJ2" s="103"/>
      <c r="AK2" s="126">
        <v>0.47720000000000001</v>
      </c>
      <c r="AL2" s="126">
        <v>6.6699999999999997E-3</v>
      </c>
    </row>
    <row r="3" spans="1:38" x14ac:dyDescent="0.2">
      <c r="A3" t="s">
        <v>1204</v>
      </c>
      <c r="B3" t="s">
        <v>1204</v>
      </c>
      <c r="C3" t="s">
        <v>2155</v>
      </c>
      <c r="D3" t="s">
        <v>2156</v>
      </c>
      <c r="E3" t="s">
        <v>80</v>
      </c>
      <c r="F3" t="s">
        <v>2157</v>
      </c>
      <c r="G3" t="s">
        <v>2158</v>
      </c>
      <c r="H3" t="s">
        <v>312</v>
      </c>
      <c r="I3" t="s">
        <v>754</v>
      </c>
      <c r="J3" t="s">
        <v>204</v>
      </c>
      <c r="K3" t="s">
        <v>204</v>
      </c>
      <c r="L3" t="s">
        <v>327</v>
      </c>
      <c r="M3" t="s">
        <v>446</v>
      </c>
      <c r="N3" t="s">
        <v>339</v>
      </c>
      <c r="O3" t="s">
        <v>2159</v>
      </c>
      <c r="P3" t="s">
        <v>2160</v>
      </c>
      <c r="Q3" t="s">
        <v>415</v>
      </c>
      <c r="R3" t="s">
        <v>407</v>
      </c>
      <c r="S3" t="s">
        <v>1208</v>
      </c>
      <c r="T3" s="125">
        <v>4.8410000000000002</v>
      </c>
      <c r="U3" t="s">
        <v>2161</v>
      </c>
      <c r="V3" s="126">
        <v>2.3480000000000001E-2</v>
      </c>
      <c r="W3" s="126">
        <v>2.1399999999999999E-2</v>
      </c>
      <c r="X3" t="s">
        <v>412</v>
      </c>
      <c r="Y3" t="s">
        <v>339</v>
      </c>
      <c r="Z3" t="s">
        <v>886</v>
      </c>
      <c r="AA3" t="s">
        <v>889</v>
      </c>
      <c r="AB3" t="s">
        <v>2154</v>
      </c>
      <c r="AC3" t="s">
        <v>2154</v>
      </c>
      <c r="AD3" s="125">
        <v>26680000.039999999</v>
      </c>
      <c r="AE3" s="125">
        <v>1</v>
      </c>
      <c r="AF3" s="125">
        <v>116.3</v>
      </c>
      <c r="AG3" s="125">
        <v>31028.84</v>
      </c>
      <c r="AH3" s="103"/>
      <c r="AI3" s="103"/>
      <c r="AJ3" s="103"/>
      <c r="AK3" s="126">
        <v>0.18804000000000001</v>
      </c>
      <c r="AL3" s="126">
        <v>2.63E-3</v>
      </c>
    </row>
    <row r="4" spans="1:38" x14ac:dyDescent="0.2">
      <c r="A4" t="s">
        <v>1204</v>
      </c>
      <c r="B4" t="s">
        <v>1204</v>
      </c>
      <c r="C4" t="s">
        <v>1243</v>
      </c>
      <c r="D4" t="s">
        <v>1244</v>
      </c>
      <c r="E4" t="s">
        <v>80</v>
      </c>
      <c r="F4" t="s">
        <v>2162</v>
      </c>
      <c r="G4" t="s">
        <v>2163</v>
      </c>
      <c r="H4" t="s">
        <v>312</v>
      </c>
      <c r="I4" t="s">
        <v>754</v>
      </c>
      <c r="J4" t="s">
        <v>204</v>
      </c>
      <c r="K4" t="s">
        <v>204</v>
      </c>
      <c r="L4" t="s">
        <v>327</v>
      </c>
      <c r="M4" t="s">
        <v>2405</v>
      </c>
      <c r="N4" t="s">
        <v>339</v>
      </c>
      <c r="O4" t="s">
        <v>2164</v>
      </c>
      <c r="P4" t="s">
        <v>1207</v>
      </c>
      <c r="Q4" t="s">
        <v>413</v>
      </c>
      <c r="R4" t="s">
        <v>407</v>
      </c>
      <c r="S4" t="s">
        <v>1208</v>
      </c>
      <c r="T4" s="125">
        <v>5.7389999999999999</v>
      </c>
      <c r="U4" t="s">
        <v>2165</v>
      </c>
      <c r="V4" s="126">
        <v>2.6519999999999998E-2</v>
      </c>
      <c r="W4" s="126">
        <v>4.9000000000000002E-2</v>
      </c>
      <c r="X4" t="s">
        <v>412</v>
      </c>
      <c r="Y4" t="s">
        <v>339</v>
      </c>
      <c r="Z4" t="s">
        <v>886</v>
      </c>
      <c r="AA4" t="s">
        <v>889</v>
      </c>
      <c r="AB4" t="s">
        <v>2154</v>
      </c>
      <c r="AC4" t="s">
        <v>2154</v>
      </c>
      <c r="AD4" s="125">
        <v>19008432.460000001</v>
      </c>
      <c r="AE4" s="125">
        <v>1</v>
      </c>
      <c r="AF4" s="125">
        <v>157.32</v>
      </c>
      <c r="AG4" s="125">
        <v>29904.065999999999</v>
      </c>
      <c r="AH4" s="103"/>
      <c r="AI4" s="103"/>
      <c r="AJ4" s="103"/>
      <c r="AK4" s="126">
        <v>0.18123</v>
      </c>
      <c r="AL4" s="126">
        <v>2.5300000000000001E-3</v>
      </c>
    </row>
    <row r="5" spans="1:38" x14ac:dyDescent="0.2">
      <c r="A5" t="s">
        <v>1204</v>
      </c>
      <c r="B5" t="s">
        <v>1204</v>
      </c>
      <c r="C5" t="s">
        <v>2166</v>
      </c>
      <c r="D5" t="s">
        <v>2167</v>
      </c>
      <c r="E5" t="s">
        <v>80</v>
      </c>
      <c r="F5" t="s">
        <v>2168</v>
      </c>
      <c r="G5" t="s">
        <v>2169</v>
      </c>
      <c r="H5" t="s">
        <v>312</v>
      </c>
      <c r="I5" t="s">
        <v>754</v>
      </c>
      <c r="J5" t="s">
        <v>204</v>
      </c>
      <c r="K5" t="s">
        <v>204</v>
      </c>
      <c r="L5" t="s">
        <v>327</v>
      </c>
      <c r="M5" t="s">
        <v>2405</v>
      </c>
      <c r="N5" t="s">
        <v>339</v>
      </c>
      <c r="O5" t="s">
        <v>2170</v>
      </c>
      <c r="P5" t="s">
        <v>1315</v>
      </c>
      <c r="Q5" t="s">
        <v>413</v>
      </c>
      <c r="R5" t="s">
        <v>407</v>
      </c>
      <c r="S5" t="s">
        <v>1208</v>
      </c>
      <c r="T5" s="125">
        <v>2.8330000000000002</v>
      </c>
      <c r="U5" t="s">
        <v>1364</v>
      </c>
      <c r="V5" s="126">
        <v>4.8230000000000002E-2</v>
      </c>
      <c r="W5" s="126">
        <v>3.6400000000000002E-2</v>
      </c>
      <c r="X5" t="s">
        <v>412</v>
      </c>
      <c r="Y5" t="s">
        <v>339</v>
      </c>
      <c r="Z5" t="s">
        <v>886</v>
      </c>
      <c r="AA5" t="s">
        <v>889</v>
      </c>
      <c r="AB5" t="s">
        <v>2154</v>
      </c>
      <c r="AC5" t="s">
        <v>2154</v>
      </c>
      <c r="AD5" s="125">
        <v>8500000</v>
      </c>
      <c r="AE5" s="125">
        <v>1</v>
      </c>
      <c r="AF5" s="125">
        <v>105.49</v>
      </c>
      <c r="AG5" s="125">
        <v>8966.65</v>
      </c>
      <c r="AH5"/>
      <c r="AI5"/>
      <c r="AJ5" s="103"/>
      <c r="AK5" s="126">
        <v>5.4339999999999999E-2</v>
      </c>
      <c r="AL5" s="126">
        <v>7.6000000000000004E-4</v>
      </c>
    </row>
    <row r="6" spans="1:38" x14ac:dyDescent="0.2">
      <c r="A6" t="s">
        <v>1204</v>
      </c>
      <c r="B6" t="s">
        <v>1204</v>
      </c>
      <c r="C6" t="s">
        <v>2171</v>
      </c>
      <c r="D6" t="s">
        <v>2172</v>
      </c>
      <c r="E6" t="s">
        <v>80</v>
      </c>
      <c r="F6" t="s">
        <v>2173</v>
      </c>
      <c r="G6" t="s">
        <v>2174</v>
      </c>
      <c r="H6" t="s">
        <v>312</v>
      </c>
      <c r="I6" t="s">
        <v>754</v>
      </c>
      <c r="J6" t="s">
        <v>204</v>
      </c>
      <c r="K6" t="s">
        <v>204</v>
      </c>
      <c r="L6" t="s">
        <v>327</v>
      </c>
      <c r="M6" t="s">
        <v>2405</v>
      </c>
      <c r="N6" t="s">
        <v>339</v>
      </c>
      <c r="O6" t="s">
        <v>2175</v>
      </c>
      <c r="P6" t="s">
        <v>1241</v>
      </c>
      <c r="Q6" t="s">
        <v>415</v>
      </c>
      <c r="R6" t="s">
        <v>407</v>
      </c>
      <c r="S6" t="s">
        <v>1208</v>
      </c>
      <c r="T6" s="125">
        <v>1.079</v>
      </c>
      <c r="U6" t="s">
        <v>2176</v>
      </c>
      <c r="V6" s="126">
        <v>2.53E-2</v>
      </c>
      <c r="W6" s="126">
        <v>5.6000000000000001E-2</v>
      </c>
      <c r="X6" t="s">
        <v>412</v>
      </c>
      <c r="Y6" t="s">
        <v>339</v>
      </c>
      <c r="Z6" t="s">
        <v>886</v>
      </c>
      <c r="AA6" t="s">
        <v>889</v>
      </c>
      <c r="AB6" t="s">
        <v>2154</v>
      </c>
      <c r="AC6" t="s">
        <v>2154</v>
      </c>
      <c r="AD6" s="125">
        <v>5934628.5499999998</v>
      </c>
      <c r="AE6" s="125">
        <v>1</v>
      </c>
      <c r="AF6" s="125">
        <v>143.86000000000001</v>
      </c>
      <c r="AG6" s="125">
        <v>8537.5570000000007</v>
      </c>
      <c r="AH6"/>
      <c r="AI6"/>
      <c r="AJ6" s="103"/>
      <c r="AK6" s="126">
        <v>5.1740000000000001E-2</v>
      </c>
      <c r="AL6" s="126">
        <v>7.2000000000000005E-4</v>
      </c>
    </row>
    <row r="7" spans="1:38" x14ac:dyDescent="0.2">
      <c r="A7" t="s">
        <v>1204</v>
      </c>
      <c r="B7" t="s">
        <v>1204</v>
      </c>
      <c r="C7" t="s">
        <v>2177</v>
      </c>
      <c r="D7" t="s">
        <v>2178</v>
      </c>
      <c r="E7" t="s">
        <v>80</v>
      </c>
      <c r="F7" t="s">
        <v>2179</v>
      </c>
      <c r="G7" t="s">
        <v>2180</v>
      </c>
      <c r="H7" t="s">
        <v>312</v>
      </c>
      <c r="I7" t="s">
        <v>951</v>
      </c>
      <c r="J7" t="s">
        <v>204</v>
      </c>
      <c r="K7" t="s">
        <v>204</v>
      </c>
      <c r="L7" t="s">
        <v>327</v>
      </c>
      <c r="M7" t="s">
        <v>2408</v>
      </c>
      <c r="N7" t="s">
        <v>339</v>
      </c>
      <c r="O7" t="s">
        <v>2181</v>
      </c>
      <c r="P7" s="103"/>
      <c r="Q7" t="s">
        <v>410</v>
      </c>
      <c r="R7" t="s">
        <v>407</v>
      </c>
      <c r="S7" t="s">
        <v>1208</v>
      </c>
      <c r="T7" s="125">
        <v>0.28599999999999998</v>
      </c>
      <c r="U7" t="s">
        <v>2182</v>
      </c>
      <c r="V7" s="126">
        <v>4.7579999999999997E-2</v>
      </c>
      <c r="W7" s="126">
        <v>1.7999999999999999E-2</v>
      </c>
      <c r="X7" t="s">
        <v>412</v>
      </c>
      <c r="Y7" t="s">
        <v>339</v>
      </c>
      <c r="Z7" t="s">
        <v>886</v>
      </c>
      <c r="AA7" t="s">
        <v>889</v>
      </c>
      <c r="AB7" t="s">
        <v>2154</v>
      </c>
      <c r="AC7" t="s">
        <v>2154</v>
      </c>
      <c r="AD7" s="125">
        <v>6013449</v>
      </c>
      <c r="AE7" s="125">
        <v>1</v>
      </c>
      <c r="AF7" s="125">
        <v>99.55</v>
      </c>
      <c r="AG7" s="125">
        <v>5986.3879999999999</v>
      </c>
      <c r="AH7" s="103"/>
      <c r="AI7" s="103"/>
      <c r="AJ7" s="103"/>
      <c r="AK7" s="126">
        <v>3.628E-2</v>
      </c>
      <c r="AL7" s="126">
        <v>5.1000000000000004E-4</v>
      </c>
    </row>
    <row r="8" spans="1:38" x14ac:dyDescent="0.2">
      <c r="A8" t="s">
        <v>1204</v>
      </c>
      <c r="B8" t="s">
        <v>1204</v>
      </c>
      <c r="C8" t="s">
        <v>2183</v>
      </c>
      <c r="D8" t="s">
        <v>2184</v>
      </c>
      <c r="E8" t="s">
        <v>80</v>
      </c>
      <c r="F8" t="s">
        <v>2185</v>
      </c>
      <c r="G8" t="s">
        <v>2186</v>
      </c>
      <c r="H8" t="s">
        <v>312</v>
      </c>
      <c r="I8" t="s">
        <v>951</v>
      </c>
      <c r="J8" t="s">
        <v>204</v>
      </c>
      <c r="K8" t="s">
        <v>204</v>
      </c>
      <c r="L8" t="s">
        <v>327</v>
      </c>
      <c r="M8" t="s">
        <v>2408</v>
      </c>
      <c r="N8" t="s">
        <v>339</v>
      </c>
      <c r="O8" t="s">
        <v>2187</v>
      </c>
      <c r="P8" t="s">
        <v>1394</v>
      </c>
      <c r="Q8" t="s">
        <v>415</v>
      </c>
      <c r="R8" t="s">
        <v>407</v>
      </c>
      <c r="S8" t="s">
        <v>1208</v>
      </c>
      <c r="T8" s="125">
        <v>0.67400000000000004</v>
      </c>
      <c r="U8" t="s">
        <v>2188</v>
      </c>
      <c r="V8" s="126">
        <v>0.13624</v>
      </c>
      <c r="W8" s="126">
        <v>6.5000000000000002E-2</v>
      </c>
      <c r="X8" t="s">
        <v>412</v>
      </c>
      <c r="Y8" t="s">
        <v>339</v>
      </c>
      <c r="Z8" t="s">
        <v>886</v>
      </c>
      <c r="AA8" t="s">
        <v>889</v>
      </c>
      <c r="AB8" t="s">
        <v>2154</v>
      </c>
      <c r="AC8" t="s">
        <v>2154</v>
      </c>
      <c r="AD8" s="125">
        <v>953456.8</v>
      </c>
      <c r="AE8" s="125">
        <v>1</v>
      </c>
      <c r="AF8" s="125">
        <v>100.4</v>
      </c>
      <c r="AG8" s="125">
        <v>957.27099999999996</v>
      </c>
      <c r="AH8" s="103"/>
      <c r="AI8" s="103"/>
      <c r="AJ8" s="103"/>
      <c r="AK8" s="126">
        <v>5.7999999999999996E-3</v>
      </c>
      <c r="AL8" s="126">
        <v>8.0000000000000007E-5</v>
      </c>
    </row>
    <row r="9" spans="1:38" x14ac:dyDescent="0.2">
      <c r="A9" t="s">
        <v>1204</v>
      </c>
      <c r="B9" t="s">
        <v>1204</v>
      </c>
      <c r="C9" t="s">
        <v>2177</v>
      </c>
      <c r="D9" t="s">
        <v>2178</v>
      </c>
      <c r="E9" t="s">
        <v>80</v>
      </c>
      <c r="F9" t="s">
        <v>2189</v>
      </c>
      <c r="G9" t="s">
        <v>2190</v>
      </c>
      <c r="H9" t="s">
        <v>312</v>
      </c>
      <c r="I9" t="s">
        <v>951</v>
      </c>
      <c r="J9" t="s">
        <v>204</v>
      </c>
      <c r="K9" t="s">
        <v>204</v>
      </c>
      <c r="L9" t="s">
        <v>327</v>
      </c>
      <c r="M9" t="s">
        <v>2408</v>
      </c>
      <c r="N9" t="s">
        <v>339</v>
      </c>
      <c r="O9" t="s">
        <v>2181</v>
      </c>
      <c r="P9" s="103"/>
      <c r="Q9" t="s">
        <v>410</v>
      </c>
      <c r="R9" t="s">
        <v>407</v>
      </c>
      <c r="S9" t="s">
        <v>1208</v>
      </c>
      <c r="T9" s="125">
        <v>1.024</v>
      </c>
      <c r="U9" t="s">
        <v>2191</v>
      </c>
      <c r="V9" s="126">
        <v>4.9669999999999999E-2</v>
      </c>
      <c r="W9" s="126">
        <v>2.8000000000000001E-2</v>
      </c>
      <c r="X9" t="s">
        <v>412</v>
      </c>
      <c r="Y9" t="s">
        <v>339</v>
      </c>
      <c r="Z9" t="s">
        <v>886</v>
      </c>
      <c r="AA9" t="s">
        <v>889</v>
      </c>
      <c r="AB9" t="s">
        <v>2154</v>
      </c>
      <c r="AC9" t="s">
        <v>2154</v>
      </c>
      <c r="AD9" s="125">
        <v>900000</v>
      </c>
      <c r="AE9" s="125">
        <v>1</v>
      </c>
      <c r="AF9" s="125">
        <v>98.44</v>
      </c>
      <c r="AG9" s="125">
        <v>885.96</v>
      </c>
      <c r="AH9" s="103"/>
      <c r="AI9" s="103"/>
      <c r="AJ9" s="103"/>
      <c r="AK9" s="126">
        <v>5.3699999999999998E-3</v>
      </c>
      <c r="AL9" s="126">
        <v>8.0000000000000007E-5</v>
      </c>
    </row>
    <row r="10" spans="1:38" x14ac:dyDescent="0.2">
      <c r="A10" s="169" t="s">
        <v>2494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</row>
    <row r="11" spans="1:38" x14ac:dyDescent="0.2">
      <c r="A11" s="103"/>
      <c r="B11" s="103"/>
      <c r="C11" s="103"/>
      <c r="D11" s="103"/>
      <c r="E11" s="16"/>
      <c r="F11" s="103"/>
      <c r="G11" s="103"/>
      <c r="H11" s="103"/>
      <c r="I11" s="103"/>
      <c r="J11" s="16"/>
      <c r="K11" s="16"/>
      <c r="L11" s="103"/>
      <c r="M11" s="103"/>
      <c r="N11" s="103"/>
      <c r="O11" s="103"/>
      <c r="P11" s="103"/>
      <c r="Q11" s="103"/>
      <c r="R11" s="103"/>
      <c r="S11" s="16"/>
      <c r="T11" s="103"/>
      <c r="U11" s="103"/>
      <c r="V11" s="103"/>
      <c r="W11"/>
      <c r="X11" s="16"/>
      <c r="Y11" s="16"/>
      <c r="Z11" s="103"/>
      <c r="AA11" s="103"/>
      <c r="AB11" s="102"/>
      <c r="AC11" s="103"/>
      <c r="AD11" s="103"/>
      <c r="AE11" s="103"/>
      <c r="AF11" s="103"/>
      <c r="AG11" s="103"/>
      <c r="AH11" s="103"/>
      <c r="AI11" s="103"/>
      <c r="AJ11" s="103"/>
      <c r="AK11" s="102"/>
      <c r="AL11" s="102"/>
    </row>
    <row r="12" spans="1:38" x14ac:dyDescent="0.2">
      <c r="A12" s="103"/>
      <c r="B12" s="103"/>
      <c r="C12" s="103"/>
      <c r="D12" s="103"/>
      <c r="E12" s="16"/>
      <c r="F12" s="103"/>
      <c r="G12" s="103"/>
      <c r="H12" s="103"/>
      <c r="I12" s="103"/>
      <c r="J12" s="16"/>
      <c r="K12" s="16"/>
      <c r="L12" s="103"/>
      <c r="M12" s="103"/>
      <c r="N12" s="103"/>
      <c r="O12" s="103"/>
      <c r="P12" s="103"/>
      <c r="Q12" s="103"/>
      <c r="R12" s="103"/>
      <c r="S12" s="16"/>
      <c r="T12" s="103"/>
      <c r="U12" s="103"/>
      <c r="V12" s="103"/>
      <c r="W12"/>
      <c r="X12" s="16"/>
      <c r="Y12" s="16"/>
      <c r="Z12" s="103"/>
      <c r="AA12" s="103"/>
      <c r="AB12" s="102"/>
      <c r="AC12" s="103"/>
      <c r="AD12" s="103"/>
      <c r="AE12" s="103"/>
      <c r="AF12" s="103"/>
      <c r="AG12" s="103"/>
      <c r="AH12" s="103"/>
      <c r="AI12" s="103"/>
      <c r="AJ12" s="103"/>
      <c r="AK12" s="102"/>
      <c r="AL12" s="102"/>
    </row>
    <row r="13" spans="1:38" x14ac:dyDescent="0.2">
      <c r="A13" s="103"/>
      <c r="B13" s="103"/>
      <c r="C13" s="103"/>
      <c r="D13" s="103"/>
      <c r="E13" s="16"/>
      <c r="F13" s="103"/>
      <c r="G13" s="103"/>
      <c r="H13" s="103"/>
      <c r="I13" s="103"/>
      <c r="J13" s="16"/>
      <c r="K13" s="16"/>
      <c r="L13" s="103"/>
      <c r="M13" s="103"/>
      <c r="N13" s="103"/>
      <c r="O13" s="103"/>
      <c r="P13" s="103"/>
      <c r="Q13" s="103"/>
      <c r="R13" s="103"/>
      <c r="S13" s="16"/>
      <c r="T13" s="103"/>
      <c r="U13" s="103"/>
      <c r="V13" s="103"/>
      <c r="W13"/>
      <c r="X13" s="16"/>
      <c r="Y13" s="16"/>
      <c r="Z13" s="103"/>
      <c r="AA13" s="103"/>
      <c r="AB13" s="102"/>
      <c r="AC13" s="103"/>
      <c r="AD13" s="103"/>
      <c r="AE13" s="103"/>
      <c r="AF13" s="103"/>
      <c r="AG13" s="103"/>
      <c r="AH13" s="103"/>
      <c r="AI13" s="103"/>
      <c r="AJ13" s="103"/>
      <c r="AK13" s="102"/>
      <c r="AL13" s="102"/>
    </row>
    <row r="14" spans="1:38" x14ac:dyDescent="0.2">
      <c r="A14" s="103"/>
      <c r="B14" s="103"/>
      <c r="C14" s="103"/>
      <c r="D14" s="103"/>
      <c r="E14" s="16"/>
      <c r="F14" s="103"/>
      <c r="G14" s="103"/>
      <c r="H14" s="103"/>
      <c r="I14" s="103"/>
      <c r="J14" s="16"/>
      <c r="K14" s="16"/>
      <c r="L14" s="103"/>
      <c r="M14" s="103"/>
      <c r="N14" s="103"/>
      <c r="O14" s="103"/>
      <c r="P14" s="103"/>
      <c r="Q14" s="103"/>
      <c r="R14" s="103"/>
      <c r="S14" s="16"/>
      <c r="T14" s="103"/>
      <c r="U14" s="103"/>
      <c r="V14" s="103"/>
      <c r="W14"/>
      <c r="X14" s="16"/>
      <c r="Y14" s="16"/>
      <c r="Z14" s="103"/>
      <c r="AA14" s="103"/>
      <c r="AB14" s="102"/>
      <c r="AC14" s="103"/>
      <c r="AD14" s="103"/>
      <c r="AE14" s="103"/>
      <c r="AF14" s="103"/>
      <c r="AG14" s="103"/>
      <c r="AH14" s="103"/>
      <c r="AI14" s="103"/>
      <c r="AJ14" s="103"/>
      <c r="AK14" s="102"/>
      <c r="AL14" s="102"/>
    </row>
    <row r="15" spans="1:38" x14ac:dyDescent="0.2">
      <c r="A15" s="103"/>
      <c r="B15" s="103"/>
      <c r="C15" s="103"/>
      <c r="D15" s="103"/>
      <c r="E15" s="16"/>
      <c r="F15" s="103"/>
      <c r="G15" s="103"/>
      <c r="H15" s="103"/>
      <c r="I15" s="103"/>
      <c r="J15" s="16"/>
      <c r="K15" s="16"/>
      <c r="L15" s="103"/>
      <c r="M15" s="103"/>
      <c r="N15" s="103"/>
      <c r="O15" s="103"/>
      <c r="P15" s="103"/>
      <c r="Q15" s="103"/>
      <c r="R15" s="103"/>
      <c r="S15" s="16"/>
      <c r="T15" s="103"/>
      <c r="U15" s="103"/>
      <c r="V15" s="103"/>
      <c r="W15"/>
      <c r="X15" s="16"/>
      <c r="Y15" s="16"/>
      <c r="Z15" s="103"/>
      <c r="AA15" s="103"/>
      <c r="AB15" s="102"/>
      <c r="AC15" s="103"/>
      <c r="AD15" s="103"/>
      <c r="AE15" s="103"/>
      <c r="AF15" s="103"/>
      <c r="AG15" s="103"/>
      <c r="AH15" s="103"/>
      <c r="AI15" s="103"/>
      <c r="AJ15" s="103"/>
      <c r="AK15" s="102"/>
      <c r="AL15" s="102"/>
    </row>
    <row r="16" spans="1:38" x14ac:dyDescent="0.2">
      <c r="A16" s="103"/>
      <c r="B16" s="103"/>
      <c r="C16" s="103"/>
      <c r="D16" s="103"/>
      <c r="E16" s="16"/>
      <c r="F16" s="103"/>
      <c r="G16" s="103"/>
      <c r="H16" s="103"/>
      <c r="I16" s="103"/>
      <c r="J16" s="16"/>
      <c r="K16" s="16"/>
      <c r="L16" s="103"/>
      <c r="M16" s="103"/>
      <c r="N16" s="103"/>
      <c r="O16" s="103"/>
      <c r="P16" s="103"/>
      <c r="Q16" s="103"/>
      <c r="R16" s="103"/>
      <c r="S16" s="16"/>
      <c r="T16" s="103"/>
      <c r="U16" s="103"/>
      <c r="V16" s="103"/>
      <c r="W16"/>
      <c r="X16" s="16"/>
      <c r="Y16" s="16"/>
      <c r="Z16" s="103"/>
      <c r="AA16" s="103"/>
      <c r="AB16" s="102"/>
      <c r="AC16" s="103"/>
      <c r="AD16" s="103"/>
      <c r="AE16" s="103"/>
      <c r="AF16" s="103"/>
      <c r="AG16" s="103"/>
      <c r="AH16" s="103"/>
      <c r="AI16" s="103"/>
      <c r="AJ16" s="103"/>
      <c r="AK16" s="102"/>
      <c r="AL16" s="102"/>
    </row>
    <row r="17" spans="1:36" x14ac:dyDescent="0.2">
      <c r="A17" s="103"/>
      <c r="B17" s="103"/>
      <c r="C17" s="103"/>
      <c r="D17" s="103"/>
      <c r="E17" s="16"/>
      <c r="F17" s="103"/>
      <c r="G17" s="103"/>
      <c r="H17" s="103"/>
      <c r="I17" s="103"/>
      <c r="J17" s="16"/>
      <c r="K17" s="16"/>
      <c r="L17" s="103"/>
      <c r="M17" s="103"/>
      <c r="N17" s="103"/>
      <c r="O17" s="103"/>
      <c r="P17" s="103"/>
      <c r="Q17" s="103"/>
      <c r="R17" s="103"/>
      <c r="S17" s="16"/>
      <c r="T17" s="103"/>
      <c r="U17" s="103"/>
      <c r="V17" s="103"/>
      <c r="W17"/>
      <c r="X17" s="16"/>
      <c r="Y17" s="16"/>
      <c r="Z17" s="103"/>
      <c r="AA17" s="103"/>
      <c r="AB17" s="102"/>
      <c r="AC17" s="103"/>
      <c r="AD17" s="103"/>
      <c r="AE17" s="103"/>
      <c r="AF17" s="103"/>
      <c r="AG17" s="103"/>
      <c r="AH17" s="103"/>
      <c r="AI17" s="103"/>
      <c r="AJ17" s="103"/>
    </row>
    <row r="18" spans="1:36" x14ac:dyDescent="0.2">
      <c r="A18" s="103"/>
      <c r="B18" s="103"/>
      <c r="C18" s="103"/>
      <c r="D18" s="103"/>
      <c r="E18" s="16"/>
      <c r="F18" s="103"/>
      <c r="G18" s="103"/>
      <c r="H18" s="103"/>
      <c r="I18" s="103"/>
      <c r="J18" s="16"/>
      <c r="K18" s="16"/>
      <c r="L18" s="103"/>
      <c r="M18" s="103"/>
      <c r="N18" s="103"/>
      <c r="O18" s="103"/>
      <c r="P18" s="103"/>
      <c r="Q18" s="103"/>
      <c r="R18" s="103"/>
      <c r="S18" s="16"/>
      <c r="T18" s="103"/>
      <c r="U18" s="103"/>
      <c r="V18" s="103"/>
      <c r="W18"/>
      <c r="X18" s="16"/>
      <c r="Y18" s="16"/>
      <c r="Z18" s="103"/>
      <c r="AA18" s="103"/>
      <c r="AB18" s="102"/>
      <c r="AC18" s="103"/>
      <c r="AD18" s="103"/>
      <c r="AE18" s="103"/>
      <c r="AF18" s="103"/>
      <c r="AG18" s="103"/>
      <c r="AH18" s="103"/>
      <c r="AI18" s="103"/>
      <c r="AJ18" s="103"/>
    </row>
    <row r="19" spans="1:36" x14ac:dyDescent="0.2">
      <c r="A19" s="103"/>
      <c r="B19" s="103"/>
      <c r="C19" s="103"/>
      <c r="D19" s="103"/>
      <c r="E19" s="16"/>
      <c r="F19" s="103"/>
      <c r="G19" s="103"/>
      <c r="H19" s="103"/>
      <c r="I19" s="103"/>
      <c r="J19" s="16"/>
      <c r="K19" s="16"/>
      <c r="L19" s="103"/>
      <c r="M19" s="103"/>
      <c r="N19" s="103"/>
      <c r="O19" s="103"/>
      <c r="P19" s="103"/>
      <c r="Q19" s="103"/>
      <c r="R19" s="103"/>
      <c r="S19" s="16"/>
      <c r="T19" s="103"/>
      <c r="U19" s="103"/>
      <c r="V19" s="103"/>
      <c r="W19"/>
      <c r="X19" s="16"/>
      <c r="Y19" s="16"/>
      <c r="Z19" s="103"/>
      <c r="AA19" s="103"/>
      <c r="AB19" s="102"/>
      <c r="AC19" s="103"/>
      <c r="AD19" s="103"/>
      <c r="AE19" s="103"/>
      <c r="AF19" s="103"/>
      <c r="AG19" s="103"/>
      <c r="AH19" s="103"/>
      <c r="AI19" s="103"/>
      <c r="AJ19" s="103"/>
    </row>
    <row r="20" spans="1:36" x14ac:dyDescent="0.2">
      <c r="A20" s="102"/>
      <c r="B20" s="102"/>
      <c r="C20" s="102"/>
      <c r="D20" s="102"/>
      <c r="E20" s="16"/>
      <c r="F20" s="102"/>
      <c r="G20" s="102"/>
      <c r="H20" s="103"/>
      <c r="I20" s="103"/>
      <c r="J20" s="16"/>
      <c r="K20" s="16"/>
      <c r="L20" s="103"/>
      <c r="M20" s="103"/>
      <c r="N20" s="103"/>
      <c r="O20" s="102"/>
      <c r="P20" s="102"/>
      <c r="Q20" s="103"/>
      <c r="R20" s="103"/>
      <c r="S20" s="102"/>
      <c r="T20" s="102"/>
      <c r="U20" s="102"/>
      <c r="V20" s="102"/>
      <c r="W20"/>
      <c r="X20" s="16"/>
      <c r="Y20" s="16"/>
      <c r="Z20" s="102"/>
      <c r="AA20" s="103"/>
      <c r="AB20" s="102"/>
      <c r="AC20" s="102"/>
      <c r="AD20" s="102"/>
      <c r="AE20" s="102"/>
      <c r="AF20" s="102"/>
      <c r="AG20" s="102"/>
      <c r="AH20" s="102"/>
      <c r="AI20" s="102"/>
      <c r="AJ20" s="103"/>
    </row>
    <row r="21" spans="1:36" customFormat="1" x14ac:dyDescent="0.2">
      <c r="L21" s="102"/>
      <c r="X21" s="4"/>
    </row>
    <row r="22" spans="1:36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</row>
    <row r="23" spans="1:36" x14ac:dyDescent="0.2">
      <c r="A23" s="102"/>
      <c r="B23" s="102"/>
      <c r="C23" s="102"/>
      <c r="D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</row>
    <row r="24" spans="1:36" x14ac:dyDescent="0.2">
      <c r="A24" s="102"/>
      <c r="B24" s="102"/>
      <c r="C24" s="102"/>
      <c r="D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</row>
    <row r="25" spans="1:36" x14ac:dyDescent="0.2">
      <c r="A25" s="102"/>
      <c r="B25" s="102"/>
      <c r="C25" s="102"/>
      <c r="D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10:AL10"/>
  </mergeCells>
  <dataValidations count="16">
    <dataValidation type="list" allowBlank="1" showInputMessage="1" showErrorMessage="1" sqref="J2:J9 J11:J20" xr:uid="{00000000-0002-0000-1100-000000000000}">
      <formula1>israel_abroad</formula1>
    </dataValidation>
    <dataValidation type="list" allowBlank="1" showInputMessage="1" showErrorMessage="1" sqref="N2:N9 N11:N20" xr:uid="{00000000-0002-0000-1100-000001000000}">
      <formula1>Holding_interest</formula1>
    </dataValidation>
    <dataValidation type="list" allowBlank="1" showInputMessage="1" showErrorMessage="1" sqref="K2:K9 K11:K20" xr:uid="{00000000-0002-0000-1100-000002000000}">
      <formula1>Country_list</formula1>
    </dataValidation>
    <dataValidation type="list" allowBlank="1" showInputMessage="1" showErrorMessage="1" sqref="E3:E9 E11:E20" xr:uid="{00000000-0002-0000-1100-000003000000}">
      <formula1>Issuer_Number_Type_2</formula1>
    </dataValidation>
    <dataValidation type="list" allowBlank="1" showInputMessage="1" showErrorMessage="1" sqref="Q2:Q9 Q11:Q20" xr:uid="{00000000-0002-0000-1100-000004000000}">
      <formula1>Rating_Agency</formula1>
    </dataValidation>
    <dataValidation type="list" allowBlank="1" showInputMessage="1" showErrorMessage="1" sqref="P4 R2:R9 R11:R20" xr:uid="{00000000-0002-0000-1100-000005000000}">
      <formula1>What_is_rated</formula1>
    </dataValidation>
    <dataValidation type="list" allowBlank="1" showInputMessage="1" showErrorMessage="1" sqref="V4 X2:X9 X11:X20" xr:uid="{00000000-0002-0000-1100-000006000000}">
      <formula1>Subordination_Risk</formula1>
    </dataValidation>
    <dataValidation type="list" allowBlank="1" showInputMessage="1" showErrorMessage="1" sqref="Z2:Z9 Z11:Z19" xr:uid="{00000000-0002-0000-1100-000007000000}">
      <formula1>Valuation</formula1>
    </dataValidation>
    <dataValidation type="list" allowBlank="1" showInputMessage="1" showErrorMessage="1" sqref="AA2:AA9 AA11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9 Y11:Y20" xr:uid="{00000000-0002-0000-1100-00000A000000}">
      <formula1>Yes_No_Bad_Debt</formula1>
    </dataValidation>
    <dataValidation type="list" allowBlank="1" showInputMessage="1" showErrorMessage="1" sqref="H2:H9 H11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9 AJ11:AJ20" xr:uid="{00000000-0002-0000-1100-00000D000000}">
      <formula1>In_the_books</formula1>
    </dataValidation>
    <dataValidation type="list" allowBlank="1" showInputMessage="1" showErrorMessage="1" sqref="M2:M9 M11:M20" xr:uid="{00000000-0002-0000-1100-00000E000000}">
      <formula1>Industry_Sector</formula1>
    </dataValidation>
    <dataValidation type="list" allowBlank="1" showInputMessage="1" showErrorMessage="1" sqref="L2:L9 L11:L20" xr:uid="{00000000-0002-0000-1100-00000F000000}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I2:I9 I11:I20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21"/>
  <sheetViews>
    <sheetView rightToLeft="1" workbookViewId="0">
      <selection activeCell="A3" sqref="A3:AJ3"/>
    </sheetView>
  </sheetViews>
  <sheetFormatPr defaultColWidth="9" defaultRowHeight="14.25" x14ac:dyDescent="0.2"/>
  <cols>
    <col min="1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89</v>
      </c>
      <c r="M1" s="168" t="s">
        <v>83</v>
      </c>
      <c r="N1" s="168" t="s">
        <v>56</v>
      </c>
      <c r="O1" s="168" t="s">
        <v>97</v>
      </c>
      <c r="P1" s="168" t="s">
        <v>59</v>
      </c>
      <c r="Q1" s="168" t="s">
        <v>103</v>
      </c>
      <c r="R1" s="168" t="s">
        <v>104</v>
      </c>
      <c r="S1" s="168" t="s">
        <v>106</v>
      </c>
      <c r="T1" s="168" t="s">
        <v>107</v>
      </c>
      <c r="U1" s="168" t="s">
        <v>76</v>
      </c>
      <c r="V1" s="168" t="s">
        <v>61</v>
      </c>
      <c r="W1" s="168" t="s">
        <v>77</v>
      </c>
      <c r="X1" s="168" t="s">
        <v>63</v>
      </c>
      <c r="Y1" s="168" t="s">
        <v>64</v>
      </c>
      <c r="Z1" s="168" t="s">
        <v>65</v>
      </c>
    </row>
    <row r="2" spans="1:36" x14ac:dyDescent="0.2">
      <c r="A2" t="s">
        <v>1204</v>
      </c>
      <c r="B2" t="s">
        <v>1204</v>
      </c>
      <c r="C2" t="s">
        <v>2192</v>
      </c>
      <c r="D2" t="s">
        <v>2193</v>
      </c>
      <c r="E2" t="s">
        <v>80</v>
      </c>
      <c r="F2" t="s">
        <v>2194</v>
      </c>
      <c r="G2" t="s">
        <v>2195</v>
      </c>
      <c r="H2" t="s">
        <v>312</v>
      </c>
      <c r="I2" t="s">
        <v>765</v>
      </c>
      <c r="J2" t="s">
        <v>204</v>
      </c>
      <c r="K2" t="s">
        <v>204</v>
      </c>
      <c r="L2" t="s">
        <v>327</v>
      </c>
      <c r="M2" t="s">
        <v>485</v>
      </c>
      <c r="N2" t="s">
        <v>339</v>
      </c>
      <c r="O2" t="s">
        <v>2196</v>
      </c>
      <c r="P2" t="s">
        <v>1208</v>
      </c>
      <c r="Q2" t="s">
        <v>887</v>
      </c>
      <c r="R2" t="s">
        <v>889</v>
      </c>
      <c r="S2" s="132">
        <v>45563</v>
      </c>
      <c r="T2" t="s">
        <v>2154</v>
      </c>
      <c r="U2" s="125">
        <v>2521</v>
      </c>
      <c r="V2" s="125">
        <v>1</v>
      </c>
      <c r="W2" s="125">
        <v>413.72500000000002</v>
      </c>
      <c r="X2" s="125">
        <v>1043</v>
      </c>
      <c r="Y2" s="126">
        <v>1</v>
      </c>
      <c r="Z2" s="126">
        <v>9.0000000000000006E-5</v>
      </c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3"/>
      <c r="D4" s="103"/>
      <c r="E4" s="16"/>
      <c r="F4" s="103"/>
      <c r="G4" s="103"/>
      <c r="H4" s="16"/>
      <c r="I4" s="103"/>
      <c r="J4" s="16"/>
      <c r="K4" s="16"/>
      <c r="L4" s="103"/>
      <c r="M4" s="103"/>
      <c r="N4" s="103"/>
      <c r="O4" s="102"/>
      <c r="P4" s="16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spans="1:36" x14ac:dyDescent="0.2">
      <c r="A5" s="103"/>
      <c r="B5" s="103"/>
      <c r="C5" s="103"/>
      <c r="D5" s="103"/>
      <c r="E5" s="16"/>
      <c r="F5" s="103"/>
      <c r="G5" s="103"/>
      <c r="H5" s="16"/>
      <c r="I5" s="103"/>
      <c r="J5" s="16"/>
      <c r="K5" s="16"/>
      <c r="L5" s="103"/>
      <c r="M5" s="103"/>
      <c r="N5" s="103"/>
      <c r="O5" s="103"/>
      <c r="P5" s="16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spans="1:36" x14ac:dyDescent="0.2">
      <c r="A6" s="103"/>
      <c r="B6" s="103"/>
      <c r="C6" s="103"/>
      <c r="D6" s="103"/>
      <c r="E6" s="16"/>
      <c r="F6" s="103"/>
      <c r="G6" s="103"/>
      <c r="H6" s="16"/>
      <c r="I6" s="103"/>
      <c r="J6" s="16"/>
      <c r="K6" s="16"/>
      <c r="L6" s="103"/>
      <c r="M6" s="103"/>
      <c r="N6" s="103"/>
      <c r="O6" s="103"/>
      <c r="P6" s="16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spans="1:36" x14ac:dyDescent="0.2">
      <c r="A7" s="103"/>
      <c r="B7" s="103"/>
      <c r="C7" s="103"/>
      <c r="D7" s="103"/>
      <c r="E7" s="16"/>
      <c r="F7" s="103"/>
      <c r="G7" s="103"/>
      <c r="H7" s="16"/>
      <c r="I7" s="103"/>
      <c r="J7" s="16"/>
      <c r="K7" s="16"/>
      <c r="L7" s="103"/>
      <c r="M7" s="103"/>
      <c r="N7" s="103"/>
      <c r="O7" s="103"/>
      <c r="P7" s="16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spans="1:36" x14ac:dyDescent="0.2">
      <c r="A8" s="103"/>
      <c r="B8" s="103"/>
      <c r="C8" s="103"/>
      <c r="D8" s="103"/>
      <c r="E8" s="16"/>
      <c r="F8" s="103"/>
      <c r="G8" s="103"/>
      <c r="H8" s="16"/>
      <c r="I8" s="103"/>
      <c r="J8" s="16"/>
      <c r="K8" s="16"/>
      <c r="L8" s="103"/>
      <c r="M8" s="103"/>
      <c r="N8" s="103"/>
      <c r="O8" s="103"/>
      <c r="P8" s="16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spans="1:36" x14ac:dyDescent="0.2">
      <c r="A9" s="103"/>
      <c r="B9" s="103"/>
      <c r="C9" s="103"/>
      <c r="D9" s="103"/>
      <c r="E9" s="16"/>
      <c r="F9" s="103"/>
      <c r="G9" s="103"/>
      <c r="H9" s="16"/>
      <c r="I9" s="103"/>
      <c r="J9" s="16"/>
      <c r="K9" s="16"/>
      <c r="L9" s="103"/>
      <c r="M9" s="103"/>
      <c r="N9" s="103"/>
      <c r="O9" s="103"/>
      <c r="P9" s="16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spans="1:36" x14ac:dyDescent="0.2">
      <c r="A10" s="103"/>
      <c r="B10" s="103"/>
      <c r="C10" s="103"/>
      <c r="D10" s="103"/>
      <c r="E10" s="16"/>
      <c r="F10" s="103"/>
      <c r="G10" s="103"/>
      <c r="H10" s="16"/>
      <c r="I10" s="103"/>
      <c r="J10" s="16"/>
      <c r="K10" s="16"/>
      <c r="L10" s="103"/>
      <c r="M10" s="103"/>
      <c r="N10" s="103"/>
      <c r="O10" s="103"/>
      <c r="P10" s="16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spans="1:36" x14ac:dyDescent="0.2">
      <c r="A11" s="103"/>
      <c r="B11" s="103"/>
      <c r="C11" s="103"/>
      <c r="D11" s="103"/>
      <c r="E11" s="16"/>
      <c r="F11" s="103"/>
      <c r="G11" s="103"/>
      <c r="H11" s="16"/>
      <c r="I11" s="103"/>
      <c r="J11" s="16"/>
      <c r="K11" s="16"/>
      <c r="L11" s="103"/>
      <c r="M11" s="103"/>
      <c r="N11" s="103"/>
      <c r="O11" s="103"/>
      <c r="P11" s="16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spans="1:36" x14ac:dyDescent="0.2">
      <c r="A12" s="103"/>
      <c r="B12" s="103"/>
      <c r="C12" s="103"/>
      <c r="D12" s="103"/>
      <c r="E12" s="16"/>
      <c r="F12" s="103"/>
      <c r="G12" s="103"/>
      <c r="H12" s="16"/>
      <c r="I12" s="103"/>
      <c r="J12" s="16"/>
      <c r="K12" s="16"/>
      <c r="L12" s="103"/>
      <c r="M12" s="103"/>
      <c r="N12" s="103"/>
      <c r="O12" s="103"/>
      <c r="P12" s="16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spans="1:36" x14ac:dyDescent="0.2">
      <c r="A13" s="103"/>
      <c r="B13" s="103"/>
      <c r="C13" s="103"/>
      <c r="D13" s="103"/>
      <c r="E13" s="16"/>
      <c r="F13" s="103"/>
      <c r="G13" s="103"/>
      <c r="H13" s="16"/>
      <c r="I13" s="103"/>
      <c r="J13" s="16"/>
      <c r="K13" s="16"/>
      <c r="L13" s="103"/>
      <c r="M13" s="103"/>
      <c r="N13" s="103"/>
      <c r="O13" s="103"/>
      <c r="P13" s="16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spans="1:36" x14ac:dyDescent="0.2">
      <c r="A14" s="103"/>
      <c r="B14" s="103"/>
      <c r="C14" s="103"/>
      <c r="D14" s="103"/>
      <c r="E14" s="16"/>
      <c r="F14" s="103"/>
      <c r="G14" s="103"/>
      <c r="H14" s="16"/>
      <c r="I14" s="103"/>
      <c r="J14" s="16"/>
      <c r="K14" s="16"/>
      <c r="L14" s="103"/>
      <c r="M14" s="103"/>
      <c r="N14" s="103"/>
      <c r="O14" s="103"/>
      <c r="P14" s="16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spans="1:36" x14ac:dyDescent="0.2">
      <c r="A15" s="103"/>
      <c r="B15" s="103"/>
      <c r="C15" s="103"/>
      <c r="D15" s="103"/>
      <c r="E15" s="16"/>
      <c r="F15" s="103"/>
      <c r="G15" s="103"/>
      <c r="H15" s="16"/>
      <c r="I15" s="103"/>
      <c r="J15" s="16"/>
      <c r="K15" s="16"/>
      <c r="L15" s="103"/>
      <c r="M15" s="103"/>
      <c r="N15" s="103"/>
      <c r="O15" s="103"/>
      <c r="P15" s="16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spans="1:36" x14ac:dyDescent="0.2">
      <c r="A16" s="103"/>
      <c r="B16" s="103"/>
      <c r="C16" s="103"/>
      <c r="D16" s="103"/>
      <c r="E16" s="16"/>
      <c r="F16" s="103"/>
      <c r="G16" s="103"/>
      <c r="H16" s="16"/>
      <c r="I16" s="103"/>
      <c r="J16" s="16"/>
      <c r="K16" s="16"/>
      <c r="L16" s="103"/>
      <c r="M16" s="103"/>
      <c r="N16" s="103"/>
      <c r="O16" s="103"/>
      <c r="P16" s="16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spans="1:26" x14ac:dyDescent="0.2">
      <c r="A17" s="103"/>
      <c r="B17" s="103"/>
      <c r="C17" s="103"/>
      <c r="D17" s="103"/>
      <c r="E17" s="16"/>
      <c r="F17" s="103"/>
      <c r="G17" s="103"/>
      <c r="H17" s="16"/>
      <c r="I17" s="103"/>
      <c r="J17" s="16"/>
      <c r="K17" s="16"/>
      <c r="L17" s="103"/>
      <c r="M17" s="103"/>
      <c r="N17" s="103"/>
      <c r="O17" s="103"/>
      <c r="P17" s="16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x14ac:dyDescent="0.2">
      <c r="A18" s="103"/>
      <c r="B18" s="103"/>
      <c r="C18" s="103"/>
      <c r="D18" s="103"/>
      <c r="E18" s="16"/>
      <c r="F18" s="103"/>
      <c r="G18" s="103"/>
      <c r="H18" s="16"/>
      <c r="I18" s="103"/>
      <c r="J18" s="16"/>
      <c r="K18" s="16"/>
      <c r="L18" s="103"/>
      <c r="M18" s="103"/>
      <c r="N18" s="103"/>
      <c r="O18" s="103"/>
      <c r="P18" s="16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spans="1:26" x14ac:dyDescent="0.2">
      <c r="A19" s="4"/>
      <c r="B19" s="103"/>
      <c r="C19" s="103"/>
      <c r="D19" s="103"/>
      <c r="E19" s="16"/>
      <c r="F19" s="103"/>
      <c r="G19" s="103"/>
      <c r="H19" s="16"/>
      <c r="I19" s="103"/>
      <c r="J19" s="16"/>
      <c r="K19" s="16"/>
      <c r="L19" s="103"/>
      <c r="M19" s="103"/>
      <c r="N19" s="103"/>
      <c r="O19" s="103"/>
      <c r="P19" s="16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spans="1:26" x14ac:dyDescent="0.2">
      <c r="A20" s="102"/>
      <c r="B20" s="102"/>
      <c r="C20" s="102"/>
      <c r="D20" s="102"/>
      <c r="E20" s="16"/>
      <c r="F20" s="102"/>
      <c r="G20" s="102"/>
      <c r="H20" s="4"/>
      <c r="I20" s="103"/>
      <c r="J20" s="16"/>
      <c r="K20" s="16"/>
      <c r="L20" s="103"/>
      <c r="M20" s="103"/>
      <c r="N20" s="103"/>
      <c r="O20" s="102"/>
      <c r="P20" s="102"/>
      <c r="Q20" s="102"/>
      <c r="R20" s="103"/>
      <c r="S20" s="102"/>
      <c r="T20" s="102"/>
      <c r="U20" s="102"/>
      <c r="V20" s="102"/>
      <c r="W20" s="102"/>
      <c r="X20" s="102"/>
      <c r="Y20" s="102"/>
      <c r="Z20" s="102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11">
    <dataValidation type="list" allowBlank="1" showInputMessage="1" showErrorMessage="1" sqref="J2 J4:J20" xr:uid="{00000000-0002-0000-1200-000000000000}">
      <formula1>israel_abroad</formula1>
    </dataValidation>
    <dataValidation type="list" allowBlank="1" showInputMessage="1" showErrorMessage="1" sqref="N2 N4:N20" xr:uid="{00000000-0002-0000-1200-000001000000}">
      <formula1>Holding_interest</formula1>
    </dataValidation>
    <dataValidation type="list" allowBlank="1" showInputMessage="1" showErrorMessage="1" sqref="Q2 Q4:Q19" xr:uid="{00000000-0002-0000-1200-000002000000}">
      <formula1>Valuation</formula1>
    </dataValidation>
    <dataValidation type="list" allowBlank="1" showInputMessage="1" showErrorMessage="1" sqref="R2 R4:R20" xr:uid="{00000000-0002-0000-1200-000003000000}">
      <formula1>Dependence_Independence</formula1>
    </dataValidation>
    <dataValidation type="list" allowBlank="1" showInputMessage="1" showErrorMessage="1" sqref="K2 K4:K20" xr:uid="{00000000-0002-0000-1200-000004000000}">
      <formula1>Country_list</formula1>
    </dataValidation>
    <dataValidation type="list" allowBlank="1" showInputMessage="1" showErrorMessage="1" sqref="E4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4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 M4:M20" xr:uid="{00000000-0002-0000-1200-000009000000}">
      <formula1>Industry_Sector</formula1>
    </dataValidation>
    <dataValidation type="list" allowBlank="1" showInputMessage="1" showErrorMessage="1" sqref="L2 L4:L20" xr:uid="{00000000-0002-0000-1200-00000A000000}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 I4:I20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C1048572"/>
  <sheetViews>
    <sheetView rightToLeft="1" workbookViewId="0">
      <selection activeCell="A91" sqref="A91:AA91"/>
    </sheetView>
  </sheetViews>
  <sheetFormatPr defaultColWidth="9" defaultRowHeight="14.25" x14ac:dyDescent="0.2"/>
  <cols>
    <col min="1" max="1" width="14.5" style="2" customWidth="1"/>
    <col min="2" max="2" width="11.25" style="2" customWidth="1"/>
    <col min="3" max="3" width="11.625" style="2" customWidth="1"/>
    <col min="4" max="4" width="33.625" style="2" bestFit="1" customWidth="1"/>
    <col min="5" max="5" width="27.5" style="2" customWidth="1"/>
    <col min="6" max="6" width="30.25" style="2" customWidth="1"/>
    <col min="7" max="7" width="43.875" style="2" customWidth="1"/>
    <col min="8" max="8" width="20.125" style="2" customWidth="1"/>
    <col min="9" max="9" width="22.625" style="2" customWidth="1"/>
    <col min="10" max="10" width="19.375" style="2" bestFit="1" customWidth="1"/>
    <col min="11" max="11" width="29.375" style="2" bestFit="1" customWidth="1"/>
    <col min="12" max="12" width="11.625" style="2" customWidth="1"/>
    <col min="13" max="13" width="22.25" style="2" customWidth="1"/>
    <col min="14" max="14" width="20.875" style="2" customWidth="1"/>
    <col min="15" max="15" width="19.875" style="2" customWidth="1"/>
    <col min="16" max="16" width="15.125" style="2" customWidth="1"/>
    <col min="17" max="17" width="12" customWidth="1"/>
    <col min="18" max="18" width="11.75" style="2" customWidth="1"/>
    <col min="19" max="19" width="14" style="2" customWidth="1"/>
    <col min="20" max="20" width="18.625" style="2" customWidth="1"/>
    <col min="21" max="21" width="16.375" style="2" customWidth="1"/>
    <col min="22" max="22" width="11.625" style="2" customWidth="1"/>
    <col min="23" max="23" width="13.875" style="2" bestFit="1" customWidth="1"/>
    <col min="24" max="24" width="17.875" style="2" customWidth="1"/>
    <col min="25" max="25" width="21.25" style="2" customWidth="1"/>
    <col min="26" max="26" width="21.75" style="2" customWidth="1"/>
    <col min="27" max="27" width="20.125" style="2" customWidth="1"/>
    <col min="28" max="28" width="13.875" style="2" bestFit="1" customWidth="1"/>
    <col min="29" max="16384" width="9" style="2"/>
  </cols>
  <sheetData>
    <row r="1" spans="1:29" ht="66.599999999999994" customHeight="1" x14ac:dyDescent="0.2">
      <c r="A1" s="17" t="s">
        <v>112</v>
      </c>
      <c r="B1" s="17" t="s">
        <v>49</v>
      </c>
      <c r="C1" s="17" t="s">
        <v>50</v>
      </c>
      <c r="D1" s="17" t="s">
        <v>108</v>
      </c>
      <c r="E1" s="17" t="s">
        <v>109</v>
      </c>
      <c r="F1" s="17" t="s">
        <v>110</v>
      </c>
      <c r="G1" s="17" t="s">
        <v>111</v>
      </c>
      <c r="H1" s="17" t="s">
        <v>2497</v>
      </c>
      <c r="I1" s="17" t="s">
        <v>113</v>
      </c>
      <c r="J1" s="17" t="s">
        <v>54</v>
      </c>
      <c r="K1" s="17" t="s">
        <v>114</v>
      </c>
      <c r="L1" s="17" t="s">
        <v>55</v>
      </c>
      <c r="M1" s="17" t="s">
        <v>115</v>
      </c>
      <c r="N1" s="17" t="s">
        <v>116</v>
      </c>
      <c r="O1" s="17" t="s">
        <v>69</v>
      </c>
      <c r="P1" s="17" t="s">
        <v>56</v>
      </c>
      <c r="Q1" s="24" t="s">
        <v>97</v>
      </c>
      <c r="R1" s="17" t="s">
        <v>59</v>
      </c>
      <c r="S1" s="17" t="s">
        <v>103</v>
      </c>
      <c r="T1" s="17" t="s">
        <v>104</v>
      </c>
      <c r="U1" s="17" t="s">
        <v>106</v>
      </c>
      <c r="V1" s="17" t="s">
        <v>61</v>
      </c>
      <c r="W1" s="83" t="s">
        <v>117</v>
      </c>
      <c r="X1" s="17" t="s">
        <v>63</v>
      </c>
      <c r="Y1" s="17" t="s">
        <v>118</v>
      </c>
      <c r="Z1" s="17" t="s">
        <v>64</v>
      </c>
      <c r="AA1" s="17" t="s">
        <v>65</v>
      </c>
      <c r="AB1" s="102"/>
    </row>
    <row r="2" spans="1:29" x14ac:dyDescent="0.2">
      <c r="A2">
        <v>666112552</v>
      </c>
      <c r="B2">
        <v>267</v>
      </c>
      <c r="C2">
        <v>267</v>
      </c>
      <c r="D2" s="103" t="s">
        <v>2409</v>
      </c>
      <c r="E2" t="s">
        <v>2410</v>
      </c>
      <c r="F2" t="s">
        <v>311</v>
      </c>
      <c r="G2" t="s">
        <v>2197</v>
      </c>
      <c r="H2">
        <v>666112552</v>
      </c>
      <c r="I2" t="s">
        <v>314</v>
      </c>
      <c r="J2" t="s">
        <v>1005</v>
      </c>
      <c r="K2" s="131" t="s">
        <v>831</v>
      </c>
      <c r="L2" s="16" t="s">
        <v>204</v>
      </c>
      <c r="M2" s="16" t="s">
        <v>224</v>
      </c>
      <c r="N2" s="16" t="s">
        <v>224</v>
      </c>
      <c r="O2" s="16" t="s">
        <v>224</v>
      </c>
      <c r="P2" t="s">
        <v>339</v>
      </c>
      <c r="Q2" s="132">
        <v>45496</v>
      </c>
      <c r="R2" t="s">
        <v>1209</v>
      </c>
      <c r="S2" t="s">
        <v>884</v>
      </c>
      <c r="T2" t="s">
        <v>889</v>
      </c>
      <c r="U2" s="132">
        <v>45657</v>
      </c>
      <c r="V2" s="125">
        <v>3.6469999999999998</v>
      </c>
      <c r="W2" s="125">
        <f>2719.709*1000</f>
        <v>2719709</v>
      </c>
      <c r="X2" s="125">
        <v>9918.7780000000002</v>
      </c>
      <c r="Y2" s="134">
        <v>9.6000000000000002E-4</v>
      </c>
      <c r="Z2" s="126">
        <v>6.1399999999999996E-3</v>
      </c>
      <c r="AA2" s="126">
        <v>8.4000000000000003E-4</v>
      </c>
      <c r="AB2" s="125"/>
      <c r="AC2" s="133"/>
    </row>
    <row r="3" spans="1:29" x14ac:dyDescent="0.2">
      <c r="A3">
        <v>62004408</v>
      </c>
      <c r="B3">
        <v>267</v>
      </c>
      <c r="C3">
        <v>267</v>
      </c>
      <c r="D3" s="103" t="s">
        <v>2361</v>
      </c>
      <c r="E3" t="s">
        <v>2411</v>
      </c>
      <c r="F3" t="s">
        <v>311</v>
      </c>
      <c r="G3" t="s">
        <v>2199</v>
      </c>
      <c r="H3">
        <v>62004408</v>
      </c>
      <c r="I3" t="s">
        <v>314</v>
      </c>
      <c r="J3" t="s">
        <v>1005</v>
      </c>
      <c r="K3" t="s">
        <v>826</v>
      </c>
      <c r="L3" t="s">
        <v>204</v>
      </c>
      <c r="M3" t="s">
        <v>224</v>
      </c>
      <c r="N3" s="16" t="s">
        <v>224</v>
      </c>
      <c r="O3" t="s">
        <v>224</v>
      </c>
      <c r="P3" t="s">
        <v>339</v>
      </c>
      <c r="Q3" s="132">
        <v>43073</v>
      </c>
      <c r="R3" t="s">
        <v>1209</v>
      </c>
      <c r="S3" t="s">
        <v>884</v>
      </c>
      <c r="T3" t="s">
        <v>889</v>
      </c>
      <c r="U3" s="135">
        <v>45657</v>
      </c>
      <c r="V3" s="125">
        <v>3.6469999999999998</v>
      </c>
      <c r="W3" s="125">
        <v>18892443</v>
      </c>
      <c r="X3" s="125">
        <v>68900.740000000005</v>
      </c>
      <c r="Y3" s="134">
        <v>6.0000000000000001E-3</v>
      </c>
      <c r="Z3" s="126">
        <v>4.265E-2</v>
      </c>
      <c r="AA3" s="126">
        <v>5.8399999999999997E-3</v>
      </c>
      <c r="AB3" s="125"/>
      <c r="AC3" s="133"/>
    </row>
    <row r="4" spans="1:29" x14ac:dyDescent="0.2">
      <c r="A4">
        <v>62010970</v>
      </c>
      <c r="B4">
        <v>267</v>
      </c>
      <c r="C4">
        <v>267</v>
      </c>
      <c r="D4" s="103" t="s">
        <v>2409</v>
      </c>
      <c r="E4" t="s">
        <v>2412</v>
      </c>
      <c r="F4" t="s">
        <v>311</v>
      </c>
      <c r="G4" t="s">
        <v>2200</v>
      </c>
      <c r="H4">
        <v>62010970</v>
      </c>
      <c r="I4" t="s">
        <v>314</v>
      </c>
      <c r="J4" t="s">
        <v>1005</v>
      </c>
      <c r="K4" t="s">
        <v>831</v>
      </c>
      <c r="L4" t="s">
        <v>204</v>
      </c>
      <c r="M4" t="s">
        <v>224</v>
      </c>
      <c r="N4" s="16" t="s">
        <v>224</v>
      </c>
      <c r="O4" t="s">
        <v>224</v>
      </c>
      <c r="P4" t="s">
        <v>339</v>
      </c>
      <c r="Q4" s="132">
        <v>43509</v>
      </c>
      <c r="R4" t="s">
        <v>1209</v>
      </c>
      <c r="S4" t="s">
        <v>884</v>
      </c>
      <c r="T4" t="s">
        <v>889</v>
      </c>
      <c r="U4" s="135">
        <v>45642</v>
      </c>
      <c r="V4" s="125">
        <v>3.6469999999999998</v>
      </c>
      <c r="W4" s="125">
        <v>15503922</v>
      </c>
      <c r="X4" s="125">
        <v>56542.803999999996</v>
      </c>
      <c r="Y4" s="134">
        <v>2.3800000000000002E-3</v>
      </c>
      <c r="Z4" s="126">
        <v>3.5000000000000003E-2</v>
      </c>
      <c r="AA4" s="126">
        <v>4.79E-3</v>
      </c>
      <c r="AB4" s="125"/>
      <c r="AC4" s="133"/>
    </row>
    <row r="5" spans="1:29" x14ac:dyDescent="0.2">
      <c r="A5">
        <v>666108709</v>
      </c>
      <c r="B5">
        <v>267</v>
      </c>
      <c r="C5">
        <v>267</v>
      </c>
      <c r="D5" s="103" t="s">
        <v>2381</v>
      </c>
      <c r="E5" t="s">
        <v>2413</v>
      </c>
      <c r="F5" t="s">
        <v>311</v>
      </c>
      <c r="G5" t="s">
        <v>2201</v>
      </c>
      <c r="H5">
        <v>666108709</v>
      </c>
      <c r="I5" t="s">
        <v>314</v>
      </c>
      <c r="J5" t="s">
        <v>1004</v>
      </c>
      <c r="K5" t="s">
        <v>842</v>
      </c>
      <c r="L5" t="s">
        <v>204</v>
      </c>
      <c r="M5" t="s">
        <v>217</v>
      </c>
      <c r="N5" s="16" t="s">
        <v>217</v>
      </c>
      <c r="O5" t="s">
        <v>293</v>
      </c>
      <c r="P5" t="s">
        <v>339</v>
      </c>
      <c r="Q5" s="132">
        <v>44298</v>
      </c>
      <c r="R5" t="s">
        <v>1210</v>
      </c>
      <c r="S5" t="s">
        <v>884</v>
      </c>
      <c r="T5" t="s">
        <v>889</v>
      </c>
      <c r="U5" s="135">
        <v>45657</v>
      </c>
      <c r="V5" s="125">
        <v>3.7959999999999998</v>
      </c>
      <c r="W5" s="125">
        <v>9702149</v>
      </c>
      <c r="X5" s="125">
        <v>36833.24</v>
      </c>
      <c r="Y5" s="134">
        <v>8.7200000000000003E-3</v>
      </c>
      <c r="Z5" s="126">
        <v>2.2800000000000001E-2</v>
      </c>
      <c r="AA5" s="126">
        <v>3.1199999999999999E-3</v>
      </c>
      <c r="AB5" s="125"/>
      <c r="AC5" s="133"/>
    </row>
    <row r="6" spans="1:29" x14ac:dyDescent="0.2">
      <c r="A6">
        <v>60415619</v>
      </c>
      <c r="B6">
        <v>267</v>
      </c>
      <c r="C6">
        <v>267</v>
      </c>
      <c r="D6" s="103" t="s">
        <v>2414</v>
      </c>
      <c r="E6" t="s">
        <v>2415</v>
      </c>
      <c r="F6" t="s">
        <v>311</v>
      </c>
      <c r="G6" t="s">
        <v>2202</v>
      </c>
      <c r="H6">
        <v>60415619</v>
      </c>
      <c r="I6" t="s">
        <v>314</v>
      </c>
      <c r="J6" t="s">
        <v>1004</v>
      </c>
      <c r="K6" t="s">
        <v>845</v>
      </c>
      <c r="L6" t="s">
        <v>204</v>
      </c>
      <c r="M6" t="s">
        <v>224</v>
      </c>
      <c r="N6" s="16" t="s">
        <v>224</v>
      </c>
      <c r="O6" t="s">
        <v>224</v>
      </c>
      <c r="P6" t="s">
        <v>339</v>
      </c>
      <c r="Q6" s="132">
        <v>42650</v>
      </c>
      <c r="R6" t="s">
        <v>1209</v>
      </c>
      <c r="S6" t="s">
        <v>884</v>
      </c>
      <c r="T6" t="s">
        <v>889</v>
      </c>
      <c r="U6" s="135">
        <v>45642</v>
      </c>
      <c r="V6" s="125">
        <v>3.6469999999999998</v>
      </c>
      <c r="W6" s="125">
        <v>10071844</v>
      </c>
      <c r="X6" s="125">
        <v>36732.014000000003</v>
      </c>
      <c r="Y6" s="134">
        <v>3.1199999999999999E-2</v>
      </c>
      <c r="Z6" s="126">
        <v>2.274E-2</v>
      </c>
      <c r="AA6" s="126">
        <v>3.1099999999999999E-3</v>
      </c>
      <c r="AB6" s="125"/>
      <c r="AC6" s="133"/>
    </row>
    <row r="7" spans="1:29" x14ac:dyDescent="0.2">
      <c r="A7">
        <v>62014956</v>
      </c>
      <c r="B7">
        <v>267</v>
      </c>
      <c r="C7">
        <v>267</v>
      </c>
      <c r="D7" s="103" t="s">
        <v>2416</v>
      </c>
      <c r="E7" t="s">
        <v>2417</v>
      </c>
      <c r="F7" t="s">
        <v>311</v>
      </c>
      <c r="G7" t="s">
        <v>2203</v>
      </c>
      <c r="H7">
        <v>62014956</v>
      </c>
      <c r="I7" t="s">
        <v>314</v>
      </c>
      <c r="J7" t="s">
        <v>1005</v>
      </c>
      <c r="K7" t="s">
        <v>846</v>
      </c>
      <c r="L7" t="s">
        <v>204</v>
      </c>
      <c r="M7" t="s">
        <v>224</v>
      </c>
      <c r="N7" s="16" t="s">
        <v>224</v>
      </c>
      <c r="O7" t="s">
        <v>224</v>
      </c>
      <c r="P7" t="s">
        <v>339</v>
      </c>
      <c r="Q7" s="132">
        <v>43818</v>
      </c>
      <c r="R7" t="s">
        <v>1209</v>
      </c>
      <c r="S7" t="s">
        <v>884</v>
      </c>
      <c r="T7" t="s">
        <v>889</v>
      </c>
      <c r="U7" s="135">
        <v>45649</v>
      </c>
      <c r="V7" s="125">
        <v>3.6469999999999998</v>
      </c>
      <c r="W7" s="125">
        <v>9855086</v>
      </c>
      <c r="X7" s="125">
        <v>35941.498</v>
      </c>
      <c r="Y7" s="134">
        <v>1.5100000000000001E-3</v>
      </c>
      <c r="Z7" s="126">
        <v>2.2249999999999999E-2</v>
      </c>
      <c r="AA7" s="126">
        <v>3.0500000000000002E-3</v>
      </c>
      <c r="AB7" s="125"/>
      <c r="AC7" s="133"/>
    </row>
    <row r="8" spans="1:29" x14ac:dyDescent="0.2">
      <c r="A8">
        <v>666108873</v>
      </c>
      <c r="B8">
        <v>267</v>
      </c>
      <c r="C8">
        <v>267</v>
      </c>
      <c r="D8" s="103" t="s">
        <v>2418</v>
      </c>
      <c r="E8" t="s">
        <v>2419</v>
      </c>
      <c r="F8" t="s">
        <v>311</v>
      </c>
      <c r="G8" t="s">
        <v>2204</v>
      </c>
      <c r="H8">
        <v>666108873</v>
      </c>
      <c r="I8" t="s">
        <v>314</v>
      </c>
      <c r="J8" t="s">
        <v>1004</v>
      </c>
      <c r="K8" t="s">
        <v>845</v>
      </c>
      <c r="L8" t="s">
        <v>204</v>
      </c>
      <c r="M8" t="s">
        <v>224</v>
      </c>
      <c r="N8" s="16" t="s">
        <v>224</v>
      </c>
      <c r="O8" t="s">
        <v>224</v>
      </c>
      <c r="P8" t="s">
        <v>339</v>
      </c>
      <c r="Q8" s="132">
        <v>44347</v>
      </c>
      <c r="R8" t="s">
        <v>1209</v>
      </c>
      <c r="S8" t="s">
        <v>884</v>
      </c>
      <c r="T8" t="s">
        <v>889</v>
      </c>
      <c r="U8" s="135">
        <v>45649</v>
      </c>
      <c r="V8" s="125">
        <v>3.6469999999999998</v>
      </c>
      <c r="W8" s="125">
        <v>9324762</v>
      </c>
      <c r="X8" s="125">
        <v>34007.408000000003</v>
      </c>
      <c r="Y8" s="134">
        <v>1.3299999999999999E-2</v>
      </c>
      <c r="Z8" s="126">
        <v>2.1049999999999999E-2</v>
      </c>
      <c r="AA8" s="126">
        <v>2.8800000000000002E-3</v>
      </c>
      <c r="AB8" s="125"/>
      <c r="AC8" s="133"/>
    </row>
    <row r="9" spans="1:29" x14ac:dyDescent="0.2">
      <c r="A9">
        <v>62014790</v>
      </c>
      <c r="B9">
        <v>267</v>
      </c>
      <c r="C9">
        <v>267</v>
      </c>
      <c r="D9" s="103" t="s">
        <v>2420</v>
      </c>
      <c r="E9" t="s">
        <v>2421</v>
      </c>
      <c r="F9" t="s">
        <v>311</v>
      </c>
      <c r="G9" t="s">
        <v>2205</v>
      </c>
      <c r="H9">
        <v>62014790</v>
      </c>
      <c r="I9" t="s">
        <v>314</v>
      </c>
      <c r="J9" t="s">
        <v>1005</v>
      </c>
      <c r="K9" t="s">
        <v>846</v>
      </c>
      <c r="L9" t="s">
        <v>204</v>
      </c>
      <c r="M9" t="s">
        <v>217</v>
      </c>
      <c r="N9" s="16" t="s">
        <v>224</v>
      </c>
      <c r="O9" t="s">
        <v>224</v>
      </c>
      <c r="P9" t="s">
        <v>339</v>
      </c>
      <c r="Q9" s="132">
        <v>43805</v>
      </c>
      <c r="R9" t="s">
        <v>1209</v>
      </c>
      <c r="S9" t="s">
        <v>884</v>
      </c>
      <c r="T9" t="s">
        <v>889</v>
      </c>
      <c r="U9" s="135">
        <v>45620</v>
      </c>
      <c r="V9" s="125">
        <v>3.6469999999999998</v>
      </c>
      <c r="W9" s="125">
        <v>8652308</v>
      </c>
      <c r="X9" s="125">
        <v>31554.966</v>
      </c>
      <c r="Y9" s="134">
        <v>9.3299999999999998E-3</v>
      </c>
      <c r="Z9" s="126">
        <v>1.9529999999999999E-2</v>
      </c>
      <c r="AA9" s="126">
        <v>2.6700000000000001E-3</v>
      </c>
      <c r="AB9" s="125"/>
      <c r="AC9" s="133"/>
    </row>
    <row r="10" spans="1:29" x14ac:dyDescent="0.2">
      <c r="A10">
        <v>50000652</v>
      </c>
      <c r="B10">
        <v>267</v>
      </c>
      <c r="C10">
        <v>267</v>
      </c>
      <c r="D10" s="103" t="s">
        <v>2422</v>
      </c>
      <c r="E10">
        <v>540287240</v>
      </c>
      <c r="F10" t="s">
        <v>310</v>
      </c>
      <c r="G10" t="s">
        <v>2206</v>
      </c>
      <c r="H10">
        <v>50000652</v>
      </c>
      <c r="I10" t="s">
        <v>314</v>
      </c>
      <c r="J10" t="s">
        <v>1004</v>
      </c>
      <c r="K10" t="s">
        <v>569</v>
      </c>
      <c r="L10" t="s">
        <v>204</v>
      </c>
      <c r="M10" t="s">
        <v>204</v>
      </c>
      <c r="N10" s="16" t="s">
        <v>204</v>
      </c>
      <c r="O10" t="s">
        <v>204</v>
      </c>
      <c r="P10" t="s">
        <v>339</v>
      </c>
      <c r="Q10" s="132">
        <v>43614</v>
      </c>
      <c r="R10" t="s">
        <v>1208</v>
      </c>
      <c r="S10" t="s">
        <v>884</v>
      </c>
      <c r="T10" t="s">
        <v>889</v>
      </c>
      <c r="U10" s="135">
        <v>45642</v>
      </c>
      <c r="V10" s="125">
        <v>1</v>
      </c>
      <c r="W10" s="125">
        <v>29694086</v>
      </c>
      <c r="X10" s="125">
        <v>29694.085999999999</v>
      </c>
      <c r="Y10" s="134">
        <v>2.69E-2</v>
      </c>
      <c r="Z10" s="126">
        <v>1.8380000000000001E-2</v>
      </c>
      <c r="AA10" s="126">
        <v>2.5200000000000001E-3</v>
      </c>
      <c r="AB10" s="125"/>
      <c r="AC10" s="133"/>
    </row>
    <row r="11" spans="1:29" x14ac:dyDescent="0.2">
      <c r="A11">
        <v>666108162</v>
      </c>
      <c r="B11">
        <v>267</v>
      </c>
      <c r="C11">
        <v>267</v>
      </c>
      <c r="D11" s="103" t="s">
        <v>2423</v>
      </c>
      <c r="E11" t="s">
        <v>2424</v>
      </c>
      <c r="F11" t="s">
        <v>313</v>
      </c>
      <c r="G11" t="s">
        <v>2207</v>
      </c>
      <c r="H11">
        <v>666108162</v>
      </c>
      <c r="I11" t="s">
        <v>314</v>
      </c>
      <c r="J11" t="s">
        <v>1005</v>
      </c>
      <c r="K11" t="s">
        <v>832</v>
      </c>
      <c r="L11" t="s">
        <v>204</v>
      </c>
      <c r="M11" t="s">
        <v>240</v>
      </c>
      <c r="N11" s="16" t="s">
        <v>224</v>
      </c>
      <c r="O11" t="s">
        <v>293</v>
      </c>
      <c r="P11" t="s">
        <v>339</v>
      </c>
      <c r="Q11" s="132">
        <v>44195</v>
      </c>
      <c r="R11" t="s">
        <v>1209</v>
      </c>
      <c r="S11" t="s">
        <v>884</v>
      </c>
      <c r="T11" t="s">
        <v>889</v>
      </c>
      <c r="U11" s="135">
        <v>45643</v>
      </c>
      <c r="V11" s="125">
        <v>3.6469999999999998</v>
      </c>
      <c r="W11" s="125">
        <v>7927420</v>
      </c>
      <c r="X11" s="125">
        <v>28911.300999999999</v>
      </c>
      <c r="Y11" s="134">
        <v>5.0000000000000001E-3</v>
      </c>
      <c r="Z11" s="126">
        <v>1.7899999999999999E-2</v>
      </c>
      <c r="AA11" s="126">
        <v>2.4499999999999999E-3</v>
      </c>
      <c r="AB11" s="125"/>
      <c r="AC11" s="133"/>
    </row>
    <row r="12" spans="1:29" x14ac:dyDescent="0.2">
      <c r="A12">
        <v>666107909</v>
      </c>
      <c r="B12">
        <v>267</v>
      </c>
      <c r="C12">
        <v>267</v>
      </c>
      <c r="D12" s="103" t="s">
        <v>2425</v>
      </c>
      <c r="E12" t="s">
        <v>2426</v>
      </c>
      <c r="F12" t="s">
        <v>313</v>
      </c>
      <c r="G12" t="s">
        <v>2208</v>
      </c>
      <c r="H12">
        <v>666107909</v>
      </c>
      <c r="I12" t="s">
        <v>314</v>
      </c>
      <c r="J12" t="s">
        <v>1005</v>
      </c>
      <c r="K12" t="s">
        <v>844</v>
      </c>
      <c r="L12" t="s">
        <v>204</v>
      </c>
      <c r="M12" t="s">
        <v>217</v>
      </c>
      <c r="N12" s="16" t="s">
        <v>224</v>
      </c>
      <c r="O12" t="s">
        <v>224</v>
      </c>
      <c r="P12" t="s">
        <v>339</v>
      </c>
      <c r="Q12" s="132">
        <v>44164</v>
      </c>
      <c r="R12" t="s">
        <v>1209</v>
      </c>
      <c r="S12" t="s">
        <v>884</v>
      </c>
      <c r="T12" t="s">
        <v>889</v>
      </c>
      <c r="U12" s="135">
        <v>45649</v>
      </c>
      <c r="V12" s="125">
        <v>3.6469999999999998</v>
      </c>
      <c r="W12" s="125">
        <v>7483297</v>
      </c>
      <c r="X12" s="125">
        <v>27291.584999999999</v>
      </c>
      <c r="Y12" s="134">
        <v>2.5930000000000002E-2</v>
      </c>
      <c r="Z12" s="126">
        <v>1.6889999999999999E-2</v>
      </c>
      <c r="AA12" s="126">
        <v>2.31E-3</v>
      </c>
      <c r="AB12" s="125"/>
      <c r="AC12" s="133"/>
    </row>
    <row r="13" spans="1:29" x14ac:dyDescent="0.2">
      <c r="A13">
        <v>666108469</v>
      </c>
      <c r="B13">
        <v>267</v>
      </c>
      <c r="C13">
        <v>267</v>
      </c>
      <c r="D13" s="103" t="s">
        <v>2427</v>
      </c>
      <c r="E13">
        <v>4012569534</v>
      </c>
      <c r="F13" t="s">
        <v>311</v>
      </c>
      <c r="G13" t="s">
        <v>2209</v>
      </c>
      <c r="H13">
        <v>666108469</v>
      </c>
      <c r="I13" t="s">
        <v>314</v>
      </c>
      <c r="J13" t="s">
        <v>1005</v>
      </c>
      <c r="K13" t="s">
        <v>569</v>
      </c>
      <c r="L13" t="s">
        <v>204</v>
      </c>
      <c r="M13" t="s">
        <v>217</v>
      </c>
      <c r="N13" s="16" t="s">
        <v>224</v>
      </c>
      <c r="O13" t="s">
        <v>224</v>
      </c>
      <c r="P13" t="s">
        <v>339</v>
      </c>
      <c r="Q13" s="132">
        <v>44251</v>
      </c>
      <c r="R13" t="s">
        <v>1209</v>
      </c>
      <c r="S13" t="s">
        <v>884</v>
      </c>
      <c r="T13" t="s">
        <v>889</v>
      </c>
      <c r="U13" s="135">
        <v>45564</v>
      </c>
      <c r="V13" s="125">
        <v>3.6469999999999998</v>
      </c>
      <c r="W13" s="125">
        <v>7163153</v>
      </c>
      <c r="X13" s="125">
        <v>26124.018</v>
      </c>
      <c r="Y13" s="134">
        <v>6.6E-3</v>
      </c>
      <c r="Z13" s="126">
        <v>1.617E-2</v>
      </c>
      <c r="AA13" s="126">
        <v>2.2100000000000002E-3</v>
      </c>
      <c r="AB13" s="125"/>
      <c r="AC13" s="133"/>
    </row>
    <row r="14" spans="1:29" x14ac:dyDescent="0.2">
      <c r="A14">
        <v>666109947</v>
      </c>
      <c r="B14">
        <v>267</v>
      </c>
      <c r="C14">
        <v>267</v>
      </c>
      <c r="D14" s="103" t="s">
        <v>2349</v>
      </c>
      <c r="E14">
        <v>540310109</v>
      </c>
      <c r="F14" t="s">
        <v>310</v>
      </c>
      <c r="G14" t="s">
        <v>2210</v>
      </c>
      <c r="H14">
        <v>666109947</v>
      </c>
      <c r="I14" t="s">
        <v>314</v>
      </c>
      <c r="J14" t="s">
        <v>1005</v>
      </c>
      <c r="K14" t="s">
        <v>844</v>
      </c>
      <c r="L14" t="s">
        <v>204</v>
      </c>
      <c r="M14" t="s">
        <v>204</v>
      </c>
      <c r="N14" s="16" t="s">
        <v>204</v>
      </c>
      <c r="O14" t="s">
        <v>204</v>
      </c>
      <c r="P14" t="s">
        <v>339</v>
      </c>
      <c r="Q14" s="132">
        <v>44595</v>
      </c>
      <c r="R14" t="s">
        <v>1208</v>
      </c>
      <c r="S14" t="s">
        <v>884</v>
      </c>
      <c r="T14" t="s">
        <v>889</v>
      </c>
      <c r="U14" s="135">
        <v>45643</v>
      </c>
      <c r="V14" s="125">
        <v>1</v>
      </c>
      <c r="W14" s="125">
        <v>22013577</v>
      </c>
      <c r="X14" s="125">
        <v>22013.577000000001</v>
      </c>
      <c r="Y14" s="134">
        <v>3.6799999999999999E-2</v>
      </c>
      <c r="Z14" s="126">
        <v>1.363E-2</v>
      </c>
      <c r="AA14" s="126">
        <v>1.8699999999999999E-3</v>
      </c>
      <c r="AB14" s="125"/>
      <c r="AC14" s="133"/>
    </row>
    <row r="15" spans="1:29" x14ac:dyDescent="0.2">
      <c r="A15">
        <v>666109459</v>
      </c>
      <c r="B15">
        <v>267</v>
      </c>
      <c r="C15">
        <v>267</v>
      </c>
      <c r="D15" s="103" t="s">
        <v>2428</v>
      </c>
      <c r="E15">
        <v>540297884</v>
      </c>
      <c r="F15" t="s">
        <v>309</v>
      </c>
      <c r="G15" t="s">
        <v>2211</v>
      </c>
      <c r="H15">
        <v>666109459</v>
      </c>
      <c r="I15" t="s">
        <v>314</v>
      </c>
      <c r="J15" t="s">
        <v>1005</v>
      </c>
      <c r="K15" t="s">
        <v>844</v>
      </c>
      <c r="L15" t="s">
        <v>204</v>
      </c>
      <c r="M15" t="s">
        <v>204</v>
      </c>
      <c r="N15" s="16" t="s">
        <v>204</v>
      </c>
      <c r="O15" t="s">
        <v>204</v>
      </c>
      <c r="P15" t="s">
        <v>339</v>
      </c>
      <c r="Q15" s="132">
        <v>44440</v>
      </c>
      <c r="R15" t="s">
        <v>1208</v>
      </c>
      <c r="S15" t="s">
        <v>884</v>
      </c>
      <c r="T15" t="s">
        <v>889</v>
      </c>
      <c r="U15" s="135">
        <v>45620</v>
      </c>
      <c r="V15" s="125">
        <v>1</v>
      </c>
      <c r="W15" s="125">
        <v>21152510</v>
      </c>
      <c r="X15" s="125">
        <v>21152.51</v>
      </c>
      <c r="Y15" s="134">
        <v>8.2400000000000001E-2</v>
      </c>
      <c r="Z15" s="126">
        <v>1.3089999999999999E-2</v>
      </c>
      <c r="AA15" s="126">
        <v>1.7899999999999999E-3</v>
      </c>
      <c r="AB15" s="125"/>
      <c r="AC15" s="133"/>
    </row>
    <row r="16" spans="1:29" x14ac:dyDescent="0.2">
      <c r="A16">
        <v>18986</v>
      </c>
      <c r="B16">
        <v>267</v>
      </c>
      <c r="C16">
        <v>267</v>
      </c>
      <c r="D16" s="103" t="s">
        <v>2429</v>
      </c>
      <c r="E16">
        <v>550274542</v>
      </c>
      <c r="F16" t="s">
        <v>310</v>
      </c>
      <c r="G16" t="s">
        <v>2212</v>
      </c>
      <c r="H16">
        <v>18986</v>
      </c>
      <c r="I16" t="s">
        <v>314</v>
      </c>
      <c r="J16" t="s">
        <v>1005</v>
      </c>
      <c r="K16" t="s">
        <v>832</v>
      </c>
      <c r="L16" t="s">
        <v>204</v>
      </c>
      <c r="M16" t="s">
        <v>204</v>
      </c>
      <c r="N16" s="16" t="s">
        <v>204</v>
      </c>
      <c r="O16" t="s">
        <v>204</v>
      </c>
      <c r="P16" t="s">
        <v>339</v>
      </c>
      <c r="Q16" s="132">
        <v>43090</v>
      </c>
      <c r="R16" t="s">
        <v>1208</v>
      </c>
      <c r="S16" t="s">
        <v>884</v>
      </c>
      <c r="T16" t="s">
        <v>889</v>
      </c>
      <c r="U16" s="135">
        <v>45642</v>
      </c>
      <c r="V16" s="125">
        <v>1</v>
      </c>
      <c r="W16" s="125">
        <v>20598490</v>
      </c>
      <c r="X16" s="125">
        <v>20598.490000000002</v>
      </c>
      <c r="Y16" s="134">
        <v>4.8770000000000001E-2</v>
      </c>
      <c r="Z16" s="126">
        <v>1.2749999999999999E-2</v>
      </c>
      <c r="AA16" s="126">
        <v>1.75E-3</v>
      </c>
      <c r="AB16" s="125"/>
      <c r="AC16" s="133"/>
    </row>
    <row r="17" spans="1:29" x14ac:dyDescent="0.2">
      <c r="A17">
        <v>666109707</v>
      </c>
      <c r="B17">
        <v>267</v>
      </c>
      <c r="C17">
        <v>267</v>
      </c>
      <c r="D17" s="103" t="s">
        <v>2430</v>
      </c>
      <c r="E17">
        <v>500471685</v>
      </c>
      <c r="F17" t="s">
        <v>310</v>
      </c>
      <c r="G17" t="s">
        <v>2213</v>
      </c>
      <c r="H17">
        <v>666109707</v>
      </c>
      <c r="I17" t="s">
        <v>314</v>
      </c>
      <c r="J17" t="s">
        <v>1005</v>
      </c>
      <c r="K17" t="s">
        <v>845</v>
      </c>
      <c r="L17" t="s">
        <v>204</v>
      </c>
      <c r="M17" t="s">
        <v>217</v>
      </c>
      <c r="N17" s="16" t="s">
        <v>204</v>
      </c>
      <c r="O17" t="s">
        <v>204</v>
      </c>
      <c r="P17" t="s">
        <v>339</v>
      </c>
      <c r="Q17" s="132">
        <v>44530</v>
      </c>
      <c r="R17" t="s">
        <v>1209</v>
      </c>
      <c r="S17" t="s">
        <v>884</v>
      </c>
      <c r="T17" t="s">
        <v>889</v>
      </c>
      <c r="U17" s="135">
        <v>45623</v>
      </c>
      <c r="V17" s="125">
        <v>3.6469999999999998</v>
      </c>
      <c r="W17" s="125">
        <v>5158675</v>
      </c>
      <c r="X17" s="125">
        <v>18813.687999999998</v>
      </c>
      <c r="Y17" s="134">
        <v>0.16</v>
      </c>
      <c r="Z17" s="126">
        <v>1.1650000000000001E-2</v>
      </c>
      <c r="AA17" s="126">
        <v>1.5900000000000001E-3</v>
      </c>
      <c r="AB17" s="125"/>
      <c r="AC17" s="133"/>
    </row>
    <row r="18" spans="1:29" x14ac:dyDescent="0.2">
      <c r="A18">
        <v>62002348</v>
      </c>
      <c r="B18">
        <v>267</v>
      </c>
      <c r="C18">
        <v>267</v>
      </c>
      <c r="D18" s="103" t="s">
        <v>2431</v>
      </c>
      <c r="E18" t="s">
        <v>2432</v>
      </c>
      <c r="F18" t="s">
        <v>311</v>
      </c>
      <c r="G18" t="s">
        <v>2214</v>
      </c>
      <c r="H18">
        <v>62002348</v>
      </c>
      <c r="I18" t="s">
        <v>314</v>
      </c>
      <c r="J18" t="s">
        <v>1004</v>
      </c>
      <c r="K18" t="s">
        <v>825</v>
      </c>
      <c r="L18" t="s">
        <v>204</v>
      </c>
      <c r="M18" t="s">
        <v>204</v>
      </c>
      <c r="N18" s="16" t="s">
        <v>204</v>
      </c>
      <c r="O18" t="s">
        <v>224</v>
      </c>
      <c r="P18" t="s">
        <v>339</v>
      </c>
      <c r="Q18" s="132">
        <v>42926</v>
      </c>
      <c r="R18" t="s">
        <v>1210</v>
      </c>
      <c r="S18" t="s">
        <v>884</v>
      </c>
      <c r="T18" t="s">
        <v>889</v>
      </c>
      <c r="U18" s="135">
        <v>45643</v>
      </c>
      <c r="V18" s="125">
        <v>3.7959999999999998</v>
      </c>
      <c r="W18" s="125">
        <v>4861728</v>
      </c>
      <c r="X18" s="125">
        <v>18457.063999999998</v>
      </c>
      <c r="Y18" s="134">
        <v>4.2000000000000003E-2</v>
      </c>
      <c r="Z18" s="126">
        <v>1.1429999999999999E-2</v>
      </c>
      <c r="AA18" s="126">
        <v>1.56E-3</v>
      </c>
      <c r="AB18" s="125"/>
      <c r="AC18" s="133"/>
    </row>
    <row r="19" spans="1:29" x14ac:dyDescent="0.2">
      <c r="A19">
        <v>37879</v>
      </c>
      <c r="B19">
        <v>267</v>
      </c>
      <c r="C19">
        <v>267</v>
      </c>
      <c r="D19" s="103" t="s">
        <v>2422</v>
      </c>
      <c r="E19">
        <v>550260061</v>
      </c>
      <c r="F19" t="s">
        <v>310</v>
      </c>
      <c r="G19" t="s">
        <v>2215</v>
      </c>
      <c r="H19">
        <v>37879</v>
      </c>
      <c r="I19" t="s">
        <v>314</v>
      </c>
      <c r="J19" t="s">
        <v>1004</v>
      </c>
      <c r="K19" t="s">
        <v>838</v>
      </c>
      <c r="L19" t="s">
        <v>204</v>
      </c>
      <c r="M19" t="s">
        <v>204</v>
      </c>
      <c r="N19" s="16" t="s">
        <v>204</v>
      </c>
      <c r="O19" t="s">
        <v>204</v>
      </c>
      <c r="P19" t="s">
        <v>339</v>
      </c>
      <c r="Q19" s="132">
        <v>42185</v>
      </c>
      <c r="R19" t="s">
        <v>1208</v>
      </c>
      <c r="S19" t="s">
        <v>884</v>
      </c>
      <c r="T19" t="s">
        <v>889</v>
      </c>
      <c r="U19" s="135">
        <v>45642</v>
      </c>
      <c r="V19" s="125">
        <v>1</v>
      </c>
      <c r="W19" s="125">
        <v>18098735</v>
      </c>
      <c r="X19" s="125">
        <v>18098.735000000001</v>
      </c>
      <c r="Y19" s="134">
        <v>3.49E-2</v>
      </c>
      <c r="Z19" s="126">
        <v>1.12E-2</v>
      </c>
      <c r="AA19" s="126">
        <v>1.5299999999999999E-3</v>
      </c>
      <c r="AB19" s="125"/>
      <c r="AC19" s="133"/>
    </row>
    <row r="20" spans="1:29" x14ac:dyDescent="0.2">
      <c r="A20">
        <v>666111695</v>
      </c>
      <c r="B20">
        <v>267</v>
      </c>
      <c r="C20">
        <v>267</v>
      </c>
      <c r="D20" s="103" t="s">
        <v>2433</v>
      </c>
      <c r="E20" t="s">
        <v>2434</v>
      </c>
      <c r="F20" t="s">
        <v>311</v>
      </c>
      <c r="G20" t="s">
        <v>2216</v>
      </c>
      <c r="H20">
        <v>666111695</v>
      </c>
      <c r="I20" t="s">
        <v>314</v>
      </c>
      <c r="J20" t="s">
        <v>1005</v>
      </c>
      <c r="K20" t="s">
        <v>831</v>
      </c>
      <c r="L20" t="s">
        <v>204</v>
      </c>
      <c r="M20" t="s">
        <v>217</v>
      </c>
      <c r="N20" s="16" t="s">
        <v>224</v>
      </c>
      <c r="O20" t="s">
        <v>232</v>
      </c>
      <c r="P20" t="s">
        <v>339</v>
      </c>
      <c r="Q20" s="132">
        <v>45197</v>
      </c>
      <c r="R20" t="s">
        <v>1209</v>
      </c>
      <c r="S20" t="s">
        <v>884</v>
      </c>
      <c r="T20" t="s">
        <v>889</v>
      </c>
      <c r="U20" s="145">
        <v>45643</v>
      </c>
      <c r="V20" s="125">
        <v>3.6469999999999998</v>
      </c>
      <c r="W20" s="125">
        <v>4911543</v>
      </c>
      <c r="X20" s="125">
        <v>17912.397000000001</v>
      </c>
      <c r="Y20" s="134">
        <v>1.23E-2</v>
      </c>
      <c r="Z20" s="126">
        <v>1.1089999999999999E-2</v>
      </c>
      <c r="AA20" s="126">
        <v>1.5200000000000001E-3</v>
      </c>
      <c r="AB20" s="125"/>
      <c r="AC20" s="133"/>
    </row>
    <row r="21" spans="1:29" x14ac:dyDescent="0.2">
      <c r="A21">
        <v>666109905</v>
      </c>
      <c r="B21">
        <v>267</v>
      </c>
      <c r="C21">
        <v>267</v>
      </c>
      <c r="D21" s="103" t="s">
        <v>2380</v>
      </c>
      <c r="E21">
        <v>514601640</v>
      </c>
      <c r="F21" t="s">
        <v>309</v>
      </c>
      <c r="G21" t="s">
        <v>2217</v>
      </c>
      <c r="H21">
        <v>666109905</v>
      </c>
      <c r="I21" t="s">
        <v>314</v>
      </c>
      <c r="J21" t="s">
        <v>1005</v>
      </c>
      <c r="K21" t="s">
        <v>831</v>
      </c>
      <c r="L21" t="s">
        <v>204</v>
      </c>
      <c r="M21" t="s">
        <v>204</v>
      </c>
      <c r="N21" s="16" t="s">
        <v>204</v>
      </c>
      <c r="O21" t="s">
        <v>224</v>
      </c>
      <c r="P21" t="s">
        <v>339</v>
      </c>
      <c r="Q21" s="132">
        <v>44587</v>
      </c>
      <c r="R21" t="s">
        <v>1209</v>
      </c>
      <c r="S21" t="s">
        <v>884</v>
      </c>
      <c r="T21" t="s">
        <v>889</v>
      </c>
      <c r="U21" s="135">
        <v>45558</v>
      </c>
      <c r="V21" s="125">
        <v>3.6469999999999998</v>
      </c>
      <c r="W21" s="125">
        <v>4907464</v>
      </c>
      <c r="X21" s="125">
        <v>17897.521000000001</v>
      </c>
      <c r="Y21" s="134">
        <v>5.5E-2</v>
      </c>
      <c r="Z21" s="126">
        <v>1.108E-2</v>
      </c>
      <c r="AA21" s="126">
        <v>1.5200000000000001E-3</v>
      </c>
      <c r="AB21" s="125"/>
      <c r="AC21" s="133"/>
    </row>
    <row r="22" spans="1:29" x14ac:dyDescent="0.2">
      <c r="A22">
        <v>62010434</v>
      </c>
      <c r="B22">
        <v>267</v>
      </c>
      <c r="C22">
        <v>267</v>
      </c>
      <c r="D22" s="103" t="s">
        <v>2218</v>
      </c>
      <c r="E22">
        <v>1653982</v>
      </c>
      <c r="F22" t="s">
        <v>311</v>
      </c>
      <c r="G22" t="s">
        <v>2218</v>
      </c>
      <c r="H22">
        <v>62010434</v>
      </c>
      <c r="I22" t="s">
        <v>314</v>
      </c>
      <c r="J22" t="s">
        <v>1000</v>
      </c>
      <c r="K22" t="s">
        <v>826</v>
      </c>
      <c r="L22" t="s">
        <v>204</v>
      </c>
      <c r="M22" t="s">
        <v>204</v>
      </c>
      <c r="N22" s="16" t="s">
        <v>204</v>
      </c>
      <c r="O22" t="s">
        <v>204</v>
      </c>
      <c r="P22" t="s">
        <v>339</v>
      </c>
      <c r="Q22" s="132">
        <v>43570</v>
      </c>
      <c r="R22" t="s">
        <v>1209</v>
      </c>
      <c r="S22" t="s">
        <v>884</v>
      </c>
      <c r="T22" t="s">
        <v>889</v>
      </c>
      <c r="U22" s="135">
        <v>45643</v>
      </c>
      <c r="V22" s="125">
        <v>3.6469999999999998</v>
      </c>
      <c r="W22" s="125">
        <v>4785743</v>
      </c>
      <c r="X22" s="125">
        <v>17453.602999999999</v>
      </c>
      <c r="Y22" s="134">
        <v>6.5500000000000003E-2</v>
      </c>
      <c r="Z22" s="126">
        <v>1.0800000000000001E-2</v>
      </c>
      <c r="AA22" s="126">
        <v>1.48E-3</v>
      </c>
      <c r="AB22" s="125"/>
      <c r="AC22" s="133"/>
    </row>
    <row r="23" spans="1:29" x14ac:dyDescent="0.2">
      <c r="A23">
        <v>666111125</v>
      </c>
      <c r="B23">
        <v>267</v>
      </c>
      <c r="C23">
        <v>267</v>
      </c>
      <c r="D23" s="103" t="s">
        <v>2435</v>
      </c>
      <c r="E23" t="s">
        <v>2413</v>
      </c>
      <c r="F23" t="s">
        <v>311</v>
      </c>
      <c r="G23" t="s">
        <v>2219</v>
      </c>
      <c r="H23">
        <v>666111125</v>
      </c>
      <c r="I23" t="s">
        <v>314</v>
      </c>
      <c r="J23" t="s">
        <v>1005</v>
      </c>
      <c r="K23" t="s">
        <v>836</v>
      </c>
      <c r="L23" t="s">
        <v>204</v>
      </c>
      <c r="M23" t="s">
        <v>253</v>
      </c>
      <c r="N23" s="16" t="s">
        <v>217</v>
      </c>
      <c r="O23" t="s">
        <v>293</v>
      </c>
      <c r="P23" t="s">
        <v>339</v>
      </c>
      <c r="Q23" s="132">
        <v>44945</v>
      </c>
      <c r="R23" t="s">
        <v>1210</v>
      </c>
      <c r="S23" t="s">
        <v>884</v>
      </c>
      <c r="T23" t="s">
        <v>889</v>
      </c>
      <c r="U23" s="135">
        <v>45649</v>
      </c>
      <c r="V23" s="125">
        <v>3.7959999999999998</v>
      </c>
      <c r="W23" s="125">
        <v>4558846</v>
      </c>
      <c r="X23" s="125">
        <v>17307.203000000001</v>
      </c>
      <c r="Y23" s="134">
        <v>9.8399999999999998E-3</v>
      </c>
      <c r="Z23" s="126">
        <v>1.0710000000000001E-2</v>
      </c>
      <c r="AA23" s="126">
        <v>1.47E-3</v>
      </c>
      <c r="AB23" s="125"/>
      <c r="AC23" s="133"/>
    </row>
    <row r="24" spans="1:29" x14ac:dyDescent="0.2">
      <c r="A24">
        <v>62013503</v>
      </c>
      <c r="B24">
        <v>267</v>
      </c>
      <c r="C24">
        <v>267</v>
      </c>
      <c r="D24" s="103" t="s">
        <v>2436</v>
      </c>
      <c r="E24">
        <v>500460191</v>
      </c>
      <c r="F24" t="s">
        <v>310</v>
      </c>
      <c r="G24" t="s">
        <v>2220</v>
      </c>
      <c r="H24">
        <v>62013503</v>
      </c>
      <c r="I24" t="s">
        <v>314</v>
      </c>
      <c r="J24" t="s">
        <v>1000</v>
      </c>
      <c r="K24" t="s">
        <v>836</v>
      </c>
      <c r="L24" t="s">
        <v>204</v>
      </c>
      <c r="M24" t="s">
        <v>217</v>
      </c>
      <c r="N24" s="16" t="s">
        <v>204</v>
      </c>
      <c r="O24" t="s">
        <v>204</v>
      </c>
      <c r="P24" t="s">
        <v>339</v>
      </c>
      <c r="Q24" s="132">
        <v>43658</v>
      </c>
      <c r="R24" t="s">
        <v>1209</v>
      </c>
      <c r="S24" t="s">
        <v>884</v>
      </c>
      <c r="T24" t="s">
        <v>889</v>
      </c>
      <c r="U24" s="135">
        <v>45643</v>
      </c>
      <c r="V24" s="125">
        <v>3.6469999999999998</v>
      </c>
      <c r="W24" s="125">
        <v>4373524</v>
      </c>
      <c r="X24" s="125">
        <v>15950.244000000001</v>
      </c>
      <c r="Y24" s="134">
        <v>1.7270000000000001E-2</v>
      </c>
      <c r="Z24" s="126">
        <v>9.8700000000000003E-3</v>
      </c>
      <c r="AA24" s="126">
        <v>1.3500000000000001E-3</v>
      </c>
      <c r="AB24" s="125"/>
      <c r="AC24" s="133"/>
    </row>
    <row r="25" spans="1:29" x14ac:dyDescent="0.2">
      <c r="A25">
        <v>60419868</v>
      </c>
      <c r="B25">
        <v>267</v>
      </c>
      <c r="C25">
        <v>267</v>
      </c>
      <c r="D25" s="103" t="s">
        <v>2437</v>
      </c>
      <c r="E25">
        <v>550257414</v>
      </c>
      <c r="F25" t="s">
        <v>310</v>
      </c>
      <c r="G25" t="s">
        <v>2221</v>
      </c>
      <c r="H25">
        <v>60419868</v>
      </c>
      <c r="I25" t="s">
        <v>314</v>
      </c>
      <c r="J25" t="s">
        <v>1005</v>
      </c>
      <c r="K25" t="s">
        <v>839</v>
      </c>
      <c r="L25" t="s">
        <v>204</v>
      </c>
      <c r="M25" t="s">
        <v>204</v>
      </c>
      <c r="N25" s="16" t="s">
        <v>204</v>
      </c>
      <c r="O25" t="s">
        <v>224</v>
      </c>
      <c r="P25" t="s">
        <v>339</v>
      </c>
      <c r="Q25" s="132">
        <v>42724</v>
      </c>
      <c r="R25" t="s">
        <v>1209</v>
      </c>
      <c r="S25" t="s">
        <v>884</v>
      </c>
      <c r="T25" t="s">
        <v>889</v>
      </c>
      <c r="U25" s="135">
        <v>45643</v>
      </c>
      <c r="V25" s="125">
        <v>3.6469999999999998</v>
      </c>
      <c r="W25" s="125">
        <v>3974418</v>
      </c>
      <c r="X25" s="125">
        <v>14494.704</v>
      </c>
      <c r="Y25" s="134">
        <v>1.3469999999999999E-2</v>
      </c>
      <c r="Z25" s="126">
        <v>8.9700000000000005E-3</v>
      </c>
      <c r="AA25" s="126">
        <v>1.23E-3</v>
      </c>
      <c r="AB25" s="125"/>
      <c r="AC25" s="133"/>
    </row>
    <row r="26" spans="1:29" x14ac:dyDescent="0.2">
      <c r="A26">
        <v>666108402</v>
      </c>
      <c r="B26">
        <v>267</v>
      </c>
      <c r="C26">
        <v>267</v>
      </c>
      <c r="D26" s="103" t="s">
        <v>2438</v>
      </c>
      <c r="E26">
        <v>1926761</v>
      </c>
      <c r="F26" t="s">
        <v>311</v>
      </c>
      <c r="G26" t="s">
        <v>2222</v>
      </c>
      <c r="H26">
        <v>666108402</v>
      </c>
      <c r="I26" t="s">
        <v>314</v>
      </c>
      <c r="J26" t="s">
        <v>1000</v>
      </c>
      <c r="K26" t="s">
        <v>838</v>
      </c>
      <c r="L26" t="s">
        <v>204</v>
      </c>
      <c r="M26" t="s">
        <v>217</v>
      </c>
      <c r="N26" s="16" t="s">
        <v>204</v>
      </c>
      <c r="O26" t="s">
        <v>204</v>
      </c>
      <c r="P26" t="s">
        <v>339</v>
      </c>
      <c r="Q26" s="132">
        <v>44238</v>
      </c>
      <c r="R26" t="s">
        <v>1209</v>
      </c>
      <c r="S26" t="s">
        <v>884</v>
      </c>
      <c r="T26" t="s">
        <v>889</v>
      </c>
      <c r="U26" s="135">
        <v>45643</v>
      </c>
      <c r="V26" s="125">
        <v>3.6469999999999998</v>
      </c>
      <c r="W26" s="125">
        <v>3570782</v>
      </c>
      <c r="X26" s="125">
        <v>13022.641</v>
      </c>
      <c r="Y26" s="134">
        <v>8.7739999999999999E-2</v>
      </c>
      <c r="Z26" s="126">
        <v>8.0599999999999995E-3</v>
      </c>
      <c r="AA26" s="126">
        <v>1.1000000000000001E-3</v>
      </c>
      <c r="AB26" s="125"/>
      <c r="AC26" s="133"/>
    </row>
    <row r="27" spans="1:29" x14ac:dyDescent="0.2">
      <c r="A27">
        <v>62001526</v>
      </c>
      <c r="B27">
        <v>267</v>
      </c>
      <c r="C27">
        <v>267</v>
      </c>
      <c r="D27" s="103" t="s">
        <v>2439</v>
      </c>
      <c r="E27">
        <v>550263511</v>
      </c>
      <c r="F27" t="s">
        <v>310</v>
      </c>
      <c r="G27" t="s">
        <v>2223</v>
      </c>
      <c r="H27">
        <v>62001526</v>
      </c>
      <c r="I27" t="s">
        <v>314</v>
      </c>
      <c r="J27" t="s">
        <v>1000</v>
      </c>
      <c r="K27" t="s">
        <v>836</v>
      </c>
      <c r="L27" t="s">
        <v>204</v>
      </c>
      <c r="M27" t="s">
        <v>204</v>
      </c>
      <c r="N27" s="16" t="s">
        <v>204</v>
      </c>
      <c r="O27" t="s">
        <v>204</v>
      </c>
      <c r="P27" t="s">
        <v>339</v>
      </c>
      <c r="Q27" s="132">
        <v>42856</v>
      </c>
      <c r="R27" t="s">
        <v>1209</v>
      </c>
      <c r="S27" t="s">
        <v>884</v>
      </c>
      <c r="T27" t="s">
        <v>889</v>
      </c>
      <c r="U27" s="135">
        <v>45652</v>
      </c>
      <c r="V27" s="125">
        <v>3.6469999999999998</v>
      </c>
      <c r="W27" s="125">
        <v>3264978</v>
      </c>
      <c r="X27" s="125">
        <v>11907.374</v>
      </c>
      <c r="Y27" s="134">
        <v>0.15892999999999999</v>
      </c>
      <c r="Z27" s="126">
        <v>7.3699999999999998E-3</v>
      </c>
      <c r="AA27" s="126">
        <v>1.01E-3</v>
      </c>
      <c r="AB27" s="125"/>
      <c r="AC27" s="133"/>
    </row>
    <row r="28" spans="1:29" x14ac:dyDescent="0.2">
      <c r="A28">
        <v>666112131</v>
      </c>
      <c r="B28">
        <v>267</v>
      </c>
      <c r="C28">
        <v>267</v>
      </c>
      <c r="D28" s="103" t="s">
        <v>2427</v>
      </c>
      <c r="E28" t="s">
        <v>2440</v>
      </c>
      <c r="F28" t="s">
        <v>311</v>
      </c>
      <c r="G28" t="s">
        <v>2224</v>
      </c>
      <c r="H28">
        <v>666112131</v>
      </c>
      <c r="I28" t="s">
        <v>314</v>
      </c>
      <c r="J28" t="s">
        <v>1005</v>
      </c>
      <c r="K28" t="s">
        <v>836</v>
      </c>
      <c r="L28" t="s">
        <v>204</v>
      </c>
      <c r="M28" t="s">
        <v>217</v>
      </c>
      <c r="N28" s="16" t="s">
        <v>224</v>
      </c>
      <c r="O28" t="s">
        <v>224</v>
      </c>
      <c r="P28" t="s">
        <v>339</v>
      </c>
      <c r="Q28" s="132">
        <v>45365</v>
      </c>
      <c r="R28" t="s">
        <v>1209</v>
      </c>
      <c r="S28" t="s">
        <v>884</v>
      </c>
      <c r="T28" t="s">
        <v>889</v>
      </c>
      <c r="U28" s="135">
        <v>45642</v>
      </c>
      <c r="V28" s="125">
        <v>3.6469999999999998</v>
      </c>
      <c r="W28" s="125">
        <v>3053329</v>
      </c>
      <c r="X28" s="125">
        <v>11135.49</v>
      </c>
      <c r="Y28" s="134">
        <v>7.1999999999999998E-3</v>
      </c>
      <c r="Z28" s="126">
        <v>6.8900000000000003E-3</v>
      </c>
      <c r="AA28" s="126">
        <v>9.3999999999999997E-4</v>
      </c>
      <c r="AB28" s="125"/>
      <c r="AC28" s="133"/>
    </row>
    <row r="29" spans="1:29" x14ac:dyDescent="0.2">
      <c r="A29">
        <v>62005715</v>
      </c>
      <c r="B29">
        <v>267</v>
      </c>
      <c r="C29">
        <v>267</v>
      </c>
      <c r="D29" s="103" t="s">
        <v>2363</v>
      </c>
      <c r="E29">
        <v>550262539</v>
      </c>
      <c r="F29" t="s">
        <v>309</v>
      </c>
      <c r="G29" t="s">
        <v>2225</v>
      </c>
      <c r="H29">
        <v>62005715</v>
      </c>
      <c r="I29" t="s">
        <v>314</v>
      </c>
      <c r="J29" t="s">
        <v>1005</v>
      </c>
      <c r="K29" t="s">
        <v>844</v>
      </c>
      <c r="L29" t="s">
        <v>204</v>
      </c>
      <c r="M29" t="s">
        <v>204</v>
      </c>
      <c r="N29" s="16" t="s">
        <v>204</v>
      </c>
      <c r="O29" t="s">
        <v>204</v>
      </c>
      <c r="P29" t="s">
        <v>339</v>
      </c>
      <c r="Q29" s="132">
        <v>43152</v>
      </c>
      <c r="R29" t="s">
        <v>1210</v>
      </c>
      <c r="S29" t="s">
        <v>884</v>
      </c>
      <c r="T29" t="s">
        <v>889</v>
      </c>
      <c r="U29" s="135">
        <v>45622</v>
      </c>
      <c r="V29" s="125">
        <v>3.7959999999999998</v>
      </c>
      <c r="W29" s="125">
        <v>2879352</v>
      </c>
      <c r="X29" s="125">
        <v>10931.172</v>
      </c>
      <c r="Y29" s="134">
        <v>0.16625999999999999</v>
      </c>
      <c r="Z29" s="126">
        <v>6.77E-3</v>
      </c>
      <c r="AA29" s="126">
        <v>9.3000000000000005E-4</v>
      </c>
      <c r="AB29" s="125"/>
      <c r="AC29" s="133"/>
    </row>
    <row r="30" spans="1:29" x14ac:dyDescent="0.2">
      <c r="A30">
        <v>666111174</v>
      </c>
      <c r="B30">
        <v>267</v>
      </c>
      <c r="C30">
        <v>267</v>
      </c>
      <c r="D30" s="103" t="s">
        <v>2441</v>
      </c>
      <c r="E30">
        <v>540312105</v>
      </c>
      <c r="F30" t="s">
        <v>309</v>
      </c>
      <c r="G30" t="s">
        <v>2226</v>
      </c>
      <c r="H30">
        <v>666111174</v>
      </c>
      <c r="I30" t="s">
        <v>314</v>
      </c>
      <c r="J30" t="s">
        <v>1005</v>
      </c>
      <c r="K30" t="s">
        <v>832</v>
      </c>
      <c r="L30" t="s">
        <v>204</v>
      </c>
      <c r="M30" t="s">
        <v>204</v>
      </c>
      <c r="N30" s="16" t="s">
        <v>204</v>
      </c>
      <c r="O30" t="s">
        <v>204</v>
      </c>
      <c r="P30" t="s">
        <v>339</v>
      </c>
      <c r="Q30" s="132">
        <v>44970</v>
      </c>
      <c r="R30" t="s">
        <v>1208</v>
      </c>
      <c r="S30" t="s">
        <v>884</v>
      </c>
      <c r="T30" t="s">
        <v>889</v>
      </c>
      <c r="U30" s="145">
        <v>45656</v>
      </c>
      <c r="V30" s="125">
        <v>1</v>
      </c>
      <c r="W30" s="125">
        <v>10350544</v>
      </c>
      <c r="X30" s="125">
        <v>10350.544</v>
      </c>
      <c r="Y30" s="134">
        <v>0.04</v>
      </c>
      <c r="Z30" s="126">
        <v>6.4099999999999999E-3</v>
      </c>
      <c r="AA30" s="126">
        <v>8.8000000000000003E-4</v>
      </c>
      <c r="AB30" s="125"/>
      <c r="AC30" s="133"/>
    </row>
    <row r="31" spans="1:29" x14ac:dyDescent="0.2">
      <c r="A31">
        <v>666109996</v>
      </c>
      <c r="B31">
        <v>267</v>
      </c>
      <c r="C31">
        <v>267</v>
      </c>
      <c r="D31" s="103" t="s">
        <v>2442</v>
      </c>
      <c r="E31">
        <v>540311511</v>
      </c>
      <c r="F31" t="s">
        <v>309</v>
      </c>
      <c r="G31" t="s">
        <v>2227</v>
      </c>
      <c r="H31">
        <v>666109996</v>
      </c>
      <c r="I31" t="s">
        <v>314</v>
      </c>
      <c r="J31" t="s">
        <v>1005</v>
      </c>
      <c r="K31" t="s">
        <v>832</v>
      </c>
      <c r="L31" t="s">
        <v>204</v>
      </c>
      <c r="M31" t="s">
        <v>204</v>
      </c>
      <c r="N31" s="16" t="s">
        <v>204</v>
      </c>
      <c r="O31" t="s">
        <v>204</v>
      </c>
      <c r="P31" t="s">
        <v>339</v>
      </c>
      <c r="Q31" s="132">
        <v>44627</v>
      </c>
      <c r="R31" t="s">
        <v>1209</v>
      </c>
      <c r="S31" t="s">
        <v>884</v>
      </c>
      <c r="T31" t="s">
        <v>889</v>
      </c>
      <c r="U31" s="135">
        <v>45643</v>
      </c>
      <c r="V31" s="125">
        <v>3.6469999999999998</v>
      </c>
      <c r="W31" s="125">
        <v>2789757</v>
      </c>
      <c r="X31" s="125">
        <v>10174.243</v>
      </c>
      <c r="Y31" s="134">
        <v>7.0699999999999999E-2</v>
      </c>
      <c r="Z31" s="126">
        <v>6.3E-3</v>
      </c>
      <c r="AA31" s="126">
        <v>8.5999999999999998E-4</v>
      </c>
      <c r="AB31" s="125"/>
      <c r="AC31" s="133"/>
    </row>
    <row r="32" spans="1:29" x14ac:dyDescent="0.2">
      <c r="A32">
        <v>666111430</v>
      </c>
      <c r="B32">
        <v>267</v>
      </c>
      <c r="C32">
        <v>267</v>
      </c>
      <c r="D32" s="103" t="s">
        <v>2443</v>
      </c>
      <c r="E32" t="s">
        <v>2444</v>
      </c>
      <c r="F32" t="s">
        <v>311</v>
      </c>
      <c r="G32" t="s">
        <v>2228</v>
      </c>
      <c r="H32">
        <v>666111430</v>
      </c>
      <c r="I32" t="s">
        <v>314</v>
      </c>
      <c r="J32" t="s">
        <v>1005</v>
      </c>
      <c r="K32" t="s">
        <v>836</v>
      </c>
      <c r="L32" t="s">
        <v>204</v>
      </c>
      <c r="M32" t="s">
        <v>224</v>
      </c>
      <c r="N32" s="16" t="s">
        <v>224</v>
      </c>
      <c r="O32" t="s">
        <v>224</v>
      </c>
      <c r="P32" t="s">
        <v>339</v>
      </c>
      <c r="Q32" s="132">
        <v>45139</v>
      </c>
      <c r="R32" t="s">
        <v>1209</v>
      </c>
      <c r="S32" t="s">
        <v>884</v>
      </c>
      <c r="T32" t="s">
        <v>889</v>
      </c>
      <c r="U32" s="135">
        <v>45649</v>
      </c>
      <c r="V32" s="125">
        <v>3.6469999999999998</v>
      </c>
      <c r="W32" s="125">
        <v>2725620</v>
      </c>
      <c r="X32" s="125">
        <v>9940.3349999999991</v>
      </c>
      <c r="Y32" s="134">
        <v>3.3E-4</v>
      </c>
      <c r="Z32" s="126">
        <v>6.1500000000000001E-3</v>
      </c>
      <c r="AA32" s="126">
        <v>8.4000000000000003E-4</v>
      </c>
      <c r="AB32" s="125"/>
      <c r="AC32" s="133"/>
    </row>
    <row r="33" spans="1:29" x14ac:dyDescent="0.2">
      <c r="A33">
        <v>32698</v>
      </c>
      <c r="B33">
        <v>267</v>
      </c>
      <c r="C33">
        <v>267</v>
      </c>
      <c r="D33" s="103" t="s">
        <v>2445</v>
      </c>
      <c r="E33">
        <v>514607670</v>
      </c>
      <c r="F33" t="s">
        <v>309</v>
      </c>
      <c r="G33" t="s">
        <v>2229</v>
      </c>
      <c r="H33">
        <v>32698</v>
      </c>
      <c r="I33" t="s">
        <v>314</v>
      </c>
      <c r="J33" t="s">
        <v>1005</v>
      </c>
      <c r="K33" t="s">
        <v>569</v>
      </c>
      <c r="L33" t="s">
        <v>204</v>
      </c>
      <c r="M33" t="s">
        <v>204</v>
      </c>
      <c r="N33" s="16" t="s">
        <v>204</v>
      </c>
      <c r="O33" t="s">
        <v>204</v>
      </c>
      <c r="P33" t="s">
        <v>339</v>
      </c>
      <c r="Q33" s="132">
        <v>40707</v>
      </c>
      <c r="R33" t="s">
        <v>1208</v>
      </c>
      <c r="S33" t="s">
        <v>884</v>
      </c>
      <c r="T33" t="s">
        <v>889</v>
      </c>
      <c r="U33" s="135">
        <v>45642</v>
      </c>
      <c r="V33" s="125">
        <v>1</v>
      </c>
      <c r="W33" s="125">
        <v>9438922</v>
      </c>
      <c r="X33" s="125">
        <v>9438.9220000000005</v>
      </c>
      <c r="Y33" s="134">
        <v>8.4839999999999999E-2</v>
      </c>
      <c r="Z33" s="126">
        <v>5.8399999999999997E-3</v>
      </c>
      <c r="AA33" s="126">
        <v>8.0000000000000004E-4</v>
      </c>
      <c r="AB33" s="125"/>
      <c r="AC33" s="133"/>
    </row>
    <row r="34" spans="1:29" x14ac:dyDescent="0.2">
      <c r="A34">
        <v>666109962</v>
      </c>
      <c r="B34">
        <v>267</v>
      </c>
      <c r="C34">
        <v>267</v>
      </c>
      <c r="D34" s="103" t="s">
        <v>2446</v>
      </c>
      <c r="E34">
        <v>500469614</v>
      </c>
      <c r="F34" t="s">
        <v>310</v>
      </c>
      <c r="G34" t="s">
        <v>2230</v>
      </c>
      <c r="H34">
        <v>666109962</v>
      </c>
      <c r="I34" t="s">
        <v>314</v>
      </c>
      <c r="J34" t="s">
        <v>1005</v>
      </c>
      <c r="K34" t="s">
        <v>832</v>
      </c>
      <c r="L34" t="s">
        <v>204</v>
      </c>
      <c r="M34" t="s">
        <v>217</v>
      </c>
      <c r="N34" s="16" t="s">
        <v>204</v>
      </c>
      <c r="O34" t="s">
        <v>204</v>
      </c>
      <c r="P34" t="s">
        <v>339</v>
      </c>
      <c r="Q34" s="132">
        <v>44600</v>
      </c>
      <c r="R34" t="s">
        <v>1209</v>
      </c>
      <c r="S34" t="s">
        <v>884</v>
      </c>
      <c r="T34" t="s">
        <v>889</v>
      </c>
      <c r="U34" s="145">
        <v>45656</v>
      </c>
      <c r="V34" s="125">
        <v>3.6469999999999998</v>
      </c>
      <c r="W34" s="125">
        <v>2509898</v>
      </c>
      <c r="X34" s="125">
        <v>9153.5959999999995</v>
      </c>
      <c r="Y34" s="134">
        <v>4.0800000000000003E-2</v>
      </c>
      <c r="Z34" s="126">
        <v>5.6699999999999997E-3</v>
      </c>
      <c r="AA34" s="126">
        <v>7.7999999999999999E-4</v>
      </c>
      <c r="AB34" s="125"/>
      <c r="AC34" s="133"/>
    </row>
    <row r="35" spans="1:29" x14ac:dyDescent="0.2">
      <c r="A35">
        <v>666111752</v>
      </c>
      <c r="B35">
        <v>267</v>
      </c>
      <c r="C35">
        <v>267</v>
      </c>
      <c r="D35" s="103" t="s">
        <v>2447</v>
      </c>
      <c r="E35">
        <v>530278654</v>
      </c>
      <c r="F35" t="s">
        <v>310</v>
      </c>
      <c r="G35" t="s">
        <v>2231</v>
      </c>
      <c r="H35">
        <v>666111752</v>
      </c>
      <c r="I35" t="s">
        <v>314</v>
      </c>
      <c r="J35" t="s">
        <v>1005</v>
      </c>
      <c r="K35" t="s">
        <v>840</v>
      </c>
      <c r="L35" t="s">
        <v>204</v>
      </c>
      <c r="M35" t="s">
        <v>217</v>
      </c>
      <c r="N35" s="16" t="s">
        <v>204</v>
      </c>
      <c r="O35" t="s">
        <v>224</v>
      </c>
      <c r="P35" t="s">
        <v>339</v>
      </c>
      <c r="Q35" s="132">
        <v>45221</v>
      </c>
      <c r="R35" t="s">
        <v>1209</v>
      </c>
      <c r="S35" t="s">
        <v>884</v>
      </c>
      <c r="T35" t="s">
        <v>889</v>
      </c>
      <c r="U35" s="135">
        <v>45655</v>
      </c>
      <c r="V35" s="125">
        <v>3.6469999999999998</v>
      </c>
      <c r="W35" s="125">
        <v>2362340</v>
      </c>
      <c r="X35" s="125">
        <v>8615.4549999999999</v>
      </c>
      <c r="Y35" s="134">
        <v>1.9699999999999999E-2</v>
      </c>
      <c r="Z35" s="126">
        <v>5.3299999999999997E-3</v>
      </c>
      <c r="AA35" s="126">
        <v>7.2999999999999996E-4</v>
      </c>
      <c r="AB35" s="125"/>
      <c r="AC35" s="133"/>
    </row>
    <row r="36" spans="1:29" x14ac:dyDescent="0.2">
      <c r="A36">
        <v>666109889</v>
      </c>
      <c r="B36">
        <v>267</v>
      </c>
      <c r="C36">
        <v>267</v>
      </c>
      <c r="D36" s="103" t="s">
        <v>2448</v>
      </c>
      <c r="E36" t="s">
        <v>2449</v>
      </c>
      <c r="F36" t="s">
        <v>2450</v>
      </c>
      <c r="G36" t="s">
        <v>2232</v>
      </c>
      <c r="H36">
        <v>666109889</v>
      </c>
      <c r="I36" t="s">
        <v>314</v>
      </c>
      <c r="J36" t="s">
        <v>1005</v>
      </c>
      <c r="K36" t="s">
        <v>844</v>
      </c>
      <c r="L36" t="s">
        <v>204</v>
      </c>
      <c r="M36" t="s">
        <v>217</v>
      </c>
      <c r="N36" s="16" t="s">
        <v>224</v>
      </c>
      <c r="O36" t="s">
        <v>224</v>
      </c>
      <c r="P36" t="s">
        <v>339</v>
      </c>
      <c r="Q36" s="132">
        <v>44581</v>
      </c>
      <c r="R36" t="s">
        <v>1209</v>
      </c>
      <c r="S36" t="s">
        <v>884</v>
      </c>
      <c r="T36" t="s">
        <v>889</v>
      </c>
      <c r="U36" s="135">
        <v>45655</v>
      </c>
      <c r="V36" s="125">
        <v>3.6469999999999998</v>
      </c>
      <c r="W36" s="125">
        <v>2232283</v>
      </c>
      <c r="X36" s="125">
        <v>8141.1360000000004</v>
      </c>
      <c r="Y36" s="134">
        <v>3.2300000000000002E-2</v>
      </c>
      <c r="Z36" s="126">
        <v>5.0400000000000002E-3</v>
      </c>
      <c r="AA36" s="126">
        <v>6.8999999999999997E-4</v>
      </c>
      <c r="AB36" s="125"/>
      <c r="AC36" s="133"/>
    </row>
    <row r="37" spans="1:29" x14ac:dyDescent="0.2">
      <c r="A37">
        <v>666111992</v>
      </c>
      <c r="B37">
        <v>267</v>
      </c>
      <c r="C37">
        <v>267</v>
      </c>
      <c r="D37" s="103" t="s">
        <v>2233</v>
      </c>
      <c r="E37" t="s">
        <v>2451</v>
      </c>
      <c r="F37" t="s">
        <v>311</v>
      </c>
      <c r="G37" t="s">
        <v>2233</v>
      </c>
      <c r="H37">
        <v>666111992</v>
      </c>
      <c r="I37" t="s">
        <v>314</v>
      </c>
      <c r="J37" t="s">
        <v>1005</v>
      </c>
      <c r="K37" t="s">
        <v>836</v>
      </c>
      <c r="L37" t="s">
        <v>204</v>
      </c>
      <c r="M37" t="s">
        <v>217</v>
      </c>
      <c r="N37" s="16" t="s">
        <v>224</v>
      </c>
      <c r="O37" t="s">
        <v>224</v>
      </c>
      <c r="P37" t="s">
        <v>339</v>
      </c>
      <c r="Q37" s="132">
        <v>45330</v>
      </c>
      <c r="R37" t="s">
        <v>1209</v>
      </c>
      <c r="S37" t="s">
        <v>884</v>
      </c>
      <c r="T37" t="s">
        <v>889</v>
      </c>
      <c r="U37" s="135">
        <v>45620</v>
      </c>
      <c r="V37" s="125">
        <v>3.6469999999999998</v>
      </c>
      <c r="W37" s="125">
        <v>2213395</v>
      </c>
      <c r="X37" s="125">
        <v>8072.2510000000002</v>
      </c>
      <c r="Y37" s="134">
        <v>1E-4</v>
      </c>
      <c r="Z37" s="126">
        <v>5.0000000000000001E-3</v>
      </c>
      <c r="AA37" s="126">
        <v>6.8000000000000005E-4</v>
      </c>
      <c r="AB37" s="125"/>
      <c r="AC37" s="133"/>
    </row>
    <row r="38" spans="1:29" x14ac:dyDescent="0.2">
      <c r="A38">
        <v>666111323</v>
      </c>
      <c r="B38">
        <v>267</v>
      </c>
      <c r="C38">
        <v>267</v>
      </c>
      <c r="D38" s="103" t="s">
        <v>2452</v>
      </c>
      <c r="E38" t="s">
        <v>2453</v>
      </c>
      <c r="F38" t="s">
        <v>313</v>
      </c>
      <c r="G38" t="s">
        <v>2234</v>
      </c>
      <c r="H38">
        <v>666111323</v>
      </c>
      <c r="I38" t="s">
        <v>314</v>
      </c>
      <c r="J38" t="s">
        <v>1005</v>
      </c>
      <c r="K38" t="s">
        <v>845</v>
      </c>
      <c r="L38" t="s">
        <v>204</v>
      </c>
      <c r="M38" t="s">
        <v>217</v>
      </c>
      <c r="N38" s="16" t="s">
        <v>224</v>
      </c>
      <c r="O38" t="s">
        <v>204</v>
      </c>
      <c r="P38" t="s">
        <v>339</v>
      </c>
      <c r="Q38" s="132">
        <v>45036</v>
      </c>
      <c r="R38" t="s">
        <v>1208</v>
      </c>
      <c r="S38" t="s">
        <v>884</v>
      </c>
      <c r="T38" t="s">
        <v>889</v>
      </c>
      <c r="U38" s="145">
        <v>45655</v>
      </c>
      <c r="V38" s="125">
        <v>1</v>
      </c>
      <c r="W38" s="125">
        <v>6216558</v>
      </c>
      <c r="X38" s="125">
        <v>6216.558</v>
      </c>
      <c r="Y38" s="134">
        <v>6.2899999999999996E-3</v>
      </c>
      <c r="Z38" s="126">
        <v>3.8500000000000001E-3</v>
      </c>
      <c r="AA38" s="126">
        <v>5.2999999999999998E-4</v>
      </c>
      <c r="AB38" s="125"/>
      <c r="AC38" s="133"/>
    </row>
    <row r="39" spans="1:29" x14ac:dyDescent="0.2">
      <c r="A39">
        <v>47803</v>
      </c>
      <c r="B39">
        <v>267</v>
      </c>
      <c r="C39">
        <v>267</v>
      </c>
      <c r="D39" s="103" t="s">
        <v>2349</v>
      </c>
      <c r="E39">
        <v>515366425</v>
      </c>
      <c r="F39" t="s">
        <v>310</v>
      </c>
      <c r="G39" t="s">
        <v>2235</v>
      </c>
      <c r="H39">
        <v>47803</v>
      </c>
      <c r="I39" t="s">
        <v>314</v>
      </c>
      <c r="J39" t="s">
        <v>1005</v>
      </c>
      <c r="K39" t="s">
        <v>844</v>
      </c>
      <c r="L39" t="s">
        <v>204</v>
      </c>
      <c r="M39" t="s">
        <v>204</v>
      </c>
      <c r="N39" s="16" t="s">
        <v>204</v>
      </c>
      <c r="O39" t="s">
        <v>204</v>
      </c>
      <c r="P39" t="s">
        <v>339</v>
      </c>
      <c r="Q39" s="132">
        <v>42884</v>
      </c>
      <c r="R39" t="s">
        <v>1208</v>
      </c>
      <c r="S39" t="s">
        <v>884</v>
      </c>
      <c r="T39" t="s">
        <v>889</v>
      </c>
      <c r="U39" s="135">
        <v>45642</v>
      </c>
      <c r="V39" s="125">
        <v>1</v>
      </c>
      <c r="W39" s="125">
        <v>5878921</v>
      </c>
      <c r="X39" s="125">
        <v>5878.9210000000003</v>
      </c>
      <c r="Y39" s="134">
        <v>4.2599999999999999E-2</v>
      </c>
      <c r="Z39" s="126">
        <v>3.64E-3</v>
      </c>
      <c r="AA39" s="126">
        <v>5.0000000000000001E-4</v>
      </c>
      <c r="AB39" s="125"/>
      <c r="AC39" s="133"/>
    </row>
    <row r="40" spans="1:29" x14ac:dyDescent="0.2">
      <c r="A40">
        <v>666110028</v>
      </c>
      <c r="B40">
        <v>267</v>
      </c>
      <c r="C40">
        <v>267</v>
      </c>
      <c r="D40" s="103" t="s">
        <v>2454</v>
      </c>
      <c r="E40">
        <v>500468459</v>
      </c>
      <c r="F40" t="s">
        <v>309</v>
      </c>
      <c r="G40" t="s">
        <v>2236</v>
      </c>
      <c r="H40">
        <v>666110028</v>
      </c>
      <c r="I40" t="s">
        <v>314</v>
      </c>
      <c r="J40" t="s">
        <v>1005</v>
      </c>
      <c r="K40" t="s">
        <v>840</v>
      </c>
      <c r="L40" t="s">
        <v>204</v>
      </c>
      <c r="M40" t="s">
        <v>217</v>
      </c>
      <c r="N40" s="16" t="s">
        <v>217</v>
      </c>
      <c r="O40" t="s">
        <v>204</v>
      </c>
      <c r="P40" t="s">
        <v>339</v>
      </c>
      <c r="Q40" s="132">
        <v>44635</v>
      </c>
      <c r="R40" t="s">
        <v>1209</v>
      </c>
      <c r="S40" t="s">
        <v>884</v>
      </c>
      <c r="T40" t="s">
        <v>889</v>
      </c>
      <c r="U40" s="135">
        <v>45655</v>
      </c>
      <c r="V40" s="125">
        <v>3.6469999999999998</v>
      </c>
      <c r="W40" s="125">
        <v>1522684</v>
      </c>
      <c r="X40" s="125">
        <v>5553.2290000000003</v>
      </c>
      <c r="Y40" s="134">
        <v>5.9299999999999999E-2</v>
      </c>
      <c r="Z40" s="126">
        <v>3.4399999999999999E-3</v>
      </c>
      <c r="AA40" s="126">
        <v>4.6999999999999999E-4</v>
      </c>
      <c r="AB40" s="125"/>
      <c r="AC40" s="133"/>
    </row>
    <row r="41" spans="1:29" x14ac:dyDescent="0.2">
      <c r="A41">
        <v>666111802</v>
      </c>
      <c r="B41">
        <v>267</v>
      </c>
      <c r="C41">
        <v>267</v>
      </c>
      <c r="D41" s="103" t="s">
        <v>2455</v>
      </c>
      <c r="E41">
        <v>515459063</v>
      </c>
      <c r="F41" t="s">
        <v>310</v>
      </c>
      <c r="G41" t="s">
        <v>2237</v>
      </c>
      <c r="H41">
        <v>666111802</v>
      </c>
      <c r="I41" t="s">
        <v>314</v>
      </c>
      <c r="J41" t="s">
        <v>1005</v>
      </c>
      <c r="K41" t="s">
        <v>840</v>
      </c>
      <c r="L41" t="s">
        <v>204</v>
      </c>
      <c r="M41" t="s">
        <v>217</v>
      </c>
      <c r="N41" s="16" t="s">
        <v>204</v>
      </c>
      <c r="O41" t="s">
        <v>204</v>
      </c>
      <c r="P41" t="s">
        <v>339</v>
      </c>
      <c r="Q41" s="132">
        <v>45222</v>
      </c>
      <c r="R41" t="s">
        <v>1208</v>
      </c>
      <c r="S41" t="s">
        <v>884</v>
      </c>
      <c r="T41" t="s">
        <v>889</v>
      </c>
      <c r="U41" s="135">
        <v>45651</v>
      </c>
      <c r="V41" s="125">
        <v>1</v>
      </c>
      <c r="W41" s="125">
        <v>4972792</v>
      </c>
      <c r="X41" s="125">
        <v>4972.7920000000004</v>
      </c>
      <c r="Y41" s="134">
        <v>2.2919999999999999E-2</v>
      </c>
      <c r="Z41" s="126">
        <v>3.0799999999999998E-3</v>
      </c>
      <c r="AA41" s="126">
        <v>4.2000000000000002E-4</v>
      </c>
      <c r="AB41" s="125"/>
      <c r="AC41" s="133"/>
    </row>
    <row r="42" spans="1:29" x14ac:dyDescent="0.2">
      <c r="A42">
        <v>603054487</v>
      </c>
      <c r="B42">
        <v>267</v>
      </c>
      <c r="C42">
        <v>267</v>
      </c>
      <c r="D42" s="103" t="s">
        <v>2456</v>
      </c>
      <c r="E42" t="s">
        <v>2238</v>
      </c>
      <c r="F42" t="s">
        <v>309</v>
      </c>
      <c r="G42" t="s">
        <v>2239</v>
      </c>
      <c r="H42">
        <v>603054487</v>
      </c>
      <c r="I42" t="s">
        <v>314</v>
      </c>
      <c r="J42" t="s">
        <v>1005</v>
      </c>
      <c r="K42" t="s">
        <v>832</v>
      </c>
      <c r="L42" t="s">
        <v>204</v>
      </c>
      <c r="M42" t="s">
        <v>204</v>
      </c>
      <c r="N42" s="16" t="s">
        <v>204</v>
      </c>
      <c r="O42" t="s">
        <v>204</v>
      </c>
      <c r="P42" t="s">
        <v>339</v>
      </c>
      <c r="Q42" s="132">
        <v>41148</v>
      </c>
      <c r="R42" t="s">
        <v>1209</v>
      </c>
      <c r="S42" t="s">
        <v>884</v>
      </c>
      <c r="T42" t="s">
        <v>889</v>
      </c>
      <c r="U42" s="135">
        <v>45641</v>
      </c>
      <c r="V42" s="125">
        <v>3.6469999999999998</v>
      </c>
      <c r="W42" s="125">
        <v>1350438</v>
      </c>
      <c r="X42" s="125">
        <v>4925.0479999999998</v>
      </c>
      <c r="Y42" s="134">
        <v>1.15E-2</v>
      </c>
      <c r="Z42" s="126">
        <v>3.0500000000000002E-3</v>
      </c>
      <c r="AA42" s="126">
        <v>4.2000000000000002E-4</v>
      </c>
      <c r="AB42" s="125"/>
      <c r="AC42" s="133"/>
    </row>
    <row r="43" spans="1:29" x14ac:dyDescent="0.2">
      <c r="A43">
        <v>62002339</v>
      </c>
      <c r="B43">
        <v>267</v>
      </c>
      <c r="C43">
        <v>267</v>
      </c>
      <c r="D43" s="103" t="s">
        <v>2427</v>
      </c>
      <c r="E43">
        <v>5291135631</v>
      </c>
      <c r="F43" t="s">
        <v>311</v>
      </c>
      <c r="G43" t="s">
        <v>2240</v>
      </c>
      <c r="H43">
        <v>62002339</v>
      </c>
      <c r="I43" t="s">
        <v>314</v>
      </c>
      <c r="J43" t="s">
        <v>1005</v>
      </c>
      <c r="K43" t="s">
        <v>840</v>
      </c>
      <c r="L43" t="s">
        <v>204</v>
      </c>
      <c r="M43" t="s">
        <v>217</v>
      </c>
      <c r="N43" s="16" t="s">
        <v>224</v>
      </c>
      <c r="O43" t="s">
        <v>224</v>
      </c>
      <c r="P43" t="s">
        <v>339</v>
      </c>
      <c r="Q43" s="132">
        <v>42926</v>
      </c>
      <c r="R43" t="s">
        <v>1209</v>
      </c>
      <c r="S43" t="s">
        <v>884</v>
      </c>
      <c r="T43" t="s">
        <v>889</v>
      </c>
      <c r="U43" s="135">
        <v>45642</v>
      </c>
      <c r="V43" s="125">
        <v>3.6469999999999998</v>
      </c>
      <c r="W43" s="125">
        <v>1293512</v>
      </c>
      <c r="X43" s="125">
        <v>4717.4380000000001</v>
      </c>
      <c r="Y43" s="134">
        <v>2.581E-2</v>
      </c>
      <c r="Z43" s="126">
        <v>2.9199999999999999E-3</v>
      </c>
      <c r="AA43" s="126">
        <v>4.0000000000000002E-4</v>
      </c>
      <c r="AB43" s="125"/>
      <c r="AC43" s="133"/>
    </row>
    <row r="44" spans="1:29" x14ac:dyDescent="0.2">
      <c r="A44">
        <v>62013248</v>
      </c>
      <c r="B44">
        <v>267</v>
      </c>
      <c r="C44">
        <v>267</v>
      </c>
      <c r="D44" s="103" t="s">
        <v>2439</v>
      </c>
      <c r="E44">
        <v>550263511</v>
      </c>
      <c r="F44" t="s">
        <v>310</v>
      </c>
      <c r="G44" t="s">
        <v>2241</v>
      </c>
      <c r="H44">
        <v>62013248</v>
      </c>
      <c r="I44" t="s">
        <v>314</v>
      </c>
      <c r="J44" t="s">
        <v>1000</v>
      </c>
      <c r="K44" t="s">
        <v>838</v>
      </c>
      <c r="L44" t="s">
        <v>204</v>
      </c>
      <c r="M44" t="s">
        <v>204</v>
      </c>
      <c r="N44" s="16" t="s">
        <v>204</v>
      </c>
      <c r="O44" t="s">
        <v>204</v>
      </c>
      <c r="P44" t="s">
        <v>339</v>
      </c>
      <c r="Q44" s="132">
        <v>43642</v>
      </c>
      <c r="R44" t="s">
        <v>1209</v>
      </c>
      <c r="S44" t="s">
        <v>884</v>
      </c>
      <c r="T44" t="s">
        <v>889</v>
      </c>
      <c r="U44" s="135">
        <v>45652</v>
      </c>
      <c r="V44" s="125">
        <v>3.6469999999999998</v>
      </c>
      <c r="W44" s="125">
        <v>1266690</v>
      </c>
      <c r="X44" s="125">
        <v>4619.6180000000004</v>
      </c>
      <c r="Y44" s="134">
        <v>0.44462000000000002</v>
      </c>
      <c r="Z44" s="126">
        <v>2.8600000000000001E-3</v>
      </c>
      <c r="AA44" s="126">
        <v>3.8999999999999999E-4</v>
      </c>
      <c r="AB44" s="125"/>
      <c r="AC44" s="133"/>
    </row>
    <row r="45" spans="1:29" x14ac:dyDescent="0.2">
      <c r="A45">
        <v>666109939</v>
      </c>
      <c r="B45">
        <v>267</v>
      </c>
      <c r="C45">
        <v>267</v>
      </c>
      <c r="D45" s="103" t="s">
        <v>2388</v>
      </c>
      <c r="E45">
        <v>540301728</v>
      </c>
      <c r="F45" t="s">
        <v>309</v>
      </c>
      <c r="G45" t="s">
        <v>2242</v>
      </c>
      <c r="H45">
        <v>666109939</v>
      </c>
      <c r="I45" t="s">
        <v>314</v>
      </c>
      <c r="J45" t="s">
        <v>1005</v>
      </c>
      <c r="K45" t="s">
        <v>844</v>
      </c>
      <c r="L45" t="s">
        <v>204</v>
      </c>
      <c r="M45" t="s">
        <v>204</v>
      </c>
      <c r="N45" s="16" t="s">
        <v>204</v>
      </c>
      <c r="O45" t="s">
        <v>204</v>
      </c>
      <c r="P45" t="s">
        <v>339</v>
      </c>
      <c r="Q45" s="132">
        <v>44594</v>
      </c>
      <c r="R45" t="s">
        <v>1208</v>
      </c>
      <c r="S45" t="s">
        <v>884</v>
      </c>
      <c r="T45" t="s">
        <v>889</v>
      </c>
      <c r="U45" s="135">
        <v>45652</v>
      </c>
      <c r="V45" s="125">
        <v>1</v>
      </c>
      <c r="W45" s="125">
        <v>4164068</v>
      </c>
      <c r="X45" s="125">
        <v>4164.0680000000002</v>
      </c>
      <c r="Y45" s="134">
        <v>0.06</v>
      </c>
      <c r="Z45" s="126">
        <v>2.5799999999999998E-3</v>
      </c>
      <c r="AA45" s="126">
        <v>3.5E-4</v>
      </c>
      <c r="AB45" s="125"/>
      <c r="AC45" s="133"/>
    </row>
    <row r="46" spans="1:29" x14ac:dyDescent="0.2">
      <c r="A46">
        <v>45963</v>
      </c>
      <c r="B46">
        <v>267</v>
      </c>
      <c r="C46">
        <v>267</v>
      </c>
      <c r="D46" s="103" t="s">
        <v>2349</v>
      </c>
      <c r="E46">
        <v>515366425</v>
      </c>
      <c r="F46" t="s">
        <v>310</v>
      </c>
      <c r="G46" t="s">
        <v>2243</v>
      </c>
      <c r="H46">
        <v>45963</v>
      </c>
      <c r="I46" t="s">
        <v>314</v>
      </c>
      <c r="J46" t="s">
        <v>1005</v>
      </c>
      <c r="K46" t="s">
        <v>844</v>
      </c>
      <c r="L46" t="s">
        <v>204</v>
      </c>
      <c r="M46" t="s">
        <v>204</v>
      </c>
      <c r="N46" s="16" t="s">
        <v>204</v>
      </c>
      <c r="O46" t="s">
        <v>204</v>
      </c>
      <c r="P46" t="s">
        <v>339</v>
      </c>
      <c r="Q46" s="132">
        <v>42983</v>
      </c>
      <c r="R46" t="s">
        <v>1208</v>
      </c>
      <c r="S46" t="s">
        <v>884</v>
      </c>
      <c r="T46" t="s">
        <v>889</v>
      </c>
      <c r="U46" s="135">
        <v>45642</v>
      </c>
      <c r="V46" s="125">
        <v>1</v>
      </c>
      <c r="W46" s="125">
        <v>3595616</v>
      </c>
      <c r="X46" s="125">
        <v>3595.616</v>
      </c>
      <c r="Y46" s="134">
        <v>2.7009999999999999E-2</v>
      </c>
      <c r="Z46" s="126">
        <v>2.2300000000000002E-3</v>
      </c>
      <c r="AA46" s="126">
        <v>2.9999999999999997E-4</v>
      </c>
      <c r="AB46" s="125"/>
      <c r="AC46" s="133"/>
    </row>
    <row r="47" spans="1:29" x14ac:dyDescent="0.2">
      <c r="A47">
        <v>62012265</v>
      </c>
      <c r="B47">
        <v>267</v>
      </c>
      <c r="C47">
        <v>267</v>
      </c>
      <c r="D47" s="103" t="s">
        <v>2457</v>
      </c>
      <c r="E47">
        <v>540287315</v>
      </c>
      <c r="F47" t="s">
        <v>309</v>
      </c>
      <c r="G47" t="s">
        <v>2244</v>
      </c>
      <c r="H47">
        <v>62012265</v>
      </c>
      <c r="I47" t="s">
        <v>314</v>
      </c>
      <c r="J47" t="s">
        <v>1000</v>
      </c>
      <c r="K47" t="s">
        <v>838</v>
      </c>
      <c r="L47" t="s">
        <v>204</v>
      </c>
      <c r="M47" t="s">
        <v>204</v>
      </c>
      <c r="N47" s="16" t="s">
        <v>204</v>
      </c>
      <c r="O47" t="s">
        <v>293</v>
      </c>
      <c r="P47" t="s">
        <v>339</v>
      </c>
      <c r="Q47" s="132">
        <v>43585</v>
      </c>
      <c r="R47" t="s">
        <v>1209</v>
      </c>
      <c r="S47" t="s">
        <v>884</v>
      </c>
      <c r="T47" t="s">
        <v>889</v>
      </c>
      <c r="U47" s="135">
        <v>45643</v>
      </c>
      <c r="V47" s="125">
        <v>3.6469999999999998</v>
      </c>
      <c r="W47" s="125">
        <v>651475</v>
      </c>
      <c r="X47" s="125">
        <v>2375.931</v>
      </c>
      <c r="Y47" s="134">
        <v>6.6729999999999998E-2</v>
      </c>
      <c r="Z47" s="126">
        <v>1.47E-3</v>
      </c>
      <c r="AA47" s="126">
        <v>2.0000000000000001E-4</v>
      </c>
      <c r="AB47" s="125"/>
      <c r="AC47" s="133"/>
    </row>
    <row r="48" spans="1:29" x14ac:dyDescent="0.2">
      <c r="A48">
        <v>666112065</v>
      </c>
      <c r="B48">
        <v>267</v>
      </c>
      <c r="C48">
        <v>267</v>
      </c>
      <c r="D48" s="103" t="s">
        <v>2400</v>
      </c>
      <c r="E48" t="s">
        <v>2458</v>
      </c>
      <c r="F48" t="s">
        <v>311</v>
      </c>
      <c r="G48" t="s">
        <v>2245</v>
      </c>
      <c r="H48">
        <v>666112065</v>
      </c>
      <c r="I48" t="s">
        <v>314</v>
      </c>
      <c r="J48" t="s">
        <v>1005</v>
      </c>
      <c r="K48" t="s">
        <v>844</v>
      </c>
      <c r="L48" t="s">
        <v>204</v>
      </c>
      <c r="M48" t="s">
        <v>217</v>
      </c>
      <c r="N48" s="16" t="s">
        <v>224</v>
      </c>
      <c r="O48" t="s">
        <v>224</v>
      </c>
      <c r="P48" t="s">
        <v>339</v>
      </c>
      <c r="Q48" s="132">
        <v>45330</v>
      </c>
      <c r="R48" t="s">
        <v>1209</v>
      </c>
      <c r="S48" t="s">
        <v>884</v>
      </c>
      <c r="T48" t="s">
        <v>889</v>
      </c>
      <c r="U48" s="135">
        <v>45642</v>
      </c>
      <c r="V48" s="125">
        <v>3.6469999999999998</v>
      </c>
      <c r="W48" s="125">
        <v>547008</v>
      </c>
      <c r="X48" s="125">
        <v>1994.9380000000001</v>
      </c>
      <c r="Y48" s="134">
        <v>2.5669999999999998E-2</v>
      </c>
      <c r="Z48" s="126">
        <v>1.23E-3</v>
      </c>
      <c r="AA48" s="126">
        <v>1.7000000000000001E-4</v>
      </c>
      <c r="AB48" s="125"/>
      <c r="AC48" s="133"/>
    </row>
    <row r="49" spans="1:29" x14ac:dyDescent="0.2">
      <c r="A49">
        <v>666112214</v>
      </c>
      <c r="B49">
        <v>267</v>
      </c>
      <c r="C49">
        <v>267</v>
      </c>
      <c r="D49" s="103" t="s">
        <v>2454</v>
      </c>
      <c r="E49">
        <v>500468459</v>
      </c>
      <c r="F49" t="s">
        <v>309</v>
      </c>
      <c r="G49" t="s">
        <v>2246</v>
      </c>
      <c r="H49">
        <v>666112214</v>
      </c>
      <c r="I49" t="s">
        <v>314</v>
      </c>
      <c r="J49" t="s">
        <v>1005</v>
      </c>
      <c r="K49" t="s">
        <v>840</v>
      </c>
      <c r="L49" t="s">
        <v>204</v>
      </c>
      <c r="M49" t="s">
        <v>217</v>
      </c>
      <c r="N49" s="16" t="s">
        <v>204</v>
      </c>
      <c r="O49" t="s">
        <v>204</v>
      </c>
      <c r="P49" t="s">
        <v>339</v>
      </c>
      <c r="Q49" s="132">
        <v>45383</v>
      </c>
      <c r="R49" t="s">
        <v>1209</v>
      </c>
      <c r="S49" t="s">
        <v>884</v>
      </c>
      <c r="T49" t="s">
        <v>889</v>
      </c>
      <c r="U49" s="145">
        <v>45657</v>
      </c>
      <c r="V49" s="125">
        <v>3.6469999999999998</v>
      </c>
      <c r="W49" s="125">
        <v>239297</v>
      </c>
      <c r="X49" s="125">
        <v>872.71600000000001</v>
      </c>
      <c r="Y49" s="134">
        <v>3.2469999999999999E-2</v>
      </c>
      <c r="Z49" s="126">
        <v>5.4000000000000001E-4</v>
      </c>
      <c r="AA49" s="126">
        <v>6.9999999999999994E-5</v>
      </c>
      <c r="AB49" s="125"/>
      <c r="AC49" s="133"/>
    </row>
    <row r="50" spans="1:29" x14ac:dyDescent="0.2">
      <c r="A50">
        <v>666111885</v>
      </c>
      <c r="B50">
        <v>267</v>
      </c>
      <c r="C50">
        <v>267</v>
      </c>
      <c r="D50" s="103" t="s">
        <v>2422</v>
      </c>
      <c r="E50">
        <v>540324886</v>
      </c>
      <c r="F50" t="s">
        <v>310</v>
      </c>
      <c r="G50" t="s">
        <v>2247</v>
      </c>
      <c r="H50">
        <v>666111885</v>
      </c>
      <c r="I50" t="s">
        <v>314</v>
      </c>
      <c r="J50" t="s">
        <v>1005</v>
      </c>
      <c r="K50" t="s">
        <v>836</v>
      </c>
      <c r="L50" t="s">
        <v>204</v>
      </c>
      <c r="M50" t="s">
        <v>204</v>
      </c>
      <c r="N50" s="16" t="s">
        <v>204</v>
      </c>
      <c r="O50" t="s">
        <v>204</v>
      </c>
      <c r="P50" t="s">
        <v>339</v>
      </c>
      <c r="Q50" s="132">
        <v>45257</v>
      </c>
      <c r="R50" t="s">
        <v>1208</v>
      </c>
      <c r="S50" t="s">
        <v>884</v>
      </c>
      <c r="T50" t="s">
        <v>889</v>
      </c>
      <c r="U50" s="145">
        <v>45656</v>
      </c>
      <c r="V50" s="125">
        <v>1</v>
      </c>
      <c r="W50" s="125">
        <v>689102</v>
      </c>
      <c r="X50" s="125">
        <v>689.10199999999998</v>
      </c>
      <c r="Y50" s="134">
        <v>1.24E-2</v>
      </c>
      <c r="Z50" s="126">
        <v>4.2999999999999999E-4</v>
      </c>
      <c r="AA50" s="126">
        <v>6.0000000000000002E-5</v>
      </c>
      <c r="AB50" s="125"/>
      <c r="AC50" s="133"/>
    </row>
    <row r="51" spans="1:29" x14ac:dyDescent="0.2">
      <c r="A51">
        <v>26435</v>
      </c>
      <c r="B51">
        <v>267</v>
      </c>
      <c r="C51">
        <v>267</v>
      </c>
      <c r="D51" s="103" t="s">
        <v>2345</v>
      </c>
      <c r="E51" t="s">
        <v>2248</v>
      </c>
      <c r="F51" t="s">
        <v>309</v>
      </c>
      <c r="G51" t="s">
        <v>2249</v>
      </c>
      <c r="H51">
        <v>26435</v>
      </c>
      <c r="I51" t="s">
        <v>314</v>
      </c>
      <c r="J51" t="s">
        <v>1005</v>
      </c>
      <c r="K51" t="s">
        <v>836</v>
      </c>
      <c r="L51" t="s">
        <v>204</v>
      </c>
      <c r="M51" t="s">
        <v>204</v>
      </c>
      <c r="N51" s="16" t="s">
        <v>204</v>
      </c>
      <c r="O51" t="s">
        <v>204</v>
      </c>
      <c r="P51" t="s">
        <v>339</v>
      </c>
      <c r="Q51" s="132">
        <v>40112</v>
      </c>
      <c r="R51" t="s">
        <v>1208</v>
      </c>
      <c r="S51" t="s">
        <v>884</v>
      </c>
      <c r="T51" t="s">
        <v>889</v>
      </c>
      <c r="U51" s="145">
        <v>45656</v>
      </c>
      <c r="V51" s="125">
        <v>1</v>
      </c>
      <c r="W51" s="125">
        <v>97157</v>
      </c>
      <c r="X51" s="125">
        <v>97.156999999999996</v>
      </c>
      <c r="Y51" s="134">
        <v>9.5699999999999993E-2</v>
      </c>
      <c r="Z51" s="126">
        <v>6.0000000000000002E-5</v>
      </c>
      <c r="AA51" s="126">
        <v>1.0000000000000001E-5</v>
      </c>
      <c r="AB51" s="125"/>
      <c r="AC51" s="133"/>
    </row>
    <row r="52" spans="1:29" x14ac:dyDescent="0.2">
      <c r="A52">
        <v>33000</v>
      </c>
      <c r="B52">
        <v>267</v>
      </c>
      <c r="C52">
        <v>267</v>
      </c>
      <c r="D52" s="103" t="s">
        <v>2459</v>
      </c>
      <c r="E52" t="s">
        <v>2250</v>
      </c>
      <c r="F52" t="s">
        <v>309</v>
      </c>
      <c r="G52" t="s">
        <v>2251</v>
      </c>
      <c r="H52">
        <v>33000</v>
      </c>
      <c r="I52" t="s">
        <v>314</v>
      </c>
      <c r="J52" t="s">
        <v>1005</v>
      </c>
      <c r="K52" t="s">
        <v>569</v>
      </c>
      <c r="L52" t="s">
        <v>204</v>
      </c>
      <c r="M52" t="s">
        <v>204</v>
      </c>
      <c r="N52" s="16" t="s">
        <v>204</v>
      </c>
      <c r="O52" t="s">
        <v>204</v>
      </c>
      <c r="P52" t="s">
        <v>339</v>
      </c>
      <c r="Q52" s="132">
        <v>40906</v>
      </c>
      <c r="R52" t="s">
        <v>1208</v>
      </c>
      <c r="S52" t="s">
        <v>884</v>
      </c>
      <c r="T52" t="s">
        <v>889</v>
      </c>
      <c r="U52" s="135">
        <v>45638</v>
      </c>
      <c r="V52" s="125">
        <v>1</v>
      </c>
      <c r="W52" s="125">
        <v>5719</v>
      </c>
      <c r="X52" s="125">
        <v>5.7190000000000003</v>
      </c>
      <c r="Y52" s="134">
        <v>2.564E-2</v>
      </c>
      <c r="Z52" s="126">
        <v>0</v>
      </c>
      <c r="AA52" s="126">
        <v>0</v>
      </c>
      <c r="AB52" s="125"/>
      <c r="AC52" s="133"/>
    </row>
    <row r="53" spans="1:29" x14ac:dyDescent="0.2">
      <c r="A53">
        <v>620120758</v>
      </c>
      <c r="B53">
        <v>267</v>
      </c>
      <c r="C53">
        <v>267</v>
      </c>
      <c r="D53" s="103" t="s">
        <v>2460</v>
      </c>
      <c r="E53">
        <v>744439084</v>
      </c>
      <c r="F53" t="s">
        <v>311</v>
      </c>
      <c r="G53" t="s">
        <v>2252</v>
      </c>
      <c r="H53">
        <v>620120758</v>
      </c>
      <c r="I53" t="s">
        <v>314</v>
      </c>
      <c r="J53" t="s">
        <v>1004</v>
      </c>
      <c r="K53" t="s">
        <v>832</v>
      </c>
      <c r="L53" t="s">
        <v>205</v>
      </c>
      <c r="M53" t="s">
        <v>282</v>
      </c>
      <c r="N53" s="16" t="s">
        <v>282</v>
      </c>
      <c r="O53" t="s">
        <v>282</v>
      </c>
      <c r="P53" t="s">
        <v>339</v>
      </c>
      <c r="Q53" s="132">
        <v>43579</v>
      </c>
      <c r="R53" t="s">
        <v>1212</v>
      </c>
      <c r="S53" t="s">
        <v>884</v>
      </c>
      <c r="T53" t="s">
        <v>889</v>
      </c>
      <c r="U53" s="135">
        <v>45620</v>
      </c>
      <c r="V53" s="125">
        <v>2.5350000000000001</v>
      </c>
      <c r="W53" s="125">
        <v>18080543</v>
      </c>
      <c r="X53" s="125">
        <v>45841.409</v>
      </c>
      <c r="Y53" s="134">
        <v>2.4199999999999999E-2</v>
      </c>
      <c r="Z53" s="126">
        <v>2.8379999999999999E-2</v>
      </c>
      <c r="AA53" s="126">
        <v>3.8800000000000002E-3</v>
      </c>
      <c r="AB53" s="125"/>
      <c r="AC53" s="133"/>
    </row>
    <row r="54" spans="1:29" x14ac:dyDescent="0.2">
      <c r="A54">
        <v>40022</v>
      </c>
      <c r="B54">
        <v>267</v>
      </c>
      <c r="C54">
        <v>267</v>
      </c>
      <c r="D54" s="103" t="s">
        <v>2461</v>
      </c>
      <c r="E54">
        <v>550254650</v>
      </c>
      <c r="F54" t="s">
        <v>309</v>
      </c>
      <c r="G54" t="s">
        <v>2253</v>
      </c>
      <c r="H54">
        <v>40022</v>
      </c>
      <c r="I54" t="s">
        <v>314</v>
      </c>
      <c r="J54" t="s">
        <v>1002</v>
      </c>
      <c r="K54" t="s">
        <v>846</v>
      </c>
      <c r="L54" t="s">
        <v>204</v>
      </c>
      <c r="M54" t="s">
        <v>204</v>
      </c>
      <c r="N54" s="16" t="s">
        <v>204</v>
      </c>
      <c r="O54" t="s">
        <v>204</v>
      </c>
      <c r="P54" t="s">
        <v>339</v>
      </c>
      <c r="Q54" s="132">
        <v>43089</v>
      </c>
      <c r="R54" t="s">
        <v>1208</v>
      </c>
      <c r="S54" t="s">
        <v>884</v>
      </c>
      <c r="T54" t="s">
        <v>889</v>
      </c>
      <c r="U54" s="135">
        <v>45651</v>
      </c>
      <c r="V54" s="125">
        <v>1</v>
      </c>
      <c r="W54" s="125">
        <v>45023043</v>
      </c>
      <c r="X54" s="125">
        <v>45023.042999999998</v>
      </c>
      <c r="Y54" s="134">
        <v>0.26</v>
      </c>
      <c r="Z54" s="126">
        <v>2.7869999999999999E-2</v>
      </c>
      <c r="AA54" s="126">
        <v>3.82E-3</v>
      </c>
      <c r="AB54" s="125"/>
      <c r="AC54" s="133"/>
    </row>
    <row r="55" spans="1:29" x14ac:dyDescent="0.2">
      <c r="A55">
        <v>666108451</v>
      </c>
      <c r="B55">
        <v>267</v>
      </c>
      <c r="C55">
        <v>267</v>
      </c>
      <c r="D55" s="103" t="s">
        <v>2462</v>
      </c>
      <c r="E55">
        <v>510607328</v>
      </c>
      <c r="F55" t="s">
        <v>309</v>
      </c>
      <c r="G55" t="s">
        <v>2254</v>
      </c>
      <c r="H55">
        <v>666108451</v>
      </c>
      <c r="I55" t="s">
        <v>314</v>
      </c>
      <c r="J55" t="s">
        <v>1004</v>
      </c>
      <c r="K55" t="s">
        <v>832</v>
      </c>
      <c r="L55" t="s">
        <v>205</v>
      </c>
      <c r="M55" t="s">
        <v>224</v>
      </c>
      <c r="N55" s="16" t="s">
        <v>204</v>
      </c>
      <c r="O55" t="s">
        <v>224</v>
      </c>
      <c r="P55" t="s">
        <v>339</v>
      </c>
      <c r="Q55" s="132">
        <v>44245</v>
      </c>
      <c r="R55" t="s">
        <v>1209</v>
      </c>
      <c r="S55" t="s">
        <v>884</v>
      </c>
      <c r="T55" t="s">
        <v>889</v>
      </c>
      <c r="U55" s="135">
        <v>45649</v>
      </c>
      <c r="V55" s="125">
        <v>3.6469999999999998</v>
      </c>
      <c r="W55" s="125">
        <v>11170350</v>
      </c>
      <c r="X55" s="125">
        <v>40738.266000000003</v>
      </c>
      <c r="Y55" s="134">
        <v>1.6789999999999999E-2</v>
      </c>
      <c r="Z55" s="126">
        <v>2.5219999999999999E-2</v>
      </c>
      <c r="AA55" s="126">
        <v>3.4499999999999999E-3</v>
      </c>
      <c r="AB55" s="125"/>
      <c r="AC55" s="133"/>
    </row>
    <row r="56" spans="1:29" x14ac:dyDescent="0.2">
      <c r="A56">
        <v>62000073</v>
      </c>
      <c r="B56">
        <v>267</v>
      </c>
      <c r="C56">
        <v>267</v>
      </c>
      <c r="D56" s="103" t="s">
        <v>2463</v>
      </c>
      <c r="E56">
        <v>62000073</v>
      </c>
      <c r="F56" t="s">
        <v>311</v>
      </c>
      <c r="G56" t="s">
        <v>2255</v>
      </c>
      <c r="H56">
        <v>62000073</v>
      </c>
      <c r="I56" t="s">
        <v>314</v>
      </c>
      <c r="J56" t="s">
        <v>1004</v>
      </c>
      <c r="K56" t="s">
        <v>832</v>
      </c>
      <c r="L56" t="s">
        <v>205</v>
      </c>
      <c r="M56" t="s">
        <v>224</v>
      </c>
      <c r="N56" s="16" t="s">
        <v>204</v>
      </c>
      <c r="O56" t="s">
        <v>224</v>
      </c>
      <c r="P56" t="s">
        <v>339</v>
      </c>
      <c r="Q56" s="132">
        <v>42758</v>
      </c>
      <c r="R56" t="s">
        <v>1209</v>
      </c>
      <c r="S56" t="s">
        <v>884</v>
      </c>
      <c r="T56" t="s">
        <v>889</v>
      </c>
      <c r="U56" s="135">
        <v>45656</v>
      </c>
      <c r="V56" s="125">
        <v>3.6469999999999998</v>
      </c>
      <c r="W56" s="125">
        <v>11032827</v>
      </c>
      <c r="X56" s="125">
        <v>40236.722000000002</v>
      </c>
      <c r="Y56" s="134">
        <v>9.8400000000000001E-2</v>
      </c>
      <c r="Z56" s="126">
        <v>2.4910000000000002E-2</v>
      </c>
      <c r="AA56" s="126">
        <v>3.4099999999999998E-3</v>
      </c>
      <c r="AB56" s="125"/>
      <c r="AC56" s="133"/>
    </row>
    <row r="57" spans="1:29" x14ac:dyDescent="0.2">
      <c r="A57">
        <v>666110374</v>
      </c>
      <c r="B57">
        <v>267</v>
      </c>
      <c r="C57">
        <v>267</v>
      </c>
      <c r="D57" s="103" t="s">
        <v>2464</v>
      </c>
      <c r="E57">
        <v>540316908</v>
      </c>
      <c r="F57" t="s">
        <v>309</v>
      </c>
      <c r="G57" t="s">
        <v>2256</v>
      </c>
      <c r="H57">
        <v>666110374</v>
      </c>
      <c r="I57" t="s">
        <v>314</v>
      </c>
      <c r="J57" t="s">
        <v>1005</v>
      </c>
      <c r="K57" t="s">
        <v>833</v>
      </c>
      <c r="L57" t="s">
        <v>204</v>
      </c>
      <c r="M57" t="s">
        <v>204</v>
      </c>
      <c r="N57" s="16" t="s">
        <v>204</v>
      </c>
      <c r="O57" t="s">
        <v>204</v>
      </c>
      <c r="P57" t="s">
        <v>339</v>
      </c>
      <c r="Q57" s="132">
        <v>44724</v>
      </c>
      <c r="R57" t="s">
        <v>1208</v>
      </c>
      <c r="S57" t="s">
        <v>884</v>
      </c>
      <c r="T57" t="s">
        <v>889</v>
      </c>
      <c r="U57" s="135">
        <v>45655</v>
      </c>
      <c r="V57" s="125">
        <v>1</v>
      </c>
      <c r="W57" s="125">
        <v>39395990</v>
      </c>
      <c r="X57" s="125">
        <v>39395.99</v>
      </c>
      <c r="Y57" s="134">
        <v>2.3599999999999999E-2</v>
      </c>
      <c r="Z57" s="126">
        <v>2.4389999999999998E-2</v>
      </c>
      <c r="AA57" s="126">
        <v>3.3400000000000001E-3</v>
      </c>
      <c r="AB57" s="125"/>
      <c r="AC57" s="133"/>
    </row>
    <row r="58" spans="1:29" x14ac:dyDescent="0.2">
      <c r="A58">
        <v>62007869</v>
      </c>
      <c r="B58">
        <v>267</v>
      </c>
      <c r="C58">
        <v>267</v>
      </c>
      <c r="D58" s="103" t="s">
        <v>2462</v>
      </c>
      <c r="E58">
        <v>513846808</v>
      </c>
      <c r="F58" t="s">
        <v>309</v>
      </c>
      <c r="G58" t="s">
        <v>2257</v>
      </c>
      <c r="H58">
        <v>62007869</v>
      </c>
      <c r="I58" t="s">
        <v>314</v>
      </c>
      <c r="J58" t="s">
        <v>1004</v>
      </c>
      <c r="K58" t="s">
        <v>832</v>
      </c>
      <c r="L58" t="s">
        <v>205</v>
      </c>
      <c r="M58" t="s">
        <v>224</v>
      </c>
      <c r="N58" s="16" t="s">
        <v>204</v>
      </c>
      <c r="O58" t="s">
        <v>224</v>
      </c>
      <c r="P58" t="s">
        <v>339</v>
      </c>
      <c r="Q58" s="132">
        <v>43325</v>
      </c>
      <c r="R58" t="s">
        <v>1209</v>
      </c>
      <c r="S58" t="s">
        <v>884</v>
      </c>
      <c r="T58" t="s">
        <v>889</v>
      </c>
      <c r="U58" s="135">
        <v>45643</v>
      </c>
      <c r="V58" s="125">
        <v>3.6469999999999998</v>
      </c>
      <c r="W58" s="125">
        <v>9817500</v>
      </c>
      <c r="X58" s="125">
        <v>35804.423000000003</v>
      </c>
      <c r="Y58" s="134">
        <v>3.031E-2</v>
      </c>
      <c r="Z58" s="126">
        <v>2.2159999999999999E-2</v>
      </c>
      <c r="AA58" s="126">
        <v>3.0300000000000001E-3</v>
      </c>
      <c r="AB58" s="125"/>
      <c r="AC58" s="133"/>
    </row>
    <row r="59" spans="1:29" x14ac:dyDescent="0.2">
      <c r="A59">
        <v>66611187</v>
      </c>
      <c r="B59">
        <v>267</v>
      </c>
      <c r="C59">
        <v>267</v>
      </c>
      <c r="D59" s="103" t="s">
        <v>2465</v>
      </c>
      <c r="E59">
        <v>515697605</v>
      </c>
      <c r="F59" t="s">
        <v>309</v>
      </c>
      <c r="G59" t="s">
        <v>2258</v>
      </c>
      <c r="H59">
        <v>66611187</v>
      </c>
      <c r="I59" t="s">
        <v>314</v>
      </c>
      <c r="J59" t="s">
        <v>1005</v>
      </c>
      <c r="K59" t="s">
        <v>846</v>
      </c>
      <c r="L59" t="s">
        <v>205</v>
      </c>
      <c r="M59" t="s">
        <v>217</v>
      </c>
      <c r="N59" s="16" t="s">
        <v>204</v>
      </c>
      <c r="O59" t="s">
        <v>204</v>
      </c>
      <c r="P59" t="s">
        <v>339</v>
      </c>
      <c r="Q59" s="132">
        <v>45046</v>
      </c>
      <c r="R59" t="s">
        <v>1208</v>
      </c>
      <c r="S59" t="s">
        <v>884</v>
      </c>
      <c r="T59" t="s">
        <v>889</v>
      </c>
      <c r="U59" s="135">
        <v>45638</v>
      </c>
      <c r="V59" s="125">
        <v>1</v>
      </c>
      <c r="W59" s="125">
        <v>32643573</v>
      </c>
      <c r="X59" s="125">
        <v>32643.573</v>
      </c>
      <c r="Y59" s="134">
        <v>0.28289999999999998</v>
      </c>
      <c r="Z59" s="126">
        <v>2.0209999999999999E-2</v>
      </c>
      <c r="AA59" s="126">
        <v>2.7699999999999999E-3</v>
      </c>
      <c r="AB59" s="125"/>
      <c r="AC59" s="133"/>
    </row>
    <row r="60" spans="1:29" x14ac:dyDescent="0.2">
      <c r="A60">
        <v>62008008</v>
      </c>
      <c r="B60">
        <v>267</v>
      </c>
      <c r="C60">
        <v>267</v>
      </c>
      <c r="D60" s="103" t="s">
        <v>2466</v>
      </c>
      <c r="E60" t="s">
        <v>2467</v>
      </c>
      <c r="F60" t="s">
        <v>311</v>
      </c>
      <c r="G60" t="s">
        <v>2259</v>
      </c>
      <c r="H60">
        <v>62008008</v>
      </c>
      <c r="I60" t="s">
        <v>314</v>
      </c>
      <c r="J60" t="s">
        <v>1004</v>
      </c>
      <c r="K60" t="s">
        <v>832</v>
      </c>
      <c r="L60" t="s">
        <v>205</v>
      </c>
      <c r="M60" t="s">
        <v>224</v>
      </c>
      <c r="N60" s="16" t="s">
        <v>224</v>
      </c>
      <c r="O60" t="s">
        <v>224</v>
      </c>
      <c r="P60" t="s">
        <v>339</v>
      </c>
      <c r="Q60" s="132">
        <v>43290</v>
      </c>
      <c r="R60" t="s">
        <v>1209</v>
      </c>
      <c r="S60" t="s">
        <v>884</v>
      </c>
      <c r="T60" t="s">
        <v>889</v>
      </c>
      <c r="U60" s="135">
        <v>45649</v>
      </c>
      <c r="V60" s="125">
        <v>3.6469999999999998</v>
      </c>
      <c r="W60" s="125">
        <v>8930042</v>
      </c>
      <c r="X60" s="125">
        <v>32567.863000000001</v>
      </c>
      <c r="Y60" s="134">
        <v>1.0630000000000001E-2</v>
      </c>
      <c r="Z60" s="126">
        <v>2.0160000000000001E-2</v>
      </c>
      <c r="AA60" s="126">
        <v>2.7599999999999999E-3</v>
      </c>
      <c r="AB60" s="125"/>
      <c r="AC60" s="133"/>
    </row>
    <row r="61" spans="1:29" x14ac:dyDescent="0.2">
      <c r="A61">
        <v>666109970</v>
      </c>
      <c r="B61">
        <v>267</v>
      </c>
      <c r="C61">
        <v>267</v>
      </c>
      <c r="D61" s="103" t="s">
        <v>2391</v>
      </c>
      <c r="E61">
        <v>540311354</v>
      </c>
      <c r="F61" t="s">
        <v>309</v>
      </c>
      <c r="G61" t="s">
        <v>2260</v>
      </c>
      <c r="H61">
        <v>666109970</v>
      </c>
      <c r="I61" t="s">
        <v>314</v>
      </c>
      <c r="J61" t="s">
        <v>1005</v>
      </c>
      <c r="K61" t="s">
        <v>827</v>
      </c>
      <c r="L61" t="s">
        <v>204</v>
      </c>
      <c r="M61" t="s">
        <v>204</v>
      </c>
      <c r="N61" s="16" t="s">
        <v>204</v>
      </c>
      <c r="O61" t="s">
        <v>204</v>
      </c>
      <c r="P61" t="s">
        <v>339</v>
      </c>
      <c r="Q61" s="132">
        <v>44607</v>
      </c>
      <c r="R61" t="s">
        <v>1208</v>
      </c>
      <c r="S61" t="s">
        <v>884</v>
      </c>
      <c r="T61" t="s">
        <v>889</v>
      </c>
      <c r="U61" s="135">
        <v>45643</v>
      </c>
      <c r="V61" s="125">
        <v>1</v>
      </c>
      <c r="W61" s="125">
        <v>30692905</v>
      </c>
      <c r="X61" s="125">
        <v>30692.904999999999</v>
      </c>
      <c r="Y61" s="134">
        <v>4.0800000000000003E-2</v>
      </c>
      <c r="Z61" s="126">
        <v>1.9E-2</v>
      </c>
      <c r="AA61" s="126">
        <v>2.5999999999999999E-3</v>
      </c>
      <c r="AB61" s="125"/>
      <c r="AC61" s="133"/>
    </row>
    <row r="62" spans="1:29" x14ac:dyDescent="0.2">
      <c r="A62">
        <v>50000892</v>
      </c>
      <c r="B62">
        <v>267</v>
      </c>
      <c r="C62">
        <v>267</v>
      </c>
      <c r="D62" s="103" t="s">
        <v>2468</v>
      </c>
      <c r="E62">
        <v>540290103</v>
      </c>
      <c r="F62" t="s">
        <v>310</v>
      </c>
      <c r="G62" t="s">
        <v>2261</v>
      </c>
      <c r="H62">
        <v>50000892</v>
      </c>
      <c r="I62" t="s">
        <v>314</v>
      </c>
      <c r="J62" t="s">
        <v>1004</v>
      </c>
      <c r="K62" t="s">
        <v>846</v>
      </c>
      <c r="L62" t="s">
        <v>204</v>
      </c>
      <c r="M62" t="s">
        <v>204</v>
      </c>
      <c r="N62" s="16" t="s">
        <v>204</v>
      </c>
      <c r="O62" t="s">
        <v>204</v>
      </c>
      <c r="P62" t="s">
        <v>339</v>
      </c>
      <c r="Q62" s="132">
        <v>43803</v>
      </c>
      <c r="R62" t="s">
        <v>1208</v>
      </c>
      <c r="S62" t="s">
        <v>884</v>
      </c>
      <c r="T62" t="s">
        <v>889</v>
      </c>
      <c r="U62" s="135">
        <v>45643</v>
      </c>
      <c r="V62" s="125">
        <v>1</v>
      </c>
      <c r="W62" s="125">
        <v>29049593</v>
      </c>
      <c r="X62" s="125">
        <v>29049.593000000001</v>
      </c>
      <c r="Y62" s="134">
        <v>1.83E-2</v>
      </c>
      <c r="Z62" s="126">
        <v>1.7979999999999999E-2</v>
      </c>
      <c r="AA62" s="126">
        <v>2.4599999999999999E-3</v>
      </c>
      <c r="AB62" s="125"/>
      <c r="AC62" s="133"/>
    </row>
    <row r="63" spans="1:29" x14ac:dyDescent="0.2">
      <c r="A63">
        <v>79012</v>
      </c>
      <c r="B63">
        <v>267</v>
      </c>
      <c r="C63">
        <v>267</v>
      </c>
      <c r="D63" s="103" t="s">
        <v>2468</v>
      </c>
      <c r="E63">
        <v>550274807</v>
      </c>
      <c r="F63" t="s">
        <v>310</v>
      </c>
      <c r="G63" t="s">
        <v>2262</v>
      </c>
      <c r="H63">
        <v>79012</v>
      </c>
      <c r="I63" t="s">
        <v>314</v>
      </c>
      <c r="J63" t="s">
        <v>1004</v>
      </c>
      <c r="K63" t="s">
        <v>825</v>
      </c>
      <c r="L63" t="s">
        <v>204</v>
      </c>
      <c r="M63" t="s">
        <v>204</v>
      </c>
      <c r="N63" s="16" t="s">
        <v>204</v>
      </c>
      <c r="O63" t="s">
        <v>204</v>
      </c>
      <c r="P63" t="s">
        <v>339</v>
      </c>
      <c r="Q63" s="132">
        <v>43132</v>
      </c>
      <c r="R63" t="s">
        <v>1208</v>
      </c>
      <c r="S63" t="s">
        <v>884</v>
      </c>
      <c r="T63" t="s">
        <v>889</v>
      </c>
      <c r="U63" s="135">
        <v>45643</v>
      </c>
      <c r="V63" s="125">
        <v>1</v>
      </c>
      <c r="W63" s="125">
        <v>28071843</v>
      </c>
      <c r="X63" s="125">
        <v>28071.843000000001</v>
      </c>
      <c r="Y63" s="134">
        <v>3.993E-2</v>
      </c>
      <c r="Z63" s="126">
        <v>1.738E-2</v>
      </c>
      <c r="AA63" s="126">
        <v>2.3800000000000002E-3</v>
      </c>
      <c r="AB63" s="125"/>
      <c r="AC63" s="133"/>
    </row>
    <row r="64" spans="1:29" x14ac:dyDescent="0.2">
      <c r="A64">
        <v>666108790</v>
      </c>
      <c r="B64">
        <v>267</v>
      </c>
      <c r="C64">
        <v>267</v>
      </c>
      <c r="D64" s="103" t="s">
        <v>2469</v>
      </c>
      <c r="E64" t="s">
        <v>2470</v>
      </c>
      <c r="F64" t="s">
        <v>311</v>
      </c>
      <c r="G64" t="s">
        <v>2263</v>
      </c>
      <c r="H64">
        <v>666108790</v>
      </c>
      <c r="I64" t="s">
        <v>314</v>
      </c>
      <c r="J64" t="s">
        <v>1000</v>
      </c>
      <c r="K64" t="s">
        <v>832</v>
      </c>
      <c r="L64" t="s">
        <v>205</v>
      </c>
      <c r="M64" t="s">
        <v>217</v>
      </c>
      <c r="N64" s="16" t="s">
        <v>204</v>
      </c>
      <c r="O64" t="s">
        <v>204</v>
      </c>
      <c r="P64" t="s">
        <v>339</v>
      </c>
      <c r="Q64" s="132">
        <v>44322</v>
      </c>
      <c r="R64" t="s">
        <v>1209</v>
      </c>
      <c r="S64" t="s">
        <v>884</v>
      </c>
      <c r="T64" t="s">
        <v>889</v>
      </c>
      <c r="U64" s="135">
        <v>45620</v>
      </c>
      <c r="V64" s="125">
        <v>3.6469999999999998</v>
      </c>
      <c r="W64" s="125">
        <v>7328443</v>
      </c>
      <c r="X64" s="125">
        <v>26726.830999999998</v>
      </c>
      <c r="Y64" s="134">
        <v>1.21E-2</v>
      </c>
      <c r="Z64" s="126">
        <v>1.6539999999999999E-2</v>
      </c>
      <c r="AA64" s="126">
        <v>2.2599999999999999E-3</v>
      </c>
      <c r="AB64" s="125"/>
      <c r="AC64" s="133"/>
    </row>
    <row r="65" spans="1:29" x14ac:dyDescent="0.2">
      <c r="A65">
        <v>62016720</v>
      </c>
      <c r="B65">
        <v>267</v>
      </c>
      <c r="C65">
        <v>267</v>
      </c>
      <c r="D65" s="103" t="s">
        <v>2471</v>
      </c>
      <c r="E65">
        <v>103012</v>
      </c>
      <c r="F65" t="s">
        <v>311</v>
      </c>
      <c r="G65" t="s">
        <v>2264</v>
      </c>
      <c r="H65">
        <v>62016720</v>
      </c>
      <c r="I65" t="s">
        <v>314</v>
      </c>
      <c r="J65" t="s">
        <v>1000</v>
      </c>
      <c r="K65" t="s">
        <v>832</v>
      </c>
      <c r="L65" t="s">
        <v>205</v>
      </c>
      <c r="M65" t="s">
        <v>217</v>
      </c>
      <c r="N65" s="16" t="s">
        <v>224</v>
      </c>
      <c r="O65" t="s">
        <v>224</v>
      </c>
      <c r="P65" t="s">
        <v>339</v>
      </c>
      <c r="Q65" s="132">
        <v>43872</v>
      </c>
      <c r="R65" t="s">
        <v>1209</v>
      </c>
      <c r="S65" t="s">
        <v>884</v>
      </c>
      <c r="T65" t="s">
        <v>889</v>
      </c>
      <c r="U65" s="135">
        <v>45643</v>
      </c>
      <c r="V65" s="125">
        <v>3.6469999999999998</v>
      </c>
      <c r="W65" s="125">
        <v>7314983</v>
      </c>
      <c r="X65" s="125">
        <v>26677.741999999998</v>
      </c>
      <c r="Y65" s="134">
        <v>2.5000000000000001E-2</v>
      </c>
      <c r="Z65" s="126">
        <v>1.651E-2</v>
      </c>
      <c r="AA65" s="126">
        <v>2.2599999999999999E-3</v>
      </c>
      <c r="AB65" s="125"/>
      <c r="AC65" s="133"/>
    </row>
    <row r="66" spans="1:29" x14ac:dyDescent="0.2">
      <c r="A66">
        <v>604157677</v>
      </c>
      <c r="B66">
        <v>267</v>
      </c>
      <c r="C66">
        <v>267</v>
      </c>
      <c r="D66" s="103" t="s">
        <v>2448</v>
      </c>
      <c r="E66" t="s">
        <v>2472</v>
      </c>
      <c r="F66" t="s">
        <v>2450</v>
      </c>
      <c r="G66" t="s">
        <v>2265</v>
      </c>
      <c r="H66">
        <v>604157677</v>
      </c>
      <c r="I66" t="s">
        <v>314</v>
      </c>
      <c r="J66" t="s">
        <v>1005</v>
      </c>
      <c r="K66" t="s">
        <v>836</v>
      </c>
      <c r="L66" t="s">
        <v>205</v>
      </c>
      <c r="M66" t="s">
        <v>217</v>
      </c>
      <c r="N66" s="16" t="s">
        <v>224</v>
      </c>
      <c r="O66" t="s">
        <v>224</v>
      </c>
      <c r="P66" t="s">
        <v>339</v>
      </c>
      <c r="Q66" s="132">
        <v>42800</v>
      </c>
      <c r="R66" t="s">
        <v>1209</v>
      </c>
      <c r="S66" t="s">
        <v>884</v>
      </c>
      <c r="T66" t="s">
        <v>889</v>
      </c>
      <c r="U66" s="135">
        <v>45655</v>
      </c>
      <c r="V66" s="125">
        <v>3.6469999999999998</v>
      </c>
      <c r="W66" s="125">
        <v>7190588</v>
      </c>
      <c r="X66" s="125">
        <v>26224.076000000001</v>
      </c>
      <c r="Y66" s="134">
        <v>5.2749999999999998E-2</v>
      </c>
      <c r="Z66" s="126">
        <v>1.6230000000000001E-2</v>
      </c>
      <c r="AA66" s="126">
        <v>2.2200000000000002E-3</v>
      </c>
      <c r="AB66" s="125"/>
      <c r="AC66" s="133"/>
    </row>
    <row r="67" spans="1:29" x14ac:dyDescent="0.2">
      <c r="A67">
        <v>666110523</v>
      </c>
      <c r="B67">
        <v>267</v>
      </c>
      <c r="C67">
        <v>267</v>
      </c>
      <c r="D67" s="103" t="s">
        <v>2462</v>
      </c>
      <c r="E67">
        <v>510607328</v>
      </c>
      <c r="F67" t="s">
        <v>309</v>
      </c>
      <c r="G67" t="s">
        <v>2266</v>
      </c>
      <c r="H67">
        <v>666110523</v>
      </c>
      <c r="I67" t="s">
        <v>314</v>
      </c>
      <c r="J67" t="s">
        <v>1005</v>
      </c>
      <c r="K67" t="s">
        <v>842</v>
      </c>
      <c r="L67" t="s">
        <v>205</v>
      </c>
      <c r="M67" t="s">
        <v>224</v>
      </c>
      <c r="N67" s="16" t="s">
        <v>204</v>
      </c>
      <c r="O67" t="s">
        <v>224</v>
      </c>
      <c r="P67" t="s">
        <v>339</v>
      </c>
      <c r="Q67" s="132">
        <v>44753</v>
      </c>
      <c r="R67" t="s">
        <v>1209</v>
      </c>
      <c r="S67" t="s">
        <v>884</v>
      </c>
      <c r="T67" t="s">
        <v>889</v>
      </c>
      <c r="U67" s="135">
        <v>45655</v>
      </c>
      <c r="V67" s="125">
        <v>3.6469999999999998</v>
      </c>
      <c r="W67" s="125">
        <v>7073938</v>
      </c>
      <c r="X67" s="125">
        <v>25798.65</v>
      </c>
      <c r="Y67" s="134">
        <v>1.9446700000000001E-2</v>
      </c>
      <c r="Z67" s="126">
        <v>1.5970000000000002E-2</v>
      </c>
      <c r="AA67" s="126">
        <v>2.1900000000000001E-3</v>
      </c>
      <c r="AB67" s="125"/>
      <c r="AC67" s="133"/>
    </row>
    <row r="68" spans="1:29" x14ac:dyDescent="0.2">
      <c r="A68">
        <v>18987</v>
      </c>
      <c r="B68">
        <v>267</v>
      </c>
      <c r="C68">
        <v>267</v>
      </c>
      <c r="D68" s="103" t="s">
        <v>2429</v>
      </c>
      <c r="E68">
        <v>540306594</v>
      </c>
      <c r="F68" t="s">
        <v>310</v>
      </c>
      <c r="G68" t="s">
        <v>2267</v>
      </c>
      <c r="H68">
        <v>18987</v>
      </c>
      <c r="I68" t="s">
        <v>314</v>
      </c>
      <c r="J68" t="s">
        <v>1005</v>
      </c>
      <c r="K68" t="s">
        <v>846</v>
      </c>
      <c r="L68" t="s">
        <v>204</v>
      </c>
      <c r="M68" t="s">
        <v>204</v>
      </c>
      <c r="N68" s="16" t="s">
        <v>204</v>
      </c>
      <c r="O68" t="s">
        <v>204</v>
      </c>
      <c r="P68" t="s">
        <v>339</v>
      </c>
      <c r="Q68" s="132">
        <v>44468</v>
      </c>
      <c r="R68" t="s">
        <v>1208</v>
      </c>
      <c r="S68" t="s">
        <v>884</v>
      </c>
      <c r="T68" t="s">
        <v>889</v>
      </c>
      <c r="U68" s="135">
        <v>45642</v>
      </c>
      <c r="V68" s="125">
        <v>1</v>
      </c>
      <c r="W68" s="125">
        <v>24622958</v>
      </c>
      <c r="X68" s="125">
        <v>24622.957999999999</v>
      </c>
      <c r="Y68" s="134">
        <v>2.3300000000000001E-2</v>
      </c>
      <c r="Z68" s="126">
        <v>1.524E-2</v>
      </c>
      <c r="AA68" s="126">
        <v>2.0899999999999998E-3</v>
      </c>
      <c r="AB68" s="125"/>
      <c r="AC68" s="133"/>
    </row>
    <row r="69" spans="1:29" x14ac:dyDescent="0.2">
      <c r="A69">
        <v>62008024</v>
      </c>
      <c r="B69">
        <v>267</v>
      </c>
      <c r="C69">
        <v>267</v>
      </c>
      <c r="D69" s="103" t="s">
        <v>2469</v>
      </c>
      <c r="E69">
        <v>500457403</v>
      </c>
      <c r="F69" t="s">
        <v>310</v>
      </c>
      <c r="G69" t="s">
        <v>2268</v>
      </c>
      <c r="H69">
        <v>62008024</v>
      </c>
      <c r="I69" t="s">
        <v>314</v>
      </c>
      <c r="J69" t="s">
        <v>1000</v>
      </c>
      <c r="K69" t="s">
        <v>844</v>
      </c>
      <c r="L69" t="s">
        <v>205</v>
      </c>
      <c r="M69" t="s">
        <v>217</v>
      </c>
      <c r="N69" s="16" t="s">
        <v>204</v>
      </c>
      <c r="O69" t="s">
        <v>204</v>
      </c>
      <c r="P69" t="s">
        <v>339</v>
      </c>
      <c r="Q69" s="132">
        <v>43291</v>
      </c>
      <c r="R69" t="s">
        <v>1209</v>
      </c>
      <c r="S69" t="s">
        <v>884</v>
      </c>
      <c r="T69" t="s">
        <v>889</v>
      </c>
      <c r="U69" s="135">
        <v>45655</v>
      </c>
      <c r="V69" s="125">
        <v>3.6469999999999998</v>
      </c>
      <c r="W69" s="125">
        <v>6568524</v>
      </c>
      <c r="X69" s="125">
        <v>23955.404999999999</v>
      </c>
      <c r="Y69" s="134">
        <v>2.86E-2</v>
      </c>
      <c r="Z69" s="126">
        <v>1.4829999999999999E-2</v>
      </c>
      <c r="AA69" s="126">
        <v>2.0300000000000001E-3</v>
      </c>
      <c r="AB69" s="125"/>
      <c r="AC69" s="133"/>
    </row>
    <row r="70" spans="1:29" x14ac:dyDescent="0.2">
      <c r="A70">
        <v>666109079</v>
      </c>
      <c r="B70">
        <v>267</v>
      </c>
      <c r="C70">
        <v>267</v>
      </c>
      <c r="D70" s="103" t="s">
        <v>2269</v>
      </c>
      <c r="E70">
        <v>540300266</v>
      </c>
      <c r="F70" t="s">
        <v>309</v>
      </c>
      <c r="G70" t="s">
        <v>2269</v>
      </c>
      <c r="H70">
        <v>666109079</v>
      </c>
      <c r="I70" t="s">
        <v>314</v>
      </c>
      <c r="J70" t="s">
        <v>1005</v>
      </c>
      <c r="K70" t="s">
        <v>832</v>
      </c>
      <c r="L70" t="s">
        <v>204</v>
      </c>
      <c r="M70" t="s">
        <v>204</v>
      </c>
      <c r="N70" s="16" t="s">
        <v>204</v>
      </c>
      <c r="O70" t="s">
        <v>204</v>
      </c>
      <c r="P70" t="s">
        <v>339</v>
      </c>
      <c r="Q70" s="132">
        <v>44375</v>
      </c>
      <c r="R70" t="s">
        <v>1208</v>
      </c>
      <c r="S70" t="s">
        <v>884</v>
      </c>
      <c r="T70" t="s">
        <v>889</v>
      </c>
      <c r="U70" s="135">
        <v>45642</v>
      </c>
      <c r="V70" s="125">
        <v>1</v>
      </c>
      <c r="W70" s="125">
        <v>21628273</v>
      </c>
      <c r="X70" s="125">
        <v>21628.273000000001</v>
      </c>
      <c r="Y70" s="134">
        <v>0.11020000000000001</v>
      </c>
      <c r="Z70" s="126">
        <v>1.3390000000000001E-2</v>
      </c>
      <c r="AA70" s="126">
        <v>1.83E-3</v>
      </c>
      <c r="AB70" s="125"/>
      <c r="AC70" s="133"/>
    </row>
    <row r="71" spans="1:29" x14ac:dyDescent="0.2">
      <c r="A71">
        <v>666110796</v>
      </c>
      <c r="B71">
        <v>267</v>
      </c>
      <c r="C71">
        <v>267</v>
      </c>
      <c r="D71" s="103" t="s">
        <v>2473</v>
      </c>
      <c r="E71" t="s">
        <v>2474</v>
      </c>
      <c r="F71" t="s">
        <v>311</v>
      </c>
      <c r="G71" t="s">
        <v>2270</v>
      </c>
      <c r="H71">
        <v>666110796</v>
      </c>
      <c r="I71" t="s">
        <v>314</v>
      </c>
      <c r="J71" t="s">
        <v>1005</v>
      </c>
      <c r="K71" t="s">
        <v>828</v>
      </c>
      <c r="L71" t="s">
        <v>205</v>
      </c>
      <c r="M71" t="s">
        <v>224</v>
      </c>
      <c r="N71" s="16" t="s">
        <v>204</v>
      </c>
      <c r="O71" t="s">
        <v>224</v>
      </c>
      <c r="P71" t="s">
        <v>339</v>
      </c>
      <c r="Q71" s="132">
        <v>44853</v>
      </c>
      <c r="R71" t="s">
        <v>1209</v>
      </c>
      <c r="S71" t="s">
        <v>884</v>
      </c>
      <c r="T71" t="s">
        <v>889</v>
      </c>
      <c r="U71" s="135">
        <v>45643</v>
      </c>
      <c r="V71" s="125">
        <v>3.6469999999999998</v>
      </c>
      <c r="W71" s="125">
        <v>5596095</v>
      </c>
      <c r="X71" s="125">
        <v>20408.957999999999</v>
      </c>
      <c r="Y71" s="134">
        <v>4.6481000000000001E-2</v>
      </c>
      <c r="Z71" s="126">
        <v>1.2630000000000001E-2</v>
      </c>
      <c r="AA71" s="126">
        <v>1.73E-3</v>
      </c>
      <c r="AB71" s="125"/>
      <c r="AC71" s="133"/>
    </row>
    <row r="72" spans="1:29" x14ac:dyDescent="0.2">
      <c r="A72">
        <v>666108824</v>
      </c>
      <c r="B72">
        <v>267</v>
      </c>
      <c r="C72">
        <v>267</v>
      </c>
      <c r="D72" s="103" t="s">
        <v>2475</v>
      </c>
      <c r="E72" t="s">
        <v>2476</v>
      </c>
      <c r="F72" t="s">
        <v>311</v>
      </c>
      <c r="G72" t="s">
        <v>2271</v>
      </c>
      <c r="H72">
        <v>666108824</v>
      </c>
      <c r="I72" t="s">
        <v>314</v>
      </c>
      <c r="J72" t="s">
        <v>1000</v>
      </c>
      <c r="K72" t="s">
        <v>842</v>
      </c>
      <c r="L72" t="s">
        <v>205</v>
      </c>
      <c r="M72" t="s">
        <v>217</v>
      </c>
      <c r="N72" s="16" t="s">
        <v>204</v>
      </c>
      <c r="O72" t="s">
        <v>204</v>
      </c>
      <c r="P72" t="s">
        <v>339</v>
      </c>
      <c r="Q72" s="132">
        <v>44341</v>
      </c>
      <c r="R72" t="s">
        <v>1209</v>
      </c>
      <c r="S72" t="s">
        <v>884</v>
      </c>
      <c r="T72" t="s">
        <v>889</v>
      </c>
      <c r="U72" s="135">
        <v>45560</v>
      </c>
      <c r="V72" s="125">
        <v>3.6469999999999998</v>
      </c>
      <c r="W72" s="125">
        <v>5331502</v>
      </c>
      <c r="X72" s="125">
        <v>19443.989000000001</v>
      </c>
      <c r="Y72" s="134">
        <v>1.2699999999999999E-2</v>
      </c>
      <c r="Z72" s="126">
        <v>1.204E-2</v>
      </c>
      <c r="AA72" s="126">
        <v>1.65E-3</v>
      </c>
      <c r="AB72" s="125"/>
      <c r="AC72" s="133"/>
    </row>
    <row r="73" spans="1:29" x14ac:dyDescent="0.2">
      <c r="A73">
        <v>36764</v>
      </c>
      <c r="B73">
        <v>267</v>
      </c>
      <c r="C73">
        <v>267</v>
      </c>
      <c r="D73" s="103" t="s">
        <v>2477</v>
      </c>
      <c r="E73" t="s">
        <v>2250</v>
      </c>
      <c r="F73" t="s">
        <v>309</v>
      </c>
      <c r="G73" t="s">
        <v>2272</v>
      </c>
      <c r="H73">
        <v>36764</v>
      </c>
      <c r="I73" t="s">
        <v>314</v>
      </c>
      <c r="J73" t="s">
        <v>1005</v>
      </c>
      <c r="K73" t="s">
        <v>832</v>
      </c>
      <c r="L73" t="s">
        <v>205</v>
      </c>
      <c r="M73" t="s">
        <v>204</v>
      </c>
      <c r="N73" s="16" t="s">
        <v>204</v>
      </c>
      <c r="O73" s="16" t="s">
        <v>293</v>
      </c>
      <c r="P73" t="s">
        <v>339</v>
      </c>
      <c r="Q73" s="132">
        <v>42187</v>
      </c>
      <c r="R73" t="s">
        <v>1208</v>
      </c>
      <c r="S73" t="s">
        <v>884</v>
      </c>
      <c r="T73" t="s">
        <v>889</v>
      </c>
      <c r="U73" s="135">
        <v>45620</v>
      </c>
      <c r="V73" s="125">
        <v>1</v>
      </c>
      <c r="W73" s="125">
        <v>19211297</v>
      </c>
      <c r="X73" s="125">
        <v>19211.296999999999</v>
      </c>
      <c r="Y73" s="134">
        <v>2.7890000000000002E-2</v>
      </c>
      <c r="Z73" s="126">
        <v>1.189E-2</v>
      </c>
      <c r="AA73" s="126">
        <v>1.6299999999999999E-3</v>
      </c>
      <c r="AB73" s="125"/>
      <c r="AC73" s="133"/>
    </row>
    <row r="74" spans="1:29" x14ac:dyDescent="0.2">
      <c r="A74">
        <v>666108543</v>
      </c>
      <c r="B74">
        <v>267</v>
      </c>
      <c r="C74">
        <v>267</v>
      </c>
      <c r="D74" s="103" t="s">
        <v>2380</v>
      </c>
      <c r="E74">
        <v>540290988</v>
      </c>
      <c r="F74" t="s">
        <v>309</v>
      </c>
      <c r="G74" t="s">
        <v>2273</v>
      </c>
      <c r="H74">
        <v>666108543</v>
      </c>
      <c r="I74" t="s">
        <v>314</v>
      </c>
      <c r="J74" t="s">
        <v>1000</v>
      </c>
      <c r="K74" t="s">
        <v>826</v>
      </c>
      <c r="L74" t="s">
        <v>205</v>
      </c>
      <c r="M74" t="s">
        <v>204</v>
      </c>
      <c r="N74" s="16" t="s">
        <v>204</v>
      </c>
      <c r="O74" t="s">
        <v>204</v>
      </c>
      <c r="P74" t="s">
        <v>339</v>
      </c>
      <c r="Q74" s="132">
        <v>44279</v>
      </c>
      <c r="R74" t="s">
        <v>1209</v>
      </c>
      <c r="S74" t="s">
        <v>884</v>
      </c>
      <c r="T74" t="s">
        <v>889</v>
      </c>
      <c r="U74" s="135">
        <v>45643</v>
      </c>
      <c r="V74" s="125">
        <v>3.6469999999999998</v>
      </c>
      <c r="W74" s="125">
        <v>4610455</v>
      </c>
      <c r="X74" s="125">
        <v>16814.329000000002</v>
      </c>
      <c r="Y74" s="134">
        <v>4.8099999999999997E-2</v>
      </c>
      <c r="Z74" s="126">
        <v>1.0410000000000001E-2</v>
      </c>
      <c r="AA74" s="126">
        <v>1.42E-3</v>
      </c>
      <c r="AB74" s="125"/>
      <c r="AC74" s="133"/>
    </row>
    <row r="75" spans="1:29" x14ac:dyDescent="0.2">
      <c r="A75">
        <v>60397874</v>
      </c>
      <c r="B75">
        <v>267</v>
      </c>
      <c r="C75">
        <v>267</v>
      </c>
      <c r="D75" s="103" t="s">
        <v>2478</v>
      </c>
      <c r="E75">
        <v>500446794</v>
      </c>
      <c r="F75" t="s">
        <v>310</v>
      </c>
      <c r="G75" t="s">
        <v>2274</v>
      </c>
      <c r="H75">
        <v>60397874</v>
      </c>
      <c r="I75" t="s">
        <v>314</v>
      </c>
      <c r="J75" t="s">
        <v>1005</v>
      </c>
      <c r="K75" t="s">
        <v>836</v>
      </c>
      <c r="L75" t="s">
        <v>205</v>
      </c>
      <c r="M75" t="s">
        <v>240</v>
      </c>
      <c r="N75" s="16" t="s">
        <v>224</v>
      </c>
      <c r="O75" t="s">
        <v>204</v>
      </c>
      <c r="P75" t="s">
        <v>339</v>
      </c>
      <c r="Q75" s="132">
        <v>42355</v>
      </c>
      <c r="R75" t="s">
        <v>1209</v>
      </c>
      <c r="S75" t="s">
        <v>884</v>
      </c>
      <c r="T75" t="s">
        <v>889</v>
      </c>
      <c r="U75" s="135">
        <v>45638</v>
      </c>
      <c r="V75" s="125">
        <v>3.6469999999999998</v>
      </c>
      <c r="W75" s="125">
        <v>4509262</v>
      </c>
      <c r="X75" s="125">
        <v>16445.276999999998</v>
      </c>
      <c r="Y75" s="134">
        <v>1.4200000000000001E-2</v>
      </c>
      <c r="Z75" s="126">
        <v>1.018E-2</v>
      </c>
      <c r="AA75" s="126">
        <v>1.39E-3</v>
      </c>
      <c r="AB75" s="125"/>
      <c r="AC75" s="133"/>
    </row>
    <row r="76" spans="1:29" x14ac:dyDescent="0.2">
      <c r="A76">
        <v>666111232</v>
      </c>
      <c r="B76">
        <v>267</v>
      </c>
      <c r="C76">
        <v>267</v>
      </c>
      <c r="D76" s="103" t="s">
        <v>2425</v>
      </c>
      <c r="E76" t="s">
        <v>2426</v>
      </c>
      <c r="F76" t="s">
        <v>313</v>
      </c>
      <c r="G76" t="s">
        <v>2275</v>
      </c>
      <c r="H76">
        <v>666111232</v>
      </c>
      <c r="I76" t="s">
        <v>314</v>
      </c>
      <c r="J76" t="s">
        <v>1005</v>
      </c>
      <c r="K76" t="s">
        <v>835</v>
      </c>
      <c r="L76" t="s">
        <v>205</v>
      </c>
      <c r="M76" t="s">
        <v>217</v>
      </c>
      <c r="N76" s="16" t="s">
        <v>224</v>
      </c>
      <c r="O76" t="s">
        <v>224</v>
      </c>
      <c r="P76" t="s">
        <v>339</v>
      </c>
      <c r="Q76" s="132">
        <v>45006</v>
      </c>
      <c r="R76" t="s">
        <v>1209</v>
      </c>
      <c r="S76" t="s">
        <v>884</v>
      </c>
      <c r="T76" t="s">
        <v>889</v>
      </c>
      <c r="U76" s="145">
        <v>45656</v>
      </c>
      <c r="V76" s="125">
        <v>3.6469999999999998</v>
      </c>
      <c r="W76" s="125">
        <v>4367270</v>
      </c>
      <c r="X76" s="125">
        <v>15927.434999999999</v>
      </c>
      <c r="Y76" s="134">
        <v>1.0840000000000001E-2</v>
      </c>
      <c r="Z76" s="126">
        <v>9.8600000000000007E-3</v>
      </c>
      <c r="AA76" s="126">
        <v>1.3500000000000001E-3</v>
      </c>
      <c r="AB76" s="125"/>
      <c r="AC76" s="133"/>
    </row>
    <row r="77" spans="1:29" x14ac:dyDescent="0.2">
      <c r="A77">
        <v>60401700</v>
      </c>
      <c r="B77">
        <v>267</v>
      </c>
      <c r="C77">
        <v>267</v>
      </c>
      <c r="D77" s="103" t="s">
        <v>2446</v>
      </c>
      <c r="E77">
        <v>500451760</v>
      </c>
      <c r="F77" t="s">
        <v>310</v>
      </c>
      <c r="G77" t="s">
        <v>2276</v>
      </c>
      <c r="H77">
        <v>60401700</v>
      </c>
      <c r="I77" t="s">
        <v>314</v>
      </c>
      <c r="J77" t="s">
        <v>1005</v>
      </c>
      <c r="K77" t="s">
        <v>839</v>
      </c>
      <c r="L77" t="s">
        <v>205</v>
      </c>
      <c r="M77" t="s">
        <v>217</v>
      </c>
      <c r="N77" s="16" t="s">
        <v>204</v>
      </c>
      <c r="O77" t="s">
        <v>204</v>
      </c>
      <c r="P77" t="s">
        <v>339</v>
      </c>
      <c r="Q77" s="132">
        <v>42425</v>
      </c>
      <c r="R77" t="s">
        <v>1209</v>
      </c>
      <c r="S77" t="s">
        <v>884</v>
      </c>
      <c r="T77" t="s">
        <v>889</v>
      </c>
      <c r="U77" s="135">
        <v>45642</v>
      </c>
      <c r="V77" s="125">
        <v>3.6469999999999998</v>
      </c>
      <c r="W77" s="125">
        <v>4177721.9999999995</v>
      </c>
      <c r="X77" s="125">
        <v>15236.152</v>
      </c>
      <c r="Y77" s="134">
        <v>7.1099999999999997E-2</v>
      </c>
      <c r="Z77" s="126">
        <v>9.4299999999999991E-3</v>
      </c>
      <c r="AA77" s="126">
        <v>1.2899999999999999E-3</v>
      </c>
      <c r="AB77" s="125"/>
      <c r="AC77" s="133"/>
    </row>
    <row r="78" spans="1:29" x14ac:dyDescent="0.2">
      <c r="A78">
        <v>666111844</v>
      </c>
      <c r="B78">
        <v>267</v>
      </c>
      <c r="C78">
        <v>267</v>
      </c>
      <c r="D78" s="103" t="s">
        <v>2479</v>
      </c>
      <c r="E78" t="s">
        <v>2480</v>
      </c>
      <c r="F78" t="s">
        <v>313</v>
      </c>
      <c r="G78" t="s">
        <v>2277</v>
      </c>
      <c r="H78">
        <v>666111844</v>
      </c>
      <c r="I78" t="s">
        <v>314</v>
      </c>
      <c r="J78" t="s">
        <v>1005</v>
      </c>
      <c r="K78" t="s">
        <v>836</v>
      </c>
      <c r="L78" t="s">
        <v>205</v>
      </c>
      <c r="M78" t="s">
        <v>233</v>
      </c>
      <c r="N78" s="16" t="s">
        <v>233</v>
      </c>
      <c r="O78" t="s">
        <v>224</v>
      </c>
      <c r="P78" t="s">
        <v>339</v>
      </c>
      <c r="Q78" s="132">
        <v>45236</v>
      </c>
      <c r="R78" t="s">
        <v>1209</v>
      </c>
      <c r="S78" t="s">
        <v>884</v>
      </c>
      <c r="T78" t="s">
        <v>889</v>
      </c>
      <c r="U78" s="145">
        <v>45656</v>
      </c>
      <c r="V78" s="125">
        <v>3.6469999999999998</v>
      </c>
      <c r="W78" s="125">
        <v>4137834</v>
      </c>
      <c r="X78" s="125">
        <v>15090.68</v>
      </c>
      <c r="Y78" s="134">
        <v>2E-3</v>
      </c>
      <c r="Z78" s="126">
        <v>9.3399999999999993E-3</v>
      </c>
      <c r="AA78" s="126">
        <v>1.2800000000000001E-3</v>
      </c>
      <c r="AB78" s="125"/>
      <c r="AC78" s="133"/>
    </row>
    <row r="79" spans="1:29" x14ac:dyDescent="0.2">
      <c r="A79">
        <v>62014618</v>
      </c>
      <c r="B79">
        <v>267</v>
      </c>
      <c r="C79">
        <v>267</v>
      </c>
      <c r="D79" s="103" t="s">
        <v>2427</v>
      </c>
      <c r="E79">
        <v>6751887600</v>
      </c>
      <c r="F79" t="s">
        <v>311</v>
      </c>
      <c r="G79" t="s">
        <v>2278</v>
      </c>
      <c r="H79">
        <v>62014618</v>
      </c>
      <c r="I79" t="s">
        <v>314</v>
      </c>
      <c r="J79" t="s">
        <v>1005</v>
      </c>
      <c r="K79" t="s">
        <v>839</v>
      </c>
      <c r="L79" t="s">
        <v>205</v>
      </c>
      <c r="M79" t="s">
        <v>217</v>
      </c>
      <c r="N79" s="16" t="s">
        <v>224</v>
      </c>
      <c r="O79" t="s">
        <v>224</v>
      </c>
      <c r="P79" t="s">
        <v>339</v>
      </c>
      <c r="Q79" s="132">
        <v>43788</v>
      </c>
      <c r="R79" t="s">
        <v>1209</v>
      </c>
      <c r="S79" t="s">
        <v>884</v>
      </c>
      <c r="T79" t="s">
        <v>889</v>
      </c>
      <c r="U79" s="135">
        <v>45642</v>
      </c>
      <c r="V79" s="125">
        <v>3.6469999999999998</v>
      </c>
      <c r="W79" s="125">
        <v>3348477</v>
      </c>
      <c r="X79" s="125">
        <v>12211.894</v>
      </c>
      <c r="Y79" s="134">
        <v>1.49E-2</v>
      </c>
      <c r="Z79" s="126">
        <v>7.5599999999999999E-3</v>
      </c>
      <c r="AA79" s="126">
        <v>1.0300000000000001E-3</v>
      </c>
      <c r="AB79" s="125"/>
      <c r="AC79" s="133"/>
    </row>
    <row r="80" spans="1:29" x14ac:dyDescent="0.2">
      <c r="A80">
        <v>62004783</v>
      </c>
      <c r="B80">
        <v>267</v>
      </c>
      <c r="C80">
        <v>267</v>
      </c>
      <c r="D80" s="103" t="s">
        <v>2481</v>
      </c>
      <c r="E80">
        <v>500454707</v>
      </c>
      <c r="F80" t="s">
        <v>310</v>
      </c>
      <c r="G80" t="s">
        <v>2279</v>
      </c>
      <c r="H80">
        <v>62004783</v>
      </c>
      <c r="I80" t="s">
        <v>314</v>
      </c>
      <c r="J80" t="s">
        <v>1000</v>
      </c>
      <c r="K80" t="s">
        <v>836</v>
      </c>
      <c r="L80" t="s">
        <v>205</v>
      </c>
      <c r="M80" t="s">
        <v>217</v>
      </c>
      <c r="N80" s="16" t="s">
        <v>204</v>
      </c>
      <c r="O80" t="s">
        <v>204</v>
      </c>
      <c r="P80" t="s">
        <v>339</v>
      </c>
      <c r="Q80" s="132">
        <v>43102</v>
      </c>
      <c r="R80" t="s">
        <v>1209</v>
      </c>
      <c r="S80" t="s">
        <v>884</v>
      </c>
      <c r="T80" t="s">
        <v>889</v>
      </c>
      <c r="U80" s="135">
        <v>45564</v>
      </c>
      <c r="V80" s="125">
        <v>3.6469999999999998</v>
      </c>
      <c r="W80" s="125">
        <v>3316203</v>
      </c>
      <c r="X80" s="125">
        <v>12094.191999999999</v>
      </c>
      <c r="Y80" s="134">
        <v>0.10150000000000001</v>
      </c>
      <c r="Z80" s="126">
        <v>7.4900000000000001E-3</v>
      </c>
      <c r="AA80" s="126">
        <v>1.0200000000000001E-3</v>
      </c>
      <c r="AB80" s="125"/>
      <c r="AC80" s="133"/>
    </row>
    <row r="81" spans="1:29" x14ac:dyDescent="0.2">
      <c r="A81">
        <v>60388022</v>
      </c>
      <c r="B81">
        <v>267</v>
      </c>
      <c r="C81">
        <v>267</v>
      </c>
      <c r="D81" s="103" t="s">
        <v>2482</v>
      </c>
      <c r="E81">
        <v>60388022</v>
      </c>
      <c r="F81" t="s">
        <v>311</v>
      </c>
      <c r="G81" t="s">
        <v>2280</v>
      </c>
      <c r="H81">
        <v>60388022</v>
      </c>
      <c r="I81" t="s">
        <v>314</v>
      </c>
      <c r="J81" t="s">
        <v>1004</v>
      </c>
      <c r="K81" t="s">
        <v>836</v>
      </c>
      <c r="L81" t="s">
        <v>205</v>
      </c>
      <c r="M81" t="s">
        <v>224</v>
      </c>
      <c r="N81" s="16" t="s">
        <v>204</v>
      </c>
      <c r="O81" t="s">
        <v>224</v>
      </c>
      <c r="P81" t="s">
        <v>339</v>
      </c>
      <c r="Q81" s="132">
        <v>42157</v>
      </c>
      <c r="R81" t="s">
        <v>1209</v>
      </c>
      <c r="S81" t="s">
        <v>884</v>
      </c>
      <c r="T81" t="s">
        <v>889</v>
      </c>
      <c r="U81" s="135">
        <v>45643</v>
      </c>
      <c r="V81" s="125">
        <v>3.6469999999999998</v>
      </c>
      <c r="W81" s="125">
        <v>2784160</v>
      </c>
      <c r="X81" s="125">
        <v>10153.832</v>
      </c>
      <c r="Y81" s="134">
        <v>4.1300000000000003E-2</v>
      </c>
      <c r="Z81" s="126">
        <v>6.2899999999999996E-3</v>
      </c>
      <c r="AA81" s="126">
        <v>8.5999999999999998E-4</v>
      </c>
      <c r="AB81" s="125"/>
      <c r="AC81" s="133"/>
    </row>
    <row r="82" spans="1:29" x14ac:dyDescent="0.2">
      <c r="A82">
        <v>666108170</v>
      </c>
      <c r="B82">
        <v>267</v>
      </c>
      <c r="C82">
        <v>267</v>
      </c>
      <c r="D82" s="103" t="s">
        <v>2469</v>
      </c>
      <c r="E82">
        <v>540301223</v>
      </c>
      <c r="F82" t="s">
        <v>310</v>
      </c>
      <c r="G82" t="s">
        <v>2281</v>
      </c>
      <c r="H82">
        <v>666108170</v>
      </c>
      <c r="I82" t="s">
        <v>314</v>
      </c>
      <c r="J82" t="s">
        <v>1000</v>
      </c>
      <c r="K82" t="s">
        <v>836</v>
      </c>
      <c r="L82" t="s">
        <v>205</v>
      </c>
      <c r="M82" t="s">
        <v>217</v>
      </c>
      <c r="N82" s="16" t="s">
        <v>204</v>
      </c>
      <c r="O82" t="s">
        <v>204</v>
      </c>
      <c r="P82" t="s">
        <v>339</v>
      </c>
      <c r="Q82" s="132">
        <v>44195</v>
      </c>
      <c r="R82" t="s">
        <v>1209</v>
      </c>
      <c r="S82" t="s">
        <v>884</v>
      </c>
      <c r="T82" t="s">
        <v>889</v>
      </c>
      <c r="U82" s="135">
        <v>45655</v>
      </c>
      <c r="V82" s="125">
        <v>3.6469999999999998</v>
      </c>
      <c r="W82" s="125">
        <v>2546920</v>
      </c>
      <c r="X82" s="125">
        <v>9288.6170000000002</v>
      </c>
      <c r="Y82" s="134">
        <v>6.7000000000000002E-3</v>
      </c>
      <c r="Z82" s="126">
        <v>5.7499999999999999E-3</v>
      </c>
      <c r="AA82" s="126">
        <v>7.9000000000000001E-4</v>
      </c>
      <c r="AB82" s="125"/>
      <c r="AC82" s="133"/>
    </row>
    <row r="83" spans="1:29" x14ac:dyDescent="0.2">
      <c r="A83">
        <v>666110812</v>
      </c>
      <c r="B83">
        <v>267</v>
      </c>
      <c r="C83">
        <v>267</v>
      </c>
      <c r="D83" s="103" t="s">
        <v>2439</v>
      </c>
      <c r="E83">
        <v>540316940</v>
      </c>
      <c r="F83" t="s">
        <v>310</v>
      </c>
      <c r="G83" t="s">
        <v>2282</v>
      </c>
      <c r="H83">
        <v>666110812</v>
      </c>
      <c r="I83" t="s">
        <v>314</v>
      </c>
      <c r="J83" t="s">
        <v>1005</v>
      </c>
      <c r="K83" t="s">
        <v>832</v>
      </c>
      <c r="L83" t="s">
        <v>205</v>
      </c>
      <c r="M83" t="s">
        <v>204</v>
      </c>
      <c r="N83" s="16" t="s">
        <v>204</v>
      </c>
      <c r="O83" t="s">
        <v>204</v>
      </c>
      <c r="P83" t="s">
        <v>339</v>
      </c>
      <c r="Q83" s="132">
        <v>44853</v>
      </c>
      <c r="R83" t="s">
        <v>1209</v>
      </c>
      <c r="S83" t="s">
        <v>884</v>
      </c>
      <c r="T83" t="s">
        <v>889</v>
      </c>
      <c r="U83" s="135">
        <v>45643</v>
      </c>
      <c r="V83" s="125">
        <v>3.6469999999999998</v>
      </c>
      <c r="W83" s="125">
        <v>2340786</v>
      </c>
      <c r="X83" s="125">
        <v>8536.8449999999993</v>
      </c>
      <c r="Y83" s="134">
        <v>4.8090000000000001E-2</v>
      </c>
      <c r="Z83" s="126">
        <v>5.28E-3</v>
      </c>
      <c r="AA83" s="126">
        <v>7.2000000000000005E-4</v>
      </c>
      <c r="AB83" s="125"/>
      <c r="AC83" s="133"/>
    </row>
    <row r="84" spans="1:29" x14ac:dyDescent="0.2">
      <c r="A84">
        <v>666111299</v>
      </c>
      <c r="B84">
        <v>267</v>
      </c>
      <c r="C84">
        <v>267</v>
      </c>
      <c r="D84" s="103" t="s">
        <v>2483</v>
      </c>
      <c r="E84">
        <v>513373993</v>
      </c>
      <c r="F84" t="s">
        <v>309</v>
      </c>
      <c r="G84" t="s">
        <v>2283</v>
      </c>
      <c r="H84">
        <v>666111299</v>
      </c>
      <c r="I84" t="s">
        <v>314</v>
      </c>
      <c r="J84" t="s">
        <v>1005</v>
      </c>
      <c r="K84" t="s">
        <v>842</v>
      </c>
      <c r="L84" t="s">
        <v>205</v>
      </c>
      <c r="M84" t="s">
        <v>224</v>
      </c>
      <c r="N84" s="16" t="s">
        <v>224</v>
      </c>
      <c r="O84" t="s">
        <v>224</v>
      </c>
      <c r="P84" t="s">
        <v>339</v>
      </c>
      <c r="Q84" s="132">
        <v>45026</v>
      </c>
      <c r="R84" t="s">
        <v>1209</v>
      </c>
      <c r="S84" t="s">
        <v>884</v>
      </c>
      <c r="T84" t="s">
        <v>889</v>
      </c>
      <c r="U84" s="135">
        <v>45620</v>
      </c>
      <c r="V84" s="125">
        <v>3.6469999999999998</v>
      </c>
      <c r="W84" s="125">
        <v>2140129</v>
      </c>
      <c r="X84" s="125">
        <v>7805.0519999999997</v>
      </c>
      <c r="Y84" s="134">
        <v>4.6219999999999997E-2</v>
      </c>
      <c r="Z84" s="126">
        <v>4.8300000000000001E-3</v>
      </c>
      <c r="AA84" s="126">
        <v>6.6E-4</v>
      </c>
      <c r="AB84" s="125"/>
      <c r="AC84" s="133"/>
    </row>
    <row r="85" spans="1:29" x14ac:dyDescent="0.2">
      <c r="A85">
        <v>666109871</v>
      </c>
      <c r="B85">
        <v>267</v>
      </c>
      <c r="C85">
        <v>267</v>
      </c>
      <c r="D85" s="103" t="s">
        <v>2484</v>
      </c>
      <c r="E85">
        <v>540303864</v>
      </c>
      <c r="F85" t="s">
        <v>309</v>
      </c>
      <c r="G85" t="s">
        <v>2284</v>
      </c>
      <c r="H85">
        <v>666109871</v>
      </c>
      <c r="I85" t="s">
        <v>314</v>
      </c>
      <c r="J85" t="s">
        <v>1005</v>
      </c>
      <c r="K85" t="s">
        <v>832</v>
      </c>
      <c r="L85" t="s">
        <v>205</v>
      </c>
      <c r="M85" t="s">
        <v>204</v>
      </c>
      <c r="N85" s="16" t="s">
        <v>204</v>
      </c>
      <c r="O85" t="s">
        <v>224</v>
      </c>
      <c r="P85" t="s">
        <v>339</v>
      </c>
      <c r="Q85" s="132">
        <v>44581</v>
      </c>
      <c r="R85" t="s">
        <v>1209</v>
      </c>
      <c r="S85" t="s">
        <v>884</v>
      </c>
      <c r="T85" t="s">
        <v>889</v>
      </c>
      <c r="U85" s="135">
        <v>45649</v>
      </c>
      <c r="V85" s="125">
        <v>3.6469999999999998</v>
      </c>
      <c r="W85" s="125">
        <v>2031136</v>
      </c>
      <c r="X85" s="125">
        <v>7407.5529999999999</v>
      </c>
      <c r="Y85" s="134">
        <v>3.6999999999999998E-2</v>
      </c>
      <c r="Z85" s="126">
        <v>4.5900000000000003E-3</v>
      </c>
      <c r="AA85" s="126">
        <v>6.3000000000000003E-4</v>
      </c>
      <c r="AB85" s="125"/>
      <c r="AC85" s="133"/>
    </row>
    <row r="86" spans="1:29" x14ac:dyDescent="0.2">
      <c r="A86">
        <v>666110911</v>
      </c>
      <c r="B86">
        <v>267</v>
      </c>
      <c r="C86">
        <v>267</v>
      </c>
      <c r="D86" s="103" t="s">
        <v>2218</v>
      </c>
      <c r="E86">
        <v>1999686</v>
      </c>
      <c r="F86" t="s">
        <v>311</v>
      </c>
      <c r="G86" t="s">
        <v>2285</v>
      </c>
      <c r="H86">
        <v>666110911</v>
      </c>
      <c r="I86" t="s">
        <v>314</v>
      </c>
      <c r="J86" t="s">
        <v>1005</v>
      </c>
      <c r="K86" t="s">
        <v>842</v>
      </c>
      <c r="L86" t="s">
        <v>205</v>
      </c>
      <c r="M86" t="s">
        <v>204</v>
      </c>
      <c r="N86" s="16" t="s">
        <v>204</v>
      </c>
      <c r="O86" t="s">
        <v>204</v>
      </c>
      <c r="P86" t="s">
        <v>339</v>
      </c>
      <c r="Q86" s="132">
        <v>44882</v>
      </c>
      <c r="R86" t="s">
        <v>1209</v>
      </c>
      <c r="S86" t="s">
        <v>884</v>
      </c>
      <c r="T86" t="s">
        <v>889</v>
      </c>
      <c r="U86" s="135">
        <v>45643</v>
      </c>
      <c r="V86" s="125">
        <v>3.6469999999999998</v>
      </c>
      <c r="W86" s="125">
        <v>1907993</v>
      </c>
      <c r="X86" s="125">
        <v>6958.4489999999996</v>
      </c>
      <c r="Y86" s="134">
        <v>4.5900000000000003E-2</v>
      </c>
      <c r="Z86" s="126">
        <v>4.3099999999999996E-3</v>
      </c>
      <c r="AA86" s="126">
        <v>5.9000000000000003E-4</v>
      </c>
      <c r="AB86" s="125"/>
      <c r="AC86" s="133"/>
    </row>
    <row r="87" spans="1:29" x14ac:dyDescent="0.2">
      <c r="A87">
        <v>62012224</v>
      </c>
      <c r="B87">
        <v>267</v>
      </c>
      <c r="C87">
        <v>267</v>
      </c>
      <c r="D87" s="103" t="s">
        <v>2485</v>
      </c>
      <c r="E87">
        <v>513373993</v>
      </c>
      <c r="F87" t="s">
        <v>309</v>
      </c>
      <c r="G87" t="s">
        <v>2286</v>
      </c>
      <c r="H87">
        <v>62012224</v>
      </c>
      <c r="I87" t="s">
        <v>314</v>
      </c>
      <c r="J87" t="s">
        <v>1004</v>
      </c>
      <c r="K87" t="s">
        <v>838</v>
      </c>
      <c r="L87" t="s">
        <v>205</v>
      </c>
      <c r="M87" t="s">
        <v>224</v>
      </c>
      <c r="N87" s="16" t="s">
        <v>224</v>
      </c>
      <c r="O87" t="s">
        <v>224</v>
      </c>
      <c r="P87" t="s">
        <v>339</v>
      </c>
      <c r="Q87" s="132">
        <v>43573</v>
      </c>
      <c r="R87" t="s">
        <v>1209</v>
      </c>
      <c r="S87" t="s">
        <v>884</v>
      </c>
      <c r="T87" t="s">
        <v>889</v>
      </c>
      <c r="U87" s="135">
        <v>45655</v>
      </c>
      <c r="V87" s="125">
        <v>3.6469999999999998</v>
      </c>
      <c r="W87" s="125">
        <v>1537952</v>
      </c>
      <c r="X87" s="125">
        <v>5608.9129999999996</v>
      </c>
      <c r="Y87" s="134">
        <v>0.14893000000000001</v>
      </c>
      <c r="Z87" s="126">
        <v>3.47E-3</v>
      </c>
      <c r="AA87" s="126">
        <v>4.8000000000000001E-4</v>
      </c>
      <c r="AB87" s="125"/>
      <c r="AC87" s="133"/>
    </row>
    <row r="88" spans="1:29" x14ac:dyDescent="0.2">
      <c r="A88">
        <v>666108691</v>
      </c>
      <c r="B88">
        <v>267</v>
      </c>
      <c r="C88">
        <v>267</v>
      </c>
      <c r="D88" s="103" t="s">
        <v>2381</v>
      </c>
      <c r="E88" t="s">
        <v>2413</v>
      </c>
      <c r="F88" t="s">
        <v>311</v>
      </c>
      <c r="G88" t="s">
        <v>2287</v>
      </c>
      <c r="H88">
        <v>666108691</v>
      </c>
      <c r="I88" t="s">
        <v>314</v>
      </c>
      <c r="J88" t="s">
        <v>1004</v>
      </c>
      <c r="K88" t="s">
        <v>838</v>
      </c>
      <c r="L88" t="s">
        <v>205</v>
      </c>
      <c r="M88" t="s">
        <v>217</v>
      </c>
      <c r="N88" s="16" t="s">
        <v>217</v>
      </c>
      <c r="O88" t="s">
        <v>293</v>
      </c>
      <c r="P88" t="s">
        <v>339</v>
      </c>
      <c r="Q88" s="132">
        <v>44298</v>
      </c>
      <c r="R88" t="s">
        <v>1210</v>
      </c>
      <c r="S88" t="s">
        <v>884</v>
      </c>
      <c r="T88" t="s">
        <v>889</v>
      </c>
      <c r="U88" s="135">
        <v>45648</v>
      </c>
      <c r="V88" s="125">
        <v>3.7959999999999998</v>
      </c>
      <c r="W88" s="125">
        <v>728326</v>
      </c>
      <c r="X88" s="125">
        <v>2765.018</v>
      </c>
      <c r="Y88" s="134">
        <v>5.7400000000000003E-3</v>
      </c>
      <c r="Z88" s="126">
        <v>1.7099999999999999E-3</v>
      </c>
      <c r="AA88" s="126">
        <v>2.3000000000000001E-4</v>
      </c>
      <c r="AB88" s="125"/>
      <c r="AC88" s="133"/>
    </row>
    <row r="89" spans="1:29" x14ac:dyDescent="0.2">
      <c r="A89">
        <v>78964</v>
      </c>
      <c r="B89">
        <v>267</v>
      </c>
      <c r="C89">
        <v>267</v>
      </c>
      <c r="D89" s="103" t="s">
        <v>2468</v>
      </c>
      <c r="E89">
        <v>550257117</v>
      </c>
      <c r="F89" t="s">
        <v>310</v>
      </c>
      <c r="G89" t="s">
        <v>2288</v>
      </c>
      <c r="H89">
        <v>78964</v>
      </c>
      <c r="I89" t="s">
        <v>314</v>
      </c>
      <c r="J89" t="s">
        <v>1004</v>
      </c>
      <c r="K89" t="s">
        <v>846</v>
      </c>
      <c r="L89" t="s">
        <v>204</v>
      </c>
      <c r="M89" t="s">
        <v>204</v>
      </c>
      <c r="N89" s="16" t="s">
        <v>204</v>
      </c>
      <c r="O89" t="s">
        <v>204</v>
      </c>
      <c r="P89" t="s">
        <v>339</v>
      </c>
      <c r="Q89" s="132">
        <v>42690</v>
      </c>
      <c r="R89" t="s">
        <v>1208</v>
      </c>
      <c r="S89" t="s">
        <v>884</v>
      </c>
      <c r="T89" t="s">
        <v>889</v>
      </c>
      <c r="U89" s="135">
        <v>45643</v>
      </c>
      <c r="V89" s="125">
        <v>1</v>
      </c>
      <c r="W89" s="125">
        <v>571345</v>
      </c>
      <c r="X89" s="125">
        <v>571.34500000000003</v>
      </c>
      <c r="Y89" s="134">
        <v>0.11056000000000001</v>
      </c>
      <c r="Z89" s="126">
        <v>3.5E-4</v>
      </c>
      <c r="AA89" s="126">
        <v>5.0000000000000002E-5</v>
      </c>
      <c r="AB89" s="125"/>
      <c r="AC89" s="133"/>
    </row>
    <row r="90" spans="1:29" x14ac:dyDescent="0.2">
      <c r="A90">
        <v>78949</v>
      </c>
      <c r="B90">
        <v>267</v>
      </c>
      <c r="C90">
        <v>267</v>
      </c>
      <c r="D90" s="103" t="s">
        <v>2468</v>
      </c>
      <c r="E90">
        <v>550257117</v>
      </c>
      <c r="F90" t="s">
        <v>310</v>
      </c>
      <c r="G90" t="s">
        <v>2289</v>
      </c>
      <c r="H90">
        <v>78949</v>
      </c>
      <c r="I90" t="s">
        <v>314</v>
      </c>
      <c r="J90" t="s">
        <v>1004</v>
      </c>
      <c r="K90" t="s">
        <v>846</v>
      </c>
      <c r="L90" t="s">
        <v>204</v>
      </c>
      <c r="M90" t="s">
        <v>204</v>
      </c>
      <c r="N90" s="16" t="s">
        <v>204</v>
      </c>
      <c r="O90" t="s">
        <v>204</v>
      </c>
      <c r="P90" t="s">
        <v>339</v>
      </c>
      <c r="Q90" s="132">
        <v>42019</v>
      </c>
      <c r="R90" t="s">
        <v>1208</v>
      </c>
      <c r="S90" t="s">
        <v>884</v>
      </c>
      <c r="T90" t="s">
        <v>889</v>
      </c>
      <c r="U90" s="135">
        <v>45643</v>
      </c>
      <c r="V90" s="125">
        <v>1</v>
      </c>
      <c r="W90" s="125">
        <v>197453</v>
      </c>
      <c r="X90" s="125">
        <v>197.453</v>
      </c>
      <c r="Y90" s="134">
        <v>8.3479999999999999E-2</v>
      </c>
      <c r="Z90" s="126">
        <v>1.2E-4</v>
      </c>
      <c r="AA90" s="126">
        <v>2.0000000000000002E-5</v>
      </c>
      <c r="AB90" s="125"/>
      <c r="AC90" s="133"/>
    </row>
    <row r="91" spans="1:29" x14ac:dyDescent="0.2">
      <c r="A91">
        <v>666112701</v>
      </c>
      <c r="B91">
        <v>267</v>
      </c>
      <c r="C91">
        <v>267</v>
      </c>
      <c r="D91" s="103" t="s">
        <v>2486</v>
      </c>
      <c r="E91" t="s">
        <v>2487</v>
      </c>
      <c r="F91" t="s">
        <v>313</v>
      </c>
      <c r="G91" t="s">
        <v>2198</v>
      </c>
      <c r="H91">
        <v>666112701</v>
      </c>
      <c r="I91" t="s">
        <v>314</v>
      </c>
      <c r="J91" t="s">
        <v>1005</v>
      </c>
      <c r="K91" s="103" t="s">
        <v>836</v>
      </c>
      <c r="L91" s="16" t="s">
        <v>205</v>
      </c>
      <c r="M91" s="103" t="s">
        <v>233</v>
      </c>
      <c r="N91" s="16" t="s">
        <v>233</v>
      </c>
      <c r="O91" s="16" t="s">
        <v>224</v>
      </c>
      <c r="P91" t="s">
        <v>339</v>
      </c>
      <c r="Q91" s="132">
        <v>45559</v>
      </c>
      <c r="R91" t="s">
        <v>1209</v>
      </c>
      <c r="S91" t="s">
        <v>884</v>
      </c>
      <c r="T91" t="s">
        <v>889</v>
      </c>
      <c r="U91" s="135">
        <v>45657</v>
      </c>
      <c r="V91" s="125">
        <v>3.6469999999999998</v>
      </c>
      <c r="W91" s="125">
        <v>938492</v>
      </c>
      <c r="X91" s="125">
        <v>3422.681</v>
      </c>
      <c r="Y91" s="134">
        <v>4.8000000000000001E-4</v>
      </c>
      <c r="Z91" s="126">
        <v>2.1199999999999999E-3</v>
      </c>
      <c r="AA91" s="126">
        <v>2.9E-4</v>
      </c>
      <c r="AB91" s="125"/>
      <c r="AC91" s="133"/>
    </row>
    <row r="92" spans="1:29" x14ac:dyDescent="0.2">
      <c r="A92" s="169" t="s">
        <v>2494</v>
      </c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</row>
    <row r="93" spans="1:29" x14ac:dyDescent="0.2">
      <c r="O93"/>
    </row>
    <row r="94" spans="1:29" x14ac:dyDescent="0.2">
      <c r="O94"/>
    </row>
    <row r="95" spans="1:29" x14ac:dyDescent="0.2">
      <c r="O95"/>
    </row>
    <row r="96" spans="1:29" x14ac:dyDescent="0.2">
      <c r="O96"/>
    </row>
    <row r="97" spans="15:15" x14ac:dyDescent="0.2">
      <c r="O97"/>
    </row>
    <row r="98" spans="15:15" x14ac:dyDescent="0.2">
      <c r="O98"/>
    </row>
    <row r="99" spans="15:15" x14ac:dyDescent="0.2">
      <c r="O99"/>
    </row>
    <row r="100" spans="15:15" x14ac:dyDescent="0.2">
      <c r="O100"/>
    </row>
    <row r="101" spans="15:15" x14ac:dyDescent="0.2">
      <c r="O101"/>
    </row>
    <row r="102" spans="15:15" x14ac:dyDescent="0.2">
      <c r="O102"/>
    </row>
    <row r="1048572" spans="13:13" x14ac:dyDescent="0.2">
      <c r="M1048572" s="10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1">
    <mergeCell ref="A92:AA92"/>
  </mergeCells>
  <dataValidations count="10">
    <dataValidation type="list" allowBlank="1" showInputMessage="1" showErrorMessage="1" sqref="M1048572:M1048576" xr:uid="{FB2A6E5E-CDBE-42BB-BE28-0C07217D9834}">
      <formula1>Country</formula1>
    </dataValidation>
    <dataValidation type="list" allowBlank="1" showInputMessage="1" showErrorMessage="1" sqref="K2:K19 K91" xr:uid="{00000000-0002-0000-1300-000000000000}">
      <formula1>Fund_Strategy</formula1>
    </dataValidation>
    <dataValidation type="list" allowBlank="1" showInputMessage="1" showErrorMessage="1" sqref="L2:L19 L91" xr:uid="{00000000-0002-0000-1300-000001000000}">
      <formula1>israel_abroad</formula1>
    </dataValidation>
    <dataValidation type="list" allowBlank="1" showInputMessage="1" showErrorMessage="1" sqref="P2:P19 P91" xr:uid="{00000000-0002-0000-1300-000002000000}">
      <formula1>Holding_interest</formula1>
    </dataValidation>
    <dataValidation type="list" allowBlank="1" showInputMessage="1" showErrorMessage="1" sqref="S2:S19" xr:uid="{00000000-0002-0000-1300-000003000000}">
      <formula1>Valuation</formula1>
    </dataValidation>
    <dataValidation type="list" allowBlank="1" showInputMessage="1" showErrorMessage="1" sqref="T2:T19" xr:uid="{00000000-0002-0000-1300-000004000000}">
      <formula1>Dependence_Independence</formula1>
    </dataValidation>
    <dataValidation type="list" allowBlank="1" showInputMessage="1" showErrorMessage="1" sqref="M91 M3:M19" xr:uid="{AD72CF4D-702E-47FA-A523-E39121FBF0B4}">
      <formula1>Country_list</formula1>
    </dataValidation>
    <dataValidation type="list" allowBlank="1" showInputMessage="1" showErrorMessage="1" sqref="I2:I19 I91" xr:uid="{00000000-0002-0000-1300-000008000000}">
      <formula1>Type_of_Security_ID_Fund</formula1>
    </dataValidation>
    <dataValidation type="list" allowBlank="1" showInputMessage="1" showErrorMessage="1" sqref="O3:O19 M2:O2 N91:O91 N3:N90 O73" xr:uid="{00000000-0002-0000-1300-000009000000}">
      <formula1>Country_list_funds</formula1>
    </dataValidation>
    <dataValidation type="list" allowBlank="1" showInputMessage="1" showErrorMessage="1" sqref="F2:F91" xr:uid="{8D55F466-868D-49F1-990E-DAE233D3EE1C}">
      <formula1>Issuer_Number_Fund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J2:J23 J91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workbookViewId="0">
      <selection activeCell="A3" sqref="A3:AB3"/>
    </sheetView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8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55</v>
      </c>
      <c r="J1" s="168" t="s">
        <v>69</v>
      </c>
      <c r="K1" s="168" t="s">
        <v>89</v>
      </c>
      <c r="L1" s="168" t="s">
        <v>92</v>
      </c>
      <c r="M1" s="168" t="s">
        <v>83</v>
      </c>
      <c r="N1" s="168" t="s">
        <v>93</v>
      </c>
      <c r="O1" s="168" t="s">
        <v>56</v>
      </c>
      <c r="P1" s="168" t="s">
        <v>97</v>
      </c>
      <c r="Q1" s="168" t="s">
        <v>59</v>
      </c>
      <c r="R1" s="168" t="s">
        <v>103</v>
      </c>
      <c r="S1" s="168" t="s">
        <v>104</v>
      </c>
      <c r="T1" s="168" t="s">
        <v>106</v>
      </c>
      <c r="U1" s="168" t="s">
        <v>94</v>
      </c>
      <c r="V1" s="168" t="s">
        <v>95</v>
      </c>
      <c r="W1" s="168" t="s">
        <v>76</v>
      </c>
      <c r="X1" s="168" t="s">
        <v>77</v>
      </c>
      <c r="Y1" s="168" t="s">
        <v>61</v>
      </c>
      <c r="Z1" s="168" t="s">
        <v>63</v>
      </c>
      <c r="AA1" s="168" t="s">
        <v>64</v>
      </c>
      <c r="AB1" s="168" t="s">
        <v>65</v>
      </c>
    </row>
    <row r="2" spans="1:28" x14ac:dyDescent="0.2">
      <c r="A2" t="s">
        <v>1204</v>
      </c>
      <c r="B2" t="s">
        <v>1204</v>
      </c>
      <c r="C2" s="103"/>
      <c r="D2" s="103"/>
      <c r="E2" s="16"/>
      <c r="F2" s="103"/>
      <c r="G2" s="103"/>
      <c r="H2" s="103"/>
      <c r="I2" s="16"/>
      <c r="J2" s="16"/>
      <c r="K2" s="103"/>
      <c r="L2" s="103"/>
      <c r="M2" s="103"/>
      <c r="N2" s="103"/>
      <c r="O2" s="103"/>
      <c r="P2" s="103"/>
      <c r="Q2" s="16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</row>
    <row r="3" spans="1:28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</row>
    <row r="4" spans="1:28" x14ac:dyDescent="0.2">
      <c r="A4" s="103"/>
      <c r="B4" s="103"/>
      <c r="C4" s="103"/>
      <c r="D4" s="103"/>
      <c r="E4" s="16"/>
      <c r="F4" s="103"/>
      <c r="G4" s="103"/>
      <c r="H4" s="103"/>
      <c r="I4" s="16"/>
      <c r="J4" s="16"/>
      <c r="K4" s="103"/>
      <c r="L4" s="103"/>
      <c r="M4" s="103"/>
      <c r="N4" s="103"/>
      <c r="O4" s="103"/>
      <c r="P4" s="103"/>
      <c r="Q4" s="16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</row>
    <row r="5" spans="1:28" x14ac:dyDescent="0.2">
      <c r="A5" s="103"/>
      <c r="B5" s="103"/>
      <c r="C5" s="103"/>
      <c r="D5" s="103"/>
      <c r="E5" s="16"/>
      <c r="F5" s="103"/>
      <c r="G5" s="103"/>
      <c r="H5" s="103"/>
      <c r="I5" s="16"/>
      <c r="J5" s="16"/>
      <c r="K5" s="103"/>
      <c r="L5" s="103"/>
      <c r="M5" s="103"/>
      <c r="N5" s="103"/>
      <c r="O5" s="103"/>
      <c r="P5" s="103"/>
      <c r="Q5" s="16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</row>
    <row r="6" spans="1:28" x14ac:dyDescent="0.2">
      <c r="A6" s="103"/>
      <c r="B6" s="103"/>
      <c r="C6" s="103"/>
      <c r="D6" s="103"/>
      <c r="E6" s="16"/>
      <c r="F6" s="103"/>
      <c r="G6" s="103"/>
      <c r="H6" s="103"/>
      <c r="I6" s="16"/>
      <c r="J6" s="16"/>
      <c r="K6" s="103"/>
      <c r="L6" s="103"/>
      <c r="M6" s="103"/>
      <c r="N6" s="103"/>
      <c r="O6" s="103"/>
      <c r="P6" s="103"/>
      <c r="Q6" s="16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1:28" x14ac:dyDescent="0.2">
      <c r="A7" s="103"/>
      <c r="B7" s="103"/>
      <c r="C7" s="103"/>
      <c r="D7" s="103"/>
      <c r="E7" s="16"/>
      <c r="F7" s="103"/>
      <c r="G7" s="103"/>
      <c r="H7" s="103"/>
      <c r="I7" s="16"/>
      <c r="J7" s="16"/>
      <c r="K7" s="103"/>
      <c r="L7" s="103"/>
      <c r="M7" s="103"/>
      <c r="N7" s="103"/>
      <c r="O7" s="103"/>
      <c r="P7" s="103"/>
      <c r="Q7" s="16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</row>
    <row r="8" spans="1:28" x14ac:dyDescent="0.2">
      <c r="A8" s="103"/>
      <c r="B8" s="103"/>
      <c r="C8" s="103"/>
      <c r="D8" s="103"/>
      <c r="E8" s="16"/>
      <c r="F8" s="103"/>
      <c r="G8" s="103"/>
      <c r="H8" s="103"/>
      <c r="I8" s="16"/>
      <c r="J8" s="16"/>
      <c r="K8" s="103"/>
      <c r="L8" s="103"/>
      <c r="M8" s="103"/>
      <c r="N8" s="103"/>
      <c r="O8" s="103"/>
      <c r="P8" s="103"/>
      <c r="Q8" s="16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spans="1:28" x14ac:dyDescent="0.2">
      <c r="A9" s="103"/>
      <c r="B9" s="103"/>
      <c r="C9" s="103"/>
      <c r="D9" s="103"/>
      <c r="E9" s="16"/>
      <c r="F9" s="103"/>
      <c r="G9" s="103"/>
      <c r="H9" s="103"/>
      <c r="I9" s="16"/>
      <c r="J9" s="16"/>
      <c r="K9" s="103"/>
      <c r="L9" s="103"/>
      <c r="M9" s="103"/>
      <c r="N9" s="103"/>
      <c r="O9" s="103"/>
      <c r="P9" s="103"/>
      <c r="Q9" s="16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</row>
    <row r="10" spans="1:28" x14ac:dyDescent="0.2">
      <c r="A10" s="103"/>
      <c r="B10" s="103"/>
      <c r="C10" s="103"/>
      <c r="D10" s="103"/>
      <c r="E10" s="16"/>
      <c r="F10" s="103"/>
      <c r="G10" s="103"/>
      <c r="H10" s="103"/>
      <c r="I10" s="16"/>
      <c r="J10" s="16"/>
      <c r="K10" s="103"/>
      <c r="L10" s="103"/>
      <c r="M10" s="103"/>
      <c r="N10" s="103"/>
      <c r="O10" s="103"/>
      <c r="P10" s="103"/>
      <c r="Q10" s="16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</row>
    <row r="11" spans="1:28" x14ac:dyDescent="0.2">
      <c r="A11" s="103"/>
      <c r="B11" s="103"/>
      <c r="C11" s="103"/>
      <c r="D11" s="103"/>
      <c r="E11" s="16"/>
      <c r="F11" s="103"/>
      <c r="G11" s="103"/>
      <c r="H11" s="103"/>
      <c r="I11" s="16"/>
      <c r="J11" s="16"/>
      <c r="K11" s="103"/>
      <c r="L11" s="103"/>
      <c r="M11" s="103"/>
      <c r="N11" s="103"/>
      <c r="O11" s="103"/>
      <c r="P11" s="103"/>
      <c r="Q11" s="16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</row>
    <row r="12" spans="1:28" x14ac:dyDescent="0.2">
      <c r="A12" s="103"/>
      <c r="B12" s="103"/>
      <c r="C12" s="103"/>
      <c r="D12" s="103"/>
      <c r="E12" s="16"/>
      <c r="F12" s="103"/>
      <c r="G12" s="103"/>
      <c r="H12" s="103"/>
      <c r="I12" s="16"/>
      <c r="J12" s="16"/>
      <c r="K12" s="103"/>
      <c r="L12" s="103"/>
      <c r="M12" s="103"/>
      <c r="N12" s="103"/>
      <c r="O12" s="103"/>
      <c r="P12" s="103"/>
      <c r="Q12" s="16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28" x14ac:dyDescent="0.2">
      <c r="A13" s="103"/>
      <c r="B13" s="103"/>
      <c r="C13" s="103"/>
      <c r="D13" s="103"/>
      <c r="E13" s="16"/>
      <c r="F13" s="103"/>
      <c r="G13" s="103"/>
      <c r="H13" s="103"/>
      <c r="I13" s="16"/>
      <c r="J13" s="16"/>
      <c r="K13" s="103"/>
      <c r="L13" s="103"/>
      <c r="M13" s="103"/>
      <c r="N13" s="103"/>
      <c r="O13" s="103"/>
      <c r="P13" s="103"/>
      <c r="Q13" s="16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</row>
    <row r="14" spans="1:28" x14ac:dyDescent="0.2">
      <c r="A14" s="103"/>
      <c r="B14" s="103"/>
      <c r="C14" s="103"/>
      <c r="D14" s="103"/>
      <c r="E14" s="16"/>
      <c r="F14" s="103"/>
      <c r="G14" s="103"/>
      <c r="H14" s="103"/>
      <c r="I14" s="16"/>
      <c r="J14" s="16"/>
      <c r="K14" s="103"/>
      <c r="L14" s="103"/>
      <c r="M14" s="103"/>
      <c r="N14" s="103"/>
      <c r="O14" s="103"/>
      <c r="P14" s="103"/>
      <c r="Q14" s="16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x14ac:dyDescent="0.2">
      <c r="A15" s="103"/>
      <c r="B15" s="103"/>
      <c r="C15" s="103"/>
      <c r="D15" s="103"/>
      <c r="E15" s="16"/>
      <c r="F15" s="103"/>
      <c r="G15" s="103"/>
      <c r="H15" s="103"/>
      <c r="I15" s="16"/>
      <c r="J15" s="16"/>
      <c r="K15" s="103"/>
      <c r="L15" s="103"/>
      <c r="M15" s="103"/>
      <c r="N15" s="103"/>
      <c r="O15" s="103"/>
      <c r="P15" s="103"/>
      <c r="Q15" s="16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</row>
    <row r="16" spans="1:28" x14ac:dyDescent="0.2">
      <c r="A16" s="103"/>
      <c r="B16" s="103"/>
      <c r="C16" s="103"/>
      <c r="D16" s="103"/>
      <c r="E16" s="16"/>
      <c r="F16" s="103"/>
      <c r="G16" s="103"/>
      <c r="H16" s="103"/>
      <c r="I16" s="16"/>
      <c r="J16" s="16"/>
      <c r="K16" s="103"/>
      <c r="L16" s="103"/>
      <c r="M16" s="103"/>
      <c r="N16" s="103"/>
      <c r="O16" s="103"/>
      <c r="P16" s="103"/>
      <c r="Q16" s="16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spans="1:28" x14ac:dyDescent="0.2">
      <c r="A17" s="103"/>
      <c r="B17" s="103"/>
      <c r="C17" s="103"/>
      <c r="D17" s="103"/>
      <c r="E17" s="16"/>
      <c r="F17" s="103"/>
      <c r="G17" s="103"/>
      <c r="H17" s="103"/>
      <c r="I17" s="16"/>
      <c r="J17" s="16"/>
      <c r="K17" s="103"/>
      <c r="L17" s="103"/>
      <c r="M17" s="103"/>
      <c r="N17" s="103"/>
      <c r="O17" s="103"/>
      <c r="P17" s="103"/>
      <c r="Q17" s="16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 spans="1:28" x14ac:dyDescent="0.2">
      <c r="A18" s="103"/>
      <c r="B18" s="103"/>
      <c r="C18" s="103"/>
      <c r="D18" s="103"/>
      <c r="E18" s="16"/>
      <c r="F18" s="103"/>
      <c r="G18" s="103"/>
      <c r="H18" s="103"/>
      <c r="I18" s="16"/>
      <c r="J18" s="16"/>
      <c r="K18" s="103"/>
      <c r="L18" s="103"/>
      <c r="M18" s="103"/>
      <c r="N18" s="103"/>
      <c r="O18" s="103"/>
      <c r="P18" s="103"/>
      <c r="Q18" s="16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spans="1:28" x14ac:dyDescent="0.2">
      <c r="A19" s="103"/>
      <c r="B19" s="103"/>
      <c r="C19" s="103"/>
      <c r="D19" s="103"/>
      <c r="E19" s="16"/>
      <c r="F19" s="103"/>
      <c r="G19" s="103"/>
      <c r="H19" s="103"/>
      <c r="I19" s="16"/>
      <c r="J19" s="16"/>
      <c r="K19" s="103"/>
      <c r="L19" s="103"/>
      <c r="M19" s="103"/>
      <c r="N19" s="103"/>
      <c r="O19" s="103"/>
      <c r="P19" s="103"/>
      <c r="Q19" s="16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spans="1:28" x14ac:dyDescent="0.2">
      <c r="A20" s="102"/>
      <c r="B20" s="102"/>
      <c r="C20" s="102"/>
      <c r="D20" s="102"/>
      <c r="E20" s="16"/>
      <c r="F20" s="102"/>
      <c r="G20" s="102"/>
      <c r="H20" s="103"/>
      <c r="I20" s="16"/>
      <c r="J20" s="16"/>
      <c r="K20" s="103"/>
      <c r="L20" s="102"/>
      <c r="M20" s="103"/>
      <c r="N20" s="102"/>
      <c r="O20" s="103"/>
      <c r="P20" s="102"/>
      <c r="Q20" s="102"/>
      <c r="R20" s="102"/>
      <c r="S20" s="103"/>
      <c r="T20" s="102"/>
      <c r="U20" s="102"/>
      <c r="V20" s="102"/>
      <c r="W20" s="102"/>
      <c r="X20" s="102"/>
      <c r="Y20" s="102"/>
      <c r="Z20" s="102"/>
      <c r="AA20" s="102"/>
      <c r="AB20" s="102"/>
    </row>
    <row r="21" spans="1:28" x14ac:dyDescent="0.2">
      <c r="A21" s="102"/>
      <c r="B21" s="102"/>
      <c r="C21" s="102"/>
      <c r="D21" s="102"/>
      <c r="E21"/>
      <c r="F21" s="102"/>
      <c r="G21" s="102"/>
      <c r="H21"/>
      <c r="I21" s="102"/>
      <c r="J21" s="102"/>
      <c r="K21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</row>
    <row r="24" spans="1:28" x14ac:dyDescent="0.2">
      <c r="A24" s="102"/>
      <c r="B24" s="102"/>
      <c r="C24" s="102"/>
      <c r="D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B3"/>
  </mergeCells>
  <dataValidations count="10">
    <dataValidation type="list" allowBlank="1" showInputMessage="1" showErrorMessage="1" sqref="I2 I4:I20" xr:uid="{00000000-0002-0000-1400-000000000000}">
      <formula1>israel_abroad</formula1>
    </dataValidation>
    <dataValidation type="list" allowBlank="1" showInputMessage="1" showErrorMessage="1" sqref="O2 O4:O20" xr:uid="{00000000-0002-0000-1400-000001000000}">
      <formula1>Holding_interest</formula1>
    </dataValidation>
    <dataValidation type="list" allowBlank="1" showInputMessage="1" showErrorMessage="1" sqref="R2 R4:R19" xr:uid="{00000000-0002-0000-1400-000002000000}">
      <formula1>Valuation</formula1>
    </dataValidation>
    <dataValidation type="list" allowBlank="1" showInputMessage="1" showErrorMessage="1" sqref="S2 S4:S20" xr:uid="{00000000-0002-0000-1400-000003000000}">
      <formula1>Dependence_Independence</formula1>
    </dataValidation>
    <dataValidation type="list" allowBlank="1" showInputMessage="1" showErrorMessage="1" sqref="J2 J4:J20" xr:uid="{00000000-0002-0000-1400-000004000000}">
      <formula1>Country_list</formula1>
    </dataValidation>
    <dataValidation type="list" allowBlank="1" showInputMessage="1" showErrorMessage="1" sqref="H2 H4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4:E20" xr:uid="{00000000-0002-0000-1400-000007000000}">
      <formula1>Issuer_Number_Type_2</formula1>
    </dataValidation>
    <dataValidation type="list" allowBlank="1" showInputMessage="1" showErrorMessage="1" sqref="M2 M4:M20" xr:uid="{00000000-0002-0000-1400-000008000000}">
      <formula1>Industry_Sector</formula1>
    </dataValidation>
    <dataValidation type="list" allowBlank="1" showInputMessage="1" showErrorMessage="1" sqref="K2 K4:K20" xr:uid="{00000000-0002-0000-1400-000009000000}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21"/>
  <sheetViews>
    <sheetView rightToLeft="1" workbookViewId="0">
      <selection activeCell="A3" sqref="A3:AJ3"/>
    </sheetView>
  </sheetViews>
  <sheetFormatPr defaultColWidth="9" defaultRowHeight="14.25" x14ac:dyDescent="0.2"/>
  <cols>
    <col min="1" max="1" width="11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83</v>
      </c>
      <c r="M1" s="168" t="s">
        <v>96</v>
      </c>
      <c r="N1" s="168" t="s">
        <v>93</v>
      </c>
      <c r="O1" s="168" t="s">
        <v>56</v>
      </c>
      <c r="P1" s="168" t="s">
        <v>97</v>
      </c>
      <c r="Q1" s="168" t="s">
        <v>59</v>
      </c>
      <c r="R1" s="168" t="s">
        <v>103</v>
      </c>
      <c r="S1" s="168" t="s">
        <v>104</v>
      </c>
      <c r="T1" s="168" t="s">
        <v>106</v>
      </c>
      <c r="U1" s="168" t="s">
        <v>94</v>
      </c>
      <c r="V1" s="168" t="s">
        <v>95</v>
      </c>
      <c r="W1" s="168" t="s">
        <v>76</v>
      </c>
      <c r="X1" s="168" t="s">
        <v>77</v>
      </c>
      <c r="Y1" s="168" t="s">
        <v>61</v>
      </c>
      <c r="Z1" s="168" t="s">
        <v>119</v>
      </c>
      <c r="AA1" s="168" t="s">
        <v>64</v>
      </c>
      <c r="AB1" s="168" t="s">
        <v>65</v>
      </c>
    </row>
    <row r="2" spans="1:36" x14ac:dyDescent="0.2">
      <c r="A2" t="s">
        <v>1204</v>
      </c>
      <c r="B2" t="s">
        <v>1204</v>
      </c>
      <c r="C2" s="103"/>
      <c r="D2" s="103"/>
      <c r="E2" s="16"/>
      <c r="F2" s="103"/>
      <c r="G2" s="103"/>
      <c r="H2" s="103"/>
      <c r="I2" s="103"/>
      <c r="J2" s="16"/>
      <c r="K2" s="16"/>
      <c r="L2" s="103"/>
      <c r="M2" s="103"/>
      <c r="N2" s="103"/>
      <c r="O2" s="103"/>
      <c r="P2" s="103"/>
      <c r="Q2" s="16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3"/>
      <c r="D4" s="103"/>
      <c r="E4" s="16"/>
      <c r="F4" s="103"/>
      <c r="G4" s="103"/>
      <c r="H4" s="103"/>
      <c r="I4" s="103"/>
      <c r="J4" s="16"/>
      <c r="K4" s="16"/>
      <c r="L4" s="103"/>
      <c r="M4" s="103"/>
      <c r="N4" s="103"/>
      <c r="O4" s="103"/>
      <c r="P4" s="103"/>
      <c r="Q4" s="16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</row>
    <row r="5" spans="1:36" x14ac:dyDescent="0.2">
      <c r="A5" s="103"/>
      <c r="B5" s="103"/>
      <c r="C5" s="103"/>
      <c r="D5" s="103"/>
      <c r="E5" s="16"/>
      <c r="F5" s="103"/>
      <c r="G5" s="103"/>
      <c r="H5" s="103"/>
      <c r="I5" s="103"/>
      <c r="J5" s="16"/>
      <c r="K5" s="16"/>
      <c r="L5" s="103"/>
      <c r="M5" s="103"/>
      <c r="N5" s="103"/>
      <c r="O5" s="103"/>
      <c r="P5" s="103"/>
      <c r="Q5" s="16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</row>
    <row r="6" spans="1:36" x14ac:dyDescent="0.2">
      <c r="A6" s="103"/>
      <c r="B6" s="103"/>
      <c r="C6" s="103"/>
      <c r="D6" s="103"/>
      <c r="E6" s="16"/>
      <c r="F6" s="103"/>
      <c r="G6" s="103"/>
      <c r="H6" s="103"/>
      <c r="I6" s="103"/>
      <c r="J6" s="16"/>
      <c r="K6" s="16"/>
      <c r="L6" s="103"/>
      <c r="M6" s="103"/>
      <c r="N6" s="103"/>
      <c r="O6" s="103"/>
      <c r="P6" s="103"/>
      <c r="Q6" s="16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1:36" x14ac:dyDescent="0.2">
      <c r="A7" s="103"/>
      <c r="B7" s="103"/>
      <c r="C7" s="103"/>
      <c r="D7" s="103"/>
      <c r="E7" s="16"/>
      <c r="F7" s="103"/>
      <c r="G7" s="103"/>
      <c r="H7" s="103"/>
      <c r="I7" s="103"/>
      <c r="J7" s="16"/>
      <c r="K7" s="16"/>
      <c r="L7" s="103"/>
      <c r="M7" s="103"/>
      <c r="N7" s="103"/>
      <c r="O7" s="103"/>
      <c r="P7" s="103"/>
      <c r="Q7" s="16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</row>
    <row r="8" spans="1:36" x14ac:dyDescent="0.2">
      <c r="A8" s="103"/>
      <c r="B8" s="103"/>
      <c r="C8" s="103"/>
      <c r="D8" s="103"/>
      <c r="E8" s="16"/>
      <c r="F8" s="103"/>
      <c r="G8" s="103"/>
      <c r="H8" s="103"/>
      <c r="I8" s="103"/>
      <c r="J8" s="16"/>
      <c r="K8" s="16"/>
      <c r="L8" s="103"/>
      <c r="M8" s="103"/>
      <c r="N8" s="103"/>
      <c r="O8" s="103"/>
      <c r="P8" s="103"/>
      <c r="Q8" s="16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spans="1:36" x14ac:dyDescent="0.2">
      <c r="A9" s="103"/>
      <c r="B9" s="103"/>
      <c r="C9" s="103"/>
      <c r="D9" s="103"/>
      <c r="E9" s="16"/>
      <c r="F9" s="103"/>
      <c r="G9" s="103"/>
      <c r="H9" s="103"/>
      <c r="I9" s="103"/>
      <c r="J9" s="16"/>
      <c r="K9" s="16"/>
      <c r="L9" s="103"/>
      <c r="M9" s="103"/>
      <c r="N9" s="103"/>
      <c r="O9" s="103"/>
      <c r="P9" s="103"/>
      <c r="Q9" s="16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</row>
    <row r="10" spans="1:36" x14ac:dyDescent="0.2">
      <c r="A10" s="103"/>
      <c r="B10" s="103"/>
      <c r="C10" s="103"/>
      <c r="D10" s="103"/>
      <c r="E10" s="16"/>
      <c r="F10" s="103"/>
      <c r="G10" s="103"/>
      <c r="H10" s="103"/>
      <c r="I10" s="103"/>
      <c r="J10" s="16"/>
      <c r="K10" s="16"/>
      <c r="L10" s="103"/>
      <c r="M10" s="103"/>
      <c r="N10" s="103"/>
      <c r="O10" s="103"/>
      <c r="P10" s="103"/>
      <c r="Q10" s="16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</row>
    <row r="11" spans="1:36" x14ac:dyDescent="0.2">
      <c r="A11" s="103"/>
      <c r="B11" s="103"/>
      <c r="C11" s="103"/>
      <c r="D11" s="103"/>
      <c r="E11" s="16"/>
      <c r="F11" s="103"/>
      <c r="G11" s="103"/>
      <c r="H11" s="103"/>
      <c r="I11" s="103"/>
      <c r="J11" s="16"/>
      <c r="K11" s="16"/>
      <c r="L11" s="103"/>
      <c r="M11" s="103"/>
      <c r="N11" s="103"/>
      <c r="O11" s="103"/>
      <c r="P11" s="103"/>
      <c r="Q11" s="16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</row>
    <row r="12" spans="1:36" x14ac:dyDescent="0.2">
      <c r="A12" s="103"/>
      <c r="B12" s="103"/>
      <c r="C12" s="103"/>
      <c r="D12" s="103"/>
      <c r="E12" s="16"/>
      <c r="F12" s="103"/>
      <c r="G12" s="103"/>
      <c r="H12" s="103"/>
      <c r="I12" s="103"/>
      <c r="J12" s="16"/>
      <c r="K12" s="16"/>
      <c r="L12" s="103"/>
      <c r="M12" s="103"/>
      <c r="N12" s="103"/>
      <c r="O12" s="103"/>
      <c r="P12" s="103"/>
      <c r="Q12" s="16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36" x14ac:dyDescent="0.2">
      <c r="A13" s="103"/>
      <c r="B13" s="103"/>
      <c r="C13" s="103"/>
      <c r="D13" s="103"/>
      <c r="E13" s="16"/>
      <c r="F13" s="103"/>
      <c r="G13" s="103"/>
      <c r="H13" s="103"/>
      <c r="I13" s="103"/>
      <c r="J13" s="16"/>
      <c r="K13" s="16"/>
      <c r="L13" s="103"/>
      <c r="M13" s="103"/>
      <c r="N13" s="103"/>
      <c r="O13" s="103"/>
      <c r="P13" s="103"/>
      <c r="Q13" s="16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</row>
    <row r="14" spans="1:36" x14ac:dyDescent="0.2">
      <c r="A14" s="103"/>
      <c r="B14" s="103"/>
      <c r="C14" s="103"/>
      <c r="D14" s="103"/>
      <c r="E14" s="16"/>
      <c r="F14" s="103"/>
      <c r="G14" s="103"/>
      <c r="H14" s="103"/>
      <c r="I14" s="103"/>
      <c r="J14" s="16"/>
      <c r="K14" s="16"/>
      <c r="L14" s="103"/>
      <c r="M14" s="103"/>
      <c r="N14" s="103"/>
      <c r="O14" s="103"/>
      <c r="P14" s="103"/>
      <c r="Q14" s="16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36" x14ac:dyDescent="0.2">
      <c r="A15" s="103"/>
      <c r="B15" s="103"/>
      <c r="C15" s="103"/>
      <c r="D15" s="103"/>
      <c r="E15" s="16"/>
      <c r="F15" s="103"/>
      <c r="G15" s="103"/>
      <c r="H15" s="103"/>
      <c r="I15" s="103"/>
      <c r="J15" s="16"/>
      <c r="K15" s="16"/>
      <c r="L15" s="103"/>
      <c r="M15" s="103"/>
      <c r="N15" s="103"/>
      <c r="O15" s="103"/>
      <c r="P15" s="103"/>
      <c r="Q15" s="16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</row>
    <row r="16" spans="1:36" x14ac:dyDescent="0.2">
      <c r="A16" s="103"/>
      <c r="B16" s="103"/>
      <c r="C16" s="103"/>
      <c r="D16" s="103"/>
      <c r="E16" s="16"/>
      <c r="F16" s="103"/>
      <c r="G16" s="103"/>
      <c r="H16" s="103"/>
      <c r="I16" s="103"/>
      <c r="J16" s="16"/>
      <c r="K16" s="16"/>
      <c r="L16" s="103"/>
      <c r="M16" s="103"/>
      <c r="N16" s="103"/>
      <c r="O16" s="103"/>
      <c r="P16" s="103"/>
      <c r="Q16" s="16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spans="1:28" x14ac:dyDescent="0.2">
      <c r="A17" s="103"/>
      <c r="B17" s="103"/>
      <c r="C17" s="103"/>
      <c r="D17" s="103"/>
      <c r="E17" s="16"/>
      <c r="F17" s="103"/>
      <c r="G17" s="103"/>
      <c r="H17" s="103"/>
      <c r="I17" s="103"/>
      <c r="J17" s="16"/>
      <c r="K17" s="16"/>
      <c r="L17" s="103"/>
      <c r="M17" s="103"/>
      <c r="N17" s="103"/>
      <c r="O17" s="103"/>
      <c r="P17" s="103"/>
      <c r="Q17" s="16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 spans="1:28" x14ac:dyDescent="0.2">
      <c r="A18" s="103"/>
      <c r="B18" s="103"/>
      <c r="C18" s="103"/>
      <c r="D18" s="103"/>
      <c r="E18" s="16"/>
      <c r="F18" s="103"/>
      <c r="G18" s="103"/>
      <c r="H18" s="103"/>
      <c r="I18" s="103"/>
      <c r="J18" s="16"/>
      <c r="K18" s="16"/>
      <c r="L18" s="103"/>
      <c r="M18" s="103"/>
      <c r="N18" s="103"/>
      <c r="O18" s="103"/>
      <c r="P18" s="103"/>
      <c r="Q18" s="16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spans="1:28" x14ac:dyDescent="0.2">
      <c r="A19" s="103"/>
      <c r="B19" s="103"/>
      <c r="C19" s="103"/>
      <c r="D19" s="103"/>
      <c r="E19" s="16"/>
      <c r="F19" s="103"/>
      <c r="G19" s="103"/>
      <c r="H19" s="103"/>
      <c r="I19" s="103"/>
      <c r="J19" s="16"/>
      <c r="K19" s="16"/>
      <c r="L19" s="103"/>
      <c r="M19" s="103"/>
      <c r="N19" s="103"/>
      <c r="O19" s="103"/>
      <c r="P19" s="103"/>
      <c r="Q19" s="16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spans="1:28" x14ac:dyDescent="0.2">
      <c r="A20" s="102"/>
      <c r="B20" s="102"/>
      <c r="C20" s="102"/>
      <c r="D20" s="102"/>
      <c r="E20" s="16"/>
      <c r="F20" s="102"/>
      <c r="G20" s="102"/>
      <c r="H20" s="103"/>
      <c r="I20" s="103"/>
      <c r="J20" s="16"/>
      <c r="K20" s="16"/>
      <c r="L20" s="103"/>
      <c r="M20" s="103"/>
      <c r="N20" s="102"/>
      <c r="O20" s="103"/>
      <c r="P20" s="102"/>
      <c r="Q20" s="102"/>
      <c r="R20" s="103"/>
      <c r="S20" s="103"/>
      <c r="T20" s="102"/>
      <c r="U20" s="102"/>
      <c r="V20" s="102"/>
      <c r="W20" s="102"/>
      <c r="X20" s="102"/>
      <c r="Y20" s="102"/>
      <c r="Z20" s="102"/>
      <c r="AA20" s="102"/>
      <c r="AB20" s="102"/>
    </row>
    <row r="21" spans="1:28" x14ac:dyDescent="0.2">
      <c r="A21" s="102"/>
      <c r="B21" s="102"/>
      <c r="C21" s="102"/>
      <c r="D21" s="102"/>
      <c r="E21"/>
      <c r="F21" s="102"/>
      <c r="G21" s="102"/>
      <c r="H21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10">
    <dataValidation type="list" allowBlank="1" showInputMessage="1" showErrorMessage="1" sqref="J2 J4:J20" xr:uid="{00000000-0002-0000-1500-000000000000}">
      <formula1>israel_abroad</formula1>
    </dataValidation>
    <dataValidation type="list" allowBlank="1" showInputMessage="1" showErrorMessage="1" sqref="O2 O4:O20" xr:uid="{00000000-0002-0000-1500-000001000000}">
      <formula1>Holding_interest</formula1>
    </dataValidation>
    <dataValidation type="list" allowBlank="1" showInputMessage="1" showErrorMessage="1" sqref="M2 M4:M20" xr:uid="{00000000-0002-0000-1500-000002000000}">
      <formula1>Underlying_Asset</formula1>
    </dataValidation>
    <dataValidation type="list" allowBlank="1" showInputMessage="1" showErrorMessage="1" sqref="R2 R4:R20" xr:uid="{00000000-0002-0000-1500-000003000000}">
      <formula1>Valuation</formula1>
    </dataValidation>
    <dataValidation type="list" allowBlank="1" showInputMessage="1" showErrorMessage="1" sqref="S2 S4:S20" xr:uid="{00000000-0002-0000-1500-000004000000}">
      <formula1>Dependence_Independence</formula1>
    </dataValidation>
    <dataValidation type="list" allowBlank="1" showInputMessage="1" showErrorMessage="1" sqref="K2 K4:K20" xr:uid="{00000000-0002-0000-1500-000005000000}">
      <formula1>Country_list</formula1>
    </dataValidation>
    <dataValidation type="list" allowBlank="1" showInputMessage="1" showErrorMessage="1" sqref="H2 H4:H20" xr:uid="{00000000-0002-0000-1500-000006000000}">
      <formula1>Type_of_Security_ID</formula1>
    </dataValidation>
    <dataValidation type="list" allowBlank="1" showInputMessage="1" showErrorMessage="1" sqref="E4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 L4:L20" xr:uid="{00000000-0002-0000-1500-000009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 I4:I20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workbookViewId="0">
      <selection activeCell="A4" sqref="A4:AJ4"/>
    </sheetView>
  </sheetViews>
  <sheetFormatPr defaultColWidth="9" defaultRowHeight="14.25" x14ac:dyDescent="0.2"/>
  <cols>
    <col min="1" max="1" width="11" style="10" customWidth="1"/>
    <col min="2" max="2" width="11.625" style="10" customWidth="1"/>
    <col min="3" max="3" width="15.625" style="10" bestFit="1" customWidth="1"/>
    <col min="4" max="4" width="16.25" style="10" customWidth="1"/>
    <col min="5" max="5" width="17" style="10" customWidth="1"/>
    <col min="6" max="6" width="11.625" style="10" customWidth="1"/>
    <col min="7" max="7" width="14.875" style="10" bestFit="1" customWidth="1"/>
    <col min="8" max="8" width="24.125" style="10" customWidth="1"/>
    <col min="9" max="9" width="27" style="10" customWidth="1"/>
    <col min="10" max="10" width="25.375" style="10" customWidth="1"/>
    <col min="11" max="11" width="16.25" style="10" customWidth="1"/>
    <col min="12" max="12" width="17" style="10" customWidth="1"/>
    <col min="13" max="13" width="11.625" style="10" customWidth="1"/>
    <col min="14" max="14" width="14.875" style="10" bestFit="1" customWidth="1"/>
    <col min="15" max="15" width="24.125" style="10" customWidth="1"/>
    <col min="16" max="16" width="23" style="10" customWidth="1"/>
    <col min="17" max="17" width="26" style="10" customWidth="1"/>
    <col min="18" max="18" width="21" style="10" customWidth="1"/>
    <col min="19" max="19" width="11.625" style="10" customWidth="1"/>
    <col min="20" max="20" width="19.875" style="10" customWidth="1"/>
    <col min="21" max="24" width="11.625" style="10" customWidth="1"/>
    <col min="25" max="25" width="15.125" style="10" customWidth="1"/>
    <col min="26" max="26" width="19.625" style="10" customWidth="1"/>
    <col min="27" max="28" width="12.625" style="10" customWidth="1"/>
    <col min="29" max="29" width="11.625" style="10" customWidth="1"/>
    <col min="30" max="30" width="25.375" style="10" customWidth="1"/>
    <col min="31" max="32" width="11.625" style="10" customWidth="1"/>
    <col min="33" max="33" width="15" style="10" customWidth="1"/>
    <col min="34" max="34" width="14.25" customWidth="1"/>
    <col min="35" max="35" width="31.75" style="10" customWidth="1"/>
    <col min="36" max="36" width="28.375" style="10" customWidth="1"/>
    <col min="37" max="37" width="25.875" style="10" customWidth="1"/>
    <col min="38" max="38" width="24.375" style="10" customWidth="1"/>
    <col min="39" max="39" width="19.5" style="10" customWidth="1"/>
    <col min="40" max="40" width="21.75" style="2" customWidth="1"/>
    <col min="41" max="41" width="20.125" style="2" customWidth="1"/>
    <col min="42" max="16384" width="9" style="10"/>
  </cols>
  <sheetData>
    <row r="1" spans="1:41" ht="66.75" customHeight="1" x14ac:dyDescent="0.2">
      <c r="A1" s="168" t="s">
        <v>49</v>
      </c>
      <c r="B1" s="168" t="s">
        <v>50</v>
      </c>
      <c r="C1" s="168" t="s">
        <v>54</v>
      </c>
      <c r="D1" s="168" t="s">
        <v>120</v>
      </c>
      <c r="E1" s="168" t="s">
        <v>121</v>
      </c>
      <c r="F1" s="168" t="s">
        <v>61</v>
      </c>
      <c r="G1" s="168" t="s">
        <v>122</v>
      </c>
      <c r="H1" s="168" t="s">
        <v>123</v>
      </c>
      <c r="I1" s="168" t="s">
        <v>124</v>
      </c>
      <c r="J1" s="168" t="s">
        <v>125</v>
      </c>
      <c r="K1" s="168" t="s">
        <v>126</v>
      </c>
      <c r="L1" s="168" t="s">
        <v>127</v>
      </c>
      <c r="M1" s="168" t="s">
        <v>2498</v>
      </c>
      <c r="N1" s="168" t="s">
        <v>128</v>
      </c>
      <c r="O1" s="168" t="s">
        <v>129</v>
      </c>
      <c r="P1" s="168" t="s">
        <v>130</v>
      </c>
      <c r="Q1" s="168" t="s">
        <v>131</v>
      </c>
      <c r="R1" s="168" t="s">
        <v>132</v>
      </c>
      <c r="S1" s="168" t="s">
        <v>55</v>
      </c>
      <c r="T1" s="168" t="s">
        <v>69</v>
      </c>
      <c r="U1" s="168" t="s">
        <v>133</v>
      </c>
      <c r="V1" s="168" t="s">
        <v>134</v>
      </c>
      <c r="W1" s="168" t="s">
        <v>135</v>
      </c>
      <c r="X1" s="168" t="s">
        <v>136</v>
      </c>
      <c r="Y1" s="168" t="s">
        <v>56</v>
      </c>
      <c r="Z1" s="168" t="s">
        <v>137</v>
      </c>
      <c r="AA1" s="168" t="s">
        <v>138</v>
      </c>
      <c r="AB1" s="168" t="s">
        <v>139</v>
      </c>
      <c r="AC1" s="168" t="s">
        <v>140</v>
      </c>
      <c r="AD1" s="168" t="s">
        <v>141</v>
      </c>
      <c r="AE1" s="168" t="s">
        <v>142</v>
      </c>
      <c r="AF1" s="168" t="s">
        <v>85</v>
      </c>
      <c r="AG1" s="168" t="s">
        <v>143</v>
      </c>
      <c r="AH1" s="168" t="s">
        <v>144</v>
      </c>
      <c r="AI1" s="168" t="s">
        <v>145</v>
      </c>
      <c r="AJ1" s="168" t="s">
        <v>146</v>
      </c>
      <c r="AK1" s="168" t="s">
        <v>147</v>
      </c>
      <c r="AL1" s="168" t="s">
        <v>148</v>
      </c>
      <c r="AM1" s="168" t="s">
        <v>149</v>
      </c>
      <c r="AN1" s="168" t="s">
        <v>64</v>
      </c>
      <c r="AO1" s="168" t="s">
        <v>65</v>
      </c>
    </row>
    <row r="2" spans="1:41" x14ac:dyDescent="0.2">
      <c r="A2" t="s">
        <v>1204</v>
      </c>
      <c r="B2" t="s">
        <v>1204</v>
      </c>
      <c r="C2" t="s">
        <v>1017</v>
      </c>
      <c r="D2" s="1">
        <v>8201126</v>
      </c>
      <c r="E2" s="146" t="s">
        <v>1209</v>
      </c>
      <c r="F2" s="105">
        <v>3.5783</v>
      </c>
      <c r="G2" s="147">
        <v>357830000</v>
      </c>
      <c r="H2" s="147">
        <v>100000000</v>
      </c>
      <c r="I2" s="148">
        <v>1.6999999999999999E-3</v>
      </c>
      <c r="J2" s="148">
        <v>5.9999999999999995E-4</v>
      </c>
      <c r="K2"/>
      <c r="L2" s="146" t="s">
        <v>1209</v>
      </c>
      <c r="M2" s="105">
        <v>3.5783</v>
      </c>
      <c r="N2" s="147">
        <v>357830000</v>
      </c>
      <c r="O2" s="147">
        <v>100000000</v>
      </c>
      <c r="P2" s="148">
        <v>1.6999999999999999E-3</v>
      </c>
      <c r="Q2" s="148">
        <v>5.9999999999999995E-4</v>
      </c>
      <c r="R2" s="125">
        <v>-724.59</v>
      </c>
      <c r="S2" t="s">
        <v>205</v>
      </c>
      <c r="T2" s="16" t="s">
        <v>204</v>
      </c>
      <c r="U2" s="105" t="s">
        <v>746</v>
      </c>
      <c r="V2" s="105" t="s">
        <v>314</v>
      </c>
      <c r="W2" s="102"/>
      <c r="X2" s="105"/>
      <c r="Y2" t="s">
        <v>339</v>
      </c>
      <c r="Z2" s="149">
        <v>45636</v>
      </c>
      <c r="AA2" s="107">
        <v>45747</v>
      </c>
      <c r="AB2" s="105" t="s">
        <v>890</v>
      </c>
      <c r="AC2" s="105" t="s">
        <v>897</v>
      </c>
      <c r="AD2" s="105" t="s">
        <v>339</v>
      </c>
      <c r="AE2" s="105" t="s">
        <v>912</v>
      </c>
      <c r="AF2" s="105" t="s">
        <v>896</v>
      </c>
      <c r="AG2" s="105"/>
      <c r="AH2" s="102"/>
      <c r="AI2" s="105">
        <v>3.5783</v>
      </c>
      <c r="AJ2" s="105">
        <v>3.5783</v>
      </c>
      <c r="AK2" s="146" t="s">
        <v>338</v>
      </c>
      <c r="AL2" s="102"/>
      <c r="AM2"/>
      <c r="AN2" s="126">
        <v>9.3829999999999997E-2</v>
      </c>
      <c r="AO2" s="126">
        <v>-6.0000000000000002E-5</v>
      </c>
    </row>
    <row r="3" spans="1:41" x14ac:dyDescent="0.2">
      <c r="A3" t="s">
        <v>1204</v>
      </c>
      <c r="B3" t="s">
        <v>1204</v>
      </c>
      <c r="C3" t="s">
        <v>1017</v>
      </c>
      <c r="D3" s="1">
        <v>8201127</v>
      </c>
      <c r="E3" s="146" t="s">
        <v>1209</v>
      </c>
      <c r="F3" s="105">
        <v>3.5760000000000001</v>
      </c>
      <c r="G3" s="147">
        <v>35645000</v>
      </c>
      <c r="H3" s="147">
        <v>10000000</v>
      </c>
      <c r="I3" s="148">
        <v>2.0000000000000001E-4</v>
      </c>
      <c r="J3" s="148">
        <v>1E-4</v>
      </c>
      <c r="K3"/>
      <c r="L3" s="146" t="s">
        <v>1209</v>
      </c>
      <c r="M3" s="105">
        <v>3.5760000000000001</v>
      </c>
      <c r="N3" s="147">
        <v>35645000</v>
      </c>
      <c r="O3" s="147">
        <v>10000000</v>
      </c>
      <c r="P3" s="148">
        <v>2.0000000000000001E-4</v>
      </c>
      <c r="Q3" s="148">
        <v>1E-4</v>
      </c>
      <c r="R3" s="125">
        <v>-6998</v>
      </c>
      <c r="S3" t="s">
        <v>205</v>
      </c>
      <c r="T3" s="16" t="s">
        <v>204</v>
      </c>
      <c r="U3" s="105" t="s">
        <v>746</v>
      </c>
      <c r="V3" s="105" t="s">
        <v>314</v>
      </c>
      <c r="W3" s="102"/>
      <c r="X3" s="105"/>
      <c r="Y3" t="s">
        <v>339</v>
      </c>
      <c r="Z3" s="149">
        <v>45636</v>
      </c>
      <c r="AA3" s="107">
        <v>45747</v>
      </c>
      <c r="AB3" s="105" t="s">
        <v>890</v>
      </c>
      <c r="AC3" s="105" t="s">
        <v>897</v>
      </c>
      <c r="AD3" s="105" t="s">
        <v>339</v>
      </c>
      <c r="AE3" s="105" t="s">
        <v>912</v>
      </c>
      <c r="AF3" s="105" t="s">
        <v>896</v>
      </c>
      <c r="AG3" s="105"/>
      <c r="AI3" s="105">
        <v>3.5760000000000001</v>
      </c>
      <c r="AJ3" s="105">
        <v>3.5644999999999998</v>
      </c>
      <c r="AK3" s="146" t="s">
        <v>338</v>
      </c>
      <c r="AL3" s="102"/>
      <c r="AM3"/>
      <c r="AN3" s="126">
        <v>0.90617000000000003</v>
      </c>
      <c r="AO3" s="126">
        <v>-5.9000000000000003E-4</v>
      </c>
    </row>
    <row r="4" spans="1:41" x14ac:dyDescent="0.2">
      <c r="A4" s="169" t="s">
        <v>2494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05"/>
      <c r="AL4" s="102"/>
      <c r="AM4"/>
      <c r="AN4" s="103"/>
      <c r="AO4" s="103"/>
    </row>
    <row r="5" spans="1:41" x14ac:dyDescent="0.2">
      <c r="A5" s="105"/>
      <c r="B5" s="105"/>
      <c r="C5" s="105"/>
      <c r="D5" s="1"/>
      <c r="E5" s="105"/>
      <c r="F5" s="105"/>
      <c r="G5" s="105"/>
      <c r="H5" s="12"/>
      <c r="I5"/>
      <c r="J5" s="11"/>
      <c r="K5"/>
      <c r="L5" s="105"/>
      <c r="M5"/>
      <c r="N5"/>
      <c r="O5"/>
      <c r="P5"/>
      <c r="Q5"/>
      <c r="R5" s="106"/>
      <c r="S5"/>
      <c r="T5" s="16"/>
      <c r="U5" s="105"/>
      <c r="V5" s="105"/>
      <c r="W5" s="102"/>
      <c r="X5" s="105"/>
      <c r="Y5" s="105"/>
      <c r="Z5" s="1"/>
      <c r="AA5" s="107"/>
      <c r="AB5" s="105"/>
      <c r="AC5" s="105"/>
      <c r="AD5" s="105"/>
      <c r="AE5" s="105"/>
      <c r="AF5" s="105"/>
      <c r="AG5" s="105"/>
      <c r="AI5" s="105"/>
      <c r="AJ5" s="105"/>
      <c r="AK5" s="105"/>
      <c r="AL5" s="102"/>
      <c r="AM5"/>
      <c r="AN5" s="103"/>
      <c r="AO5" s="103"/>
    </row>
    <row r="6" spans="1:41" x14ac:dyDescent="0.2">
      <c r="A6" s="105"/>
      <c r="B6" s="105"/>
      <c r="C6" s="105"/>
      <c r="D6" s="1"/>
      <c r="E6" s="105"/>
      <c r="F6" s="105"/>
      <c r="G6" s="105"/>
      <c r="H6" s="12"/>
      <c r="I6"/>
      <c r="J6" s="11"/>
      <c r="K6"/>
      <c r="L6" s="105"/>
      <c r="M6"/>
      <c r="N6"/>
      <c r="O6"/>
      <c r="P6"/>
      <c r="Q6"/>
      <c r="R6" s="106"/>
      <c r="S6"/>
      <c r="T6" s="16"/>
      <c r="U6" s="105"/>
      <c r="V6" s="105"/>
      <c r="W6" s="102"/>
      <c r="X6" s="105"/>
      <c r="Y6" s="105"/>
      <c r="Z6" s="1"/>
      <c r="AA6" s="107"/>
      <c r="AB6" s="105"/>
      <c r="AC6" s="105"/>
      <c r="AD6" s="105"/>
      <c r="AE6" s="105"/>
      <c r="AF6" s="105"/>
      <c r="AG6" s="105"/>
      <c r="AI6" s="105"/>
      <c r="AJ6" s="105"/>
      <c r="AK6" s="105"/>
      <c r="AL6" s="102"/>
      <c r="AM6"/>
      <c r="AN6" s="103"/>
      <c r="AO6" s="103"/>
    </row>
    <row r="7" spans="1:41" x14ac:dyDescent="0.2">
      <c r="A7" s="105"/>
      <c r="B7" s="105"/>
      <c r="C7" s="105"/>
      <c r="D7" s="1"/>
      <c r="E7" s="105"/>
      <c r="F7" s="105"/>
      <c r="G7" s="105"/>
      <c r="H7" s="12"/>
      <c r="I7"/>
      <c r="J7" s="11"/>
      <c r="K7"/>
      <c r="L7" s="105"/>
      <c r="M7"/>
      <c r="N7"/>
      <c r="O7"/>
      <c r="P7"/>
      <c r="Q7"/>
      <c r="R7" s="106"/>
      <c r="S7"/>
      <c r="T7" s="16"/>
      <c r="U7" s="105"/>
      <c r="V7" s="105"/>
      <c r="W7" s="102"/>
      <c r="X7" s="105"/>
      <c r="Y7" s="105"/>
      <c r="Z7" s="1"/>
      <c r="AA7" s="107"/>
      <c r="AB7" s="105"/>
      <c r="AC7" s="105"/>
      <c r="AD7" s="105"/>
      <c r="AE7" s="105"/>
      <c r="AF7" s="105"/>
      <c r="AG7" s="105"/>
      <c r="AI7" s="105"/>
      <c r="AJ7" s="105"/>
      <c r="AK7" s="105"/>
      <c r="AL7" s="102"/>
      <c r="AM7"/>
      <c r="AN7" s="103"/>
      <c r="AO7" s="103"/>
    </row>
    <row r="8" spans="1:41" x14ac:dyDescent="0.2">
      <c r="A8" s="105"/>
      <c r="B8" s="105"/>
      <c r="C8" s="105"/>
      <c r="D8" s="1"/>
      <c r="E8" s="105"/>
      <c r="F8" s="105"/>
      <c r="G8" s="105"/>
      <c r="H8" s="12"/>
      <c r="I8"/>
      <c r="J8" s="11"/>
      <c r="K8"/>
      <c r="L8" s="105"/>
      <c r="M8"/>
      <c r="N8"/>
      <c r="O8"/>
      <c r="P8"/>
      <c r="Q8"/>
      <c r="R8" s="106"/>
      <c r="S8"/>
      <c r="T8" s="16"/>
      <c r="U8" s="105"/>
      <c r="V8" s="105"/>
      <c r="W8" s="102"/>
      <c r="X8" s="105"/>
      <c r="Y8" s="105"/>
      <c r="Z8" s="1"/>
      <c r="AA8" s="107"/>
      <c r="AB8" s="105"/>
      <c r="AC8" s="105"/>
      <c r="AD8" s="105"/>
      <c r="AE8" s="105"/>
      <c r="AF8" s="105"/>
      <c r="AG8" s="105"/>
      <c r="AI8" s="105"/>
      <c r="AJ8" s="105"/>
      <c r="AK8" s="105"/>
      <c r="AL8" s="102"/>
      <c r="AM8"/>
      <c r="AN8" s="103"/>
      <c r="AO8" s="103"/>
    </row>
    <row r="9" spans="1:41" x14ac:dyDescent="0.2">
      <c r="A9" s="105"/>
      <c r="B9" s="105"/>
      <c r="C9" s="105"/>
      <c r="D9" s="1"/>
      <c r="E9" s="105"/>
      <c r="F9" s="105"/>
      <c r="G9" s="105"/>
      <c r="H9" s="12"/>
      <c r="I9"/>
      <c r="J9" s="11"/>
      <c r="K9"/>
      <c r="L9" s="105"/>
      <c r="M9"/>
      <c r="N9"/>
      <c r="O9"/>
      <c r="P9"/>
      <c r="Q9"/>
      <c r="R9" s="106"/>
      <c r="S9"/>
      <c r="T9" s="16"/>
      <c r="U9" s="105"/>
      <c r="V9" s="105"/>
      <c r="W9" s="102"/>
      <c r="X9" s="105"/>
      <c r="Y9" s="105"/>
      <c r="Z9" s="1"/>
      <c r="AA9" s="107"/>
      <c r="AB9" s="105"/>
      <c r="AC9" s="105"/>
      <c r="AD9" s="105"/>
      <c r="AE9" s="105"/>
      <c r="AF9" s="105"/>
      <c r="AG9" s="105"/>
      <c r="AI9" s="105"/>
      <c r="AJ9" s="105"/>
      <c r="AK9" s="105"/>
      <c r="AL9" s="102"/>
      <c r="AM9"/>
      <c r="AN9" s="103"/>
      <c r="AO9" s="103"/>
    </row>
    <row r="10" spans="1:41" x14ac:dyDescent="0.2">
      <c r="A10" s="105"/>
      <c r="B10" s="105"/>
      <c r="C10" s="105"/>
      <c r="D10" s="1"/>
      <c r="E10" s="105"/>
      <c r="F10" s="105"/>
      <c r="G10" s="105"/>
      <c r="H10" s="12"/>
      <c r="I10"/>
      <c r="J10" s="11"/>
      <c r="K10"/>
      <c r="L10" s="105"/>
      <c r="M10"/>
      <c r="N10"/>
      <c r="O10"/>
      <c r="P10"/>
      <c r="Q10"/>
      <c r="R10" s="106"/>
      <c r="S10"/>
      <c r="T10" s="16"/>
      <c r="U10" s="105"/>
      <c r="V10" s="105"/>
      <c r="W10" s="102"/>
      <c r="X10" s="105"/>
      <c r="Y10" s="105"/>
      <c r="Z10" s="1"/>
      <c r="AA10" s="107"/>
      <c r="AB10" s="105"/>
      <c r="AC10" s="105"/>
      <c r="AD10" s="105"/>
      <c r="AE10" s="105"/>
      <c r="AF10" s="105"/>
      <c r="AG10" s="105"/>
      <c r="AI10" s="105"/>
      <c r="AJ10" s="105"/>
      <c r="AK10" s="105"/>
      <c r="AL10" s="102"/>
      <c r="AM10"/>
      <c r="AN10" s="103"/>
      <c r="AO10" s="103"/>
    </row>
    <row r="11" spans="1:41" x14ac:dyDescent="0.2">
      <c r="A11" s="105"/>
      <c r="B11" s="105"/>
      <c r="C11" s="105"/>
      <c r="D11" s="1"/>
      <c r="E11" s="105"/>
      <c r="F11" s="105"/>
      <c r="G11" s="105"/>
      <c r="H11" s="12"/>
      <c r="I11"/>
      <c r="J11" s="11"/>
      <c r="K11"/>
      <c r="L11" s="105"/>
      <c r="M11"/>
      <c r="N11"/>
      <c r="O11"/>
      <c r="P11"/>
      <c r="Q11"/>
      <c r="R11" s="106"/>
      <c r="S11"/>
      <c r="T11" s="16"/>
      <c r="U11" s="105"/>
      <c r="V11" s="105"/>
      <c r="W11" s="102"/>
      <c r="X11" s="105"/>
      <c r="Y11" s="105"/>
      <c r="Z11" s="1"/>
      <c r="AA11" s="107"/>
      <c r="AB11" s="105"/>
      <c r="AC11" s="105"/>
      <c r="AD11" s="105"/>
      <c r="AE11" s="105"/>
      <c r="AF11" s="105"/>
      <c r="AG11" s="105"/>
      <c r="AI11" s="105"/>
      <c r="AJ11" s="105"/>
      <c r="AK11" s="105"/>
      <c r="AL11" s="102"/>
      <c r="AM11"/>
      <c r="AN11" s="103"/>
      <c r="AO11" s="103"/>
    </row>
    <row r="12" spans="1:41" x14ac:dyDescent="0.2">
      <c r="A12" s="105"/>
      <c r="B12" s="105"/>
      <c r="C12" s="105"/>
      <c r="D12" s="1"/>
      <c r="E12" s="105"/>
      <c r="F12" s="105"/>
      <c r="G12" s="105"/>
      <c r="H12" s="12"/>
      <c r="I12"/>
      <c r="J12" s="11"/>
      <c r="K12"/>
      <c r="L12" s="105"/>
      <c r="M12"/>
      <c r="N12"/>
      <c r="O12"/>
      <c r="P12"/>
      <c r="Q12"/>
      <c r="R12" s="106"/>
      <c r="S12"/>
      <c r="T12" s="16"/>
      <c r="U12" s="105"/>
      <c r="V12" s="105"/>
      <c r="W12" s="102"/>
      <c r="X12" s="105"/>
      <c r="Y12" s="105"/>
      <c r="Z12" s="1"/>
      <c r="AA12" s="107"/>
      <c r="AB12" s="105"/>
      <c r="AC12" s="105"/>
      <c r="AD12" s="105"/>
      <c r="AE12" s="105"/>
      <c r="AF12" s="105"/>
      <c r="AG12" s="105"/>
      <c r="AI12" s="105"/>
      <c r="AJ12" s="105"/>
      <c r="AK12" s="105"/>
      <c r="AL12" s="102"/>
      <c r="AM12"/>
      <c r="AN12" s="103"/>
      <c r="AO12" s="103"/>
    </row>
    <row r="13" spans="1:41" x14ac:dyDescent="0.2">
      <c r="A13" s="105"/>
      <c r="B13" s="105"/>
      <c r="C13" s="105"/>
      <c r="D13" s="1"/>
      <c r="E13" s="105"/>
      <c r="F13" s="105"/>
      <c r="G13" s="105"/>
      <c r="H13" s="12"/>
      <c r="I13"/>
      <c r="J13" s="11"/>
      <c r="K13"/>
      <c r="L13" s="105"/>
      <c r="M13"/>
      <c r="N13"/>
      <c r="O13"/>
      <c r="P13"/>
      <c r="Q13"/>
      <c r="R13" s="106"/>
      <c r="S13"/>
      <c r="T13" s="16"/>
      <c r="U13" s="105"/>
      <c r="V13" s="105"/>
      <c r="W13" s="102"/>
      <c r="X13" s="105"/>
      <c r="Y13" s="105"/>
      <c r="Z13" s="1"/>
      <c r="AA13" s="107"/>
      <c r="AB13" s="105"/>
      <c r="AC13" s="105"/>
      <c r="AD13" s="105"/>
      <c r="AE13" s="105"/>
      <c r="AF13" s="105"/>
      <c r="AG13" s="105"/>
      <c r="AI13" s="105"/>
      <c r="AJ13" s="105"/>
      <c r="AK13" s="105"/>
      <c r="AL13" s="102"/>
      <c r="AM13"/>
      <c r="AN13" s="103"/>
      <c r="AO13" s="103"/>
    </row>
    <row r="14" spans="1:41" x14ac:dyDescent="0.2">
      <c r="A14" s="105"/>
      <c r="B14" s="105"/>
      <c r="C14" s="105"/>
      <c r="D14" s="1"/>
      <c r="E14" s="105"/>
      <c r="F14" s="105"/>
      <c r="G14" s="105"/>
      <c r="H14" s="12"/>
      <c r="I14"/>
      <c r="J14" s="11"/>
      <c r="K14"/>
      <c r="L14" s="105"/>
      <c r="M14"/>
      <c r="N14"/>
      <c r="O14"/>
      <c r="P14"/>
      <c r="Q14"/>
      <c r="R14" s="106"/>
      <c r="S14"/>
      <c r="T14" s="16"/>
      <c r="U14" s="105"/>
      <c r="V14" s="105"/>
      <c r="W14" s="102"/>
      <c r="X14" s="105"/>
      <c r="Y14" s="105"/>
      <c r="Z14" s="1"/>
      <c r="AA14" s="107"/>
      <c r="AB14" s="105"/>
      <c r="AC14" s="105"/>
      <c r="AD14" s="105"/>
      <c r="AE14" s="105"/>
      <c r="AF14" s="105"/>
      <c r="AG14" s="105"/>
      <c r="AI14" s="105"/>
      <c r="AJ14" s="105"/>
      <c r="AK14" s="105"/>
      <c r="AL14" s="102"/>
      <c r="AM14"/>
      <c r="AN14" s="103"/>
      <c r="AO14" s="103"/>
    </row>
    <row r="15" spans="1:41" x14ac:dyDescent="0.2">
      <c r="A15" s="105"/>
      <c r="B15" s="105"/>
      <c r="C15" s="105"/>
      <c r="D15" s="1"/>
      <c r="E15" s="105"/>
      <c r="F15" s="105"/>
      <c r="G15" s="105"/>
      <c r="H15" s="12"/>
      <c r="I15"/>
      <c r="J15" s="11"/>
      <c r="K15"/>
      <c r="L15" s="105"/>
      <c r="M15"/>
      <c r="N15"/>
      <c r="O15"/>
      <c r="P15"/>
      <c r="Q15"/>
      <c r="R15" s="106"/>
      <c r="S15"/>
      <c r="T15" s="16"/>
      <c r="U15" s="105"/>
      <c r="V15" s="105"/>
      <c r="W15" s="102"/>
      <c r="X15" s="105"/>
      <c r="Y15" s="105"/>
      <c r="Z15" s="1"/>
      <c r="AA15" s="107"/>
      <c r="AB15" s="105"/>
      <c r="AC15" s="105"/>
      <c r="AD15" s="105"/>
      <c r="AE15" s="105"/>
      <c r="AF15" s="105"/>
      <c r="AG15" s="105"/>
      <c r="AI15" s="105"/>
      <c r="AJ15" s="105"/>
      <c r="AK15" s="105"/>
      <c r="AL15" s="102"/>
      <c r="AM15"/>
      <c r="AN15" s="103"/>
      <c r="AO15" s="103"/>
    </row>
    <row r="16" spans="1:41" x14ac:dyDescent="0.2">
      <c r="A16" s="105"/>
      <c r="B16" s="105"/>
      <c r="C16" s="105"/>
      <c r="D16" s="1"/>
      <c r="E16" s="105"/>
      <c r="F16" s="105"/>
      <c r="G16" s="105"/>
      <c r="H16" s="12"/>
      <c r="I16"/>
      <c r="J16" s="11"/>
      <c r="K16"/>
      <c r="L16" s="105"/>
      <c r="M16"/>
      <c r="N16"/>
      <c r="O16"/>
      <c r="P16"/>
      <c r="Q16"/>
      <c r="R16" s="106"/>
      <c r="S16"/>
      <c r="T16" s="16"/>
      <c r="U16" s="105"/>
      <c r="V16" s="105"/>
      <c r="W16" s="102"/>
      <c r="X16" s="105"/>
      <c r="Y16" s="105"/>
      <c r="Z16" s="1"/>
      <c r="AA16" s="107"/>
      <c r="AB16" s="105"/>
      <c r="AC16" s="105"/>
      <c r="AD16" s="105"/>
      <c r="AE16" s="105"/>
      <c r="AF16" s="105"/>
      <c r="AG16" s="105"/>
      <c r="AI16" s="105"/>
      <c r="AJ16" s="105"/>
      <c r="AK16" s="105"/>
      <c r="AL16" s="102"/>
      <c r="AM16"/>
      <c r="AN16" s="103"/>
      <c r="AO16" s="103"/>
    </row>
    <row r="17" spans="1:41" x14ac:dyDescent="0.2">
      <c r="A17" s="105"/>
      <c r="B17" s="105"/>
      <c r="C17" s="105"/>
      <c r="D17" s="1"/>
      <c r="E17" s="105"/>
      <c r="F17" s="105"/>
      <c r="G17" s="105"/>
      <c r="H17" s="12"/>
      <c r="I17"/>
      <c r="J17" s="11"/>
      <c r="K17"/>
      <c r="L17" s="105"/>
      <c r="M17"/>
      <c r="N17"/>
      <c r="O17"/>
      <c r="P17"/>
      <c r="Q17"/>
      <c r="R17" s="106"/>
      <c r="S17"/>
      <c r="T17" s="16"/>
      <c r="U17" s="105"/>
      <c r="V17" s="105"/>
      <c r="W17" s="102"/>
      <c r="X17" s="105"/>
      <c r="Y17" s="105"/>
      <c r="Z17" s="1"/>
      <c r="AA17" s="107"/>
      <c r="AB17" s="105"/>
      <c r="AC17" s="105"/>
      <c r="AD17" s="105"/>
      <c r="AE17" s="105"/>
      <c r="AF17" s="105"/>
      <c r="AG17" s="105"/>
      <c r="AI17" s="105"/>
      <c r="AJ17" s="105"/>
      <c r="AK17" s="105"/>
      <c r="AL17" s="102"/>
      <c r="AM17"/>
      <c r="AN17" s="103"/>
      <c r="AO17" s="103"/>
    </row>
    <row r="18" spans="1:41" x14ac:dyDescent="0.2">
      <c r="A18" s="105"/>
      <c r="B18" s="105"/>
      <c r="C18" s="105"/>
      <c r="D18" s="1"/>
      <c r="E18" s="105"/>
      <c r="F18" s="105"/>
      <c r="G18" s="105"/>
      <c r="H18" s="12"/>
      <c r="I18"/>
      <c r="J18" s="11"/>
      <c r="K18"/>
      <c r="L18" s="105"/>
      <c r="M18"/>
      <c r="N18"/>
      <c r="O18"/>
      <c r="P18"/>
      <c r="Q18"/>
      <c r="R18" s="106"/>
      <c r="S18"/>
      <c r="T18" s="16"/>
      <c r="U18" s="105"/>
      <c r="V18" s="105"/>
      <c r="W18" s="102"/>
      <c r="X18" s="105"/>
      <c r="Y18" s="105"/>
      <c r="Z18" s="1"/>
      <c r="AA18" s="107"/>
      <c r="AB18" s="105"/>
      <c r="AC18" s="105"/>
      <c r="AD18" s="105"/>
      <c r="AE18" s="105"/>
      <c r="AF18" s="105"/>
      <c r="AG18" s="105"/>
      <c r="AI18" s="105"/>
      <c r="AJ18" s="105"/>
      <c r="AK18" s="105"/>
      <c r="AL18" s="102"/>
      <c r="AM18"/>
      <c r="AN18" s="103"/>
      <c r="AO18" s="103"/>
    </row>
    <row r="19" spans="1:41" x14ac:dyDescent="0.2">
      <c r="A19" s="105"/>
      <c r="B19" s="105"/>
      <c r="C19" s="105"/>
      <c r="D19" s="1"/>
      <c r="E19" s="105"/>
      <c r="F19" s="105"/>
      <c r="G19" s="105"/>
      <c r="H19" s="12"/>
      <c r="I19"/>
      <c r="J19" s="11"/>
      <c r="K19"/>
      <c r="L19" s="105"/>
      <c r="M19"/>
      <c r="N19"/>
      <c r="O19"/>
      <c r="P19"/>
      <c r="Q19"/>
      <c r="R19" s="106"/>
      <c r="S19"/>
      <c r="T19" s="16"/>
      <c r="U19" s="105"/>
      <c r="V19" s="105"/>
      <c r="W19" s="102"/>
      <c r="X19" s="105"/>
      <c r="Y19" s="105"/>
      <c r="Z19" s="1"/>
      <c r="AA19" s="107"/>
      <c r="AB19" s="105"/>
      <c r="AC19" s="105"/>
      <c r="AD19" s="105"/>
      <c r="AE19" s="105"/>
      <c r="AF19" s="105"/>
      <c r="AG19" s="105"/>
      <c r="AI19" s="105"/>
      <c r="AJ19" s="105"/>
      <c r="AK19" s="105"/>
      <c r="AL19" s="102"/>
      <c r="AM19"/>
      <c r="AN19" s="103"/>
      <c r="AO19" s="103"/>
    </row>
    <row r="20" spans="1:41" x14ac:dyDescent="0.2">
      <c r="A20" s="102"/>
      <c r="B20" s="102"/>
      <c r="C20" s="105"/>
      <c r="D20" s="102"/>
      <c r="E20" s="105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/>
      <c r="T20" s="16"/>
      <c r="U20" s="105"/>
      <c r="V20" s="105"/>
      <c r="W20" s="102"/>
      <c r="X20" s="102"/>
      <c r="Y20" s="105"/>
      <c r="Z20" s="102"/>
      <c r="AA20" s="102"/>
      <c r="AB20" s="105"/>
      <c r="AC20" s="105"/>
      <c r="AD20" s="105"/>
      <c r="AE20" s="105"/>
      <c r="AF20" s="105"/>
      <c r="AG20" s="105"/>
      <c r="AI20" s="102"/>
      <c r="AJ20" s="102"/>
      <c r="AK20" s="105"/>
      <c r="AL20" s="102"/>
      <c r="AM20" s="102"/>
      <c r="AN20" s="102"/>
      <c r="AO20" s="102"/>
    </row>
    <row r="21" spans="1:41" customFormat="1" x14ac:dyDescent="0.2"/>
    <row r="22" spans="1:41" x14ac:dyDescent="0.2">
      <c r="A22" s="102"/>
      <c r="B22" s="102"/>
      <c r="C22" s="105"/>
      <c r="D22" s="102"/>
      <c r="E22" s="105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/>
      <c r="T22" s="1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5"/>
      <c r="AF22" s="105"/>
      <c r="AG22" s="102"/>
      <c r="AI22" s="102"/>
      <c r="AJ22" s="102"/>
      <c r="AK22" s="102"/>
      <c r="AL22" s="102"/>
      <c r="AM22" s="102"/>
      <c r="AN22" s="102"/>
      <c r="AO22" s="102"/>
    </row>
    <row r="23" spans="1:41" x14ac:dyDescent="0.2">
      <c r="A23" s="102"/>
      <c r="B23" s="102"/>
      <c r="C23" s="105"/>
      <c r="D23" s="102"/>
      <c r="E23" s="105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/>
      <c r="T23" s="16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5"/>
      <c r="AF23" s="105"/>
      <c r="AG23" s="102"/>
      <c r="AI23" s="102"/>
      <c r="AJ23" s="102"/>
      <c r="AK23" s="102"/>
      <c r="AL23" s="102"/>
      <c r="AM23" s="102"/>
      <c r="AN23" s="102"/>
      <c r="AO23" s="102"/>
    </row>
    <row r="24" spans="1:41" x14ac:dyDescent="0.2">
      <c r="A24" s="102"/>
      <c r="B24" s="102"/>
      <c r="C24" s="105"/>
      <c r="D24" s="102"/>
      <c r="E24" s="105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/>
      <c r="T24" s="16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5"/>
      <c r="AF24" s="105"/>
      <c r="AG24" s="102"/>
      <c r="AI24" s="102"/>
      <c r="AJ24" s="102"/>
      <c r="AK24" s="102"/>
      <c r="AL24" s="102"/>
      <c r="AM24" s="102"/>
      <c r="AN24" s="102"/>
      <c r="AO24" s="102"/>
    </row>
    <row r="25" spans="1:41" x14ac:dyDescent="0.2">
      <c r="A25" s="102"/>
      <c r="B25" s="102"/>
      <c r="C25" s="105"/>
      <c r="D25" s="102"/>
      <c r="E25" s="105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/>
      <c r="T25" s="16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5"/>
      <c r="AF25" s="105"/>
      <c r="AG25" s="102"/>
      <c r="AI25" s="102"/>
      <c r="AJ25" s="102"/>
      <c r="AK25" s="102"/>
      <c r="AL25" s="102"/>
      <c r="AM25" s="102"/>
      <c r="AN25" s="102"/>
      <c r="AO25" s="102"/>
    </row>
    <row r="26" spans="1:41" x14ac:dyDescent="0.2">
      <c r="A26" s="102"/>
      <c r="B26" s="102"/>
      <c r="C26" s="105"/>
      <c r="D26" s="102"/>
      <c r="E26" s="105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5"/>
      <c r="AF26" s="105"/>
      <c r="AG26" s="102"/>
      <c r="AI26" s="102"/>
      <c r="AJ26" s="102"/>
      <c r="AK26" s="102"/>
      <c r="AL26" s="102"/>
      <c r="AM26" s="102"/>
      <c r="AN26" s="102"/>
      <c r="AO26" s="102"/>
    </row>
    <row r="27" spans="1:41" x14ac:dyDescent="0.2">
      <c r="A27" s="102"/>
      <c r="B27" s="102"/>
      <c r="C27" s="105"/>
      <c r="D27" s="102"/>
      <c r="E27" s="105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6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I27" s="102"/>
      <c r="AJ27" s="102"/>
      <c r="AK27" s="102"/>
      <c r="AL27" s="102"/>
      <c r="AM27" s="102"/>
      <c r="AN27" s="102"/>
      <c r="AO27" s="102"/>
    </row>
    <row r="28" spans="1:41" x14ac:dyDescent="0.2">
      <c r="A28" s="102"/>
      <c r="B28" s="102"/>
      <c r="C28" s="105"/>
      <c r="D28" s="102"/>
      <c r="E28" s="105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I28" s="102"/>
      <c r="AJ28" s="102"/>
      <c r="AK28" s="102"/>
      <c r="AL28" s="102"/>
      <c r="AM28" s="102"/>
      <c r="AN28" s="102"/>
      <c r="AO28" s="102"/>
    </row>
    <row r="29" spans="1:41" x14ac:dyDescent="0.2">
      <c r="A29" s="102"/>
      <c r="B29" s="102"/>
      <c r="C29" s="105"/>
      <c r="D29" s="102"/>
      <c r="E29" s="105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6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I29" s="102"/>
      <c r="AJ29" s="102"/>
      <c r="AK29" s="102"/>
      <c r="AL29" s="102"/>
      <c r="AM29" s="102"/>
      <c r="AN29" s="102"/>
      <c r="AO29" s="102"/>
    </row>
    <row r="30" spans="1:41" x14ac:dyDescent="0.2">
      <c r="A30" s="102"/>
      <c r="B30" s="102"/>
      <c r="C30" s="105"/>
      <c r="D30" s="102"/>
      <c r="E30" s="105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I30" s="102"/>
      <c r="AJ30" s="102"/>
      <c r="AK30" s="102"/>
      <c r="AL30" s="102"/>
      <c r="AM30" s="102"/>
      <c r="AN30" s="102"/>
      <c r="AO30" s="102"/>
    </row>
    <row r="31" spans="1:41" x14ac:dyDescent="0.2">
      <c r="A31" s="102"/>
      <c r="B31" s="102"/>
      <c r="C31" s="105"/>
      <c r="D31" s="102"/>
      <c r="E31" s="105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I31" s="102"/>
      <c r="AJ31" s="102"/>
      <c r="AK31" s="102"/>
      <c r="AL31" s="102"/>
      <c r="AM31" s="102"/>
      <c r="AN31" s="102"/>
      <c r="AO31" s="102"/>
    </row>
    <row r="32" spans="1:41" x14ac:dyDescent="0.2">
      <c r="A32" s="102"/>
      <c r="B32" s="102"/>
      <c r="C32" s="105"/>
      <c r="D32" s="102"/>
      <c r="E32" s="105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I32" s="102"/>
      <c r="AJ32" s="102"/>
      <c r="AK32" s="102"/>
      <c r="AL32" s="102"/>
      <c r="AM32" s="102"/>
      <c r="AN32" s="102"/>
      <c r="AO32" s="102"/>
    </row>
    <row r="33" spans="3:20" x14ac:dyDescent="0.2">
      <c r="C33" s="105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6"/>
    </row>
    <row r="34" spans="3:20" x14ac:dyDescent="0.2">
      <c r="C34" s="105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6"/>
    </row>
    <row r="35" spans="3:20" x14ac:dyDescent="0.2">
      <c r="C35" s="105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</row>
    <row r="36" spans="3:20" x14ac:dyDescent="0.2">
      <c r="C36" s="105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</row>
    <row r="37" spans="3:20" x14ac:dyDescent="0.2">
      <c r="C37" s="105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</row>
    <row r="38" spans="3:20" x14ac:dyDescent="0.2">
      <c r="C38" s="105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</row>
    <row r="39" spans="3:20" x14ac:dyDescent="0.2">
      <c r="C39" s="105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</row>
    <row r="40" spans="3:20" x14ac:dyDescent="0.2">
      <c r="C40" s="105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</row>
    <row r="41" spans="3:20" x14ac:dyDescent="0.2">
      <c r="C41" s="105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</row>
    <row r="42" spans="3:20" x14ac:dyDescent="0.2">
      <c r="C42" s="105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</row>
    <row r="43" spans="3:20" x14ac:dyDescent="0.2">
      <c r="C43" s="105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</row>
    <row r="44" spans="3:20" x14ac:dyDescent="0.2">
      <c r="C44" s="105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</row>
    <row r="45" spans="3:20" x14ac:dyDescent="0.2">
      <c r="C45" s="105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</row>
    <row r="46" spans="3:20" x14ac:dyDescent="0.2">
      <c r="C46" s="105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</row>
    <row r="47" spans="3:20" x14ac:dyDescent="0.2">
      <c r="C47" s="105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</row>
    <row r="48" spans="3:20" x14ac:dyDescent="0.2">
      <c r="C48" s="105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</row>
    <row r="49" spans="3:3" x14ac:dyDescent="0.2">
      <c r="C49" s="105"/>
    </row>
    <row r="50" spans="3:3" x14ac:dyDescent="0.2">
      <c r="C50" s="105"/>
    </row>
    <row r="51" spans="3:3" x14ac:dyDescent="0.2">
      <c r="C51" s="105"/>
    </row>
    <row r="52" spans="3:3" x14ac:dyDescent="0.2">
      <c r="C52" s="105"/>
    </row>
    <row r="53" spans="3:3" x14ac:dyDescent="0.2">
      <c r="C53" s="105"/>
    </row>
    <row r="54" spans="3:3" x14ac:dyDescent="0.2">
      <c r="C54" s="105"/>
    </row>
    <row r="55" spans="3:3" x14ac:dyDescent="0.2">
      <c r="C55" s="105"/>
    </row>
    <row r="56" spans="3:3" x14ac:dyDescent="0.2">
      <c r="C56" s="105"/>
    </row>
    <row r="57" spans="3:3" x14ac:dyDescent="0.2">
      <c r="C57" s="105"/>
    </row>
    <row r="58" spans="3:3" x14ac:dyDescent="0.2">
      <c r="C58" s="105"/>
    </row>
    <row r="59" spans="3:3" x14ac:dyDescent="0.2">
      <c r="C59" s="105"/>
    </row>
    <row r="60" spans="3:3" x14ac:dyDescent="0.2">
      <c r="C60" s="105"/>
    </row>
    <row r="61" spans="3:3" x14ac:dyDescent="0.2">
      <c r="C61" s="105"/>
    </row>
    <row r="62" spans="3:3" x14ac:dyDescent="0.2">
      <c r="C62" s="105"/>
    </row>
    <row r="63" spans="3:3" x14ac:dyDescent="0.2">
      <c r="C63" s="105"/>
    </row>
    <row r="64" spans="3:3" x14ac:dyDescent="0.2">
      <c r="C64" s="105"/>
    </row>
    <row r="65" spans="3:3" x14ac:dyDescent="0.2">
      <c r="C65" s="105"/>
    </row>
    <row r="66" spans="3:3" x14ac:dyDescent="0.2">
      <c r="C66" s="105"/>
    </row>
    <row r="67" spans="3:3" x14ac:dyDescent="0.2">
      <c r="C67" s="105"/>
    </row>
    <row r="68" spans="3:3" x14ac:dyDescent="0.2">
      <c r="C68" s="105"/>
    </row>
    <row r="69" spans="3:3" x14ac:dyDescent="0.2">
      <c r="C69" s="105"/>
    </row>
    <row r="70" spans="3:3" x14ac:dyDescent="0.2">
      <c r="C70" s="105"/>
    </row>
    <row r="71" spans="3:3" x14ac:dyDescent="0.2">
      <c r="C71" s="105"/>
    </row>
    <row r="72" spans="3:3" x14ac:dyDescent="0.2">
      <c r="C72" s="105"/>
    </row>
    <row r="73" spans="3:3" x14ac:dyDescent="0.2">
      <c r="C73" s="105"/>
    </row>
    <row r="74" spans="3:3" x14ac:dyDescent="0.2">
      <c r="C74" s="105"/>
    </row>
    <row r="75" spans="3:3" x14ac:dyDescent="0.2">
      <c r="C75" s="105"/>
    </row>
    <row r="76" spans="3:3" x14ac:dyDescent="0.2">
      <c r="C76" s="105"/>
    </row>
  </sheetData>
  <mergeCells count="1">
    <mergeCell ref="A4:AJ4"/>
  </mergeCells>
  <dataValidations count="15">
    <dataValidation type="list" allowBlank="1" showInputMessage="1" showErrorMessage="1" sqref="U22:U38 U2:U3 U5:U20" xr:uid="{00000000-0002-0000-1600-000000000000}">
      <formula1>Underlying_Asset</formula1>
    </dataValidation>
    <dataValidation type="list" allowBlank="1" showInputMessage="1" showErrorMessage="1" sqref="AG22:AG1048576 AB5:AB20 AB22:AB1048576 AB2:AB3 AG2:AG3 AG5:AG20" xr:uid="{00000000-0002-0000-1600-000001000000}">
      <formula1>Reset_frequency</formula1>
    </dataValidation>
    <dataValidation type="list" allowBlank="1" showInputMessage="1" showErrorMessage="1" sqref="S22:S25 S2:S3 S5:S20" xr:uid="{00000000-0002-0000-1600-000002000000}">
      <formula1>israel_abroad</formula1>
    </dataValidation>
    <dataValidation type="list" allowBlank="1" showInputMessage="1" showErrorMessage="1" sqref="Y22:Y215 AD22:AD1048576 Y5:Y20 AL22:AL1048576 AL20 Y2:Y3 AD2:AD3 AD5:AD20" xr:uid="{00000000-0002-0000-1600-000003000000}">
      <formula1>Holding_interest</formula1>
    </dataValidation>
    <dataValidation type="list" allowBlank="1" showInputMessage="1" showErrorMessage="1" sqref="AC22:AC61 AC2:AC3 AC5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3 V5:V20" xr:uid="{00000000-0002-0000-1600-000006000000}">
      <formula1>Leading_factor</formula1>
    </dataValidation>
    <dataValidation type="list" allowBlank="1" showInputMessage="1" showErrorMessage="1" sqref="T22:T34 T2:T3 T5:T20" xr:uid="{00000000-0002-0000-1600-000007000000}">
      <formula1>Country_list</formula1>
    </dataValidation>
    <dataValidation type="list" allowBlank="1" showInputMessage="1" showErrorMessage="1" sqref="W2:W3 W5:W20" xr:uid="{00000000-0002-0000-1600-000008000000}">
      <formula1>Additional_Factor</formula1>
    </dataValidation>
    <dataValidation allowBlank="1" showInputMessage="1" showErrorMessage="1" sqref="Z5:Z19 M5:N19 D5:D19 P5:R19 P2:R3 D2:D3 Z2:Z3 I2:K3 I5:K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3 AF5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5:AE20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247D474-7D63-4C11-85C3-A6444B3FD8D9}">
          <x14:formula1>
            <xm:f>'אפשרויות בחירה'!$C$690:$C$691</xm:f>
          </x14:formula1>
          <xm:sqref>AE2:AE3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C2:C3 C5:C20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A16" sqref="A16:AJ16"/>
    </sheetView>
  </sheetViews>
  <sheetFormatPr defaultColWidth="9" defaultRowHeight="14.25" x14ac:dyDescent="0.2"/>
  <cols>
    <col min="1" max="1" width="12.125" style="136" customWidth="1"/>
    <col min="2" max="2" width="11.625" style="136" customWidth="1"/>
    <col min="3" max="3" width="14" style="136" customWidth="1"/>
    <col min="4" max="4" width="16.75" style="136" customWidth="1"/>
    <col min="5" max="5" width="11.625" style="136" customWidth="1"/>
    <col min="6" max="6" width="11.875" style="136" customWidth="1"/>
    <col min="7" max="7" width="11.625" style="136" customWidth="1"/>
    <col min="8" max="8" width="34.25" style="136" customWidth="1"/>
    <col min="9" max="9" width="11.625" style="136" customWidth="1"/>
    <col min="10" max="10" width="19.875" style="136" customWidth="1"/>
    <col min="11" max="11" width="11.625" style="136" customWidth="1"/>
    <col min="12" max="12" width="15.125" style="136" customWidth="1"/>
    <col min="13" max="13" width="18" style="136" customWidth="1"/>
    <col min="14" max="14" width="22.375" style="136" customWidth="1"/>
    <col min="15" max="15" width="17.75" style="136" customWidth="1"/>
    <col min="16" max="17" width="11.625" style="136" customWidth="1"/>
    <col min="18" max="18" width="17.125" style="136" customWidth="1"/>
    <col min="19" max="19" width="11.75" style="136" customWidth="1"/>
    <col min="20" max="23" width="11.625" style="136" customWidth="1"/>
    <col min="24" max="24" width="13.375" style="136" bestFit="1" customWidth="1"/>
    <col min="25" max="25" width="26.875" style="136" customWidth="1"/>
    <col min="26" max="26" width="12.25" style="136" customWidth="1"/>
    <col min="27" max="27" width="11.625" style="136" customWidth="1"/>
    <col min="28" max="28" width="11.875" style="4" customWidth="1"/>
    <col min="29" max="29" width="23.625" style="136" bestFit="1" customWidth="1"/>
    <col min="30" max="30" width="28.125" style="136" customWidth="1"/>
    <col min="31" max="31" width="18.125" style="136" customWidth="1"/>
    <col min="32" max="32" width="24.875" style="136" customWidth="1"/>
    <col min="33" max="33" width="11.625" style="136" customWidth="1"/>
    <col min="34" max="34" width="14.25" style="136" customWidth="1"/>
    <col min="35" max="35" width="11.625" style="136" customWidth="1"/>
    <col min="36" max="36" width="15.375" style="136" customWidth="1"/>
    <col min="37" max="38" width="14" style="136" customWidth="1"/>
    <col min="39" max="39" width="18.625" style="136" customWidth="1"/>
    <col min="40" max="40" width="16.375" style="136" customWidth="1"/>
    <col min="41" max="41" width="30" style="136" customWidth="1"/>
    <col min="42" max="42" width="31.375" style="136" customWidth="1"/>
    <col min="43" max="43" width="13.375" style="136" bestFit="1" customWidth="1"/>
    <col min="44" max="45" width="11.625" style="136" customWidth="1"/>
    <col min="46" max="46" width="17.875" style="136" customWidth="1"/>
    <col min="47" max="47" width="21.125" style="136" customWidth="1"/>
    <col min="48" max="48" width="21.375" style="136" customWidth="1"/>
    <col min="49" max="49" width="24.625" style="136" customWidth="1"/>
    <col min="50" max="50" width="17.5" style="4" customWidth="1"/>
    <col min="51" max="51" width="22" style="136" customWidth="1"/>
    <col min="52" max="52" width="21.75" style="136" customWidth="1"/>
    <col min="53" max="53" width="20.125" style="136" customWidth="1"/>
    <col min="54" max="16384" width="9" style="136"/>
  </cols>
  <sheetData>
    <row r="1" spans="1:53" ht="66.75" customHeight="1" x14ac:dyDescent="0.2">
      <c r="A1" s="168" t="s">
        <v>49</v>
      </c>
      <c r="B1" s="168" t="s">
        <v>50</v>
      </c>
      <c r="C1" s="168" t="s">
        <v>150</v>
      </c>
      <c r="D1" s="168" t="s">
        <v>151</v>
      </c>
      <c r="E1" s="168" t="s">
        <v>152</v>
      </c>
      <c r="F1" s="168" t="s">
        <v>153</v>
      </c>
      <c r="G1" s="168" t="s">
        <v>54</v>
      </c>
      <c r="H1" s="168" t="s">
        <v>154</v>
      </c>
      <c r="I1" s="168" t="s">
        <v>55</v>
      </c>
      <c r="J1" s="168" t="s">
        <v>69</v>
      </c>
      <c r="K1" s="168" t="s">
        <v>83</v>
      </c>
      <c r="L1" s="168" t="s">
        <v>56</v>
      </c>
      <c r="M1" s="168" t="s">
        <v>155</v>
      </c>
      <c r="N1" s="168" t="s">
        <v>156</v>
      </c>
      <c r="O1" s="168" t="s">
        <v>157</v>
      </c>
      <c r="P1" s="168" t="s">
        <v>71</v>
      </c>
      <c r="Q1" s="168" t="s">
        <v>58</v>
      </c>
      <c r="R1" s="168" t="s">
        <v>158</v>
      </c>
      <c r="S1" s="168" t="s">
        <v>59</v>
      </c>
      <c r="T1" s="168" t="s">
        <v>72</v>
      </c>
      <c r="U1" s="168" t="s">
        <v>159</v>
      </c>
      <c r="V1" s="168" t="s">
        <v>62</v>
      </c>
      <c r="W1" s="168" t="s">
        <v>98</v>
      </c>
      <c r="X1" s="168" t="s">
        <v>85</v>
      </c>
      <c r="Y1" s="168" t="s">
        <v>160</v>
      </c>
      <c r="Z1" s="168" t="s">
        <v>74</v>
      </c>
      <c r="AA1" s="168" t="s">
        <v>73</v>
      </c>
      <c r="AB1" s="168" t="s">
        <v>86</v>
      </c>
      <c r="AC1" s="168" t="s">
        <v>161</v>
      </c>
      <c r="AD1" s="168" t="s">
        <v>162</v>
      </c>
      <c r="AE1" s="168" t="s">
        <v>163</v>
      </c>
      <c r="AF1" s="168" t="s">
        <v>164</v>
      </c>
      <c r="AG1" s="168" t="s">
        <v>165</v>
      </c>
      <c r="AH1" s="168" t="s">
        <v>166</v>
      </c>
      <c r="AI1" s="168" t="s">
        <v>167</v>
      </c>
      <c r="AJ1" s="168" t="s">
        <v>168</v>
      </c>
      <c r="AK1" s="168" t="s">
        <v>103</v>
      </c>
      <c r="AL1" s="168" t="s">
        <v>105</v>
      </c>
      <c r="AM1" s="168" t="s">
        <v>104</v>
      </c>
      <c r="AN1" s="168" t="s">
        <v>106</v>
      </c>
      <c r="AO1" s="168" t="s">
        <v>107</v>
      </c>
      <c r="AP1" s="168" t="s">
        <v>169</v>
      </c>
      <c r="AQ1" s="168" t="s">
        <v>170</v>
      </c>
      <c r="AR1" s="168" t="s">
        <v>171</v>
      </c>
      <c r="AS1" s="168" t="s">
        <v>61</v>
      </c>
      <c r="AT1" s="168" t="s">
        <v>63</v>
      </c>
      <c r="AU1" s="168" t="s">
        <v>172</v>
      </c>
      <c r="AV1" s="168" t="s">
        <v>78</v>
      </c>
      <c r="AW1" s="168" t="s">
        <v>88</v>
      </c>
      <c r="AX1" s="168" t="s">
        <v>87</v>
      </c>
      <c r="AY1" s="168" t="s">
        <v>17</v>
      </c>
      <c r="AZ1" s="168" t="s">
        <v>64</v>
      </c>
      <c r="BA1" s="168" t="s">
        <v>65</v>
      </c>
    </row>
    <row r="2" spans="1:53" x14ac:dyDescent="0.2">
      <c r="A2" t="s">
        <v>1204</v>
      </c>
      <c r="B2" t="s">
        <v>1204</v>
      </c>
      <c r="C2" t="s">
        <v>2290</v>
      </c>
      <c r="D2" t="s">
        <v>310</v>
      </c>
      <c r="E2" t="s">
        <v>2291</v>
      </c>
      <c r="F2" t="s">
        <v>2292</v>
      </c>
      <c r="G2" t="s">
        <v>314</v>
      </c>
      <c r="H2" t="s">
        <v>798</v>
      </c>
      <c r="I2" t="s">
        <v>204</v>
      </c>
      <c r="J2" t="s">
        <v>204</v>
      </c>
      <c r="K2" t="s">
        <v>485</v>
      </c>
      <c r="L2" t="s">
        <v>339</v>
      </c>
      <c r="M2" t="s">
        <v>338</v>
      </c>
      <c r="N2" t="s">
        <v>2292</v>
      </c>
      <c r="O2" t="s">
        <v>2293</v>
      </c>
      <c r="P2" t="s">
        <v>1363</v>
      </c>
      <c r="Q2" t="s">
        <v>415</v>
      </c>
      <c r="R2" t="s">
        <v>407</v>
      </c>
      <c r="S2" t="s">
        <v>1208</v>
      </c>
      <c r="T2" s="125">
        <v>8.2000000000000003E-2</v>
      </c>
      <c r="U2" t="s">
        <v>823</v>
      </c>
      <c r="V2" s="126">
        <v>4.7039999999999998E-2</v>
      </c>
      <c r="W2" t="s">
        <v>754</v>
      </c>
      <c r="X2" t="s">
        <v>899</v>
      </c>
      <c r="Y2" s="131"/>
      <c r="Z2" s="126">
        <v>3.7330000000000002E-2</v>
      </c>
      <c r="AA2" t="s">
        <v>2294</v>
      </c>
      <c r="AB2" t="s">
        <v>412</v>
      </c>
      <c r="AC2" t="s">
        <v>763</v>
      </c>
      <c r="AD2" s="131"/>
      <c r="AE2" s="131"/>
      <c r="AF2" s="131"/>
      <c r="AG2" t="s">
        <v>339</v>
      </c>
      <c r="AH2" t="s">
        <v>780</v>
      </c>
      <c r="AI2" t="s">
        <v>485</v>
      </c>
      <c r="AJ2" t="s">
        <v>339</v>
      </c>
      <c r="AK2" t="s">
        <v>886</v>
      </c>
      <c r="AL2" t="s">
        <v>2295</v>
      </c>
      <c r="AM2" t="s">
        <v>889</v>
      </c>
      <c r="AN2" t="s">
        <v>2154</v>
      </c>
      <c r="AO2" t="s">
        <v>2154</v>
      </c>
      <c r="AQ2" s="125">
        <v>1796220.34</v>
      </c>
      <c r="AR2" s="125">
        <v>141.53</v>
      </c>
      <c r="AS2" s="125">
        <v>1</v>
      </c>
      <c r="AT2" s="125">
        <v>2542.1909999999998</v>
      </c>
      <c r="AU2" s="125">
        <v>2542190.6469999999</v>
      </c>
      <c r="AV2" s="131"/>
      <c r="AW2" s="131"/>
      <c r="AX2" t="s">
        <v>339</v>
      </c>
      <c r="AY2" s="131"/>
      <c r="AZ2" s="126">
        <v>6.2199999999999998E-3</v>
      </c>
      <c r="BA2" s="126">
        <v>2.2000000000000001E-4</v>
      </c>
    </row>
    <row r="3" spans="1:53" x14ac:dyDescent="0.2">
      <c r="A3" t="s">
        <v>1204</v>
      </c>
      <c r="B3" t="s">
        <v>1204</v>
      </c>
      <c r="C3" t="s">
        <v>2296</v>
      </c>
      <c r="D3" t="s">
        <v>310</v>
      </c>
      <c r="E3" t="s">
        <v>2297</v>
      </c>
      <c r="F3" t="s">
        <v>2298</v>
      </c>
      <c r="G3" t="s">
        <v>314</v>
      </c>
      <c r="H3" t="s">
        <v>798</v>
      </c>
      <c r="I3" t="s">
        <v>204</v>
      </c>
      <c r="J3" t="s">
        <v>204</v>
      </c>
      <c r="K3" t="s">
        <v>485</v>
      </c>
      <c r="L3" t="s">
        <v>339</v>
      </c>
      <c r="M3" t="s">
        <v>338</v>
      </c>
      <c r="N3" t="s">
        <v>2298</v>
      </c>
      <c r="O3" t="s">
        <v>2299</v>
      </c>
      <c r="P3" t="s">
        <v>1241</v>
      </c>
      <c r="Q3" t="s">
        <v>415</v>
      </c>
      <c r="R3" t="s">
        <v>407</v>
      </c>
      <c r="S3" t="s">
        <v>1208</v>
      </c>
      <c r="T3" s="125">
        <v>0.27</v>
      </c>
      <c r="U3" t="s">
        <v>823</v>
      </c>
      <c r="V3" s="126">
        <v>3.8449999999999998E-2</v>
      </c>
      <c r="W3" t="s">
        <v>753</v>
      </c>
      <c r="X3" t="s">
        <v>899</v>
      </c>
      <c r="Y3" s="131"/>
      <c r="Z3" s="126">
        <v>2.112E-2</v>
      </c>
      <c r="AA3" t="s">
        <v>2294</v>
      </c>
      <c r="AB3" t="s">
        <v>412</v>
      </c>
      <c r="AC3" t="s">
        <v>763</v>
      </c>
      <c r="AD3" s="131"/>
      <c r="AE3" s="131"/>
      <c r="AF3" s="131"/>
      <c r="AG3" t="s">
        <v>339</v>
      </c>
      <c r="AH3" t="s">
        <v>780</v>
      </c>
      <c r="AI3" t="s">
        <v>485</v>
      </c>
      <c r="AJ3" t="s">
        <v>339</v>
      </c>
      <c r="AK3" t="s">
        <v>886</v>
      </c>
      <c r="AL3" t="s">
        <v>2295</v>
      </c>
      <c r="AM3" t="s">
        <v>889</v>
      </c>
      <c r="AN3" t="s">
        <v>2154</v>
      </c>
      <c r="AO3" t="s">
        <v>2154</v>
      </c>
      <c r="AQ3" s="125">
        <v>9057349.7899999991</v>
      </c>
      <c r="AR3" s="125">
        <v>151.09</v>
      </c>
      <c r="AS3" s="125">
        <v>1</v>
      </c>
      <c r="AT3" s="125">
        <v>13684.75</v>
      </c>
      <c r="AU3" s="125">
        <v>13684749.798</v>
      </c>
      <c r="AV3" s="131"/>
      <c r="AW3" s="131"/>
      <c r="AX3" t="s">
        <v>339</v>
      </c>
      <c r="AY3" s="131"/>
      <c r="AZ3" s="126">
        <v>3.3459999999999997E-2</v>
      </c>
      <c r="BA3" s="126">
        <v>1.16E-3</v>
      </c>
    </row>
    <row r="4" spans="1:53" x14ac:dyDescent="0.2">
      <c r="A4" t="s">
        <v>1204</v>
      </c>
      <c r="B4" t="s">
        <v>1204</v>
      </c>
      <c r="C4" t="s">
        <v>2300</v>
      </c>
      <c r="D4" t="s">
        <v>312</v>
      </c>
      <c r="E4" t="s">
        <v>2301</v>
      </c>
      <c r="F4" t="s">
        <v>2302</v>
      </c>
      <c r="G4" t="s">
        <v>314</v>
      </c>
      <c r="H4" t="s">
        <v>2303</v>
      </c>
      <c r="I4" t="s">
        <v>204</v>
      </c>
      <c r="J4" t="s">
        <v>204</v>
      </c>
      <c r="K4" t="s">
        <v>478</v>
      </c>
      <c r="L4" t="s">
        <v>339</v>
      </c>
      <c r="M4" t="s">
        <v>339</v>
      </c>
      <c r="N4" s="131"/>
      <c r="O4" t="s">
        <v>2304</v>
      </c>
      <c r="P4" s="131"/>
      <c r="Q4" t="s">
        <v>410</v>
      </c>
      <c r="R4" t="s">
        <v>410</v>
      </c>
      <c r="S4" t="s">
        <v>1208</v>
      </c>
      <c r="T4" s="125">
        <v>6.41</v>
      </c>
      <c r="U4" t="s">
        <v>2305</v>
      </c>
      <c r="V4" s="126">
        <v>3.7699999999999997E-2</v>
      </c>
      <c r="W4" t="s">
        <v>754</v>
      </c>
      <c r="X4" t="s">
        <v>899</v>
      </c>
      <c r="Y4" s="131"/>
      <c r="Z4" s="126">
        <v>2.0799999999999999E-2</v>
      </c>
      <c r="AA4" t="s">
        <v>2306</v>
      </c>
      <c r="AB4" t="s">
        <v>412</v>
      </c>
      <c r="AC4" t="s">
        <v>748</v>
      </c>
      <c r="AD4" s="131"/>
      <c r="AE4" s="131"/>
      <c r="AF4" s="131"/>
      <c r="AG4" t="s">
        <v>339</v>
      </c>
      <c r="AH4" t="s">
        <v>781</v>
      </c>
      <c r="AI4" t="s">
        <v>2307</v>
      </c>
      <c r="AJ4" t="s">
        <v>338</v>
      </c>
      <c r="AK4" t="s">
        <v>886</v>
      </c>
      <c r="AL4" t="s">
        <v>2295</v>
      </c>
      <c r="AM4" t="s">
        <v>889</v>
      </c>
      <c r="AN4" t="s">
        <v>2154</v>
      </c>
      <c r="AO4" t="s">
        <v>2154</v>
      </c>
      <c r="AQ4" s="125">
        <v>17448564.129999999</v>
      </c>
      <c r="AR4" s="125">
        <v>118.65</v>
      </c>
      <c r="AS4" s="125">
        <v>1</v>
      </c>
      <c r="AT4" s="125">
        <v>20702.721000000001</v>
      </c>
      <c r="AU4" s="125">
        <v>20702721.34</v>
      </c>
      <c r="AV4" s="131"/>
      <c r="AW4" s="131"/>
      <c r="AX4" t="s">
        <v>339</v>
      </c>
      <c r="AY4" s="131"/>
      <c r="AZ4" s="126">
        <v>5.0610000000000002E-2</v>
      </c>
      <c r="BA4" s="126">
        <v>1.75E-3</v>
      </c>
    </row>
    <row r="5" spans="1:53" x14ac:dyDescent="0.2">
      <c r="A5" t="s">
        <v>1204</v>
      </c>
      <c r="B5" t="s">
        <v>1204</v>
      </c>
      <c r="C5" t="s">
        <v>2300</v>
      </c>
      <c r="D5" t="s">
        <v>312</v>
      </c>
      <c r="E5" t="s">
        <v>2308</v>
      </c>
      <c r="F5" t="s">
        <v>2309</v>
      </c>
      <c r="G5" t="s">
        <v>314</v>
      </c>
      <c r="H5" t="s">
        <v>2303</v>
      </c>
      <c r="I5" t="s">
        <v>204</v>
      </c>
      <c r="J5" t="s">
        <v>204</v>
      </c>
      <c r="K5" t="s">
        <v>478</v>
      </c>
      <c r="L5" t="s">
        <v>339</v>
      </c>
      <c r="M5" t="s">
        <v>339</v>
      </c>
      <c r="N5" s="131"/>
      <c r="O5" t="s">
        <v>2304</v>
      </c>
      <c r="P5" s="131"/>
      <c r="Q5" t="s">
        <v>410</v>
      </c>
      <c r="R5" t="s">
        <v>410</v>
      </c>
      <c r="S5" t="s">
        <v>1208</v>
      </c>
      <c r="T5" s="125">
        <v>7.63</v>
      </c>
      <c r="U5" t="s">
        <v>823</v>
      </c>
      <c r="V5" s="126">
        <v>3.6499999999999998E-2</v>
      </c>
      <c r="W5" t="s">
        <v>754</v>
      </c>
      <c r="X5" t="s">
        <v>899</v>
      </c>
      <c r="Y5" s="131"/>
      <c r="Z5" s="126">
        <v>2.6100000000000002E-2</v>
      </c>
      <c r="AA5" t="s">
        <v>2306</v>
      </c>
      <c r="AB5" t="s">
        <v>412</v>
      </c>
      <c r="AC5" t="s">
        <v>748</v>
      </c>
      <c r="AD5" s="131"/>
      <c r="AE5" s="131"/>
      <c r="AF5" s="131"/>
      <c r="AG5" t="s">
        <v>339</v>
      </c>
      <c r="AH5" t="s">
        <v>781</v>
      </c>
      <c r="AI5" t="s">
        <v>2307</v>
      </c>
      <c r="AJ5" t="s">
        <v>338</v>
      </c>
      <c r="AK5" t="s">
        <v>886</v>
      </c>
      <c r="AL5" t="s">
        <v>2295</v>
      </c>
      <c r="AM5" t="s">
        <v>889</v>
      </c>
      <c r="AN5" t="s">
        <v>2154</v>
      </c>
      <c r="AO5" t="s">
        <v>2154</v>
      </c>
      <c r="AQ5" s="125">
        <v>27470960</v>
      </c>
      <c r="AR5" s="125">
        <v>123.65</v>
      </c>
      <c r="AS5" s="125">
        <v>1</v>
      </c>
      <c r="AT5" s="125">
        <v>33967.841999999997</v>
      </c>
      <c r="AU5" s="125">
        <v>33967842.039999999</v>
      </c>
      <c r="AV5" s="131"/>
      <c r="AW5" s="131"/>
      <c r="AX5" t="s">
        <v>339</v>
      </c>
      <c r="AY5" s="131"/>
      <c r="AZ5" s="126">
        <v>8.3049999999999999E-2</v>
      </c>
      <c r="BA5" s="126">
        <v>2.8800000000000002E-3</v>
      </c>
    </row>
    <row r="6" spans="1:53" x14ac:dyDescent="0.2">
      <c r="A6" t="s">
        <v>1204</v>
      </c>
      <c r="B6" t="s">
        <v>1204</v>
      </c>
      <c r="C6" t="s">
        <v>2300</v>
      </c>
      <c r="D6" t="s">
        <v>312</v>
      </c>
      <c r="E6" t="s">
        <v>2310</v>
      </c>
      <c r="F6" t="s">
        <v>2311</v>
      </c>
      <c r="G6" t="s">
        <v>314</v>
      </c>
      <c r="H6" t="s">
        <v>2303</v>
      </c>
      <c r="I6" t="s">
        <v>204</v>
      </c>
      <c r="J6" t="s">
        <v>204</v>
      </c>
      <c r="K6" t="s">
        <v>478</v>
      </c>
      <c r="L6" t="s">
        <v>339</v>
      </c>
      <c r="M6" t="s">
        <v>339</v>
      </c>
      <c r="N6" s="131"/>
      <c r="O6" t="s">
        <v>2304</v>
      </c>
      <c r="P6" s="131"/>
      <c r="Q6" t="s">
        <v>410</v>
      </c>
      <c r="R6" t="s">
        <v>410</v>
      </c>
      <c r="S6" t="s">
        <v>1208</v>
      </c>
      <c r="T6" s="125">
        <v>4.9000000000000004</v>
      </c>
      <c r="U6" t="s">
        <v>2305</v>
      </c>
      <c r="V6" s="126">
        <v>3.5400000000000001E-2</v>
      </c>
      <c r="W6" t="s">
        <v>753</v>
      </c>
      <c r="X6" t="s">
        <v>899</v>
      </c>
      <c r="Y6" s="131"/>
      <c r="Z6" s="126">
        <v>4.7600000000000003E-2</v>
      </c>
      <c r="AA6" t="s">
        <v>2306</v>
      </c>
      <c r="AB6" t="s">
        <v>412</v>
      </c>
      <c r="AC6" t="s">
        <v>748</v>
      </c>
      <c r="AD6" s="131"/>
      <c r="AE6" s="131"/>
      <c r="AF6" s="131"/>
      <c r="AG6" t="s">
        <v>339</v>
      </c>
      <c r="AH6" t="s">
        <v>781</v>
      </c>
      <c r="AI6" t="s">
        <v>2307</v>
      </c>
      <c r="AJ6" t="s">
        <v>338</v>
      </c>
      <c r="AK6" t="s">
        <v>886</v>
      </c>
      <c r="AL6" t="s">
        <v>2295</v>
      </c>
      <c r="AM6" t="s">
        <v>889</v>
      </c>
      <c r="AN6" t="s">
        <v>2154</v>
      </c>
      <c r="AO6" t="s">
        <v>2154</v>
      </c>
      <c r="AQ6" s="125">
        <v>58665127.840000004</v>
      </c>
      <c r="AR6" s="125">
        <v>95.04</v>
      </c>
      <c r="AS6" s="125">
        <v>1</v>
      </c>
      <c r="AT6" s="125">
        <v>55755.337</v>
      </c>
      <c r="AU6" s="125">
        <v>55755337.498999998</v>
      </c>
      <c r="AV6" s="131"/>
      <c r="AW6" s="131"/>
      <c r="AX6" t="s">
        <v>339</v>
      </c>
      <c r="AY6" s="131"/>
      <c r="AZ6" s="126">
        <v>0.13630999999999999</v>
      </c>
      <c r="BA6" s="126">
        <v>4.7200000000000002E-3</v>
      </c>
    </row>
    <row r="7" spans="1:53" x14ac:dyDescent="0.2">
      <c r="A7" t="s">
        <v>1204</v>
      </c>
      <c r="B7" t="s">
        <v>1204</v>
      </c>
      <c r="C7" t="s">
        <v>2300</v>
      </c>
      <c r="D7" t="s">
        <v>312</v>
      </c>
      <c r="E7" t="s">
        <v>2312</v>
      </c>
      <c r="F7" t="s">
        <v>2313</v>
      </c>
      <c r="G7" t="s">
        <v>314</v>
      </c>
      <c r="H7" t="s">
        <v>2303</v>
      </c>
      <c r="I7" t="s">
        <v>204</v>
      </c>
      <c r="J7" t="s">
        <v>204</v>
      </c>
      <c r="K7" t="s">
        <v>478</v>
      </c>
      <c r="L7" t="s">
        <v>339</v>
      </c>
      <c r="M7" t="s">
        <v>339</v>
      </c>
      <c r="N7" s="131"/>
      <c r="O7" t="s">
        <v>2304</v>
      </c>
      <c r="P7" s="131"/>
      <c r="Q7" t="s">
        <v>410</v>
      </c>
      <c r="R7" t="s">
        <v>410</v>
      </c>
      <c r="S7" t="s">
        <v>1208</v>
      </c>
      <c r="T7" s="125">
        <v>7.1</v>
      </c>
      <c r="U7" t="s">
        <v>823</v>
      </c>
      <c r="V7" s="126">
        <v>5.21E-2</v>
      </c>
      <c r="W7" t="s">
        <v>753</v>
      </c>
      <c r="X7" t="s">
        <v>900</v>
      </c>
      <c r="Y7"/>
      <c r="Z7" s="126">
        <v>6.1699999999999998E-2</v>
      </c>
      <c r="AA7" t="s">
        <v>2306</v>
      </c>
      <c r="AB7" t="s">
        <v>412</v>
      </c>
      <c r="AC7" t="s">
        <v>748</v>
      </c>
      <c r="AD7" s="125"/>
      <c r="AE7" s="126"/>
      <c r="AF7"/>
      <c r="AG7" t="s">
        <v>339</v>
      </c>
      <c r="AH7" t="s">
        <v>781</v>
      </c>
      <c r="AI7" t="s">
        <v>2307</v>
      </c>
      <c r="AJ7" t="s">
        <v>338</v>
      </c>
      <c r="AK7" t="s">
        <v>886</v>
      </c>
      <c r="AL7" t="s">
        <v>2295</v>
      </c>
      <c r="AM7" t="s">
        <v>889</v>
      </c>
      <c r="AN7" t="s">
        <v>2154</v>
      </c>
      <c r="AO7" t="s">
        <v>2154</v>
      </c>
      <c r="AQ7" s="125">
        <v>66084003.509999998</v>
      </c>
      <c r="AR7" s="125">
        <v>99.48</v>
      </c>
      <c r="AS7" s="125">
        <v>1</v>
      </c>
      <c r="AT7" s="125">
        <v>65740.366999999998</v>
      </c>
      <c r="AU7" s="125">
        <v>65740366.692000002</v>
      </c>
      <c r="AV7" s="131"/>
      <c r="AW7" s="131"/>
      <c r="AX7" t="s">
        <v>339</v>
      </c>
      <c r="AY7" s="131"/>
      <c r="AZ7" s="126">
        <v>0.16072</v>
      </c>
      <c r="BA7" s="126">
        <v>5.5700000000000003E-3</v>
      </c>
    </row>
    <row r="8" spans="1:53" x14ac:dyDescent="0.2">
      <c r="A8" t="s">
        <v>1204</v>
      </c>
      <c r="B8" t="s">
        <v>1204</v>
      </c>
      <c r="C8" t="s">
        <v>2300</v>
      </c>
      <c r="D8" t="s">
        <v>312</v>
      </c>
      <c r="E8" t="s">
        <v>2314</v>
      </c>
      <c r="F8" t="s">
        <v>2315</v>
      </c>
      <c r="G8" t="s">
        <v>314</v>
      </c>
      <c r="H8" t="s">
        <v>2303</v>
      </c>
      <c r="I8" t="s">
        <v>204</v>
      </c>
      <c r="J8" t="s">
        <v>204</v>
      </c>
      <c r="K8" t="s">
        <v>478</v>
      </c>
      <c r="L8" t="s">
        <v>339</v>
      </c>
      <c r="M8" t="s">
        <v>339</v>
      </c>
      <c r="N8" s="131"/>
      <c r="O8" t="s">
        <v>2304</v>
      </c>
      <c r="P8" s="131"/>
      <c r="Q8" t="s">
        <v>410</v>
      </c>
      <c r="R8" t="s">
        <v>410</v>
      </c>
      <c r="S8" t="s">
        <v>1208</v>
      </c>
      <c r="T8" s="125">
        <v>6.22</v>
      </c>
      <c r="U8" t="s">
        <v>823</v>
      </c>
      <c r="V8" s="126">
        <v>2.3400000000000001E-2</v>
      </c>
      <c r="W8" t="s">
        <v>753</v>
      </c>
      <c r="X8" t="s">
        <v>899</v>
      </c>
      <c r="Y8" s="131"/>
      <c r="Z8" s="126">
        <v>7.8399999999999997E-2</v>
      </c>
      <c r="AA8" t="s">
        <v>2306</v>
      </c>
      <c r="AB8" t="s">
        <v>412</v>
      </c>
      <c r="AC8" t="s">
        <v>748</v>
      </c>
      <c r="AD8" s="131"/>
      <c r="AE8" s="131"/>
      <c r="AF8" s="131"/>
      <c r="AG8" t="s">
        <v>339</v>
      </c>
      <c r="AH8" t="s">
        <v>781</v>
      </c>
      <c r="AI8" t="s">
        <v>2307</v>
      </c>
      <c r="AJ8" t="s">
        <v>338</v>
      </c>
      <c r="AK8" t="s">
        <v>886</v>
      </c>
      <c r="AL8" t="s">
        <v>2295</v>
      </c>
      <c r="AM8" t="s">
        <v>889</v>
      </c>
      <c r="AN8" t="s">
        <v>2154</v>
      </c>
      <c r="AO8" t="s">
        <v>2154</v>
      </c>
      <c r="AQ8" s="125">
        <v>13700794.84</v>
      </c>
      <c r="AR8" s="125">
        <v>115.79</v>
      </c>
      <c r="AS8" s="125">
        <v>1</v>
      </c>
      <c r="AT8" s="125">
        <v>15864.15</v>
      </c>
      <c r="AU8" s="125">
        <v>15864150.345000001</v>
      </c>
      <c r="AV8" s="131"/>
      <c r="AW8" s="131"/>
      <c r="AX8" t="s">
        <v>339</v>
      </c>
      <c r="AY8" s="131"/>
      <c r="AZ8" s="126">
        <v>3.8789999999999998E-2</v>
      </c>
      <c r="BA8" s="126">
        <v>1.34E-3</v>
      </c>
    </row>
    <row r="9" spans="1:53" x14ac:dyDescent="0.2">
      <c r="A9" t="s">
        <v>1204</v>
      </c>
      <c r="B9" t="s">
        <v>1204</v>
      </c>
      <c r="C9" t="s">
        <v>2316</v>
      </c>
      <c r="D9" t="s">
        <v>312</v>
      </c>
      <c r="E9" t="s">
        <v>2317</v>
      </c>
      <c r="F9" t="s">
        <v>2318</v>
      </c>
      <c r="G9" t="s">
        <v>314</v>
      </c>
      <c r="H9" t="s">
        <v>2303</v>
      </c>
      <c r="I9" t="s">
        <v>204</v>
      </c>
      <c r="J9" t="s">
        <v>204</v>
      </c>
      <c r="K9" t="s">
        <v>478</v>
      </c>
      <c r="L9" t="s">
        <v>339</v>
      </c>
      <c r="M9" t="s">
        <v>339</v>
      </c>
      <c r="N9" s="131"/>
      <c r="O9" t="s">
        <v>2319</v>
      </c>
      <c r="P9" s="131"/>
      <c r="Q9" t="s">
        <v>410</v>
      </c>
      <c r="R9" t="s">
        <v>410</v>
      </c>
      <c r="S9" t="s">
        <v>1208</v>
      </c>
      <c r="T9" s="125">
        <v>8.09</v>
      </c>
      <c r="U9" t="s">
        <v>823</v>
      </c>
      <c r="V9" s="126">
        <v>0.06</v>
      </c>
      <c r="W9" t="s">
        <v>753</v>
      </c>
      <c r="X9" t="s">
        <v>900</v>
      </c>
      <c r="Y9"/>
      <c r="Z9" s="126">
        <v>7.1900000000000006E-2</v>
      </c>
      <c r="AA9" t="s">
        <v>2012</v>
      </c>
      <c r="AB9" t="s">
        <v>412</v>
      </c>
      <c r="AC9" t="s">
        <v>748</v>
      </c>
      <c r="AD9" s="131"/>
      <c r="AE9" s="131"/>
      <c r="AF9" s="131"/>
      <c r="AG9" t="s">
        <v>339</v>
      </c>
      <c r="AH9" t="s">
        <v>781</v>
      </c>
      <c r="AI9" t="s">
        <v>2307</v>
      </c>
      <c r="AJ9" t="s">
        <v>338</v>
      </c>
      <c r="AK9" t="s">
        <v>886</v>
      </c>
      <c r="AL9" t="s">
        <v>2295</v>
      </c>
      <c r="AM9" t="s">
        <v>889</v>
      </c>
      <c r="AN9" t="s">
        <v>2154</v>
      </c>
      <c r="AO9" t="s">
        <v>2154</v>
      </c>
      <c r="AQ9" s="125">
        <v>53142282.189999998</v>
      </c>
      <c r="AR9" s="125">
        <v>107.38</v>
      </c>
      <c r="AS9" s="125">
        <v>1</v>
      </c>
      <c r="AT9" s="125">
        <v>57064.182999999997</v>
      </c>
      <c r="AU9" s="125">
        <v>57064182.615999997</v>
      </c>
      <c r="AV9" s="131"/>
      <c r="AW9" s="131"/>
      <c r="AX9" t="s">
        <v>339</v>
      </c>
      <c r="AY9" s="131"/>
      <c r="AZ9" s="126">
        <v>0.13951</v>
      </c>
      <c r="BA9" s="126">
        <v>4.8399999999999997E-3</v>
      </c>
    </row>
    <row r="10" spans="1:53" x14ac:dyDescent="0.2">
      <c r="A10" t="s">
        <v>1204</v>
      </c>
      <c r="B10" t="s">
        <v>1204</v>
      </c>
      <c r="C10" t="s">
        <v>2316</v>
      </c>
      <c r="D10" t="s">
        <v>312</v>
      </c>
      <c r="E10" t="s">
        <v>2320</v>
      </c>
      <c r="F10" t="s">
        <v>2321</v>
      </c>
      <c r="G10" t="s">
        <v>314</v>
      </c>
      <c r="H10" t="s">
        <v>2303</v>
      </c>
      <c r="I10" t="s">
        <v>204</v>
      </c>
      <c r="J10" t="s">
        <v>204</v>
      </c>
      <c r="K10" t="s">
        <v>478</v>
      </c>
      <c r="L10" t="s">
        <v>339</v>
      </c>
      <c r="M10" t="s">
        <v>339</v>
      </c>
      <c r="N10" s="131"/>
      <c r="O10" t="s">
        <v>2319</v>
      </c>
      <c r="P10" s="131"/>
      <c r="Q10" t="s">
        <v>410</v>
      </c>
      <c r="R10" t="s">
        <v>410</v>
      </c>
      <c r="S10" t="s">
        <v>1208</v>
      </c>
      <c r="T10" s="125">
        <v>7.47</v>
      </c>
      <c r="U10" t="s">
        <v>823</v>
      </c>
      <c r="V10" s="130">
        <v>7.6799999999999993E-2</v>
      </c>
      <c r="W10" t="s">
        <v>753</v>
      </c>
      <c r="X10" t="s">
        <v>899</v>
      </c>
      <c r="Y10" s="131"/>
      <c r="Z10" s="126">
        <v>7.51E-2</v>
      </c>
      <c r="AA10" t="s">
        <v>2083</v>
      </c>
      <c r="AB10" t="s">
        <v>412</v>
      </c>
      <c r="AC10" t="s">
        <v>748</v>
      </c>
      <c r="AD10" s="131"/>
      <c r="AE10" s="131"/>
      <c r="AF10" s="131"/>
      <c r="AG10" t="s">
        <v>339</v>
      </c>
      <c r="AH10" t="s">
        <v>781</v>
      </c>
      <c r="AI10" t="s">
        <v>2307</v>
      </c>
      <c r="AJ10" t="s">
        <v>338</v>
      </c>
      <c r="AK10" t="s">
        <v>886</v>
      </c>
      <c r="AL10" t="s">
        <v>2295</v>
      </c>
      <c r="AM10" t="s">
        <v>889</v>
      </c>
      <c r="AN10" t="s">
        <v>2154</v>
      </c>
      <c r="AO10" t="s">
        <v>2154</v>
      </c>
      <c r="AQ10" s="125">
        <v>6496218.9100000001</v>
      </c>
      <c r="AR10" s="125">
        <v>103.45</v>
      </c>
      <c r="AS10" s="125">
        <v>1</v>
      </c>
      <c r="AT10" s="125">
        <v>6720.3379999999997</v>
      </c>
      <c r="AU10" s="125">
        <v>6720338.4620000003</v>
      </c>
      <c r="AV10" s="131"/>
      <c r="AW10" s="131"/>
      <c r="AX10" t="s">
        <v>339</v>
      </c>
      <c r="AY10" s="131"/>
      <c r="AZ10" s="126">
        <v>1.643E-2</v>
      </c>
      <c r="BA10" s="126">
        <v>5.6999999999999998E-4</v>
      </c>
    </row>
    <row r="11" spans="1:53" x14ac:dyDescent="0.2">
      <c r="A11" t="s">
        <v>1204</v>
      </c>
      <c r="B11" t="s">
        <v>1204</v>
      </c>
      <c r="C11" t="s">
        <v>2316</v>
      </c>
      <c r="D11" t="s">
        <v>312</v>
      </c>
      <c r="E11" t="s">
        <v>2322</v>
      </c>
      <c r="F11" t="s">
        <v>2323</v>
      </c>
      <c r="G11" t="s">
        <v>314</v>
      </c>
      <c r="H11" t="s">
        <v>2303</v>
      </c>
      <c r="I11" t="s">
        <v>204</v>
      </c>
      <c r="J11" t="s">
        <v>204</v>
      </c>
      <c r="K11" t="s">
        <v>478</v>
      </c>
      <c r="L11" t="s">
        <v>339</v>
      </c>
      <c r="M11" t="s">
        <v>339</v>
      </c>
      <c r="N11" s="131"/>
      <c r="O11" t="s">
        <v>2319</v>
      </c>
      <c r="P11" s="131"/>
      <c r="Q11" t="s">
        <v>410</v>
      </c>
      <c r="R11" t="s">
        <v>410</v>
      </c>
      <c r="S11" t="s">
        <v>1208</v>
      </c>
      <c r="T11" s="125">
        <v>8.19</v>
      </c>
      <c r="U11" t="s">
        <v>823</v>
      </c>
      <c r="V11" s="130">
        <v>3.5299999999999998E-2</v>
      </c>
      <c r="W11" t="s">
        <v>753</v>
      </c>
      <c r="X11" t="s">
        <v>899</v>
      </c>
      <c r="Y11" s="131"/>
      <c r="Z11" s="126">
        <v>5.67E-2</v>
      </c>
      <c r="AA11" t="s">
        <v>2012</v>
      </c>
      <c r="AB11" t="s">
        <v>412</v>
      </c>
      <c r="AC11" t="s">
        <v>748</v>
      </c>
      <c r="AD11" s="131"/>
      <c r="AE11" s="131"/>
      <c r="AF11" s="131"/>
      <c r="AG11" t="s">
        <v>339</v>
      </c>
      <c r="AH11" t="s">
        <v>781</v>
      </c>
      <c r="AI11" t="s">
        <v>2307</v>
      </c>
      <c r="AJ11" t="s">
        <v>338</v>
      </c>
      <c r="AK11" t="s">
        <v>886</v>
      </c>
      <c r="AL11" t="s">
        <v>2295</v>
      </c>
      <c r="AM11" t="s">
        <v>889</v>
      </c>
      <c r="AN11" t="s">
        <v>2154</v>
      </c>
      <c r="AO11" t="s">
        <v>2154</v>
      </c>
      <c r="AQ11" s="125">
        <v>30639733.329999998</v>
      </c>
      <c r="AR11" s="125">
        <v>121.77</v>
      </c>
      <c r="AS11" s="125">
        <v>1</v>
      </c>
      <c r="AT11" s="125">
        <v>37310.002999999997</v>
      </c>
      <c r="AU11" s="125">
        <v>37310003.276000001</v>
      </c>
      <c r="AV11" s="131"/>
      <c r="AW11" s="131"/>
      <c r="AX11" t="s">
        <v>339</v>
      </c>
      <c r="AY11" s="131"/>
      <c r="AZ11" s="126">
        <v>9.1219999999999996E-2</v>
      </c>
      <c r="BA11" s="126">
        <v>3.16E-3</v>
      </c>
    </row>
    <row r="12" spans="1:53" x14ac:dyDescent="0.2">
      <c r="A12" t="s">
        <v>1204</v>
      </c>
      <c r="B12" t="s">
        <v>1204</v>
      </c>
      <c r="C12" t="s">
        <v>2316</v>
      </c>
      <c r="D12" t="s">
        <v>312</v>
      </c>
      <c r="E12" t="s">
        <v>2324</v>
      </c>
      <c r="F12" t="s">
        <v>2325</v>
      </c>
      <c r="G12" t="s">
        <v>314</v>
      </c>
      <c r="H12" t="s">
        <v>2303</v>
      </c>
      <c r="I12" t="s">
        <v>204</v>
      </c>
      <c r="J12" t="s">
        <v>204</v>
      </c>
      <c r="K12" t="s">
        <v>478</v>
      </c>
      <c r="L12" t="s">
        <v>339</v>
      </c>
      <c r="M12" t="s">
        <v>339</v>
      </c>
      <c r="N12" s="131"/>
      <c r="O12" t="s">
        <v>2319</v>
      </c>
      <c r="P12" s="131"/>
      <c r="Q12" t="s">
        <v>410</v>
      </c>
      <c r="R12" t="s">
        <v>410</v>
      </c>
      <c r="S12" t="s">
        <v>1208</v>
      </c>
      <c r="T12" s="125">
        <v>7.32</v>
      </c>
      <c r="U12" t="s">
        <v>2305</v>
      </c>
      <c r="V12" s="130">
        <v>5.3900000000000003E-2</v>
      </c>
      <c r="W12" t="s">
        <v>753</v>
      </c>
      <c r="X12" t="s">
        <v>899</v>
      </c>
      <c r="Y12" s="131"/>
      <c r="Z12" s="126">
        <v>6.93E-2</v>
      </c>
      <c r="AA12" t="s">
        <v>2306</v>
      </c>
      <c r="AB12" t="s">
        <v>412</v>
      </c>
      <c r="AC12" t="s">
        <v>748</v>
      </c>
      <c r="AD12" s="131"/>
      <c r="AE12" s="131"/>
      <c r="AF12" s="131"/>
      <c r="AG12" t="s">
        <v>339</v>
      </c>
      <c r="AH12" t="s">
        <v>781</v>
      </c>
      <c r="AI12" t="s">
        <v>2307</v>
      </c>
      <c r="AJ12" t="s">
        <v>338</v>
      </c>
      <c r="AK12" t="s">
        <v>886</v>
      </c>
      <c r="AL12" t="s">
        <v>2295</v>
      </c>
      <c r="AM12" t="s">
        <v>889</v>
      </c>
      <c r="AN12" t="s">
        <v>2154</v>
      </c>
      <c r="AO12" t="s">
        <v>2154</v>
      </c>
      <c r="AQ12" s="125">
        <v>52234978.810000002</v>
      </c>
      <c r="AR12" s="125">
        <v>81.819999999999993</v>
      </c>
      <c r="AS12" s="125">
        <v>1</v>
      </c>
      <c r="AT12" s="125">
        <v>42738.66</v>
      </c>
      <c r="AU12" s="125">
        <v>42738659.662</v>
      </c>
      <c r="AV12" s="131"/>
      <c r="AW12" s="131"/>
      <c r="AX12" t="s">
        <v>339</v>
      </c>
      <c r="AY12" s="131"/>
      <c r="AZ12" s="126">
        <v>0.10449</v>
      </c>
      <c r="BA12" s="126">
        <v>3.62E-3</v>
      </c>
    </row>
    <row r="13" spans="1:53" x14ac:dyDescent="0.2">
      <c r="A13" t="s">
        <v>1204</v>
      </c>
      <c r="B13" t="s">
        <v>1204</v>
      </c>
      <c r="C13" t="s">
        <v>2316</v>
      </c>
      <c r="D13" t="s">
        <v>312</v>
      </c>
      <c r="E13" t="s">
        <v>2326</v>
      </c>
      <c r="F13" t="s">
        <v>2327</v>
      </c>
      <c r="G13" t="s">
        <v>314</v>
      </c>
      <c r="H13" t="s">
        <v>2303</v>
      </c>
      <c r="I13" t="s">
        <v>204</v>
      </c>
      <c r="J13" t="s">
        <v>204</v>
      </c>
      <c r="K13" t="s">
        <v>478</v>
      </c>
      <c r="L13" t="s">
        <v>339</v>
      </c>
      <c r="M13" t="s">
        <v>339</v>
      </c>
      <c r="N13" s="131"/>
      <c r="O13" t="s">
        <v>2319</v>
      </c>
      <c r="P13" s="131"/>
      <c r="Q13" t="s">
        <v>410</v>
      </c>
      <c r="R13" t="s">
        <v>410</v>
      </c>
      <c r="S13" t="s">
        <v>1208</v>
      </c>
      <c r="T13" s="125">
        <v>9.68</v>
      </c>
      <c r="U13" t="s">
        <v>823</v>
      </c>
      <c r="V13" s="130">
        <v>2.9399999999999999E-2</v>
      </c>
      <c r="W13" t="s">
        <v>754</v>
      </c>
      <c r="X13" t="s">
        <v>899</v>
      </c>
      <c r="Y13" s="131"/>
      <c r="Z13" s="126">
        <v>2.63E-2</v>
      </c>
      <c r="AA13" t="s">
        <v>2328</v>
      </c>
      <c r="AB13" t="s">
        <v>412</v>
      </c>
      <c r="AC13" t="s">
        <v>748</v>
      </c>
      <c r="AD13" s="131"/>
      <c r="AE13" s="131"/>
      <c r="AF13" s="131"/>
      <c r="AG13" t="s">
        <v>339</v>
      </c>
      <c r="AH13" t="s">
        <v>781</v>
      </c>
      <c r="AI13" t="s">
        <v>2307</v>
      </c>
      <c r="AJ13" t="s">
        <v>338</v>
      </c>
      <c r="AK13" t="s">
        <v>886</v>
      </c>
      <c r="AL13" t="s">
        <v>2295</v>
      </c>
      <c r="AM13" t="s">
        <v>889</v>
      </c>
      <c r="AN13" t="s">
        <v>2154</v>
      </c>
      <c r="AO13" t="s">
        <v>2154</v>
      </c>
      <c r="AQ13" s="125">
        <v>20237156.010000002</v>
      </c>
      <c r="AR13" s="125">
        <v>151.72</v>
      </c>
      <c r="AS13" s="125">
        <v>1</v>
      </c>
      <c r="AT13" s="125">
        <v>30703.812999999998</v>
      </c>
      <c r="AU13" s="125">
        <v>30703813.098000001</v>
      </c>
      <c r="AV13" s="131"/>
      <c r="AW13" s="131"/>
      <c r="AX13" t="s">
        <v>339</v>
      </c>
      <c r="AY13" s="131"/>
      <c r="AZ13" s="126">
        <v>7.5069999999999998E-2</v>
      </c>
      <c r="BA13" s="126">
        <v>2.5999999999999999E-3</v>
      </c>
    </row>
    <row r="14" spans="1:53" x14ac:dyDescent="0.2">
      <c r="A14" t="s">
        <v>1204</v>
      </c>
      <c r="B14" t="s">
        <v>1204</v>
      </c>
      <c r="C14" t="s">
        <v>2316</v>
      </c>
      <c r="D14" t="s">
        <v>312</v>
      </c>
      <c r="E14" t="s">
        <v>2329</v>
      </c>
      <c r="F14" t="s">
        <v>2330</v>
      </c>
      <c r="G14" t="s">
        <v>314</v>
      </c>
      <c r="H14" t="s">
        <v>2303</v>
      </c>
      <c r="I14" t="s">
        <v>204</v>
      </c>
      <c r="J14" t="s">
        <v>204</v>
      </c>
      <c r="K14" t="s">
        <v>478</v>
      </c>
      <c r="L14" t="s">
        <v>339</v>
      </c>
      <c r="M14" t="s">
        <v>339</v>
      </c>
      <c r="N14" s="131"/>
      <c r="O14" t="s">
        <v>2319</v>
      </c>
      <c r="P14" s="131"/>
      <c r="Q14" t="s">
        <v>410</v>
      </c>
      <c r="R14" t="s">
        <v>410</v>
      </c>
      <c r="S14" t="s">
        <v>1208</v>
      </c>
      <c r="T14" s="125">
        <v>9.02</v>
      </c>
      <c r="U14" t="s">
        <v>2305</v>
      </c>
      <c r="V14" s="126">
        <v>2.4899999999999999E-2</v>
      </c>
      <c r="W14" t="s">
        <v>754</v>
      </c>
      <c r="X14" t="s">
        <v>899</v>
      </c>
      <c r="Y14" s="131"/>
      <c r="Z14" s="126">
        <v>2.8899999999999999E-2</v>
      </c>
      <c r="AA14" t="s">
        <v>2331</v>
      </c>
      <c r="AB14" t="s">
        <v>412</v>
      </c>
      <c r="AC14" t="s">
        <v>748</v>
      </c>
      <c r="AD14" s="131"/>
      <c r="AE14" s="131"/>
      <c r="AF14" s="131"/>
      <c r="AG14" t="s">
        <v>339</v>
      </c>
      <c r="AH14" t="s">
        <v>781</v>
      </c>
      <c r="AI14" t="s">
        <v>2307</v>
      </c>
      <c r="AJ14" t="s">
        <v>338</v>
      </c>
      <c r="AK14" t="s">
        <v>886</v>
      </c>
      <c r="AL14" t="s">
        <v>2295</v>
      </c>
      <c r="AM14" t="s">
        <v>889</v>
      </c>
      <c r="AN14" t="s">
        <v>2154</v>
      </c>
      <c r="AO14" t="s">
        <v>2154</v>
      </c>
      <c r="AQ14" s="125">
        <v>23524666.530000001</v>
      </c>
      <c r="AR14" s="125">
        <v>119.4</v>
      </c>
      <c r="AS14" s="125">
        <v>1</v>
      </c>
      <c r="AT14" s="125">
        <v>28088.452000000001</v>
      </c>
      <c r="AU14" s="125">
        <v>28088451.837000001</v>
      </c>
      <c r="AV14" s="131"/>
      <c r="AW14" s="131"/>
      <c r="AX14" t="s">
        <v>339</v>
      </c>
      <c r="AY14" s="131"/>
      <c r="AZ14" s="126">
        <v>6.8669999999999995E-2</v>
      </c>
      <c r="BA14" s="126">
        <v>2.3800000000000002E-3</v>
      </c>
    </row>
    <row r="15" spans="1:53" x14ac:dyDescent="0.2">
      <c r="A15" t="s">
        <v>1204</v>
      </c>
      <c r="B15" t="s">
        <v>1204</v>
      </c>
      <c r="C15" t="s">
        <v>2300</v>
      </c>
      <c r="D15" t="s">
        <v>312</v>
      </c>
      <c r="E15" t="s">
        <v>2332</v>
      </c>
      <c r="F15" t="s">
        <v>2333</v>
      </c>
      <c r="G15" t="s">
        <v>314</v>
      </c>
      <c r="H15" t="s">
        <v>2303</v>
      </c>
      <c r="I15" t="s">
        <v>204</v>
      </c>
      <c r="J15" t="s">
        <v>204</v>
      </c>
      <c r="K15" t="s">
        <v>478</v>
      </c>
      <c r="L15" t="s">
        <v>339</v>
      </c>
      <c r="M15" t="s">
        <v>339</v>
      </c>
      <c r="N15" s="131"/>
      <c r="O15" s="150">
        <v>45636</v>
      </c>
      <c r="P15" s="131"/>
      <c r="Q15" t="s">
        <v>410</v>
      </c>
      <c r="R15" t="s">
        <v>410</v>
      </c>
      <c r="S15" t="s">
        <v>1208</v>
      </c>
      <c r="T15" s="125">
        <v>0.03</v>
      </c>
      <c r="U15" t="s">
        <v>2305</v>
      </c>
      <c r="V15" s="13" t="s">
        <v>1454</v>
      </c>
      <c r="W15" t="s">
        <v>753</v>
      </c>
      <c r="X15" s="131" t="s">
        <v>899</v>
      </c>
      <c r="Y15" s="131"/>
      <c r="Z15" s="130">
        <v>0</v>
      </c>
      <c r="AA15" t="s">
        <v>2334</v>
      </c>
      <c r="AB15" t="s">
        <v>412</v>
      </c>
      <c r="AC15" t="s">
        <v>748</v>
      </c>
      <c r="AD15" s="131"/>
      <c r="AE15" s="131"/>
      <c r="AF15" s="131"/>
      <c r="AG15" s="131" t="s">
        <v>339</v>
      </c>
      <c r="AH15" s="131" t="s">
        <v>781</v>
      </c>
      <c r="AI15" t="s">
        <v>2307</v>
      </c>
      <c r="AJ15" s="136" t="s">
        <v>338</v>
      </c>
      <c r="AK15" t="s">
        <v>886</v>
      </c>
      <c r="AL15" t="s">
        <v>2295</v>
      </c>
      <c r="AM15" t="s">
        <v>889</v>
      </c>
      <c r="AN15" t="s">
        <v>2154</v>
      </c>
      <c r="AO15" t="s">
        <v>2154</v>
      </c>
      <c r="AQ15" s="125">
        <v>-1856198.08</v>
      </c>
      <c r="AR15" s="125">
        <v>100</v>
      </c>
      <c r="AS15" s="125">
        <v>1</v>
      </c>
      <c r="AT15" s="125">
        <v>-1856.1980000000001</v>
      </c>
      <c r="AU15" s="125">
        <v>-1856198.08</v>
      </c>
      <c r="AV15" s="131"/>
      <c r="AW15" s="131"/>
      <c r="AX15" t="s">
        <v>339</v>
      </c>
      <c r="AY15" s="131"/>
      <c r="AZ15" s="126">
        <v>-4.5399999999999998E-3</v>
      </c>
      <c r="BA15" s="126">
        <v>-1.6000000000000001E-4</v>
      </c>
    </row>
    <row r="16" spans="1:53" x14ac:dyDescent="0.2">
      <c r="A16" s="169" t="s">
        <v>2494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31"/>
      <c r="AL16" s="131"/>
      <c r="AM16" s="131"/>
      <c r="AQ16"/>
      <c r="AR16" s="131"/>
      <c r="AS16" s="131"/>
      <c r="AT16" s="131"/>
      <c r="AU16" s="131"/>
      <c r="AV16" s="131"/>
      <c r="AW16" s="131"/>
      <c r="AX16" s="16"/>
      <c r="AY16" s="131"/>
      <c r="AZ16" s="131"/>
      <c r="BA16" s="131"/>
    </row>
    <row r="17" spans="1:53" x14ac:dyDescent="0.2">
      <c r="A17"/>
      <c r="B17"/>
      <c r="C17" s="131"/>
      <c r="D17" s="131"/>
      <c r="E17" s="131"/>
      <c r="F17" s="131"/>
      <c r="G17" s="131"/>
      <c r="I17" s="16"/>
      <c r="J17" s="16"/>
      <c r="K17" s="131"/>
      <c r="L17" s="131"/>
      <c r="M17" s="131"/>
      <c r="N17" s="131"/>
      <c r="O17" s="131"/>
      <c r="P17" s="131"/>
      <c r="Q17" s="131"/>
      <c r="R17" s="131"/>
      <c r="S17" s="16"/>
      <c r="T17" s="131"/>
      <c r="U17" s="131"/>
      <c r="V17" s="131"/>
      <c r="W17" s="131"/>
      <c r="X17" s="131"/>
      <c r="Y17" s="131"/>
      <c r="Z17" s="131"/>
      <c r="AA17" s="131"/>
      <c r="AB17" s="16"/>
      <c r="AC17" s="131"/>
      <c r="AD17" s="131"/>
      <c r="AE17" s="131"/>
      <c r="AF17" s="131"/>
      <c r="AG17" s="131"/>
      <c r="AH17" s="131"/>
      <c r="AK17" s="131"/>
      <c r="AL17" s="131"/>
      <c r="AM17" s="131"/>
      <c r="AQ17"/>
      <c r="AR17" s="131"/>
      <c r="AS17" s="131"/>
      <c r="AT17" s="131"/>
      <c r="AU17" s="131"/>
      <c r="AV17" s="131"/>
      <c r="AW17" s="131"/>
      <c r="AX17" s="16"/>
      <c r="AY17" s="131"/>
      <c r="AZ17" s="131"/>
      <c r="BA17" s="131"/>
    </row>
    <row r="18" spans="1:53" x14ac:dyDescent="0.2">
      <c r="A18"/>
      <c r="B18"/>
      <c r="C18" s="131"/>
      <c r="D18" s="131"/>
      <c r="E18" s="131"/>
      <c r="F18" s="131"/>
      <c r="G18" s="131"/>
      <c r="I18" s="16"/>
      <c r="J18" s="16"/>
      <c r="K18" s="131"/>
      <c r="L18" s="131"/>
      <c r="M18" s="131"/>
      <c r="N18" s="131"/>
      <c r="O18" s="131"/>
      <c r="P18" s="131"/>
      <c r="Q18" s="131"/>
      <c r="R18" s="131"/>
      <c r="S18" s="16"/>
      <c r="T18" s="131"/>
      <c r="U18" s="131"/>
      <c r="V18" s="131"/>
      <c r="W18" s="131"/>
      <c r="X18" s="131"/>
      <c r="Y18" s="131"/>
      <c r="Z18" s="131"/>
      <c r="AA18" s="131"/>
      <c r="AB18" s="16"/>
      <c r="AC18" s="131"/>
      <c r="AD18" s="131"/>
      <c r="AE18" s="131"/>
      <c r="AF18" s="131"/>
      <c r="AG18" s="131"/>
      <c r="AH18" s="131"/>
      <c r="AK18" s="131"/>
      <c r="AL18" s="131"/>
      <c r="AM18" s="131"/>
      <c r="AQ18"/>
      <c r="AR18" s="131"/>
      <c r="AS18" s="131"/>
      <c r="AT18" s="131"/>
      <c r="AU18" s="131"/>
      <c r="AV18" s="131"/>
      <c r="AW18" s="131"/>
      <c r="AX18" s="16"/>
      <c r="AY18" s="131"/>
      <c r="AZ18" s="131"/>
      <c r="BA18" s="131"/>
    </row>
    <row r="19" spans="1:53" x14ac:dyDescent="0.2">
      <c r="A19"/>
      <c r="B19"/>
      <c r="C19" s="131"/>
      <c r="D19" s="131"/>
      <c r="E19" s="131"/>
      <c r="F19" s="131"/>
      <c r="G19" s="131"/>
      <c r="I19" s="16"/>
      <c r="J19" s="16"/>
      <c r="K19" s="131"/>
      <c r="L19" s="131"/>
      <c r="M19" s="131"/>
      <c r="N19" s="131"/>
      <c r="O19" s="131"/>
      <c r="P19" s="131"/>
      <c r="Q19" s="131"/>
      <c r="R19" s="131"/>
      <c r="S19" s="16"/>
      <c r="T19" s="131"/>
      <c r="U19" s="131"/>
      <c r="V19" s="131"/>
      <c r="W19" s="131"/>
      <c r="X19" s="131"/>
      <c r="Y19" s="131"/>
      <c r="Z19" s="131"/>
      <c r="AA19" s="131"/>
      <c r="AB19" s="16"/>
      <c r="AC19" s="131"/>
      <c r="AD19" s="131"/>
      <c r="AE19" s="131"/>
      <c r="AF19" s="131"/>
      <c r="AG19" s="131"/>
      <c r="AH19" s="131"/>
      <c r="AK19" s="131"/>
      <c r="AL19" s="131"/>
      <c r="AM19" s="131"/>
      <c r="AQ19"/>
      <c r="AR19" s="131"/>
      <c r="AS19" s="131"/>
      <c r="AT19" s="131"/>
      <c r="AU19" s="131"/>
      <c r="AV19" s="131"/>
      <c r="AW19" s="131"/>
      <c r="AX19" s="16"/>
      <c r="AY19" s="131"/>
      <c r="AZ19" s="131"/>
      <c r="BA19" s="131"/>
    </row>
    <row r="20" spans="1:53" x14ac:dyDescent="0.2">
      <c r="A20"/>
      <c r="B20"/>
      <c r="D20" s="131"/>
      <c r="G20" s="131"/>
      <c r="I20" s="16"/>
      <c r="J20" s="16"/>
      <c r="K20" s="131"/>
      <c r="L20" s="131"/>
      <c r="M20" s="131"/>
      <c r="Q20" s="131"/>
      <c r="R20" s="131"/>
      <c r="S20" s="16"/>
      <c r="U20" s="131"/>
      <c r="W20" s="131"/>
      <c r="X20" s="131"/>
      <c r="AB20" s="16"/>
      <c r="AC20" s="131"/>
      <c r="AG20" s="131"/>
      <c r="AH20" s="131"/>
      <c r="AK20" s="131"/>
      <c r="AM20" s="131"/>
      <c r="AQ20"/>
      <c r="AX20" s="16"/>
      <c r="AY20" s="131"/>
    </row>
    <row r="21" spans="1:53" x14ac:dyDescent="0.2">
      <c r="D21" s="4"/>
      <c r="I21"/>
      <c r="S21" s="16"/>
      <c r="AQ21"/>
    </row>
    <row r="22" spans="1:53" x14ac:dyDescent="0.2">
      <c r="D22" s="4"/>
      <c r="S22" s="16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1">
    <mergeCell ref="A16:AJ16"/>
  </mergeCells>
  <dataValidations count="21">
    <dataValidation type="list" allowBlank="1" showInputMessage="1" showErrorMessage="1" sqref="K2:K15 K17:K20" xr:uid="{95A7542B-7D1E-4E68-A540-ED996E651EB6}">
      <formula1>Industry_sectors</formula1>
    </dataValidation>
    <dataValidation type="list" allowBlank="1" showInputMessage="1" showErrorMessage="1" sqref="L2:L15 L17:L20" xr:uid="{BA35570D-83A5-45C8-981D-E6C14B472EE5}">
      <formula1>Holding_interest</formula1>
    </dataValidation>
    <dataValidation type="list" allowBlank="1" showInputMessage="1" showErrorMessage="1" sqref="Q2:Q15 Q17:Q20" xr:uid="{047AA9E8-78A6-4CE4-9B09-356896794B77}">
      <formula1>Rating_Agency</formula1>
    </dataValidation>
    <dataValidation type="list" allowBlank="1" showInputMessage="1" showErrorMessage="1" sqref="M2:M15 M17:M20" xr:uid="{E8748BDB-81A5-43FF-AEF6-044B29C76627}">
      <formula1>Consortium</formula1>
    </dataValidation>
    <dataValidation type="list" allowBlank="1" showInputMessage="1" showErrorMessage="1" sqref="W2:W15 W17:W20" xr:uid="{60C983ED-09D4-4087-995B-66590071F4F6}">
      <formula1>Linked_Type</formula1>
    </dataValidation>
    <dataValidation type="list" allowBlank="1" showInputMessage="1" showErrorMessage="1" sqref="AC2:AC15 AC17:AC20" xr:uid="{B3DB6054-8D39-4398-9E7B-9241AD75E7AC}">
      <formula1>Type_of_Security</formula1>
    </dataValidation>
    <dataValidation type="list" allowBlank="1" showInputMessage="1" showErrorMessage="1" sqref="AM2:AM20" xr:uid="{9C499580-EC6C-474F-8A47-147A3A33C0FC}">
      <formula1>Dependence_Independence</formula1>
    </dataValidation>
    <dataValidation type="list" allowBlank="1" showInputMessage="1" showErrorMessage="1" sqref="J2:J15 J17:J20" xr:uid="{0EC26857-3C39-4353-8A05-1D33F44BD4EA}">
      <formula1>Country_list</formula1>
    </dataValidation>
    <dataValidation type="list" allowBlank="1" showInputMessage="1" showErrorMessage="1" sqref="AH2:AH15 AH17:AH20" xr:uid="{ACDA2819-2DB3-422C-9B4B-7F49365179BE}">
      <formula1>Amoritization</formula1>
    </dataValidation>
    <dataValidation type="list" allowBlank="1" showInputMessage="1" showErrorMessage="1" sqref="U2:U15 U17:U20" xr:uid="{378F5F42-C1D3-42B4-B702-6C890A15F473}">
      <formula1>Type_of_Interest_Rate</formula1>
    </dataValidation>
    <dataValidation type="list" allowBlank="1" showInputMessage="1" showErrorMessage="1" sqref="AK2:AK20" xr:uid="{98F79212-2D69-4755-B94E-B2A8C4057C96}">
      <formula1>Valuation_Loans</formula1>
    </dataValidation>
    <dataValidation type="list" allowBlank="1" showInputMessage="1" showErrorMessage="1" sqref="X2:X15 X17:X20" xr:uid="{B24B49DE-42AC-4D14-B393-D91E7175F354}">
      <formula1>Underlying_Interest_Rates</formula1>
    </dataValidation>
    <dataValidation type="list" allowBlank="1" showInputMessage="1" showErrorMessage="1" sqref="AB2:AB15 AB17:AB20" xr:uid="{9ABFFACE-0FC9-42A2-AE24-D28B94B48970}">
      <formula1>Subordination_Risk</formula1>
    </dataValidation>
    <dataValidation type="list" allowBlank="1" showInputMessage="1" showErrorMessage="1" sqref="AX2:AX20" xr:uid="{B5F26C48-7C48-4AF3-84C0-9309699410E1}">
      <formula1>Yes_No_Bad_Debt</formula1>
    </dataValidation>
    <dataValidation type="list" allowBlank="1" showInputMessage="1" showErrorMessage="1" sqref="AG2:AG15 AG17:AG20" xr:uid="{99DD896C-3355-4873-8428-472608923A13}">
      <formula1>Recourse_Nonrecourse</formula1>
    </dataValidation>
    <dataValidation type="list" allowBlank="1" showInputMessage="1" showErrorMessage="1" sqref="AJ2:AJ15 AJ17:AJ20" xr:uid="{C2819F07-A8E9-4861-8D10-E4E1325B0276}">
      <formula1>Repayment_Rights</formula1>
    </dataValidation>
    <dataValidation type="list" allowBlank="1" showInputMessage="1" showErrorMessage="1" sqref="D2:D15 D17:D20" xr:uid="{07BB1472-EBDA-435E-872A-46C579CF2C02}">
      <formula1>issuer_number_loan</formula1>
    </dataValidation>
    <dataValidation type="list" allowBlank="1" showInputMessage="1" showErrorMessage="1" sqref="H2:H15 H17:H20" xr:uid="{237296C7-8218-4840-A252-2462515FE26F}">
      <formula1>real_estate_loans</formula1>
    </dataValidation>
    <dataValidation type="list" allowBlank="1" showInputMessage="1" showErrorMessage="1" sqref="I2:I15 I17:I20" xr:uid="{8879099E-2D53-49DE-B874-A7496C90B577}">
      <formula1>israel_abroad</formula1>
    </dataValidation>
    <dataValidation type="list" allowBlank="1" showInputMessage="1" showErrorMessage="1" sqref="AY2:AY20" xr:uid="{5B6CBC0A-A4B4-45DA-9CA1-1DE29081C038}">
      <formula1 xml:space="preserve"> In_the_books</formula1>
    </dataValidation>
    <dataValidation type="list" allowBlank="1" showInputMessage="1" showErrorMessage="1" sqref="R2:R15 R17:R20" xr:uid="{80C9037A-90CD-418F-993F-DA7BC8489C91}">
      <formula1>what_is_rated_loans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J21"/>
  <sheetViews>
    <sheetView rightToLeft="1" workbookViewId="0">
      <selection activeCell="A3" sqref="A3:AJ3"/>
    </sheetView>
  </sheetViews>
  <sheetFormatPr defaultColWidth="9" defaultRowHeight="14.25" x14ac:dyDescent="0.2"/>
  <cols>
    <col min="1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1.62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56</v>
      </c>
      <c r="M1" s="168" t="s">
        <v>96</v>
      </c>
      <c r="N1" s="168" t="s">
        <v>97</v>
      </c>
      <c r="O1" s="168" t="s">
        <v>71</v>
      </c>
      <c r="P1" s="168" t="s">
        <v>58</v>
      </c>
      <c r="Q1" s="168" t="s">
        <v>84</v>
      </c>
      <c r="R1" s="168" t="s">
        <v>59</v>
      </c>
      <c r="S1" s="168" t="s">
        <v>72</v>
      </c>
      <c r="T1" s="168" t="s">
        <v>62</v>
      </c>
      <c r="U1" s="168" t="s">
        <v>74</v>
      </c>
      <c r="V1" s="168" t="s">
        <v>103</v>
      </c>
      <c r="W1" s="168" t="s">
        <v>104</v>
      </c>
      <c r="X1" s="168" t="s">
        <v>106</v>
      </c>
      <c r="Y1" s="168" t="s">
        <v>76</v>
      </c>
      <c r="Z1" s="168" t="s">
        <v>61</v>
      </c>
      <c r="AA1" s="168" t="s">
        <v>77</v>
      </c>
      <c r="AB1" s="168" t="s">
        <v>63</v>
      </c>
      <c r="AC1" s="168" t="s">
        <v>64</v>
      </c>
      <c r="AD1" s="168" t="s">
        <v>65</v>
      </c>
    </row>
    <row r="2" spans="1:36" x14ac:dyDescent="0.2">
      <c r="A2" t="s">
        <v>1204</v>
      </c>
      <c r="B2" t="s">
        <v>1204</v>
      </c>
      <c r="C2" s="103"/>
      <c r="D2" s="103"/>
      <c r="E2" s="16"/>
      <c r="F2" s="103"/>
      <c r="G2" s="103"/>
      <c r="H2" s="103"/>
      <c r="I2" s="103"/>
      <c r="J2" s="16"/>
      <c r="K2" s="16"/>
      <c r="L2" s="103"/>
      <c r="M2" s="103"/>
      <c r="N2" s="103"/>
      <c r="O2" s="103"/>
      <c r="P2" s="103"/>
      <c r="Q2" s="103"/>
      <c r="R2" s="16"/>
      <c r="S2" s="103"/>
      <c r="T2" s="103"/>
      <c r="U2" s="103"/>
      <c r="V2" s="103"/>
      <c r="W2" s="103"/>
      <c r="X2" s="102"/>
      <c r="Y2" s="103"/>
      <c r="Z2" s="103"/>
      <c r="AA2" s="103"/>
      <c r="AB2" s="103"/>
      <c r="AC2" s="103"/>
      <c r="AD2" s="103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3"/>
      <c r="D4" s="103"/>
      <c r="E4" s="16"/>
      <c r="F4" s="103"/>
      <c r="G4" s="103"/>
      <c r="H4" s="103"/>
      <c r="I4" s="103"/>
      <c r="J4" s="16"/>
      <c r="K4" s="16"/>
      <c r="L4" s="103"/>
      <c r="M4" s="103"/>
      <c r="N4" s="103"/>
      <c r="O4" s="103"/>
      <c r="P4" s="103"/>
      <c r="Q4" s="103"/>
      <c r="R4" s="16"/>
      <c r="S4" s="103"/>
      <c r="T4" s="103"/>
      <c r="U4" s="103"/>
      <c r="V4" s="103"/>
      <c r="W4" s="103"/>
      <c r="X4" s="102"/>
      <c r="Y4" s="103"/>
      <c r="Z4" s="103"/>
      <c r="AA4" s="103"/>
      <c r="AB4" s="103"/>
      <c r="AC4" s="103"/>
      <c r="AD4" s="103"/>
    </row>
    <row r="5" spans="1:36" x14ac:dyDescent="0.2">
      <c r="A5" s="103"/>
      <c r="B5" s="103"/>
      <c r="C5" s="103"/>
      <c r="D5" s="103"/>
      <c r="E5" s="16"/>
      <c r="F5" s="103"/>
      <c r="G5" s="103"/>
      <c r="H5" s="103"/>
      <c r="I5" s="103"/>
      <c r="J5" s="16"/>
      <c r="K5" s="16"/>
      <c r="L5" s="103"/>
      <c r="M5" s="103"/>
      <c r="N5" s="103"/>
      <c r="O5" s="103"/>
      <c r="P5" s="103"/>
      <c r="Q5" s="103"/>
      <c r="R5" s="16"/>
      <c r="S5" s="103"/>
      <c r="T5" s="103"/>
      <c r="U5" s="103"/>
      <c r="V5" s="103"/>
      <c r="W5" s="103"/>
      <c r="X5" s="102"/>
      <c r="Y5" s="103"/>
      <c r="Z5" s="103"/>
      <c r="AA5" s="103"/>
      <c r="AB5" s="103"/>
      <c r="AC5" s="103"/>
      <c r="AD5" s="103"/>
    </row>
    <row r="6" spans="1:36" x14ac:dyDescent="0.2">
      <c r="A6" s="103"/>
      <c r="B6" s="103"/>
      <c r="C6" s="103"/>
      <c r="D6" s="103"/>
      <c r="E6" s="16"/>
      <c r="F6" s="103"/>
      <c r="G6" s="103"/>
      <c r="H6" s="103"/>
      <c r="I6" s="103"/>
      <c r="J6" s="16"/>
      <c r="K6" s="16"/>
      <c r="L6" s="103"/>
      <c r="M6" s="103"/>
      <c r="N6" s="103"/>
      <c r="O6" s="103"/>
      <c r="P6" s="103"/>
      <c r="Q6" s="103"/>
      <c r="R6" s="16"/>
      <c r="S6" s="103"/>
      <c r="T6" s="103"/>
      <c r="U6" s="103"/>
      <c r="V6" s="103"/>
      <c r="W6" s="103"/>
      <c r="X6" s="102"/>
      <c r="Y6" s="103"/>
      <c r="Z6" s="103"/>
      <c r="AA6" s="103"/>
      <c r="AB6" s="103"/>
      <c r="AC6" s="103"/>
      <c r="AD6" s="103"/>
    </row>
    <row r="7" spans="1:36" x14ac:dyDescent="0.2">
      <c r="A7" s="103"/>
      <c r="B7" s="103"/>
      <c r="C7" s="103"/>
      <c r="D7" s="103"/>
      <c r="E7" s="16"/>
      <c r="F7" s="103"/>
      <c r="G7" s="103"/>
      <c r="H7" s="103"/>
      <c r="I7" s="103"/>
      <c r="J7" s="16"/>
      <c r="K7" s="16"/>
      <c r="L7" s="103"/>
      <c r="M7" s="103"/>
      <c r="N7" s="103"/>
      <c r="O7" s="103"/>
      <c r="P7" s="103"/>
      <c r="Q7" s="103"/>
      <c r="R7" s="16"/>
      <c r="S7" s="103"/>
      <c r="T7" s="103"/>
      <c r="U7" s="103"/>
      <c r="V7" s="103"/>
      <c r="W7" s="103"/>
      <c r="X7" s="102"/>
      <c r="Y7" s="103"/>
      <c r="Z7" s="103"/>
      <c r="AA7" s="103"/>
      <c r="AB7" s="103"/>
      <c r="AC7" s="103"/>
      <c r="AD7" s="103"/>
    </row>
    <row r="8" spans="1:36" x14ac:dyDescent="0.2">
      <c r="A8" s="103"/>
      <c r="B8" s="103"/>
      <c r="C8" s="103"/>
      <c r="D8" s="103"/>
      <c r="E8" s="16"/>
      <c r="F8" s="103"/>
      <c r="G8" s="103"/>
      <c r="H8" s="103"/>
      <c r="I8" s="103"/>
      <c r="J8" s="16"/>
      <c r="K8" s="16"/>
      <c r="L8" s="103"/>
      <c r="M8" s="103"/>
      <c r="N8" s="103"/>
      <c r="O8" s="103"/>
      <c r="P8" s="103"/>
      <c r="Q8" s="103"/>
      <c r="R8" s="16"/>
      <c r="S8" s="103"/>
      <c r="T8" s="103"/>
      <c r="U8" s="103"/>
      <c r="V8" s="103"/>
      <c r="W8" s="103"/>
      <c r="X8" s="102"/>
      <c r="Y8" s="103"/>
      <c r="Z8" s="103"/>
      <c r="AA8" s="103"/>
      <c r="AB8" s="103"/>
      <c r="AC8" s="103"/>
      <c r="AD8" s="103"/>
    </row>
    <row r="9" spans="1:36" x14ac:dyDescent="0.2">
      <c r="A9" s="103"/>
      <c r="B9" s="103"/>
      <c r="C9" s="103"/>
      <c r="D9" s="103"/>
      <c r="E9" s="16"/>
      <c r="F9" s="103"/>
      <c r="G9" s="103"/>
      <c r="H9" s="103"/>
      <c r="I9" s="103"/>
      <c r="J9" s="16"/>
      <c r="K9" s="16"/>
      <c r="L9" s="103"/>
      <c r="M9" s="103"/>
      <c r="N9" s="103"/>
      <c r="O9" s="103"/>
      <c r="P9" s="103"/>
      <c r="Q9" s="103"/>
      <c r="R9" s="16"/>
      <c r="S9" s="103"/>
      <c r="T9" s="103"/>
      <c r="U9" s="103"/>
      <c r="V9" s="103"/>
      <c r="W9" s="103"/>
      <c r="X9" s="102"/>
      <c r="Y9" s="103"/>
      <c r="Z9" s="103"/>
      <c r="AA9" s="103"/>
      <c r="AB9" s="103"/>
      <c r="AC9" s="103"/>
      <c r="AD9" s="103"/>
    </row>
    <row r="10" spans="1:36" x14ac:dyDescent="0.2">
      <c r="A10" s="103"/>
      <c r="B10" s="103"/>
      <c r="C10" s="103"/>
      <c r="D10" s="103"/>
      <c r="E10" s="16"/>
      <c r="F10" s="103"/>
      <c r="G10" s="103"/>
      <c r="H10" s="103"/>
      <c r="I10" s="103"/>
      <c r="J10" s="16"/>
      <c r="K10" s="16"/>
      <c r="L10" s="103"/>
      <c r="M10" s="103"/>
      <c r="N10" s="103"/>
      <c r="O10" s="103"/>
      <c r="P10" s="103"/>
      <c r="Q10" s="103"/>
      <c r="R10" s="16"/>
      <c r="S10" s="103"/>
      <c r="T10" s="103"/>
      <c r="U10" s="103"/>
      <c r="V10" s="103"/>
      <c r="W10" s="103"/>
      <c r="X10" s="102"/>
      <c r="Y10" s="103"/>
      <c r="Z10" s="103"/>
      <c r="AA10" s="103"/>
      <c r="AB10" s="103"/>
      <c r="AC10" s="103"/>
      <c r="AD10" s="103"/>
    </row>
    <row r="11" spans="1:36" x14ac:dyDescent="0.2">
      <c r="A11" s="103"/>
      <c r="B11" s="103"/>
      <c r="C11" s="103"/>
      <c r="D11" s="103"/>
      <c r="E11" s="16"/>
      <c r="F11" s="103"/>
      <c r="G11" s="103"/>
      <c r="H11" s="103"/>
      <c r="I11" s="103"/>
      <c r="J11" s="16"/>
      <c r="K11" s="16"/>
      <c r="L11" s="103"/>
      <c r="M11" s="103"/>
      <c r="N11" s="103"/>
      <c r="O11" s="103"/>
      <c r="P11" s="103"/>
      <c r="Q11" s="103"/>
      <c r="R11" s="16"/>
      <c r="S11" s="103"/>
      <c r="T11" s="103"/>
      <c r="U11" s="103"/>
      <c r="V11" s="103"/>
      <c r="W11" s="103"/>
      <c r="X11" s="102"/>
      <c r="Y11" s="103"/>
      <c r="Z11" s="103"/>
      <c r="AA11" s="103"/>
      <c r="AB11" s="103"/>
      <c r="AC11" s="103"/>
      <c r="AD11" s="103"/>
    </row>
    <row r="12" spans="1:36" x14ac:dyDescent="0.2">
      <c r="A12" s="103"/>
      <c r="B12" s="103"/>
      <c r="C12" s="103"/>
      <c r="D12" s="103"/>
      <c r="E12" s="16"/>
      <c r="F12" s="103"/>
      <c r="G12" s="103"/>
      <c r="H12" s="103"/>
      <c r="I12" s="103"/>
      <c r="J12" s="16"/>
      <c r="K12" s="16"/>
      <c r="L12" s="103"/>
      <c r="M12" s="103"/>
      <c r="N12" s="103"/>
      <c r="O12" s="103"/>
      <c r="P12" s="103"/>
      <c r="Q12" s="103"/>
      <c r="R12" s="16"/>
      <c r="S12" s="103"/>
      <c r="T12" s="103"/>
      <c r="U12" s="103"/>
      <c r="V12" s="103"/>
      <c r="W12" s="103"/>
      <c r="X12" s="102"/>
      <c r="Y12" s="103"/>
      <c r="Z12" s="103"/>
      <c r="AA12" s="103"/>
      <c r="AB12" s="103"/>
      <c r="AC12" s="103"/>
      <c r="AD12" s="103"/>
    </row>
    <row r="13" spans="1:36" x14ac:dyDescent="0.2">
      <c r="A13" s="103"/>
      <c r="B13" s="103"/>
      <c r="C13" s="103"/>
      <c r="D13" s="103"/>
      <c r="E13" s="16"/>
      <c r="F13" s="103"/>
      <c r="G13" s="103"/>
      <c r="H13" s="103"/>
      <c r="I13" s="103"/>
      <c r="J13" s="16"/>
      <c r="K13" s="16"/>
      <c r="L13" s="103"/>
      <c r="M13" s="103"/>
      <c r="N13" s="103"/>
      <c r="O13" s="103"/>
      <c r="P13" s="103"/>
      <c r="Q13" s="103"/>
      <c r="R13" s="16"/>
      <c r="S13" s="103"/>
      <c r="T13" s="103"/>
      <c r="U13" s="103"/>
      <c r="V13" s="103"/>
      <c r="W13" s="103"/>
      <c r="X13" s="102"/>
      <c r="Y13" s="103"/>
      <c r="Z13" s="103"/>
      <c r="AA13" s="103"/>
      <c r="AB13" s="103"/>
      <c r="AC13" s="103"/>
      <c r="AD13" s="103"/>
    </row>
    <row r="14" spans="1:36" x14ac:dyDescent="0.2">
      <c r="A14" s="103"/>
      <c r="B14" s="103"/>
      <c r="C14" s="103"/>
      <c r="D14" s="103"/>
      <c r="E14" s="16"/>
      <c r="F14" s="103"/>
      <c r="G14" s="103"/>
      <c r="H14" s="103"/>
      <c r="I14" s="103"/>
      <c r="J14" s="16"/>
      <c r="K14" s="16"/>
      <c r="L14" s="103"/>
      <c r="M14" s="103"/>
      <c r="N14" s="103"/>
      <c r="O14" s="103"/>
      <c r="P14" s="103"/>
      <c r="Q14" s="103"/>
      <c r="R14" s="16"/>
      <c r="S14" s="103"/>
      <c r="T14" s="103"/>
      <c r="U14" s="103"/>
      <c r="V14" s="103"/>
      <c r="W14" s="103"/>
      <c r="X14" s="102"/>
      <c r="Y14" s="103"/>
      <c r="Z14" s="103"/>
      <c r="AA14" s="103"/>
      <c r="AB14" s="103"/>
      <c r="AC14" s="103"/>
      <c r="AD14" s="103"/>
    </row>
    <row r="15" spans="1:36" x14ac:dyDescent="0.2">
      <c r="A15" s="103"/>
      <c r="B15" s="103"/>
      <c r="C15" s="103"/>
      <c r="D15" s="103"/>
      <c r="E15" s="16"/>
      <c r="F15" s="103"/>
      <c r="G15" s="103"/>
      <c r="H15" s="103"/>
      <c r="I15" s="103"/>
      <c r="J15" s="16"/>
      <c r="K15" s="16"/>
      <c r="L15" s="103"/>
      <c r="M15" s="103"/>
      <c r="N15" s="103"/>
      <c r="O15" s="103"/>
      <c r="P15" s="103"/>
      <c r="Q15" s="103"/>
      <c r="R15" s="16"/>
      <c r="S15" s="103"/>
      <c r="T15" s="103"/>
      <c r="U15" s="103"/>
      <c r="V15" s="103"/>
      <c r="W15" s="103"/>
      <c r="X15" s="102"/>
      <c r="Y15" s="103"/>
      <c r="Z15" s="103"/>
      <c r="AA15" s="103"/>
      <c r="AB15" s="103"/>
      <c r="AC15" s="103"/>
      <c r="AD15" s="103"/>
    </row>
    <row r="16" spans="1:36" x14ac:dyDescent="0.2">
      <c r="A16" s="103"/>
      <c r="B16" s="103"/>
      <c r="C16" s="103"/>
      <c r="D16" s="103"/>
      <c r="E16" s="16"/>
      <c r="F16" s="103"/>
      <c r="G16" s="103"/>
      <c r="H16" s="103"/>
      <c r="I16" s="103"/>
      <c r="J16" s="16"/>
      <c r="K16" s="16"/>
      <c r="L16" s="103"/>
      <c r="M16" s="103"/>
      <c r="N16" s="103"/>
      <c r="O16" s="103"/>
      <c r="P16" s="103"/>
      <c r="Q16" s="103"/>
      <c r="R16" s="16"/>
      <c r="S16" s="103"/>
      <c r="T16" s="103"/>
      <c r="U16" s="103"/>
      <c r="V16" s="103"/>
      <c r="W16" s="103"/>
      <c r="X16" s="102"/>
      <c r="Y16" s="103"/>
      <c r="Z16" s="103"/>
      <c r="AA16" s="103"/>
      <c r="AB16" s="103"/>
      <c r="AC16" s="103"/>
      <c r="AD16" s="103"/>
    </row>
    <row r="17" spans="1:30" x14ac:dyDescent="0.2">
      <c r="A17" s="103"/>
      <c r="B17" s="103"/>
      <c r="C17" s="103"/>
      <c r="D17" s="103"/>
      <c r="E17" s="16"/>
      <c r="F17" s="103"/>
      <c r="G17" s="103"/>
      <c r="H17" s="103"/>
      <c r="I17" s="103"/>
      <c r="J17" s="16"/>
      <c r="K17" s="16"/>
      <c r="L17" s="103"/>
      <c r="M17" s="103"/>
      <c r="N17" s="103"/>
      <c r="O17" s="103"/>
      <c r="P17" s="103"/>
      <c r="Q17" s="103"/>
      <c r="R17" s="16"/>
      <c r="S17" s="103"/>
      <c r="T17" s="103"/>
      <c r="U17" s="103"/>
      <c r="V17" s="103"/>
      <c r="W17" s="103"/>
      <c r="X17" s="102"/>
      <c r="Y17" s="103"/>
      <c r="Z17" s="103"/>
      <c r="AA17" s="103"/>
      <c r="AB17" s="103"/>
      <c r="AC17" s="103"/>
      <c r="AD17" s="103"/>
    </row>
    <row r="18" spans="1:30" x14ac:dyDescent="0.2">
      <c r="A18" s="103"/>
      <c r="B18" s="103"/>
      <c r="C18" s="103"/>
      <c r="D18" s="103"/>
      <c r="E18" s="16"/>
      <c r="F18" s="103"/>
      <c r="G18" s="103"/>
      <c r="H18" s="103"/>
      <c r="I18" s="103"/>
      <c r="J18" s="16"/>
      <c r="K18" s="16"/>
      <c r="L18" s="103"/>
      <c r="M18" s="103"/>
      <c r="N18" s="103"/>
      <c r="O18" s="103"/>
      <c r="P18" s="103"/>
      <c r="Q18" s="103"/>
      <c r="R18" s="16"/>
      <c r="S18" s="103"/>
      <c r="T18" s="103"/>
      <c r="U18" s="103"/>
      <c r="V18" s="103"/>
      <c r="W18" s="103"/>
      <c r="X18" s="102"/>
      <c r="Y18" s="103"/>
      <c r="Z18" s="103"/>
      <c r="AA18" s="103"/>
      <c r="AB18" s="103"/>
      <c r="AC18" s="103"/>
      <c r="AD18" s="103"/>
    </row>
    <row r="19" spans="1:30" x14ac:dyDescent="0.2">
      <c r="A19" s="103"/>
      <c r="B19" s="103"/>
      <c r="C19" s="103"/>
      <c r="D19" s="103"/>
      <c r="E19" s="16"/>
      <c r="F19" s="103"/>
      <c r="G19" s="103"/>
      <c r="H19" s="103"/>
      <c r="I19" s="103"/>
      <c r="J19" s="16"/>
      <c r="K19" s="16"/>
      <c r="L19" s="103"/>
      <c r="M19" s="103"/>
      <c r="N19" s="103"/>
      <c r="O19" s="103"/>
      <c r="P19" s="103"/>
      <c r="Q19" s="103"/>
      <c r="R19" s="16"/>
      <c r="S19" s="103"/>
      <c r="T19" s="103"/>
      <c r="U19" s="103"/>
      <c r="V19" s="103"/>
      <c r="W19" s="103"/>
      <c r="X19" s="102"/>
      <c r="Y19" s="103"/>
      <c r="Z19" s="103"/>
      <c r="AA19" s="103"/>
      <c r="AB19" s="103"/>
      <c r="AC19" s="103"/>
      <c r="AD19" s="103"/>
    </row>
    <row r="20" spans="1:30" x14ac:dyDescent="0.2">
      <c r="A20" s="102"/>
      <c r="B20" s="102"/>
      <c r="C20" s="102"/>
      <c r="D20" s="102"/>
      <c r="E20" s="16"/>
      <c r="F20" s="102"/>
      <c r="G20" s="102"/>
      <c r="H20" s="103"/>
      <c r="I20" s="103"/>
      <c r="J20" s="16"/>
      <c r="K20" s="16"/>
      <c r="L20" s="103"/>
      <c r="M20" s="103"/>
      <c r="N20" s="102"/>
      <c r="O20" s="102"/>
      <c r="P20" s="103"/>
      <c r="Q20" s="103"/>
      <c r="R20" s="102"/>
      <c r="S20" s="102"/>
      <c r="T20" s="102"/>
      <c r="U20" s="102"/>
      <c r="V20" s="103"/>
      <c r="W20" s="103"/>
      <c r="X20" s="102"/>
      <c r="Y20" s="102"/>
      <c r="Z20" s="102"/>
      <c r="AA20" s="102"/>
      <c r="AB20" s="102"/>
      <c r="AC20" s="102"/>
      <c r="AD20" s="102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12">
    <dataValidation type="list" allowBlank="1" showInputMessage="1" showErrorMessage="1" sqref="J2 J4:J20" xr:uid="{00000000-0002-0000-1800-000000000000}">
      <formula1>israel_abroad</formula1>
    </dataValidation>
    <dataValidation type="list" allowBlank="1" showInputMessage="1" showErrorMessage="1" sqref="L2 L4:L20" xr:uid="{00000000-0002-0000-1800-000001000000}">
      <formula1>Holding_interest</formula1>
    </dataValidation>
    <dataValidation type="list" allowBlank="1" showInputMessage="1" showErrorMessage="1" sqref="P2 P4:P20" xr:uid="{00000000-0002-0000-1800-000002000000}">
      <formula1>Rating_Agency</formula1>
    </dataValidation>
    <dataValidation type="list" allowBlank="1" showInputMessage="1" showErrorMessage="1" sqref="Q2 Q4:Q20" xr:uid="{00000000-0002-0000-1800-000003000000}">
      <formula1>What_is_rated</formula1>
    </dataValidation>
    <dataValidation type="list" allowBlank="1" showInputMessage="1" showErrorMessage="1" sqref="V2 V4:V20" xr:uid="{00000000-0002-0000-1800-000004000000}">
      <formula1>Valuation</formula1>
    </dataValidation>
    <dataValidation type="list" allowBlank="1" showInputMessage="1" showErrorMessage="1" sqref="W2 W4:W20" xr:uid="{00000000-0002-0000-1800-000005000000}">
      <formula1>Dependence_Independence</formula1>
    </dataValidation>
    <dataValidation type="list" allowBlank="1" showInputMessage="1" showErrorMessage="1" sqref="K2 K4:K20" xr:uid="{00000000-0002-0000-1800-000006000000}">
      <formula1>Country_list</formula1>
    </dataValidation>
    <dataValidation type="list" allowBlank="1" showInputMessage="1" showErrorMessage="1" sqref="H2 H4:H20" xr:uid="{00000000-0002-0000-1800-000007000000}">
      <formula1>Type_of_Security_ID_Fund</formula1>
    </dataValidation>
    <dataValidation type="list" allowBlank="1" showInputMessage="1" showErrorMessage="1" sqref="M4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4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 I4:I20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21"/>
  <sheetViews>
    <sheetView rightToLeft="1" workbookViewId="0">
      <selection activeCell="A4" sqref="A4:AJ4"/>
    </sheetView>
  </sheetViews>
  <sheetFormatPr defaultColWidth="9" defaultRowHeight="14.25" x14ac:dyDescent="0.2"/>
  <cols>
    <col min="1" max="1" width="10.8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23" width="11.125" style="2" bestFit="1" customWidth="1"/>
    <col min="24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51</v>
      </c>
      <c r="D1" s="168" t="s">
        <v>52</v>
      </c>
      <c r="E1" s="168" t="s">
        <v>53</v>
      </c>
      <c r="F1" s="168" t="s">
        <v>54</v>
      </c>
      <c r="G1" s="168" t="s">
        <v>173</v>
      </c>
      <c r="H1" s="168" t="s">
        <v>55</v>
      </c>
      <c r="I1" s="168" t="s">
        <v>69</v>
      </c>
      <c r="J1" s="168" t="s">
        <v>56</v>
      </c>
      <c r="K1" s="168" t="s">
        <v>57</v>
      </c>
      <c r="L1" s="168" t="s">
        <v>58</v>
      </c>
      <c r="M1" s="168" t="s">
        <v>59</v>
      </c>
      <c r="N1" s="168" t="s">
        <v>72</v>
      </c>
      <c r="O1" s="168" t="s">
        <v>62</v>
      </c>
      <c r="P1" s="168" t="s">
        <v>74</v>
      </c>
      <c r="Q1" s="168" t="s">
        <v>60</v>
      </c>
      <c r="R1" s="168" t="s">
        <v>61</v>
      </c>
      <c r="S1" s="168" t="s">
        <v>174</v>
      </c>
      <c r="T1" s="168" t="s">
        <v>63</v>
      </c>
      <c r="U1" s="168" t="s">
        <v>64</v>
      </c>
      <c r="V1" s="168" t="s">
        <v>65</v>
      </c>
    </row>
    <row r="2" spans="1:36" x14ac:dyDescent="0.2">
      <c r="A2" t="s">
        <v>1204</v>
      </c>
      <c r="B2" t="s">
        <v>1204</v>
      </c>
      <c r="C2" t="s">
        <v>1205</v>
      </c>
      <c r="D2" t="s">
        <v>1206</v>
      </c>
      <c r="E2" t="s">
        <v>315</v>
      </c>
      <c r="F2" t="s">
        <v>754</v>
      </c>
      <c r="G2" t="s">
        <v>2335</v>
      </c>
      <c r="H2" t="s">
        <v>204</v>
      </c>
      <c r="I2" t="s">
        <v>204</v>
      </c>
      <c r="J2" t="s">
        <v>339</v>
      </c>
      <c r="K2" t="s">
        <v>1207</v>
      </c>
      <c r="L2" t="s">
        <v>413</v>
      </c>
      <c r="M2" t="s">
        <v>1208</v>
      </c>
      <c r="N2" s="125">
        <v>0.57999999999999996</v>
      </c>
      <c r="O2" s="126">
        <v>6.3500000000000001E-2</v>
      </c>
      <c r="P2" s="126">
        <v>1.5800000000000002E-2</v>
      </c>
      <c r="Q2" s="125">
        <v>230158</v>
      </c>
      <c r="R2" s="125">
        <v>1</v>
      </c>
      <c r="S2" s="125">
        <v>151.38</v>
      </c>
      <c r="T2" s="125">
        <v>230.15799999999999</v>
      </c>
      <c r="U2" s="126">
        <v>0.66215999999999997</v>
      </c>
      <c r="V2" s="126">
        <v>2.0000000000000002E-5</v>
      </c>
      <c r="W2" s="125"/>
    </row>
    <row r="3" spans="1:36" x14ac:dyDescent="0.2">
      <c r="A3" t="s">
        <v>1204</v>
      </c>
      <c r="B3" t="s">
        <v>1204</v>
      </c>
      <c r="C3" t="s">
        <v>1205</v>
      </c>
      <c r="D3" t="s">
        <v>1206</v>
      </c>
      <c r="E3" t="s">
        <v>315</v>
      </c>
      <c r="F3" t="s">
        <v>754</v>
      </c>
      <c r="G3" t="s">
        <v>2336</v>
      </c>
      <c r="H3" t="s">
        <v>204</v>
      </c>
      <c r="I3" t="s">
        <v>204</v>
      </c>
      <c r="J3" t="s">
        <v>339</v>
      </c>
      <c r="K3" t="s">
        <v>1207</v>
      </c>
      <c r="L3" t="s">
        <v>413</v>
      </c>
      <c r="M3" t="s">
        <v>1208</v>
      </c>
      <c r="N3" s="125">
        <v>0.36</v>
      </c>
      <c r="O3" s="126">
        <v>0.06</v>
      </c>
      <c r="P3" s="126">
        <v>1.83E-2</v>
      </c>
      <c r="Q3" s="125">
        <v>117430</v>
      </c>
      <c r="R3" s="125">
        <v>1</v>
      </c>
      <c r="S3" s="125">
        <v>154.97</v>
      </c>
      <c r="T3" s="125">
        <v>117.43</v>
      </c>
      <c r="U3" s="126">
        <v>0.33783999999999997</v>
      </c>
      <c r="V3" s="126">
        <v>1.0000000000000001E-5</v>
      </c>
      <c r="W3" s="125"/>
    </row>
    <row r="4" spans="1:36" x14ac:dyDescent="0.2">
      <c r="A4" s="169" t="s">
        <v>2494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</row>
    <row r="5" spans="1:36" x14ac:dyDescent="0.2">
      <c r="A5" s="103"/>
      <c r="B5" s="103"/>
      <c r="C5" s="103"/>
      <c r="D5" s="102"/>
      <c r="E5" s="16"/>
      <c r="F5" s="103"/>
      <c r="G5" s="103"/>
      <c r="H5" s="16"/>
      <c r="I5" s="16"/>
      <c r="J5" s="103"/>
      <c r="K5" s="103"/>
      <c r="L5" s="102"/>
      <c r="M5" s="16"/>
      <c r="N5" s="103"/>
      <c r="O5" s="103"/>
      <c r="P5" s="103"/>
      <c r="Q5" s="102"/>
      <c r="R5" s="103"/>
      <c r="S5"/>
      <c r="T5" s="103"/>
      <c r="U5" s="103"/>
      <c r="V5" s="103"/>
    </row>
    <row r="6" spans="1:36" x14ac:dyDescent="0.2">
      <c r="A6" s="103"/>
      <c r="B6" s="103"/>
      <c r="C6" s="103"/>
      <c r="D6" s="102"/>
      <c r="E6" s="16"/>
      <c r="F6" s="103"/>
      <c r="G6" s="103"/>
      <c r="H6" s="16"/>
      <c r="I6" s="16"/>
      <c r="J6" s="103"/>
      <c r="K6" s="103"/>
      <c r="L6" s="102"/>
      <c r="M6" s="16"/>
      <c r="N6" s="103"/>
      <c r="O6" s="103"/>
      <c r="P6" s="103"/>
      <c r="Q6" s="102"/>
      <c r="R6" s="103"/>
      <c r="S6"/>
      <c r="T6" s="103"/>
      <c r="U6" s="103"/>
      <c r="V6" s="103"/>
    </row>
    <row r="7" spans="1:36" x14ac:dyDescent="0.2">
      <c r="A7" s="103"/>
      <c r="B7" s="103"/>
      <c r="C7" s="103"/>
      <c r="D7" s="102"/>
      <c r="E7" s="16"/>
      <c r="F7" s="103"/>
      <c r="G7" s="103"/>
      <c r="H7" s="16"/>
      <c r="I7" s="16"/>
      <c r="J7" s="103"/>
      <c r="K7" s="103"/>
      <c r="L7" s="102"/>
      <c r="M7" s="16"/>
      <c r="N7" s="103"/>
      <c r="O7" s="103"/>
      <c r="P7" s="103"/>
      <c r="Q7" s="102"/>
      <c r="R7" s="103"/>
      <c r="S7" s="103"/>
      <c r="T7" s="103"/>
      <c r="U7" s="103"/>
      <c r="V7" s="103"/>
    </row>
    <row r="8" spans="1:36" x14ac:dyDescent="0.2">
      <c r="A8" s="103"/>
      <c r="B8" s="103"/>
      <c r="C8" s="103"/>
      <c r="D8" s="102"/>
      <c r="E8" s="16"/>
      <c r="F8" s="103"/>
      <c r="G8" s="103"/>
      <c r="H8" s="16"/>
      <c r="I8" s="16"/>
      <c r="J8" s="103"/>
      <c r="K8" s="103"/>
      <c r="L8" s="102"/>
      <c r="M8" s="16"/>
      <c r="N8" s="103"/>
      <c r="O8" s="103"/>
      <c r="P8" s="103"/>
      <c r="Q8" s="102"/>
      <c r="R8" s="103"/>
      <c r="S8" s="103"/>
      <c r="T8" s="103"/>
      <c r="U8" s="103"/>
      <c r="V8" s="103"/>
    </row>
    <row r="9" spans="1:36" x14ac:dyDescent="0.2">
      <c r="A9" s="103"/>
      <c r="B9" s="103"/>
      <c r="C9" s="103"/>
      <c r="D9" s="102"/>
      <c r="E9" s="16"/>
      <c r="F9" s="103"/>
      <c r="G9" s="103"/>
      <c r="H9" s="16"/>
      <c r="I9" s="16"/>
      <c r="J9" s="103"/>
      <c r="K9" s="103"/>
      <c r="L9" s="102"/>
      <c r="M9" s="16"/>
      <c r="N9" s="103"/>
      <c r="O9" s="103"/>
      <c r="P9" s="103"/>
      <c r="Q9" s="102"/>
      <c r="R9" s="103"/>
      <c r="S9" s="103"/>
      <c r="T9" s="103"/>
      <c r="U9" s="103"/>
      <c r="V9" s="103"/>
    </row>
    <row r="10" spans="1:36" x14ac:dyDescent="0.2">
      <c r="A10" s="103"/>
      <c r="B10" s="103"/>
      <c r="C10" s="103"/>
      <c r="D10" s="102"/>
      <c r="E10" s="16"/>
      <c r="F10" s="103"/>
      <c r="G10" s="103"/>
      <c r="H10" s="16"/>
      <c r="I10" s="16"/>
      <c r="J10" s="103"/>
      <c r="K10" s="103"/>
      <c r="L10" s="102"/>
      <c r="M10" s="16"/>
      <c r="N10" s="103"/>
      <c r="O10" s="103"/>
      <c r="P10" s="103"/>
      <c r="Q10" s="102"/>
      <c r="R10" s="103"/>
      <c r="S10" s="103"/>
      <c r="T10" s="103"/>
      <c r="U10" s="103"/>
      <c r="V10" s="103"/>
    </row>
    <row r="11" spans="1:36" x14ac:dyDescent="0.2">
      <c r="A11" s="103"/>
      <c r="B11" s="103"/>
      <c r="C11" s="103"/>
      <c r="D11" s="102"/>
      <c r="E11" s="16"/>
      <c r="F11" s="103"/>
      <c r="G11" s="103"/>
      <c r="H11" s="16"/>
      <c r="I11" s="16"/>
      <c r="J11" s="103"/>
      <c r="K11" s="103"/>
      <c r="L11" s="102"/>
      <c r="M11" s="16"/>
      <c r="N11" s="103"/>
      <c r="O11" s="103"/>
      <c r="P11" s="103"/>
      <c r="Q11" s="102"/>
      <c r="R11" s="103"/>
      <c r="S11" s="103"/>
      <c r="T11" s="103"/>
      <c r="U11" s="103"/>
      <c r="V11" s="103"/>
    </row>
    <row r="12" spans="1:36" x14ac:dyDescent="0.2">
      <c r="A12" s="103"/>
      <c r="B12" s="103"/>
      <c r="C12" s="103"/>
      <c r="D12" s="102"/>
      <c r="E12" s="16"/>
      <c r="F12" s="103"/>
      <c r="G12" s="103"/>
      <c r="H12" s="16"/>
      <c r="I12" s="16"/>
      <c r="J12" s="103"/>
      <c r="K12" s="103"/>
      <c r="L12" s="102"/>
      <c r="M12" s="16"/>
      <c r="N12" s="103"/>
      <c r="O12" s="103"/>
      <c r="P12" s="103"/>
      <c r="Q12" s="102"/>
      <c r="R12" s="103"/>
      <c r="S12" s="103"/>
      <c r="T12" s="103"/>
      <c r="U12" s="103"/>
      <c r="V12" s="103"/>
    </row>
    <row r="13" spans="1:36" x14ac:dyDescent="0.2">
      <c r="A13" s="103"/>
      <c r="B13" s="103"/>
      <c r="C13" s="103"/>
      <c r="D13" s="102"/>
      <c r="E13" s="16"/>
      <c r="F13" s="103"/>
      <c r="G13" s="103"/>
      <c r="H13" s="16"/>
      <c r="I13" s="16"/>
      <c r="J13" s="103"/>
      <c r="K13" s="103"/>
      <c r="L13" s="102"/>
      <c r="M13" s="16"/>
      <c r="N13" s="103"/>
      <c r="O13" s="103"/>
      <c r="P13" s="103"/>
      <c r="Q13" s="102"/>
      <c r="R13" s="103"/>
      <c r="S13" s="103"/>
      <c r="T13" s="103"/>
      <c r="U13" s="103"/>
      <c r="V13" s="103"/>
    </row>
    <row r="14" spans="1:36" x14ac:dyDescent="0.2">
      <c r="A14" s="103"/>
      <c r="B14" s="103"/>
      <c r="C14" s="103"/>
      <c r="D14" s="102"/>
      <c r="E14" s="16"/>
      <c r="F14" s="103"/>
      <c r="G14" s="103"/>
      <c r="H14" s="16"/>
      <c r="I14" s="16"/>
      <c r="J14" s="103"/>
      <c r="K14" s="103"/>
      <c r="L14" s="102"/>
      <c r="M14" s="16"/>
      <c r="N14" s="103"/>
      <c r="O14" s="103"/>
      <c r="P14" s="103"/>
      <c r="Q14" s="102"/>
      <c r="R14" s="103"/>
      <c r="S14" s="103"/>
      <c r="T14" s="103"/>
      <c r="U14" s="103"/>
      <c r="V14" s="103"/>
    </row>
    <row r="15" spans="1:36" x14ac:dyDescent="0.2">
      <c r="A15" s="103"/>
      <c r="B15" s="103"/>
      <c r="C15" s="103"/>
      <c r="D15" s="102"/>
      <c r="E15" s="16"/>
      <c r="F15" s="103"/>
      <c r="G15" s="103"/>
      <c r="H15" s="16"/>
      <c r="I15" s="16"/>
      <c r="J15" s="103"/>
      <c r="K15" s="103"/>
      <c r="L15" s="102"/>
      <c r="M15" s="16"/>
      <c r="N15" s="103"/>
      <c r="O15" s="103"/>
      <c r="P15" s="103"/>
      <c r="Q15" s="102"/>
      <c r="R15" s="103"/>
      <c r="S15" s="103"/>
      <c r="T15" s="103"/>
      <c r="U15" s="103"/>
      <c r="V15" s="103"/>
    </row>
    <row r="16" spans="1:36" x14ac:dyDescent="0.2">
      <c r="A16" s="103"/>
      <c r="B16" s="103"/>
      <c r="C16" s="103"/>
      <c r="D16" s="102"/>
      <c r="E16" s="16"/>
      <c r="F16" s="103"/>
      <c r="G16" s="103"/>
      <c r="H16" s="16"/>
      <c r="I16" s="16"/>
      <c r="J16" s="103"/>
      <c r="K16" s="103"/>
      <c r="L16" s="102"/>
      <c r="M16" s="16"/>
      <c r="N16" s="103"/>
      <c r="O16" s="103"/>
      <c r="P16" s="103"/>
      <c r="Q16" s="102"/>
      <c r="R16" s="103"/>
      <c r="S16" s="103"/>
      <c r="T16" s="103"/>
      <c r="U16" s="103"/>
      <c r="V16" s="103"/>
    </row>
    <row r="17" spans="1:22" x14ac:dyDescent="0.2">
      <c r="A17" s="103"/>
      <c r="B17" s="103"/>
      <c r="C17" s="103"/>
      <c r="D17" s="102"/>
      <c r="E17" s="16"/>
      <c r="F17" s="103"/>
      <c r="G17" s="103"/>
      <c r="H17" s="16"/>
      <c r="I17" s="16"/>
      <c r="J17" s="103"/>
      <c r="K17" s="103"/>
      <c r="L17" s="102"/>
      <c r="M17" s="16"/>
      <c r="N17" s="103"/>
      <c r="O17" s="103"/>
      <c r="P17" s="103"/>
      <c r="Q17" s="102"/>
      <c r="R17" s="103"/>
      <c r="S17" s="103"/>
      <c r="T17" s="103"/>
      <c r="U17" s="103"/>
      <c r="V17" s="103"/>
    </row>
    <row r="18" spans="1:22" x14ac:dyDescent="0.2">
      <c r="A18" s="103"/>
      <c r="B18" s="103"/>
      <c r="C18" s="103"/>
      <c r="D18" s="102"/>
      <c r="E18" s="16"/>
      <c r="F18" s="103"/>
      <c r="G18" s="103"/>
      <c r="H18" s="16"/>
      <c r="I18" s="16"/>
      <c r="J18" s="103"/>
      <c r="K18" s="103"/>
      <c r="L18" s="102"/>
      <c r="M18" s="16"/>
      <c r="N18" s="103"/>
      <c r="O18" s="103"/>
      <c r="P18" s="103"/>
      <c r="Q18" s="102"/>
      <c r="R18" s="103"/>
      <c r="S18" s="103"/>
      <c r="T18" s="103"/>
      <c r="U18" s="103"/>
      <c r="V18" s="103"/>
    </row>
    <row r="19" spans="1:22" x14ac:dyDescent="0.2">
      <c r="A19" s="103"/>
      <c r="B19" s="103"/>
      <c r="C19" s="103"/>
      <c r="D19" s="102"/>
      <c r="E19" s="16"/>
      <c r="F19" s="103"/>
      <c r="G19" s="103"/>
      <c r="H19" s="16"/>
      <c r="I19" s="16"/>
      <c r="J19" s="103"/>
      <c r="K19" s="103"/>
      <c r="L19" s="102"/>
      <c r="M19" s="16"/>
      <c r="N19" s="103"/>
      <c r="O19" s="103"/>
      <c r="P19" s="103"/>
      <c r="Q19" s="102"/>
      <c r="R19" s="103"/>
      <c r="S19" s="103"/>
      <c r="T19" s="103"/>
      <c r="U19" s="103"/>
      <c r="V19" s="103"/>
    </row>
    <row r="20" spans="1:22" x14ac:dyDescent="0.2">
      <c r="A20" s="102"/>
      <c r="B20" s="102"/>
      <c r="C20" s="102"/>
      <c r="D20" s="102"/>
      <c r="E20" s="16"/>
      <c r="F20" s="103"/>
      <c r="G20" s="102"/>
      <c r="H20" s="16"/>
      <c r="I20" s="16"/>
      <c r="J20" s="103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</row>
    <row r="21" spans="1:22" x14ac:dyDescent="0.2">
      <c r="A21" s="102"/>
      <c r="B21" s="102"/>
      <c r="C21" s="102"/>
      <c r="D21" s="102"/>
      <c r="F21" s="102"/>
      <c r="G21" s="102"/>
      <c r="H21" s="102"/>
      <c r="I21" s="102"/>
      <c r="J21" s="102"/>
      <c r="K21" s="102"/>
      <c r="L21"/>
      <c r="M21" s="102"/>
      <c r="N21" s="102"/>
      <c r="O21" s="102"/>
      <c r="P21" s="102"/>
      <c r="Q21" s="102"/>
      <c r="R21" s="102"/>
      <c r="S21" s="102"/>
      <c r="T21" s="102"/>
      <c r="U21" s="102"/>
      <c r="V21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1">
    <mergeCell ref="A4:AJ4"/>
  </mergeCells>
  <dataValidations count="5">
    <dataValidation type="list" allowBlank="1" showInputMessage="1" showErrorMessage="1" sqref="H2:H3 H5:H20" xr:uid="{00000000-0002-0000-1900-000000000000}">
      <formula1>israel_abroad</formula1>
    </dataValidation>
    <dataValidation type="list" allowBlank="1" showInputMessage="1" showErrorMessage="1" sqref="J2:J3 J5:J20" xr:uid="{00000000-0002-0000-1900-000001000000}">
      <formula1>Holding_interest</formula1>
    </dataValidation>
    <dataValidation type="list" allowBlank="1" showInputMessage="1" showErrorMessage="1" sqref="I2:I3 I5:I20" xr:uid="{00000000-0002-0000-1900-000002000000}">
      <formula1>Country_list</formula1>
    </dataValidation>
    <dataValidation type="list" allowBlank="1" showInputMessage="1" showErrorMessage="1" sqref="E2:E3 E5:E20" xr:uid="{00000000-0002-0000-1900-000003000000}">
      <formula1>Issuer_Number_Banks</formula1>
    </dataValidation>
    <dataValidation type="list" allowBlank="1" showInputMessage="1" showErrorMessage="1" sqref="L2:L3 L5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F2:F3 F5:F20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H1" sqref="H1"/>
    </sheetView>
  </sheetViews>
  <sheetFormatPr defaultColWidth="9" defaultRowHeight="14.25" x14ac:dyDescent="0.2"/>
  <cols>
    <col min="1" max="1" width="12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4" ht="66.75" customHeight="1" x14ac:dyDescent="0.2">
      <c r="A1" s="168" t="s">
        <v>49</v>
      </c>
      <c r="B1" s="168" t="s">
        <v>50</v>
      </c>
      <c r="C1" s="168" t="s">
        <v>175</v>
      </c>
      <c r="D1" s="168" t="s">
        <v>54</v>
      </c>
      <c r="E1" s="168" t="s">
        <v>176</v>
      </c>
      <c r="F1" s="168" t="s">
        <v>56</v>
      </c>
      <c r="G1" s="168" t="s">
        <v>97</v>
      </c>
      <c r="H1" s="168" t="s">
        <v>177</v>
      </c>
      <c r="I1" s="168" t="s">
        <v>178</v>
      </c>
      <c r="J1" s="168" t="s">
        <v>179</v>
      </c>
      <c r="K1" s="168" t="s">
        <v>180</v>
      </c>
      <c r="L1" s="168" t="s">
        <v>181</v>
      </c>
      <c r="M1" s="168" t="s">
        <v>103</v>
      </c>
      <c r="N1" s="168" t="s">
        <v>105</v>
      </c>
      <c r="O1" s="168" t="s">
        <v>104</v>
      </c>
      <c r="P1" s="168" t="s">
        <v>106</v>
      </c>
      <c r="Q1" s="168" t="s">
        <v>59</v>
      </c>
      <c r="R1" s="168" t="s">
        <v>172</v>
      </c>
      <c r="S1" s="168" t="s">
        <v>63</v>
      </c>
      <c r="T1" s="168" t="s">
        <v>78</v>
      </c>
      <c r="U1" s="168" t="s">
        <v>88</v>
      </c>
      <c r="V1" s="168" t="s">
        <v>17</v>
      </c>
      <c r="W1" s="168" t="s">
        <v>64</v>
      </c>
      <c r="X1" s="168" t="s">
        <v>65</v>
      </c>
    </row>
    <row r="2" spans="1:24" x14ac:dyDescent="0.2">
      <c r="A2" t="s">
        <v>1204</v>
      </c>
      <c r="B2" t="s">
        <v>1204</v>
      </c>
      <c r="C2" t="s">
        <v>2337</v>
      </c>
      <c r="D2" t="s">
        <v>1030</v>
      </c>
      <c r="E2" t="s">
        <v>204</v>
      </c>
      <c r="F2" t="s">
        <v>339</v>
      </c>
      <c r="G2" t="s">
        <v>2338</v>
      </c>
      <c r="H2" t="s">
        <v>856</v>
      </c>
      <c r="I2" t="s">
        <v>867</v>
      </c>
      <c r="J2" t="s">
        <v>2339</v>
      </c>
      <c r="K2" s="126">
        <v>3.8199999999999998E-2</v>
      </c>
      <c r="L2" t="s">
        <v>314</v>
      </c>
      <c r="M2" t="s">
        <v>887</v>
      </c>
      <c r="N2" t="s">
        <v>2340</v>
      </c>
      <c r="O2" t="s">
        <v>889</v>
      </c>
      <c r="P2" t="s">
        <v>2341</v>
      </c>
      <c r="Q2" t="s">
        <v>1208</v>
      </c>
      <c r="R2" s="125">
        <v>10499998.845000001</v>
      </c>
      <c r="S2" s="125">
        <v>10499.999</v>
      </c>
      <c r="T2" s="103"/>
      <c r="U2" s="103"/>
      <c r="V2" s="103"/>
      <c r="W2" s="126">
        <v>1</v>
      </c>
      <c r="X2" s="126">
        <v>8.8999999999999995E-4</v>
      </c>
    </row>
    <row r="3" spans="1:24" x14ac:dyDescent="0.2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6"/>
      <c r="R3" s="103"/>
      <c r="S3" s="103"/>
      <c r="T3" s="103"/>
      <c r="U3" s="103"/>
      <c r="V3" s="103"/>
      <c r="W3" s="103"/>
      <c r="X3" s="103"/>
    </row>
    <row r="4" spans="1:24" x14ac:dyDescent="0.2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6"/>
      <c r="R4" s="103"/>
      <c r="S4" s="103"/>
      <c r="T4" s="103"/>
      <c r="U4" s="103"/>
      <c r="V4" s="103"/>
      <c r="W4" s="103"/>
      <c r="X4" s="103"/>
    </row>
    <row r="5" spans="1:24" x14ac:dyDescent="0.2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6"/>
      <c r="R5" s="103"/>
      <c r="S5" s="103"/>
      <c r="T5" s="103"/>
      <c r="U5" s="103"/>
      <c r="V5" s="103"/>
      <c r="W5" s="103"/>
      <c r="X5" s="103"/>
    </row>
    <row r="6" spans="1:24" x14ac:dyDescent="0.2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6"/>
      <c r="R6" s="103"/>
      <c r="S6" s="103"/>
      <c r="T6" s="103"/>
      <c r="U6" s="103"/>
      <c r="V6" s="103"/>
      <c r="W6" s="103"/>
      <c r="X6" s="103"/>
    </row>
    <row r="7" spans="1:24" x14ac:dyDescent="0.2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6"/>
      <c r="R7" s="103"/>
      <c r="S7" s="103"/>
      <c r="T7" s="103"/>
      <c r="U7" s="103"/>
      <c r="V7" s="103"/>
      <c r="W7" s="103"/>
      <c r="X7" s="103"/>
    </row>
    <row r="8" spans="1:24" x14ac:dyDescent="0.2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6"/>
      <c r="R8" s="103"/>
      <c r="S8" s="103"/>
      <c r="T8" s="103"/>
      <c r="U8" s="103"/>
      <c r="V8" s="103"/>
      <c r="W8" s="103"/>
      <c r="X8" s="103"/>
    </row>
    <row r="9" spans="1:24" x14ac:dyDescent="0.2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6"/>
      <c r="R9" s="103"/>
      <c r="S9" s="103"/>
      <c r="T9" s="103"/>
      <c r="U9" s="103"/>
      <c r="V9" s="103"/>
      <c r="W9" s="103"/>
      <c r="X9" s="103"/>
    </row>
    <row r="10" spans="1:24" x14ac:dyDescent="0.2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6"/>
      <c r="R10" s="103"/>
      <c r="S10" s="103"/>
      <c r="T10" s="103"/>
      <c r="U10" s="103"/>
      <c r="V10" s="103"/>
      <c r="W10" s="103"/>
      <c r="X10" s="103"/>
    </row>
    <row r="11" spans="1:24" x14ac:dyDescent="0.2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6"/>
      <c r="R11" s="103"/>
      <c r="S11" s="103"/>
      <c r="T11" s="103"/>
      <c r="U11" s="103"/>
      <c r="V11" s="103"/>
      <c r="W11" s="103"/>
      <c r="X11" s="103"/>
    </row>
    <row r="12" spans="1:24" x14ac:dyDescent="0.2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6"/>
      <c r="R12" s="103"/>
      <c r="S12" s="103"/>
      <c r="T12" s="103"/>
      <c r="U12" s="103"/>
      <c r="V12" s="103"/>
      <c r="W12" s="103"/>
      <c r="X12" s="103"/>
    </row>
    <row r="13" spans="1:24" x14ac:dyDescent="0.2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6"/>
      <c r="R13" s="103"/>
      <c r="S13" s="103"/>
      <c r="T13" s="103"/>
      <c r="U13" s="103"/>
      <c r="V13" s="103"/>
      <c r="W13" s="103"/>
      <c r="X13" s="103"/>
    </row>
    <row r="14" spans="1:24" x14ac:dyDescent="0.2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6"/>
      <c r="R14" s="103"/>
      <c r="S14" s="103"/>
      <c r="T14" s="103"/>
      <c r="U14" s="103"/>
      <c r="V14" s="103"/>
      <c r="W14" s="103"/>
      <c r="X14" s="103"/>
    </row>
    <row r="15" spans="1:24" x14ac:dyDescent="0.2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6"/>
      <c r="R15" s="103"/>
      <c r="S15" s="103"/>
      <c r="T15" s="103"/>
      <c r="U15" s="103"/>
      <c r="V15" s="103"/>
      <c r="W15" s="103"/>
      <c r="X15" s="103"/>
    </row>
    <row r="16" spans="1:24" x14ac:dyDescent="0.2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6"/>
      <c r="R16" s="103"/>
      <c r="S16" s="103"/>
      <c r="T16" s="103"/>
      <c r="U16" s="103"/>
      <c r="V16" s="103"/>
      <c r="W16" s="103"/>
      <c r="X16" s="103"/>
    </row>
    <row r="17" spans="1:24" x14ac:dyDescent="0.2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6"/>
      <c r="R17" s="103"/>
      <c r="S17" s="103"/>
      <c r="T17" s="103"/>
      <c r="U17" s="103"/>
      <c r="V17" s="103"/>
      <c r="W17" s="103"/>
      <c r="X17" s="103"/>
    </row>
    <row r="18" spans="1:24" x14ac:dyDescent="0.2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6"/>
      <c r="R18" s="103"/>
      <c r="S18" s="103"/>
      <c r="T18" s="103"/>
      <c r="U18" s="103"/>
      <c r="V18" s="103"/>
      <c r="W18" s="103"/>
      <c r="X18" s="103"/>
    </row>
    <row r="19" spans="1:24" x14ac:dyDescent="0.2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6"/>
      <c r="R19" s="103"/>
      <c r="S19" s="103"/>
      <c r="T19" s="103"/>
      <c r="U19" s="103"/>
      <c r="V19" s="103"/>
      <c r="W19" s="103"/>
      <c r="X19" s="103"/>
    </row>
    <row r="20" spans="1:24" x14ac:dyDescent="0.2">
      <c r="A20" s="102"/>
      <c r="B20" s="102"/>
      <c r="C20" s="102"/>
      <c r="D20" s="103"/>
      <c r="E20" s="103"/>
      <c r="F20" s="103"/>
      <c r="G20" s="102"/>
      <c r="H20" s="103"/>
      <c r="I20" s="103"/>
      <c r="J20" s="102"/>
      <c r="K20" s="102"/>
      <c r="L20" s="103"/>
      <c r="M20" s="103"/>
      <c r="N20" s="102"/>
      <c r="O20" s="103"/>
      <c r="P20" s="102"/>
      <c r="Q20" s="102"/>
      <c r="R20" s="102"/>
      <c r="S20" s="102"/>
      <c r="T20" s="102"/>
      <c r="U20" s="102"/>
      <c r="V20" s="103"/>
      <c r="W20" s="102"/>
      <c r="X20" s="102"/>
    </row>
    <row r="21" spans="1:24" x14ac:dyDescent="0.2">
      <c r="A21" s="102"/>
      <c r="B21" s="102"/>
      <c r="C21" s="102"/>
      <c r="D21" s="103"/>
      <c r="E21" s="103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</row>
    <row r="22" spans="1:24" x14ac:dyDescent="0.2">
      <c r="A22" s="102"/>
      <c r="B22" s="102"/>
      <c r="C22" s="102"/>
      <c r="D2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J22"/>
  <sheetViews>
    <sheetView rightToLeft="1" workbookViewId="0">
      <selection activeCell="A3" sqref="A3:AJ3"/>
    </sheetView>
  </sheetViews>
  <sheetFormatPr defaultColWidth="9" defaultRowHeight="14.25" x14ac:dyDescent="0.2"/>
  <cols>
    <col min="1" max="1" width="12.12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66</v>
      </c>
      <c r="D1" s="168" t="s">
        <v>80</v>
      </c>
      <c r="E1" s="168" t="s">
        <v>81</v>
      </c>
      <c r="F1" s="168" t="s">
        <v>67</v>
      </c>
      <c r="G1" s="168" t="s">
        <v>68</v>
      </c>
      <c r="H1" s="168" t="s">
        <v>82</v>
      </c>
      <c r="I1" s="168" t="s">
        <v>54</v>
      </c>
      <c r="J1" s="168" t="s">
        <v>55</v>
      </c>
      <c r="K1" s="168" t="s">
        <v>69</v>
      </c>
      <c r="L1" s="168" t="s">
        <v>83</v>
      </c>
      <c r="M1" s="168" t="s">
        <v>56</v>
      </c>
      <c r="N1" s="168" t="s">
        <v>59</v>
      </c>
      <c r="O1" s="168" t="s">
        <v>103</v>
      </c>
      <c r="P1" s="168" t="s">
        <v>104</v>
      </c>
      <c r="Q1" s="168" t="s">
        <v>106</v>
      </c>
      <c r="R1" s="168" t="s">
        <v>107</v>
      </c>
      <c r="S1" s="168" t="s">
        <v>182</v>
      </c>
      <c r="T1" s="168" t="s">
        <v>183</v>
      </c>
      <c r="U1" s="168" t="s">
        <v>63</v>
      </c>
      <c r="V1" s="168" t="s">
        <v>64</v>
      </c>
      <c r="W1" s="168" t="s">
        <v>65</v>
      </c>
    </row>
    <row r="2" spans="1:36" x14ac:dyDescent="0.2">
      <c r="A2" t="s">
        <v>1204</v>
      </c>
      <c r="B2" t="s">
        <v>1204</v>
      </c>
      <c r="C2" s="103"/>
      <c r="D2" s="103"/>
      <c r="E2" s="16"/>
      <c r="F2" s="103"/>
      <c r="G2" s="103"/>
      <c r="H2" s="103"/>
      <c r="I2" s="103"/>
      <c r="J2" s="16"/>
      <c r="K2" s="16"/>
      <c r="L2" s="103"/>
      <c r="M2" s="103"/>
      <c r="N2" s="16"/>
      <c r="O2" s="103"/>
      <c r="P2" s="103"/>
      <c r="Q2" s="103"/>
      <c r="R2" s="103"/>
      <c r="S2" s="103"/>
      <c r="T2" s="103"/>
      <c r="U2" s="103"/>
      <c r="V2" s="103"/>
      <c r="W2" s="103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3"/>
      <c r="D4" s="103"/>
      <c r="E4" s="16"/>
      <c r="F4" s="103"/>
      <c r="G4" s="103"/>
      <c r="H4" s="103"/>
      <c r="I4" s="103"/>
      <c r="J4" s="16"/>
      <c r="K4" s="16"/>
      <c r="L4" s="103"/>
      <c r="M4" s="103"/>
      <c r="N4" s="16"/>
      <c r="O4" s="103"/>
      <c r="P4" s="103"/>
      <c r="Q4" s="103"/>
      <c r="R4" s="103"/>
      <c r="S4" s="103"/>
      <c r="T4" s="103"/>
      <c r="U4" s="103"/>
      <c r="V4" s="103"/>
      <c r="W4" s="103"/>
    </row>
    <row r="5" spans="1:36" x14ac:dyDescent="0.2">
      <c r="A5" s="103"/>
      <c r="B5" s="103"/>
      <c r="C5" s="103"/>
      <c r="D5" s="103"/>
      <c r="E5" s="16"/>
      <c r="F5" s="103"/>
      <c r="G5" s="103"/>
      <c r="H5" s="103"/>
      <c r="I5" s="103"/>
      <c r="J5" s="16"/>
      <c r="K5" s="16"/>
      <c r="L5" s="103"/>
      <c r="M5" s="103"/>
      <c r="N5" s="16"/>
      <c r="O5" s="103"/>
      <c r="P5" s="103"/>
      <c r="Q5" s="103"/>
      <c r="R5" s="103"/>
      <c r="S5" s="103"/>
      <c r="T5" s="103"/>
      <c r="U5" s="103"/>
      <c r="V5" s="103"/>
      <c r="W5" s="103"/>
    </row>
    <row r="6" spans="1:36" x14ac:dyDescent="0.2">
      <c r="A6" s="103"/>
      <c r="B6" s="103"/>
      <c r="C6" s="103"/>
      <c r="D6" s="103"/>
      <c r="E6" s="16"/>
      <c r="F6" s="103"/>
      <c r="G6" s="103"/>
      <c r="H6" s="103"/>
      <c r="I6" s="103"/>
      <c r="J6" s="16"/>
      <c r="K6" s="16"/>
      <c r="L6" s="103"/>
      <c r="M6" s="103"/>
      <c r="N6" s="16"/>
      <c r="O6" s="103"/>
      <c r="P6" s="103"/>
      <c r="Q6" s="103"/>
      <c r="R6" s="103"/>
      <c r="S6" s="103"/>
      <c r="T6" s="103"/>
      <c r="U6" s="103"/>
      <c r="V6" s="103"/>
      <c r="W6" s="103"/>
    </row>
    <row r="7" spans="1:36" x14ac:dyDescent="0.2">
      <c r="A7" s="103"/>
      <c r="B7" s="103"/>
      <c r="C7" s="103"/>
      <c r="D7" s="103"/>
      <c r="E7" s="16"/>
      <c r="F7" s="103"/>
      <c r="G7" s="103"/>
      <c r="H7" s="103"/>
      <c r="I7" s="103"/>
      <c r="J7" s="16"/>
      <c r="K7" s="16"/>
      <c r="L7" s="103"/>
      <c r="M7" s="103"/>
      <c r="N7" s="16"/>
      <c r="O7" s="103"/>
      <c r="P7" s="103"/>
      <c r="Q7" s="103"/>
      <c r="R7" s="103"/>
      <c r="S7" s="103"/>
      <c r="T7" s="103"/>
      <c r="U7" s="103"/>
      <c r="V7" s="103"/>
      <c r="W7" s="103"/>
    </row>
    <row r="8" spans="1:36" x14ac:dyDescent="0.2">
      <c r="A8" s="103"/>
      <c r="B8" s="103"/>
      <c r="C8" s="103"/>
      <c r="D8" s="103"/>
      <c r="E8" s="16"/>
      <c r="F8" s="103"/>
      <c r="G8" s="103"/>
      <c r="H8" s="103"/>
      <c r="I8" s="103"/>
      <c r="J8" s="16"/>
      <c r="K8" s="16"/>
      <c r="L8" s="103"/>
      <c r="M8" s="103"/>
      <c r="N8" s="16"/>
      <c r="O8" s="103"/>
      <c r="P8" s="103"/>
      <c r="Q8" s="103"/>
      <c r="R8" s="103"/>
      <c r="S8" s="103"/>
      <c r="T8" s="103"/>
      <c r="U8" s="103"/>
      <c r="V8" s="103"/>
      <c r="W8" s="103"/>
    </row>
    <row r="9" spans="1:36" x14ac:dyDescent="0.2">
      <c r="A9" s="103"/>
      <c r="B9" s="103"/>
      <c r="C9" s="103"/>
      <c r="D9" s="103"/>
      <c r="E9" s="16"/>
      <c r="F9" s="103"/>
      <c r="G9" s="103"/>
      <c r="H9" s="103"/>
      <c r="I9" s="103"/>
      <c r="J9" s="16"/>
      <c r="K9" s="16"/>
      <c r="L9" s="103"/>
      <c r="M9" s="103"/>
      <c r="N9" s="16"/>
      <c r="O9" s="103"/>
      <c r="P9" s="103"/>
      <c r="Q9" s="103"/>
      <c r="R9" s="103"/>
      <c r="S9" s="103"/>
      <c r="T9" s="103"/>
      <c r="U9" s="103"/>
      <c r="V9" s="103"/>
      <c r="W9" s="103"/>
    </row>
    <row r="10" spans="1:36" x14ac:dyDescent="0.2">
      <c r="A10" s="103"/>
      <c r="B10" s="103"/>
      <c r="C10" s="103"/>
      <c r="D10" s="103"/>
      <c r="E10" s="16"/>
      <c r="F10" s="103"/>
      <c r="G10" s="103"/>
      <c r="H10" s="103"/>
      <c r="I10" s="103"/>
      <c r="J10" s="16"/>
      <c r="K10" s="16"/>
      <c r="L10" s="103"/>
      <c r="M10" s="103"/>
      <c r="N10" s="16"/>
      <c r="O10" s="103"/>
      <c r="P10" s="103"/>
      <c r="Q10" s="103"/>
      <c r="R10" s="103"/>
      <c r="S10" s="103"/>
      <c r="T10" s="103"/>
      <c r="U10" s="103"/>
      <c r="V10" s="103"/>
      <c r="W10" s="103"/>
    </row>
    <row r="11" spans="1:36" x14ac:dyDescent="0.2">
      <c r="A11" s="103"/>
      <c r="B11" s="103"/>
      <c r="C11" s="103"/>
      <c r="D11" s="103"/>
      <c r="E11" s="16"/>
      <c r="F11" s="103"/>
      <c r="G11" s="103"/>
      <c r="H11" s="103"/>
      <c r="I11" s="103"/>
      <c r="J11" s="16"/>
      <c r="K11" s="16"/>
      <c r="L11" s="103"/>
      <c r="M11" s="103"/>
      <c r="N11" s="16"/>
      <c r="O11" s="103"/>
      <c r="P11" s="103"/>
      <c r="Q11" s="103"/>
      <c r="R11" s="103"/>
      <c r="S11" s="103"/>
      <c r="T11" s="103"/>
      <c r="U11" s="103"/>
      <c r="V11" s="103"/>
      <c r="W11" s="103"/>
    </row>
    <row r="12" spans="1:36" x14ac:dyDescent="0.2">
      <c r="A12" s="103"/>
      <c r="B12" s="103"/>
      <c r="C12" s="103"/>
      <c r="D12" s="103"/>
      <c r="E12" s="16"/>
      <c r="F12" s="103"/>
      <c r="G12" s="103"/>
      <c r="H12" s="103"/>
      <c r="I12" s="103"/>
      <c r="J12" s="16"/>
      <c r="K12" s="16"/>
      <c r="L12" s="103"/>
      <c r="M12" s="103"/>
      <c r="N12" s="16"/>
      <c r="O12" s="103"/>
      <c r="P12" s="103"/>
      <c r="Q12" s="103"/>
      <c r="R12" s="103"/>
      <c r="S12" s="103"/>
      <c r="T12" s="103"/>
      <c r="U12" s="103"/>
      <c r="V12" s="103"/>
      <c r="W12" s="103"/>
    </row>
    <row r="13" spans="1:36" x14ac:dyDescent="0.2">
      <c r="A13" s="103"/>
      <c r="B13" s="103"/>
      <c r="C13" s="103"/>
      <c r="D13" s="103"/>
      <c r="E13" s="16"/>
      <c r="F13" s="103"/>
      <c r="G13" s="103"/>
      <c r="H13" s="103"/>
      <c r="I13" s="103"/>
      <c r="J13" s="16"/>
      <c r="K13" s="16"/>
      <c r="L13" s="103"/>
      <c r="M13" s="103"/>
      <c r="N13" s="16"/>
      <c r="O13" s="103"/>
      <c r="P13" s="103"/>
      <c r="Q13" s="103"/>
      <c r="R13" s="103"/>
      <c r="S13" s="103"/>
      <c r="T13" s="103"/>
      <c r="U13" s="103"/>
      <c r="V13" s="103"/>
      <c r="W13" s="103"/>
    </row>
    <row r="14" spans="1:36" x14ac:dyDescent="0.2">
      <c r="A14" s="103"/>
      <c r="B14" s="103"/>
      <c r="C14" s="103"/>
      <c r="D14" s="103"/>
      <c r="E14" s="16"/>
      <c r="F14" s="103"/>
      <c r="G14" s="103"/>
      <c r="H14" s="103"/>
      <c r="I14" s="103"/>
      <c r="J14" s="16"/>
      <c r="K14" s="16"/>
      <c r="L14" s="103"/>
      <c r="M14" s="103"/>
      <c r="N14" s="16"/>
      <c r="O14" s="103"/>
      <c r="P14" s="103"/>
      <c r="Q14" s="103"/>
      <c r="R14" s="103"/>
      <c r="S14" s="103"/>
      <c r="T14" s="103"/>
      <c r="U14" s="103"/>
      <c r="V14" s="103"/>
      <c r="W14" s="103"/>
    </row>
    <row r="15" spans="1:36" x14ac:dyDescent="0.2">
      <c r="A15" s="103"/>
      <c r="B15" s="103"/>
      <c r="C15" s="103"/>
      <c r="D15" s="103"/>
      <c r="E15" s="16"/>
      <c r="F15" s="103"/>
      <c r="G15" s="103"/>
      <c r="H15" s="103"/>
      <c r="I15" s="103"/>
      <c r="J15" s="16"/>
      <c r="K15" s="16"/>
      <c r="L15" s="103"/>
      <c r="M15" s="103"/>
      <c r="N15" s="16"/>
      <c r="O15" s="103"/>
      <c r="P15" s="103"/>
      <c r="Q15" s="103"/>
      <c r="R15" s="103"/>
      <c r="S15" s="103"/>
      <c r="T15" s="103"/>
      <c r="U15" s="103"/>
      <c r="V15" s="103"/>
      <c r="W15" s="103"/>
    </row>
    <row r="16" spans="1:36" ht="15" x14ac:dyDescent="0.25">
      <c r="A16" s="25"/>
      <c r="B16" s="103"/>
      <c r="C16" s="103"/>
      <c r="D16" s="103"/>
      <c r="E16" s="16"/>
      <c r="F16" s="103"/>
      <c r="G16" s="103"/>
      <c r="H16" s="103"/>
      <c r="I16" s="103"/>
      <c r="J16" s="16"/>
      <c r="K16" s="16"/>
      <c r="L16" s="103"/>
      <c r="M16" s="103"/>
      <c r="N16" s="16"/>
      <c r="O16" s="103"/>
      <c r="P16" s="103"/>
      <c r="Q16" s="103"/>
      <c r="R16" s="103"/>
      <c r="S16" s="103"/>
      <c r="T16" s="103"/>
      <c r="U16" s="103"/>
      <c r="V16" s="103"/>
      <c r="W16" s="103"/>
    </row>
    <row r="17" spans="1:23" x14ac:dyDescent="0.2">
      <c r="A17" s="103"/>
      <c r="B17" s="103"/>
      <c r="C17" s="103"/>
      <c r="D17" s="103"/>
      <c r="E17" s="16"/>
      <c r="F17" s="103"/>
      <c r="G17" s="103"/>
      <c r="H17" s="103"/>
      <c r="I17" s="103"/>
      <c r="J17" s="16"/>
      <c r="K17" s="16"/>
      <c r="L17" s="103"/>
      <c r="M17" s="103"/>
      <c r="N17" s="16"/>
      <c r="O17" s="103"/>
      <c r="P17" s="103"/>
      <c r="Q17" s="103"/>
      <c r="R17" s="103"/>
      <c r="S17" s="103"/>
      <c r="T17" s="103"/>
      <c r="U17" s="103"/>
      <c r="V17" s="103"/>
      <c r="W17" s="103"/>
    </row>
    <row r="18" spans="1:23" x14ac:dyDescent="0.2">
      <c r="A18" s="103"/>
      <c r="B18" s="103"/>
      <c r="C18" s="103"/>
      <c r="D18" s="103"/>
      <c r="E18" s="16"/>
      <c r="F18" s="103"/>
      <c r="G18" s="103"/>
      <c r="H18" s="103"/>
      <c r="I18" s="103"/>
      <c r="J18" s="16"/>
      <c r="K18" s="16"/>
      <c r="L18" s="103"/>
      <c r="M18" s="103"/>
      <c r="N18" s="16"/>
      <c r="O18" s="103"/>
      <c r="P18" s="103"/>
      <c r="Q18" s="103"/>
      <c r="R18" s="103"/>
      <c r="S18" s="103"/>
      <c r="T18" s="103"/>
      <c r="U18" s="103"/>
      <c r="V18" s="103"/>
      <c r="W18" s="103"/>
    </row>
    <row r="19" spans="1:23" x14ac:dyDescent="0.2">
      <c r="A19" s="103"/>
      <c r="B19" s="103"/>
      <c r="C19" s="103"/>
      <c r="D19" s="103"/>
      <c r="E19" s="16"/>
      <c r="F19" s="103"/>
      <c r="G19" s="103"/>
      <c r="H19" s="103"/>
      <c r="I19" s="102"/>
      <c r="J19" s="16"/>
      <c r="K19" s="16"/>
      <c r="L19" s="103"/>
      <c r="M19" s="103"/>
      <c r="N19" s="16"/>
      <c r="O19" s="103"/>
      <c r="P19" s="103"/>
      <c r="Q19" s="103"/>
      <c r="R19" s="103"/>
      <c r="S19" s="103"/>
      <c r="T19" s="103"/>
      <c r="U19" s="103"/>
      <c r="V19" s="103"/>
      <c r="W19" s="103"/>
    </row>
    <row r="20" spans="1:23" x14ac:dyDescent="0.2">
      <c r="A20" s="102"/>
      <c r="B20" s="102"/>
      <c r="C20" s="102"/>
      <c r="D20" s="102"/>
      <c r="E20" s="16"/>
      <c r="F20" s="102"/>
      <c r="G20" s="102"/>
      <c r="H20" s="103"/>
      <c r="I20" s="103"/>
      <c r="J20" s="16"/>
      <c r="K20" s="16"/>
      <c r="L20" s="103"/>
      <c r="M20" s="103"/>
      <c r="N20" s="102"/>
      <c r="O20" s="103"/>
      <c r="P20" s="103"/>
      <c r="Q20" s="102"/>
      <c r="R20" s="102"/>
      <c r="S20" s="102"/>
      <c r="T20" s="102"/>
      <c r="U20" s="102"/>
      <c r="V20" s="102"/>
      <c r="W20" s="102"/>
    </row>
    <row r="21" spans="1:23" customFormat="1" x14ac:dyDescent="0.2"/>
    <row r="22" spans="1:23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AJ3"/>
  </mergeCells>
  <dataValidations count="10">
    <dataValidation type="list" allowBlank="1" showInputMessage="1" showErrorMessage="1" sqref="J2 J4:J20" xr:uid="{00000000-0002-0000-1B00-000000000000}">
      <formula1>israel_abroad</formula1>
    </dataValidation>
    <dataValidation type="list" allowBlank="1" showInputMessage="1" showErrorMessage="1" sqref="M2 M4:M20" xr:uid="{00000000-0002-0000-1B00-000001000000}">
      <formula1>Holding_interest</formula1>
    </dataValidation>
    <dataValidation type="list" allowBlank="1" showInputMessage="1" showErrorMessage="1" sqref="O2 O4:O20" xr:uid="{00000000-0002-0000-1B00-000002000000}">
      <formula1>Valuation</formula1>
    </dataValidation>
    <dataValidation type="list" allowBlank="1" showInputMessage="1" showErrorMessage="1" sqref="P2 P4:P20" xr:uid="{00000000-0002-0000-1B00-000003000000}">
      <formula1>Dependence_Independence</formula1>
    </dataValidation>
    <dataValidation type="list" allowBlank="1" showInputMessage="1" showErrorMessage="1" sqref="K2 K4:K20" xr:uid="{00000000-0002-0000-1B00-000004000000}">
      <formula1>Country_list</formula1>
    </dataValidation>
    <dataValidation type="list" allowBlank="1" showInputMessage="1" showErrorMessage="1" sqref="E4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 H4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 L4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 I4:I18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20"/>
  <sheetViews>
    <sheetView rightToLeft="1" workbookViewId="0">
      <selection activeCell="A3" sqref="A3:AJ3"/>
    </sheetView>
  </sheetViews>
  <sheetFormatPr defaultColWidth="9" defaultRowHeight="14.25" x14ac:dyDescent="0.2"/>
  <cols>
    <col min="1" max="1" width="10.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36" ht="66.75" customHeight="1" x14ac:dyDescent="0.2">
      <c r="A1" s="168" t="s">
        <v>49</v>
      </c>
      <c r="B1" s="168" t="s">
        <v>50</v>
      </c>
      <c r="C1" s="168" t="s">
        <v>184</v>
      </c>
      <c r="D1" s="168" t="s">
        <v>185</v>
      </c>
      <c r="E1" s="168" t="s">
        <v>54</v>
      </c>
      <c r="F1" s="168" t="s">
        <v>55</v>
      </c>
      <c r="G1" s="168" t="s">
        <v>69</v>
      </c>
      <c r="H1" s="168" t="s">
        <v>56</v>
      </c>
      <c r="I1" s="168" t="s">
        <v>186</v>
      </c>
      <c r="J1" s="168" t="s">
        <v>59</v>
      </c>
      <c r="K1" s="168" t="s">
        <v>106</v>
      </c>
      <c r="L1" s="168" t="s">
        <v>60</v>
      </c>
      <c r="M1" s="168" t="s">
        <v>61</v>
      </c>
      <c r="N1" s="168" t="s">
        <v>63</v>
      </c>
      <c r="O1" s="168" t="s">
        <v>78</v>
      </c>
      <c r="P1" s="168" t="s">
        <v>17</v>
      </c>
      <c r="Q1" s="168" t="s">
        <v>64</v>
      </c>
      <c r="R1" s="168" t="s">
        <v>65</v>
      </c>
    </row>
    <row r="2" spans="1:36" x14ac:dyDescent="0.2">
      <c r="A2" t="s">
        <v>1204</v>
      </c>
      <c r="B2" t="s">
        <v>1204</v>
      </c>
      <c r="C2" s="103"/>
      <c r="D2" s="103"/>
      <c r="E2" s="103"/>
      <c r="F2" s="16"/>
      <c r="G2" s="16"/>
      <c r="H2" s="103"/>
      <c r="I2" t="s">
        <v>2342</v>
      </c>
      <c r="J2" s="16"/>
      <c r="K2" s="103"/>
      <c r="L2"/>
      <c r="M2" s="103"/>
      <c r="N2" s="103"/>
      <c r="O2" s="103"/>
      <c r="P2" s="16"/>
      <c r="Q2" s="103"/>
      <c r="R2" s="103"/>
    </row>
    <row r="3" spans="1:36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x14ac:dyDescent="0.2">
      <c r="A4" s="103"/>
      <c r="B4" s="103"/>
      <c r="C4" s="103"/>
      <c r="D4" s="103"/>
      <c r="E4" s="103"/>
      <c r="F4" s="16"/>
      <c r="G4" s="16"/>
      <c r="H4" s="103"/>
      <c r="I4" s="103"/>
      <c r="J4" s="16"/>
      <c r="K4" s="103"/>
      <c r="L4" s="102"/>
      <c r="M4" s="103"/>
      <c r="N4" s="103"/>
      <c r="O4" s="103"/>
      <c r="P4" s="16"/>
      <c r="Q4" s="103"/>
      <c r="R4" s="103"/>
    </row>
    <row r="5" spans="1:36" x14ac:dyDescent="0.2">
      <c r="A5" s="103"/>
      <c r="B5" s="103"/>
      <c r="C5" s="103"/>
      <c r="D5" s="103"/>
      <c r="E5" s="103"/>
      <c r="F5" s="16"/>
      <c r="G5" s="16"/>
      <c r="H5" s="103"/>
      <c r="I5" s="103"/>
      <c r="J5" s="16"/>
      <c r="K5" s="103"/>
      <c r="L5" s="102"/>
      <c r="M5" s="103"/>
      <c r="N5" s="103"/>
      <c r="O5" s="103"/>
      <c r="P5" s="16"/>
      <c r="Q5" s="103"/>
      <c r="R5" s="103"/>
    </row>
    <row r="6" spans="1:36" x14ac:dyDescent="0.2">
      <c r="A6" s="103"/>
      <c r="B6" s="103"/>
      <c r="C6" s="103"/>
      <c r="D6" s="103"/>
      <c r="E6" s="103"/>
      <c r="F6" s="16"/>
      <c r="G6" s="16"/>
      <c r="H6" s="103"/>
      <c r="I6" s="103"/>
      <c r="J6" s="16"/>
      <c r="K6" s="103"/>
      <c r="L6" s="102"/>
      <c r="M6" s="103"/>
      <c r="N6" s="103"/>
      <c r="O6" s="103"/>
      <c r="P6" s="16"/>
      <c r="Q6" s="103"/>
      <c r="R6" s="103"/>
    </row>
    <row r="7" spans="1:36" x14ac:dyDescent="0.2">
      <c r="A7" s="103"/>
      <c r="B7" s="103"/>
      <c r="C7" s="103"/>
      <c r="D7" s="103"/>
      <c r="E7" s="103"/>
      <c r="F7" s="16"/>
      <c r="G7" s="16"/>
      <c r="H7" s="103"/>
      <c r="I7" s="103"/>
      <c r="J7" s="16"/>
      <c r="K7" s="103"/>
      <c r="L7" s="102"/>
      <c r="M7" s="103"/>
      <c r="N7" s="103"/>
      <c r="O7" s="103"/>
      <c r="P7" s="16"/>
      <c r="Q7" s="103"/>
      <c r="R7" s="103"/>
    </row>
    <row r="8" spans="1:36" x14ac:dyDescent="0.2">
      <c r="A8" s="103"/>
      <c r="B8" s="103"/>
      <c r="C8" s="103"/>
      <c r="D8" s="103"/>
      <c r="E8" s="103"/>
      <c r="F8" s="16"/>
      <c r="G8" s="16"/>
      <c r="H8" s="103"/>
      <c r="I8" s="103"/>
      <c r="J8" s="16"/>
      <c r="K8" s="103"/>
      <c r="L8" s="102"/>
      <c r="M8" s="103"/>
      <c r="N8" s="103"/>
      <c r="O8" s="103"/>
      <c r="P8" s="16"/>
      <c r="Q8" s="103"/>
      <c r="R8" s="103"/>
    </row>
    <row r="9" spans="1:36" x14ac:dyDescent="0.2">
      <c r="A9" s="103"/>
      <c r="B9" s="103"/>
      <c r="C9" s="103"/>
      <c r="D9" s="103"/>
      <c r="E9" s="103"/>
      <c r="F9" s="16"/>
      <c r="G9" s="16"/>
      <c r="H9" s="103"/>
      <c r="I9" s="103"/>
      <c r="J9" s="16"/>
      <c r="K9" s="103"/>
      <c r="L9" s="102"/>
      <c r="M9" s="103"/>
      <c r="N9" s="103"/>
      <c r="O9" s="103"/>
      <c r="P9" s="16"/>
      <c r="Q9" s="103"/>
      <c r="R9" s="103"/>
    </row>
    <row r="10" spans="1:36" x14ac:dyDescent="0.2">
      <c r="A10" s="103"/>
      <c r="B10" s="103"/>
      <c r="C10" s="103"/>
      <c r="D10" s="103"/>
      <c r="E10" s="103"/>
      <c r="F10" s="16"/>
      <c r="G10" s="16"/>
      <c r="H10" s="103"/>
      <c r="I10" s="103"/>
      <c r="J10" s="16"/>
      <c r="K10" s="103"/>
      <c r="L10" s="102"/>
      <c r="M10" s="103"/>
      <c r="N10" s="103"/>
      <c r="O10" s="103"/>
      <c r="P10" s="16"/>
      <c r="Q10" s="103"/>
      <c r="R10" s="103"/>
    </row>
    <row r="11" spans="1:36" x14ac:dyDescent="0.2">
      <c r="A11" s="103"/>
      <c r="B11" s="103"/>
      <c r="C11" s="103"/>
      <c r="D11" s="103"/>
      <c r="E11" s="103"/>
      <c r="F11" s="16"/>
      <c r="G11" s="16"/>
      <c r="H11" s="103"/>
      <c r="I11" s="103"/>
      <c r="J11" s="16"/>
      <c r="K11" s="103"/>
      <c r="L11" s="102"/>
      <c r="M11" s="103"/>
      <c r="N11" s="103"/>
      <c r="O11" s="103"/>
      <c r="P11" s="16"/>
      <c r="Q11" s="103"/>
      <c r="R11" s="103"/>
    </row>
    <row r="12" spans="1:36" x14ac:dyDescent="0.2">
      <c r="A12" s="103"/>
      <c r="B12" s="103"/>
      <c r="C12" s="103"/>
      <c r="D12" s="103"/>
      <c r="E12" s="103"/>
      <c r="F12" s="16"/>
      <c r="G12" s="16"/>
      <c r="H12" s="103"/>
      <c r="I12" s="103"/>
      <c r="J12" s="16"/>
      <c r="K12" s="103"/>
      <c r="L12" s="102"/>
      <c r="M12" s="103"/>
      <c r="N12" s="103"/>
      <c r="O12" s="103"/>
      <c r="P12" s="16"/>
      <c r="Q12" s="103"/>
      <c r="R12" s="103"/>
    </row>
    <row r="13" spans="1:36" x14ac:dyDescent="0.2">
      <c r="A13" s="103"/>
      <c r="B13" s="103"/>
      <c r="C13" s="103"/>
      <c r="D13" s="103"/>
      <c r="E13" s="103"/>
      <c r="F13" s="16"/>
      <c r="G13" s="16"/>
      <c r="H13" s="103"/>
      <c r="I13" s="103"/>
      <c r="J13" s="16"/>
      <c r="K13" s="103"/>
      <c r="L13" s="102"/>
      <c r="M13" s="103"/>
      <c r="N13" s="103"/>
      <c r="O13" s="103"/>
      <c r="P13" s="16"/>
      <c r="Q13" s="103"/>
      <c r="R13" s="103"/>
    </row>
    <row r="14" spans="1:36" x14ac:dyDescent="0.2">
      <c r="A14" s="103"/>
      <c r="B14" s="103"/>
      <c r="C14" s="103"/>
      <c r="D14" s="103"/>
      <c r="E14" s="103"/>
      <c r="F14" s="16"/>
      <c r="G14" s="16"/>
      <c r="H14" s="103"/>
      <c r="I14" s="103"/>
      <c r="J14" s="16"/>
      <c r="K14" s="103"/>
      <c r="L14" s="102"/>
      <c r="M14" s="103"/>
      <c r="N14" s="103"/>
      <c r="O14" s="103"/>
      <c r="P14" s="16"/>
      <c r="Q14" s="103"/>
      <c r="R14" s="103"/>
    </row>
    <row r="15" spans="1:36" x14ac:dyDescent="0.2">
      <c r="A15" s="103"/>
      <c r="B15" s="103"/>
      <c r="C15" s="103"/>
      <c r="D15" s="103"/>
      <c r="E15" s="103"/>
      <c r="F15" s="16"/>
      <c r="G15" s="16"/>
      <c r="H15" s="103"/>
      <c r="I15" s="103"/>
      <c r="J15" s="16"/>
      <c r="K15" s="103"/>
      <c r="L15" s="102"/>
      <c r="M15" s="103"/>
      <c r="N15" s="103"/>
      <c r="O15" s="103"/>
      <c r="P15" s="16"/>
      <c r="Q15" s="103"/>
      <c r="R15" s="103"/>
    </row>
    <row r="16" spans="1:36" x14ac:dyDescent="0.2">
      <c r="A16" s="103"/>
      <c r="B16" s="103"/>
      <c r="C16" s="103"/>
      <c r="D16" s="103"/>
      <c r="E16" s="103"/>
      <c r="F16" s="16"/>
      <c r="G16" s="16"/>
      <c r="H16" s="103"/>
      <c r="I16" s="103"/>
      <c r="J16" s="16"/>
      <c r="K16" s="103"/>
      <c r="L16" s="102"/>
      <c r="M16" s="103"/>
      <c r="N16" s="103"/>
      <c r="O16" s="103"/>
      <c r="P16" s="16"/>
      <c r="Q16" s="103"/>
      <c r="R16" s="103"/>
    </row>
    <row r="17" spans="1:18" x14ac:dyDescent="0.2">
      <c r="A17" s="103"/>
      <c r="B17" s="103"/>
      <c r="C17" s="103"/>
      <c r="D17" s="103"/>
      <c r="E17" s="103"/>
      <c r="F17" s="16"/>
      <c r="G17" s="16"/>
      <c r="H17" s="103"/>
      <c r="I17" s="103"/>
      <c r="J17" s="16"/>
      <c r="K17" s="103"/>
      <c r="L17" s="102"/>
      <c r="M17" s="103"/>
      <c r="N17" s="103"/>
      <c r="O17" s="103"/>
      <c r="P17" s="16"/>
      <c r="Q17" s="103"/>
      <c r="R17" s="103"/>
    </row>
    <row r="18" spans="1:18" x14ac:dyDescent="0.2">
      <c r="A18" s="103"/>
      <c r="B18" s="103"/>
      <c r="C18" s="103"/>
      <c r="D18" s="103"/>
      <c r="E18" s="103"/>
      <c r="F18" s="16"/>
      <c r="G18" s="16"/>
      <c r="H18" s="103"/>
      <c r="I18" s="103"/>
      <c r="J18" s="16"/>
      <c r="K18" s="103"/>
      <c r="L18" s="102"/>
      <c r="M18" s="103"/>
      <c r="N18" s="103"/>
      <c r="O18" s="103"/>
      <c r="P18" s="16"/>
      <c r="Q18" s="103"/>
      <c r="R18" s="103"/>
    </row>
    <row r="19" spans="1:18" x14ac:dyDescent="0.2">
      <c r="A19" s="103"/>
      <c r="B19" s="103"/>
      <c r="C19" s="103"/>
      <c r="D19" s="103"/>
      <c r="E19" s="103"/>
      <c r="F19" s="16"/>
      <c r="G19" s="16"/>
      <c r="H19" s="103"/>
      <c r="I19" s="103"/>
      <c r="J19" s="16"/>
      <c r="K19" s="103"/>
      <c r="L19" s="102"/>
      <c r="M19" s="103"/>
      <c r="N19" s="103"/>
      <c r="O19" s="103"/>
      <c r="P19" s="16"/>
      <c r="Q19" s="103"/>
      <c r="R19" s="103"/>
    </row>
    <row r="20" spans="1:18" x14ac:dyDescent="0.2">
      <c r="A20" s="102"/>
      <c r="B20" s="102"/>
      <c r="C20" s="102"/>
      <c r="D20" s="102"/>
      <c r="E20" s="103"/>
      <c r="F20" s="16"/>
      <c r="G20" s="16"/>
      <c r="H20" s="103"/>
      <c r="I20" s="102"/>
      <c r="J20" s="102"/>
      <c r="K20" s="102"/>
      <c r="L20" s="102"/>
      <c r="M20" s="102"/>
      <c r="N20" s="102"/>
      <c r="O20" s="102"/>
      <c r="P20" s="16"/>
      <c r="Q20" s="102"/>
      <c r="R20" s="102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1">
    <mergeCell ref="A3:AJ3"/>
  </mergeCells>
  <dataValidations count="5">
    <dataValidation type="list" allowBlank="1" showInputMessage="1" showErrorMessage="1" sqref="F2 F4:F20" xr:uid="{00000000-0002-0000-1C00-000000000000}">
      <formula1>israel_abroad</formula1>
    </dataValidation>
    <dataValidation type="list" allowBlank="1" showInputMessage="1" showErrorMessage="1" sqref="H2 H4:H20" xr:uid="{00000000-0002-0000-1C00-000001000000}">
      <formula1>Holding_interest</formula1>
    </dataValidation>
    <dataValidation type="list" allowBlank="1" showInputMessage="1" showErrorMessage="1" sqref="P2 P4:P20" xr:uid="{00000000-0002-0000-1C00-000002000000}">
      <formula1>In_the_books</formula1>
    </dataValidation>
    <dataValidation type="list" allowBlank="1" showInputMessage="1" showErrorMessage="1" sqref="G2 G4:G20" xr:uid="{00000000-0002-0000-1C00-000003000000}">
      <formula1>Country_list</formula1>
    </dataValidation>
    <dataValidation type="list" allowBlank="1" showInputMessage="1" showErrorMessage="1" sqref="E2 E4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J22"/>
  <sheetViews>
    <sheetView rightToLeft="1" workbookViewId="0">
      <selection activeCell="A3" sqref="A3:AJ3"/>
    </sheetView>
  </sheetViews>
  <sheetFormatPr defaultColWidth="11.625" defaultRowHeight="14.1" customHeight="1" x14ac:dyDescent="0.2"/>
  <cols>
    <col min="1" max="1" width="11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36" ht="66.75" customHeight="1" x14ac:dyDescent="0.2">
      <c r="A1" s="168" t="s">
        <v>49</v>
      </c>
      <c r="B1" s="168" t="s">
        <v>50</v>
      </c>
      <c r="C1" s="168" t="s">
        <v>150</v>
      </c>
      <c r="D1" s="168" t="s">
        <v>151</v>
      </c>
      <c r="E1" s="168" t="s">
        <v>152</v>
      </c>
      <c r="F1" s="168" t="s">
        <v>153</v>
      </c>
      <c r="G1" s="168" t="s">
        <v>187</v>
      </c>
      <c r="H1" s="168" t="s">
        <v>55</v>
      </c>
      <c r="I1" s="168" t="s">
        <v>69</v>
      </c>
      <c r="J1" s="168" t="s">
        <v>56</v>
      </c>
      <c r="K1" s="168" t="s">
        <v>71</v>
      </c>
      <c r="L1" s="168" t="s">
        <v>58</v>
      </c>
      <c r="M1" s="168" t="s">
        <v>158</v>
      </c>
      <c r="N1" s="168" t="s">
        <v>59</v>
      </c>
      <c r="O1" s="168" t="s">
        <v>61</v>
      </c>
      <c r="P1" s="168" t="s">
        <v>62</v>
      </c>
      <c r="Q1" s="168" t="s">
        <v>159</v>
      </c>
      <c r="R1" s="168" t="s">
        <v>188</v>
      </c>
      <c r="S1" s="168" t="s">
        <v>189</v>
      </c>
      <c r="T1" s="168" t="s">
        <v>190</v>
      </c>
      <c r="U1" s="102"/>
      <c r="V1" s="102"/>
    </row>
    <row r="2" spans="1:36" ht="14.1" customHeight="1" x14ac:dyDescent="0.2">
      <c r="A2" t="s">
        <v>1204</v>
      </c>
      <c r="B2" t="s">
        <v>1204</v>
      </c>
      <c r="C2" s="102"/>
      <c r="D2" s="103"/>
      <c r="E2" s="102"/>
      <c r="F2" s="102"/>
      <c r="G2" s="16"/>
      <c r="H2" s="16"/>
      <c r="I2" s="16"/>
      <c r="J2" s="103"/>
      <c r="K2" s="103"/>
      <c r="L2" s="103"/>
      <c r="M2" s="103"/>
      <c r="N2" s="102"/>
      <c r="O2" s="102"/>
      <c r="P2"/>
      <c r="Q2" s="103"/>
      <c r="R2" s="16"/>
      <c r="S2" s="16"/>
      <c r="T2" s="16"/>
      <c r="U2" s="102"/>
      <c r="V2" s="102"/>
    </row>
    <row r="3" spans="1:36" ht="14.1" customHeight="1" x14ac:dyDescent="0.2">
      <c r="A3" s="169" t="s">
        <v>2494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</row>
    <row r="4" spans="1:36" ht="14.1" customHeight="1" x14ac:dyDescent="0.2">
      <c r="A4" s="102"/>
      <c r="B4" s="102"/>
      <c r="C4" s="102"/>
      <c r="D4" s="103"/>
      <c r="E4" s="102"/>
      <c r="F4" s="102"/>
      <c r="G4"/>
      <c r="H4" s="16"/>
      <c r="I4" s="16"/>
      <c r="J4" s="103"/>
      <c r="K4" s="103"/>
      <c r="L4" s="103"/>
      <c r="M4" s="103"/>
      <c r="N4" s="102"/>
      <c r="O4" s="102"/>
      <c r="P4" s="102"/>
      <c r="Q4" s="103"/>
      <c r="R4" s="102"/>
      <c r="S4" s="102"/>
      <c r="T4" s="102"/>
      <c r="U4" s="102"/>
      <c r="V4" s="102"/>
    </row>
    <row r="5" spans="1:36" ht="14.1" customHeight="1" x14ac:dyDescent="0.2">
      <c r="A5" s="102"/>
      <c r="B5" s="102"/>
      <c r="C5" s="102"/>
      <c r="D5" s="103"/>
      <c r="E5" s="102"/>
      <c r="F5" s="102"/>
      <c r="G5"/>
      <c r="H5" s="16"/>
      <c r="I5" s="16"/>
      <c r="J5" s="103"/>
      <c r="K5" s="103"/>
      <c r="L5" s="103"/>
      <c r="M5" s="103"/>
      <c r="N5" s="102"/>
      <c r="O5" s="102"/>
      <c r="P5" s="102"/>
      <c r="Q5" s="103"/>
      <c r="R5" s="102"/>
      <c r="S5" s="102"/>
      <c r="T5" s="102"/>
      <c r="U5" s="102"/>
      <c r="V5" s="102"/>
    </row>
    <row r="6" spans="1:36" ht="14.1" customHeight="1" x14ac:dyDescent="0.2">
      <c r="A6" s="102"/>
      <c r="B6" s="102"/>
      <c r="C6" s="102"/>
      <c r="D6" s="103"/>
      <c r="E6" s="102"/>
      <c r="F6" s="102"/>
      <c r="G6"/>
      <c r="H6" s="16"/>
      <c r="I6" s="16"/>
      <c r="J6" s="103"/>
      <c r="K6" s="103"/>
      <c r="L6" s="103"/>
      <c r="M6" s="103"/>
      <c r="N6" s="102"/>
      <c r="O6" s="102"/>
      <c r="P6" s="102"/>
      <c r="Q6" s="103"/>
      <c r="R6" s="102"/>
      <c r="S6" s="102"/>
      <c r="T6" s="102"/>
      <c r="U6" s="102"/>
      <c r="V6" s="102"/>
    </row>
    <row r="7" spans="1:36" ht="14.1" customHeight="1" x14ac:dyDescent="0.2">
      <c r="A7" s="102"/>
      <c r="B7" s="102"/>
      <c r="C7" s="102"/>
      <c r="D7" s="103"/>
      <c r="E7" s="102"/>
      <c r="F7" s="102"/>
      <c r="G7"/>
      <c r="H7" s="16"/>
      <c r="I7" s="16"/>
      <c r="J7" s="103"/>
      <c r="K7" s="103"/>
      <c r="L7" s="103"/>
      <c r="M7" s="103"/>
      <c r="N7" s="102"/>
      <c r="O7" s="102"/>
      <c r="P7" s="102"/>
      <c r="Q7" s="103"/>
      <c r="R7" s="102"/>
      <c r="S7" s="102"/>
      <c r="T7" s="102"/>
      <c r="U7" s="102"/>
      <c r="V7" s="102"/>
    </row>
    <row r="8" spans="1:36" ht="14.1" customHeight="1" x14ac:dyDescent="0.2">
      <c r="A8" s="102"/>
      <c r="B8" s="102"/>
      <c r="C8" s="102"/>
      <c r="D8" s="103"/>
      <c r="E8" s="102"/>
      <c r="F8" s="102"/>
      <c r="G8"/>
      <c r="H8" s="16"/>
      <c r="I8" s="16"/>
      <c r="J8" s="103"/>
      <c r="K8" s="103"/>
      <c r="L8" s="103"/>
      <c r="M8" s="103"/>
      <c r="N8" s="102"/>
      <c r="O8" s="102"/>
      <c r="P8" s="102"/>
      <c r="Q8" s="103"/>
      <c r="R8" s="102"/>
      <c r="S8" s="102"/>
      <c r="T8" s="102"/>
      <c r="U8" s="102"/>
      <c r="V8" s="102"/>
    </row>
    <row r="9" spans="1:36" ht="14.1" customHeight="1" x14ac:dyDescent="0.2">
      <c r="A9" s="102"/>
      <c r="B9" s="102"/>
      <c r="C9" s="102"/>
      <c r="D9" s="103"/>
      <c r="E9" s="102"/>
      <c r="F9" s="102"/>
      <c r="G9"/>
      <c r="H9" s="16"/>
      <c r="I9" s="16"/>
      <c r="J9" s="103"/>
      <c r="K9" s="103"/>
      <c r="L9" s="103"/>
      <c r="M9" s="103"/>
      <c r="N9" s="102"/>
      <c r="O9" s="102"/>
      <c r="P9" s="102"/>
      <c r="Q9" s="103"/>
      <c r="R9" s="102"/>
      <c r="S9" s="102"/>
      <c r="T9" s="102"/>
      <c r="U9" s="102"/>
      <c r="V9" s="102"/>
    </row>
    <row r="10" spans="1:36" ht="13.5" customHeight="1" x14ac:dyDescent="0.2">
      <c r="A10" s="102"/>
      <c r="B10" s="102"/>
      <c r="C10" s="102"/>
      <c r="D10" s="103"/>
      <c r="E10" s="102"/>
      <c r="F10" s="102"/>
      <c r="G10"/>
      <c r="H10" s="16"/>
      <c r="I10" s="16"/>
      <c r="J10" s="103"/>
      <c r="K10" s="103"/>
      <c r="L10" s="103"/>
      <c r="M10" s="103"/>
      <c r="N10" s="102"/>
      <c r="O10" s="102"/>
      <c r="P10" s="102"/>
      <c r="Q10" s="103"/>
      <c r="R10" s="102"/>
      <c r="S10" s="102"/>
      <c r="T10" s="102"/>
      <c r="U10" s="102"/>
      <c r="V10" s="102"/>
    </row>
    <row r="11" spans="1:36" ht="13.5" customHeight="1" x14ac:dyDescent="0.2">
      <c r="A11" s="102"/>
      <c r="B11" s="102"/>
      <c r="C11" s="102"/>
      <c r="D11" s="103"/>
      <c r="E11" s="102"/>
      <c r="F11" s="102"/>
      <c r="G11"/>
      <c r="H11" s="16"/>
      <c r="I11" s="16"/>
      <c r="J11" s="103"/>
      <c r="K11" s="103"/>
      <c r="L11" s="103"/>
      <c r="M11" s="103"/>
      <c r="N11" s="102"/>
      <c r="O11" s="102"/>
      <c r="P11" s="102"/>
      <c r="Q11" s="103"/>
      <c r="R11" s="102"/>
      <c r="S11" s="102"/>
      <c r="T11" s="102"/>
      <c r="U11" s="102"/>
      <c r="V11" s="102"/>
    </row>
    <row r="12" spans="1:36" ht="14.1" customHeight="1" x14ac:dyDescent="0.2">
      <c r="A12" s="102"/>
      <c r="B12" s="102"/>
      <c r="C12" s="102"/>
      <c r="D12" s="103"/>
      <c r="E12" s="102"/>
      <c r="F12" s="102"/>
      <c r="G12"/>
      <c r="H12" s="16"/>
      <c r="I12" s="16"/>
      <c r="J12" s="103"/>
      <c r="K12" s="103"/>
      <c r="L12" s="103"/>
      <c r="M12" s="103"/>
      <c r="N12" s="102"/>
      <c r="O12" s="102"/>
      <c r="P12" s="102"/>
      <c r="Q12" s="103"/>
      <c r="R12" s="102"/>
      <c r="S12" s="102"/>
      <c r="T12" s="102"/>
      <c r="U12" s="102"/>
      <c r="V12" s="102"/>
    </row>
    <row r="13" spans="1:36" ht="14.1" customHeight="1" x14ac:dyDescent="0.2">
      <c r="A13" s="102"/>
      <c r="B13" s="102"/>
      <c r="C13" s="102"/>
      <c r="D13" s="103"/>
      <c r="E13" s="102"/>
      <c r="F13" s="102"/>
      <c r="G13"/>
      <c r="H13" s="16"/>
      <c r="I13" s="16"/>
      <c r="J13" s="103"/>
      <c r="K13" s="103"/>
      <c r="L13" s="103"/>
      <c r="M13" s="103"/>
      <c r="N13" s="102"/>
      <c r="O13" s="102"/>
      <c r="P13" s="102"/>
      <c r="Q13" s="103"/>
      <c r="R13" s="102"/>
      <c r="S13" s="102"/>
      <c r="T13" s="102"/>
      <c r="U13" s="102"/>
      <c r="V13" s="102"/>
    </row>
    <row r="14" spans="1:36" ht="14.1" customHeight="1" x14ac:dyDescent="0.2">
      <c r="A14" s="102"/>
      <c r="B14" s="102"/>
      <c r="C14" s="102"/>
      <c r="D14" s="103"/>
      <c r="E14" s="102"/>
      <c r="F14" s="102"/>
      <c r="G14"/>
      <c r="H14" s="16"/>
      <c r="I14" s="16"/>
      <c r="J14" s="103"/>
      <c r="K14" s="103"/>
      <c r="L14" s="103"/>
      <c r="M14" s="103"/>
      <c r="N14" s="102"/>
      <c r="O14" s="102"/>
      <c r="P14" s="102"/>
      <c r="Q14" s="103"/>
      <c r="R14" s="102"/>
      <c r="S14" s="102"/>
      <c r="T14" s="102"/>
      <c r="U14" s="102"/>
      <c r="V14" s="102"/>
    </row>
    <row r="15" spans="1:36" ht="14.1" customHeight="1" x14ac:dyDescent="0.2">
      <c r="A15" s="102"/>
      <c r="B15" s="102"/>
      <c r="C15" s="102"/>
      <c r="D15" s="103"/>
      <c r="E15" s="102"/>
      <c r="F15" s="102"/>
      <c r="G15"/>
      <c r="H15" s="16"/>
      <c r="I15" s="16"/>
      <c r="J15" s="103"/>
      <c r="K15" s="103"/>
      <c r="L15" s="103"/>
      <c r="M15" s="103"/>
      <c r="N15" s="102"/>
      <c r="O15" s="102"/>
      <c r="P15" s="102"/>
      <c r="Q15" s="103"/>
      <c r="R15" s="102"/>
      <c r="S15" s="102"/>
      <c r="T15" s="102"/>
      <c r="U15" s="102"/>
      <c r="V15" s="102"/>
    </row>
    <row r="16" spans="1:36" ht="14.1" customHeight="1" x14ac:dyDescent="0.2">
      <c r="A16" s="102"/>
      <c r="B16" s="102"/>
      <c r="C16" s="102"/>
      <c r="D16" s="103"/>
      <c r="E16" s="102"/>
      <c r="F16" s="102"/>
      <c r="G16"/>
      <c r="H16" s="16"/>
      <c r="I16" s="16"/>
      <c r="J16" s="103"/>
      <c r="K16" s="103"/>
      <c r="L16" s="103"/>
      <c r="M16" s="103"/>
      <c r="N16" s="102"/>
      <c r="O16" s="102"/>
      <c r="P16" s="102"/>
      <c r="Q16" s="103"/>
      <c r="R16" s="102"/>
      <c r="S16" s="102"/>
      <c r="T16" s="102"/>
      <c r="U16" s="102"/>
      <c r="V16" s="102"/>
    </row>
    <row r="17" spans="4:17" ht="14.1" customHeight="1" x14ac:dyDescent="0.2">
      <c r="D17" s="103"/>
      <c r="E17" s="102"/>
      <c r="F17" s="102"/>
      <c r="G17"/>
      <c r="H17" s="16"/>
      <c r="I17" s="16"/>
      <c r="J17" s="103"/>
      <c r="K17" s="103"/>
      <c r="L17" s="103"/>
      <c r="M17" s="103"/>
      <c r="N17" s="102"/>
      <c r="O17" s="102"/>
      <c r="P17" s="102"/>
      <c r="Q17" s="103"/>
    </row>
    <row r="18" spans="4:17" ht="14.1" customHeight="1" x14ac:dyDescent="0.2">
      <c r="D18" s="103"/>
      <c r="E18" s="102"/>
      <c r="F18" s="102"/>
      <c r="G18"/>
      <c r="H18" s="16"/>
      <c r="I18" s="16"/>
      <c r="J18" s="103"/>
      <c r="K18" s="103"/>
      <c r="L18" s="103"/>
      <c r="M18" s="103"/>
      <c r="N18" s="102"/>
      <c r="O18" s="102"/>
      <c r="P18" s="102"/>
      <c r="Q18" s="103"/>
    </row>
    <row r="19" spans="4:17" ht="14.1" customHeight="1" x14ac:dyDescent="0.2">
      <c r="D19" s="103"/>
      <c r="E19" s="102"/>
      <c r="F19" s="102"/>
      <c r="G19"/>
      <c r="H19" s="16"/>
      <c r="I19" s="16"/>
      <c r="J19" s="103"/>
      <c r="K19" s="103"/>
      <c r="L19" s="103"/>
      <c r="M19" s="103"/>
      <c r="N19" s="102"/>
      <c r="O19" s="102"/>
      <c r="P19" s="102"/>
      <c r="Q19" s="103"/>
    </row>
    <row r="20" spans="4:17" ht="14.1" customHeight="1" x14ac:dyDescent="0.2">
      <c r="D20" s="103"/>
      <c r="E20" s="102"/>
      <c r="F20" s="102"/>
      <c r="G20"/>
      <c r="H20" s="16"/>
      <c r="I20" s="16"/>
      <c r="J20" s="103"/>
      <c r="K20" s="102"/>
      <c r="L20" s="103"/>
      <c r="M20" s="103"/>
      <c r="N20" s="102"/>
      <c r="O20" s="102"/>
      <c r="P20" s="102"/>
      <c r="Q20" s="103"/>
    </row>
    <row r="21" spans="4:17" ht="14.1" customHeight="1" x14ac:dyDescent="0.2">
      <c r="D21" s="4"/>
      <c r="E21" s="102"/>
      <c r="F21" s="102"/>
      <c r="G21" s="102"/>
      <c r="H21" s="102"/>
      <c r="I21" s="102"/>
      <c r="J21"/>
      <c r="K21" s="102"/>
      <c r="L21" s="102"/>
      <c r="M21" s="102"/>
      <c r="N21" s="102"/>
      <c r="O21" s="102"/>
      <c r="P21" s="102"/>
      <c r="Q21" s="102"/>
    </row>
    <row r="22" spans="4:17" ht="14.1" customHeight="1" x14ac:dyDescent="0.2">
      <c r="D22" s="4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1">
    <mergeCell ref="A3:AJ3"/>
  </mergeCells>
  <dataValidations count="8">
    <dataValidation type="list" allowBlank="1" showInputMessage="1" showErrorMessage="1" sqref="H2 H4:H20" xr:uid="{00000000-0002-0000-1D00-000000000000}">
      <formula1>israel_abroad</formula1>
    </dataValidation>
    <dataValidation type="list" allowBlank="1" showInputMessage="1" showErrorMessage="1" sqref="I2 I4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 D4:D20" xr:uid="{00000000-0002-0000-1D00-000003000000}">
      <formula1>issuer_number_loan</formula1>
    </dataValidation>
    <dataValidation type="list" allowBlank="1" showInputMessage="1" showErrorMessage="1" sqref="L2 L4:L20" xr:uid="{00000000-0002-0000-1D00-000004000000}">
      <formula1>Rating_Agency</formula1>
    </dataValidation>
    <dataValidation type="list" allowBlank="1" showInputMessage="1" showErrorMessage="1" sqref="Q2 Q4:Q20" xr:uid="{00000000-0002-0000-1D00-000005000000}">
      <formula1>Type_of_Interest_Rate</formula1>
    </dataValidation>
    <dataValidation type="list" allowBlank="1" showInputMessage="1" showErrorMessage="1" sqref="J2 J4:J20" xr:uid="{00000000-0002-0000-1D00-000006000000}">
      <formula1>Holding_interest</formula1>
    </dataValidation>
    <dataValidation type="list" allowBlank="1" showInputMessage="1" showErrorMessage="1" sqref="M2 M4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J94"/>
  <sheetViews>
    <sheetView rightToLeft="1" workbookViewId="0">
      <selection activeCell="D88" sqref="D88"/>
    </sheetView>
  </sheetViews>
  <sheetFormatPr defaultColWidth="11.625" defaultRowHeight="14.1" customHeight="1" x14ac:dyDescent="0.2"/>
  <cols>
    <col min="1" max="1" width="12" style="2" customWidth="1"/>
    <col min="2" max="2" width="11.625" style="2" customWidth="1"/>
    <col min="3" max="3" width="15.375" style="2" bestFit="1" customWidth="1"/>
    <col min="4" max="4" width="42.125" style="2" bestFit="1" customWidth="1"/>
    <col min="5" max="5" width="27.5" style="2" customWidth="1"/>
    <col min="6" max="6" width="30.25" style="2" customWidth="1"/>
    <col min="7" max="7" width="43.875" style="2" bestFit="1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1" width="11.625" style="2" customWidth="1"/>
    <col min="22" max="16384" width="11.625" style="2"/>
  </cols>
  <sheetData>
    <row r="1" spans="1:21" ht="66.75" customHeight="1" x14ac:dyDescent="0.2">
      <c r="A1" s="168" t="s">
        <v>49</v>
      </c>
      <c r="B1" s="168" t="s">
        <v>50</v>
      </c>
      <c r="C1" s="168" t="s">
        <v>54</v>
      </c>
      <c r="D1" s="168" t="s">
        <v>108</v>
      </c>
      <c r="E1" s="168" t="s">
        <v>109</v>
      </c>
      <c r="F1" s="168" t="s">
        <v>110</v>
      </c>
      <c r="G1" s="168" t="s">
        <v>111</v>
      </c>
      <c r="H1" s="168" t="s">
        <v>112</v>
      </c>
      <c r="I1" s="168" t="s">
        <v>113</v>
      </c>
      <c r="J1" s="168" t="s">
        <v>59</v>
      </c>
      <c r="K1" s="168" t="s">
        <v>191</v>
      </c>
      <c r="L1" s="168" t="s">
        <v>192</v>
      </c>
      <c r="M1" s="168" t="s">
        <v>193</v>
      </c>
      <c r="N1" s="168" t="s">
        <v>194</v>
      </c>
      <c r="O1" s="168" t="s">
        <v>195</v>
      </c>
      <c r="P1" s="168" t="s">
        <v>196</v>
      </c>
      <c r="Q1" s="168" t="s">
        <v>197</v>
      </c>
      <c r="R1" s="102"/>
      <c r="S1" s="102"/>
      <c r="T1" s="102"/>
      <c r="U1" s="102"/>
    </row>
    <row r="2" spans="1:21" ht="14.1" customHeight="1" x14ac:dyDescent="0.2">
      <c r="A2">
        <v>267</v>
      </c>
      <c r="B2">
        <v>267</v>
      </c>
      <c r="C2" s="102" t="s">
        <v>1068</v>
      </c>
      <c r="D2" t="s">
        <v>2343</v>
      </c>
      <c r="E2">
        <v>550274542</v>
      </c>
      <c r="F2" t="s">
        <v>310</v>
      </c>
      <c r="G2" t="s">
        <v>2212</v>
      </c>
      <c r="H2">
        <v>18986</v>
      </c>
      <c r="I2" t="s">
        <v>312</v>
      </c>
      <c r="J2" t="s">
        <v>1208</v>
      </c>
      <c r="K2" s="135">
        <v>43090</v>
      </c>
      <c r="L2" s="125">
        <v>50000000</v>
      </c>
      <c r="M2" s="125">
        <v>50000</v>
      </c>
      <c r="N2" s="125">
        <v>7038863</v>
      </c>
      <c r="O2" s="125">
        <v>7038.8630000000003</v>
      </c>
      <c r="P2" s="134">
        <v>0.14077726000000002</v>
      </c>
      <c r="Q2" s="132">
        <v>46752</v>
      </c>
      <c r="R2" s="102"/>
      <c r="S2" s="102"/>
      <c r="T2" s="102"/>
      <c r="U2" s="16"/>
    </row>
    <row r="3" spans="1:21" ht="14.1" customHeight="1" x14ac:dyDescent="0.2">
      <c r="A3">
        <v>267</v>
      </c>
      <c r="B3">
        <v>267</v>
      </c>
      <c r="C3" s="102" t="s">
        <v>1068</v>
      </c>
      <c r="D3" t="s">
        <v>2344</v>
      </c>
      <c r="E3">
        <v>540306594</v>
      </c>
      <c r="F3" t="s">
        <v>310</v>
      </c>
      <c r="G3" t="s">
        <v>2267</v>
      </c>
      <c r="H3">
        <v>18987</v>
      </c>
      <c r="I3" t="s">
        <v>312</v>
      </c>
      <c r="J3" t="s">
        <v>1208</v>
      </c>
      <c r="K3" s="135">
        <v>44468</v>
      </c>
      <c r="L3" s="125">
        <v>35000000</v>
      </c>
      <c r="M3" s="125">
        <v>35000</v>
      </c>
      <c r="N3" s="125">
        <v>10280686</v>
      </c>
      <c r="O3" s="125">
        <v>10280.686</v>
      </c>
      <c r="P3" s="134">
        <v>0.29373388571428571</v>
      </c>
      <c r="Q3" s="132">
        <v>48030</v>
      </c>
      <c r="R3" s="102"/>
      <c r="S3" s="102"/>
      <c r="T3" s="102"/>
      <c r="U3" s="16"/>
    </row>
    <row r="4" spans="1:21" ht="13.5" customHeight="1" x14ac:dyDescent="0.2">
      <c r="A4">
        <v>267</v>
      </c>
      <c r="B4">
        <v>267</v>
      </c>
      <c r="C4" s="102" t="s">
        <v>1068</v>
      </c>
      <c r="D4" t="s">
        <v>2345</v>
      </c>
      <c r="E4" t="s">
        <v>2248</v>
      </c>
      <c r="F4" t="s">
        <v>309</v>
      </c>
      <c r="G4" t="s">
        <v>2249</v>
      </c>
      <c r="H4">
        <v>26435</v>
      </c>
      <c r="I4" t="s">
        <v>312</v>
      </c>
      <c r="J4" t="s">
        <v>1208</v>
      </c>
      <c r="K4" s="135">
        <v>40112</v>
      </c>
      <c r="L4" s="125">
        <v>96388659</v>
      </c>
      <c r="M4" s="125">
        <v>96388.659</v>
      </c>
      <c r="N4" s="125">
        <v>478518</v>
      </c>
      <c r="O4" s="125">
        <v>478.51799999999997</v>
      </c>
      <c r="P4" s="134">
        <v>4.9644637135163377E-3</v>
      </c>
      <c r="Q4" s="132">
        <v>43976</v>
      </c>
      <c r="R4" s="102"/>
      <c r="S4" s="102"/>
      <c r="T4" s="102"/>
      <c r="U4" s="16"/>
    </row>
    <row r="5" spans="1:21" ht="13.5" customHeight="1" x14ac:dyDescent="0.2">
      <c r="A5">
        <v>267</v>
      </c>
      <c r="B5">
        <v>267</v>
      </c>
      <c r="C5" s="102" t="s">
        <v>1068</v>
      </c>
      <c r="D5" t="s">
        <v>2346</v>
      </c>
      <c r="E5">
        <v>514607670</v>
      </c>
      <c r="F5" t="s">
        <v>309</v>
      </c>
      <c r="G5" t="s">
        <v>2229</v>
      </c>
      <c r="H5">
        <v>32698</v>
      </c>
      <c r="I5" t="s">
        <v>312</v>
      </c>
      <c r="J5" t="s">
        <v>1208</v>
      </c>
      <c r="K5" s="135">
        <v>40707</v>
      </c>
      <c r="L5" s="125">
        <v>18750417</v>
      </c>
      <c r="M5" s="125">
        <v>18750.417000000001</v>
      </c>
      <c r="N5" s="125">
        <v>0</v>
      </c>
      <c r="O5" s="125">
        <v>0</v>
      </c>
      <c r="P5" s="134">
        <v>0</v>
      </c>
      <c r="Q5" s="132">
        <v>40705</v>
      </c>
      <c r="R5" s="102"/>
      <c r="S5" s="102"/>
      <c r="T5" s="102"/>
      <c r="U5" s="16"/>
    </row>
    <row r="6" spans="1:21" ht="14.1" customHeight="1" x14ac:dyDescent="0.2">
      <c r="A6">
        <v>267</v>
      </c>
      <c r="B6">
        <v>267</v>
      </c>
      <c r="C6" s="102" t="s">
        <v>1068</v>
      </c>
      <c r="D6" t="s">
        <v>2347</v>
      </c>
      <c r="E6" t="s">
        <v>2250</v>
      </c>
      <c r="F6" t="s">
        <v>309</v>
      </c>
      <c r="G6" t="s">
        <v>2251</v>
      </c>
      <c r="H6">
        <v>33000</v>
      </c>
      <c r="I6" t="s">
        <v>312</v>
      </c>
      <c r="J6" t="s">
        <v>1208</v>
      </c>
      <c r="K6" s="135">
        <v>40906</v>
      </c>
      <c r="L6" s="125">
        <v>20000000</v>
      </c>
      <c r="M6" s="125">
        <v>20000</v>
      </c>
      <c r="N6" s="125">
        <v>809314</v>
      </c>
      <c r="O6" s="125">
        <v>809.31399999999996</v>
      </c>
      <c r="P6" s="134">
        <v>4.04657E-2</v>
      </c>
      <c r="Q6" s="132">
        <v>44682</v>
      </c>
      <c r="R6" s="102"/>
      <c r="S6" s="102"/>
      <c r="T6" s="102"/>
      <c r="U6" s="16"/>
    </row>
    <row r="7" spans="1:21" ht="14.1" customHeight="1" x14ac:dyDescent="0.2">
      <c r="A7">
        <v>267</v>
      </c>
      <c r="B7">
        <v>267</v>
      </c>
      <c r="C7" s="102" t="s">
        <v>1068</v>
      </c>
      <c r="D7" t="s">
        <v>2347</v>
      </c>
      <c r="E7" t="s">
        <v>2250</v>
      </c>
      <c r="F7" t="s">
        <v>309</v>
      </c>
      <c r="G7" t="s">
        <v>2272</v>
      </c>
      <c r="H7">
        <v>36764</v>
      </c>
      <c r="I7" t="s">
        <v>312</v>
      </c>
      <c r="J7" t="s">
        <v>1208</v>
      </c>
      <c r="K7" s="135">
        <v>40906</v>
      </c>
      <c r="L7" s="125">
        <v>34395318</v>
      </c>
      <c r="M7" s="125">
        <v>34395.317999999999</v>
      </c>
      <c r="N7" s="125">
        <v>3391102</v>
      </c>
      <c r="O7" s="125">
        <v>3391.1019999999999</v>
      </c>
      <c r="P7" s="134">
        <v>9.8591965336677509E-2</v>
      </c>
      <c r="Q7" s="132">
        <v>46387</v>
      </c>
      <c r="R7" s="102"/>
      <c r="S7" s="102"/>
      <c r="T7" s="102"/>
      <c r="U7" s="16"/>
    </row>
    <row r="8" spans="1:21" ht="14.1" customHeight="1" x14ac:dyDescent="0.2">
      <c r="A8">
        <v>267</v>
      </c>
      <c r="B8">
        <v>267</v>
      </c>
      <c r="C8" s="102" t="s">
        <v>1068</v>
      </c>
      <c r="D8" t="s">
        <v>2348</v>
      </c>
      <c r="E8">
        <v>550260061</v>
      </c>
      <c r="F8" t="s">
        <v>310</v>
      </c>
      <c r="G8" t="s">
        <v>2215</v>
      </c>
      <c r="H8">
        <v>37879</v>
      </c>
      <c r="I8" t="s">
        <v>312</v>
      </c>
      <c r="J8" t="s">
        <v>1208</v>
      </c>
      <c r="K8" s="135">
        <v>42185</v>
      </c>
      <c r="L8" s="125">
        <v>30000000</v>
      </c>
      <c r="M8" s="125">
        <v>30000</v>
      </c>
      <c r="N8" s="125">
        <v>5250000</v>
      </c>
      <c r="O8" s="125">
        <v>5250</v>
      </c>
      <c r="P8" s="134">
        <v>0.17499999999999999</v>
      </c>
      <c r="Q8" s="132">
        <v>45822</v>
      </c>
      <c r="R8" s="102"/>
      <c r="S8" s="102"/>
      <c r="T8" s="102"/>
      <c r="U8" s="16"/>
    </row>
    <row r="9" spans="1:21" ht="14.1" customHeight="1" x14ac:dyDescent="0.2">
      <c r="A9">
        <v>267</v>
      </c>
      <c r="B9">
        <v>267</v>
      </c>
      <c r="C9" s="102" t="s">
        <v>1068</v>
      </c>
      <c r="D9" t="s">
        <v>1799</v>
      </c>
      <c r="E9">
        <v>550254650</v>
      </c>
      <c r="F9" t="s">
        <v>309</v>
      </c>
      <c r="G9" t="s">
        <v>2253</v>
      </c>
      <c r="H9">
        <v>40022</v>
      </c>
      <c r="I9" t="s">
        <v>312</v>
      </c>
      <c r="J9" t="s">
        <v>1208</v>
      </c>
      <c r="K9" s="135">
        <v>43089</v>
      </c>
      <c r="L9" s="125">
        <v>49999994.5</v>
      </c>
      <c r="M9" s="125">
        <v>49999.994500000001</v>
      </c>
      <c r="N9" s="125">
        <v>20800732.199999999</v>
      </c>
      <c r="O9" s="125">
        <v>20800.732199999999</v>
      </c>
      <c r="P9" s="134">
        <v>0.41601468976161582</v>
      </c>
      <c r="Q9" s="132">
        <v>43089</v>
      </c>
      <c r="R9" s="102"/>
      <c r="S9" s="102"/>
      <c r="T9" s="102"/>
      <c r="U9" s="16"/>
    </row>
    <row r="10" spans="1:21" ht="14.1" customHeight="1" x14ac:dyDescent="0.2">
      <c r="A10">
        <v>267</v>
      </c>
      <c r="B10">
        <v>267</v>
      </c>
      <c r="C10" s="102" t="s">
        <v>1068</v>
      </c>
      <c r="D10" t="s">
        <v>2349</v>
      </c>
      <c r="E10">
        <v>515366425</v>
      </c>
      <c r="F10" t="s">
        <v>310</v>
      </c>
      <c r="G10" t="s">
        <v>2243</v>
      </c>
      <c r="H10">
        <v>45963</v>
      </c>
      <c r="I10" t="s">
        <v>312</v>
      </c>
      <c r="J10" t="s">
        <v>1208</v>
      </c>
      <c r="K10" s="135">
        <v>42983</v>
      </c>
      <c r="L10" s="125">
        <v>10000000</v>
      </c>
      <c r="M10" s="125">
        <v>10000</v>
      </c>
      <c r="N10" s="125">
        <v>9474174</v>
      </c>
      <c r="O10" s="125">
        <v>9474.1740000000009</v>
      </c>
      <c r="P10" s="134">
        <v>0.94741740000000008</v>
      </c>
      <c r="Q10" s="132">
        <v>47391</v>
      </c>
      <c r="R10" s="102"/>
      <c r="S10" s="102"/>
      <c r="T10" s="102"/>
      <c r="U10" s="16"/>
    </row>
    <row r="11" spans="1:21" ht="14.1" customHeight="1" x14ac:dyDescent="0.2">
      <c r="A11">
        <v>267</v>
      </c>
      <c r="B11">
        <v>267</v>
      </c>
      <c r="C11" s="102" t="s">
        <v>1068</v>
      </c>
      <c r="D11" t="s">
        <v>2349</v>
      </c>
      <c r="E11">
        <v>515366425</v>
      </c>
      <c r="F11" t="s">
        <v>310</v>
      </c>
      <c r="G11" t="s">
        <v>2235</v>
      </c>
      <c r="H11">
        <v>47803</v>
      </c>
      <c r="I11" t="s">
        <v>312</v>
      </c>
      <c r="J11" t="s">
        <v>1208</v>
      </c>
      <c r="K11" s="135">
        <v>42983</v>
      </c>
      <c r="L11" s="125">
        <v>20000000</v>
      </c>
      <c r="M11" s="125">
        <v>20000</v>
      </c>
      <c r="N11" s="125">
        <v>8660955</v>
      </c>
      <c r="O11" s="125">
        <v>8660.9549999999999</v>
      </c>
      <c r="P11" s="142">
        <v>0.43304775000000001</v>
      </c>
      <c r="Q11" s="132">
        <v>46843</v>
      </c>
      <c r="R11" s="102"/>
      <c r="S11" s="102"/>
      <c r="T11" s="102"/>
      <c r="U11" s="102"/>
    </row>
    <row r="12" spans="1:21" ht="14.1" customHeight="1" x14ac:dyDescent="0.2">
      <c r="A12">
        <v>267</v>
      </c>
      <c r="B12">
        <v>267</v>
      </c>
      <c r="C12" s="102" t="s">
        <v>1068</v>
      </c>
      <c r="D12" t="s">
        <v>2350</v>
      </c>
      <c r="E12">
        <v>550257117</v>
      </c>
      <c r="F12" t="s">
        <v>310</v>
      </c>
      <c r="G12" t="s">
        <v>2289</v>
      </c>
      <c r="H12">
        <v>78949</v>
      </c>
      <c r="I12" t="s">
        <v>312</v>
      </c>
      <c r="J12" t="s">
        <v>1208</v>
      </c>
      <c r="K12" s="135">
        <v>42019</v>
      </c>
      <c r="L12" s="125">
        <v>25000000</v>
      </c>
      <c r="M12" s="125">
        <v>25000</v>
      </c>
      <c r="N12" s="125">
        <v>5457927</v>
      </c>
      <c r="O12" s="125">
        <v>5457.9269999999997</v>
      </c>
      <c r="P12" s="142">
        <v>0.21831708</v>
      </c>
      <c r="Q12" s="132">
        <v>45261</v>
      </c>
      <c r="R12" s="102"/>
      <c r="S12" s="102"/>
      <c r="T12" s="102"/>
      <c r="U12" s="102"/>
    </row>
    <row r="13" spans="1:21" ht="14.1" customHeight="1" x14ac:dyDescent="0.2">
      <c r="A13">
        <v>267</v>
      </c>
      <c r="B13">
        <v>267</v>
      </c>
      <c r="C13" s="102" t="s">
        <v>1068</v>
      </c>
      <c r="D13" t="s">
        <v>2351</v>
      </c>
      <c r="E13">
        <v>550257117</v>
      </c>
      <c r="F13" t="s">
        <v>310</v>
      </c>
      <c r="G13" t="s">
        <v>2288</v>
      </c>
      <c r="H13">
        <v>78964</v>
      </c>
      <c r="I13" t="s">
        <v>312</v>
      </c>
      <c r="J13" t="s">
        <v>1208</v>
      </c>
      <c r="K13" s="135">
        <v>42690</v>
      </c>
      <c r="L13" s="125">
        <v>40000000</v>
      </c>
      <c r="M13" s="125">
        <v>40000</v>
      </c>
      <c r="N13" s="125">
        <v>15400637</v>
      </c>
      <c r="O13" s="125">
        <v>15400.637000000001</v>
      </c>
      <c r="P13" s="142">
        <v>0.38501592500000004</v>
      </c>
      <c r="Q13" s="132">
        <v>44845</v>
      </c>
      <c r="R13" s="102"/>
      <c r="S13" s="102"/>
      <c r="T13" s="102"/>
      <c r="U13" s="102"/>
    </row>
    <row r="14" spans="1:21" ht="14.1" customHeight="1" x14ac:dyDescent="0.2">
      <c r="A14">
        <v>267</v>
      </c>
      <c r="B14">
        <v>267</v>
      </c>
      <c r="C14" s="102" t="s">
        <v>1068</v>
      </c>
      <c r="D14" t="s">
        <v>2352</v>
      </c>
      <c r="E14">
        <v>550274807</v>
      </c>
      <c r="F14" t="s">
        <v>310</v>
      </c>
      <c r="G14" t="s">
        <v>2262</v>
      </c>
      <c r="H14">
        <v>79012</v>
      </c>
      <c r="I14" t="s">
        <v>312</v>
      </c>
      <c r="J14" t="s">
        <v>1208</v>
      </c>
      <c r="K14" s="135">
        <v>43132</v>
      </c>
      <c r="L14" s="125">
        <v>40000000</v>
      </c>
      <c r="M14" s="125">
        <v>40000</v>
      </c>
      <c r="N14" s="125">
        <v>3225174</v>
      </c>
      <c r="O14" s="125">
        <v>3225.174</v>
      </c>
      <c r="P14" s="142">
        <v>8.0629350000000002E-2</v>
      </c>
      <c r="Q14" s="132">
        <v>46023</v>
      </c>
      <c r="R14" s="102"/>
      <c r="S14" s="102"/>
      <c r="T14" s="102"/>
      <c r="U14" s="102"/>
    </row>
    <row r="15" spans="1:21" ht="14.1" customHeight="1" x14ac:dyDescent="0.2">
      <c r="A15">
        <v>267</v>
      </c>
      <c r="B15">
        <v>267</v>
      </c>
      <c r="C15" s="102" t="s">
        <v>1068</v>
      </c>
      <c r="D15" t="s">
        <v>2348</v>
      </c>
      <c r="E15">
        <v>550260061</v>
      </c>
      <c r="F15" t="s">
        <v>310</v>
      </c>
      <c r="G15" t="s">
        <v>2206</v>
      </c>
      <c r="H15">
        <v>50000652</v>
      </c>
      <c r="I15" t="s">
        <v>312</v>
      </c>
      <c r="J15" t="s">
        <v>1208</v>
      </c>
      <c r="K15" s="135">
        <v>42185</v>
      </c>
      <c r="L15" s="125">
        <v>40000000</v>
      </c>
      <c r="M15" s="125">
        <v>40000</v>
      </c>
      <c r="N15" s="125">
        <v>4600000</v>
      </c>
      <c r="O15" s="125">
        <v>4600</v>
      </c>
      <c r="P15" s="142">
        <v>0.115</v>
      </c>
      <c r="Q15" s="132">
        <v>47573</v>
      </c>
      <c r="R15" s="102"/>
      <c r="S15" s="102"/>
      <c r="T15" s="102"/>
      <c r="U15" s="102"/>
    </row>
    <row r="16" spans="1:21" ht="14.1" customHeight="1" x14ac:dyDescent="0.2">
      <c r="A16">
        <v>267</v>
      </c>
      <c r="B16">
        <v>267</v>
      </c>
      <c r="C16" s="102" t="s">
        <v>1068</v>
      </c>
      <c r="D16" t="s">
        <v>2353</v>
      </c>
      <c r="E16">
        <v>540290103</v>
      </c>
      <c r="F16" t="s">
        <v>310</v>
      </c>
      <c r="G16" t="s">
        <v>2261</v>
      </c>
      <c r="H16">
        <v>50000892</v>
      </c>
      <c r="I16" t="s">
        <v>312</v>
      </c>
      <c r="J16" t="s">
        <v>1208</v>
      </c>
      <c r="K16" s="135">
        <v>43803</v>
      </c>
      <c r="L16" s="125">
        <v>40000000</v>
      </c>
      <c r="M16" s="125">
        <v>40000</v>
      </c>
      <c r="N16" s="125">
        <v>11862594</v>
      </c>
      <c r="O16" s="125">
        <v>11862.593999999999</v>
      </c>
      <c r="P16" s="142">
        <v>0.29656484999999999</v>
      </c>
      <c r="Q16" s="132">
        <v>47057</v>
      </c>
      <c r="R16" s="102"/>
      <c r="S16" s="102"/>
      <c r="T16" s="102"/>
      <c r="U16" s="102"/>
    </row>
    <row r="17" spans="1:17" ht="14.1" customHeight="1" x14ac:dyDescent="0.2">
      <c r="A17">
        <v>267</v>
      </c>
      <c r="B17">
        <v>267</v>
      </c>
      <c r="C17" s="102" t="s">
        <v>1068</v>
      </c>
      <c r="D17" t="s">
        <v>2354</v>
      </c>
      <c r="E17">
        <v>60388022</v>
      </c>
      <c r="F17" t="s">
        <v>311</v>
      </c>
      <c r="G17" t="s">
        <v>2280</v>
      </c>
      <c r="H17">
        <v>60388022</v>
      </c>
      <c r="I17" t="s">
        <v>312</v>
      </c>
      <c r="J17" t="s">
        <v>1209</v>
      </c>
      <c r="K17" s="135">
        <v>42157</v>
      </c>
      <c r="L17" s="125">
        <v>5000000</v>
      </c>
      <c r="M17" s="125">
        <v>18235</v>
      </c>
      <c r="N17" s="125">
        <v>0</v>
      </c>
      <c r="O17" s="125">
        <v>0</v>
      </c>
      <c r="P17" s="142">
        <v>0</v>
      </c>
      <c r="Q17" s="132">
        <v>42157</v>
      </c>
    </row>
    <row r="18" spans="1:17" ht="14.1" customHeight="1" x14ac:dyDescent="0.2">
      <c r="A18">
        <v>267</v>
      </c>
      <c r="B18">
        <v>267</v>
      </c>
      <c r="C18" s="102" t="s">
        <v>1068</v>
      </c>
      <c r="D18" t="s">
        <v>2355</v>
      </c>
      <c r="E18">
        <v>500446794</v>
      </c>
      <c r="F18" t="s">
        <v>310</v>
      </c>
      <c r="G18" t="s">
        <v>2274</v>
      </c>
      <c r="H18">
        <v>60397874</v>
      </c>
      <c r="I18" t="s">
        <v>312</v>
      </c>
      <c r="J18" t="s">
        <v>1209</v>
      </c>
      <c r="K18" s="135">
        <v>42355</v>
      </c>
      <c r="L18" s="125">
        <v>7000000</v>
      </c>
      <c r="M18" s="125">
        <v>25529</v>
      </c>
      <c r="N18" s="125">
        <v>1718492.12</v>
      </c>
      <c r="O18" s="125">
        <v>6267.34076164</v>
      </c>
      <c r="P18" s="142">
        <v>0.24549887428571429</v>
      </c>
      <c r="Q18" s="132">
        <v>46898</v>
      </c>
    </row>
    <row r="19" spans="1:17" ht="14.1" customHeight="1" x14ac:dyDescent="0.2">
      <c r="A19">
        <v>267</v>
      </c>
      <c r="B19">
        <v>267</v>
      </c>
      <c r="C19" s="102" t="s">
        <v>1068</v>
      </c>
      <c r="D19" t="s">
        <v>2356</v>
      </c>
      <c r="E19">
        <v>500451760</v>
      </c>
      <c r="F19" t="s">
        <v>310</v>
      </c>
      <c r="G19" t="s">
        <v>2276</v>
      </c>
      <c r="H19">
        <v>60401700</v>
      </c>
      <c r="I19" t="s">
        <v>312</v>
      </c>
      <c r="J19" t="s">
        <v>1209</v>
      </c>
      <c r="K19" s="135">
        <v>42425</v>
      </c>
      <c r="L19" s="125">
        <v>5000000</v>
      </c>
      <c r="M19" s="125">
        <v>18235</v>
      </c>
      <c r="N19" s="125">
        <v>300000</v>
      </c>
      <c r="O19" s="125">
        <v>1094.0999999999999</v>
      </c>
      <c r="P19" s="142">
        <v>0.06</v>
      </c>
      <c r="Q19" s="132">
        <v>47211</v>
      </c>
    </row>
    <row r="20" spans="1:17" ht="14.1" customHeight="1" x14ac:dyDescent="0.2">
      <c r="A20">
        <v>267</v>
      </c>
      <c r="B20">
        <v>267</v>
      </c>
      <c r="C20" s="102" t="s">
        <v>1068</v>
      </c>
      <c r="D20" t="s">
        <v>2357</v>
      </c>
      <c r="E20" t="s">
        <v>2415</v>
      </c>
      <c r="F20" t="s">
        <v>311</v>
      </c>
      <c r="G20" t="s">
        <v>2202</v>
      </c>
      <c r="H20">
        <v>60415619</v>
      </c>
      <c r="I20" t="s">
        <v>312</v>
      </c>
      <c r="J20" t="s">
        <v>1209</v>
      </c>
      <c r="K20" s="135">
        <v>42650</v>
      </c>
      <c r="L20" s="125">
        <v>10000000</v>
      </c>
      <c r="M20" s="125">
        <v>36470</v>
      </c>
      <c r="N20" s="125">
        <v>219004</v>
      </c>
      <c r="O20" s="125">
        <v>798.70758799999999</v>
      </c>
      <c r="P20" s="142">
        <v>2.19004E-2</v>
      </c>
      <c r="Q20" s="132">
        <v>46387</v>
      </c>
    </row>
    <row r="21" spans="1:17" ht="14.1" customHeight="1" x14ac:dyDescent="0.2">
      <c r="A21">
        <v>267</v>
      </c>
      <c r="B21">
        <v>267</v>
      </c>
      <c r="C21" s="102" t="s">
        <v>1068</v>
      </c>
      <c r="D21" t="s">
        <v>1702</v>
      </c>
      <c r="E21">
        <v>550257414</v>
      </c>
      <c r="F21" t="s">
        <v>310</v>
      </c>
      <c r="G21" t="s">
        <v>2221</v>
      </c>
      <c r="H21">
        <v>60419868</v>
      </c>
      <c r="I21" t="s">
        <v>312</v>
      </c>
      <c r="J21" t="s">
        <v>1209</v>
      </c>
      <c r="K21" s="135">
        <v>42724</v>
      </c>
      <c r="L21" s="125">
        <v>10000000</v>
      </c>
      <c r="M21" s="125">
        <v>36470</v>
      </c>
      <c r="N21" s="125">
        <v>0</v>
      </c>
      <c r="O21" s="125">
        <v>0</v>
      </c>
      <c r="P21" s="142">
        <v>0</v>
      </c>
      <c r="Q21" s="132">
        <v>42724</v>
      </c>
    </row>
    <row r="22" spans="1:17" ht="14.1" customHeight="1" x14ac:dyDescent="0.2">
      <c r="A22">
        <v>267</v>
      </c>
      <c r="B22">
        <v>267</v>
      </c>
      <c r="C22" s="102" t="s">
        <v>1068</v>
      </c>
      <c r="D22" t="s">
        <v>2354</v>
      </c>
      <c r="E22">
        <v>60388022</v>
      </c>
      <c r="F22" t="s">
        <v>311</v>
      </c>
      <c r="G22" t="s">
        <v>2255</v>
      </c>
      <c r="H22">
        <v>62000073</v>
      </c>
      <c r="I22" t="s">
        <v>312</v>
      </c>
      <c r="J22" t="s">
        <v>1209</v>
      </c>
      <c r="K22" s="135">
        <v>42157</v>
      </c>
      <c r="L22" s="125">
        <v>12500000</v>
      </c>
      <c r="M22" s="125">
        <v>45587.5</v>
      </c>
      <c r="N22" s="125">
        <v>354646</v>
      </c>
      <c r="O22" s="125">
        <v>1293.3939619999999</v>
      </c>
      <c r="P22" s="142">
        <v>2.8371679999999996E-2</v>
      </c>
      <c r="Q22" s="132">
        <v>46919</v>
      </c>
    </row>
    <row r="23" spans="1:17" ht="14.1" customHeight="1" x14ac:dyDescent="0.2">
      <c r="A23">
        <v>267</v>
      </c>
      <c r="B23">
        <v>267</v>
      </c>
      <c r="C23" s="102" t="s">
        <v>1068</v>
      </c>
      <c r="D23" t="s">
        <v>2358</v>
      </c>
      <c r="E23">
        <v>550263511</v>
      </c>
      <c r="F23" t="s">
        <v>310</v>
      </c>
      <c r="G23" t="s">
        <v>2223</v>
      </c>
      <c r="H23">
        <v>62001526</v>
      </c>
      <c r="I23" t="s">
        <v>312</v>
      </c>
      <c r="J23" t="s">
        <v>1209</v>
      </c>
      <c r="K23" s="135">
        <v>42856</v>
      </c>
      <c r="L23" s="125">
        <v>8000000</v>
      </c>
      <c r="M23" s="125">
        <v>29176</v>
      </c>
      <c r="N23" s="125">
        <v>451372</v>
      </c>
      <c r="O23" s="125">
        <v>1646.1536839999999</v>
      </c>
      <c r="P23" s="142">
        <v>5.6421499999999999E-2</v>
      </c>
      <c r="Q23" s="132">
        <v>46173</v>
      </c>
    </row>
    <row r="24" spans="1:17" ht="14.1" customHeight="1" x14ac:dyDescent="0.2">
      <c r="A24">
        <v>267</v>
      </c>
      <c r="B24">
        <v>267</v>
      </c>
      <c r="C24" s="102" t="s">
        <v>1068</v>
      </c>
      <c r="D24" t="s">
        <v>2359</v>
      </c>
      <c r="E24">
        <v>5291135631</v>
      </c>
      <c r="F24" t="s">
        <v>311</v>
      </c>
      <c r="G24" t="s">
        <v>2240</v>
      </c>
      <c r="H24">
        <v>62002339</v>
      </c>
      <c r="I24" t="s">
        <v>312</v>
      </c>
      <c r="J24" t="s">
        <v>1209</v>
      </c>
      <c r="K24" s="135">
        <v>42926</v>
      </c>
      <c r="L24" s="125">
        <v>10000000</v>
      </c>
      <c r="M24" s="125">
        <v>36470</v>
      </c>
      <c r="N24" s="125">
        <v>2033358</v>
      </c>
      <c r="O24" s="125">
        <v>7415.6566259999991</v>
      </c>
      <c r="P24" s="142">
        <v>0.20333579999999998</v>
      </c>
      <c r="Q24" s="132">
        <v>45443</v>
      </c>
    </row>
    <row r="25" spans="1:17" ht="14.1" customHeight="1" x14ac:dyDescent="0.2">
      <c r="A25">
        <v>267</v>
      </c>
      <c r="B25">
        <v>267</v>
      </c>
      <c r="C25" s="102" t="s">
        <v>1068</v>
      </c>
      <c r="D25" t="s">
        <v>2360</v>
      </c>
      <c r="E25" t="s">
        <v>2432</v>
      </c>
      <c r="F25" t="s">
        <v>310</v>
      </c>
      <c r="G25" t="s">
        <v>2214</v>
      </c>
      <c r="H25">
        <v>62002348</v>
      </c>
      <c r="I25" t="s">
        <v>312</v>
      </c>
      <c r="J25" t="s">
        <v>1210</v>
      </c>
      <c r="K25" s="135">
        <v>42926</v>
      </c>
      <c r="L25" s="125">
        <v>8000000</v>
      </c>
      <c r="M25" s="125">
        <v>30371.200000000001</v>
      </c>
      <c r="N25" s="125">
        <v>0</v>
      </c>
      <c r="O25" s="125">
        <v>0</v>
      </c>
      <c r="P25" s="142">
        <v>0</v>
      </c>
      <c r="Q25" s="132">
        <v>46752</v>
      </c>
    </row>
    <row r="26" spans="1:17" ht="14.1" customHeight="1" x14ac:dyDescent="0.2">
      <c r="A26">
        <v>267</v>
      </c>
      <c r="B26">
        <v>267</v>
      </c>
      <c r="C26" s="102" t="s">
        <v>1068</v>
      </c>
      <c r="D26" t="s">
        <v>2361</v>
      </c>
      <c r="E26" t="s">
        <v>2411</v>
      </c>
      <c r="F26" t="s">
        <v>311</v>
      </c>
      <c r="G26" t="s">
        <v>2199</v>
      </c>
      <c r="H26">
        <v>62004408</v>
      </c>
      <c r="I26" t="s">
        <v>312</v>
      </c>
      <c r="J26" t="s">
        <v>1209</v>
      </c>
      <c r="K26" s="135">
        <v>43073</v>
      </c>
      <c r="L26" s="125">
        <v>15000000</v>
      </c>
      <c r="M26" s="125">
        <v>54705</v>
      </c>
      <c r="N26" s="125">
        <v>1377511.8800000008</v>
      </c>
      <c r="O26" s="125">
        <v>5023.7858263600028</v>
      </c>
      <c r="P26" s="142">
        <v>9.1834125333333391E-2</v>
      </c>
      <c r="Q26" s="132">
        <v>47634</v>
      </c>
    </row>
    <row r="27" spans="1:17" ht="14.1" customHeight="1" x14ac:dyDescent="0.2">
      <c r="A27">
        <v>267</v>
      </c>
      <c r="B27">
        <v>267</v>
      </c>
      <c r="C27" s="102" t="s">
        <v>1068</v>
      </c>
      <c r="D27" t="s">
        <v>2362</v>
      </c>
      <c r="E27">
        <v>500454707</v>
      </c>
      <c r="F27" t="s">
        <v>310</v>
      </c>
      <c r="G27" t="s">
        <v>2279</v>
      </c>
      <c r="H27">
        <v>62004783</v>
      </c>
      <c r="I27" t="s">
        <v>312</v>
      </c>
      <c r="J27" t="s">
        <v>1209</v>
      </c>
      <c r="K27" s="135">
        <v>43102</v>
      </c>
      <c r="L27" s="125">
        <v>5000000</v>
      </c>
      <c r="M27" s="125">
        <v>18235</v>
      </c>
      <c r="N27" s="125">
        <v>112500</v>
      </c>
      <c r="O27" s="125">
        <v>410.28750000000002</v>
      </c>
      <c r="P27" s="142">
        <v>2.2500000000000003E-2</v>
      </c>
      <c r="Q27" s="132">
        <v>46752</v>
      </c>
    </row>
    <row r="28" spans="1:17" ht="14.1" customHeight="1" x14ac:dyDescent="0.2">
      <c r="A28">
        <v>267</v>
      </c>
      <c r="B28">
        <v>267</v>
      </c>
      <c r="C28" s="102" t="s">
        <v>1068</v>
      </c>
      <c r="D28" t="s">
        <v>2363</v>
      </c>
      <c r="E28">
        <v>550262539</v>
      </c>
      <c r="F28" t="s">
        <v>309</v>
      </c>
      <c r="G28" t="s">
        <v>2225</v>
      </c>
      <c r="H28">
        <v>62005715</v>
      </c>
      <c r="I28" t="s">
        <v>312</v>
      </c>
      <c r="J28" t="s">
        <v>1210</v>
      </c>
      <c r="K28" s="135">
        <v>43152</v>
      </c>
      <c r="L28" s="125">
        <v>8000000</v>
      </c>
      <c r="M28" s="125">
        <v>30371.200000000001</v>
      </c>
      <c r="N28" s="125">
        <v>0</v>
      </c>
      <c r="O28" s="125">
        <v>0</v>
      </c>
      <c r="P28" s="142">
        <v>0</v>
      </c>
      <c r="Q28" s="132">
        <v>47507</v>
      </c>
    </row>
    <row r="29" spans="1:17" ht="14.1" customHeight="1" x14ac:dyDescent="0.2">
      <c r="A29">
        <v>267</v>
      </c>
      <c r="B29">
        <v>267</v>
      </c>
      <c r="C29" s="102" t="s">
        <v>1068</v>
      </c>
      <c r="D29" t="s">
        <v>2364</v>
      </c>
      <c r="E29">
        <v>513846808</v>
      </c>
      <c r="F29" t="s">
        <v>309</v>
      </c>
      <c r="G29" t="s">
        <v>2257</v>
      </c>
      <c r="H29">
        <v>62007869</v>
      </c>
      <c r="I29" t="s">
        <v>312</v>
      </c>
      <c r="J29" t="s">
        <v>1209</v>
      </c>
      <c r="K29" s="135">
        <v>43325</v>
      </c>
      <c r="L29" s="125">
        <v>14000000</v>
      </c>
      <c r="M29" s="125">
        <v>51058</v>
      </c>
      <c r="N29" s="125">
        <v>0</v>
      </c>
      <c r="O29" s="125">
        <v>0</v>
      </c>
      <c r="P29" s="142">
        <v>0</v>
      </c>
      <c r="Q29" s="132">
        <v>46112</v>
      </c>
    </row>
    <row r="30" spans="1:17" ht="14.1" customHeight="1" x14ac:dyDescent="0.2">
      <c r="A30">
        <v>267</v>
      </c>
      <c r="B30">
        <v>267</v>
      </c>
      <c r="C30" s="102" t="s">
        <v>1068</v>
      </c>
      <c r="D30" t="s">
        <v>2365</v>
      </c>
      <c r="E30" t="s">
        <v>2467</v>
      </c>
      <c r="F30" t="s">
        <v>311</v>
      </c>
      <c r="G30" t="s">
        <v>2259</v>
      </c>
      <c r="H30">
        <v>62008008</v>
      </c>
      <c r="I30" t="s">
        <v>312</v>
      </c>
      <c r="J30" t="s">
        <v>1209</v>
      </c>
      <c r="K30" s="135">
        <v>43290</v>
      </c>
      <c r="L30" s="125">
        <v>9179382</v>
      </c>
      <c r="M30" s="125">
        <v>33477.206154</v>
      </c>
      <c r="N30" s="125">
        <v>900000</v>
      </c>
      <c r="O30" s="125">
        <v>3282.3</v>
      </c>
      <c r="P30" s="142">
        <v>9.8045816156251048E-2</v>
      </c>
      <c r="Q30" s="132">
        <v>47483</v>
      </c>
    </row>
    <row r="31" spans="1:17" ht="14.1" customHeight="1" x14ac:dyDescent="0.2">
      <c r="A31">
        <v>267</v>
      </c>
      <c r="B31">
        <v>267</v>
      </c>
      <c r="C31" s="102" t="s">
        <v>1068</v>
      </c>
      <c r="D31" t="s">
        <v>2366</v>
      </c>
      <c r="E31">
        <v>500457403</v>
      </c>
      <c r="F31" t="s">
        <v>310</v>
      </c>
      <c r="G31" t="s">
        <v>2268</v>
      </c>
      <c r="H31">
        <v>62008024</v>
      </c>
      <c r="I31" t="s">
        <v>312</v>
      </c>
      <c r="J31" t="s">
        <v>1209</v>
      </c>
      <c r="K31" s="135">
        <v>43291</v>
      </c>
      <c r="L31" s="125">
        <v>5000000</v>
      </c>
      <c r="M31" s="125">
        <v>18235</v>
      </c>
      <c r="N31" s="125">
        <v>100000</v>
      </c>
      <c r="O31" s="125">
        <v>364.7</v>
      </c>
      <c r="P31" s="142">
        <v>0.02</v>
      </c>
      <c r="Q31" s="132">
        <v>47149</v>
      </c>
    </row>
    <row r="32" spans="1:17" ht="14.1" customHeight="1" x14ac:dyDescent="0.2">
      <c r="A32">
        <v>267</v>
      </c>
      <c r="B32">
        <v>267</v>
      </c>
      <c r="C32" s="102" t="s">
        <v>1068</v>
      </c>
      <c r="D32" t="s">
        <v>2367</v>
      </c>
      <c r="E32">
        <v>1653982</v>
      </c>
      <c r="F32" t="s">
        <v>311</v>
      </c>
      <c r="G32" t="s">
        <v>2218</v>
      </c>
      <c r="H32">
        <v>62010434</v>
      </c>
      <c r="I32" t="s">
        <v>312</v>
      </c>
      <c r="J32" t="s">
        <v>1209</v>
      </c>
      <c r="K32" s="135">
        <v>43570</v>
      </c>
      <c r="L32" s="125">
        <v>5000000</v>
      </c>
      <c r="M32" s="125">
        <v>18235</v>
      </c>
      <c r="N32" s="125">
        <v>187500</v>
      </c>
      <c r="O32" s="125">
        <v>683.8125</v>
      </c>
      <c r="P32" s="142">
        <v>3.7499999999999999E-2</v>
      </c>
      <c r="Q32" s="132">
        <v>46387</v>
      </c>
    </row>
    <row r="33" spans="1:17" ht="14.25" x14ac:dyDescent="0.2">
      <c r="A33">
        <v>267</v>
      </c>
      <c r="B33">
        <v>267</v>
      </c>
      <c r="C33" s="102" t="s">
        <v>1068</v>
      </c>
      <c r="D33" t="s">
        <v>2368</v>
      </c>
      <c r="E33" t="s">
        <v>2412</v>
      </c>
      <c r="F33" t="s">
        <v>311</v>
      </c>
      <c r="G33" t="s">
        <v>2200</v>
      </c>
      <c r="H33">
        <v>62010970</v>
      </c>
      <c r="I33" t="s">
        <v>312</v>
      </c>
      <c r="J33" t="s">
        <v>1209</v>
      </c>
      <c r="K33" s="135">
        <v>43509</v>
      </c>
      <c r="L33" s="125">
        <v>12000000</v>
      </c>
      <c r="M33" s="125">
        <v>43764</v>
      </c>
      <c r="N33" s="125">
        <v>451153.58999999985</v>
      </c>
      <c r="O33" s="125">
        <v>1645.3571427299992</v>
      </c>
      <c r="P33" s="143">
        <v>3.7596132499999983E-2</v>
      </c>
      <c r="Q33" s="132">
        <v>48579</v>
      </c>
    </row>
    <row r="34" spans="1:17" ht="14.25" x14ac:dyDescent="0.2">
      <c r="A34">
        <v>267</v>
      </c>
      <c r="B34">
        <v>267</v>
      </c>
      <c r="C34" s="102" t="s">
        <v>1068</v>
      </c>
      <c r="D34" t="s">
        <v>2369</v>
      </c>
      <c r="E34">
        <v>513373993</v>
      </c>
      <c r="F34" t="s">
        <v>309</v>
      </c>
      <c r="G34" t="s">
        <v>2286</v>
      </c>
      <c r="H34">
        <v>62012224</v>
      </c>
      <c r="I34" t="s">
        <v>312</v>
      </c>
      <c r="J34" t="s">
        <v>1209</v>
      </c>
      <c r="K34" s="135">
        <v>43573</v>
      </c>
      <c r="L34" s="125">
        <v>10000000</v>
      </c>
      <c r="M34" s="125">
        <v>36470</v>
      </c>
      <c r="N34" s="125">
        <v>1602771.0299999993</v>
      </c>
      <c r="O34" s="125">
        <v>5845.3059464099979</v>
      </c>
      <c r="P34" s="143">
        <v>0.16027710299999995</v>
      </c>
      <c r="Q34" s="132">
        <v>47118</v>
      </c>
    </row>
    <row r="35" spans="1:17" ht="14.25" x14ac:dyDescent="0.2">
      <c r="A35">
        <v>267</v>
      </c>
      <c r="B35">
        <v>267</v>
      </c>
      <c r="C35" s="102" t="s">
        <v>1068</v>
      </c>
      <c r="D35" t="s">
        <v>2370</v>
      </c>
      <c r="E35">
        <v>540287315</v>
      </c>
      <c r="F35" t="s">
        <v>309</v>
      </c>
      <c r="G35" t="s">
        <v>2244</v>
      </c>
      <c r="H35">
        <v>62012265</v>
      </c>
      <c r="I35" t="s">
        <v>312</v>
      </c>
      <c r="J35" t="s">
        <v>1209</v>
      </c>
      <c r="K35" s="135">
        <v>43585</v>
      </c>
      <c r="L35" s="125">
        <v>7000000</v>
      </c>
      <c r="M35" s="125">
        <v>25529</v>
      </c>
      <c r="N35" s="125">
        <v>3220000</v>
      </c>
      <c r="O35" s="125">
        <v>11743.34</v>
      </c>
      <c r="P35" s="143">
        <v>0.46</v>
      </c>
      <c r="Q35" s="132">
        <v>46843</v>
      </c>
    </row>
    <row r="36" spans="1:17" ht="14.25" x14ac:dyDescent="0.2">
      <c r="A36">
        <v>267</v>
      </c>
      <c r="B36">
        <v>267</v>
      </c>
      <c r="C36" s="102" t="s">
        <v>1068</v>
      </c>
      <c r="D36" t="s">
        <v>2358</v>
      </c>
      <c r="E36">
        <v>550263511</v>
      </c>
      <c r="F36" t="s">
        <v>310</v>
      </c>
      <c r="G36" t="s">
        <v>2241</v>
      </c>
      <c r="H36">
        <v>62013248</v>
      </c>
      <c r="I36" t="s">
        <v>312</v>
      </c>
      <c r="J36" t="s">
        <v>1209</v>
      </c>
      <c r="K36" s="135">
        <v>42856</v>
      </c>
      <c r="L36" s="125">
        <v>3000000</v>
      </c>
      <c r="M36" s="125">
        <v>10941</v>
      </c>
      <c r="N36" s="125">
        <v>0</v>
      </c>
      <c r="O36" s="125">
        <v>0</v>
      </c>
      <c r="P36" s="143">
        <v>0</v>
      </c>
      <c r="Q36" s="132">
        <v>46173</v>
      </c>
    </row>
    <row r="37" spans="1:17" ht="14.25" x14ac:dyDescent="0.2">
      <c r="A37">
        <v>267</v>
      </c>
      <c r="B37">
        <v>267</v>
      </c>
      <c r="C37" s="102" t="s">
        <v>1068</v>
      </c>
      <c r="D37" t="s">
        <v>2358</v>
      </c>
      <c r="E37">
        <v>550263511</v>
      </c>
      <c r="F37" t="s">
        <v>310</v>
      </c>
      <c r="G37" t="s">
        <v>2220</v>
      </c>
      <c r="H37">
        <v>62013503</v>
      </c>
      <c r="I37" t="s">
        <v>312</v>
      </c>
      <c r="J37" t="s">
        <v>1209</v>
      </c>
      <c r="K37" s="135">
        <v>42856</v>
      </c>
      <c r="L37" s="125">
        <v>5000000</v>
      </c>
      <c r="M37" s="125">
        <v>18235</v>
      </c>
      <c r="N37" s="125">
        <v>321468</v>
      </c>
      <c r="O37" s="125">
        <v>1172.3937959999998</v>
      </c>
      <c r="P37" s="143">
        <v>6.4293599999999992E-2</v>
      </c>
      <c r="Q37" s="132">
        <v>48440</v>
      </c>
    </row>
    <row r="38" spans="1:17" ht="14.25" x14ac:dyDescent="0.2">
      <c r="A38">
        <v>267</v>
      </c>
      <c r="B38">
        <v>267</v>
      </c>
      <c r="C38" s="102" t="s">
        <v>1068</v>
      </c>
      <c r="D38" t="s">
        <v>2359</v>
      </c>
      <c r="E38">
        <v>5291135631</v>
      </c>
      <c r="F38" t="s">
        <v>311</v>
      </c>
      <c r="G38" t="s">
        <v>2278</v>
      </c>
      <c r="H38">
        <v>62014618</v>
      </c>
      <c r="I38" t="s">
        <v>312</v>
      </c>
      <c r="J38" t="s">
        <v>1209</v>
      </c>
      <c r="K38" s="135">
        <v>42926</v>
      </c>
      <c r="L38" s="125">
        <v>10000000</v>
      </c>
      <c r="M38" s="125">
        <v>36470</v>
      </c>
      <c r="N38" s="125">
        <v>2861015</v>
      </c>
      <c r="O38" s="125">
        <v>10434.121705</v>
      </c>
      <c r="P38" s="143">
        <v>0.28610150000000001</v>
      </c>
      <c r="Q38" s="132">
        <v>45473</v>
      </c>
    </row>
    <row r="39" spans="1:17" ht="14.25" x14ac:dyDescent="0.2">
      <c r="A39">
        <v>267</v>
      </c>
      <c r="B39">
        <v>267</v>
      </c>
      <c r="C39" s="102" t="s">
        <v>1068</v>
      </c>
      <c r="D39" t="s">
        <v>2371</v>
      </c>
      <c r="E39" t="s">
        <v>2421</v>
      </c>
      <c r="F39" t="s">
        <v>311</v>
      </c>
      <c r="G39" t="s">
        <v>2205</v>
      </c>
      <c r="H39">
        <v>62014790</v>
      </c>
      <c r="I39" t="s">
        <v>312</v>
      </c>
      <c r="J39" t="s">
        <v>1209</v>
      </c>
      <c r="K39" s="135">
        <v>43805</v>
      </c>
      <c r="L39" s="125">
        <v>10000000</v>
      </c>
      <c r="M39" s="125">
        <v>36470</v>
      </c>
      <c r="N39" s="125">
        <v>1705110.9100000001</v>
      </c>
      <c r="O39" s="125">
        <v>6218.5394887700004</v>
      </c>
      <c r="P39" s="143">
        <v>0.170511091</v>
      </c>
      <c r="Q39" s="132">
        <v>47831</v>
      </c>
    </row>
    <row r="40" spans="1:17" ht="14.25" x14ac:dyDescent="0.2">
      <c r="A40">
        <v>267</v>
      </c>
      <c r="B40">
        <v>267</v>
      </c>
      <c r="C40" s="102" t="s">
        <v>1068</v>
      </c>
      <c r="D40" t="s">
        <v>2372</v>
      </c>
      <c r="E40" t="s">
        <v>2417</v>
      </c>
      <c r="F40" t="s">
        <v>311</v>
      </c>
      <c r="G40" t="s">
        <v>2203</v>
      </c>
      <c r="H40">
        <v>62014956</v>
      </c>
      <c r="I40" t="s">
        <v>312</v>
      </c>
      <c r="J40" t="s">
        <v>1209</v>
      </c>
      <c r="K40" s="135">
        <v>43818</v>
      </c>
      <c r="L40" s="125">
        <v>10000000</v>
      </c>
      <c r="M40" s="125">
        <v>36470</v>
      </c>
      <c r="N40" s="125">
        <v>2092652</v>
      </c>
      <c r="O40" s="125">
        <v>7631.901844</v>
      </c>
      <c r="P40" s="143">
        <v>0.20926520000000001</v>
      </c>
      <c r="Q40" s="132">
        <v>48145</v>
      </c>
    </row>
    <row r="41" spans="1:17" ht="14.25" x14ac:dyDescent="0.2">
      <c r="A41">
        <v>267</v>
      </c>
      <c r="B41">
        <v>267</v>
      </c>
      <c r="C41" s="102" t="s">
        <v>1068</v>
      </c>
      <c r="D41" t="s">
        <v>2373</v>
      </c>
      <c r="E41">
        <v>103012</v>
      </c>
      <c r="F41" t="s">
        <v>311</v>
      </c>
      <c r="G41" t="s">
        <v>2264</v>
      </c>
      <c r="H41">
        <v>62016720</v>
      </c>
      <c r="I41" t="s">
        <v>312</v>
      </c>
      <c r="J41" t="s">
        <v>1209</v>
      </c>
      <c r="K41" s="135">
        <v>43872</v>
      </c>
      <c r="L41" s="125">
        <v>10000000</v>
      </c>
      <c r="M41" s="125">
        <v>36470</v>
      </c>
      <c r="N41" s="125">
        <v>3944305</v>
      </c>
      <c r="O41" s="125">
        <v>14384.880335</v>
      </c>
      <c r="P41" s="143">
        <v>0.39443050000000002</v>
      </c>
      <c r="Q41" s="132">
        <v>47938</v>
      </c>
    </row>
    <row r="42" spans="1:17" ht="14.25" x14ac:dyDescent="0.2">
      <c r="A42">
        <v>267</v>
      </c>
      <c r="B42">
        <v>267</v>
      </c>
      <c r="C42" s="102" t="s">
        <v>1068</v>
      </c>
      <c r="D42" t="s">
        <v>2374</v>
      </c>
      <c r="E42">
        <v>515697605</v>
      </c>
      <c r="F42" t="s">
        <v>309</v>
      </c>
      <c r="G42" t="s">
        <v>2258</v>
      </c>
      <c r="H42">
        <v>66611187</v>
      </c>
      <c r="I42" t="s">
        <v>312</v>
      </c>
      <c r="J42" t="s">
        <v>1208</v>
      </c>
      <c r="K42" s="135">
        <v>45046</v>
      </c>
      <c r="L42" s="125">
        <v>65000000</v>
      </c>
      <c r="M42" s="125">
        <v>65000</v>
      </c>
      <c r="N42" s="125">
        <v>30041174</v>
      </c>
      <c r="O42" s="125">
        <v>30041.173999999999</v>
      </c>
      <c r="P42" s="143">
        <v>0.4621719076923077</v>
      </c>
      <c r="Q42" s="132">
        <v>47969</v>
      </c>
    </row>
    <row r="43" spans="1:17" ht="14.25" x14ac:dyDescent="0.2">
      <c r="A43">
        <v>267</v>
      </c>
      <c r="B43">
        <v>267</v>
      </c>
      <c r="C43" s="102" t="s">
        <v>1068</v>
      </c>
      <c r="D43" t="s">
        <v>2375</v>
      </c>
      <c r="E43" t="s">
        <v>2238</v>
      </c>
      <c r="F43" t="s">
        <v>309</v>
      </c>
      <c r="G43" t="s">
        <v>2239</v>
      </c>
      <c r="H43">
        <v>603054487</v>
      </c>
      <c r="I43" t="s">
        <v>312</v>
      </c>
      <c r="J43" t="s">
        <v>1209</v>
      </c>
      <c r="K43" s="135">
        <v>41148</v>
      </c>
      <c r="L43" s="125">
        <v>4548584</v>
      </c>
      <c r="M43" s="125">
        <v>16588.685848000001</v>
      </c>
      <c r="N43" s="125">
        <v>0</v>
      </c>
      <c r="O43" s="125">
        <v>0</v>
      </c>
      <c r="P43" s="143">
        <v>0</v>
      </c>
      <c r="Q43" s="132">
        <v>44788</v>
      </c>
    </row>
    <row r="44" spans="1:17" ht="14.25" x14ac:dyDescent="0.2">
      <c r="A44">
        <v>267</v>
      </c>
      <c r="B44">
        <v>267</v>
      </c>
      <c r="C44" s="102" t="s">
        <v>1068</v>
      </c>
      <c r="D44" t="s">
        <v>2376</v>
      </c>
      <c r="E44" t="s">
        <v>2472</v>
      </c>
      <c r="F44" t="s">
        <v>2450</v>
      </c>
      <c r="G44" t="s">
        <v>2265</v>
      </c>
      <c r="H44">
        <v>604157677</v>
      </c>
      <c r="I44" t="s">
        <v>312</v>
      </c>
      <c r="J44" t="s">
        <v>1209</v>
      </c>
      <c r="K44" s="135">
        <v>42800</v>
      </c>
      <c r="L44" s="125">
        <v>8000000</v>
      </c>
      <c r="M44" s="125">
        <v>29176</v>
      </c>
      <c r="N44" s="125">
        <v>2133412.37</v>
      </c>
      <c r="O44" s="125">
        <v>7780.5549133900004</v>
      </c>
      <c r="P44" s="143">
        <v>0.26667654625000003</v>
      </c>
      <c r="Q44" s="132">
        <v>47262</v>
      </c>
    </row>
    <row r="45" spans="1:17" ht="14.25" x14ac:dyDescent="0.2">
      <c r="A45">
        <v>267</v>
      </c>
      <c r="B45">
        <v>267</v>
      </c>
      <c r="C45" s="102" t="s">
        <v>1068</v>
      </c>
      <c r="D45" t="s">
        <v>2377</v>
      </c>
      <c r="E45">
        <v>744439084</v>
      </c>
      <c r="F45" t="s">
        <v>311</v>
      </c>
      <c r="G45" t="s">
        <v>2252</v>
      </c>
      <c r="H45">
        <v>620120758</v>
      </c>
      <c r="I45" t="s">
        <v>312</v>
      </c>
      <c r="J45" t="s">
        <v>1212</v>
      </c>
      <c r="K45" s="135">
        <v>43579</v>
      </c>
      <c r="L45" s="125">
        <v>13000000</v>
      </c>
      <c r="M45" s="125">
        <v>32960.199999999997</v>
      </c>
      <c r="N45" s="125">
        <v>0</v>
      </c>
      <c r="O45" s="125">
        <v>0</v>
      </c>
      <c r="P45" s="143">
        <v>0</v>
      </c>
      <c r="Q45" s="132">
        <v>46142</v>
      </c>
    </row>
    <row r="46" spans="1:17" ht="14.25" x14ac:dyDescent="0.2">
      <c r="A46">
        <v>267</v>
      </c>
      <c r="B46">
        <v>267</v>
      </c>
      <c r="C46" s="102" t="s">
        <v>1068</v>
      </c>
      <c r="D46" t="s">
        <v>2378</v>
      </c>
      <c r="E46" t="s">
        <v>2426</v>
      </c>
      <c r="F46" t="s">
        <v>313</v>
      </c>
      <c r="G46" t="s">
        <v>2208</v>
      </c>
      <c r="H46">
        <v>666107909</v>
      </c>
      <c r="I46" t="s">
        <v>312</v>
      </c>
      <c r="J46" t="s">
        <v>1209</v>
      </c>
      <c r="K46" s="135">
        <v>44164</v>
      </c>
      <c r="L46" s="125">
        <v>8000000</v>
      </c>
      <c r="M46" s="125">
        <v>29176</v>
      </c>
      <c r="N46" s="125">
        <v>2464951.3899999997</v>
      </c>
      <c r="O46" s="125">
        <v>8989.6777193299986</v>
      </c>
      <c r="P46" s="143">
        <v>0.30811892374999994</v>
      </c>
      <c r="Q46" s="132">
        <v>47269</v>
      </c>
    </row>
    <row r="47" spans="1:17" ht="14.25" x14ac:dyDescent="0.2">
      <c r="A47">
        <v>267</v>
      </c>
      <c r="B47">
        <v>267</v>
      </c>
      <c r="C47" s="102" t="s">
        <v>1068</v>
      </c>
      <c r="D47" t="s">
        <v>1616</v>
      </c>
      <c r="E47" t="s">
        <v>2424</v>
      </c>
      <c r="F47" t="s">
        <v>313</v>
      </c>
      <c r="G47" t="s">
        <v>2207</v>
      </c>
      <c r="H47">
        <v>666108162</v>
      </c>
      <c r="I47" t="s">
        <v>312</v>
      </c>
      <c r="J47" t="s">
        <v>1209</v>
      </c>
      <c r="K47" s="135">
        <v>44195</v>
      </c>
      <c r="L47" s="125">
        <v>10000000</v>
      </c>
      <c r="M47" s="125">
        <v>36470</v>
      </c>
      <c r="N47" s="125">
        <v>4418225.76</v>
      </c>
      <c r="O47" s="125">
        <v>16113.269346719999</v>
      </c>
      <c r="P47" s="143">
        <v>0.44182257599999997</v>
      </c>
      <c r="Q47" s="132">
        <v>47591</v>
      </c>
    </row>
    <row r="48" spans="1:17" ht="14.25" x14ac:dyDescent="0.2">
      <c r="A48">
        <v>267</v>
      </c>
      <c r="B48">
        <v>267</v>
      </c>
      <c r="C48" s="102" t="s">
        <v>1068</v>
      </c>
      <c r="D48" t="s">
        <v>2366</v>
      </c>
      <c r="E48">
        <v>500457403</v>
      </c>
      <c r="F48" t="s">
        <v>310</v>
      </c>
      <c r="G48" t="s">
        <v>2281</v>
      </c>
      <c r="H48">
        <v>666108170</v>
      </c>
      <c r="I48" t="s">
        <v>312</v>
      </c>
      <c r="J48" t="s">
        <v>1209</v>
      </c>
      <c r="K48" s="135">
        <v>43291</v>
      </c>
      <c r="L48" s="125">
        <v>2500000</v>
      </c>
      <c r="M48" s="125">
        <v>9117.5</v>
      </c>
      <c r="N48" s="125">
        <v>0</v>
      </c>
      <c r="O48" s="125">
        <v>0</v>
      </c>
      <c r="P48" s="143">
        <v>0</v>
      </c>
      <c r="Q48" s="132">
        <v>44195</v>
      </c>
    </row>
    <row r="49" spans="1:17" ht="14.25" x14ac:dyDescent="0.2">
      <c r="A49">
        <v>267</v>
      </c>
      <c r="B49">
        <v>267</v>
      </c>
      <c r="C49" s="102" t="s">
        <v>1068</v>
      </c>
      <c r="D49" t="s">
        <v>2367</v>
      </c>
      <c r="E49">
        <v>1653982</v>
      </c>
      <c r="F49" t="s">
        <v>311</v>
      </c>
      <c r="G49" t="s">
        <v>2222</v>
      </c>
      <c r="H49">
        <v>666108402</v>
      </c>
      <c r="I49" t="s">
        <v>312</v>
      </c>
      <c r="J49" t="s">
        <v>1209</v>
      </c>
      <c r="K49" s="135">
        <v>43570</v>
      </c>
      <c r="L49" s="125">
        <v>3000000</v>
      </c>
      <c r="M49" s="125">
        <v>10941</v>
      </c>
      <c r="N49" s="125">
        <v>810000</v>
      </c>
      <c r="O49" s="125">
        <v>2954.07</v>
      </c>
      <c r="P49" s="143">
        <v>0.27</v>
      </c>
      <c r="Q49" s="132">
        <v>48152</v>
      </c>
    </row>
    <row r="50" spans="1:17" ht="14.25" x14ac:dyDescent="0.2">
      <c r="A50">
        <v>267</v>
      </c>
      <c r="B50">
        <v>267</v>
      </c>
      <c r="C50" s="102" t="s">
        <v>1068</v>
      </c>
      <c r="D50" t="s">
        <v>2379</v>
      </c>
      <c r="E50">
        <v>510607328</v>
      </c>
      <c r="F50" t="s">
        <v>309</v>
      </c>
      <c r="G50" t="s">
        <v>2254</v>
      </c>
      <c r="H50">
        <v>666108451</v>
      </c>
      <c r="I50" t="s">
        <v>312</v>
      </c>
      <c r="J50" t="s">
        <v>1209</v>
      </c>
      <c r="K50" s="135">
        <v>44245</v>
      </c>
      <c r="L50" s="125">
        <v>10000000</v>
      </c>
      <c r="M50" s="125">
        <v>36470</v>
      </c>
      <c r="N50" s="125">
        <v>0</v>
      </c>
      <c r="O50" s="125">
        <v>0</v>
      </c>
      <c r="P50" s="143">
        <v>0</v>
      </c>
      <c r="Q50" s="132">
        <v>46172</v>
      </c>
    </row>
    <row r="51" spans="1:17" ht="14.25" x14ac:dyDescent="0.2">
      <c r="A51">
        <v>267</v>
      </c>
      <c r="B51">
        <v>267</v>
      </c>
      <c r="C51" s="102" t="s">
        <v>1068</v>
      </c>
      <c r="D51" t="s">
        <v>2359</v>
      </c>
      <c r="E51">
        <v>5291135631</v>
      </c>
      <c r="F51" t="s">
        <v>311</v>
      </c>
      <c r="G51" t="s">
        <v>2209</v>
      </c>
      <c r="H51">
        <v>666108469</v>
      </c>
      <c r="I51" t="s">
        <v>312</v>
      </c>
      <c r="J51" t="s">
        <v>1209</v>
      </c>
      <c r="K51" s="135">
        <v>42926</v>
      </c>
      <c r="L51" s="125">
        <v>10000000</v>
      </c>
      <c r="M51" s="125">
        <v>36470</v>
      </c>
      <c r="N51" s="125">
        <v>5135737</v>
      </c>
      <c r="O51" s="125">
        <v>18730.032839</v>
      </c>
      <c r="P51" s="143">
        <v>0.51357370000000002</v>
      </c>
      <c r="Q51" s="132">
        <v>47879</v>
      </c>
    </row>
    <row r="52" spans="1:17" ht="14.25" x14ac:dyDescent="0.2">
      <c r="A52">
        <v>267</v>
      </c>
      <c r="B52">
        <v>267</v>
      </c>
      <c r="C52" s="102" t="s">
        <v>1068</v>
      </c>
      <c r="D52" t="s">
        <v>2380</v>
      </c>
      <c r="E52">
        <v>540290988</v>
      </c>
      <c r="F52" t="s">
        <v>309</v>
      </c>
      <c r="G52" t="s">
        <v>2273</v>
      </c>
      <c r="H52">
        <v>666108543</v>
      </c>
      <c r="I52" t="s">
        <v>312</v>
      </c>
      <c r="J52" t="s">
        <v>1209</v>
      </c>
      <c r="K52" s="135">
        <v>44279</v>
      </c>
      <c r="L52" s="125">
        <v>5000000</v>
      </c>
      <c r="M52" s="125">
        <v>18235</v>
      </c>
      <c r="N52" s="125">
        <v>1355847</v>
      </c>
      <c r="O52" s="125">
        <v>4944.7740089999998</v>
      </c>
      <c r="P52" s="143">
        <v>0.2711694</v>
      </c>
      <c r="Q52" s="132">
        <v>47665</v>
      </c>
    </row>
    <row r="53" spans="1:17" ht="14.25" x14ac:dyDescent="0.2">
      <c r="A53">
        <v>267</v>
      </c>
      <c r="B53">
        <v>267</v>
      </c>
      <c r="C53" s="102" t="s">
        <v>1068</v>
      </c>
      <c r="D53" t="s">
        <v>2381</v>
      </c>
      <c r="E53" t="s">
        <v>2413</v>
      </c>
      <c r="F53" t="s">
        <v>311</v>
      </c>
      <c r="G53" t="s">
        <v>2287</v>
      </c>
      <c r="H53">
        <v>666108691</v>
      </c>
      <c r="I53" t="s">
        <v>312</v>
      </c>
      <c r="J53" t="s">
        <v>1210</v>
      </c>
      <c r="K53" s="135">
        <v>44298</v>
      </c>
      <c r="L53" s="125">
        <v>1000000</v>
      </c>
      <c r="M53" s="125">
        <v>3796.4</v>
      </c>
      <c r="N53" s="125">
        <v>-71252.260000000009</v>
      </c>
      <c r="O53" s="125">
        <v>-270.50207986400005</v>
      </c>
      <c r="P53" s="143">
        <v>-7.1252260000000012E-2</v>
      </c>
      <c r="Q53" s="132">
        <v>47872</v>
      </c>
    </row>
    <row r="54" spans="1:17" ht="14.25" x14ac:dyDescent="0.2">
      <c r="A54">
        <v>267</v>
      </c>
      <c r="B54">
        <v>267</v>
      </c>
      <c r="C54" s="102" t="s">
        <v>1068</v>
      </c>
      <c r="D54" t="s">
        <v>2381</v>
      </c>
      <c r="E54" t="s">
        <v>2413</v>
      </c>
      <c r="F54" t="s">
        <v>311</v>
      </c>
      <c r="G54" t="s">
        <v>2201</v>
      </c>
      <c r="H54">
        <v>666108709</v>
      </c>
      <c r="I54" t="s">
        <v>312</v>
      </c>
      <c r="J54" t="s">
        <v>1210</v>
      </c>
      <c r="K54" s="135">
        <v>44298</v>
      </c>
      <c r="L54" s="125">
        <v>9000000</v>
      </c>
      <c r="M54" s="125">
        <v>34167.599999999999</v>
      </c>
      <c r="N54" s="125">
        <v>408758.23000000045</v>
      </c>
      <c r="O54" s="125">
        <v>1551.8097443720019</v>
      </c>
      <c r="P54" s="143">
        <v>4.5417581111111167E-2</v>
      </c>
      <c r="Q54" s="132">
        <v>47872</v>
      </c>
    </row>
    <row r="55" spans="1:17" ht="14.25" x14ac:dyDescent="0.2">
      <c r="A55">
        <v>267</v>
      </c>
      <c r="B55">
        <v>267</v>
      </c>
      <c r="C55" s="102" t="s">
        <v>1068</v>
      </c>
      <c r="D55" t="s">
        <v>2382</v>
      </c>
      <c r="E55" t="s">
        <v>2470</v>
      </c>
      <c r="F55" t="s">
        <v>311</v>
      </c>
      <c r="G55" t="s">
        <v>2263</v>
      </c>
      <c r="H55">
        <v>666108790</v>
      </c>
      <c r="I55" t="s">
        <v>312</v>
      </c>
      <c r="J55" t="s">
        <v>1209</v>
      </c>
      <c r="K55" s="135">
        <v>44322</v>
      </c>
      <c r="L55" s="125">
        <v>10000000</v>
      </c>
      <c r="M55" s="125">
        <v>36470</v>
      </c>
      <c r="N55" s="125">
        <v>2100000</v>
      </c>
      <c r="O55" s="125">
        <v>7658.7</v>
      </c>
      <c r="P55" s="143">
        <v>0.21</v>
      </c>
      <c r="Q55" s="132">
        <v>47849</v>
      </c>
    </row>
    <row r="56" spans="1:17" ht="14.25" x14ac:dyDescent="0.2">
      <c r="A56">
        <v>267</v>
      </c>
      <c r="B56">
        <v>267</v>
      </c>
      <c r="C56" s="102" t="s">
        <v>1068</v>
      </c>
      <c r="D56" t="s">
        <v>2383</v>
      </c>
      <c r="E56" t="s">
        <v>2476</v>
      </c>
      <c r="F56" t="s">
        <v>311</v>
      </c>
      <c r="G56" t="s">
        <v>2271</v>
      </c>
      <c r="H56">
        <v>666108824</v>
      </c>
      <c r="I56" t="s">
        <v>312</v>
      </c>
      <c r="J56" t="s">
        <v>1209</v>
      </c>
      <c r="K56" s="135">
        <v>44341</v>
      </c>
      <c r="L56" s="125">
        <v>5000000</v>
      </c>
      <c r="M56" s="125">
        <v>18235</v>
      </c>
      <c r="N56" s="125">
        <v>225000</v>
      </c>
      <c r="O56" s="125">
        <v>820.57500000000005</v>
      </c>
      <c r="P56" s="143">
        <v>4.5000000000000005E-2</v>
      </c>
      <c r="Q56" s="132">
        <v>47665</v>
      </c>
    </row>
    <row r="57" spans="1:17" ht="14.25" x14ac:dyDescent="0.2">
      <c r="A57">
        <v>267</v>
      </c>
      <c r="B57">
        <v>267</v>
      </c>
      <c r="C57" s="102" t="s">
        <v>1068</v>
      </c>
      <c r="D57" t="s">
        <v>2384</v>
      </c>
      <c r="E57" t="s">
        <v>2419</v>
      </c>
      <c r="F57" t="s">
        <v>311</v>
      </c>
      <c r="G57" t="s">
        <v>2204</v>
      </c>
      <c r="H57">
        <v>666108873</v>
      </c>
      <c r="I57" t="s">
        <v>312</v>
      </c>
      <c r="J57" t="s">
        <v>1209</v>
      </c>
      <c r="K57" s="135">
        <v>44347</v>
      </c>
      <c r="L57" s="125">
        <v>10000000</v>
      </c>
      <c r="M57" s="125">
        <v>36470</v>
      </c>
      <c r="N57" s="125">
        <v>1009903</v>
      </c>
      <c r="O57" s="125">
        <v>3683.1162409999997</v>
      </c>
      <c r="P57" s="143">
        <v>0.10099029999999999</v>
      </c>
      <c r="Q57" s="132">
        <v>47968</v>
      </c>
    </row>
    <row r="58" spans="1:17" ht="14.25" x14ac:dyDescent="0.2">
      <c r="A58">
        <v>267</v>
      </c>
      <c r="B58">
        <v>267</v>
      </c>
      <c r="C58" s="102" t="s">
        <v>1068</v>
      </c>
      <c r="D58" t="s">
        <v>2269</v>
      </c>
      <c r="E58">
        <v>540300266</v>
      </c>
      <c r="F58" t="s">
        <v>309</v>
      </c>
      <c r="G58" t="s">
        <v>2269</v>
      </c>
      <c r="H58">
        <v>666109079</v>
      </c>
      <c r="I58" t="s">
        <v>312</v>
      </c>
      <c r="J58" t="s">
        <v>1208</v>
      </c>
      <c r="K58" s="135">
        <v>44375</v>
      </c>
      <c r="L58" s="125">
        <v>35000000</v>
      </c>
      <c r="M58" s="125">
        <v>35000</v>
      </c>
      <c r="N58" s="125">
        <v>10354951</v>
      </c>
      <c r="O58" s="125">
        <v>10354.950999999999</v>
      </c>
      <c r="P58" s="143">
        <v>0.29585574285714283</v>
      </c>
      <c r="Q58" s="132">
        <v>47665</v>
      </c>
    </row>
    <row r="59" spans="1:17" ht="14.25" x14ac:dyDescent="0.2">
      <c r="A59">
        <v>267</v>
      </c>
      <c r="B59">
        <v>267</v>
      </c>
      <c r="C59" s="102" t="s">
        <v>1068</v>
      </c>
      <c r="D59" t="s">
        <v>2385</v>
      </c>
      <c r="E59">
        <v>540297884</v>
      </c>
      <c r="F59" t="s">
        <v>309</v>
      </c>
      <c r="G59" t="s">
        <v>2211</v>
      </c>
      <c r="H59">
        <v>666109459</v>
      </c>
      <c r="I59" t="s">
        <v>312</v>
      </c>
      <c r="J59" t="s">
        <v>1208</v>
      </c>
      <c r="K59" s="135">
        <v>44440</v>
      </c>
      <c r="L59" s="125">
        <v>35000000</v>
      </c>
      <c r="M59" s="125">
        <v>35000</v>
      </c>
      <c r="N59" s="125">
        <v>9429928</v>
      </c>
      <c r="O59" s="125">
        <v>9429.9279999999999</v>
      </c>
      <c r="P59" s="143">
        <v>0.26942651428571429</v>
      </c>
      <c r="Q59" s="132">
        <v>47329</v>
      </c>
    </row>
    <row r="60" spans="1:17" ht="14.25" x14ac:dyDescent="0.2">
      <c r="A60">
        <v>267</v>
      </c>
      <c r="B60">
        <v>267</v>
      </c>
      <c r="C60" s="102" t="s">
        <v>1068</v>
      </c>
      <c r="D60" t="s">
        <v>2386</v>
      </c>
      <c r="E60">
        <v>500471685</v>
      </c>
      <c r="F60" t="s">
        <v>310</v>
      </c>
      <c r="G60" t="s">
        <v>2213</v>
      </c>
      <c r="H60">
        <v>666109707</v>
      </c>
      <c r="I60" t="s">
        <v>312</v>
      </c>
      <c r="J60" t="s">
        <v>1209</v>
      </c>
      <c r="K60" s="135">
        <v>44530</v>
      </c>
      <c r="L60" s="125">
        <v>7000000</v>
      </c>
      <c r="M60" s="125">
        <v>25529</v>
      </c>
      <c r="N60" s="125">
        <v>1400000</v>
      </c>
      <c r="O60" s="125">
        <v>5105.8</v>
      </c>
      <c r="P60" s="143">
        <v>0.2</v>
      </c>
      <c r="Q60" s="132">
        <v>48162</v>
      </c>
    </row>
    <row r="61" spans="1:17" ht="14.25" x14ac:dyDescent="0.2">
      <c r="A61">
        <v>267</v>
      </c>
      <c r="B61">
        <v>267</v>
      </c>
      <c r="C61" s="102" t="s">
        <v>1068</v>
      </c>
      <c r="D61" t="s">
        <v>2284</v>
      </c>
      <c r="E61">
        <v>540303864</v>
      </c>
      <c r="F61" t="s">
        <v>309</v>
      </c>
      <c r="G61" t="s">
        <v>2284</v>
      </c>
      <c r="H61">
        <v>666109871</v>
      </c>
      <c r="I61" t="s">
        <v>312</v>
      </c>
      <c r="J61" t="s">
        <v>1209</v>
      </c>
      <c r="K61" s="135">
        <v>44581</v>
      </c>
      <c r="L61" s="125">
        <v>10000000</v>
      </c>
      <c r="M61" s="125">
        <v>36470</v>
      </c>
      <c r="N61" s="125">
        <v>7361325</v>
      </c>
      <c r="O61" s="125">
        <v>26846.752274999999</v>
      </c>
      <c r="P61" s="143">
        <v>0.73613249999999997</v>
      </c>
      <c r="Q61" s="132">
        <v>48128</v>
      </c>
    </row>
    <row r="62" spans="1:17" ht="14.25" x14ac:dyDescent="0.2">
      <c r="A62">
        <v>267</v>
      </c>
      <c r="B62">
        <v>267</v>
      </c>
      <c r="C62" s="102" t="s">
        <v>1068</v>
      </c>
      <c r="D62" t="s">
        <v>2387</v>
      </c>
      <c r="E62" t="s">
        <v>2449</v>
      </c>
      <c r="F62" t="s">
        <v>2450</v>
      </c>
      <c r="G62" t="s">
        <v>2232</v>
      </c>
      <c r="H62">
        <v>666109889</v>
      </c>
      <c r="I62" t="s">
        <v>312</v>
      </c>
      <c r="J62" t="s">
        <v>1209</v>
      </c>
      <c r="K62" s="135">
        <v>44581</v>
      </c>
      <c r="L62" s="125">
        <v>10000000</v>
      </c>
      <c r="M62" s="125">
        <v>36470</v>
      </c>
      <c r="N62" s="125">
        <v>7601212.4299999997</v>
      </c>
      <c r="O62" s="125">
        <v>27721.621732209998</v>
      </c>
      <c r="P62" s="143">
        <v>0.76012124299999995</v>
      </c>
      <c r="Q62" s="132">
        <v>48385</v>
      </c>
    </row>
    <row r="63" spans="1:17" ht="14.25" x14ac:dyDescent="0.2">
      <c r="A63">
        <v>267</v>
      </c>
      <c r="B63">
        <v>267</v>
      </c>
      <c r="C63" s="102" t="s">
        <v>1068</v>
      </c>
      <c r="D63" t="s">
        <v>2217</v>
      </c>
      <c r="E63">
        <v>514601640</v>
      </c>
      <c r="F63" t="s">
        <v>309</v>
      </c>
      <c r="G63" t="s">
        <v>2217</v>
      </c>
      <c r="H63">
        <v>666109905</v>
      </c>
      <c r="I63" t="s">
        <v>312</v>
      </c>
      <c r="J63" t="s">
        <v>1209</v>
      </c>
      <c r="K63" s="135">
        <v>44587</v>
      </c>
      <c r="L63" s="125">
        <v>2911961</v>
      </c>
      <c r="M63" s="125">
        <v>10619.921767</v>
      </c>
      <c r="N63" s="125">
        <v>0</v>
      </c>
      <c r="O63" s="125">
        <v>0</v>
      </c>
      <c r="P63" s="143">
        <v>0</v>
      </c>
      <c r="Q63" s="132">
        <v>46405</v>
      </c>
    </row>
    <row r="64" spans="1:17" ht="14.25" x14ac:dyDescent="0.2">
      <c r="A64">
        <v>267</v>
      </c>
      <c r="B64">
        <v>267</v>
      </c>
      <c r="C64" s="102" t="s">
        <v>1068</v>
      </c>
      <c r="D64" t="s">
        <v>2388</v>
      </c>
      <c r="E64">
        <v>540301728</v>
      </c>
      <c r="F64" t="s">
        <v>309</v>
      </c>
      <c r="G64" t="s">
        <v>2242</v>
      </c>
      <c r="H64">
        <v>666109939</v>
      </c>
      <c r="I64" t="s">
        <v>312</v>
      </c>
      <c r="J64" t="s">
        <v>1208</v>
      </c>
      <c r="K64" s="135">
        <v>44594</v>
      </c>
      <c r="L64" s="125">
        <v>15000000</v>
      </c>
      <c r="M64" s="125">
        <v>15000</v>
      </c>
      <c r="N64" s="125">
        <v>8964927</v>
      </c>
      <c r="O64" s="125">
        <v>8964.9269999999997</v>
      </c>
      <c r="P64" s="143">
        <v>0.59766180000000002</v>
      </c>
      <c r="Q64" s="132">
        <v>46386</v>
      </c>
    </row>
    <row r="65" spans="1:17" ht="14.25" x14ac:dyDescent="0.2">
      <c r="A65">
        <v>267</v>
      </c>
      <c r="B65">
        <v>267</v>
      </c>
      <c r="C65" s="102" t="s">
        <v>1068</v>
      </c>
      <c r="D65" t="s">
        <v>2389</v>
      </c>
      <c r="E65">
        <v>540310109</v>
      </c>
      <c r="F65" t="s">
        <v>310</v>
      </c>
      <c r="G65" t="s">
        <v>2210</v>
      </c>
      <c r="H65">
        <v>666109947</v>
      </c>
      <c r="I65" t="s">
        <v>312</v>
      </c>
      <c r="J65" t="s">
        <v>1208</v>
      </c>
      <c r="K65" s="135">
        <v>44595</v>
      </c>
      <c r="L65" s="125">
        <v>35000000</v>
      </c>
      <c r="M65" s="125">
        <v>35000</v>
      </c>
      <c r="N65" s="125">
        <v>16145657</v>
      </c>
      <c r="O65" s="125">
        <v>16145.656999999999</v>
      </c>
      <c r="P65" s="143">
        <v>0.46130448571428567</v>
      </c>
      <c r="Q65" s="132">
        <v>48841</v>
      </c>
    </row>
    <row r="66" spans="1:17" ht="14.25" x14ac:dyDescent="0.2">
      <c r="A66">
        <v>267</v>
      </c>
      <c r="B66">
        <v>267</v>
      </c>
      <c r="C66" s="102" t="s">
        <v>1068</v>
      </c>
      <c r="D66" t="s">
        <v>2390</v>
      </c>
      <c r="E66">
        <v>500469614</v>
      </c>
      <c r="F66" t="s">
        <v>310</v>
      </c>
      <c r="G66" t="s">
        <v>2230</v>
      </c>
      <c r="H66">
        <v>666109962</v>
      </c>
      <c r="I66" t="s">
        <v>312</v>
      </c>
      <c r="J66" t="s">
        <v>1209</v>
      </c>
      <c r="K66" s="135">
        <v>44600</v>
      </c>
      <c r="L66" s="125">
        <v>10000000</v>
      </c>
      <c r="M66" s="125">
        <v>36470</v>
      </c>
      <c r="N66" s="125">
        <v>7250000</v>
      </c>
      <c r="O66" s="125">
        <v>26440.75</v>
      </c>
      <c r="P66" s="143">
        <v>0.72499999999999998</v>
      </c>
      <c r="Q66" s="132">
        <v>48231</v>
      </c>
    </row>
    <row r="67" spans="1:17" ht="14.25" x14ac:dyDescent="0.2">
      <c r="A67">
        <v>267</v>
      </c>
      <c r="B67">
        <v>267</v>
      </c>
      <c r="C67" s="102" t="s">
        <v>1068</v>
      </c>
      <c r="D67" t="s">
        <v>2391</v>
      </c>
      <c r="E67">
        <v>540311354</v>
      </c>
      <c r="F67" t="s">
        <v>309</v>
      </c>
      <c r="G67" t="s">
        <v>2260</v>
      </c>
      <c r="H67">
        <v>666109970</v>
      </c>
      <c r="I67" t="s">
        <v>312</v>
      </c>
      <c r="J67" t="s">
        <v>1208</v>
      </c>
      <c r="K67" s="135">
        <v>44607</v>
      </c>
      <c r="L67" s="125">
        <v>35000000</v>
      </c>
      <c r="M67" s="125">
        <v>35000</v>
      </c>
      <c r="N67" s="125">
        <v>4988066</v>
      </c>
      <c r="O67" s="125">
        <v>4988.0659999999998</v>
      </c>
      <c r="P67" s="143">
        <v>0.14251617142857143</v>
      </c>
      <c r="Q67" s="132">
        <v>48153</v>
      </c>
    </row>
    <row r="68" spans="1:17" ht="14.25" x14ac:dyDescent="0.2">
      <c r="A68">
        <v>267</v>
      </c>
      <c r="B68">
        <v>267</v>
      </c>
      <c r="C68" s="102" t="s">
        <v>1068</v>
      </c>
      <c r="D68" t="s">
        <v>2392</v>
      </c>
      <c r="E68">
        <v>540311511</v>
      </c>
      <c r="F68" t="s">
        <v>309</v>
      </c>
      <c r="G68" t="s">
        <v>2227</v>
      </c>
      <c r="H68">
        <v>666109996</v>
      </c>
      <c r="I68" t="s">
        <v>312</v>
      </c>
      <c r="J68" t="s">
        <v>1209</v>
      </c>
      <c r="K68" s="135">
        <v>44627</v>
      </c>
      <c r="L68" s="125">
        <v>5000000</v>
      </c>
      <c r="M68" s="125">
        <v>18235</v>
      </c>
      <c r="N68" s="125">
        <v>2469737</v>
      </c>
      <c r="O68" s="125">
        <v>9007.1308389999995</v>
      </c>
      <c r="P68" s="143">
        <v>0.49394739999999998</v>
      </c>
      <c r="Q68" s="132">
        <v>48911</v>
      </c>
    </row>
    <row r="69" spans="1:17" ht="14.25" x14ac:dyDescent="0.2">
      <c r="A69">
        <v>267</v>
      </c>
      <c r="B69">
        <v>267</v>
      </c>
      <c r="C69" s="102" t="s">
        <v>1068</v>
      </c>
      <c r="D69" t="s">
        <v>2236</v>
      </c>
      <c r="E69">
        <v>500468459</v>
      </c>
      <c r="F69" t="s">
        <v>309</v>
      </c>
      <c r="G69" t="s">
        <v>2236</v>
      </c>
      <c r="H69">
        <v>666110028</v>
      </c>
      <c r="I69" t="s">
        <v>312</v>
      </c>
      <c r="J69" t="s">
        <v>1209</v>
      </c>
      <c r="K69" s="135">
        <v>44635</v>
      </c>
      <c r="L69" s="125">
        <v>5000000</v>
      </c>
      <c r="M69" s="125">
        <v>18235</v>
      </c>
      <c r="N69" s="125">
        <v>3051366</v>
      </c>
      <c r="O69" s="125">
        <v>11128.331801999999</v>
      </c>
      <c r="P69" s="143">
        <v>0.61027319999999996</v>
      </c>
      <c r="Q69" s="132">
        <v>48884</v>
      </c>
    </row>
    <row r="70" spans="1:17" ht="14.25" x14ac:dyDescent="0.2">
      <c r="A70">
        <v>267</v>
      </c>
      <c r="B70">
        <v>267</v>
      </c>
      <c r="C70" s="102" t="s">
        <v>1068</v>
      </c>
      <c r="D70" t="s">
        <v>2256</v>
      </c>
      <c r="E70">
        <v>540316908</v>
      </c>
      <c r="F70" t="s">
        <v>309</v>
      </c>
      <c r="G70" t="s">
        <v>2256</v>
      </c>
      <c r="H70">
        <v>666110374</v>
      </c>
      <c r="I70" t="s">
        <v>312</v>
      </c>
      <c r="J70" t="s">
        <v>1208</v>
      </c>
      <c r="K70" s="135">
        <v>44724</v>
      </c>
      <c r="L70" s="125">
        <v>50000000</v>
      </c>
      <c r="M70" s="125">
        <v>50000</v>
      </c>
      <c r="N70" s="125">
        <v>7451967</v>
      </c>
      <c r="O70" s="125">
        <v>7451.9669999999996</v>
      </c>
      <c r="P70" s="143">
        <v>0.14903933999999999</v>
      </c>
      <c r="Q70" s="132">
        <v>48396</v>
      </c>
    </row>
    <row r="71" spans="1:17" ht="14.25" x14ac:dyDescent="0.2">
      <c r="A71">
        <v>267</v>
      </c>
      <c r="B71">
        <v>267</v>
      </c>
      <c r="C71" s="102" t="s">
        <v>1068</v>
      </c>
      <c r="D71" t="s">
        <v>2266</v>
      </c>
      <c r="E71">
        <v>510607328</v>
      </c>
      <c r="F71" t="s">
        <v>309</v>
      </c>
      <c r="G71" t="s">
        <v>2266</v>
      </c>
      <c r="H71">
        <v>666110523</v>
      </c>
      <c r="I71" t="s">
        <v>312</v>
      </c>
      <c r="J71" t="s">
        <v>1209</v>
      </c>
      <c r="K71" s="135">
        <v>44753</v>
      </c>
      <c r="L71" s="125">
        <v>10000000</v>
      </c>
      <c r="M71" s="125">
        <v>36470</v>
      </c>
      <c r="N71" s="125">
        <v>500000</v>
      </c>
      <c r="O71" s="125">
        <v>1823.5</v>
      </c>
      <c r="P71" s="143">
        <v>0.05</v>
      </c>
      <c r="Q71" s="132">
        <v>48396</v>
      </c>
    </row>
    <row r="72" spans="1:17" ht="14.25" x14ac:dyDescent="0.2">
      <c r="A72">
        <v>267</v>
      </c>
      <c r="B72">
        <v>267</v>
      </c>
      <c r="C72" s="102" t="s">
        <v>1068</v>
      </c>
      <c r="D72" t="s">
        <v>2393</v>
      </c>
      <c r="E72" t="s">
        <v>2474</v>
      </c>
      <c r="F72" t="s">
        <v>311</v>
      </c>
      <c r="G72" t="s">
        <v>2270</v>
      </c>
      <c r="H72">
        <v>666110796</v>
      </c>
      <c r="I72" t="s">
        <v>312</v>
      </c>
      <c r="J72" t="s">
        <v>1209</v>
      </c>
      <c r="K72" s="135">
        <v>44853</v>
      </c>
      <c r="L72" s="125">
        <v>10000000</v>
      </c>
      <c r="M72" s="125">
        <v>36470</v>
      </c>
      <c r="N72" s="125">
        <v>4731555</v>
      </c>
      <c r="O72" s="125">
        <v>17255.981084999999</v>
      </c>
      <c r="P72" s="143">
        <v>0.47315550000000001</v>
      </c>
      <c r="Q72" s="132">
        <v>48092</v>
      </c>
    </row>
    <row r="73" spans="1:17" ht="14.25" x14ac:dyDescent="0.2">
      <c r="A73">
        <v>267</v>
      </c>
      <c r="B73">
        <v>267</v>
      </c>
      <c r="C73" s="102" t="s">
        <v>1068</v>
      </c>
      <c r="D73" t="s">
        <v>2358</v>
      </c>
      <c r="E73">
        <v>550263511</v>
      </c>
      <c r="F73" t="s">
        <v>310</v>
      </c>
      <c r="G73" t="s">
        <v>2282</v>
      </c>
      <c r="H73">
        <v>666110812</v>
      </c>
      <c r="I73" t="s">
        <v>312</v>
      </c>
      <c r="J73" t="s">
        <v>1209</v>
      </c>
      <c r="K73" s="135">
        <v>42856</v>
      </c>
      <c r="L73" s="125">
        <v>5000000</v>
      </c>
      <c r="M73" s="125">
        <v>18235</v>
      </c>
      <c r="N73" s="125">
        <v>2650000</v>
      </c>
      <c r="O73" s="125">
        <v>9664.5499999999993</v>
      </c>
      <c r="P73" s="143">
        <v>0.52999999999999992</v>
      </c>
      <c r="Q73" s="132">
        <v>47727</v>
      </c>
    </row>
    <row r="74" spans="1:17" ht="14.25" x14ac:dyDescent="0.2">
      <c r="A74">
        <v>267</v>
      </c>
      <c r="B74">
        <v>267</v>
      </c>
      <c r="C74" s="102" t="s">
        <v>1068</v>
      </c>
      <c r="D74" t="s">
        <v>2367</v>
      </c>
      <c r="E74">
        <v>1653982</v>
      </c>
      <c r="F74" t="s">
        <v>311</v>
      </c>
      <c r="G74" t="s">
        <v>2285</v>
      </c>
      <c r="H74">
        <v>666110911</v>
      </c>
      <c r="I74" t="s">
        <v>312</v>
      </c>
      <c r="J74" t="s">
        <v>1209</v>
      </c>
      <c r="K74" s="135">
        <v>43570</v>
      </c>
      <c r="L74" s="125">
        <v>3000000</v>
      </c>
      <c r="M74" s="125">
        <v>10941</v>
      </c>
      <c r="N74" s="125">
        <v>1500000</v>
      </c>
      <c r="O74" s="125">
        <v>5470.5</v>
      </c>
      <c r="P74" s="143">
        <v>0.5</v>
      </c>
      <c r="Q74" s="132">
        <v>47331</v>
      </c>
    </row>
    <row r="75" spans="1:17" ht="14.25" x14ac:dyDescent="0.2">
      <c r="A75">
        <v>267</v>
      </c>
      <c r="B75">
        <v>267</v>
      </c>
      <c r="C75" s="102" t="s">
        <v>1068</v>
      </c>
      <c r="D75" t="s">
        <v>2381</v>
      </c>
      <c r="E75" t="s">
        <v>2413</v>
      </c>
      <c r="F75" t="s">
        <v>311</v>
      </c>
      <c r="G75" t="s">
        <v>2219</v>
      </c>
      <c r="H75">
        <v>666111125</v>
      </c>
      <c r="I75" t="s">
        <v>312</v>
      </c>
      <c r="J75" t="s">
        <v>1210</v>
      </c>
      <c r="K75" s="135">
        <v>44298</v>
      </c>
      <c r="L75" s="125">
        <v>10000000</v>
      </c>
      <c r="M75" s="125">
        <v>37964</v>
      </c>
      <c r="N75" s="125">
        <v>5467222.1200000001</v>
      </c>
      <c r="O75" s="125">
        <v>20755.762056367999</v>
      </c>
      <c r="P75" s="143">
        <v>0.54672221199999993</v>
      </c>
      <c r="Q75" s="132">
        <v>48670</v>
      </c>
    </row>
    <row r="76" spans="1:17" ht="14.25" x14ac:dyDescent="0.2">
      <c r="A76">
        <v>267</v>
      </c>
      <c r="B76">
        <v>267</v>
      </c>
      <c r="C76" s="102" t="s">
        <v>1068</v>
      </c>
      <c r="D76" t="s">
        <v>2394</v>
      </c>
      <c r="E76">
        <v>540312105</v>
      </c>
      <c r="F76" t="s">
        <v>309</v>
      </c>
      <c r="G76" t="s">
        <v>2226</v>
      </c>
      <c r="H76">
        <v>666111174</v>
      </c>
      <c r="I76" t="s">
        <v>312</v>
      </c>
      <c r="J76" t="s">
        <v>1208</v>
      </c>
      <c r="K76" s="135">
        <v>44970</v>
      </c>
      <c r="L76" s="125">
        <v>20000000</v>
      </c>
      <c r="M76" s="125">
        <v>20000</v>
      </c>
      <c r="N76" s="125">
        <v>7140807.4000000004</v>
      </c>
      <c r="O76" s="125">
        <v>7140.8074000000006</v>
      </c>
      <c r="P76" s="143">
        <v>0.35704037000000005</v>
      </c>
      <c r="Q76" s="132">
        <v>47880</v>
      </c>
    </row>
    <row r="77" spans="1:17" ht="14.25" x14ac:dyDescent="0.2">
      <c r="A77">
        <v>267</v>
      </c>
      <c r="B77">
        <v>267</v>
      </c>
      <c r="C77" s="102" t="s">
        <v>1068</v>
      </c>
      <c r="D77" t="s">
        <v>1458</v>
      </c>
      <c r="E77" t="s">
        <v>2426</v>
      </c>
      <c r="F77" t="s">
        <v>313</v>
      </c>
      <c r="G77" t="s">
        <v>2275</v>
      </c>
      <c r="H77">
        <v>666111232</v>
      </c>
      <c r="I77" t="s">
        <v>312</v>
      </c>
      <c r="J77" t="s">
        <v>1209</v>
      </c>
      <c r="K77" s="135">
        <v>45006</v>
      </c>
      <c r="L77" s="125">
        <v>5000000</v>
      </c>
      <c r="M77" s="125">
        <v>18235</v>
      </c>
      <c r="N77" s="125">
        <v>1450000</v>
      </c>
      <c r="O77" s="125">
        <v>5288.15</v>
      </c>
      <c r="P77" s="143">
        <v>0.28999999999999998</v>
      </c>
      <c r="Q77" s="132">
        <v>47208</v>
      </c>
    </row>
    <row r="78" spans="1:17" ht="14.25" x14ac:dyDescent="0.2">
      <c r="A78">
        <v>267</v>
      </c>
      <c r="B78">
        <v>267</v>
      </c>
      <c r="C78" s="102" t="s">
        <v>1068</v>
      </c>
      <c r="D78" t="s">
        <v>2395</v>
      </c>
      <c r="E78">
        <v>513373993</v>
      </c>
      <c r="F78" t="s">
        <v>309</v>
      </c>
      <c r="G78" t="s">
        <v>2283</v>
      </c>
      <c r="H78">
        <v>666111299</v>
      </c>
      <c r="I78" t="s">
        <v>312</v>
      </c>
      <c r="J78" t="s">
        <v>1209</v>
      </c>
      <c r="K78" s="135">
        <v>45026</v>
      </c>
      <c r="L78" s="125">
        <v>7000000</v>
      </c>
      <c r="M78" s="125">
        <v>25529</v>
      </c>
      <c r="N78" s="125">
        <v>4472942.8599999994</v>
      </c>
      <c r="O78" s="125">
        <v>16312.822610419997</v>
      </c>
      <c r="P78" s="143">
        <v>0.63899183714285701</v>
      </c>
      <c r="Q78" s="132">
        <v>47939</v>
      </c>
    </row>
    <row r="79" spans="1:17" ht="14.25" x14ac:dyDescent="0.2">
      <c r="A79">
        <v>267</v>
      </c>
      <c r="B79">
        <v>267</v>
      </c>
      <c r="C79" s="102" t="s">
        <v>1068</v>
      </c>
      <c r="D79" t="s">
        <v>2396</v>
      </c>
      <c r="E79" t="s">
        <v>2453</v>
      </c>
      <c r="F79" t="s">
        <v>313</v>
      </c>
      <c r="G79" t="s">
        <v>2234</v>
      </c>
      <c r="H79">
        <v>666111323</v>
      </c>
      <c r="I79" t="s">
        <v>312</v>
      </c>
      <c r="J79" t="s">
        <v>1208</v>
      </c>
      <c r="K79" s="135">
        <v>45036</v>
      </c>
      <c r="L79" s="125">
        <v>20000000</v>
      </c>
      <c r="M79" s="125">
        <v>20000</v>
      </c>
      <c r="N79" s="125">
        <v>14000000</v>
      </c>
      <c r="O79" s="125">
        <v>14000</v>
      </c>
      <c r="P79" s="143">
        <v>0.7</v>
      </c>
      <c r="Q79" s="132">
        <v>47939</v>
      </c>
    </row>
    <row r="80" spans="1:17" ht="14.25" x14ac:dyDescent="0.2">
      <c r="A80">
        <v>267</v>
      </c>
      <c r="B80">
        <v>267</v>
      </c>
      <c r="C80" s="102" t="s">
        <v>1068</v>
      </c>
      <c r="D80" t="s">
        <v>2372</v>
      </c>
      <c r="E80" t="s">
        <v>2417</v>
      </c>
      <c r="F80" t="s">
        <v>311</v>
      </c>
      <c r="G80" t="s">
        <v>2228</v>
      </c>
      <c r="H80">
        <v>666111430</v>
      </c>
      <c r="I80" t="s">
        <v>312</v>
      </c>
      <c r="J80" t="s">
        <v>1209</v>
      </c>
      <c r="K80" s="135">
        <v>43818</v>
      </c>
      <c r="L80" s="125">
        <v>5000000</v>
      </c>
      <c r="M80" s="125">
        <v>18235</v>
      </c>
      <c r="N80" s="125">
        <v>2752324</v>
      </c>
      <c r="O80" s="125">
        <v>10037.725627999998</v>
      </c>
      <c r="P80" s="143">
        <v>0.55046479999999987</v>
      </c>
      <c r="Q80" s="132">
        <v>48227</v>
      </c>
    </row>
    <row r="81" spans="1:36" ht="14.25" x14ac:dyDescent="0.2">
      <c r="A81">
        <v>267</v>
      </c>
      <c r="B81">
        <v>267</v>
      </c>
      <c r="C81" s="102" t="s">
        <v>1068</v>
      </c>
      <c r="D81" t="s">
        <v>2216</v>
      </c>
      <c r="E81" t="s">
        <v>2434</v>
      </c>
      <c r="F81" t="s">
        <v>311</v>
      </c>
      <c r="G81" t="s">
        <v>2216</v>
      </c>
      <c r="H81">
        <v>666111695</v>
      </c>
      <c r="I81" t="s">
        <v>312</v>
      </c>
      <c r="J81" t="s">
        <v>1209</v>
      </c>
      <c r="K81" s="135">
        <v>45197</v>
      </c>
      <c r="L81" s="125">
        <v>10000000</v>
      </c>
      <c r="M81" s="125">
        <v>36470</v>
      </c>
      <c r="N81" s="125">
        <v>5034903.63</v>
      </c>
      <c r="O81" s="125">
        <v>18362.29353861</v>
      </c>
      <c r="P81" s="143">
        <v>0.50349036299999994</v>
      </c>
      <c r="Q81" s="132">
        <v>48670</v>
      </c>
    </row>
    <row r="82" spans="1:36" ht="14.25" x14ac:dyDescent="0.2">
      <c r="A82">
        <v>267</v>
      </c>
      <c r="B82">
        <v>267</v>
      </c>
      <c r="C82" s="102" t="s">
        <v>1068</v>
      </c>
      <c r="D82" t="s">
        <v>2397</v>
      </c>
      <c r="E82">
        <v>530278654</v>
      </c>
      <c r="F82" t="s">
        <v>310</v>
      </c>
      <c r="G82" t="s">
        <v>2231</v>
      </c>
      <c r="H82">
        <v>666111752</v>
      </c>
      <c r="I82" t="s">
        <v>312</v>
      </c>
      <c r="J82" t="s">
        <v>1209</v>
      </c>
      <c r="K82" s="135">
        <v>45221</v>
      </c>
      <c r="L82" s="125">
        <v>10000000</v>
      </c>
      <c r="M82" s="125">
        <v>36470</v>
      </c>
      <c r="N82" s="125">
        <v>7450000</v>
      </c>
      <c r="O82" s="125">
        <v>27170.15</v>
      </c>
      <c r="P82" s="143">
        <v>0.745</v>
      </c>
      <c r="Q82" s="132">
        <v>48396</v>
      </c>
    </row>
    <row r="83" spans="1:36" ht="14.25" x14ac:dyDescent="0.2">
      <c r="A83">
        <v>267</v>
      </c>
      <c r="B83">
        <v>267</v>
      </c>
      <c r="C83" s="102" t="s">
        <v>1068</v>
      </c>
      <c r="D83" t="s">
        <v>1755</v>
      </c>
      <c r="E83">
        <v>515459063</v>
      </c>
      <c r="F83" t="s">
        <v>310</v>
      </c>
      <c r="G83" t="s">
        <v>2237</v>
      </c>
      <c r="H83">
        <v>666111802</v>
      </c>
      <c r="I83" t="s">
        <v>312</v>
      </c>
      <c r="J83" t="s">
        <v>1208</v>
      </c>
      <c r="K83" s="135">
        <v>45222</v>
      </c>
      <c r="L83" s="125">
        <v>20000000</v>
      </c>
      <c r="M83" s="125">
        <v>20000</v>
      </c>
      <c r="N83" s="125">
        <v>15043416</v>
      </c>
      <c r="O83" s="125">
        <v>15043.415999999999</v>
      </c>
      <c r="P83" s="143">
        <v>0.75217079999999992</v>
      </c>
      <c r="Q83" s="132">
        <v>47639</v>
      </c>
    </row>
    <row r="84" spans="1:36" ht="14.25" x14ac:dyDescent="0.2">
      <c r="A84">
        <v>267</v>
      </c>
      <c r="B84">
        <v>267</v>
      </c>
      <c r="C84" s="102" t="s">
        <v>1068</v>
      </c>
      <c r="D84" t="s">
        <v>2398</v>
      </c>
      <c r="E84" t="s">
        <v>2480</v>
      </c>
      <c r="F84" t="s">
        <v>313</v>
      </c>
      <c r="G84" t="s">
        <v>2277</v>
      </c>
      <c r="H84">
        <v>666111844</v>
      </c>
      <c r="I84" t="s">
        <v>312</v>
      </c>
      <c r="J84" t="s">
        <v>1209</v>
      </c>
      <c r="K84" s="135">
        <v>45236</v>
      </c>
      <c r="L84" s="125">
        <v>6000000</v>
      </c>
      <c r="M84" s="125">
        <v>21882</v>
      </c>
      <c r="N84" s="125">
        <v>2055073</v>
      </c>
      <c r="O84" s="125">
        <v>7494.8512309999996</v>
      </c>
      <c r="P84" s="143">
        <v>0.34251216666666667</v>
      </c>
      <c r="Q84" s="132">
        <v>48823</v>
      </c>
    </row>
    <row r="85" spans="1:36" ht="14.25" x14ac:dyDescent="0.2">
      <c r="A85">
        <v>267</v>
      </c>
      <c r="B85">
        <v>267</v>
      </c>
      <c r="C85" s="102" t="s">
        <v>1068</v>
      </c>
      <c r="D85" t="s">
        <v>2348</v>
      </c>
      <c r="E85">
        <v>550260061</v>
      </c>
      <c r="F85" t="s">
        <v>310</v>
      </c>
      <c r="G85" t="s">
        <v>2247</v>
      </c>
      <c r="H85">
        <v>666111885</v>
      </c>
      <c r="I85" t="s">
        <v>312</v>
      </c>
      <c r="J85" t="s">
        <v>1208</v>
      </c>
      <c r="K85" s="135">
        <v>42185</v>
      </c>
      <c r="L85" s="125">
        <v>20000000</v>
      </c>
      <c r="M85" s="125">
        <v>20000</v>
      </c>
      <c r="N85" s="125">
        <v>18406893</v>
      </c>
      <c r="O85" s="125">
        <v>18406.893</v>
      </c>
      <c r="P85" s="143">
        <v>0.92034464999999999</v>
      </c>
      <c r="Q85" s="132">
        <v>47990</v>
      </c>
    </row>
    <row r="86" spans="1:36" ht="14.25" x14ac:dyDescent="0.2">
      <c r="A86">
        <v>267</v>
      </c>
      <c r="B86">
        <v>267</v>
      </c>
      <c r="C86" s="102" t="s">
        <v>1068</v>
      </c>
      <c r="D86" t="s">
        <v>2399</v>
      </c>
      <c r="E86" t="s">
        <v>2451</v>
      </c>
      <c r="F86" t="s">
        <v>311</v>
      </c>
      <c r="G86" t="s">
        <v>2233</v>
      </c>
      <c r="H86">
        <v>666111992</v>
      </c>
      <c r="I86" t="s">
        <v>312</v>
      </c>
      <c r="J86" t="s">
        <v>1209</v>
      </c>
      <c r="K86" s="135">
        <v>45330</v>
      </c>
      <c r="L86" s="125">
        <v>7000000</v>
      </c>
      <c r="M86" s="125">
        <v>25529</v>
      </c>
      <c r="N86" s="125">
        <v>5153108</v>
      </c>
      <c r="O86" s="125">
        <v>18793.384876</v>
      </c>
      <c r="P86" s="143">
        <v>0.73615828571428576</v>
      </c>
      <c r="Q86" s="132">
        <v>48731</v>
      </c>
    </row>
    <row r="87" spans="1:36" ht="14.25" x14ac:dyDescent="0.2">
      <c r="A87">
        <v>267</v>
      </c>
      <c r="B87">
        <v>267</v>
      </c>
      <c r="C87" s="102" t="s">
        <v>1068</v>
      </c>
      <c r="D87" t="s">
        <v>2400</v>
      </c>
      <c r="E87" t="s">
        <v>2458</v>
      </c>
      <c r="F87" t="s">
        <v>311</v>
      </c>
      <c r="G87" t="s">
        <v>2245</v>
      </c>
      <c r="H87">
        <v>666112065</v>
      </c>
      <c r="I87" t="s">
        <v>312</v>
      </c>
      <c r="J87" t="s">
        <v>1209</v>
      </c>
      <c r="K87" s="135">
        <v>45330</v>
      </c>
      <c r="L87" s="125">
        <v>6000000</v>
      </c>
      <c r="M87" s="125">
        <v>21882</v>
      </c>
      <c r="N87" s="125">
        <v>5582695.9199999999</v>
      </c>
      <c r="O87" s="125">
        <v>20360.092020239998</v>
      </c>
      <c r="P87" s="143">
        <v>0.93044931999999991</v>
      </c>
      <c r="Q87" s="132">
        <v>49034</v>
      </c>
    </row>
    <row r="88" spans="1:36" ht="14.25" x14ac:dyDescent="0.2">
      <c r="A88">
        <v>267</v>
      </c>
      <c r="B88">
        <v>267</v>
      </c>
      <c r="C88" s="102" t="s">
        <v>1068</v>
      </c>
      <c r="D88" t="s">
        <v>2401</v>
      </c>
      <c r="E88" t="s">
        <v>2440</v>
      </c>
      <c r="F88" t="s">
        <v>311</v>
      </c>
      <c r="G88" t="s">
        <v>2224</v>
      </c>
      <c r="H88">
        <v>666112131</v>
      </c>
      <c r="I88" t="s">
        <v>312</v>
      </c>
      <c r="J88" t="s">
        <v>1209</v>
      </c>
      <c r="K88" s="135">
        <v>45365</v>
      </c>
      <c r="L88" s="125">
        <v>6000000</v>
      </c>
      <c r="M88" s="125">
        <v>21882</v>
      </c>
      <c r="N88" s="125">
        <v>2933479</v>
      </c>
      <c r="O88" s="125">
        <v>10698.397912999999</v>
      </c>
      <c r="P88" s="143">
        <v>0.48891316666666662</v>
      </c>
      <c r="Q88" s="132">
        <v>47391</v>
      </c>
    </row>
    <row r="89" spans="1:36" ht="14.25" x14ac:dyDescent="0.2">
      <c r="A89">
        <v>267</v>
      </c>
      <c r="B89">
        <v>267</v>
      </c>
      <c r="C89" s="102" t="s">
        <v>1068</v>
      </c>
      <c r="D89" t="s">
        <v>2236</v>
      </c>
      <c r="E89">
        <v>500468459</v>
      </c>
      <c r="F89" t="s">
        <v>309</v>
      </c>
      <c r="G89" t="s">
        <v>2246</v>
      </c>
      <c r="H89">
        <v>666112214</v>
      </c>
      <c r="I89" t="s">
        <v>312</v>
      </c>
      <c r="J89" t="s">
        <v>1209</v>
      </c>
      <c r="K89" s="135">
        <v>44635</v>
      </c>
      <c r="L89" s="125">
        <v>5000000</v>
      </c>
      <c r="M89" s="125">
        <v>18235</v>
      </c>
      <c r="N89" s="125">
        <v>4748427</v>
      </c>
      <c r="O89" s="125">
        <v>17317.513268999999</v>
      </c>
      <c r="P89" s="143">
        <v>0.9496853999999999</v>
      </c>
      <c r="Q89" s="132">
        <v>48884</v>
      </c>
    </row>
    <row r="90" spans="1:36" ht="14.25" x14ac:dyDescent="0.2">
      <c r="A90">
        <v>267</v>
      </c>
      <c r="B90">
        <v>267</v>
      </c>
      <c r="C90" s="102" t="s">
        <v>1068</v>
      </c>
      <c r="D90" t="s">
        <v>2409</v>
      </c>
      <c r="E90" t="s">
        <v>2410</v>
      </c>
      <c r="F90" t="s">
        <v>311</v>
      </c>
      <c r="G90" t="s">
        <v>2197</v>
      </c>
      <c r="H90">
        <v>666112552</v>
      </c>
      <c r="I90" t="s">
        <v>312</v>
      </c>
      <c r="J90" t="s">
        <v>1209</v>
      </c>
      <c r="K90" s="135">
        <v>45496</v>
      </c>
      <c r="L90" s="125">
        <v>6000000</v>
      </c>
      <c r="M90" s="125">
        <v>21882</v>
      </c>
      <c r="N90" s="125">
        <v>3107129.83</v>
      </c>
      <c r="O90" s="125">
        <v>11331.702490009999</v>
      </c>
      <c r="P90" s="143">
        <v>0.51785497166666661</v>
      </c>
      <c r="Q90" s="132">
        <v>49124</v>
      </c>
    </row>
    <row r="91" spans="1:36" ht="14.25" x14ac:dyDescent="0.2">
      <c r="A91">
        <v>267</v>
      </c>
      <c r="B91">
        <v>267</v>
      </c>
      <c r="C91" s="102" t="s">
        <v>1068</v>
      </c>
      <c r="D91" t="s">
        <v>2486</v>
      </c>
      <c r="E91" t="s">
        <v>2487</v>
      </c>
      <c r="F91" t="s">
        <v>313</v>
      </c>
      <c r="G91" t="s">
        <v>2198</v>
      </c>
      <c r="H91">
        <v>666112701</v>
      </c>
      <c r="I91" t="s">
        <v>312</v>
      </c>
      <c r="J91" t="s">
        <v>1209</v>
      </c>
      <c r="K91" s="135">
        <v>45559</v>
      </c>
      <c r="L91" s="125">
        <v>6000000</v>
      </c>
      <c r="M91" s="125">
        <v>21882</v>
      </c>
      <c r="N91" s="125">
        <v>5119395.96</v>
      </c>
      <c r="O91" s="125">
        <v>18670.437066119997</v>
      </c>
      <c r="P91" s="143">
        <v>0.85323265999999987</v>
      </c>
      <c r="Q91" s="132">
        <v>48092</v>
      </c>
    </row>
    <row r="92" spans="1:36" s="136" customFormat="1" ht="14.1" customHeight="1" x14ac:dyDescent="0.2">
      <c r="A92" s="13">
        <v>267</v>
      </c>
      <c r="B92" s="13">
        <v>267</v>
      </c>
      <c r="C92" s="138" t="s">
        <v>1068</v>
      </c>
      <c r="D92" s="13" t="s">
        <v>2488</v>
      </c>
      <c r="E92" s="138">
        <v>550207153</v>
      </c>
      <c r="F92" s="13" t="s">
        <v>309</v>
      </c>
      <c r="G92" s="13" t="s">
        <v>2489</v>
      </c>
      <c r="H92" s="13">
        <v>666112702</v>
      </c>
      <c r="I92" s="13" t="s">
        <v>312</v>
      </c>
      <c r="J92" s="137" t="s">
        <v>1209</v>
      </c>
      <c r="K92" s="139">
        <v>45107</v>
      </c>
      <c r="L92" s="140">
        <v>3000000</v>
      </c>
      <c r="M92" s="125">
        <v>10941</v>
      </c>
      <c r="N92" s="140">
        <v>3000000</v>
      </c>
      <c r="O92" s="125">
        <v>10941</v>
      </c>
      <c r="P92" s="141">
        <v>1</v>
      </c>
      <c r="Q92" s="132">
        <v>49553</v>
      </c>
    </row>
    <row r="93" spans="1:36" s="136" customFormat="1" ht="14.1" customHeight="1" x14ac:dyDescent="0.2">
      <c r="A93" s="13">
        <v>267</v>
      </c>
      <c r="B93" s="13">
        <v>267</v>
      </c>
      <c r="C93" s="138" t="s">
        <v>1068</v>
      </c>
      <c r="D93" s="13" t="s">
        <v>2490</v>
      </c>
      <c r="E93" s="138" t="s">
        <v>2491</v>
      </c>
      <c r="F93" s="13" t="s">
        <v>313</v>
      </c>
      <c r="G93" s="13" t="s">
        <v>2490</v>
      </c>
      <c r="H93" s="13">
        <v>666112703</v>
      </c>
      <c r="I93" s="13" t="s">
        <v>312</v>
      </c>
      <c r="J93" s="137" t="s">
        <v>1209</v>
      </c>
      <c r="K93" s="139">
        <v>45487</v>
      </c>
      <c r="L93" s="140">
        <v>7500000</v>
      </c>
      <c r="M93" s="125">
        <v>27352.5</v>
      </c>
      <c r="N93" s="140">
        <v>7500000</v>
      </c>
      <c r="O93" s="125">
        <v>27352.5</v>
      </c>
      <c r="P93" s="141">
        <v>1</v>
      </c>
      <c r="Q93" s="132">
        <v>49188</v>
      </c>
    </row>
    <row r="94" spans="1:36" ht="14.1" customHeight="1" x14ac:dyDescent="0.2">
      <c r="A94" s="169" t="s">
        <v>2494</v>
      </c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</row>
  </sheetData>
  <sheetProtection formatColumns="0"/>
  <dataConsolidate/>
  <mergeCells count="1">
    <mergeCell ref="A94:AJ94"/>
  </mergeCells>
  <dataValidations count="2">
    <dataValidation type="list" allowBlank="1" showInputMessage="1" showErrorMessage="1" sqref="F2:F93" xr:uid="{8307F2DA-C4E5-47FD-A763-16480DEFD38A}">
      <formula1>Issuer_Number_Fund</formula1>
    </dataValidation>
    <dataValidation type="list" allowBlank="1" showInputMessage="1" showErrorMessage="1" sqref="I2:I93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C2:C91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AJ1316"/>
  <sheetViews>
    <sheetView showGridLines="0" rightToLeft="1" zoomScale="85" zoomScaleNormal="85" workbookViewId="0">
      <pane ySplit="1" topLeftCell="A701" activePane="bottomLeft" state="frozen"/>
      <selection pane="bottomLeft" activeCell="A1316" sqref="A1316:AJ1316"/>
    </sheetView>
  </sheetViews>
  <sheetFormatPr defaultColWidth="9" defaultRowHeight="14.25" x14ac:dyDescent="0.2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9" customFormat="1" ht="45" x14ac:dyDescent="0.2">
      <c r="A1" s="38" t="s">
        <v>198</v>
      </c>
      <c r="B1" s="38" t="s">
        <v>199</v>
      </c>
      <c r="C1" s="38" t="s">
        <v>200</v>
      </c>
      <c r="D1" s="38" t="s">
        <v>201</v>
      </c>
      <c r="E1" s="101" t="s">
        <v>202</v>
      </c>
      <c r="F1"/>
      <c r="G1"/>
      <c r="H1"/>
    </row>
    <row r="2" spans="1:8" x14ac:dyDescent="0.2">
      <c r="A2" s="65"/>
      <c r="B2" s="65" t="s">
        <v>203</v>
      </c>
      <c r="C2" s="18" t="s">
        <v>204</v>
      </c>
      <c r="D2" s="18"/>
    </row>
    <row r="3" spans="1:8" x14ac:dyDescent="0.2">
      <c r="A3" s="66"/>
      <c r="B3" s="66"/>
      <c r="C3" s="18" t="s">
        <v>205</v>
      </c>
      <c r="D3" s="18"/>
    </row>
    <row r="4" spans="1:8" ht="42.75" x14ac:dyDescent="0.2">
      <c r="A4" s="108"/>
      <c r="B4" s="75" t="s">
        <v>206</v>
      </c>
      <c r="C4" s="19" t="s">
        <v>204</v>
      </c>
      <c r="D4" s="19"/>
    </row>
    <row r="5" spans="1:8" x14ac:dyDescent="0.2">
      <c r="A5" s="109"/>
      <c r="B5" s="76"/>
      <c r="C5" s="19" t="s">
        <v>207</v>
      </c>
      <c r="D5" s="19"/>
    </row>
    <row r="6" spans="1:8" x14ac:dyDescent="0.2">
      <c r="A6" s="109"/>
      <c r="B6" s="76"/>
      <c r="C6" s="19" t="s">
        <v>208</v>
      </c>
      <c r="D6" s="19"/>
    </row>
    <row r="7" spans="1:8" x14ac:dyDescent="0.2">
      <c r="A7" s="109"/>
      <c r="B7" s="76"/>
      <c r="C7" s="19" t="s">
        <v>209</v>
      </c>
      <c r="D7" s="19"/>
    </row>
    <row r="8" spans="1:8" x14ac:dyDescent="0.2">
      <c r="A8" s="109"/>
      <c r="B8" s="76"/>
      <c r="C8" s="19" t="s">
        <v>210</v>
      </c>
      <c r="D8" s="19"/>
    </row>
    <row r="9" spans="1:8" x14ac:dyDescent="0.2">
      <c r="A9" s="109"/>
      <c r="B9" s="76"/>
      <c r="C9" s="19" t="s">
        <v>211</v>
      </c>
      <c r="D9" s="19"/>
    </row>
    <row r="10" spans="1:8" x14ac:dyDescent="0.2">
      <c r="A10" s="109"/>
      <c r="B10" s="76"/>
      <c r="C10" s="19" t="s">
        <v>212</v>
      </c>
      <c r="D10" s="19"/>
    </row>
    <row r="11" spans="1:8" x14ac:dyDescent="0.2">
      <c r="A11" s="109"/>
      <c r="B11" s="76"/>
      <c r="C11" s="19" t="s">
        <v>213</v>
      </c>
      <c r="D11" s="19"/>
      <c r="E11" t="s">
        <v>214</v>
      </c>
    </row>
    <row r="12" spans="1:8" x14ac:dyDescent="0.2">
      <c r="A12" s="109"/>
      <c r="B12" s="76"/>
      <c r="C12" s="19" t="s">
        <v>215</v>
      </c>
      <c r="D12" s="19"/>
      <c r="E12" t="s">
        <v>214</v>
      </c>
    </row>
    <row r="13" spans="1:8" x14ac:dyDescent="0.2">
      <c r="A13" s="109"/>
      <c r="B13" s="76"/>
      <c r="C13" s="19" t="s">
        <v>216</v>
      </c>
      <c r="D13" s="19"/>
    </row>
    <row r="14" spans="1:8" x14ac:dyDescent="0.2">
      <c r="A14" s="109"/>
      <c r="B14" s="76"/>
      <c r="C14" s="19" t="s">
        <v>217</v>
      </c>
      <c r="D14" s="19"/>
    </row>
    <row r="15" spans="1:8" x14ac:dyDescent="0.2">
      <c r="A15" s="109"/>
      <c r="B15" s="76"/>
      <c r="C15" s="19" t="s">
        <v>218</v>
      </c>
      <c r="D15" s="19"/>
    </row>
    <row r="16" spans="1:8" x14ac:dyDescent="0.2">
      <c r="A16" s="109"/>
      <c r="B16" s="76"/>
      <c r="C16" s="19" t="s">
        <v>219</v>
      </c>
      <c r="D16" s="19"/>
    </row>
    <row r="17" spans="1:4" x14ac:dyDescent="0.2">
      <c r="A17" s="109"/>
      <c r="B17" s="76"/>
      <c r="C17" s="19" t="s">
        <v>220</v>
      </c>
      <c r="D17" s="19"/>
    </row>
    <row r="18" spans="1:4" x14ac:dyDescent="0.2">
      <c r="A18" s="109"/>
      <c r="B18" s="76"/>
      <c r="C18" s="19" t="s">
        <v>221</v>
      </c>
      <c r="D18" s="19"/>
    </row>
    <row r="19" spans="1:4" x14ac:dyDescent="0.2">
      <c r="A19" s="109"/>
      <c r="B19" s="76"/>
      <c r="C19" s="19" t="s">
        <v>222</v>
      </c>
      <c r="D19" s="19"/>
    </row>
    <row r="20" spans="1:4" x14ac:dyDescent="0.2">
      <c r="A20" s="109"/>
      <c r="B20" s="76"/>
      <c r="C20" s="19" t="s">
        <v>223</v>
      </c>
      <c r="D20" s="19"/>
    </row>
    <row r="21" spans="1:4" x14ac:dyDescent="0.2">
      <c r="A21" s="109"/>
      <c r="B21" s="76"/>
      <c r="C21" s="19" t="s">
        <v>224</v>
      </c>
      <c r="D21" s="19"/>
    </row>
    <row r="22" spans="1:4" x14ac:dyDescent="0.2">
      <c r="A22" s="109"/>
      <c r="B22" s="76"/>
      <c r="C22" s="19" t="s">
        <v>225</v>
      </c>
      <c r="D22" s="19"/>
    </row>
    <row r="23" spans="1:4" x14ac:dyDescent="0.2">
      <c r="A23" s="109"/>
      <c r="B23" s="76"/>
      <c r="C23" s="19" t="s">
        <v>226</v>
      </c>
      <c r="D23" s="19"/>
    </row>
    <row r="24" spans="1:4" x14ac:dyDescent="0.2">
      <c r="A24" s="109"/>
      <c r="B24" s="76"/>
      <c r="C24" s="19" t="s">
        <v>227</v>
      </c>
      <c r="D24" s="19"/>
    </row>
    <row r="25" spans="1:4" x14ac:dyDescent="0.2">
      <c r="A25" s="109"/>
      <c r="B25" s="76"/>
      <c r="C25" s="19" t="s">
        <v>228</v>
      </c>
      <c r="D25" s="19"/>
    </row>
    <row r="26" spans="1:4" x14ac:dyDescent="0.2">
      <c r="A26" s="109"/>
      <c r="B26" s="76"/>
      <c r="C26" s="19" t="s">
        <v>229</v>
      </c>
      <c r="D26" s="19"/>
    </row>
    <row r="27" spans="1:4" x14ac:dyDescent="0.2">
      <c r="A27" s="109"/>
      <c r="B27" s="76"/>
      <c r="C27" s="19" t="s">
        <v>230</v>
      </c>
      <c r="D27" s="19"/>
    </row>
    <row r="28" spans="1:4" x14ac:dyDescent="0.2">
      <c r="A28" s="109"/>
      <c r="B28" s="76"/>
      <c r="C28" s="19" t="s">
        <v>231</v>
      </c>
      <c r="D28" s="19"/>
    </row>
    <row r="29" spans="1:4" x14ac:dyDescent="0.2">
      <c r="A29" s="109"/>
      <c r="B29" s="76"/>
      <c r="C29" s="19" t="s">
        <v>232</v>
      </c>
      <c r="D29" s="19"/>
    </row>
    <row r="30" spans="1:4" x14ac:dyDescent="0.2">
      <c r="A30" s="109"/>
      <c r="B30" s="76"/>
      <c r="C30" s="19" t="s">
        <v>233</v>
      </c>
      <c r="D30" s="19"/>
    </row>
    <row r="31" spans="1:4" x14ac:dyDescent="0.2">
      <c r="A31" s="109"/>
      <c r="B31" s="76"/>
      <c r="C31" s="19" t="s">
        <v>234</v>
      </c>
      <c r="D31" s="19"/>
    </row>
    <row r="32" spans="1:4" x14ac:dyDescent="0.2">
      <c r="A32" s="109"/>
      <c r="B32" s="76"/>
      <c r="C32" s="19" t="s">
        <v>235</v>
      </c>
      <c r="D32" s="19"/>
    </row>
    <row r="33" spans="1:5" x14ac:dyDescent="0.2">
      <c r="A33" s="109"/>
      <c r="B33" s="76"/>
      <c r="C33" s="19" t="s">
        <v>236</v>
      </c>
      <c r="D33" s="19"/>
    </row>
    <row r="34" spans="1:5" x14ac:dyDescent="0.2">
      <c r="A34" s="109"/>
      <c r="B34" s="76"/>
      <c r="C34" s="19" t="s">
        <v>237</v>
      </c>
      <c r="D34" s="19"/>
    </row>
    <row r="35" spans="1:5" x14ac:dyDescent="0.2">
      <c r="A35" s="109"/>
      <c r="B35" s="76"/>
      <c r="C35" s="19" t="s">
        <v>238</v>
      </c>
      <c r="D35" s="19"/>
    </row>
    <row r="36" spans="1:5" x14ac:dyDescent="0.2">
      <c r="A36" s="109"/>
      <c r="B36" s="76"/>
      <c r="C36" s="19" t="s">
        <v>239</v>
      </c>
      <c r="D36" s="19"/>
      <c r="E36" t="s">
        <v>214</v>
      </c>
    </row>
    <row r="37" spans="1:5" x14ac:dyDescent="0.2">
      <c r="A37" s="109"/>
      <c r="B37" s="76"/>
      <c r="C37" s="102" t="s">
        <v>240</v>
      </c>
      <c r="D37" s="19"/>
      <c r="E37" t="s">
        <v>214</v>
      </c>
    </row>
    <row r="38" spans="1:5" x14ac:dyDescent="0.2">
      <c r="A38" s="109"/>
      <c r="B38" s="76"/>
      <c r="C38" s="19" t="s">
        <v>241</v>
      </c>
      <c r="D38" s="19"/>
    </row>
    <row r="39" spans="1:5" x14ac:dyDescent="0.2">
      <c r="A39" s="109"/>
      <c r="B39" s="76"/>
      <c r="C39" s="19" t="s">
        <v>242</v>
      </c>
      <c r="D39" s="19"/>
    </row>
    <row r="40" spans="1:5" x14ac:dyDescent="0.2">
      <c r="A40" s="109"/>
      <c r="B40" s="76"/>
      <c r="C40" s="19" t="s">
        <v>243</v>
      </c>
      <c r="D40" s="19"/>
      <c r="E40" t="s">
        <v>214</v>
      </c>
    </row>
    <row r="41" spans="1:5" x14ac:dyDescent="0.2">
      <c r="A41" s="109"/>
      <c r="B41" s="76"/>
      <c r="C41" s="19" t="s">
        <v>244</v>
      </c>
      <c r="D41" s="19"/>
    </row>
    <row r="42" spans="1:5" x14ac:dyDescent="0.2">
      <c r="A42" s="109"/>
      <c r="B42" s="76"/>
      <c r="C42" s="19" t="s">
        <v>245</v>
      </c>
      <c r="D42" s="19"/>
    </row>
    <row r="43" spans="1:5" x14ac:dyDescent="0.2">
      <c r="A43" s="109"/>
      <c r="B43" s="76"/>
      <c r="C43" s="19" t="s">
        <v>246</v>
      </c>
      <c r="D43" s="19"/>
    </row>
    <row r="44" spans="1:5" x14ac:dyDescent="0.2">
      <c r="A44" s="109"/>
      <c r="B44" s="76"/>
      <c r="C44" s="19" t="s">
        <v>247</v>
      </c>
      <c r="D44" s="19"/>
    </row>
    <row r="45" spans="1:5" x14ac:dyDescent="0.2">
      <c r="A45" s="109"/>
      <c r="B45" s="76"/>
      <c r="C45" s="19" t="s">
        <v>248</v>
      </c>
      <c r="D45" s="19"/>
    </row>
    <row r="46" spans="1:5" x14ac:dyDescent="0.2">
      <c r="A46" s="109"/>
      <c r="B46" s="76"/>
      <c r="C46" s="19" t="s">
        <v>249</v>
      </c>
      <c r="D46" s="19"/>
      <c r="E46" t="s">
        <v>214</v>
      </c>
    </row>
    <row r="47" spans="1:5" x14ac:dyDescent="0.2">
      <c r="A47" s="109"/>
      <c r="B47" s="76"/>
      <c r="C47" s="19" t="s">
        <v>250</v>
      </c>
      <c r="D47" s="19"/>
    </row>
    <row r="48" spans="1:5" x14ac:dyDescent="0.2">
      <c r="A48" s="109"/>
      <c r="B48" s="76"/>
      <c r="C48" s="19" t="s">
        <v>251</v>
      </c>
      <c r="D48" s="19"/>
    </row>
    <row r="49" spans="1:5" x14ac:dyDescent="0.2">
      <c r="A49" s="109"/>
      <c r="B49" s="76"/>
      <c r="C49" s="19" t="s">
        <v>252</v>
      </c>
      <c r="D49" s="19"/>
    </row>
    <row r="50" spans="1:5" x14ac:dyDescent="0.2">
      <c r="A50" s="109"/>
      <c r="B50" s="76"/>
      <c r="C50" s="19" t="s">
        <v>253</v>
      </c>
      <c r="D50" s="19"/>
    </row>
    <row r="51" spans="1:5" x14ac:dyDescent="0.2">
      <c r="A51" s="109"/>
      <c r="B51" s="76"/>
      <c r="C51" s="19" t="s">
        <v>254</v>
      </c>
      <c r="D51" s="19"/>
    </row>
    <row r="52" spans="1:5" x14ac:dyDescent="0.2">
      <c r="A52" s="109"/>
      <c r="B52" s="76"/>
      <c r="C52" s="19" t="s">
        <v>255</v>
      </c>
      <c r="D52" s="19"/>
    </row>
    <row r="53" spans="1:5" x14ac:dyDescent="0.2">
      <c r="A53" s="109"/>
      <c r="B53" s="76"/>
      <c r="C53" s="19" t="s">
        <v>256</v>
      </c>
      <c r="D53" s="19"/>
    </row>
    <row r="54" spans="1:5" x14ac:dyDescent="0.2">
      <c r="A54" s="109"/>
      <c r="B54" s="76"/>
      <c r="C54" s="19" t="s">
        <v>257</v>
      </c>
      <c r="D54" s="19"/>
    </row>
    <row r="55" spans="1:5" x14ac:dyDescent="0.2">
      <c r="A55" s="109"/>
      <c r="B55" s="76"/>
      <c r="C55" s="19" t="s">
        <v>258</v>
      </c>
      <c r="D55" s="19"/>
    </row>
    <row r="56" spans="1:5" x14ac:dyDescent="0.2">
      <c r="A56" s="109"/>
      <c r="B56" s="76"/>
      <c r="C56" s="19" t="s">
        <v>259</v>
      </c>
      <c r="D56" s="19"/>
    </row>
    <row r="57" spans="1:5" x14ac:dyDescent="0.2">
      <c r="A57" s="109"/>
      <c r="B57" s="76"/>
      <c r="C57" s="19" t="s">
        <v>260</v>
      </c>
      <c r="D57" s="19"/>
    </row>
    <row r="58" spans="1:5" x14ac:dyDescent="0.2">
      <c r="A58" s="109"/>
      <c r="B58" s="76"/>
      <c r="C58" s="19" t="s">
        <v>261</v>
      </c>
      <c r="D58" s="19"/>
    </row>
    <row r="59" spans="1:5" x14ac:dyDescent="0.2">
      <c r="A59" s="109"/>
      <c r="B59" s="76"/>
      <c r="C59" s="19" t="s">
        <v>262</v>
      </c>
      <c r="D59" s="19"/>
    </row>
    <row r="60" spans="1:5" x14ac:dyDescent="0.2">
      <c r="A60" s="109"/>
      <c r="B60" s="76"/>
      <c r="C60" s="19" t="s">
        <v>263</v>
      </c>
      <c r="D60" s="19"/>
    </row>
    <row r="61" spans="1:5" x14ac:dyDescent="0.2">
      <c r="A61" s="109"/>
      <c r="B61" s="76"/>
      <c r="C61" s="19" t="s">
        <v>264</v>
      </c>
      <c r="D61" s="19"/>
    </row>
    <row r="62" spans="1:5" x14ac:dyDescent="0.2">
      <c r="A62" s="109"/>
      <c r="B62" s="76"/>
      <c r="C62" s="19" t="s">
        <v>265</v>
      </c>
      <c r="D62" s="19"/>
    </row>
    <row r="63" spans="1:5" x14ac:dyDescent="0.2">
      <c r="A63" s="109"/>
      <c r="B63" s="76"/>
      <c r="C63" s="19" t="s">
        <v>266</v>
      </c>
      <c r="D63" s="19"/>
      <c r="E63" t="s">
        <v>214</v>
      </c>
    </row>
    <row r="64" spans="1:5" x14ac:dyDescent="0.2">
      <c r="A64" s="109"/>
      <c r="B64" s="76"/>
      <c r="C64" s="19" t="s">
        <v>267</v>
      </c>
      <c r="D64" s="19"/>
    </row>
    <row r="65" spans="1:4" x14ac:dyDescent="0.2">
      <c r="A65" s="109"/>
      <c r="B65" s="76"/>
      <c r="C65" s="19" t="s">
        <v>268</v>
      </c>
      <c r="D65" s="19"/>
    </row>
    <row r="66" spans="1:4" x14ac:dyDescent="0.2">
      <c r="A66" s="109"/>
      <c r="B66" s="76"/>
      <c r="C66" s="19" t="s">
        <v>269</v>
      </c>
      <c r="D66" s="19"/>
    </row>
    <row r="67" spans="1:4" x14ac:dyDescent="0.2">
      <c r="A67" s="109"/>
      <c r="B67" s="76"/>
      <c r="C67" s="19" t="s">
        <v>270</v>
      </c>
      <c r="D67" s="19"/>
    </row>
    <row r="68" spans="1:4" x14ac:dyDescent="0.2">
      <c r="A68" s="109"/>
      <c r="B68" s="76"/>
      <c r="C68" s="19" t="s">
        <v>271</v>
      </c>
      <c r="D68" s="19"/>
    </row>
    <row r="69" spans="1:4" x14ac:dyDescent="0.2">
      <c r="A69" s="109"/>
      <c r="B69" s="76"/>
      <c r="C69" s="19" t="s">
        <v>272</v>
      </c>
      <c r="D69" s="19"/>
    </row>
    <row r="70" spans="1:4" x14ac:dyDescent="0.2">
      <c r="A70" s="109"/>
      <c r="B70" s="76"/>
      <c r="C70" s="19" t="s">
        <v>273</v>
      </c>
      <c r="D70" s="19"/>
    </row>
    <row r="71" spans="1:4" x14ac:dyDescent="0.2">
      <c r="A71" s="109"/>
      <c r="B71" s="76"/>
      <c r="C71" s="19" t="s">
        <v>274</v>
      </c>
      <c r="D71" s="19"/>
    </row>
    <row r="72" spans="1:4" x14ac:dyDescent="0.2">
      <c r="A72" s="109"/>
      <c r="B72" s="76"/>
      <c r="C72" s="19" t="s">
        <v>275</v>
      </c>
      <c r="D72" s="19"/>
    </row>
    <row r="73" spans="1:4" x14ac:dyDescent="0.2">
      <c r="A73" s="109"/>
      <c r="B73" s="76"/>
      <c r="C73" s="19" t="s">
        <v>276</v>
      </c>
      <c r="D73" s="19"/>
    </row>
    <row r="74" spans="1:4" x14ac:dyDescent="0.2">
      <c r="A74" s="109"/>
      <c r="B74" s="76"/>
      <c r="C74" s="19" t="s">
        <v>277</v>
      </c>
      <c r="D74" s="19"/>
    </row>
    <row r="75" spans="1:4" x14ac:dyDescent="0.2">
      <c r="A75" s="109"/>
      <c r="B75" s="76"/>
      <c r="C75" s="19" t="s">
        <v>278</v>
      </c>
      <c r="D75" s="19"/>
    </row>
    <row r="76" spans="1:4" x14ac:dyDescent="0.2">
      <c r="A76" s="109"/>
      <c r="B76" s="76"/>
      <c r="C76" s="19" t="s">
        <v>279</v>
      </c>
      <c r="D76" s="19"/>
    </row>
    <row r="77" spans="1:4" x14ac:dyDescent="0.2">
      <c r="A77" s="109"/>
      <c r="B77" s="76"/>
      <c r="C77" s="19" t="s">
        <v>280</v>
      </c>
      <c r="D77" s="19"/>
    </row>
    <row r="78" spans="1:4" x14ac:dyDescent="0.2">
      <c r="A78" s="109"/>
      <c r="B78" s="76"/>
      <c r="C78" s="19" t="s">
        <v>281</v>
      </c>
      <c r="D78" s="19"/>
    </row>
    <row r="79" spans="1:4" x14ac:dyDescent="0.2">
      <c r="A79" s="109"/>
      <c r="B79" s="76"/>
      <c r="C79" s="19" t="s">
        <v>282</v>
      </c>
      <c r="D79" s="19"/>
    </row>
    <row r="80" spans="1:4" x14ac:dyDescent="0.2">
      <c r="A80" s="109"/>
      <c r="B80" s="76"/>
      <c r="C80" s="19" t="s">
        <v>283</v>
      </c>
      <c r="D80" s="19"/>
    </row>
    <row r="81" spans="1:5" x14ac:dyDescent="0.2">
      <c r="A81" s="109"/>
      <c r="B81" s="76"/>
      <c r="C81" s="19" t="s">
        <v>284</v>
      </c>
      <c r="D81" s="19"/>
    </row>
    <row r="82" spans="1:5" x14ac:dyDescent="0.2">
      <c r="A82" s="109"/>
      <c r="B82" s="76"/>
      <c r="C82" s="19" t="s">
        <v>285</v>
      </c>
      <c r="D82" s="19"/>
    </row>
    <row r="83" spans="1:5" x14ac:dyDescent="0.2">
      <c r="A83" s="109"/>
      <c r="B83" s="76"/>
      <c r="C83" s="19" t="s">
        <v>286</v>
      </c>
      <c r="D83" s="19"/>
    </row>
    <row r="84" spans="1:5" x14ac:dyDescent="0.2">
      <c r="A84" s="109"/>
      <c r="B84" s="76"/>
      <c r="C84" s="19" t="s">
        <v>287</v>
      </c>
      <c r="D84" s="19"/>
    </row>
    <row r="85" spans="1:5" x14ac:dyDescent="0.2">
      <c r="A85" s="109"/>
      <c r="B85" s="76"/>
      <c r="C85" s="19" t="s">
        <v>288</v>
      </c>
      <c r="D85" s="19"/>
    </row>
    <row r="86" spans="1:5" x14ac:dyDescent="0.2">
      <c r="A86" s="109"/>
      <c r="B86" s="76"/>
      <c r="C86" s="19" t="s">
        <v>289</v>
      </c>
      <c r="D86" s="19"/>
    </row>
    <row r="87" spans="1:5" x14ac:dyDescent="0.2">
      <c r="A87" s="109"/>
      <c r="B87" s="76"/>
      <c r="C87" s="19" t="s">
        <v>290</v>
      </c>
      <c r="D87" s="19"/>
    </row>
    <row r="88" spans="1:5" x14ac:dyDescent="0.2">
      <c r="A88" s="109"/>
      <c r="B88" s="76"/>
      <c r="C88" s="19" t="s">
        <v>291</v>
      </c>
      <c r="D88" s="19"/>
    </row>
    <row r="89" spans="1:5" x14ac:dyDescent="0.2">
      <c r="A89" s="109"/>
      <c r="B89" s="76"/>
      <c r="C89" s="19" t="s">
        <v>292</v>
      </c>
      <c r="D89" s="19"/>
    </row>
    <row r="90" spans="1:5" x14ac:dyDescent="0.2">
      <c r="A90" s="109"/>
      <c r="B90" s="76"/>
      <c r="C90" s="19" t="s">
        <v>293</v>
      </c>
      <c r="D90" s="19"/>
    </row>
    <row r="91" spans="1:5" x14ac:dyDescent="0.2">
      <c r="A91" s="109"/>
      <c r="B91" s="76"/>
      <c r="C91" s="19" t="s">
        <v>294</v>
      </c>
      <c r="D91" s="19"/>
    </row>
    <row r="92" spans="1:5" x14ac:dyDescent="0.2">
      <c r="A92" s="109"/>
      <c r="B92" s="76"/>
      <c r="C92" s="19" t="s">
        <v>295</v>
      </c>
      <c r="D92" s="19"/>
    </row>
    <row r="93" spans="1:5" x14ac:dyDescent="0.2">
      <c r="A93" s="109"/>
      <c r="B93" s="76"/>
      <c r="C93" s="19" t="s">
        <v>296</v>
      </c>
      <c r="D93" s="19"/>
    </row>
    <row r="94" spans="1:5" x14ac:dyDescent="0.2">
      <c r="A94" s="109"/>
      <c r="B94" s="76"/>
      <c r="C94" s="19" t="s">
        <v>297</v>
      </c>
      <c r="D94" s="19" t="s">
        <v>298</v>
      </c>
      <c r="E94" t="s">
        <v>214</v>
      </c>
    </row>
    <row r="95" spans="1:5" x14ac:dyDescent="0.2">
      <c r="A95" s="109"/>
      <c r="B95" s="76"/>
      <c r="C95" s="19" t="s">
        <v>299</v>
      </c>
      <c r="D95" s="19" t="s">
        <v>300</v>
      </c>
      <c r="E95" t="s">
        <v>214</v>
      </c>
    </row>
    <row r="96" spans="1:5" x14ac:dyDescent="0.2">
      <c r="A96" s="109"/>
      <c r="B96" s="76"/>
      <c r="C96" s="19" t="s">
        <v>301</v>
      </c>
      <c r="D96" s="19" t="s">
        <v>300</v>
      </c>
      <c r="E96" t="s">
        <v>214</v>
      </c>
    </row>
    <row r="97" spans="1:5" x14ac:dyDescent="0.2">
      <c r="A97" s="109"/>
      <c r="B97" s="76"/>
      <c r="C97" s="19" t="s">
        <v>302</v>
      </c>
      <c r="D97" s="19" t="s">
        <v>300</v>
      </c>
      <c r="E97" t="s">
        <v>214</v>
      </c>
    </row>
    <row r="98" spans="1:5" x14ac:dyDescent="0.2">
      <c r="A98" s="109"/>
      <c r="B98" s="76"/>
      <c r="C98" s="19" t="s">
        <v>303</v>
      </c>
      <c r="D98" s="19" t="s">
        <v>300</v>
      </c>
      <c r="E98" t="s">
        <v>214</v>
      </c>
    </row>
    <row r="99" spans="1:5" x14ac:dyDescent="0.2">
      <c r="A99" s="109"/>
      <c r="B99" s="76"/>
      <c r="C99" s="19" t="s">
        <v>304</v>
      </c>
      <c r="D99" s="19" t="s">
        <v>300</v>
      </c>
      <c r="E99" t="s">
        <v>214</v>
      </c>
    </row>
    <row r="100" spans="1:5" x14ac:dyDescent="0.2">
      <c r="A100" s="109"/>
      <c r="B100" s="76"/>
      <c r="C100" s="19" t="s">
        <v>305</v>
      </c>
      <c r="D100" s="19" t="s">
        <v>300</v>
      </c>
      <c r="E100" t="s">
        <v>214</v>
      </c>
    </row>
    <row r="101" spans="1:5" x14ac:dyDescent="0.2">
      <c r="A101" s="109"/>
      <c r="B101" s="76"/>
      <c r="C101" s="19" t="s">
        <v>306</v>
      </c>
      <c r="D101" s="19" t="s">
        <v>300</v>
      </c>
      <c r="E101" t="s">
        <v>214</v>
      </c>
    </row>
    <row r="102" spans="1:5" x14ac:dyDescent="0.2">
      <c r="A102" s="109"/>
      <c r="B102" s="76"/>
      <c r="C102" s="19" t="s">
        <v>307</v>
      </c>
      <c r="D102" s="19" t="s">
        <v>300</v>
      </c>
      <c r="E102" t="s">
        <v>214</v>
      </c>
    </row>
    <row r="103" spans="1:5" x14ac:dyDescent="0.2">
      <c r="A103" s="109"/>
      <c r="B103" s="76"/>
      <c r="C103" s="19" t="s">
        <v>308</v>
      </c>
      <c r="D103" s="19" t="s">
        <v>300</v>
      </c>
      <c r="E103" t="s">
        <v>214</v>
      </c>
    </row>
    <row r="104" spans="1:5" x14ac:dyDescent="0.2">
      <c r="A104" s="57"/>
      <c r="B104" s="57" t="s">
        <v>81</v>
      </c>
      <c r="C104" s="18" t="s">
        <v>309</v>
      </c>
      <c r="D104" s="18"/>
    </row>
    <row r="105" spans="1:5" x14ac:dyDescent="0.2">
      <c r="A105" s="58"/>
      <c r="B105" s="58"/>
      <c r="C105" s="18" t="s">
        <v>80</v>
      </c>
      <c r="D105" s="18"/>
    </row>
    <row r="106" spans="1:5" x14ac:dyDescent="0.2">
      <c r="A106" s="58"/>
      <c r="B106" s="58"/>
      <c r="C106" s="18" t="s">
        <v>310</v>
      </c>
      <c r="D106" s="18"/>
    </row>
    <row r="107" spans="1:5" x14ac:dyDescent="0.2">
      <c r="A107" s="58"/>
      <c r="B107" s="58"/>
      <c r="C107" s="18" t="s">
        <v>311</v>
      </c>
      <c r="D107" s="18"/>
    </row>
    <row r="108" spans="1:5" x14ac:dyDescent="0.2">
      <c r="A108" s="58"/>
      <c r="B108" s="58"/>
      <c r="C108" s="18" t="s">
        <v>312</v>
      </c>
      <c r="D108" s="18"/>
    </row>
    <row r="109" spans="1:5" x14ac:dyDescent="0.2">
      <c r="A109" s="58"/>
      <c r="B109" s="58"/>
      <c r="C109" s="18" t="s">
        <v>313</v>
      </c>
      <c r="D109" s="18"/>
    </row>
    <row r="110" spans="1:5" x14ac:dyDescent="0.2">
      <c r="A110" s="59"/>
      <c r="B110" s="59"/>
      <c r="C110" s="18" t="s">
        <v>314</v>
      </c>
      <c r="D110" s="18"/>
    </row>
    <row r="111" spans="1:5" x14ac:dyDescent="0.2">
      <c r="A111" s="109"/>
      <c r="B111" s="51" t="s">
        <v>53</v>
      </c>
      <c r="C111" s="19" t="s">
        <v>309</v>
      </c>
      <c r="D111" s="19"/>
    </row>
    <row r="112" spans="1:5" x14ac:dyDescent="0.2">
      <c r="A112" s="109"/>
      <c r="B112" s="52"/>
      <c r="C112" s="19" t="s">
        <v>315</v>
      </c>
      <c r="D112" s="19"/>
    </row>
    <row r="113" spans="1:4" x14ac:dyDescent="0.2">
      <c r="A113" s="109"/>
      <c r="B113" s="53"/>
      <c r="C113" s="19" t="s">
        <v>316</v>
      </c>
      <c r="D113" s="19"/>
    </row>
    <row r="114" spans="1:4" x14ac:dyDescent="0.2">
      <c r="A114" s="110"/>
      <c r="B114" s="110" t="s">
        <v>317</v>
      </c>
      <c r="C114" s="18" t="s">
        <v>309</v>
      </c>
      <c r="D114" s="18"/>
    </row>
    <row r="115" spans="1:4" x14ac:dyDescent="0.2">
      <c r="A115" s="110"/>
      <c r="B115" s="110"/>
      <c r="C115" s="18" t="s">
        <v>310</v>
      </c>
      <c r="D115" s="18"/>
    </row>
    <row r="116" spans="1:4" x14ac:dyDescent="0.2">
      <c r="A116" s="110"/>
      <c r="B116" s="110"/>
      <c r="C116" s="18" t="s">
        <v>311</v>
      </c>
      <c r="D116" s="18"/>
    </row>
    <row r="117" spans="1:4" x14ac:dyDescent="0.2">
      <c r="A117" s="110"/>
      <c r="B117" s="110"/>
      <c r="C117" s="18" t="s">
        <v>313</v>
      </c>
      <c r="D117" s="18"/>
    </row>
    <row r="118" spans="1:4" x14ac:dyDescent="0.2">
      <c r="A118" s="108"/>
      <c r="B118" s="69" t="s">
        <v>151</v>
      </c>
      <c r="C118" s="19" t="s">
        <v>309</v>
      </c>
      <c r="D118" s="19"/>
    </row>
    <row r="119" spans="1:4" x14ac:dyDescent="0.2">
      <c r="A119" s="105"/>
      <c r="B119" s="86"/>
      <c r="C119" s="19" t="s">
        <v>318</v>
      </c>
      <c r="D119" s="19"/>
    </row>
    <row r="120" spans="1:4" x14ac:dyDescent="0.2">
      <c r="A120" s="105"/>
      <c r="B120" s="86"/>
      <c r="C120" s="19" t="s">
        <v>311</v>
      </c>
      <c r="D120" s="19"/>
    </row>
    <row r="121" spans="1:4" x14ac:dyDescent="0.2">
      <c r="A121" s="105"/>
      <c r="B121" s="86"/>
      <c r="C121" s="19" t="s">
        <v>312</v>
      </c>
      <c r="D121" s="19"/>
    </row>
    <row r="122" spans="1:4" x14ac:dyDescent="0.2">
      <c r="A122" s="105"/>
      <c r="B122" s="86"/>
      <c r="C122" s="19" t="s">
        <v>310</v>
      </c>
      <c r="D122" s="19"/>
    </row>
    <row r="123" spans="1:4" x14ac:dyDescent="0.2">
      <c r="A123" s="105"/>
      <c r="B123" s="86"/>
      <c r="C123" s="19" t="s">
        <v>319</v>
      </c>
      <c r="D123" s="19"/>
    </row>
    <row r="124" spans="1:4" x14ac:dyDescent="0.2">
      <c r="A124" s="105"/>
      <c r="B124" s="86"/>
      <c r="C124" s="19" t="s">
        <v>320</v>
      </c>
      <c r="D124" s="19"/>
    </row>
    <row r="125" spans="1:4" x14ac:dyDescent="0.2">
      <c r="A125" s="105"/>
      <c r="B125" s="86"/>
      <c r="C125" s="19" t="s">
        <v>313</v>
      </c>
      <c r="D125" s="19"/>
    </row>
    <row r="126" spans="1:4" x14ac:dyDescent="0.2">
      <c r="A126" s="109"/>
      <c r="B126" s="70"/>
      <c r="C126" s="19" t="s">
        <v>314</v>
      </c>
      <c r="D126" s="19"/>
    </row>
    <row r="127" spans="1:4" x14ac:dyDescent="0.2">
      <c r="A127" s="57"/>
      <c r="B127" s="57" t="s">
        <v>82</v>
      </c>
      <c r="C127" s="18" t="s">
        <v>321</v>
      </c>
      <c r="D127" s="18"/>
    </row>
    <row r="128" spans="1:4" x14ac:dyDescent="0.2">
      <c r="A128" s="58"/>
      <c r="B128" s="58"/>
      <c r="C128" s="18" t="s">
        <v>322</v>
      </c>
      <c r="D128" s="18"/>
    </row>
    <row r="129" spans="1:5" x14ac:dyDescent="0.2">
      <c r="A129" s="58"/>
      <c r="B129" s="58"/>
      <c r="C129" s="18" t="s">
        <v>323</v>
      </c>
      <c r="D129" s="18"/>
    </row>
    <row r="130" spans="1:5" x14ac:dyDescent="0.2">
      <c r="A130" s="58"/>
      <c r="B130" s="58"/>
      <c r="C130" s="18" t="s">
        <v>136</v>
      </c>
      <c r="D130" s="18"/>
    </row>
    <row r="131" spans="1:5" x14ac:dyDescent="0.2">
      <c r="A131" s="58"/>
      <c r="B131" s="58"/>
      <c r="C131" s="18" t="s">
        <v>312</v>
      </c>
      <c r="D131" s="18"/>
    </row>
    <row r="132" spans="1:5" x14ac:dyDescent="0.2">
      <c r="A132" s="109"/>
      <c r="B132" s="52" t="s">
        <v>324</v>
      </c>
      <c r="C132" s="19" t="s">
        <v>321</v>
      </c>
      <c r="D132" s="19"/>
    </row>
    <row r="133" spans="1:5" x14ac:dyDescent="0.2">
      <c r="A133" s="109"/>
      <c r="B133" s="52"/>
      <c r="C133" s="19" t="s">
        <v>312</v>
      </c>
      <c r="D133" s="19"/>
    </row>
    <row r="134" spans="1:5" x14ac:dyDescent="0.2">
      <c r="A134" s="111"/>
      <c r="B134" s="53"/>
      <c r="C134" s="19" t="s">
        <v>314</v>
      </c>
      <c r="D134" s="19"/>
    </row>
    <row r="135" spans="1:5" x14ac:dyDescent="0.2">
      <c r="A135" s="61"/>
      <c r="B135" s="61" t="s">
        <v>89</v>
      </c>
      <c r="C135" s="18" t="s">
        <v>325</v>
      </c>
      <c r="D135" s="18"/>
    </row>
    <row r="136" spans="1:5" x14ac:dyDescent="0.2">
      <c r="A136" s="62"/>
      <c r="B136" s="62"/>
      <c r="C136" s="18" t="s">
        <v>326</v>
      </c>
      <c r="D136" s="18"/>
      <c r="E136" t="s">
        <v>214</v>
      </c>
    </row>
    <row r="137" spans="1:5" x14ac:dyDescent="0.2">
      <c r="A137" s="62"/>
      <c r="B137" s="62"/>
      <c r="C137" s="18" t="s">
        <v>327</v>
      </c>
      <c r="D137" s="18" t="s">
        <v>328</v>
      </c>
    </row>
    <row r="138" spans="1:5" x14ac:dyDescent="0.2">
      <c r="A138" s="62"/>
      <c r="B138" s="62"/>
      <c r="C138" s="18" t="s">
        <v>329</v>
      </c>
      <c r="D138" s="18" t="s">
        <v>330</v>
      </c>
    </row>
    <row r="139" spans="1:5" x14ac:dyDescent="0.2">
      <c r="A139" s="62"/>
      <c r="B139" s="62"/>
      <c r="C139" s="18" t="s">
        <v>331</v>
      </c>
      <c r="D139" s="18"/>
    </row>
    <row r="140" spans="1:5" x14ac:dyDescent="0.2">
      <c r="A140" s="62"/>
      <c r="B140" s="62"/>
      <c r="C140" s="18" t="s">
        <v>332</v>
      </c>
      <c r="D140" s="18"/>
    </row>
    <row r="141" spans="1:5" x14ac:dyDescent="0.2">
      <c r="A141" s="62"/>
      <c r="B141" s="62"/>
      <c r="C141" s="18" t="s">
        <v>333</v>
      </c>
      <c r="D141" s="18"/>
    </row>
    <row r="142" spans="1:5" x14ac:dyDescent="0.2">
      <c r="A142" s="62"/>
      <c r="B142" s="62"/>
      <c r="C142" s="18" t="s">
        <v>334</v>
      </c>
      <c r="D142" s="18"/>
    </row>
    <row r="143" spans="1:5" x14ac:dyDescent="0.2">
      <c r="A143" s="62"/>
      <c r="B143" s="62"/>
      <c r="C143" s="18" t="s">
        <v>335</v>
      </c>
      <c r="D143" s="18"/>
    </row>
    <row r="144" spans="1:5" x14ac:dyDescent="0.2">
      <c r="A144" s="62"/>
      <c r="B144" s="62"/>
      <c r="C144" s="18" t="s">
        <v>336</v>
      </c>
      <c r="D144" s="18"/>
    </row>
    <row r="145" spans="1:4" x14ac:dyDescent="0.2">
      <c r="A145" s="62"/>
      <c r="B145" s="62"/>
      <c r="C145" s="18" t="s">
        <v>314</v>
      </c>
      <c r="D145" s="18"/>
    </row>
    <row r="146" spans="1:4" x14ac:dyDescent="0.2">
      <c r="A146" s="108"/>
      <c r="B146" s="54" t="s">
        <v>337</v>
      </c>
      <c r="C146" s="19" t="s">
        <v>338</v>
      </c>
      <c r="D146" s="19"/>
    </row>
    <row r="147" spans="1:4" x14ac:dyDescent="0.2">
      <c r="A147" s="111"/>
      <c r="B147" s="56"/>
      <c r="C147" s="19" t="s">
        <v>339</v>
      </c>
      <c r="D147" s="19"/>
    </row>
    <row r="148" spans="1:4" x14ac:dyDescent="0.2">
      <c r="A148" s="112"/>
      <c r="B148" s="113" t="s">
        <v>70</v>
      </c>
      <c r="C148" s="18" t="s">
        <v>340</v>
      </c>
      <c r="D148" s="18" t="s">
        <v>341</v>
      </c>
    </row>
    <row r="149" spans="1:4" x14ac:dyDescent="0.2">
      <c r="A149" s="114"/>
      <c r="B149" s="114"/>
      <c r="C149" s="18" t="s">
        <v>342</v>
      </c>
      <c r="D149" s="18" t="s">
        <v>343</v>
      </c>
    </row>
    <row r="150" spans="1:4" x14ac:dyDescent="0.2">
      <c r="A150" s="114"/>
      <c r="B150" s="114"/>
      <c r="C150" s="18" t="s">
        <v>344</v>
      </c>
      <c r="D150" s="18" t="s">
        <v>345</v>
      </c>
    </row>
    <row r="151" spans="1:4" x14ac:dyDescent="0.2">
      <c r="A151" s="114"/>
      <c r="B151" s="114"/>
      <c r="C151" s="18" t="s">
        <v>346</v>
      </c>
      <c r="D151" s="18" t="s">
        <v>347</v>
      </c>
    </row>
    <row r="152" spans="1:4" x14ac:dyDescent="0.2">
      <c r="A152" s="114"/>
      <c r="B152" s="114"/>
      <c r="C152" s="18" t="s">
        <v>348</v>
      </c>
      <c r="D152" s="18" t="s">
        <v>349</v>
      </c>
    </row>
    <row r="153" spans="1:4" x14ac:dyDescent="0.2">
      <c r="A153" s="114"/>
      <c r="B153" s="114"/>
      <c r="C153" s="18" t="s">
        <v>350</v>
      </c>
      <c r="D153" s="18" t="s">
        <v>351</v>
      </c>
    </row>
    <row r="154" spans="1:4" x14ac:dyDescent="0.2">
      <c r="A154" s="114"/>
      <c r="B154" s="114"/>
      <c r="C154" s="18" t="s">
        <v>352</v>
      </c>
      <c r="D154" s="18" t="s">
        <v>353</v>
      </c>
    </row>
    <row r="155" spans="1:4" x14ac:dyDescent="0.2">
      <c r="A155" s="114"/>
      <c r="B155" s="114"/>
      <c r="C155" s="18" t="s">
        <v>354</v>
      </c>
      <c r="D155" s="18" t="s">
        <v>355</v>
      </c>
    </row>
    <row r="156" spans="1:4" x14ac:dyDescent="0.2">
      <c r="A156" s="114"/>
      <c r="B156" s="114"/>
      <c r="C156" s="18" t="s">
        <v>356</v>
      </c>
      <c r="D156" s="18" t="s">
        <v>357</v>
      </c>
    </row>
    <row r="157" spans="1:4" x14ac:dyDescent="0.2">
      <c r="A157" s="114"/>
      <c r="B157" s="114"/>
      <c r="C157" s="18" t="s">
        <v>358</v>
      </c>
      <c r="D157" s="18" t="s">
        <v>359</v>
      </c>
    </row>
    <row r="158" spans="1:4" x14ac:dyDescent="0.2">
      <c r="A158" s="114"/>
      <c r="B158" s="114"/>
      <c r="C158" s="18" t="s">
        <v>360</v>
      </c>
      <c r="D158" s="18" t="s">
        <v>361</v>
      </c>
    </row>
    <row r="159" spans="1:4" x14ac:dyDescent="0.2">
      <c r="A159" s="114"/>
      <c r="B159" s="114"/>
      <c r="C159" s="18" t="s">
        <v>362</v>
      </c>
      <c r="D159" s="18" t="s">
        <v>363</v>
      </c>
    </row>
    <row r="160" spans="1:4" x14ac:dyDescent="0.2">
      <c r="A160" s="114"/>
      <c r="B160" s="114"/>
      <c r="C160" s="18" t="s">
        <v>364</v>
      </c>
      <c r="D160" s="18" t="s">
        <v>365</v>
      </c>
    </row>
    <row r="161" spans="1:4" x14ac:dyDescent="0.2">
      <c r="A161" s="114"/>
      <c r="B161" s="114"/>
      <c r="C161" s="18" t="s">
        <v>366</v>
      </c>
      <c r="D161" s="18" t="s">
        <v>367</v>
      </c>
    </row>
    <row r="162" spans="1:4" x14ac:dyDescent="0.2">
      <c r="A162" s="114"/>
      <c r="B162" s="114"/>
      <c r="C162" s="18" t="s">
        <v>368</v>
      </c>
      <c r="D162" s="18" t="s">
        <v>369</v>
      </c>
    </row>
    <row r="163" spans="1:4" x14ac:dyDescent="0.2">
      <c r="A163" s="114"/>
      <c r="B163" s="114"/>
      <c r="C163" s="18" t="s">
        <v>370</v>
      </c>
      <c r="D163" s="18" t="s">
        <v>371</v>
      </c>
    </row>
    <row r="164" spans="1:4" x14ac:dyDescent="0.2">
      <c r="A164" s="114"/>
      <c r="B164" s="114"/>
      <c r="C164" s="18" t="s">
        <v>372</v>
      </c>
      <c r="D164" s="18" t="s">
        <v>373</v>
      </c>
    </row>
    <row r="165" spans="1:4" x14ac:dyDescent="0.2">
      <c r="A165" s="114"/>
      <c r="B165" s="114"/>
      <c r="C165" s="18" t="s">
        <v>374</v>
      </c>
      <c r="D165" s="18" t="s">
        <v>375</v>
      </c>
    </row>
    <row r="166" spans="1:4" x14ac:dyDescent="0.2">
      <c r="A166" s="114"/>
      <c r="B166" s="114"/>
      <c r="C166" s="18" t="s">
        <v>376</v>
      </c>
      <c r="D166" s="18" t="s">
        <v>377</v>
      </c>
    </row>
    <row r="167" spans="1:4" x14ac:dyDescent="0.2">
      <c r="A167" s="114"/>
      <c r="B167" s="114"/>
      <c r="C167" s="18" t="s">
        <v>378</v>
      </c>
      <c r="D167" s="18" t="s">
        <v>379</v>
      </c>
    </row>
    <row r="168" spans="1:4" x14ac:dyDescent="0.2">
      <c r="A168" s="114"/>
      <c r="B168" s="114"/>
      <c r="C168" s="18" t="s">
        <v>380</v>
      </c>
      <c r="D168" s="18" t="s">
        <v>381</v>
      </c>
    </row>
    <row r="169" spans="1:4" x14ac:dyDescent="0.2">
      <c r="A169" s="114"/>
      <c r="B169" s="114"/>
      <c r="C169" s="18" t="s">
        <v>382</v>
      </c>
      <c r="D169" s="18" t="s">
        <v>383</v>
      </c>
    </row>
    <row r="170" spans="1:4" x14ac:dyDescent="0.2">
      <c r="A170" s="114"/>
      <c r="B170" s="114"/>
      <c r="C170" s="18" t="s">
        <v>384</v>
      </c>
      <c r="D170" s="18" t="s">
        <v>385</v>
      </c>
    </row>
    <row r="171" spans="1:4" x14ac:dyDescent="0.2">
      <c r="A171" s="114"/>
      <c r="B171" s="114"/>
      <c r="C171" s="18" t="s">
        <v>386</v>
      </c>
      <c r="D171" s="18" t="s">
        <v>387</v>
      </c>
    </row>
    <row r="172" spans="1:4" x14ac:dyDescent="0.2">
      <c r="A172" s="114"/>
      <c r="B172" s="114"/>
      <c r="C172" s="18" t="s">
        <v>388</v>
      </c>
      <c r="D172" s="18" t="s">
        <v>389</v>
      </c>
    </row>
    <row r="173" spans="1:4" x14ac:dyDescent="0.2">
      <c r="A173" s="114"/>
      <c r="B173" s="114"/>
      <c r="C173" s="18" t="s">
        <v>390</v>
      </c>
      <c r="D173" s="18" t="s">
        <v>391</v>
      </c>
    </row>
    <row r="174" spans="1:4" x14ac:dyDescent="0.2">
      <c r="A174" s="114"/>
      <c r="B174" s="114"/>
      <c r="C174" s="18" t="s">
        <v>392</v>
      </c>
      <c r="D174" s="18" t="s">
        <v>393</v>
      </c>
    </row>
    <row r="175" spans="1:4" x14ac:dyDescent="0.2">
      <c r="A175" s="114"/>
      <c r="B175" s="114"/>
      <c r="C175" s="18" t="s">
        <v>394</v>
      </c>
      <c r="D175" s="18" t="s">
        <v>395</v>
      </c>
    </row>
    <row r="176" spans="1:4" x14ac:dyDescent="0.2">
      <c r="A176" s="114"/>
      <c r="B176" s="114"/>
      <c r="C176" s="18" t="s">
        <v>396</v>
      </c>
      <c r="D176" s="18" t="s">
        <v>397</v>
      </c>
    </row>
    <row r="177" spans="1:5" x14ac:dyDescent="0.2">
      <c r="A177" s="114"/>
      <c r="B177" s="114"/>
      <c r="C177" s="18" t="s">
        <v>398</v>
      </c>
      <c r="D177" s="18" t="s">
        <v>399</v>
      </c>
    </row>
    <row r="178" spans="1:5" x14ac:dyDescent="0.2">
      <c r="A178" s="114"/>
      <c r="B178" s="114"/>
      <c r="C178" s="18" t="s">
        <v>400</v>
      </c>
      <c r="D178" s="18" t="s">
        <v>401</v>
      </c>
    </row>
    <row r="179" spans="1:5" x14ac:dyDescent="0.2">
      <c r="A179" s="114"/>
      <c r="B179" s="114"/>
      <c r="C179" s="18" t="s">
        <v>402</v>
      </c>
      <c r="D179" s="18" t="s">
        <v>403</v>
      </c>
    </row>
    <row r="180" spans="1:5" x14ac:dyDescent="0.2">
      <c r="A180" s="114"/>
      <c r="B180" s="114"/>
      <c r="C180" s="18" t="s">
        <v>404</v>
      </c>
      <c r="D180" s="18" t="s">
        <v>405</v>
      </c>
      <c r="E180" t="s">
        <v>214</v>
      </c>
    </row>
    <row r="181" spans="1:5" x14ac:dyDescent="0.2">
      <c r="A181" s="114"/>
      <c r="B181" s="114"/>
      <c r="C181" s="18" t="s">
        <v>314</v>
      </c>
      <c r="D181" s="18" t="s">
        <v>314</v>
      </c>
    </row>
    <row r="182" spans="1:5" x14ac:dyDescent="0.2">
      <c r="A182" s="108"/>
      <c r="B182" s="54" t="s">
        <v>406</v>
      </c>
      <c r="C182" s="41" t="s">
        <v>407</v>
      </c>
      <c r="D182" s="41"/>
    </row>
    <row r="183" spans="1:5" x14ac:dyDescent="0.2">
      <c r="A183" s="109"/>
      <c r="B183" s="55"/>
      <c r="C183" s="41" t="s">
        <v>408</v>
      </c>
      <c r="D183" s="41"/>
    </row>
    <row r="184" spans="1:5" x14ac:dyDescent="0.2">
      <c r="A184" s="109"/>
      <c r="B184" s="55"/>
      <c r="C184" s="41" t="s">
        <v>409</v>
      </c>
      <c r="D184" s="41"/>
    </row>
    <row r="185" spans="1:5" x14ac:dyDescent="0.2">
      <c r="A185" s="111"/>
      <c r="B185" s="56"/>
      <c r="C185" s="42" t="s">
        <v>410</v>
      </c>
      <c r="D185" s="42"/>
    </row>
    <row r="186" spans="1:5" x14ac:dyDescent="0.2">
      <c r="A186" s="57"/>
      <c r="B186" s="57" t="s">
        <v>86</v>
      </c>
      <c r="C186" s="40" t="s">
        <v>411</v>
      </c>
      <c r="D186" s="40"/>
    </row>
    <row r="187" spans="1:5" x14ac:dyDescent="0.2">
      <c r="A187" s="58"/>
      <c r="B187" s="58"/>
      <c r="C187" s="40" t="s">
        <v>412</v>
      </c>
      <c r="D187" s="40"/>
    </row>
    <row r="188" spans="1:5" x14ac:dyDescent="0.2">
      <c r="A188" s="108"/>
      <c r="B188" s="54" t="s">
        <v>58</v>
      </c>
      <c r="C188" s="42" t="s">
        <v>413</v>
      </c>
      <c r="D188" s="42" t="s">
        <v>414</v>
      </c>
    </row>
    <row r="189" spans="1:5" x14ac:dyDescent="0.2">
      <c r="A189" s="109"/>
      <c r="B189" s="55"/>
      <c r="C189" s="42" t="s">
        <v>415</v>
      </c>
      <c r="D189" s="42" t="s">
        <v>416</v>
      </c>
    </row>
    <row r="190" spans="1:5" x14ac:dyDescent="0.2">
      <c r="A190" s="109"/>
      <c r="B190" s="55"/>
      <c r="C190" s="42" t="s">
        <v>312</v>
      </c>
      <c r="D190" s="42" t="s">
        <v>312</v>
      </c>
    </row>
    <row r="191" spans="1:5" x14ac:dyDescent="0.2">
      <c r="A191" s="109"/>
      <c r="B191" s="55"/>
      <c r="C191" s="42" t="s">
        <v>417</v>
      </c>
      <c r="D191" s="42" t="s">
        <v>418</v>
      </c>
    </row>
    <row r="192" spans="1:5" x14ac:dyDescent="0.2">
      <c r="A192" s="109"/>
      <c r="B192" s="55"/>
      <c r="C192" s="42" t="s">
        <v>419</v>
      </c>
      <c r="D192" s="42" t="s">
        <v>420</v>
      </c>
    </row>
    <row r="193" spans="1:4" x14ac:dyDescent="0.2">
      <c r="A193" s="109"/>
      <c r="B193" s="55"/>
      <c r="C193" s="42" t="s">
        <v>421</v>
      </c>
      <c r="D193" s="42" t="s">
        <v>422</v>
      </c>
    </row>
    <row r="194" spans="1:4" x14ac:dyDescent="0.2">
      <c r="A194" s="109"/>
      <c r="B194" s="55"/>
      <c r="C194" s="42" t="s">
        <v>423</v>
      </c>
      <c r="D194" s="42" t="s">
        <v>424</v>
      </c>
    </row>
    <row r="195" spans="1:4" x14ac:dyDescent="0.2">
      <c r="A195" s="109"/>
      <c r="B195" s="55"/>
      <c r="C195" s="42" t="s">
        <v>425</v>
      </c>
      <c r="D195" s="42" t="s">
        <v>426</v>
      </c>
    </row>
    <row r="196" spans="1:4" x14ac:dyDescent="0.2">
      <c r="A196" s="109"/>
      <c r="B196" s="55"/>
      <c r="C196" s="42" t="s">
        <v>427</v>
      </c>
      <c r="D196" s="42" t="s">
        <v>428</v>
      </c>
    </row>
    <row r="197" spans="1:4" x14ac:dyDescent="0.2">
      <c r="A197" s="109"/>
      <c r="B197" s="55"/>
      <c r="C197" s="42" t="s">
        <v>429</v>
      </c>
      <c r="D197" s="42" t="s">
        <v>430</v>
      </c>
    </row>
    <row r="198" spans="1:4" x14ac:dyDescent="0.2">
      <c r="A198" s="109"/>
      <c r="B198" s="55"/>
      <c r="C198" s="42" t="s">
        <v>431</v>
      </c>
      <c r="D198" s="42" t="s">
        <v>432</v>
      </c>
    </row>
    <row r="199" spans="1:4" x14ac:dyDescent="0.2">
      <c r="A199" s="109"/>
      <c r="B199" s="55"/>
      <c r="C199" s="42" t="s">
        <v>433</v>
      </c>
      <c r="D199" s="42" t="s">
        <v>434</v>
      </c>
    </row>
    <row r="200" spans="1:4" x14ac:dyDescent="0.2">
      <c r="A200" s="109"/>
      <c r="B200" s="55"/>
      <c r="C200" s="42" t="s">
        <v>314</v>
      </c>
      <c r="D200" s="42" t="s">
        <v>314</v>
      </c>
    </row>
    <row r="201" spans="1:4" x14ac:dyDescent="0.2">
      <c r="A201" s="111"/>
      <c r="B201" s="56"/>
      <c r="C201" s="42" t="s">
        <v>410</v>
      </c>
      <c r="D201" s="42" t="s">
        <v>435</v>
      </c>
    </row>
    <row r="202" spans="1:4" x14ac:dyDescent="0.2">
      <c r="A202" s="113"/>
      <c r="B202" s="113" t="s">
        <v>83</v>
      </c>
      <c r="C202" s="18" t="s">
        <v>436</v>
      </c>
      <c r="D202" s="18"/>
    </row>
    <row r="203" spans="1:4" x14ac:dyDescent="0.2">
      <c r="A203" s="114"/>
      <c r="B203" s="114"/>
      <c r="C203" s="18" t="s">
        <v>437</v>
      </c>
      <c r="D203" s="18"/>
    </row>
    <row r="204" spans="1:4" x14ac:dyDescent="0.2">
      <c r="A204" s="114"/>
      <c r="B204" s="114"/>
      <c r="C204" s="18" t="s">
        <v>438</v>
      </c>
      <c r="D204" s="18"/>
    </row>
    <row r="205" spans="1:4" x14ac:dyDescent="0.2">
      <c r="A205" s="114"/>
      <c r="B205" s="114"/>
      <c r="C205" s="18" t="s">
        <v>439</v>
      </c>
      <c r="D205" s="18"/>
    </row>
    <row r="206" spans="1:4" x14ac:dyDescent="0.2">
      <c r="A206" s="114"/>
      <c r="B206" s="114"/>
      <c r="C206" s="18" t="s">
        <v>440</v>
      </c>
      <c r="D206" s="18"/>
    </row>
    <row r="207" spans="1:4" x14ac:dyDescent="0.2">
      <c r="A207" s="114"/>
      <c r="B207" s="114"/>
      <c r="C207" s="18" t="s">
        <v>441</v>
      </c>
      <c r="D207" s="18"/>
    </row>
    <row r="208" spans="1:4" x14ac:dyDescent="0.2">
      <c r="A208" s="114"/>
      <c r="B208" s="114"/>
      <c r="C208" s="18" t="s">
        <v>442</v>
      </c>
      <c r="D208" s="18"/>
    </row>
    <row r="209" spans="1:5" x14ac:dyDescent="0.2">
      <c r="A209" s="114"/>
      <c r="B209" s="114"/>
      <c r="C209" s="18" t="s">
        <v>443</v>
      </c>
      <c r="D209" s="18"/>
    </row>
    <row r="210" spans="1:5" x14ac:dyDescent="0.2">
      <c r="A210" s="114"/>
      <c r="B210" s="114"/>
      <c r="C210" s="18" t="s">
        <v>444</v>
      </c>
      <c r="D210" s="18"/>
    </row>
    <row r="211" spans="1:5" x14ac:dyDescent="0.2">
      <c r="A211" s="114"/>
      <c r="B211" s="114"/>
      <c r="C211" s="18" t="s">
        <v>445</v>
      </c>
      <c r="D211" s="18"/>
    </row>
    <row r="212" spans="1:5" x14ac:dyDescent="0.2">
      <c r="A212" s="114"/>
      <c r="B212" s="114"/>
      <c r="C212" s="18" t="s">
        <v>446</v>
      </c>
      <c r="D212" s="18"/>
    </row>
    <row r="213" spans="1:5" x14ac:dyDescent="0.2">
      <c r="A213" s="114"/>
      <c r="B213" s="114"/>
      <c r="C213" s="18" t="s">
        <v>447</v>
      </c>
      <c r="D213" s="18"/>
    </row>
    <row r="214" spans="1:5" x14ac:dyDescent="0.2">
      <c r="A214" s="114"/>
      <c r="B214" s="114"/>
      <c r="C214" s="18" t="s">
        <v>448</v>
      </c>
      <c r="D214" s="18"/>
    </row>
    <row r="215" spans="1:5" x14ac:dyDescent="0.2">
      <c r="A215" s="114"/>
      <c r="B215" s="114"/>
      <c r="C215" s="18" t="s">
        <v>449</v>
      </c>
      <c r="D215" s="18"/>
    </row>
    <row r="216" spans="1:5" x14ac:dyDescent="0.2">
      <c r="A216" s="114"/>
      <c r="B216" s="114"/>
      <c r="C216" s="18" t="s">
        <v>450</v>
      </c>
      <c r="D216" s="18"/>
    </row>
    <row r="217" spans="1:5" x14ac:dyDescent="0.2">
      <c r="A217" s="114"/>
      <c r="B217" s="114"/>
      <c r="C217" s="18" t="s">
        <v>451</v>
      </c>
      <c r="D217" s="18"/>
    </row>
    <row r="218" spans="1:5" x14ac:dyDescent="0.2">
      <c r="A218" s="114"/>
      <c r="B218" s="114"/>
      <c r="C218" s="18" t="s">
        <v>452</v>
      </c>
      <c r="D218" s="18" t="s">
        <v>453</v>
      </c>
      <c r="E218" t="s">
        <v>214</v>
      </c>
    </row>
    <row r="219" spans="1:5" x14ac:dyDescent="0.2">
      <c r="A219" s="114"/>
      <c r="B219" s="114"/>
      <c r="C219" s="18" t="s">
        <v>454</v>
      </c>
      <c r="D219" s="18"/>
    </row>
    <row r="220" spans="1:5" x14ac:dyDescent="0.2">
      <c r="A220" s="114"/>
      <c r="B220" s="114"/>
      <c r="C220" s="18" t="s">
        <v>455</v>
      </c>
      <c r="D220" s="18"/>
    </row>
    <row r="221" spans="1:5" x14ac:dyDescent="0.2">
      <c r="A221" s="114"/>
      <c r="B221" s="114"/>
      <c r="C221" s="18" t="s">
        <v>456</v>
      </c>
      <c r="D221" s="18"/>
    </row>
    <row r="222" spans="1:5" x14ac:dyDescent="0.2">
      <c r="A222" s="114"/>
      <c r="B222" s="114"/>
      <c r="C222" s="18" t="s">
        <v>457</v>
      </c>
      <c r="D222" s="18"/>
    </row>
    <row r="223" spans="1:5" x14ac:dyDescent="0.2">
      <c r="A223" s="114"/>
      <c r="B223" s="114"/>
      <c r="C223" s="18" t="s">
        <v>458</v>
      </c>
      <c r="D223" s="18"/>
    </row>
    <row r="224" spans="1:5" x14ac:dyDescent="0.2">
      <c r="A224" s="114"/>
      <c r="B224" s="114"/>
      <c r="C224" s="18" t="s">
        <v>459</v>
      </c>
      <c r="D224" s="18"/>
    </row>
    <row r="225" spans="1:4" x14ac:dyDescent="0.2">
      <c r="A225" s="114"/>
      <c r="B225" s="114"/>
      <c r="C225" s="18" t="s">
        <v>460</v>
      </c>
      <c r="D225" s="18"/>
    </row>
    <row r="226" spans="1:4" x14ac:dyDescent="0.2">
      <c r="A226" s="114"/>
      <c r="B226" s="114"/>
      <c r="C226" s="18" t="s">
        <v>461</v>
      </c>
      <c r="D226" s="18"/>
    </row>
    <row r="227" spans="1:4" x14ac:dyDescent="0.2">
      <c r="A227" s="114"/>
      <c r="B227" s="114"/>
      <c r="C227" s="18" t="s">
        <v>462</v>
      </c>
      <c r="D227" s="18"/>
    </row>
    <row r="228" spans="1:4" x14ac:dyDescent="0.2">
      <c r="A228" s="114"/>
      <c r="B228" s="114"/>
      <c r="C228" s="18" t="s">
        <v>463</v>
      </c>
      <c r="D228" s="18"/>
    </row>
    <row r="229" spans="1:4" x14ac:dyDescent="0.2">
      <c r="A229" s="114"/>
      <c r="B229" s="114"/>
      <c r="C229" s="18" t="s">
        <v>464</v>
      </c>
      <c r="D229" s="18"/>
    </row>
    <row r="230" spans="1:4" x14ac:dyDescent="0.2">
      <c r="A230" s="114"/>
      <c r="B230" s="114"/>
      <c r="C230" s="18" t="s">
        <v>465</v>
      </c>
      <c r="D230" s="18"/>
    </row>
    <row r="231" spans="1:4" x14ac:dyDescent="0.2">
      <c r="A231" s="114"/>
      <c r="B231" s="114"/>
      <c r="C231" s="18" t="s">
        <v>466</v>
      </c>
      <c r="D231" s="18"/>
    </row>
    <row r="232" spans="1:4" x14ac:dyDescent="0.2">
      <c r="A232" s="114"/>
      <c r="B232" s="114"/>
      <c r="C232" s="18" t="s">
        <v>467</v>
      </c>
      <c r="D232" s="18"/>
    </row>
    <row r="233" spans="1:4" x14ac:dyDescent="0.2">
      <c r="A233" s="114"/>
      <c r="B233" s="114"/>
      <c r="C233" s="18" t="s">
        <v>468</v>
      </c>
      <c r="D233" s="18"/>
    </row>
    <row r="234" spans="1:4" x14ac:dyDescent="0.2">
      <c r="A234" s="114"/>
      <c r="B234" s="114"/>
      <c r="C234" s="18" t="s">
        <v>469</v>
      </c>
      <c r="D234" s="18"/>
    </row>
    <row r="235" spans="1:4" x14ac:dyDescent="0.2">
      <c r="A235" s="114"/>
      <c r="B235" s="114"/>
      <c r="C235" s="18" t="s">
        <v>470</v>
      </c>
      <c r="D235" s="18"/>
    </row>
    <row r="236" spans="1:4" x14ac:dyDescent="0.2">
      <c r="A236" s="114"/>
      <c r="B236" s="114"/>
      <c r="C236" s="18" t="s">
        <v>471</v>
      </c>
      <c r="D236" s="18"/>
    </row>
    <row r="237" spans="1:4" x14ac:dyDescent="0.2">
      <c r="A237" s="114"/>
      <c r="B237" s="114"/>
      <c r="C237" s="18" t="s">
        <v>472</v>
      </c>
      <c r="D237" s="18"/>
    </row>
    <row r="238" spans="1:4" x14ac:dyDescent="0.2">
      <c r="A238" s="114"/>
      <c r="B238" s="114"/>
      <c r="C238" s="18" t="s">
        <v>24</v>
      </c>
      <c r="D238" s="18"/>
    </row>
    <row r="239" spans="1:4" x14ac:dyDescent="0.2">
      <c r="A239" s="114"/>
      <c r="B239" s="114"/>
      <c r="C239" s="18" t="s">
        <v>473</v>
      </c>
      <c r="D239" s="18"/>
    </row>
    <row r="240" spans="1:4" x14ac:dyDescent="0.2">
      <c r="A240" s="114"/>
      <c r="B240" s="114"/>
      <c r="C240" s="18" t="s">
        <v>474</v>
      </c>
      <c r="D240" s="18"/>
    </row>
    <row r="241" spans="1:4" x14ac:dyDescent="0.2">
      <c r="A241" s="114"/>
      <c r="B241" s="114"/>
      <c r="C241" s="18" t="s">
        <v>475</v>
      </c>
      <c r="D241" s="18"/>
    </row>
    <row r="242" spans="1:4" x14ac:dyDescent="0.2">
      <c r="A242" s="114"/>
      <c r="B242" s="114"/>
      <c r="C242" s="18" t="s">
        <v>476</v>
      </c>
      <c r="D242" s="18"/>
    </row>
    <row r="243" spans="1:4" x14ac:dyDescent="0.2">
      <c r="A243" s="114"/>
      <c r="B243" s="114"/>
      <c r="C243" s="18" t="s">
        <v>477</v>
      </c>
      <c r="D243" s="18"/>
    </row>
    <row r="244" spans="1:4" x14ac:dyDescent="0.2">
      <c r="A244" s="114"/>
      <c r="B244" s="114"/>
      <c r="C244" s="18" t="s">
        <v>478</v>
      </c>
      <c r="D244" s="18"/>
    </row>
    <row r="245" spans="1:4" x14ac:dyDescent="0.2">
      <c r="A245" s="114"/>
      <c r="B245" s="114"/>
      <c r="C245" s="18" t="s">
        <v>479</v>
      </c>
      <c r="D245" s="18"/>
    </row>
    <row r="246" spans="1:4" x14ac:dyDescent="0.2">
      <c r="A246" s="114"/>
      <c r="B246" s="114"/>
      <c r="C246" s="18" t="s">
        <v>480</v>
      </c>
      <c r="D246" s="18"/>
    </row>
    <row r="247" spans="1:4" x14ac:dyDescent="0.2">
      <c r="A247" s="114"/>
      <c r="B247" s="114"/>
      <c r="C247" s="18" t="s">
        <v>481</v>
      </c>
      <c r="D247" s="18"/>
    </row>
    <row r="248" spans="1:4" x14ac:dyDescent="0.2">
      <c r="A248" s="114"/>
      <c r="B248" s="114"/>
      <c r="C248" s="18" t="s">
        <v>482</v>
      </c>
      <c r="D248" s="18"/>
    </row>
    <row r="249" spans="1:4" x14ac:dyDescent="0.2">
      <c r="A249" s="114"/>
      <c r="B249" s="114"/>
      <c r="C249" s="18" t="s">
        <v>483</v>
      </c>
      <c r="D249" s="18"/>
    </row>
    <row r="250" spans="1:4" x14ac:dyDescent="0.2">
      <c r="A250" s="114"/>
      <c r="B250" s="114"/>
      <c r="C250" s="18" t="s">
        <v>484</v>
      </c>
      <c r="D250" s="18"/>
    </row>
    <row r="251" spans="1:4" x14ac:dyDescent="0.2">
      <c r="A251" s="114"/>
      <c r="B251" s="114"/>
      <c r="C251" s="18" t="s">
        <v>485</v>
      </c>
      <c r="D251" s="18"/>
    </row>
    <row r="252" spans="1:4" x14ac:dyDescent="0.2">
      <c r="A252" s="114"/>
      <c r="B252" s="114"/>
      <c r="C252" s="18" t="s">
        <v>314</v>
      </c>
      <c r="D252" s="18"/>
    </row>
    <row r="253" spans="1:4" x14ac:dyDescent="0.2">
      <c r="A253" s="114"/>
      <c r="B253" s="114"/>
      <c r="C253" s="18" t="s">
        <v>486</v>
      </c>
      <c r="D253" s="18"/>
    </row>
    <row r="254" spans="1:4" x14ac:dyDescent="0.2">
      <c r="A254" s="114"/>
      <c r="B254" s="114"/>
      <c r="C254" s="18" t="s">
        <v>487</v>
      </c>
      <c r="D254" s="18"/>
    </row>
    <row r="255" spans="1:4" x14ac:dyDescent="0.2">
      <c r="A255" s="114"/>
      <c r="B255" s="114"/>
      <c r="C255" s="18" t="s">
        <v>488</v>
      </c>
      <c r="D255" s="18"/>
    </row>
    <row r="256" spans="1:4" x14ac:dyDescent="0.2">
      <c r="A256" s="114"/>
      <c r="B256" s="114"/>
      <c r="C256" s="18" t="s">
        <v>489</v>
      </c>
      <c r="D256" s="18"/>
    </row>
    <row r="257" spans="1:5" x14ac:dyDescent="0.2">
      <c r="A257" s="114"/>
      <c r="B257" s="114"/>
      <c r="C257" s="18" t="s">
        <v>490</v>
      </c>
      <c r="D257" s="18"/>
    </row>
    <row r="258" spans="1:5" x14ac:dyDescent="0.2">
      <c r="A258" s="114"/>
      <c r="B258" s="114"/>
      <c r="C258" s="18" t="s">
        <v>491</v>
      </c>
      <c r="D258" s="18"/>
    </row>
    <row r="259" spans="1:5" x14ac:dyDescent="0.2">
      <c r="A259" s="114"/>
      <c r="B259" s="114"/>
      <c r="C259" s="18" t="s">
        <v>492</v>
      </c>
      <c r="D259" s="18"/>
    </row>
    <row r="260" spans="1:5" x14ac:dyDescent="0.2">
      <c r="A260" s="114"/>
      <c r="B260" s="114"/>
      <c r="C260" s="18" t="s">
        <v>493</v>
      </c>
      <c r="D260" s="18"/>
    </row>
    <row r="261" spans="1:5" x14ac:dyDescent="0.2">
      <c r="A261" s="114"/>
      <c r="B261" s="114"/>
      <c r="C261" s="18" t="s">
        <v>494</v>
      </c>
      <c r="D261" s="18"/>
    </row>
    <row r="262" spans="1:5" x14ac:dyDescent="0.2">
      <c r="A262" s="114"/>
      <c r="B262" s="114"/>
      <c r="C262" s="18" t="s">
        <v>495</v>
      </c>
      <c r="D262" s="18"/>
    </row>
    <row r="263" spans="1:5" x14ac:dyDescent="0.2">
      <c r="A263" s="114"/>
      <c r="B263" s="114"/>
      <c r="C263" s="18" t="s">
        <v>496</v>
      </c>
      <c r="D263" s="18"/>
    </row>
    <row r="264" spans="1:5" x14ac:dyDescent="0.2">
      <c r="A264" s="114"/>
      <c r="B264" s="114"/>
      <c r="C264" s="18" t="s">
        <v>497</v>
      </c>
      <c r="D264" s="18"/>
    </row>
    <row r="265" spans="1:5" x14ac:dyDescent="0.2">
      <c r="A265" s="114"/>
      <c r="B265" s="114"/>
      <c r="C265" s="18" t="s">
        <v>498</v>
      </c>
      <c r="D265" s="18"/>
    </row>
    <row r="266" spans="1:5" x14ac:dyDescent="0.2">
      <c r="A266" s="114"/>
      <c r="B266" s="114"/>
      <c r="C266" s="18" t="s">
        <v>499</v>
      </c>
      <c r="D266" s="18"/>
    </row>
    <row r="267" spans="1:5" x14ac:dyDescent="0.2">
      <c r="A267" s="114"/>
      <c r="B267" s="114"/>
      <c r="C267" s="18" t="s">
        <v>500</v>
      </c>
      <c r="D267" s="18"/>
    </row>
    <row r="268" spans="1:5" x14ac:dyDescent="0.2">
      <c r="A268" s="114"/>
      <c r="B268" s="114"/>
      <c r="C268" s="18" t="s">
        <v>501</v>
      </c>
      <c r="D268" s="18"/>
    </row>
    <row r="269" spans="1:5" x14ac:dyDescent="0.2">
      <c r="A269" s="114"/>
      <c r="B269" s="114"/>
      <c r="C269" s="18" t="s">
        <v>502</v>
      </c>
      <c r="D269" s="18"/>
    </row>
    <row r="270" spans="1:5" x14ac:dyDescent="0.2">
      <c r="A270" s="114"/>
      <c r="B270" s="114"/>
      <c r="C270" s="18" t="s">
        <v>503</v>
      </c>
      <c r="D270" s="18" t="s">
        <v>504</v>
      </c>
      <c r="E270" t="s">
        <v>214</v>
      </c>
    </row>
    <row r="271" spans="1:5" x14ac:dyDescent="0.2">
      <c r="A271" s="114"/>
      <c r="B271" s="114"/>
      <c r="C271" s="18" t="s">
        <v>505</v>
      </c>
      <c r="D271" s="18" t="s">
        <v>506</v>
      </c>
      <c r="E271" t="s">
        <v>214</v>
      </c>
    </row>
    <row r="272" spans="1:5" x14ac:dyDescent="0.2">
      <c r="A272" s="114"/>
      <c r="B272" s="114"/>
      <c r="C272" s="18" t="s">
        <v>507</v>
      </c>
      <c r="D272" s="18" t="s">
        <v>508</v>
      </c>
      <c r="E272" t="s">
        <v>214</v>
      </c>
    </row>
    <row r="273" spans="1:5" x14ac:dyDescent="0.2">
      <c r="A273" s="114"/>
      <c r="B273" s="114"/>
      <c r="C273" s="18" t="s">
        <v>509</v>
      </c>
      <c r="D273" s="18"/>
    </row>
    <row r="274" spans="1:5" x14ac:dyDescent="0.2">
      <c r="A274" s="114"/>
      <c r="B274" s="114"/>
      <c r="C274" s="18" t="s">
        <v>510</v>
      </c>
      <c r="D274" s="18" t="s">
        <v>511</v>
      </c>
      <c r="E274" t="s">
        <v>214</v>
      </c>
    </row>
    <row r="275" spans="1:5" x14ac:dyDescent="0.2">
      <c r="A275" s="114"/>
      <c r="B275" s="114"/>
      <c r="C275" s="18" t="s">
        <v>512</v>
      </c>
      <c r="D275" s="18"/>
    </row>
    <row r="276" spans="1:5" x14ac:dyDescent="0.2">
      <c r="A276" s="114"/>
      <c r="B276" s="114"/>
      <c r="C276" s="18" t="s">
        <v>513</v>
      </c>
      <c r="D276" s="18"/>
    </row>
    <row r="277" spans="1:5" x14ac:dyDescent="0.2">
      <c r="A277" s="114"/>
      <c r="B277" s="114"/>
      <c r="C277" s="18" t="s">
        <v>514</v>
      </c>
      <c r="D277" s="18"/>
    </row>
    <row r="278" spans="1:5" x14ac:dyDescent="0.2">
      <c r="A278" s="114"/>
      <c r="B278" s="114"/>
      <c r="C278" s="18" t="s">
        <v>515</v>
      </c>
      <c r="D278" s="18"/>
    </row>
    <row r="279" spans="1:5" x14ac:dyDescent="0.2">
      <c r="A279" s="114"/>
      <c r="B279" s="114"/>
      <c r="C279" s="18" t="s">
        <v>516</v>
      </c>
      <c r="D279" s="18"/>
    </row>
    <row r="280" spans="1:5" x14ac:dyDescent="0.2">
      <c r="A280" s="114"/>
      <c r="B280" s="114"/>
      <c r="C280" s="18" t="s">
        <v>517</v>
      </c>
      <c r="D280" s="18"/>
    </row>
    <row r="281" spans="1:5" x14ac:dyDescent="0.2">
      <c r="A281" s="114"/>
      <c r="B281" s="114"/>
      <c r="C281" s="18" t="s">
        <v>518</v>
      </c>
      <c r="D281" s="18"/>
    </row>
    <row r="282" spans="1:5" x14ac:dyDescent="0.2">
      <c r="A282" s="114"/>
      <c r="B282" s="114"/>
      <c r="C282" s="18" t="s">
        <v>519</v>
      </c>
      <c r="D282" s="18" t="s">
        <v>520</v>
      </c>
      <c r="E282" t="s">
        <v>214</v>
      </c>
    </row>
    <row r="283" spans="1:5" x14ac:dyDescent="0.2">
      <c r="A283" s="114"/>
      <c r="B283" s="114"/>
      <c r="C283" s="18" t="s">
        <v>521</v>
      </c>
      <c r="D283" s="18"/>
    </row>
    <row r="284" spans="1:5" x14ac:dyDescent="0.2">
      <c r="A284" s="114"/>
      <c r="B284" s="114"/>
      <c r="C284" s="18" t="s">
        <v>522</v>
      </c>
      <c r="D284" s="18" t="s">
        <v>523</v>
      </c>
      <c r="E284" t="s">
        <v>214</v>
      </c>
    </row>
    <row r="285" spans="1:5" x14ac:dyDescent="0.2">
      <c r="A285" s="114"/>
      <c r="B285" s="114"/>
      <c r="C285" s="18" t="s">
        <v>524</v>
      </c>
      <c r="D285" s="18"/>
    </row>
    <row r="286" spans="1:5" x14ac:dyDescent="0.2">
      <c r="A286" s="114"/>
      <c r="B286" s="114"/>
      <c r="C286" s="18" t="s">
        <v>525</v>
      </c>
      <c r="D286" s="18"/>
    </row>
    <row r="287" spans="1:5" x14ac:dyDescent="0.2">
      <c r="A287" s="114"/>
      <c r="B287" s="114"/>
      <c r="C287" s="18" t="s">
        <v>526</v>
      </c>
      <c r="D287" s="18"/>
    </row>
    <row r="288" spans="1:5" x14ac:dyDescent="0.2">
      <c r="A288" s="114"/>
      <c r="B288" s="114"/>
      <c r="C288" s="18" t="s">
        <v>527</v>
      </c>
      <c r="D288" s="18"/>
    </row>
    <row r="289" spans="1:5" x14ac:dyDescent="0.2">
      <c r="A289" s="114"/>
      <c r="B289" s="114"/>
      <c r="C289" s="18" t="s">
        <v>528</v>
      </c>
      <c r="D289" s="18" t="s">
        <v>529</v>
      </c>
      <c r="E289" t="s">
        <v>214</v>
      </c>
    </row>
    <row r="290" spans="1:5" x14ac:dyDescent="0.2">
      <c r="A290" s="114"/>
      <c r="B290" s="114"/>
      <c r="C290" s="18" t="s">
        <v>530</v>
      </c>
      <c r="D290" s="18"/>
    </row>
    <row r="291" spans="1:5" x14ac:dyDescent="0.2">
      <c r="A291" s="114"/>
      <c r="B291" s="114"/>
      <c r="C291" s="18" t="s">
        <v>531</v>
      </c>
      <c r="D291" s="18"/>
    </row>
    <row r="292" spans="1:5" x14ac:dyDescent="0.2">
      <c r="A292" s="114"/>
      <c r="B292" s="114"/>
      <c r="C292" s="18" t="s">
        <v>532</v>
      </c>
      <c r="D292" s="18"/>
    </row>
    <row r="293" spans="1:5" x14ac:dyDescent="0.2">
      <c r="A293" s="114"/>
      <c r="B293" s="114"/>
      <c r="C293" s="18" t="s">
        <v>533</v>
      </c>
      <c r="D293" s="18"/>
    </row>
    <row r="294" spans="1:5" x14ac:dyDescent="0.2">
      <c r="A294" s="114"/>
      <c r="B294" s="114"/>
      <c r="C294" s="18" t="s">
        <v>534</v>
      </c>
      <c r="D294" s="18"/>
    </row>
    <row r="295" spans="1:5" x14ac:dyDescent="0.2">
      <c r="A295" s="114"/>
      <c r="B295" s="114"/>
      <c r="C295" s="18" t="s">
        <v>535</v>
      </c>
      <c r="D295" s="18"/>
    </row>
    <row r="296" spans="1:5" x14ac:dyDescent="0.2">
      <c r="A296" s="114"/>
      <c r="B296" s="114"/>
      <c r="C296" s="18" t="s">
        <v>536</v>
      </c>
      <c r="D296" s="18"/>
    </row>
    <row r="297" spans="1:5" x14ac:dyDescent="0.2">
      <c r="A297" s="114"/>
      <c r="B297" s="114"/>
      <c r="C297" s="18" t="s">
        <v>537</v>
      </c>
      <c r="D297" s="18" t="s">
        <v>538</v>
      </c>
      <c r="E297" t="s">
        <v>214</v>
      </c>
    </row>
    <row r="298" spans="1:5" x14ac:dyDescent="0.2">
      <c r="A298" s="114"/>
      <c r="B298" s="114"/>
      <c r="C298" s="18" t="s">
        <v>539</v>
      </c>
      <c r="D298" s="18"/>
    </row>
    <row r="299" spans="1:5" x14ac:dyDescent="0.2">
      <c r="A299" s="114"/>
      <c r="B299" s="114"/>
      <c r="C299" s="18" t="s">
        <v>540</v>
      </c>
      <c r="D299" s="18"/>
    </row>
    <row r="300" spans="1:5" x14ac:dyDescent="0.2">
      <c r="A300" s="114"/>
      <c r="B300" s="114"/>
      <c r="C300" s="18" t="s">
        <v>541</v>
      </c>
      <c r="D300" s="18"/>
      <c r="E300" t="s">
        <v>214</v>
      </c>
    </row>
    <row r="301" spans="1:5" x14ac:dyDescent="0.2">
      <c r="A301" s="114"/>
      <c r="B301" s="114"/>
      <c r="C301" s="18" t="s">
        <v>542</v>
      </c>
      <c r="D301" s="18"/>
    </row>
    <row r="302" spans="1:5" x14ac:dyDescent="0.2">
      <c r="A302" s="114"/>
      <c r="B302" s="114"/>
      <c r="C302" s="18" t="s">
        <v>543</v>
      </c>
      <c r="D302" s="18"/>
    </row>
    <row r="303" spans="1:5" x14ac:dyDescent="0.2">
      <c r="A303" s="114"/>
      <c r="B303" s="114"/>
      <c r="C303" s="18" t="s">
        <v>544</v>
      </c>
      <c r="D303" s="18"/>
    </row>
    <row r="304" spans="1:5" x14ac:dyDescent="0.2">
      <c r="A304" s="114"/>
      <c r="B304" s="114"/>
      <c r="C304" s="18" t="s">
        <v>545</v>
      </c>
      <c r="D304" s="18"/>
    </row>
    <row r="305" spans="1:5" x14ac:dyDescent="0.2">
      <c r="A305" s="114"/>
      <c r="B305" s="114"/>
      <c r="C305" s="18" t="s">
        <v>546</v>
      </c>
      <c r="D305" s="18"/>
    </row>
    <row r="306" spans="1:5" x14ac:dyDescent="0.2">
      <c r="A306" s="114"/>
      <c r="B306" s="114"/>
      <c r="C306" s="18" t="s">
        <v>547</v>
      </c>
      <c r="D306" s="18"/>
    </row>
    <row r="307" spans="1:5" x14ac:dyDescent="0.2">
      <c r="A307" s="114"/>
      <c r="B307" s="114"/>
      <c r="C307" s="18" t="s">
        <v>548</v>
      </c>
      <c r="D307" s="18"/>
    </row>
    <row r="308" spans="1:5" x14ac:dyDescent="0.2">
      <c r="A308" s="114"/>
      <c r="B308" s="114"/>
      <c r="C308" s="18" t="s">
        <v>549</v>
      </c>
      <c r="D308" s="18"/>
    </row>
    <row r="309" spans="1:5" x14ac:dyDescent="0.2">
      <c r="A309" s="114"/>
      <c r="B309" s="114"/>
      <c r="C309" s="18" t="s">
        <v>550</v>
      </c>
      <c r="D309" s="18"/>
    </row>
    <row r="310" spans="1:5" x14ac:dyDescent="0.2">
      <c r="A310" s="114"/>
      <c r="B310" s="114"/>
      <c r="C310" s="18" t="s">
        <v>551</v>
      </c>
      <c r="D310" s="18"/>
      <c r="E310" t="s">
        <v>214</v>
      </c>
    </row>
    <row r="311" spans="1:5" x14ac:dyDescent="0.2">
      <c r="A311" s="114"/>
      <c r="B311" s="114"/>
      <c r="C311" s="18" t="s">
        <v>552</v>
      </c>
      <c r="D311" s="18"/>
      <c r="E311" t="s">
        <v>214</v>
      </c>
    </row>
    <row r="312" spans="1:5" x14ac:dyDescent="0.2">
      <c r="A312" s="114"/>
      <c r="B312" s="114"/>
      <c r="C312" s="18" t="s">
        <v>553</v>
      </c>
      <c r="D312" s="18"/>
      <c r="E312" t="s">
        <v>214</v>
      </c>
    </row>
    <row r="313" spans="1:5" x14ac:dyDescent="0.2">
      <c r="A313" s="114"/>
      <c r="B313" s="114"/>
      <c r="C313" s="18" t="s">
        <v>554</v>
      </c>
      <c r="D313" s="18"/>
    </row>
    <row r="314" spans="1:5" x14ac:dyDescent="0.2">
      <c r="A314" s="114"/>
      <c r="B314" s="114"/>
      <c r="C314" s="18" t="s">
        <v>555</v>
      </c>
      <c r="D314" s="18"/>
    </row>
    <row r="315" spans="1:5" x14ac:dyDescent="0.2">
      <c r="A315" s="114"/>
      <c r="B315" s="114"/>
      <c r="C315" s="18" t="s">
        <v>556</v>
      </c>
      <c r="D315" s="18"/>
    </row>
    <row r="316" spans="1:5" x14ac:dyDescent="0.2">
      <c r="A316" s="114"/>
      <c r="B316" s="114"/>
      <c r="C316" s="18" t="s">
        <v>557</v>
      </c>
      <c r="D316" s="18"/>
    </row>
    <row r="317" spans="1:5" x14ac:dyDescent="0.2">
      <c r="A317" s="114"/>
      <c r="B317" s="114"/>
      <c r="C317" s="18" t="s">
        <v>558</v>
      </c>
      <c r="D317" s="18"/>
    </row>
    <row r="318" spans="1:5" x14ac:dyDescent="0.2">
      <c r="A318" s="114"/>
      <c r="B318" s="114"/>
      <c r="C318" s="18" t="s">
        <v>559</v>
      </c>
      <c r="D318" s="97" t="s">
        <v>560</v>
      </c>
      <c r="E318" t="s">
        <v>214</v>
      </c>
    </row>
    <row r="319" spans="1:5" x14ac:dyDescent="0.2">
      <c r="A319" s="114"/>
      <c r="B319" s="114"/>
      <c r="C319" s="18" t="s">
        <v>561</v>
      </c>
      <c r="D319" s="18"/>
    </row>
    <row r="320" spans="1:5" x14ac:dyDescent="0.2">
      <c r="A320" s="114"/>
      <c r="B320" s="114"/>
      <c r="C320" s="18" t="s">
        <v>562</v>
      </c>
      <c r="D320" s="18"/>
    </row>
    <row r="321" spans="1:5" x14ac:dyDescent="0.2">
      <c r="A321" s="114"/>
      <c r="B321" s="114"/>
      <c r="C321" s="18" t="s">
        <v>563</v>
      </c>
      <c r="D321" s="18"/>
    </row>
    <row r="322" spans="1:5" x14ac:dyDescent="0.2">
      <c r="A322" s="114"/>
      <c r="B322" s="114"/>
      <c r="C322" s="18" t="s">
        <v>564</v>
      </c>
      <c r="D322" s="18"/>
    </row>
    <row r="323" spans="1:5" x14ac:dyDescent="0.2">
      <c r="A323" s="114"/>
      <c r="B323" s="114"/>
      <c r="C323" s="18" t="s">
        <v>565</v>
      </c>
      <c r="D323" s="18"/>
    </row>
    <row r="324" spans="1:5" x14ac:dyDescent="0.2">
      <c r="A324" s="114"/>
      <c r="B324" s="114"/>
      <c r="C324" s="18" t="s">
        <v>566</v>
      </c>
      <c r="D324" s="18"/>
    </row>
    <row r="325" spans="1:5" x14ac:dyDescent="0.2">
      <c r="A325" s="114"/>
      <c r="B325" s="114"/>
      <c r="C325" s="18" t="s">
        <v>567</v>
      </c>
      <c r="D325" s="18"/>
    </row>
    <row r="326" spans="1:5" x14ac:dyDescent="0.2">
      <c r="A326" s="114"/>
      <c r="B326" s="114"/>
      <c r="C326" s="18" t="s">
        <v>568</v>
      </c>
      <c r="D326" s="18"/>
    </row>
    <row r="327" spans="1:5" x14ac:dyDescent="0.2">
      <c r="A327" s="114"/>
      <c r="B327" s="114"/>
      <c r="C327" s="18" t="s">
        <v>569</v>
      </c>
      <c r="D327" s="18"/>
    </row>
    <row r="328" spans="1:5" x14ac:dyDescent="0.2">
      <c r="A328" s="108"/>
      <c r="B328" s="115" t="s">
        <v>90</v>
      </c>
      <c r="C328" s="42" t="s">
        <v>570</v>
      </c>
      <c r="D328" s="42"/>
      <c r="E328" t="s">
        <v>214</v>
      </c>
    </row>
    <row r="329" spans="1:5" x14ac:dyDescent="0.2">
      <c r="A329" s="109"/>
      <c r="B329" s="116"/>
      <c r="C329" s="42" t="s">
        <v>571</v>
      </c>
      <c r="D329" s="42"/>
      <c r="E329" t="s">
        <v>214</v>
      </c>
    </row>
    <row r="330" spans="1:5" x14ac:dyDescent="0.2">
      <c r="A330" s="109"/>
      <c r="B330" s="116"/>
      <c r="C330" s="99" t="s">
        <v>572</v>
      </c>
      <c r="D330" s="42"/>
      <c r="E330" t="s">
        <v>214</v>
      </c>
    </row>
    <row r="331" spans="1:5" x14ac:dyDescent="0.2">
      <c r="A331" s="109"/>
      <c r="B331" s="116"/>
      <c r="C331" s="98" t="s">
        <v>573</v>
      </c>
      <c r="D331" s="42"/>
      <c r="E331" t="s">
        <v>214</v>
      </c>
    </row>
    <row r="332" spans="1:5" x14ac:dyDescent="0.2">
      <c r="A332" s="109"/>
      <c r="B332" s="116"/>
      <c r="C332" s="98" t="s">
        <v>574</v>
      </c>
      <c r="D332" s="42"/>
      <c r="E332" t="s">
        <v>214</v>
      </c>
    </row>
    <row r="333" spans="1:5" x14ac:dyDescent="0.2">
      <c r="A333" s="109"/>
      <c r="B333" s="116"/>
      <c r="C333" s="98" t="s">
        <v>575</v>
      </c>
      <c r="D333" s="42"/>
      <c r="E333" t="s">
        <v>214</v>
      </c>
    </row>
    <row r="334" spans="1:5" x14ac:dyDescent="0.2">
      <c r="A334" s="109"/>
      <c r="B334" s="116"/>
      <c r="C334" s="98" t="s">
        <v>576</v>
      </c>
      <c r="D334" s="42"/>
      <c r="E334" t="s">
        <v>214</v>
      </c>
    </row>
    <row r="335" spans="1:5" x14ac:dyDescent="0.2">
      <c r="A335" s="109"/>
      <c r="B335" s="116"/>
      <c r="C335" s="42" t="s">
        <v>577</v>
      </c>
      <c r="D335" s="42"/>
      <c r="E335" t="s">
        <v>214</v>
      </c>
    </row>
    <row r="336" spans="1:5" x14ac:dyDescent="0.2">
      <c r="A336" s="109"/>
      <c r="B336" s="116"/>
      <c r="C336" s="42" t="s">
        <v>578</v>
      </c>
      <c r="D336" s="42"/>
      <c r="E336" t="s">
        <v>214</v>
      </c>
    </row>
    <row r="337" spans="1:5" x14ac:dyDescent="0.2">
      <c r="A337" s="109"/>
      <c r="B337" s="116"/>
      <c r="C337" s="42" t="s">
        <v>579</v>
      </c>
      <c r="D337" s="42"/>
      <c r="E337" t="s">
        <v>214</v>
      </c>
    </row>
    <row r="338" spans="1:5" x14ac:dyDescent="0.2">
      <c r="A338" s="109"/>
      <c r="B338" s="116"/>
      <c r="C338" s="42" t="s">
        <v>580</v>
      </c>
      <c r="D338" s="42"/>
      <c r="E338" t="s">
        <v>214</v>
      </c>
    </row>
    <row r="339" spans="1:5" x14ac:dyDescent="0.2">
      <c r="A339" s="109"/>
      <c r="B339" s="116"/>
      <c r="C339" s="42" t="s">
        <v>581</v>
      </c>
      <c r="D339" s="42"/>
      <c r="E339" t="s">
        <v>214</v>
      </c>
    </row>
    <row r="340" spans="1:5" x14ac:dyDescent="0.2">
      <c r="A340" s="109"/>
      <c r="B340" s="116"/>
      <c r="C340" s="42" t="s">
        <v>582</v>
      </c>
      <c r="D340" s="42"/>
      <c r="E340" t="s">
        <v>214</v>
      </c>
    </row>
    <row r="341" spans="1:5" x14ac:dyDescent="0.2">
      <c r="A341" s="109"/>
      <c r="B341" s="116"/>
      <c r="C341" s="42" t="s">
        <v>583</v>
      </c>
      <c r="D341" s="42"/>
      <c r="E341" t="s">
        <v>214</v>
      </c>
    </row>
    <row r="342" spans="1:5" x14ac:dyDescent="0.2">
      <c r="A342" s="109"/>
      <c r="B342" s="116"/>
      <c r="C342" s="42" t="s">
        <v>584</v>
      </c>
      <c r="D342" s="42"/>
      <c r="E342" t="s">
        <v>214</v>
      </c>
    </row>
    <row r="343" spans="1:5" x14ac:dyDescent="0.2">
      <c r="A343" s="109"/>
      <c r="B343" s="116"/>
      <c r="C343" s="42" t="s">
        <v>585</v>
      </c>
      <c r="D343" s="42"/>
      <c r="E343" t="s">
        <v>214</v>
      </c>
    </row>
    <row r="344" spans="1:5" x14ac:dyDescent="0.2">
      <c r="A344" s="109"/>
      <c r="B344" s="116"/>
      <c r="C344" s="42" t="s">
        <v>586</v>
      </c>
      <c r="D344" s="42"/>
      <c r="E344" t="s">
        <v>214</v>
      </c>
    </row>
    <row r="345" spans="1:5" x14ac:dyDescent="0.2">
      <c r="A345" s="109"/>
      <c r="B345" s="116"/>
      <c r="C345" s="42" t="s">
        <v>587</v>
      </c>
      <c r="D345" s="42"/>
      <c r="E345" t="s">
        <v>214</v>
      </c>
    </row>
    <row r="346" spans="1:5" x14ac:dyDescent="0.2">
      <c r="A346" s="109"/>
      <c r="B346" s="116"/>
      <c r="C346" s="42" t="s">
        <v>588</v>
      </c>
      <c r="D346" s="42"/>
      <c r="E346" t="s">
        <v>214</v>
      </c>
    </row>
    <row r="347" spans="1:5" x14ac:dyDescent="0.2">
      <c r="A347" s="109"/>
      <c r="B347" s="116"/>
      <c r="C347" s="42" t="s">
        <v>589</v>
      </c>
      <c r="D347" s="42"/>
      <c r="E347" t="s">
        <v>214</v>
      </c>
    </row>
    <row r="348" spans="1:5" x14ac:dyDescent="0.2">
      <c r="A348" s="109"/>
      <c r="B348" s="116"/>
      <c r="C348" s="42" t="s">
        <v>590</v>
      </c>
      <c r="D348" s="42"/>
      <c r="E348" t="s">
        <v>214</v>
      </c>
    </row>
    <row r="349" spans="1:5" x14ac:dyDescent="0.2">
      <c r="A349" s="109"/>
      <c r="B349" s="116"/>
      <c r="C349" s="42" t="s">
        <v>591</v>
      </c>
      <c r="D349" s="42"/>
      <c r="E349" t="s">
        <v>214</v>
      </c>
    </row>
    <row r="350" spans="1:5" x14ac:dyDescent="0.2">
      <c r="A350" s="109"/>
      <c r="B350" s="116"/>
      <c r="C350" s="42" t="s">
        <v>592</v>
      </c>
      <c r="D350" s="42"/>
      <c r="E350" t="s">
        <v>214</v>
      </c>
    </row>
    <row r="351" spans="1:5" x14ac:dyDescent="0.2">
      <c r="A351" s="109"/>
      <c r="B351" s="116"/>
      <c r="C351" s="42" t="s">
        <v>593</v>
      </c>
      <c r="D351" s="42"/>
      <c r="E351" t="s">
        <v>214</v>
      </c>
    </row>
    <row r="352" spans="1:5" x14ac:dyDescent="0.2">
      <c r="A352" s="109"/>
      <c r="B352" s="116"/>
      <c r="C352" s="42" t="s">
        <v>594</v>
      </c>
      <c r="D352" s="42"/>
      <c r="E352" t="s">
        <v>214</v>
      </c>
    </row>
    <row r="353" spans="1:5" x14ac:dyDescent="0.2">
      <c r="A353" s="109"/>
      <c r="B353" s="116"/>
      <c r="C353" s="42" t="s">
        <v>595</v>
      </c>
      <c r="D353" s="42"/>
      <c r="E353" t="s">
        <v>214</v>
      </c>
    </row>
    <row r="354" spans="1:5" x14ac:dyDescent="0.2">
      <c r="A354" s="109"/>
      <c r="B354" s="116"/>
      <c r="C354" s="42" t="s">
        <v>596</v>
      </c>
      <c r="D354" s="42"/>
      <c r="E354" t="s">
        <v>214</v>
      </c>
    </row>
    <row r="355" spans="1:5" x14ac:dyDescent="0.2">
      <c r="A355" s="109"/>
      <c r="B355" s="116"/>
      <c r="C355" s="42" t="s">
        <v>597</v>
      </c>
      <c r="D355" s="42"/>
      <c r="E355" t="s">
        <v>214</v>
      </c>
    </row>
    <row r="356" spans="1:5" x14ac:dyDescent="0.2">
      <c r="A356" s="109"/>
      <c r="B356" s="116"/>
      <c r="C356" s="42" t="s">
        <v>598</v>
      </c>
      <c r="D356" s="42"/>
      <c r="E356" t="s">
        <v>214</v>
      </c>
    </row>
    <row r="357" spans="1:5" x14ac:dyDescent="0.2">
      <c r="A357" s="109"/>
      <c r="B357" s="116"/>
      <c r="C357" s="42" t="s">
        <v>599</v>
      </c>
      <c r="D357" s="42"/>
      <c r="E357" t="s">
        <v>214</v>
      </c>
    </row>
    <row r="358" spans="1:5" x14ac:dyDescent="0.2">
      <c r="A358" s="109"/>
      <c r="B358" s="116"/>
      <c r="C358" s="42" t="s">
        <v>600</v>
      </c>
      <c r="D358" s="42"/>
      <c r="E358" t="s">
        <v>214</v>
      </c>
    </row>
    <row r="359" spans="1:5" x14ac:dyDescent="0.2">
      <c r="A359" s="109"/>
      <c r="B359" s="116"/>
      <c r="C359" s="42" t="s">
        <v>601</v>
      </c>
      <c r="D359" s="42"/>
      <c r="E359" t="s">
        <v>214</v>
      </c>
    </row>
    <row r="360" spans="1:5" x14ac:dyDescent="0.2">
      <c r="A360" s="109"/>
      <c r="B360" s="116"/>
      <c r="C360" s="42" t="s">
        <v>602</v>
      </c>
      <c r="D360" s="42"/>
      <c r="E360" t="s">
        <v>214</v>
      </c>
    </row>
    <row r="361" spans="1:5" x14ac:dyDescent="0.2">
      <c r="A361" s="109"/>
      <c r="B361" s="116"/>
      <c r="C361" s="42" t="s">
        <v>603</v>
      </c>
      <c r="D361" s="42"/>
      <c r="E361" t="s">
        <v>214</v>
      </c>
    </row>
    <row r="362" spans="1:5" x14ac:dyDescent="0.2">
      <c r="A362" s="109"/>
      <c r="B362" s="116"/>
      <c r="C362" s="42" t="s">
        <v>604</v>
      </c>
      <c r="D362" s="42"/>
      <c r="E362" t="s">
        <v>214</v>
      </c>
    </row>
    <row r="363" spans="1:5" x14ac:dyDescent="0.2">
      <c r="A363" s="109"/>
      <c r="B363" s="116"/>
      <c r="C363" s="42" t="s">
        <v>605</v>
      </c>
      <c r="D363" s="42"/>
      <c r="E363" t="s">
        <v>214</v>
      </c>
    </row>
    <row r="364" spans="1:5" x14ac:dyDescent="0.2">
      <c r="A364" s="109"/>
      <c r="B364" s="116"/>
      <c r="C364" s="42" t="s">
        <v>606</v>
      </c>
      <c r="D364" s="42"/>
      <c r="E364" t="s">
        <v>214</v>
      </c>
    </row>
    <row r="365" spans="1:5" x14ac:dyDescent="0.2">
      <c r="A365" s="109"/>
      <c r="B365" s="116"/>
      <c r="C365" s="42" t="s">
        <v>607</v>
      </c>
      <c r="D365" s="42"/>
      <c r="E365" t="s">
        <v>214</v>
      </c>
    </row>
    <row r="366" spans="1:5" x14ac:dyDescent="0.2">
      <c r="A366" s="109"/>
      <c r="B366" s="116"/>
      <c r="C366" s="42" t="s">
        <v>608</v>
      </c>
      <c r="D366" s="42"/>
      <c r="E366" t="s">
        <v>214</v>
      </c>
    </row>
    <row r="367" spans="1:5" x14ac:dyDescent="0.2">
      <c r="A367" s="109"/>
      <c r="B367" s="116"/>
      <c r="C367" s="42" t="s">
        <v>609</v>
      </c>
      <c r="D367" s="42"/>
      <c r="E367" t="s">
        <v>214</v>
      </c>
    </row>
    <row r="368" spans="1:5" x14ac:dyDescent="0.2">
      <c r="A368" s="109"/>
      <c r="B368" s="116"/>
      <c r="C368" s="42" t="s">
        <v>610</v>
      </c>
      <c r="D368" s="42"/>
      <c r="E368" t="s">
        <v>214</v>
      </c>
    </row>
    <row r="369" spans="1:5" x14ac:dyDescent="0.2">
      <c r="A369" s="109"/>
      <c r="B369" s="116"/>
      <c r="C369" s="42" t="s">
        <v>611</v>
      </c>
      <c r="D369" s="42"/>
      <c r="E369" t="s">
        <v>214</v>
      </c>
    </row>
    <row r="370" spans="1:5" x14ac:dyDescent="0.2">
      <c r="A370" s="109"/>
      <c r="B370" s="116"/>
      <c r="C370" s="42" t="s">
        <v>612</v>
      </c>
      <c r="D370" s="42"/>
      <c r="E370" t="s">
        <v>214</v>
      </c>
    </row>
    <row r="371" spans="1:5" x14ac:dyDescent="0.2">
      <c r="A371" s="109"/>
      <c r="B371" s="116"/>
      <c r="C371" s="42" t="s">
        <v>613</v>
      </c>
      <c r="D371" s="42"/>
      <c r="E371" t="s">
        <v>214</v>
      </c>
    </row>
    <row r="372" spans="1:5" x14ac:dyDescent="0.2">
      <c r="A372" s="109"/>
      <c r="B372" s="116"/>
      <c r="C372" s="42" t="s">
        <v>614</v>
      </c>
      <c r="D372" s="42"/>
      <c r="E372" t="s">
        <v>214</v>
      </c>
    </row>
    <row r="373" spans="1:5" x14ac:dyDescent="0.2">
      <c r="A373" s="109"/>
      <c r="B373" s="116"/>
      <c r="C373" s="42" t="s">
        <v>615</v>
      </c>
      <c r="D373" s="42"/>
      <c r="E373" t="s">
        <v>214</v>
      </c>
    </row>
    <row r="374" spans="1:5" x14ac:dyDescent="0.2">
      <c r="A374" s="109"/>
      <c r="B374" s="116"/>
      <c r="C374" s="42" t="s">
        <v>616</v>
      </c>
      <c r="D374" s="42"/>
      <c r="E374" t="s">
        <v>214</v>
      </c>
    </row>
    <row r="375" spans="1:5" x14ac:dyDescent="0.2">
      <c r="A375" s="109"/>
      <c r="B375" s="116"/>
      <c r="C375" s="42" t="s">
        <v>617</v>
      </c>
      <c r="D375" s="42"/>
      <c r="E375" t="s">
        <v>214</v>
      </c>
    </row>
    <row r="376" spans="1:5" x14ac:dyDescent="0.2">
      <c r="A376" s="109"/>
      <c r="B376" s="116"/>
      <c r="C376" s="42" t="s">
        <v>618</v>
      </c>
      <c r="D376" s="42"/>
      <c r="E376" t="s">
        <v>214</v>
      </c>
    </row>
    <row r="377" spans="1:5" x14ac:dyDescent="0.2">
      <c r="A377" s="109"/>
      <c r="B377" s="116"/>
      <c r="C377" s="42" t="s">
        <v>619</v>
      </c>
      <c r="D377" s="42"/>
      <c r="E377" t="s">
        <v>214</v>
      </c>
    </row>
    <row r="378" spans="1:5" x14ac:dyDescent="0.2">
      <c r="A378" s="109"/>
      <c r="B378" s="116"/>
      <c r="C378" s="42" t="s">
        <v>620</v>
      </c>
      <c r="D378" s="42"/>
      <c r="E378" t="s">
        <v>214</v>
      </c>
    </row>
    <row r="379" spans="1:5" x14ac:dyDescent="0.2">
      <c r="A379" s="109"/>
      <c r="B379" s="116"/>
      <c r="C379" s="42" t="s">
        <v>621</v>
      </c>
      <c r="D379" s="42"/>
      <c r="E379" t="s">
        <v>214</v>
      </c>
    </row>
    <row r="380" spans="1:5" x14ac:dyDescent="0.2">
      <c r="A380" s="109"/>
      <c r="B380" s="116"/>
      <c r="C380" s="42" t="s">
        <v>622</v>
      </c>
      <c r="D380" s="42"/>
      <c r="E380" t="s">
        <v>214</v>
      </c>
    </row>
    <row r="381" spans="1:5" x14ac:dyDescent="0.2">
      <c r="A381" s="109"/>
      <c r="B381" s="116"/>
      <c r="C381" s="42" t="s">
        <v>623</v>
      </c>
      <c r="D381" s="42"/>
      <c r="E381" t="s">
        <v>214</v>
      </c>
    </row>
    <row r="382" spans="1:5" x14ac:dyDescent="0.2">
      <c r="A382" s="109"/>
      <c r="B382" s="116"/>
      <c r="C382" s="42" t="s">
        <v>624</v>
      </c>
      <c r="D382" s="42"/>
      <c r="E382" t="s">
        <v>214</v>
      </c>
    </row>
    <row r="383" spans="1:5" x14ac:dyDescent="0.2">
      <c r="A383" s="109"/>
      <c r="B383" s="116"/>
      <c r="C383" s="42" t="s">
        <v>625</v>
      </c>
      <c r="D383" s="42"/>
      <c r="E383" t="s">
        <v>214</v>
      </c>
    </row>
    <row r="384" spans="1:5" x14ac:dyDescent="0.2">
      <c r="A384" s="109"/>
      <c r="B384" s="116"/>
      <c r="C384" s="42" t="s">
        <v>626</v>
      </c>
      <c r="D384" s="42"/>
      <c r="E384" t="s">
        <v>214</v>
      </c>
    </row>
    <row r="385" spans="1:5" x14ac:dyDescent="0.2">
      <c r="A385" s="109"/>
      <c r="B385" s="116"/>
      <c r="C385" s="42" t="s">
        <v>627</v>
      </c>
      <c r="D385" s="42"/>
      <c r="E385" t="s">
        <v>214</v>
      </c>
    </row>
    <row r="386" spans="1:5" x14ac:dyDescent="0.2">
      <c r="A386" s="109"/>
      <c r="B386" s="116"/>
      <c r="C386" s="42" t="s">
        <v>628</v>
      </c>
      <c r="D386" s="42"/>
      <c r="E386" t="s">
        <v>214</v>
      </c>
    </row>
    <row r="387" spans="1:5" x14ac:dyDescent="0.2">
      <c r="A387" s="109"/>
      <c r="B387" s="116"/>
      <c r="C387" s="42" t="s">
        <v>629</v>
      </c>
      <c r="D387" s="42"/>
      <c r="E387" t="s">
        <v>214</v>
      </c>
    </row>
    <row r="388" spans="1:5" x14ac:dyDescent="0.2">
      <c r="A388" s="109"/>
      <c r="B388" s="116"/>
      <c r="C388" s="42" t="s">
        <v>630</v>
      </c>
      <c r="D388" s="42"/>
      <c r="E388" t="s">
        <v>214</v>
      </c>
    </row>
    <row r="389" spans="1:5" x14ac:dyDescent="0.2">
      <c r="A389" s="109"/>
      <c r="B389" s="116"/>
      <c r="C389" s="42" t="s">
        <v>631</v>
      </c>
      <c r="D389" s="42"/>
      <c r="E389" t="s">
        <v>214</v>
      </c>
    </row>
    <row r="390" spans="1:5" x14ac:dyDescent="0.2">
      <c r="A390" s="109"/>
      <c r="B390" s="116"/>
      <c r="C390" s="42" t="s">
        <v>632</v>
      </c>
      <c r="D390" s="42"/>
      <c r="E390" t="s">
        <v>214</v>
      </c>
    </row>
    <row r="391" spans="1:5" x14ac:dyDescent="0.2">
      <c r="A391" s="109"/>
      <c r="B391" s="116"/>
      <c r="C391" s="42" t="s">
        <v>633</v>
      </c>
      <c r="D391" s="42"/>
      <c r="E391" t="s">
        <v>214</v>
      </c>
    </row>
    <row r="392" spans="1:5" x14ac:dyDescent="0.2">
      <c r="A392" s="109"/>
      <c r="B392" s="116"/>
      <c r="C392" s="42" t="s">
        <v>634</v>
      </c>
      <c r="D392" s="42"/>
      <c r="E392" t="s">
        <v>214</v>
      </c>
    </row>
    <row r="393" spans="1:5" x14ac:dyDescent="0.2">
      <c r="A393" s="109"/>
      <c r="B393" s="116"/>
      <c r="C393" s="42" t="s">
        <v>635</v>
      </c>
      <c r="D393" s="42"/>
      <c r="E393" t="s">
        <v>214</v>
      </c>
    </row>
    <row r="394" spans="1:5" x14ac:dyDescent="0.2">
      <c r="A394" s="109"/>
      <c r="B394" s="116"/>
      <c r="C394" s="42" t="s">
        <v>636</v>
      </c>
      <c r="D394" s="42"/>
      <c r="E394" t="s">
        <v>214</v>
      </c>
    </row>
    <row r="395" spans="1:5" x14ac:dyDescent="0.2">
      <c r="A395" s="109"/>
      <c r="B395" s="116"/>
      <c r="C395" s="42" t="s">
        <v>637</v>
      </c>
      <c r="D395" s="42"/>
      <c r="E395" t="s">
        <v>214</v>
      </c>
    </row>
    <row r="396" spans="1:5" x14ac:dyDescent="0.2">
      <c r="A396" s="109"/>
      <c r="B396" s="116"/>
      <c r="C396" s="42" t="s">
        <v>638</v>
      </c>
      <c r="D396" s="42"/>
      <c r="E396" t="s">
        <v>214</v>
      </c>
    </row>
    <row r="397" spans="1:5" x14ac:dyDescent="0.2">
      <c r="A397" s="109"/>
      <c r="B397" s="116"/>
      <c r="C397" s="42" t="s">
        <v>639</v>
      </c>
      <c r="D397" s="42"/>
      <c r="E397" t="s">
        <v>214</v>
      </c>
    </row>
    <row r="398" spans="1:5" x14ac:dyDescent="0.2">
      <c r="A398" s="109"/>
      <c r="B398" s="116"/>
      <c r="C398" s="42" t="s">
        <v>640</v>
      </c>
      <c r="D398" s="42"/>
      <c r="E398" t="s">
        <v>214</v>
      </c>
    </row>
    <row r="399" spans="1:5" x14ac:dyDescent="0.2">
      <c r="A399" s="109"/>
      <c r="B399" s="116"/>
      <c r="C399" s="42" t="s">
        <v>641</v>
      </c>
      <c r="D399" s="42"/>
      <c r="E399" t="s">
        <v>214</v>
      </c>
    </row>
    <row r="400" spans="1:5" x14ac:dyDescent="0.2">
      <c r="A400" s="109"/>
      <c r="B400" s="116"/>
      <c r="C400" s="42" t="s">
        <v>642</v>
      </c>
      <c r="D400" s="42"/>
      <c r="E400" t="s">
        <v>214</v>
      </c>
    </row>
    <row r="401" spans="1:5" x14ac:dyDescent="0.2">
      <c r="A401" s="109"/>
      <c r="B401" s="116"/>
      <c r="C401" s="42" t="s">
        <v>643</v>
      </c>
      <c r="D401" s="42"/>
      <c r="E401" t="s">
        <v>214</v>
      </c>
    </row>
    <row r="402" spans="1:5" x14ac:dyDescent="0.2">
      <c r="A402" s="109"/>
      <c r="B402" s="116"/>
      <c r="C402" s="42" t="s">
        <v>644</v>
      </c>
      <c r="D402" s="42"/>
      <c r="E402" t="s">
        <v>214</v>
      </c>
    </row>
    <row r="403" spans="1:5" x14ac:dyDescent="0.2">
      <c r="A403" s="109"/>
      <c r="B403" s="116"/>
      <c r="C403" s="42" t="s">
        <v>645</v>
      </c>
      <c r="D403" s="42"/>
      <c r="E403" t="s">
        <v>214</v>
      </c>
    </row>
    <row r="404" spans="1:5" x14ac:dyDescent="0.2">
      <c r="A404" s="109"/>
      <c r="B404" s="116"/>
      <c r="C404" s="42" t="s">
        <v>646</v>
      </c>
      <c r="D404" s="42"/>
      <c r="E404" t="s">
        <v>214</v>
      </c>
    </row>
    <row r="405" spans="1:5" x14ac:dyDescent="0.2">
      <c r="A405" s="109"/>
      <c r="B405" s="116"/>
      <c r="C405" s="42" t="s">
        <v>647</v>
      </c>
      <c r="D405" s="42"/>
      <c r="E405" t="s">
        <v>214</v>
      </c>
    </row>
    <row r="406" spans="1:5" x14ac:dyDescent="0.2">
      <c r="A406" s="109"/>
      <c r="B406" s="116"/>
      <c r="C406" s="42" t="s">
        <v>648</v>
      </c>
      <c r="D406" s="42"/>
      <c r="E406" t="s">
        <v>214</v>
      </c>
    </row>
    <row r="407" spans="1:5" x14ac:dyDescent="0.2">
      <c r="A407" s="109"/>
      <c r="B407" s="116"/>
      <c r="C407" s="42" t="s">
        <v>649</v>
      </c>
      <c r="D407" s="42"/>
      <c r="E407" t="s">
        <v>214</v>
      </c>
    </row>
    <row r="408" spans="1:5" x14ac:dyDescent="0.2">
      <c r="A408" s="109"/>
      <c r="B408" s="116"/>
      <c r="C408" s="42" t="s">
        <v>650</v>
      </c>
      <c r="D408" s="42"/>
      <c r="E408" t="s">
        <v>214</v>
      </c>
    </row>
    <row r="409" spans="1:5" x14ac:dyDescent="0.2">
      <c r="A409" s="109"/>
      <c r="B409" s="116"/>
      <c r="C409" s="42" t="s">
        <v>651</v>
      </c>
      <c r="D409" s="42"/>
      <c r="E409" t="s">
        <v>214</v>
      </c>
    </row>
    <row r="410" spans="1:5" x14ac:dyDescent="0.2">
      <c r="A410" s="109"/>
      <c r="B410" s="116"/>
      <c r="C410" s="42" t="s">
        <v>652</v>
      </c>
      <c r="D410" s="42"/>
      <c r="E410" t="s">
        <v>214</v>
      </c>
    </row>
    <row r="411" spans="1:5" x14ac:dyDescent="0.2">
      <c r="A411" s="109"/>
      <c r="B411" s="116"/>
      <c r="C411" s="42" t="s">
        <v>653</v>
      </c>
      <c r="D411" s="42"/>
      <c r="E411" t="s">
        <v>214</v>
      </c>
    </row>
    <row r="412" spans="1:5" x14ac:dyDescent="0.2">
      <c r="A412" s="109"/>
      <c r="B412" s="116"/>
      <c r="C412" s="42" t="s">
        <v>654</v>
      </c>
      <c r="D412" s="42"/>
      <c r="E412" t="s">
        <v>214</v>
      </c>
    </row>
    <row r="413" spans="1:5" x14ac:dyDescent="0.2">
      <c r="A413" s="109"/>
      <c r="B413" s="116"/>
      <c r="C413" s="42" t="s">
        <v>655</v>
      </c>
      <c r="D413" s="42"/>
      <c r="E413" t="s">
        <v>214</v>
      </c>
    </row>
    <row r="414" spans="1:5" x14ac:dyDescent="0.2">
      <c r="A414" s="109"/>
      <c r="B414" s="116"/>
      <c r="C414" s="42" t="s">
        <v>656</v>
      </c>
      <c r="D414" s="42"/>
      <c r="E414" t="s">
        <v>214</v>
      </c>
    </row>
    <row r="415" spans="1:5" x14ac:dyDescent="0.2">
      <c r="A415" s="109"/>
      <c r="B415" s="116"/>
      <c r="C415" s="42" t="s">
        <v>657</v>
      </c>
      <c r="D415" s="42"/>
      <c r="E415" t="s">
        <v>214</v>
      </c>
    </row>
    <row r="416" spans="1:5" x14ac:dyDescent="0.2">
      <c r="A416" s="109"/>
      <c r="B416" s="116"/>
      <c r="C416" s="42" t="s">
        <v>658</v>
      </c>
      <c r="D416" s="42"/>
      <c r="E416" t="s">
        <v>214</v>
      </c>
    </row>
    <row r="417" spans="1:5" x14ac:dyDescent="0.2">
      <c r="A417" s="109"/>
      <c r="B417" s="116"/>
      <c r="C417" s="42" t="s">
        <v>659</v>
      </c>
      <c r="D417" s="42"/>
      <c r="E417" t="s">
        <v>214</v>
      </c>
    </row>
    <row r="418" spans="1:5" x14ac:dyDescent="0.2">
      <c r="A418" s="109"/>
      <c r="B418" s="116"/>
      <c r="C418" s="42" t="s">
        <v>660</v>
      </c>
      <c r="D418" s="42"/>
      <c r="E418" t="s">
        <v>214</v>
      </c>
    </row>
    <row r="419" spans="1:5" x14ac:dyDescent="0.2">
      <c r="A419" s="109"/>
      <c r="B419" s="116"/>
      <c r="C419" s="42" t="s">
        <v>661</v>
      </c>
      <c r="D419" s="42"/>
      <c r="E419" t="s">
        <v>214</v>
      </c>
    </row>
    <row r="420" spans="1:5" x14ac:dyDescent="0.2">
      <c r="A420" s="109"/>
      <c r="B420" s="116"/>
      <c r="C420" s="42" t="s">
        <v>662</v>
      </c>
      <c r="D420" s="42"/>
      <c r="E420" t="s">
        <v>214</v>
      </c>
    </row>
    <row r="421" spans="1:5" x14ac:dyDescent="0.2">
      <c r="A421" s="109"/>
      <c r="B421" s="116"/>
      <c r="C421" s="42" t="s">
        <v>663</v>
      </c>
      <c r="D421" s="42"/>
      <c r="E421" t="s">
        <v>214</v>
      </c>
    </row>
    <row r="422" spans="1:5" x14ac:dyDescent="0.2">
      <c r="A422" s="109"/>
      <c r="B422" s="116"/>
      <c r="C422" s="42" t="s">
        <v>664</v>
      </c>
      <c r="D422" s="42"/>
      <c r="E422" t="s">
        <v>214</v>
      </c>
    </row>
    <row r="423" spans="1:5" x14ac:dyDescent="0.2">
      <c r="A423" s="109"/>
      <c r="B423" s="116"/>
      <c r="C423" s="42" t="s">
        <v>665</v>
      </c>
      <c r="D423" s="42"/>
      <c r="E423" t="s">
        <v>214</v>
      </c>
    </row>
    <row r="424" spans="1:5" x14ac:dyDescent="0.2">
      <c r="A424" s="109"/>
      <c r="B424" s="116"/>
      <c r="C424" s="42" t="s">
        <v>666</v>
      </c>
      <c r="D424" s="42"/>
      <c r="E424" t="s">
        <v>214</v>
      </c>
    </row>
    <row r="425" spans="1:5" x14ac:dyDescent="0.2">
      <c r="A425" s="109"/>
      <c r="B425" s="116"/>
      <c r="C425" s="42" t="s">
        <v>667</v>
      </c>
      <c r="D425" s="42"/>
      <c r="E425" t="s">
        <v>214</v>
      </c>
    </row>
    <row r="426" spans="1:5" x14ac:dyDescent="0.2">
      <c r="A426" s="109"/>
      <c r="B426" s="116"/>
      <c r="C426" s="42" t="s">
        <v>668</v>
      </c>
      <c r="D426" s="42"/>
      <c r="E426" t="s">
        <v>214</v>
      </c>
    </row>
    <row r="427" spans="1:5" x14ac:dyDescent="0.2">
      <c r="A427" s="109"/>
      <c r="B427" s="116"/>
      <c r="C427" s="42" t="s">
        <v>669</v>
      </c>
      <c r="D427" s="42"/>
      <c r="E427" t="s">
        <v>214</v>
      </c>
    </row>
    <row r="428" spans="1:5" x14ac:dyDescent="0.2">
      <c r="A428" s="109"/>
      <c r="B428" s="116"/>
      <c r="C428" s="42" t="s">
        <v>670</v>
      </c>
      <c r="D428" s="42"/>
      <c r="E428" t="s">
        <v>214</v>
      </c>
    </row>
    <row r="429" spans="1:5" x14ac:dyDescent="0.2">
      <c r="A429" s="109"/>
      <c r="B429" s="116"/>
      <c r="C429" s="42" t="s">
        <v>671</v>
      </c>
      <c r="D429" s="42"/>
      <c r="E429" t="s">
        <v>214</v>
      </c>
    </row>
    <row r="430" spans="1:5" x14ac:dyDescent="0.2">
      <c r="A430" s="109"/>
      <c r="B430" s="116"/>
      <c r="C430" s="42" t="s">
        <v>672</v>
      </c>
      <c r="D430" s="42"/>
      <c r="E430" t="s">
        <v>214</v>
      </c>
    </row>
    <row r="431" spans="1:5" x14ac:dyDescent="0.2">
      <c r="A431" s="109"/>
      <c r="B431" s="116"/>
      <c r="C431" s="42" t="s">
        <v>673</v>
      </c>
      <c r="D431" s="42"/>
      <c r="E431" t="s">
        <v>214</v>
      </c>
    </row>
    <row r="432" spans="1:5" x14ac:dyDescent="0.2">
      <c r="A432" s="109"/>
      <c r="B432" s="116"/>
      <c r="C432" s="42" t="s">
        <v>674</v>
      </c>
      <c r="D432" s="42"/>
      <c r="E432" t="s">
        <v>214</v>
      </c>
    </row>
    <row r="433" spans="1:5" x14ac:dyDescent="0.2">
      <c r="A433" s="109"/>
      <c r="B433" s="116"/>
      <c r="C433" s="42" t="s">
        <v>675</v>
      </c>
      <c r="D433" s="42"/>
      <c r="E433" t="s">
        <v>214</v>
      </c>
    </row>
    <row r="434" spans="1:5" x14ac:dyDescent="0.2">
      <c r="A434" s="109"/>
      <c r="B434" s="116"/>
      <c r="C434" s="42" t="s">
        <v>676</v>
      </c>
      <c r="D434" s="42"/>
      <c r="E434" t="s">
        <v>214</v>
      </c>
    </row>
    <row r="435" spans="1:5" x14ac:dyDescent="0.2">
      <c r="A435" s="109"/>
      <c r="B435" s="116"/>
      <c r="C435" s="42" t="s">
        <v>677</v>
      </c>
      <c r="D435" s="42"/>
      <c r="E435" t="s">
        <v>214</v>
      </c>
    </row>
    <row r="436" spans="1:5" x14ac:dyDescent="0.2">
      <c r="A436" s="109"/>
      <c r="B436" s="116"/>
      <c r="C436" s="42" t="s">
        <v>678</v>
      </c>
      <c r="D436" s="42"/>
      <c r="E436" t="s">
        <v>214</v>
      </c>
    </row>
    <row r="437" spans="1:5" x14ac:dyDescent="0.2">
      <c r="A437" s="109"/>
      <c r="B437" s="116"/>
      <c r="C437" s="42" t="s">
        <v>679</v>
      </c>
      <c r="D437" s="42"/>
      <c r="E437" t="s">
        <v>214</v>
      </c>
    </row>
    <row r="438" spans="1:5" x14ac:dyDescent="0.2">
      <c r="A438" s="109"/>
      <c r="B438" s="116"/>
      <c r="C438" s="42" t="s">
        <v>680</v>
      </c>
      <c r="D438" s="42"/>
      <c r="E438" t="s">
        <v>214</v>
      </c>
    </row>
    <row r="439" spans="1:5" x14ac:dyDescent="0.2">
      <c r="A439" s="109"/>
      <c r="B439" s="116"/>
      <c r="C439" s="42" t="s">
        <v>681</v>
      </c>
      <c r="D439" s="42"/>
      <c r="E439" t="s">
        <v>214</v>
      </c>
    </row>
    <row r="440" spans="1:5" x14ac:dyDescent="0.2">
      <c r="A440" s="109"/>
      <c r="B440" s="116"/>
      <c r="C440" s="42" t="s">
        <v>682</v>
      </c>
      <c r="D440" s="42"/>
      <c r="E440" t="s">
        <v>214</v>
      </c>
    </row>
    <row r="441" spans="1:5" x14ac:dyDescent="0.2">
      <c r="A441" s="109"/>
      <c r="B441" s="116"/>
      <c r="C441" s="42" t="s">
        <v>683</v>
      </c>
      <c r="D441" s="42"/>
      <c r="E441" t="s">
        <v>214</v>
      </c>
    </row>
    <row r="442" spans="1:5" x14ac:dyDescent="0.2">
      <c r="A442" s="109"/>
      <c r="B442" s="116"/>
      <c r="C442" s="42" t="s">
        <v>684</v>
      </c>
      <c r="D442" s="42"/>
      <c r="E442" t="s">
        <v>214</v>
      </c>
    </row>
    <row r="443" spans="1:5" x14ac:dyDescent="0.2">
      <c r="A443" s="109"/>
      <c r="B443" s="116"/>
      <c r="C443" s="42" t="s">
        <v>685</v>
      </c>
      <c r="D443" s="42"/>
      <c r="E443" t="s">
        <v>214</v>
      </c>
    </row>
    <row r="444" spans="1:5" x14ac:dyDescent="0.2">
      <c r="A444" s="109"/>
      <c r="B444" s="116"/>
      <c r="C444" s="42" t="s">
        <v>686</v>
      </c>
      <c r="D444" s="42"/>
      <c r="E444" t="s">
        <v>214</v>
      </c>
    </row>
    <row r="445" spans="1:5" x14ac:dyDescent="0.2">
      <c r="A445" s="109"/>
      <c r="B445" s="116"/>
      <c r="C445" s="42" t="s">
        <v>687</v>
      </c>
      <c r="D445" s="42"/>
      <c r="E445" t="s">
        <v>214</v>
      </c>
    </row>
    <row r="446" spans="1:5" x14ac:dyDescent="0.2">
      <c r="A446" s="109"/>
      <c r="B446" s="116"/>
      <c r="C446" s="42" t="s">
        <v>688</v>
      </c>
      <c r="D446" s="42"/>
      <c r="E446" t="s">
        <v>214</v>
      </c>
    </row>
    <row r="447" spans="1:5" x14ac:dyDescent="0.2">
      <c r="A447" s="109"/>
      <c r="B447" s="116"/>
      <c r="C447" s="42" t="s">
        <v>689</v>
      </c>
      <c r="D447" s="42"/>
      <c r="E447" t="s">
        <v>214</v>
      </c>
    </row>
    <row r="448" spans="1:5" x14ac:dyDescent="0.2">
      <c r="A448" s="109"/>
      <c r="B448" s="116"/>
      <c r="C448" s="42" t="s">
        <v>690</v>
      </c>
      <c r="D448" s="42"/>
      <c r="E448" t="s">
        <v>214</v>
      </c>
    </row>
    <row r="449" spans="1:5" x14ac:dyDescent="0.2">
      <c r="A449" s="109"/>
      <c r="B449" s="116"/>
      <c r="C449" s="42" t="s">
        <v>691</v>
      </c>
      <c r="D449" s="42"/>
      <c r="E449" t="s">
        <v>214</v>
      </c>
    </row>
    <row r="450" spans="1:5" x14ac:dyDescent="0.2">
      <c r="A450" s="109"/>
      <c r="B450" s="116"/>
      <c r="C450" s="42" t="s">
        <v>692</v>
      </c>
      <c r="D450" s="42"/>
      <c r="E450" t="s">
        <v>214</v>
      </c>
    </row>
    <row r="451" spans="1:5" x14ac:dyDescent="0.2">
      <c r="A451" s="109"/>
      <c r="B451" s="116"/>
      <c r="C451" s="42" t="s">
        <v>693</v>
      </c>
      <c r="D451" s="42"/>
      <c r="E451" t="s">
        <v>214</v>
      </c>
    </row>
    <row r="452" spans="1:5" x14ac:dyDescent="0.2">
      <c r="A452" s="109"/>
      <c r="B452" s="116"/>
      <c r="C452" s="42" t="s">
        <v>694</v>
      </c>
      <c r="D452" s="42"/>
      <c r="E452" t="s">
        <v>214</v>
      </c>
    </row>
    <row r="453" spans="1:5" x14ac:dyDescent="0.2">
      <c r="A453" s="109"/>
      <c r="B453" s="116"/>
      <c r="C453" s="42" t="s">
        <v>695</v>
      </c>
      <c r="D453" s="42"/>
      <c r="E453" t="s">
        <v>214</v>
      </c>
    </row>
    <row r="454" spans="1:5" x14ac:dyDescent="0.2">
      <c r="A454" s="109"/>
      <c r="B454" s="116"/>
      <c r="C454" s="42" t="s">
        <v>696</v>
      </c>
      <c r="D454" s="42"/>
      <c r="E454" t="s">
        <v>214</v>
      </c>
    </row>
    <row r="455" spans="1:5" x14ac:dyDescent="0.2">
      <c r="A455" s="109"/>
      <c r="B455" s="116"/>
      <c r="C455" s="42" t="s">
        <v>697</v>
      </c>
      <c r="D455" s="42"/>
      <c r="E455" t="s">
        <v>214</v>
      </c>
    </row>
    <row r="456" spans="1:5" x14ac:dyDescent="0.2">
      <c r="A456" s="109"/>
      <c r="B456" s="116"/>
      <c r="C456" s="42" t="s">
        <v>698</v>
      </c>
      <c r="D456" s="42"/>
      <c r="E456" t="s">
        <v>214</v>
      </c>
    </row>
    <row r="457" spans="1:5" x14ac:dyDescent="0.2">
      <c r="A457" s="109"/>
      <c r="B457" s="116"/>
      <c r="C457" s="42" t="s">
        <v>699</v>
      </c>
      <c r="D457" s="42"/>
      <c r="E457" t="s">
        <v>214</v>
      </c>
    </row>
    <row r="458" spans="1:5" x14ac:dyDescent="0.2">
      <c r="A458" s="109"/>
      <c r="B458" s="116"/>
      <c r="C458" s="42" t="s">
        <v>700</v>
      </c>
      <c r="D458" s="42"/>
      <c r="E458" t="s">
        <v>214</v>
      </c>
    </row>
    <row r="459" spans="1:5" x14ac:dyDescent="0.2">
      <c r="A459" s="109"/>
      <c r="B459" s="116"/>
      <c r="C459" s="42" t="s">
        <v>701</v>
      </c>
      <c r="D459" s="42"/>
      <c r="E459" t="s">
        <v>214</v>
      </c>
    </row>
    <row r="460" spans="1:5" x14ac:dyDescent="0.2">
      <c r="A460" s="109"/>
      <c r="B460" s="116"/>
      <c r="C460" s="42" t="s">
        <v>702</v>
      </c>
      <c r="D460" s="42"/>
      <c r="E460" t="s">
        <v>214</v>
      </c>
    </row>
    <row r="461" spans="1:5" x14ac:dyDescent="0.2">
      <c r="A461" s="109"/>
      <c r="B461" s="116"/>
      <c r="C461" s="42" t="s">
        <v>703</v>
      </c>
      <c r="D461" s="42"/>
      <c r="E461" t="s">
        <v>214</v>
      </c>
    </row>
    <row r="462" spans="1:5" x14ac:dyDescent="0.2">
      <c r="A462" s="109"/>
      <c r="B462" s="116"/>
      <c r="C462" s="42" t="s">
        <v>704</v>
      </c>
      <c r="D462" s="42"/>
      <c r="E462" t="s">
        <v>214</v>
      </c>
    </row>
    <row r="463" spans="1:5" x14ac:dyDescent="0.2">
      <c r="A463" s="109"/>
      <c r="B463" s="116"/>
      <c r="C463" s="42" t="s">
        <v>705</v>
      </c>
      <c r="D463" s="42"/>
      <c r="E463" t="s">
        <v>214</v>
      </c>
    </row>
    <row r="464" spans="1:5" x14ac:dyDescent="0.2">
      <c r="A464" s="109"/>
      <c r="B464" s="116"/>
      <c r="C464" s="42" t="s">
        <v>706</v>
      </c>
      <c r="D464" s="42"/>
      <c r="E464" t="s">
        <v>214</v>
      </c>
    </row>
    <row r="465" spans="1:5" x14ac:dyDescent="0.2">
      <c r="A465" s="109"/>
      <c r="B465" s="116"/>
      <c r="C465" s="42" t="s">
        <v>707</v>
      </c>
      <c r="D465" s="42"/>
      <c r="E465" t="s">
        <v>214</v>
      </c>
    </row>
    <row r="466" spans="1:5" x14ac:dyDescent="0.2">
      <c r="A466" s="109"/>
      <c r="B466" s="116"/>
      <c r="C466" s="42" t="s">
        <v>708</v>
      </c>
      <c r="D466" s="42"/>
      <c r="E466" t="s">
        <v>214</v>
      </c>
    </row>
    <row r="467" spans="1:5" x14ac:dyDescent="0.2">
      <c r="A467" s="109"/>
      <c r="B467" s="116"/>
      <c r="C467" s="42" t="s">
        <v>709</v>
      </c>
      <c r="D467" s="42"/>
      <c r="E467" t="s">
        <v>214</v>
      </c>
    </row>
    <row r="468" spans="1:5" x14ac:dyDescent="0.2">
      <c r="A468" s="109"/>
      <c r="B468" s="116"/>
      <c r="C468" s="42" t="s">
        <v>710</v>
      </c>
      <c r="D468" s="42"/>
      <c r="E468" t="s">
        <v>214</v>
      </c>
    </row>
    <row r="469" spans="1:5" x14ac:dyDescent="0.2">
      <c r="A469" s="109"/>
      <c r="B469" s="116"/>
      <c r="C469" s="42" t="s">
        <v>711</v>
      </c>
      <c r="D469" s="42"/>
      <c r="E469" t="s">
        <v>214</v>
      </c>
    </row>
    <row r="470" spans="1:5" x14ac:dyDescent="0.2">
      <c r="A470" s="109"/>
      <c r="B470" s="116"/>
      <c r="C470" s="42" t="s">
        <v>712</v>
      </c>
      <c r="D470" s="42"/>
      <c r="E470" t="s">
        <v>214</v>
      </c>
    </row>
    <row r="471" spans="1:5" x14ac:dyDescent="0.2">
      <c r="A471" s="109"/>
      <c r="B471" s="116"/>
      <c r="C471" s="42" t="s">
        <v>713</v>
      </c>
      <c r="D471" s="42"/>
      <c r="E471" t="s">
        <v>214</v>
      </c>
    </row>
    <row r="472" spans="1:5" x14ac:dyDescent="0.2">
      <c r="A472" s="109"/>
      <c r="B472" s="116"/>
      <c r="C472" s="42" t="s">
        <v>714</v>
      </c>
      <c r="D472" s="42"/>
      <c r="E472" t="s">
        <v>214</v>
      </c>
    </row>
    <row r="473" spans="1:5" x14ac:dyDescent="0.2">
      <c r="A473" s="109"/>
      <c r="B473" s="116"/>
      <c r="C473" s="42" t="s">
        <v>715</v>
      </c>
      <c r="D473" s="42"/>
      <c r="E473" t="s">
        <v>214</v>
      </c>
    </row>
    <row r="474" spans="1:5" x14ac:dyDescent="0.2">
      <c r="A474" s="109"/>
      <c r="B474" s="116"/>
      <c r="C474" s="42" t="s">
        <v>716</v>
      </c>
      <c r="D474" s="42"/>
      <c r="E474" t="s">
        <v>214</v>
      </c>
    </row>
    <row r="475" spans="1:5" x14ac:dyDescent="0.2">
      <c r="A475" s="109"/>
      <c r="B475" s="116"/>
      <c r="C475" s="42" t="s">
        <v>717</v>
      </c>
      <c r="D475" s="42"/>
      <c r="E475" t="s">
        <v>214</v>
      </c>
    </row>
    <row r="476" spans="1:5" x14ac:dyDescent="0.2">
      <c r="A476" s="109"/>
      <c r="B476" s="116"/>
      <c r="C476" s="42" t="s">
        <v>718</v>
      </c>
      <c r="D476" s="42"/>
      <c r="E476" t="s">
        <v>214</v>
      </c>
    </row>
    <row r="477" spans="1:5" x14ac:dyDescent="0.2">
      <c r="A477" s="109"/>
      <c r="B477" s="116"/>
      <c r="C477" s="42" t="s">
        <v>719</v>
      </c>
      <c r="D477" s="42"/>
      <c r="E477" t="s">
        <v>214</v>
      </c>
    </row>
    <row r="478" spans="1:5" x14ac:dyDescent="0.2">
      <c r="A478" s="109"/>
      <c r="B478" s="116"/>
      <c r="C478" s="42" t="s">
        <v>720</v>
      </c>
      <c r="D478" s="42"/>
      <c r="E478" t="s">
        <v>214</v>
      </c>
    </row>
    <row r="479" spans="1:5" x14ac:dyDescent="0.2">
      <c r="A479" s="109"/>
      <c r="B479" s="116"/>
      <c r="C479" s="42" t="s">
        <v>721</v>
      </c>
      <c r="D479" s="42"/>
      <c r="E479" t="s">
        <v>214</v>
      </c>
    </row>
    <row r="480" spans="1:5" x14ac:dyDescent="0.2">
      <c r="A480" s="109"/>
      <c r="B480" s="116"/>
      <c r="C480" s="42" t="s">
        <v>722</v>
      </c>
      <c r="D480" s="42"/>
      <c r="E480" t="s">
        <v>214</v>
      </c>
    </row>
    <row r="481" spans="1:5" x14ac:dyDescent="0.2">
      <c r="A481" s="109"/>
      <c r="B481" s="116"/>
      <c r="C481" s="42" t="s">
        <v>723</v>
      </c>
      <c r="D481" s="42"/>
      <c r="E481" t="s">
        <v>214</v>
      </c>
    </row>
    <row r="482" spans="1:5" x14ac:dyDescent="0.2">
      <c r="A482" s="109"/>
      <c r="B482" s="116"/>
      <c r="C482" s="42" t="s">
        <v>724</v>
      </c>
      <c r="D482" s="42"/>
      <c r="E482" t="s">
        <v>214</v>
      </c>
    </row>
    <row r="483" spans="1:5" x14ac:dyDescent="0.2">
      <c r="A483" s="109"/>
      <c r="B483" s="116"/>
      <c r="C483" s="42" t="s">
        <v>725</v>
      </c>
      <c r="D483" s="42"/>
      <c r="E483" t="s">
        <v>214</v>
      </c>
    </row>
    <row r="484" spans="1:5" x14ac:dyDescent="0.2">
      <c r="A484" s="109"/>
      <c r="B484" s="116"/>
      <c r="C484" s="42" t="s">
        <v>726</v>
      </c>
      <c r="D484" s="42"/>
      <c r="E484" t="s">
        <v>214</v>
      </c>
    </row>
    <row r="485" spans="1:5" x14ac:dyDescent="0.2">
      <c r="A485" s="109"/>
      <c r="B485" s="116"/>
      <c r="C485" s="42" t="s">
        <v>727</v>
      </c>
      <c r="D485" s="42"/>
      <c r="E485" t="s">
        <v>214</v>
      </c>
    </row>
    <row r="486" spans="1:5" x14ac:dyDescent="0.2">
      <c r="A486" s="109"/>
      <c r="B486" s="116"/>
      <c r="C486" s="42" t="s">
        <v>728</v>
      </c>
      <c r="D486" s="42"/>
      <c r="E486" t="s">
        <v>214</v>
      </c>
    </row>
    <row r="487" spans="1:5" x14ac:dyDescent="0.2">
      <c r="A487" s="109"/>
      <c r="B487" s="116"/>
      <c r="C487" s="42" t="s">
        <v>729</v>
      </c>
      <c r="D487" s="42"/>
      <c r="E487" t="s">
        <v>214</v>
      </c>
    </row>
    <row r="488" spans="1:5" x14ac:dyDescent="0.2">
      <c r="A488" s="109"/>
      <c r="B488" s="116"/>
      <c r="C488" s="42" t="s">
        <v>730</v>
      </c>
      <c r="D488" s="42"/>
      <c r="E488" t="s">
        <v>214</v>
      </c>
    </row>
    <row r="489" spans="1:5" x14ac:dyDescent="0.2">
      <c r="A489" s="109"/>
      <c r="B489" s="116"/>
      <c r="C489" s="42" t="s">
        <v>314</v>
      </c>
      <c r="D489" s="42"/>
    </row>
    <row r="490" spans="1:5" x14ac:dyDescent="0.2">
      <c r="A490" s="109"/>
      <c r="B490" s="116"/>
      <c r="C490" s="42" t="s">
        <v>731</v>
      </c>
      <c r="D490" s="42"/>
    </row>
    <row r="491" spans="1:5" x14ac:dyDescent="0.2">
      <c r="A491" s="109"/>
      <c r="B491" s="116"/>
      <c r="C491" s="42" t="s">
        <v>732</v>
      </c>
      <c r="D491" s="42"/>
    </row>
    <row r="492" spans="1:5" x14ac:dyDescent="0.2">
      <c r="A492" s="109"/>
      <c r="B492" s="116"/>
      <c r="C492" s="42" t="s">
        <v>733</v>
      </c>
      <c r="D492" s="42"/>
    </row>
    <row r="493" spans="1:5" x14ac:dyDescent="0.2">
      <c r="A493" s="109"/>
      <c r="B493" s="116"/>
      <c r="C493" s="42" t="s">
        <v>734</v>
      </c>
      <c r="D493" s="42"/>
    </row>
    <row r="494" spans="1:5" x14ac:dyDescent="0.2">
      <c r="A494" s="109"/>
      <c r="B494" s="116"/>
      <c r="C494" s="42" t="s">
        <v>735</v>
      </c>
      <c r="D494" s="42"/>
    </row>
    <row r="495" spans="1:5" x14ac:dyDescent="0.2">
      <c r="A495" s="109"/>
      <c r="B495" s="116"/>
      <c r="C495" s="42" t="s">
        <v>736</v>
      </c>
      <c r="D495" s="42"/>
    </row>
    <row r="496" spans="1:5" x14ac:dyDescent="0.2">
      <c r="A496" s="109"/>
      <c r="B496" s="116"/>
      <c r="C496" s="42" t="s">
        <v>737</v>
      </c>
      <c r="D496" s="42"/>
    </row>
    <row r="497" spans="1:4" x14ac:dyDescent="0.2">
      <c r="A497" s="109"/>
      <c r="B497" s="116"/>
      <c r="C497" s="42" t="s">
        <v>738</v>
      </c>
      <c r="D497" s="42"/>
    </row>
    <row r="498" spans="1:4" x14ac:dyDescent="0.2">
      <c r="A498" s="111"/>
      <c r="B498" s="117"/>
      <c r="C498" s="42" t="s">
        <v>569</v>
      </c>
      <c r="D498" s="42"/>
    </row>
    <row r="499" spans="1:4" x14ac:dyDescent="0.2">
      <c r="A499" s="113"/>
      <c r="B499" s="118" t="s">
        <v>739</v>
      </c>
      <c r="C499" s="40" t="s">
        <v>440</v>
      </c>
      <c r="D499" s="40"/>
    </row>
    <row r="500" spans="1:4" x14ac:dyDescent="0.2">
      <c r="A500" s="114"/>
      <c r="B500" s="118"/>
      <c r="C500" s="40" t="s">
        <v>740</v>
      </c>
      <c r="D500" s="40"/>
    </row>
    <row r="501" spans="1:4" x14ac:dyDescent="0.2">
      <c r="A501" s="114"/>
      <c r="B501" s="118"/>
      <c r="C501" s="40" t="s">
        <v>741</v>
      </c>
      <c r="D501" s="40"/>
    </row>
    <row r="502" spans="1:4" x14ac:dyDescent="0.2">
      <c r="A502" s="114"/>
      <c r="B502" s="118"/>
      <c r="C502" s="40" t="s">
        <v>742</v>
      </c>
      <c r="D502" s="40"/>
    </row>
    <row r="503" spans="1:4" x14ac:dyDescent="0.2">
      <c r="A503" s="114"/>
      <c r="B503" s="118"/>
      <c r="C503" s="40" t="s">
        <v>743</v>
      </c>
      <c r="D503" s="40"/>
    </row>
    <row r="504" spans="1:4" x14ac:dyDescent="0.2">
      <c r="A504" s="114"/>
      <c r="B504" s="118"/>
      <c r="C504" s="40" t="s">
        <v>744</v>
      </c>
      <c r="D504" s="40"/>
    </row>
    <row r="505" spans="1:4" x14ac:dyDescent="0.2">
      <c r="A505" s="114"/>
      <c r="B505" s="118"/>
      <c r="C505" s="40" t="s">
        <v>745</v>
      </c>
      <c r="D505" s="40"/>
    </row>
    <row r="506" spans="1:4" x14ac:dyDescent="0.2">
      <c r="A506" s="114"/>
      <c r="B506" s="118"/>
      <c r="C506" s="40" t="s">
        <v>746</v>
      </c>
      <c r="D506" s="40"/>
    </row>
    <row r="507" spans="1:4" x14ac:dyDescent="0.2">
      <c r="A507" s="114"/>
      <c r="B507" s="118"/>
      <c r="C507" s="40" t="s">
        <v>747</v>
      </c>
      <c r="D507" s="40"/>
    </row>
    <row r="508" spans="1:4" x14ac:dyDescent="0.2">
      <c r="A508" s="114"/>
      <c r="B508" s="118"/>
      <c r="C508" s="40" t="s">
        <v>748</v>
      </c>
      <c r="D508" s="40"/>
    </row>
    <row r="509" spans="1:4" x14ac:dyDescent="0.2">
      <c r="A509" s="114"/>
      <c r="B509" s="118"/>
      <c r="C509" s="40" t="s">
        <v>749</v>
      </c>
      <c r="D509" s="40"/>
    </row>
    <row r="510" spans="1:4" x14ac:dyDescent="0.2">
      <c r="A510" s="114"/>
      <c r="B510" s="118"/>
      <c r="C510" s="40" t="s">
        <v>750</v>
      </c>
      <c r="D510" s="40"/>
    </row>
    <row r="511" spans="1:4" x14ac:dyDescent="0.2">
      <c r="A511" s="114"/>
      <c r="B511" s="118"/>
      <c r="C511" s="40" t="s">
        <v>751</v>
      </c>
      <c r="D511" s="40"/>
    </row>
    <row r="512" spans="1:4" x14ac:dyDescent="0.2">
      <c r="A512" s="114"/>
      <c r="B512" s="118"/>
      <c r="C512" s="40" t="s">
        <v>485</v>
      </c>
      <c r="D512" s="40"/>
    </row>
    <row r="513" spans="1:4" x14ac:dyDescent="0.2">
      <c r="A513" s="114"/>
      <c r="B513" s="118"/>
      <c r="C513" s="40" t="s">
        <v>314</v>
      </c>
      <c r="D513" s="40"/>
    </row>
    <row r="514" spans="1:4" x14ac:dyDescent="0.2">
      <c r="A514" s="109"/>
      <c r="B514" s="51" t="s">
        <v>752</v>
      </c>
      <c r="C514" s="42" t="s">
        <v>338</v>
      </c>
      <c r="D514" s="42"/>
    </row>
    <row r="515" spans="1:4" x14ac:dyDescent="0.2">
      <c r="A515" s="111"/>
      <c r="B515" s="53"/>
      <c r="C515" s="42" t="s">
        <v>339</v>
      </c>
      <c r="D515" s="42"/>
    </row>
    <row r="516" spans="1:4" x14ac:dyDescent="0.2">
      <c r="A516" s="114"/>
      <c r="B516" s="118" t="s">
        <v>98</v>
      </c>
      <c r="C516" s="40" t="s">
        <v>753</v>
      </c>
      <c r="D516" s="40"/>
    </row>
    <row r="517" spans="1:4" x14ac:dyDescent="0.2">
      <c r="A517" s="114"/>
      <c r="B517" s="118"/>
      <c r="C517" s="40" t="s">
        <v>754</v>
      </c>
      <c r="D517" s="40"/>
    </row>
    <row r="518" spans="1:4" x14ac:dyDescent="0.2">
      <c r="A518" s="114"/>
      <c r="B518" s="118"/>
      <c r="C518" s="40" t="s">
        <v>755</v>
      </c>
      <c r="D518" s="40"/>
    </row>
    <row r="519" spans="1:4" x14ac:dyDescent="0.2">
      <c r="A519" s="114"/>
      <c r="B519" s="118"/>
      <c r="C519" s="40" t="s">
        <v>756</v>
      </c>
      <c r="D519" s="40"/>
    </row>
    <row r="520" spans="1:4" x14ac:dyDescent="0.2">
      <c r="A520" s="87"/>
      <c r="B520" s="51" t="s">
        <v>161</v>
      </c>
      <c r="C520" s="42" t="s">
        <v>757</v>
      </c>
      <c r="D520" s="42"/>
    </row>
    <row r="521" spans="1:4" x14ac:dyDescent="0.2">
      <c r="A521" s="60"/>
      <c r="B521" s="52"/>
      <c r="C521" s="42" t="s">
        <v>758</v>
      </c>
      <c r="D521" s="42"/>
    </row>
    <row r="522" spans="1:4" x14ac:dyDescent="0.2">
      <c r="A522" s="60"/>
      <c r="B522" s="52"/>
      <c r="C522" s="42" t="s">
        <v>759</v>
      </c>
      <c r="D522" s="42"/>
    </row>
    <row r="523" spans="1:4" x14ac:dyDescent="0.2">
      <c r="A523" s="60"/>
      <c r="B523" s="52"/>
      <c r="C523" s="42" t="s">
        <v>760</v>
      </c>
      <c r="D523" s="42"/>
    </row>
    <row r="524" spans="1:4" x14ac:dyDescent="0.2">
      <c r="A524" s="60"/>
      <c r="B524" s="52"/>
      <c r="C524" s="42" t="s">
        <v>761</v>
      </c>
      <c r="D524" s="42"/>
    </row>
    <row r="525" spans="1:4" x14ac:dyDescent="0.2">
      <c r="A525" s="60"/>
      <c r="B525" s="52"/>
      <c r="C525" s="42" t="s">
        <v>762</v>
      </c>
      <c r="D525" s="42"/>
    </row>
    <row r="526" spans="1:4" x14ac:dyDescent="0.2">
      <c r="A526" s="60"/>
      <c r="B526" s="52"/>
      <c r="C526" s="42" t="s">
        <v>763</v>
      </c>
      <c r="D526" s="42"/>
    </row>
    <row r="527" spans="1:4" x14ac:dyDescent="0.2">
      <c r="A527" s="60"/>
      <c r="B527" s="52"/>
      <c r="C527" s="42" t="s">
        <v>764</v>
      </c>
      <c r="D527" s="42"/>
    </row>
    <row r="528" spans="1:4" x14ac:dyDescent="0.2">
      <c r="A528" s="60"/>
      <c r="B528" s="52"/>
      <c r="C528" s="42" t="s">
        <v>765</v>
      </c>
      <c r="D528" s="42"/>
    </row>
    <row r="529" spans="1:4" x14ac:dyDescent="0.2">
      <c r="A529" s="60"/>
      <c r="B529" s="52"/>
      <c r="C529" s="42" t="s">
        <v>748</v>
      </c>
      <c r="D529" s="42"/>
    </row>
    <row r="530" spans="1:4" x14ac:dyDescent="0.2">
      <c r="A530" s="102"/>
      <c r="B530" s="52"/>
      <c r="C530" s="42" t="s">
        <v>766</v>
      </c>
      <c r="D530" s="42"/>
    </row>
    <row r="531" spans="1:4" ht="15" x14ac:dyDescent="0.25">
      <c r="A531" s="60"/>
      <c r="B531" s="52"/>
      <c r="C531" s="42" t="s">
        <v>767</v>
      </c>
      <c r="D531" s="42" t="s">
        <v>768</v>
      </c>
    </row>
    <row r="532" spans="1:4" ht="15" x14ac:dyDescent="0.25">
      <c r="A532" s="60"/>
      <c r="B532" s="52"/>
      <c r="C532" s="42" t="s">
        <v>769</v>
      </c>
      <c r="D532" s="42" t="s">
        <v>768</v>
      </c>
    </row>
    <row r="533" spans="1:4" ht="15" x14ac:dyDescent="0.25">
      <c r="A533" s="60"/>
      <c r="B533" s="52"/>
      <c r="C533" s="42" t="s">
        <v>770</v>
      </c>
      <c r="D533" s="42" t="s">
        <v>768</v>
      </c>
    </row>
    <row r="534" spans="1:4" x14ac:dyDescent="0.2">
      <c r="A534" s="60"/>
      <c r="B534" s="52"/>
      <c r="C534" s="42" t="s">
        <v>771</v>
      </c>
      <c r="D534" s="42"/>
    </row>
    <row r="535" spans="1:4" x14ac:dyDescent="0.2">
      <c r="A535" s="60"/>
      <c r="B535" s="52"/>
      <c r="C535" s="42" t="s">
        <v>772</v>
      </c>
      <c r="D535" s="42"/>
    </row>
    <row r="536" spans="1:4" x14ac:dyDescent="0.2">
      <c r="A536" s="60"/>
      <c r="B536" s="52"/>
      <c r="C536" s="42" t="s">
        <v>36</v>
      </c>
      <c r="D536" s="42"/>
    </row>
    <row r="537" spans="1:4" x14ac:dyDescent="0.2">
      <c r="A537" s="60"/>
      <c r="B537" s="52"/>
      <c r="C537" s="42" t="s">
        <v>773</v>
      </c>
      <c r="D537" s="42"/>
    </row>
    <row r="538" spans="1:4" x14ac:dyDescent="0.2">
      <c r="A538" s="60"/>
      <c r="B538" s="52"/>
      <c r="C538" s="42" t="s">
        <v>774</v>
      </c>
      <c r="D538" s="42"/>
    </row>
    <row r="539" spans="1:4" x14ac:dyDescent="0.2">
      <c r="A539" s="60"/>
      <c r="B539" s="52"/>
      <c r="C539" s="42" t="s">
        <v>775</v>
      </c>
      <c r="D539" s="42"/>
    </row>
    <row r="540" spans="1:4" x14ac:dyDescent="0.2">
      <c r="A540" s="60"/>
      <c r="B540" s="52"/>
      <c r="C540" s="42" t="s">
        <v>776</v>
      </c>
      <c r="D540" s="42"/>
    </row>
    <row r="541" spans="1:4" x14ac:dyDescent="0.2">
      <c r="A541" s="60"/>
      <c r="B541" s="52"/>
      <c r="C541" s="42" t="s">
        <v>777</v>
      </c>
      <c r="D541" s="42"/>
    </row>
    <row r="542" spans="1:4" x14ac:dyDescent="0.2">
      <c r="A542" s="60"/>
      <c r="B542" s="52"/>
      <c r="C542" s="42" t="s">
        <v>485</v>
      </c>
      <c r="D542" s="42"/>
    </row>
    <row r="543" spans="1:4" x14ac:dyDescent="0.2">
      <c r="A543" s="60"/>
      <c r="B543" s="52"/>
      <c r="C543" s="42" t="s">
        <v>314</v>
      </c>
      <c r="D543" s="43"/>
    </row>
    <row r="544" spans="1:4" x14ac:dyDescent="0.2">
      <c r="A544" s="63"/>
      <c r="B544" s="44" t="s">
        <v>165</v>
      </c>
      <c r="C544" s="40" t="s">
        <v>338</v>
      </c>
      <c r="D544" s="40"/>
    </row>
    <row r="545" spans="1:4" x14ac:dyDescent="0.2">
      <c r="A545" s="64"/>
      <c r="B545" s="88"/>
      <c r="C545" s="40" t="s">
        <v>339</v>
      </c>
      <c r="D545" s="40"/>
    </row>
    <row r="546" spans="1:4" x14ac:dyDescent="0.2">
      <c r="A546" s="60"/>
      <c r="B546" s="51" t="s">
        <v>166</v>
      </c>
      <c r="C546" s="42" t="s">
        <v>778</v>
      </c>
      <c r="D546" s="42"/>
    </row>
    <row r="547" spans="1:4" x14ac:dyDescent="0.2">
      <c r="A547" s="60"/>
      <c r="B547" s="52"/>
      <c r="C547" s="42" t="s">
        <v>779</v>
      </c>
      <c r="D547" s="42"/>
    </row>
    <row r="548" spans="1:4" x14ac:dyDescent="0.2">
      <c r="A548" s="60"/>
      <c r="B548" s="52"/>
      <c r="C548" s="42" t="s">
        <v>780</v>
      </c>
      <c r="D548" s="42"/>
    </row>
    <row r="549" spans="1:4" x14ac:dyDescent="0.2">
      <c r="A549" s="60"/>
      <c r="B549" s="52"/>
      <c r="C549" s="42" t="s">
        <v>781</v>
      </c>
      <c r="D549" s="42"/>
    </row>
    <row r="550" spans="1:4" x14ac:dyDescent="0.2">
      <c r="A550" s="60"/>
      <c r="B550" s="52"/>
      <c r="C550" s="42" t="s">
        <v>782</v>
      </c>
      <c r="D550" s="42"/>
    </row>
    <row r="551" spans="1:4" x14ac:dyDescent="0.2">
      <c r="A551" s="63"/>
      <c r="B551" s="44" t="s">
        <v>168</v>
      </c>
      <c r="C551" s="40" t="s">
        <v>338</v>
      </c>
      <c r="D551" s="40"/>
    </row>
    <row r="552" spans="1:4" x14ac:dyDescent="0.2">
      <c r="A552" s="64"/>
      <c r="B552" s="88"/>
      <c r="C552" s="40" t="s">
        <v>339</v>
      </c>
      <c r="D552" s="40"/>
    </row>
    <row r="553" spans="1:4" x14ac:dyDescent="0.2">
      <c r="A553" s="48"/>
      <c r="B553" s="51" t="s">
        <v>783</v>
      </c>
      <c r="C553" s="42" t="s">
        <v>784</v>
      </c>
      <c r="D553" s="42"/>
    </row>
    <row r="554" spans="1:4" x14ac:dyDescent="0.2">
      <c r="A554" s="49"/>
      <c r="B554" s="49"/>
      <c r="C554" s="42" t="s">
        <v>785</v>
      </c>
      <c r="D554" s="42"/>
    </row>
    <row r="555" spans="1:4" x14ac:dyDescent="0.2">
      <c r="A555" s="49"/>
      <c r="B555" s="49"/>
      <c r="C555" s="42" t="s">
        <v>786</v>
      </c>
      <c r="D555" s="42"/>
    </row>
    <row r="556" spans="1:4" x14ac:dyDescent="0.2">
      <c r="A556" s="49"/>
      <c r="B556" s="49"/>
      <c r="C556" s="42" t="s">
        <v>787</v>
      </c>
      <c r="D556" s="42"/>
    </row>
    <row r="557" spans="1:4" x14ac:dyDescent="0.2">
      <c r="A557" s="49"/>
      <c r="B557" s="49"/>
      <c r="C557" s="42" t="s">
        <v>788</v>
      </c>
      <c r="D557" s="42"/>
    </row>
    <row r="558" spans="1:4" x14ac:dyDescent="0.2">
      <c r="A558" s="49"/>
      <c r="B558" s="49"/>
      <c r="C558" s="42" t="s">
        <v>789</v>
      </c>
      <c r="D558" s="42"/>
    </row>
    <row r="559" spans="1:4" x14ac:dyDescent="0.2">
      <c r="A559" s="49"/>
      <c r="B559" s="49"/>
      <c r="C559" s="42" t="s">
        <v>790</v>
      </c>
      <c r="D559" s="42"/>
    </row>
    <row r="560" spans="1:4" x14ac:dyDescent="0.2">
      <c r="A560" s="49"/>
      <c r="B560" s="49"/>
      <c r="C560" s="42" t="s">
        <v>791</v>
      </c>
      <c r="D560" s="42"/>
    </row>
    <row r="561" spans="1:4" x14ac:dyDescent="0.2">
      <c r="A561" s="49"/>
      <c r="B561" s="49"/>
      <c r="C561" s="42" t="s">
        <v>792</v>
      </c>
      <c r="D561" s="42"/>
    </row>
    <row r="562" spans="1:4" x14ac:dyDescent="0.2">
      <c r="A562" s="49"/>
      <c r="B562" s="49"/>
      <c r="C562" s="42" t="s">
        <v>793</v>
      </c>
      <c r="D562" s="42"/>
    </row>
    <row r="563" spans="1:4" x14ac:dyDescent="0.2">
      <c r="A563" s="49"/>
      <c r="B563" s="49"/>
      <c r="C563" s="42" t="s">
        <v>794</v>
      </c>
      <c r="D563" s="42"/>
    </row>
    <row r="564" spans="1:4" x14ac:dyDescent="0.2">
      <c r="A564" s="49"/>
      <c r="B564" s="49"/>
      <c r="C564" s="42" t="s">
        <v>795</v>
      </c>
      <c r="D564" s="42"/>
    </row>
    <row r="565" spans="1:4" x14ac:dyDescent="0.2">
      <c r="A565" s="49"/>
      <c r="B565" s="49"/>
      <c r="C565" s="42" t="s">
        <v>796</v>
      </c>
      <c r="D565" s="42"/>
    </row>
    <row r="566" spans="1:4" x14ac:dyDescent="0.2">
      <c r="A566" s="49"/>
      <c r="B566" s="49"/>
      <c r="C566" s="42" t="s">
        <v>797</v>
      </c>
      <c r="D566" s="42"/>
    </row>
    <row r="567" spans="1:4" x14ac:dyDescent="0.2">
      <c r="A567" s="49"/>
      <c r="B567" s="49"/>
      <c r="C567" s="42" t="s">
        <v>798</v>
      </c>
      <c r="D567" s="42"/>
    </row>
    <row r="568" spans="1:4" x14ac:dyDescent="0.2">
      <c r="A568" s="49"/>
      <c r="B568" s="49"/>
      <c r="C568" s="42" t="s">
        <v>799</v>
      </c>
      <c r="D568" s="42"/>
    </row>
    <row r="569" spans="1:4" x14ac:dyDescent="0.2">
      <c r="A569" s="49"/>
      <c r="B569" s="49"/>
      <c r="C569" s="42" t="s">
        <v>800</v>
      </c>
      <c r="D569" s="42"/>
    </row>
    <row r="570" spans="1:4" x14ac:dyDescent="0.2">
      <c r="A570" s="49"/>
      <c r="B570" s="49"/>
      <c r="C570" s="42" t="s">
        <v>801</v>
      </c>
      <c r="D570" s="42"/>
    </row>
    <row r="571" spans="1:4" x14ac:dyDescent="0.2">
      <c r="A571" s="49"/>
      <c r="B571" s="49"/>
      <c r="C571" s="42" t="s">
        <v>802</v>
      </c>
      <c r="D571" s="42"/>
    </row>
    <row r="572" spans="1:4" x14ac:dyDescent="0.2">
      <c r="A572" s="49"/>
      <c r="B572" s="49"/>
      <c r="C572" s="42" t="s">
        <v>803</v>
      </c>
      <c r="D572" s="42"/>
    </row>
    <row r="573" spans="1:4" x14ac:dyDescent="0.2">
      <c r="A573" s="49"/>
      <c r="B573" s="49"/>
      <c r="C573" s="42" t="s">
        <v>804</v>
      </c>
      <c r="D573" s="42"/>
    </row>
    <row r="574" spans="1:4" x14ac:dyDescent="0.2">
      <c r="A574" s="49"/>
      <c r="B574" s="49"/>
      <c r="C574" s="42" t="s">
        <v>805</v>
      </c>
      <c r="D574" s="42"/>
    </row>
    <row r="575" spans="1:4" x14ac:dyDescent="0.2">
      <c r="A575" s="49"/>
      <c r="B575" s="49"/>
      <c r="C575" s="42" t="s">
        <v>806</v>
      </c>
      <c r="D575" s="42"/>
    </row>
    <row r="576" spans="1:4" x14ac:dyDescent="0.2">
      <c r="A576" s="49"/>
      <c r="B576" s="49"/>
      <c r="C576" s="42" t="s">
        <v>807</v>
      </c>
      <c r="D576" s="42"/>
    </row>
    <row r="577" spans="1:5" x14ac:dyDescent="0.2">
      <c r="A577" s="49"/>
      <c r="B577" s="49"/>
      <c r="C577" s="42" t="s">
        <v>808</v>
      </c>
      <c r="D577" s="42"/>
    </row>
    <row r="578" spans="1:5" x14ac:dyDescent="0.2">
      <c r="A578" s="49"/>
      <c r="B578" s="49"/>
      <c r="C578" s="42" t="s">
        <v>809</v>
      </c>
      <c r="D578" s="42"/>
    </row>
    <row r="579" spans="1:5" x14ac:dyDescent="0.2">
      <c r="A579" s="49"/>
      <c r="B579" s="49"/>
      <c r="C579" s="42" t="s">
        <v>810</v>
      </c>
      <c r="D579" s="42"/>
    </row>
    <row r="580" spans="1:5" x14ac:dyDescent="0.2">
      <c r="A580" s="49"/>
      <c r="B580" s="49"/>
      <c r="C580" s="42" t="s">
        <v>811</v>
      </c>
      <c r="D580" s="42"/>
      <c r="E580" t="s">
        <v>214</v>
      </c>
    </row>
    <row r="581" spans="1:5" x14ac:dyDescent="0.2">
      <c r="A581" s="49"/>
      <c r="B581" s="49"/>
      <c r="C581" s="42" t="s">
        <v>812</v>
      </c>
      <c r="D581" s="42"/>
      <c r="E581" t="s">
        <v>214</v>
      </c>
    </row>
    <row r="582" spans="1:5" x14ac:dyDescent="0.2">
      <c r="A582" s="49"/>
      <c r="B582" s="49"/>
      <c r="C582" s="42" t="s">
        <v>813</v>
      </c>
      <c r="D582" s="42"/>
    </row>
    <row r="583" spans="1:5" x14ac:dyDescent="0.2">
      <c r="A583" s="49"/>
      <c r="B583" s="49"/>
      <c r="C583" s="42" t="s">
        <v>814</v>
      </c>
      <c r="D583" s="42"/>
    </row>
    <row r="584" spans="1:5" x14ac:dyDescent="0.2">
      <c r="A584" s="49"/>
      <c r="B584" s="49"/>
      <c r="C584" s="42" t="s">
        <v>815</v>
      </c>
      <c r="D584" s="42"/>
    </row>
    <row r="585" spans="1:5" x14ac:dyDescent="0.2">
      <c r="A585" s="49"/>
      <c r="B585" s="49"/>
      <c r="C585" s="42" t="s">
        <v>816</v>
      </c>
      <c r="D585" s="42"/>
    </row>
    <row r="586" spans="1:5" x14ac:dyDescent="0.2">
      <c r="A586" s="49"/>
      <c r="B586" s="49"/>
      <c r="C586" s="42" t="s">
        <v>817</v>
      </c>
      <c r="D586" s="42"/>
    </row>
    <row r="587" spans="1:5" x14ac:dyDescent="0.2">
      <c r="A587" s="49"/>
      <c r="B587" s="49"/>
      <c r="C587" s="42" t="s">
        <v>818</v>
      </c>
      <c r="D587" s="42"/>
    </row>
    <row r="588" spans="1:5" x14ac:dyDescent="0.2">
      <c r="A588" s="49"/>
      <c r="B588" s="49"/>
      <c r="C588" s="42" t="s">
        <v>819</v>
      </c>
      <c r="D588" s="42"/>
    </row>
    <row r="589" spans="1:5" x14ac:dyDescent="0.2">
      <c r="A589" s="49"/>
      <c r="B589" s="49"/>
      <c r="C589" s="42" t="s">
        <v>820</v>
      </c>
      <c r="D589" s="42"/>
    </row>
    <row r="590" spans="1:5" x14ac:dyDescent="0.2">
      <c r="A590" s="49"/>
      <c r="B590" s="49"/>
      <c r="C590" s="42" t="s">
        <v>821</v>
      </c>
      <c r="D590" s="42"/>
    </row>
    <row r="591" spans="1:5" x14ac:dyDescent="0.2">
      <c r="A591" s="50"/>
      <c r="B591" s="50"/>
      <c r="C591" s="42" t="s">
        <v>822</v>
      </c>
      <c r="D591" s="42"/>
    </row>
    <row r="592" spans="1:5" x14ac:dyDescent="0.2">
      <c r="A592" s="114"/>
      <c r="B592" s="118" t="s">
        <v>159</v>
      </c>
      <c r="C592" s="40" t="s">
        <v>823</v>
      </c>
      <c r="D592" s="40"/>
    </row>
    <row r="593" spans="1:4" x14ac:dyDescent="0.2">
      <c r="A593" s="114"/>
      <c r="B593" s="118"/>
      <c r="C593" s="40" t="s">
        <v>824</v>
      </c>
      <c r="D593" s="40"/>
    </row>
    <row r="594" spans="1:4" x14ac:dyDescent="0.2">
      <c r="A594" s="114"/>
      <c r="B594" s="118"/>
      <c r="C594" s="40" t="s">
        <v>314</v>
      </c>
      <c r="D594" s="40"/>
    </row>
    <row r="595" spans="1:4" x14ac:dyDescent="0.2">
      <c r="A595" s="51"/>
      <c r="B595" s="54" t="s">
        <v>87</v>
      </c>
      <c r="C595" s="42" t="s">
        <v>338</v>
      </c>
      <c r="D595" s="42"/>
    </row>
    <row r="596" spans="1:4" x14ac:dyDescent="0.2">
      <c r="A596" s="89"/>
      <c r="B596" s="91"/>
      <c r="C596" s="90" t="s">
        <v>339</v>
      </c>
      <c r="D596" s="42"/>
    </row>
    <row r="597" spans="1:4" x14ac:dyDescent="0.2">
      <c r="A597" s="113"/>
      <c r="B597" s="113" t="s">
        <v>114</v>
      </c>
      <c r="C597" s="40" t="s">
        <v>825</v>
      </c>
      <c r="D597" s="40"/>
    </row>
    <row r="598" spans="1:4" x14ac:dyDescent="0.2">
      <c r="A598" s="114"/>
      <c r="B598" s="114"/>
      <c r="C598" s="40" t="s">
        <v>826</v>
      </c>
      <c r="D598" s="40"/>
    </row>
    <row r="599" spans="1:4" x14ac:dyDescent="0.2">
      <c r="A599" s="114"/>
      <c r="B599" s="114"/>
      <c r="C599" s="40" t="s">
        <v>827</v>
      </c>
      <c r="D599" s="40"/>
    </row>
    <row r="600" spans="1:4" x14ac:dyDescent="0.2">
      <c r="A600" s="114"/>
      <c r="B600" s="114"/>
      <c r="C600" s="40" t="s">
        <v>828</v>
      </c>
      <c r="D600" s="40"/>
    </row>
    <row r="601" spans="1:4" x14ac:dyDescent="0.2">
      <c r="A601" s="114"/>
      <c r="B601" s="114"/>
      <c r="C601" s="40" t="s">
        <v>829</v>
      </c>
      <c r="D601" s="40"/>
    </row>
    <row r="602" spans="1:4" x14ac:dyDescent="0.2">
      <c r="A602" s="114"/>
      <c r="B602" s="114"/>
      <c r="C602" s="40" t="s">
        <v>830</v>
      </c>
      <c r="D602" s="40"/>
    </row>
    <row r="603" spans="1:4" x14ac:dyDescent="0.2">
      <c r="A603" s="114"/>
      <c r="B603" s="114"/>
      <c r="C603" s="40" t="s">
        <v>831</v>
      </c>
      <c r="D603" s="40"/>
    </row>
    <row r="604" spans="1:4" x14ac:dyDescent="0.2">
      <c r="A604" s="114"/>
      <c r="B604" s="114"/>
      <c r="C604" s="40" t="s">
        <v>832</v>
      </c>
      <c r="D604" s="40"/>
    </row>
    <row r="605" spans="1:4" x14ac:dyDescent="0.2">
      <c r="A605" s="114"/>
      <c r="B605" s="114"/>
      <c r="C605" s="40" t="s">
        <v>833</v>
      </c>
      <c r="D605" s="40"/>
    </row>
    <row r="606" spans="1:4" x14ac:dyDescent="0.2">
      <c r="A606" s="114"/>
      <c r="B606" s="114"/>
      <c r="C606" s="40" t="s">
        <v>834</v>
      </c>
      <c r="D606" s="40"/>
    </row>
    <row r="607" spans="1:4" x14ac:dyDescent="0.2">
      <c r="A607" s="114"/>
      <c r="B607" s="114"/>
      <c r="C607" s="40" t="s">
        <v>835</v>
      </c>
      <c r="D607" s="40"/>
    </row>
    <row r="608" spans="1:4" x14ac:dyDescent="0.2">
      <c r="A608" s="114"/>
      <c r="B608" s="114"/>
      <c r="C608" s="40" t="s">
        <v>836</v>
      </c>
      <c r="D608" s="40"/>
    </row>
    <row r="609" spans="1:5" x14ac:dyDescent="0.2">
      <c r="A609" s="114"/>
      <c r="B609" s="114"/>
      <c r="C609" s="40" t="s">
        <v>837</v>
      </c>
      <c r="D609" s="40"/>
    </row>
    <row r="610" spans="1:5" x14ac:dyDescent="0.2">
      <c r="A610" s="114"/>
      <c r="B610" s="114"/>
      <c r="C610" s="40" t="s">
        <v>838</v>
      </c>
      <c r="D610" s="40"/>
    </row>
    <row r="611" spans="1:5" x14ac:dyDescent="0.2">
      <c r="A611" s="114"/>
      <c r="B611" s="114"/>
      <c r="C611" s="40" t="s">
        <v>839</v>
      </c>
      <c r="D611" s="40"/>
    </row>
    <row r="612" spans="1:5" x14ac:dyDescent="0.2">
      <c r="A612" s="114"/>
      <c r="B612" s="114"/>
      <c r="C612" s="40" t="s">
        <v>840</v>
      </c>
      <c r="D612" s="40"/>
    </row>
    <row r="613" spans="1:5" x14ac:dyDescent="0.2">
      <c r="A613" s="114"/>
      <c r="B613" s="114"/>
      <c r="C613" s="40" t="s">
        <v>841</v>
      </c>
      <c r="D613" s="40"/>
    </row>
    <row r="614" spans="1:5" x14ac:dyDescent="0.2">
      <c r="A614" s="114"/>
      <c r="B614" s="114"/>
      <c r="C614" s="40" t="s">
        <v>842</v>
      </c>
      <c r="D614" s="40"/>
    </row>
    <row r="615" spans="1:5" x14ac:dyDescent="0.2">
      <c r="A615" s="114"/>
      <c r="B615" s="114"/>
      <c r="C615" s="40" t="s">
        <v>843</v>
      </c>
      <c r="D615" s="40"/>
    </row>
    <row r="616" spans="1:5" x14ac:dyDescent="0.2">
      <c r="A616" s="114"/>
      <c r="B616" s="114"/>
      <c r="C616" s="40" t="s">
        <v>844</v>
      </c>
      <c r="D616" s="40"/>
    </row>
    <row r="617" spans="1:5" x14ac:dyDescent="0.2">
      <c r="A617" s="114"/>
      <c r="B617" s="114"/>
      <c r="C617" s="40" t="s">
        <v>845</v>
      </c>
      <c r="D617" s="40"/>
    </row>
    <row r="618" spans="1:5" x14ac:dyDescent="0.2">
      <c r="A618" s="114"/>
      <c r="B618" s="114"/>
      <c r="C618" s="40" t="s">
        <v>846</v>
      </c>
      <c r="D618" s="40"/>
    </row>
    <row r="619" spans="1:5" x14ac:dyDescent="0.2">
      <c r="A619" s="114"/>
      <c r="B619" s="114"/>
      <c r="C619" s="40" t="s">
        <v>847</v>
      </c>
      <c r="D619" s="40"/>
    </row>
    <row r="620" spans="1:5" x14ac:dyDescent="0.2">
      <c r="A620" s="114"/>
      <c r="B620" s="114"/>
      <c r="C620" s="40" t="s">
        <v>569</v>
      </c>
      <c r="D620" s="40"/>
    </row>
    <row r="621" spans="1:5" x14ac:dyDescent="0.2">
      <c r="A621" s="114"/>
      <c r="B621" s="114"/>
      <c r="C621" s="40" t="s">
        <v>848</v>
      </c>
      <c r="D621" s="40"/>
      <c r="E621" t="s">
        <v>214</v>
      </c>
    </row>
    <row r="622" spans="1:5" x14ac:dyDescent="0.2">
      <c r="A622" s="51"/>
      <c r="B622" s="51" t="s">
        <v>177</v>
      </c>
      <c r="C622" s="42" t="s">
        <v>849</v>
      </c>
      <c r="D622" s="42"/>
    </row>
    <row r="623" spans="1:5" x14ac:dyDescent="0.2">
      <c r="A623" s="52"/>
      <c r="B623" s="52"/>
      <c r="C623" s="42" t="s">
        <v>850</v>
      </c>
      <c r="D623" s="42"/>
    </row>
    <row r="624" spans="1:5" x14ac:dyDescent="0.2">
      <c r="A624" s="52"/>
      <c r="B624" s="52"/>
      <c r="C624" s="42" t="s">
        <v>851</v>
      </c>
      <c r="D624" s="42"/>
    </row>
    <row r="625" spans="1:5" x14ac:dyDescent="0.2">
      <c r="A625" s="52"/>
      <c r="B625" s="52"/>
      <c r="C625" s="42" t="s">
        <v>852</v>
      </c>
      <c r="D625" s="42"/>
    </row>
    <row r="626" spans="1:5" x14ac:dyDescent="0.2">
      <c r="A626" s="52"/>
      <c r="B626" s="52"/>
      <c r="C626" s="42" t="s">
        <v>853</v>
      </c>
      <c r="D626" s="42"/>
      <c r="E626" t="s">
        <v>214</v>
      </c>
    </row>
    <row r="627" spans="1:5" x14ac:dyDescent="0.2">
      <c r="A627" s="52"/>
      <c r="B627" s="52"/>
      <c r="C627" s="42" t="s">
        <v>854</v>
      </c>
      <c r="D627" s="42"/>
    </row>
    <row r="628" spans="1:5" x14ac:dyDescent="0.2">
      <c r="A628" s="52"/>
      <c r="B628" s="52"/>
      <c r="C628" s="42" t="s">
        <v>855</v>
      </c>
      <c r="D628" s="42"/>
    </row>
    <row r="629" spans="1:5" x14ac:dyDescent="0.2">
      <c r="A629" s="52"/>
      <c r="B629" s="52"/>
      <c r="C629" s="42" t="s">
        <v>462</v>
      </c>
      <c r="D629" s="42"/>
    </row>
    <row r="630" spans="1:5" x14ac:dyDescent="0.2">
      <c r="A630" s="52"/>
      <c r="B630" s="52"/>
      <c r="C630" s="42" t="s">
        <v>856</v>
      </c>
      <c r="D630" s="42"/>
    </row>
    <row r="631" spans="1:5" x14ac:dyDescent="0.2">
      <c r="A631" s="52"/>
      <c r="B631" s="52"/>
      <c r="C631" s="42" t="s">
        <v>857</v>
      </c>
      <c r="D631" s="42"/>
    </row>
    <row r="632" spans="1:5" x14ac:dyDescent="0.2">
      <c r="A632" s="52"/>
      <c r="B632" s="52"/>
      <c r="C632" s="42" t="s">
        <v>858</v>
      </c>
      <c r="D632" s="42"/>
    </row>
    <row r="633" spans="1:5" x14ac:dyDescent="0.2">
      <c r="A633" s="53"/>
      <c r="B633" s="53"/>
      <c r="C633" s="42" t="s">
        <v>314</v>
      </c>
      <c r="D633" s="42"/>
    </row>
    <row r="634" spans="1:5" x14ac:dyDescent="0.2">
      <c r="A634" s="114"/>
      <c r="B634" s="118" t="s">
        <v>178</v>
      </c>
      <c r="C634" s="40" t="s">
        <v>859</v>
      </c>
      <c r="D634" s="40" t="s">
        <v>860</v>
      </c>
    </row>
    <row r="635" spans="1:5" x14ac:dyDescent="0.2">
      <c r="A635" s="114"/>
      <c r="B635" s="118"/>
      <c r="C635" s="40" t="s">
        <v>861</v>
      </c>
      <c r="D635" s="40" t="s">
        <v>862</v>
      </c>
    </row>
    <row r="636" spans="1:5" x14ac:dyDescent="0.2">
      <c r="A636" s="114"/>
      <c r="B636" s="118"/>
      <c r="C636" s="40" t="s">
        <v>863</v>
      </c>
      <c r="D636" s="40" t="s">
        <v>864</v>
      </c>
    </row>
    <row r="637" spans="1:5" x14ac:dyDescent="0.2">
      <c r="A637" s="114"/>
      <c r="B637" s="118"/>
      <c r="C637" s="40" t="s">
        <v>865</v>
      </c>
      <c r="D637" s="40" t="s">
        <v>866</v>
      </c>
    </row>
    <row r="638" spans="1:5" x14ac:dyDescent="0.2">
      <c r="A638" s="114"/>
      <c r="B638" s="118"/>
      <c r="C638" s="40" t="s">
        <v>867</v>
      </c>
      <c r="D638" s="40" t="s">
        <v>868</v>
      </c>
    </row>
    <row r="639" spans="1:5" x14ac:dyDescent="0.2">
      <c r="A639" s="114"/>
      <c r="B639" s="118"/>
      <c r="C639" s="40" t="s">
        <v>869</v>
      </c>
      <c r="D639" s="40" t="s">
        <v>870</v>
      </c>
    </row>
    <row r="640" spans="1:5" x14ac:dyDescent="0.2">
      <c r="A640" s="114"/>
      <c r="B640" s="118"/>
      <c r="C640" s="40" t="s">
        <v>871</v>
      </c>
      <c r="D640" s="40" t="s">
        <v>872</v>
      </c>
    </row>
    <row r="641" spans="1:4" x14ac:dyDescent="0.2">
      <c r="A641" s="114"/>
      <c r="B641" s="118"/>
      <c r="C641" s="40" t="s">
        <v>873</v>
      </c>
      <c r="D641" s="40" t="s">
        <v>873</v>
      </c>
    </row>
    <row r="642" spans="1:4" x14ac:dyDescent="0.2">
      <c r="A642" s="114"/>
      <c r="B642" s="118"/>
      <c r="C642" s="40" t="s">
        <v>314</v>
      </c>
      <c r="D642" s="40"/>
    </row>
    <row r="643" spans="1:4" x14ac:dyDescent="0.2">
      <c r="A643" s="115"/>
      <c r="B643" s="115" t="s">
        <v>874</v>
      </c>
      <c r="C643" s="42" t="s">
        <v>875</v>
      </c>
      <c r="D643" s="42" t="s">
        <v>876</v>
      </c>
    </row>
    <row r="644" spans="1:4" x14ac:dyDescent="0.2">
      <c r="A644" s="116"/>
      <c r="B644" s="116"/>
      <c r="C644" s="42" t="s">
        <v>877</v>
      </c>
      <c r="D644" s="42" t="s">
        <v>878</v>
      </c>
    </row>
    <row r="645" spans="1:4" x14ac:dyDescent="0.2">
      <c r="A645" s="116"/>
      <c r="B645" s="116"/>
      <c r="C645" s="42" t="s">
        <v>879</v>
      </c>
      <c r="D645" s="42" t="s">
        <v>880</v>
      </c>
    </row>
    <row r="646" spans="1:4" x14ac:dyDescent="0.2">
      <c r="A646" s="116"/>
      <c r="B646" s="116"/>
      <c r="C646" s="42" t="s">
        <v>881</v>
      </c>
      <c r="D646" s="42" t="s">
        <v>882</v>
      </c>
    </row>
    <row r="647" spans="1:4" x14ac:dyDescent="0.2">
      <c r="A647" s="116"/>
      <c r="B647" s="116"/>
      <c r="C647" s="42" t="s">
        <v>883</v>
      </c>
      <c r="D647" s="42"/>
    </row>
    <row r="648" spans="1:4" x14ac:dyDescent="0.2">
      <c r="A648" s="117"/>
      <c r="B648" s="117"/>
      <c r="C648" s="42" t="s">
        <v>314</v>
      </c>
      <c r="D648" s="42"/>
    </row>
    <row r="649" spans="1:4" x14ac:dyDescent="0.2">
      <c r="A649" s="114"/>
      <c r="B649" s="118" t="s">
        <v>103</v>
      </c>
      <c r="C649" s="40" t="s">
        <v>884</v>
      </c>
      <c r="D649" s="40"/>
    </row>
    <row r="650" spans="1:4" x14ac:dyDescent="0.2">
      <c r="A650" s="114"/>
      <c r="B650" s="118"/>
      <c r="C650" s="40" t="s">
        <v>885</v>
      </c>
      <c r="D650" s="40"/>
    </row>
    <row r="651" spans="1:4" x14ac:dyDescent="0.2">
      <c r="A651" s="114"/>
      <c r="B651" s="118"/>
      <c r="C651" s="40" t="s">
        <v>886</v>
      </c>
      <c r="D651" s="40"/>
    </row>
    <row r="652" spans="1:4" x14ac:dyDescent="0.2">
      <c r="A652" s="114"/>
      <c r="B652" s="118"/>
      <c r="C652" s="40" t="s">
        <v>887</v>
      </c>
      <c r="D652" s="40"/>
    </row>
    <row r="653" spans="1:4" x14ac:dyDescent="0.2">
      <c r="A653" s="114"/>
      <c r="B653" s="118"/>
      <c r="C653" s="40" t="s">
        <v>314</v>
      </c>
      <c r="D653" s="40"/>
    </row>
    <row r="654" spans="1:4" x14ac:dyDescent="0.2">
      <c r="A654" s="115"/>
      <c r="B654" s="115" t="s">
        <v>104</v>
      </c>
      <c r="C654" s="42" t="s">
        <v>888</v>
      </c>
      <c r="D654" s="42"/>
    </row>
    <row r="655" spans="1:4" x14ac:dyDescent="0.2">
      <c r="A655" s="116"/>
      <c r="B655" s="116"/>
      <c r="C655" s="42" t="s">
        <v>889</v>
      </c>
      <c r="D655" s="42"/>
    </row>
    <row r="656" spans="1:4" x14ac:dyDescent="0.2">
      <c r="A656" s="114"/>
      <c r="B656" s="118" t="s">
        <v>17</v>
      </c>
      <c r="C656" s="40" t="s">
        <v>15</v>
      </c>
      <c r="D656" s="40"/>
    </row>
    <row r="657" spans="1:6" x14ac:dyDescent="0.2">
      <c r="A657" s="114"/>
      <c r="B657" s="118"/>
      <c r="C657" s="40" t="s">
        <v>16</v>
      </c>
      <c r="D657" s="40"/>
    </row>
    <row r="658" spans="1:6" x14ac:dyDescent="0.2">
      <c r="A658" s="115"/>
      <c r="B658" s="115" t="s">
        <v>139</v>
      </c>
      <c r="C658" s="42" t="s">
        <v>890</v>
      </c>
      <c r="D658" s="42"/>
    </row>
    <row r="659" spans="1:6" x14ac:dyDescent="0.2">
      <c r="A659" s="116"/>
      <c r="B659" s="116"/>
      <c r="C659" s="42" t="s">
        <v>891</v>
      </c>
      <c r="D659" s="42"/>
    </row>
    <row r="660" spans="1:6" x14ac:dyDescent="0.2">
      <c r="A660" s="116"/>
      <c r="B660" s="116"/>
      <c r="C660" s="42" t="s">
        <v>892</v>
      </c>
      <c r="D660" s="42"/>
    </row>
    <row r="661" spans="1:6" x14ac:dyDescent="0.2">
      <c r="A661" s="116"/>
      <c r="B661" s="116"/>
      <c r="C661" s="42" t="s">
        <v>893</v>
      </c>
      <c r="D661" s="42"/>
    </row>
    <row r="662" spans="1:6" x14ac:dyDescent="0.2">
      <c r="A662" s="116"/>
      <c r="B662" s="116"/>
      <c r="C662" s="42" t="s">
        <v>894</v>
      </c>
      <c r="D662" s="42"/>
    </row>
    <row r="663" spans="1:6" x14ac:dyDescent="0.2">
      <c r="A663" s="116"/>
      <c r="B663" s="116"/>
      <c r="C663" s="42" t="s">
        <v>895</v>
      </c>
      <c r="D663" s="42"/>
    </row>
    <row r="664" spans="1:6" x14ac:dyDescent="0.2">
      <c r="A664" s="116"/>
      <c r="B664" s="116"/>
      <c r="C664" s="42" t="s">
        <v>314</v>
      </c>
      <c r="D664" s="42"/>
    </row>
    <row r="665" spans="1:6" x14ac:dyDescent="0.2">
      <c r="A665" s="117"/>
      <c r="B665" s="117"/>
      <c r="C665" s="42" t="s">
        <v>896</v>
      </c>
      <c r="D665" s="42"/>
    </row>
    <row r="666" spans="1:6" x14ac:dyDescent="0.2">
      <c r="A666" s="114"/>
      <c r="B666" s="118" t="s">
        <v>140</v>
      </c>
      <c r="C666" s="40" t="s">
        <v>897</v>
      </c>
      <c r="D666" s="40"/>
    </row>
    <row r="667" spans="1:6" x14ac:dyDescent="0.2">
      <c r="A667" s="114"/>
      <c r="B667" s="118"/>
      <c r="C667" s="40" t="s">
        <v>898</v>
      </c>
      <c r="D667" s="40"/>
      <c r="F667" s="7"/>
    </row>
    <row r="668" spans="1:6" x14ac:dyDescent="0.2">
      <c r="A668" s="115"/>
      <c r="B668" s="115" t="s">
        <v>85</v>
      </c>
      <c r="C668" s="42" t="s">
        <v>899</v>
      </c>
      <c r="D668" s="42"/>
    </row>
    <row r="669" spans="1:6" x14ac:dyDescent="0.2">
      <c r="A669" s="116"/>
      <c r="B669" s="116"/>
      <c r="C669" s="42" t="s">
        <v>900</v>
      </c>
      <c r="D669" s="42"/>
    </row>
    <row r="670" spans="1:6" x14ac:dyDescent="0.2">
      <c r="A670" s="116"/>
      <c r="B670" s="116"/>
      <c r="C670" s="42" t="s">
        <v>901</v>
      </c>
      <c r="D670" s="42"/>
    </row>
    <row r="671" spans="1:6" x14ac:dyDescent="0.2">
      <c r="A671" s="116"/>
      <c r="B671" s="116"/>
      <c r="C671" s="42" t="s">
        <v>902</v>
      </c>
      <c r="D671" s="42"/>
    </row>
    <row r="672" spans="1:6" x14ac:dyDescent="0.2">
      <c r="A672" s="116"/>
      <c r="B672" s="116"/>
      <c r="C672" s="42" t="s">
        <v>903</v>
      </c>
      <c r="D672" s="42"/>
    </row>
    <row r="673" spans="1:4" x14ac:dyDescent="0.2">
      <c r="A673" s="116"/>
      <c r="B673" s="116"/>
      <c r="C673" s="42" t="s">
        <v>904</v>
      </c>
      <c r="D673" s="42"/>
    </row>
    <row r="674" spans="1:4" x14ac:dyDescent="0.2">
      <c r="A674" s="116"/>
      <c r="B674" s="116"/>
      <c r="C674" s="42" t="s">
        <v>905</v>
      </c>
      <c r="D674" s="42"/>
    </row>
    <row r="675" spans="1:4" x14ac:dyDescent="0.2">
      <c r="A675" s="116"/>
      <c r="B675" s="116"/>
      <c r="C675" s="42" t="s">
        <v>906</v>
      </c>
      <c r="D675" s="42"/>
    </row>
    <row r="676" spans="1:4" x14ac:dyDescent="0.2">
      <c r="A676" s="116"/>
      <c r="B676" s="116"/>
      <c r="C676" s="42" t="s">
        <v>907</v>
      </c>
      <c r="D676" s="42"/>
    </row>
    <row r="677" spans="1:4" x14ac:dyDescent="0.2">
      <c r="A677" s="116"/>
      <c r="B677" s="116"/>
      <c r="C677" s="42" t="s">
        <v>908</v>
      </c>
      <c r="D677" s="42"/>
    </row>
    <row r="678" spans="1:4" x14ac:dyDescent="0.2">
      <c r="A678" s="116"/>
      <c r="B678" s="116"/>
      <c r="C678" s="42" t="s">
        <v>569</v>
      </c>
      <c r="D678" s="42"/>
    </row>
    <row r="679" spans="1:4" x14ac:dyDescent="0.2">
      <c r="A679" s="117"/>
      <c r="B679" s="117"/>
      <c r="C679" s="42" t="s">
        <v>896</v>
      </c>
      <c r="D679" s="42"/>
    </row>
    <row r="680" spans="1:4" x14ac:dyDescent="0.2">
      <c r="A680" s="119"/>
      <c r="B680" s="119" t="s">
        <v>143</v>
      </c>
      <c r="C680" s="40" t="s">
        <v>890</v>
      </c>
      <c r="D680" s="40"/>
    </row>
    <row r="681" spans="1:4" x14ac:dyDescent="0.2">
      <c r="A681" s="110"/>
      <c r="B681" s="110"/>
      <c r="C681" s="40" t="s">
        <v>891</v>
      </c>
      <c r="D681" s="40"/>
    </row>
    <row r="682" spans="1:4" x14ac:dyDescent="0.2">
      <c r="A682" s="110"/>
      <c r="B682" s="110"/>
      <c r="C682" s="40" t="s">
        <v>892</v>
      </c>
      <c r="D682" s="40"/>
    </row>
    <row r="683" spans="1:4" x14ac:dyDescent="0.2">
      <c r="A683" s="110"/>
      <c r="B683" s="110"/>
      <c r="C683" s="40" t="s">
        <v>893</v>
      </c>
      <c r="D683" s="40"/>
    </row>
    <row r="684" spans="1:4" x14ac:dyDescent="0.2">
      <c r="A684" s="110"/>
      <c r="B684" s="110"/>
      <c r="C684" s="40" t="s">
        <v>894</v>
      </c>
      <c r="D684" s="40"/>
    </row>
    <row r="685" spans="1:4" x14ac:dyDescent="0.2">
      <c r="A685" s="110"/>
      <c r="B685" s="110"/>
      <c r="C685" s="40" t="s">
        <v>895</v>
      </c>
      <c r="D685" s="40"/>
    </row>
    <row r="686" spans="1:4" x14ac:dyDescent="0.2">
      <c r="A686" s="110"/>
      <c r="B686" s="110"/>
      <c r="C686" s="40" t="s">
        <v>314</v>
      </c>
      <c r="D686" s="40"/>
    </row>
    <row r="687" spans="1:4" x14ac:dyDescent="0.2">
      <c r="A687" s="110"/>
      <c r="B687" s="110"/>
      <c r="C687" s="40" t="s">
        <v>896</v>
      </c>
      <c r="D687" s="40"/>
    </row>
    <row r="688" spans="1:4" x14ac:dyDescent="0.2">
      <c r="A688" s="115"/>
      <c r="B688" s="51" t="s">
        <v>909</v>
      </c>
      <c r="C688" s="42" t="s">
        <v>910</v>
      </c>
      <c r="D688" s="42"/>
    </row>
    <row r="689" spans="1:4" x14ac:dyDescent="0.2">
      <c r="A689" s="116"/>
      <c r="B689" s="53"/>
      <c r="C689" s="42" t="s">
        <v>911</v>
      </c>
      <c r="D689" s="42"/>
    </row>
    <row r="690" spans="1:4" x14ac:dyDescent="0.2">
      <c r="A690" s="119"/>
      <c r="B690" s="119" t="s">
        <v>142</v>
      </c>
      <c r="C690" s="40" t="s">
        <v>912</v>
      </c>
      <c r="D690" s="40"/>
    </row>
    <row r="691" spans="1:4" x14ac:dyDescent="0.2">
      <c r="A691" s="110"/>
      <c r="B691" s="110"/>
      <c r="C691" s="40" t="s">
        <v>913</v>
      </c>
      <c r="D691" s="40"/>
    </row>
    <row r="692" spans="1:4" x14ac:dyDescent="0.2">
      <c r="A692" s="115"/>
      <c r="B692" s="115" t="s">
        <v>134</v>
      </c>
      <c r="C692" s="42" t="s">
        <v>914</v>
      </c>
      <c r="D692" s="42"/>
    </row>
    <row r="693" spans="1:4" x14ac:dyDescent="0.2">
      <c r="A693" s="116"/>
      <c r="B693" s="116"/>
      <c r="C693" s="42" t="s">
        <v>745</v>
      </c>
      <c r="D693" s="42"/>
    </row>
    <row r="694" spans="1:4" x14ac:dyDescent="0.2">
      <c r="A694" s="116"/>
      <c r="B694" s="116"/>
      <c r="C694" s="42" t="s">
        <v>915</v>
      </c>
      <c r="D694" s="42"/>
    </row>
    <row r="695" spans="1:4" x14ac:dyDescent="0.2">
      <c r="A695" s="116"/>
      <c r="B695" s="116"/>
      <c r="C695" s="42" t="s">
        <v>916</v>
      </c>
      <c r="D695" s="42"/>
    </row>
    <row r="696" spans="1:4" x14ac:dyDescent="0.2">
      <c r="A696" s="116"/>
      <c r="B696" s="116"/>
      <c r="C696" s="42" t="s">
        <v>917</v>
      </c>
      <c r="D696" s="42"/>
    </row>
    <row r="697" spans="1:4" x14ac:dyDescent="0.2">
      <c r="A697" s="116"/>
      <c r="B697" s="116"/>
      <c r="C697" s="42" t="s">
        <v>83</v>
      </c>
      <c r="D697" s="42"/>
    </row>
    <row r="698" spans="1:4" x14ac:dyDescent="0.2">
      <c r="A698" s="116"/>
      <c r="B698" s="116"/>
      <c r="C698" s="42" t="s">
        <v>918</v>
      </c>
      <c r="D698" s="42"/>
    </row>
    <row r="699" spans="1:4" x14ac:dyDescent="0.2">
      <c r="A699" s="116"/>
      <c r="B699" s="116"/>
      <c r="C699" s="42" t="s">
        <v>919</v>
      </c>
      <c r="D699" s="42"/>
    </row>
    <row r="700" spans="1:4" x14ac:dyDescent="0.2">
      <c r="A700" s="116"/>
      <c r="B700" s="116"/>
      <c r="C700" s="42" t="s">
        <v>314</v>
      </c>
      <c r="D700" s="42"/>
    </row>
    <row r="701" spans="1:4" x14ac:dyDescent="0.2">
      <c r="A701" s="119"/>
      <c r="B701" s="119" t="s">
        <v>135</v>
      </c>
      <c r="C701" s="40" t="s">
        <v>436</v>
      </c>
      <c r="D701" s="40"/>
    </row>
    <row r="702" spans="1:4" x14ac:dyDescent="0.2">
      <c r="A702" s="110"/>
      <c r="B702" s="110"/>
      <c r="C702" s="40" t="s">
        <v>437</v>
      </c>
      <c r="D702" s="40"/>
    </row>
    <row r="703" spans="1:4" x14ac:dyDescent="0.2">
      <c r="A703" s="110"/>
      <c r="B703" s="110"/>
      <c r="C703" s="40" t="s">
        <v>438</v>
      </c>
      <c r="D703" s="40"/>
    </row>
    <row r="704" spans="1:4" x14ac:dyDescent="0.2">
      <c r="A704" s="110"/>
      <c r="B704" s="110"/>
      <c r="C704" s="40" t="s">
        <v>439</v>
      </c>
      <c r="D704" s="40"/>
    </row>
    <row r="705" spans="1:5" x14ac:dyDescent="0.2">
      <c r="A705" s="110"/>
      <c r="B705" s="110"/>
      <c r="C705" s="40" t="s">
        <v>440</v>
      </c>
      <c r="D705" s="40"/>
    </row>
    <row r="706" spans="1:5" x14ac:dyDescent="0.2">
      <c r="A706" s="110"/>
      <c r="B706" s="110"/>
      <c r="C706" s="40" t="s">
        <v>441</v>
      </c>
      <c r="D706" s="40"/>
    </row>
    <row r="707" spans="1:5" x14ac:dyDescent="0.2">
      <c r="A707" s="110"/>
      <c r="B707" s="110"/>
      <c r="C707" s="40" t="s">
        <v>443</v>
      </c>
      <c r="D707" s="40"/>
    </row>
    <row r="708" spans="1:5" x14ac:dyDescent="0.2">
      <c r="A708" s="110"/>
      <c r="B708" s="110"/>
      <c r="C708" s="40" t="s">
        <v>444</v>
      </c>
      <c r="D708" s="40"/>
    </row>
    <row r="709" spans="1:5" x14ac:dyDescent="0.2">
      <c r="A709" s="110"/>
      <c r="B709" s="110"/>
      <c r="C709" s="40" t="s">
        <v>445</v>
      </c>
      <c r="D709" s="40"/>
    </row>
    <row r="710" spans="1:5" x14ac:dyDescent="0.2">
      <c r="A710" s="110"/>
      <c r="B710" s="110"/>
      <c r="C710" s="40" t="s">
        <v>446</v>
      </c>
      <c r="D710" s="40"/>
    </row>
    <row r="711" spans="1:5" x14ac:dyDescent="0.2">
      <c r="A711" s="110"/>
      <c r="B711" s="110"/>
      <c r="C711" s="40" t="s">
        <v>447</v>
      </c>
      <c r="D711" s="40"/>
    </row>
    <row r="712" spans="1:5" x14ac:dyDescent="0.2">
      <c r="A712" s="110"/>
      <c r="B712" s="110"/>
      <c r="C712" s="40" t="s">
        <v>448</v>
      </c>
      <c r="D712" s="40"/>
    </row>
    <row r="713" spans="1:5" x14ac:dyDescent="0.2">
      <c r="A713" s="110"/>
      <c r="B713" s="110"/>
      <c r="C713" s="40" t="s">
        <v>449</v>
      </c>
      <c r="D713" s="40"/>
    </row>
    <row r="714" spans="1:5" x14ac:dyDescent="0.2">
      <c r="A714" s="110"/>
      <c r="B714" s="110"/>
      <c r="C714" s="40" t="s">
        <v>450</v>
      </c>
      <c r="D714" s="40"/>
    </row>
    <row r="715" spans="1:5" x14ac:dyDescent="0.2">
      <c r="A715" s="110"/>
      <c r="B715" s="110"/>
      <c r="C715" s="40" t="s">
        <v>451</v>
      </c>
      <c r="D715" s="40"/>
    </row>
    <row r="716" spans="1:5" x14ac:dyDescent="0.2">
      <c r="A716" s="110"/>
      <c r="B716" s="110"/>
      <c r="C716" s="40" t="s">
        <v>452</v>
      </c>
      <c r="D716" s="40" t="s">
        <v>453</v>
      </c>
      <c r="E716" t="s">
        <v>214</v>
      </c>
    </row>
    <row r="717" spans="1:5" x14ac:dyDescent="0.2">
      <c r="A717" s="110"/>
      <c r="B717" s="110"/>
      <c r="C717" s="40" t="s">
        <v>454</v>
      </c>
      <c r="D717" s="40"/>
    </row>
    <row r="718" spans="1:5" x14ac:dyDescent="0.2">
      <c r="A718" s="110"/>
      <c r="B718" s="110"/>
      <c r="C718" s="40" t="s">
        <v>455</v>
      </c>
      <c r="D718" s="40"/>
    </row>
    <row r="719" spans="1:5" x14ac:dyDescent="0.2">
      <c r="A719" s="110"/>
      <c r="B719" s="110"/>
      <c r="C719" s="40" t="s">
        <v>456</v>
      </c>
      <c r="D719" s="40"/>
    </row>
    <row r="720" spans="1:5" x14ac:dyDescent="0.2">
      <c r="A720" s="110"/>
      <c r="B720" s="110"/>
      <c r="C720" s="40" t="s">
        <v>457</v>
      </c>
      <c r="D720" s="40"/>
    </row>
    <row r="721" spans="1:4" x14ac:dyDescent="0.2">
      <c r="A721" s="110"/>
      <c r="B721" s="110"/>
      <c r="C721" s="40" t="s">
        <v>458</v>
      </c>
      <c r="D721" s="40"/>
    </row>
    <row r="722" spans="1:4" x14ac:dyDescent="0.2">
      <c r="A722" s="110"/>
      <c r="B722" s="110"/>
      <c r="C722" s="40" t="s">
        <v>459</v>
      </c>
      <c r="D722" s="40"/>
    </row>
    <row r="723" spans="1:4" x14ac:dyDescent="0.2">
      <c r="A723" s="110"/>
      <c r="B723" s="110"/>
      <c r="C723" s="40" t="s">
        <v>460</v>
      </c>
      <c r="D723" s="40"/>
    </row>
    <row r="724" spans="1:4" x14ac:dyDescent="0.2">
      <c r="A724" s="110"/>
      <c r="B724" s="110"/>
      <c r="C724" s="40" t="s">
        <v>461</v>
      </c>
      <c r="D724" s="40"/>
    </row>
    <row r="725" spans="1:4" x14ac:dyDescent="0.2">
      <c r="A725" s="110"/>
      <c r="B725" s="110"/>
      <c r="C725" s="40" t="s">
        <v>462</v>
      </c>
      <c r="D725" s="40"/>
    </row>
    <row r="726" spans="1:4" x14ac:dyDescent="0.2">
      <c r="A726" s="110"/>
      <c r="B726" s="110"/>
      <c r="C726" s="40" t="s">
        <v>463</v>
      </c>
      <c r="D726" s="40"/>
    </row>
    <row r="727" spans="1:4" x14ac:dyDescent="0.2">
      <c r="A727" s="110"/>
      <c r="B727" s="110"/>
      <c r="C727" s="40" t="s">
        <v>464</v>
      </c>
      <c r="D727" s="40"/>
    </row>
    <row r="728" spans="1:4" x14ac:dyDescent="0.2">
      <c r="A728" s="110"/>
      <c r="B728" s="110"/>
      <c r="C728" s="40" t="s">
        <v>465</v>
      </c>
      <c r="D728" s="40"/>
    </row>
    <row r="729" spans="1:4" x14ac:dyDescent="0.2">
      <c r="A729" s="110"/>
      <c r="B729" s="110"/>
      <c r="C729" s="40" t="s">
        <v>466</v>
      </c>
      <c r="D729" s="40"/>
    </row>
    <row r="730" spans="1:4" x14ac:dyDescent="0.2">
      <c r="A730" s="110"/>
      <c r="B730" s="110"/>
      <c r="C730" s="40" t="s">
        <v>467</v>
      </c>
      <c r="D730" s="40"/>
    </row>
    <row r="731" spans="1:4" x14ac:dyDescent="0.2">
      <c r="A731" s="110"/>
      <c r="B731" s="110"/>
      <c r="C731" s="40" t="s">
        <v>468</v>
      </c>
      <c r="D731" s="40"/>
    </row>
    <row r="732" spans="1:4" x14ac:dyDescent="0.2">
      <c r="A732" s="110"/>
      <c r="B732" s="110"/>
      <c r="C732" s="40" t="s">
        <v>469</v>
      </c>
      <c r="D732" s="40"/>
    </row>
    <row r="733" spans="1:4" x14ac:dyDescent="0.2">
      <c r="A733" s="110"/>
      <c r="B733" s="110"/>
      <c r="C733" s="40" t="s">
        <v>470</v>
      </c>
      <c r="D733" s="40"/>
    </row>
    <row r="734" spans="1:4" x14ac:dyDescent="0.2">
      <c r="A734" s="110"/>
      <c r="B734" s="110"/>
      <c r="C734" s="40" t="s">
        <v>471</v>
      </c>
      <c r="D734" s="40"/>
    </row>
    <row r="735" spans="1:4" x14ac:dyDescent="0.2">
      <c r="A735" s="110"/>
      <c r="B735" s="110"/>
      <c r="C735" s="40" t="s">
        <v>472</v>
      </c>
      <c r="D735" s="40"/>
    </row>
    <row r="736" spans="1:4" x14ac:dyDescent="0.2">
      <c r="A736" s="110"/>
      <c r="B736" s="110"/>
      <c r="C736" s="40" t="s">
        <v>24</v>
      </c>
      <c r="D736" s="40"/>
    </row>
    <row r="737" spans="1:4" x14ac:dyDescent="0.2">
      <c r="A737" s="110"/>
      <c r="B737" s="110"/>
      <c r="C737" s="40" t="s">
        <v>473</v>
      </c>
      <c r="D737" s="40"/>
    </row>
    <row r="738" spans="1:4" x14ac:dyDescent="0.2">
      <c r="A738" s="110"/>
      <c r="B738" s="110"/>
      <c r="C738" s="40" t="s">
        <v>474</v>
      </c>
      <c r="D738" s="40"/>
    </row>
    <row r="739" spans="1:4" x14ac:dyDescent="0.2">
      <c r="A739" s="110"/>
      <c r="B739" s="110"/>
      <c r="C739" s="40" t="s">
        <v>475</v>
      </c>
      <c r="D739" s="40"/>
    </row>
    <row r="740" spans="1:4" x14ac:dyDescent="0.2">
      <c r="A740" s="110"/>
      <c r="B740" s="110"/>
      <c r="C740" s="40" t="s">
        <v>476</v>
      </c>
      <c r="D740" s="40"/>
    </row>
    <row r="741" spans="1:4" x14ac:dyDescent="0.2">
      <c r="A741" s="110"/>
      <c r="B741" s="110"/>
      <c r="C741" s="40" t="s">
        <v>477</v>
      </c>
      <c r="D741" s="40"/>
    </row>
    <row r="742" spans="1:4" x14ac:dyDescent="0.2">
      <c r="A742" s="110"/>
      <c r="B742" s="110"/>
      <c r="C742" s="40" t="s">
        <v>478</v>
      </c>
      <c r="D742" s="40"/>
    </row>
    <row r="743" spans="1:4" x14ac:dyDescent="0.2">
      <c r="A743" s="110"/>
      <c r="B743" s="110"/>
      <c r="C743" s="40" t="s">
        <v>479</v>
      </c>
      <c r="D743" s="40"/>
    </row>
    <row r="744" spans="1:4" x14ac:dyDescent="0.2">
      <c r="A744" s="110"/>
      <c r="B744" s="110"/>
      <c r="C744" s="40" t="s">
        <v>480</v>
      </c>
      <c r="D744" s="40"/>
    </row>
    <row r="745" spans="1:4" x14ac:dyDescent="0.2">
      <c r="A745" s="110"/>
      <c r="B745" s="110"/>
      <c r="C745" s="40" t="s">
        <v>481</v>
      </c>
      <c r="D745" s="40"/>
    </row>
    <row r="746" spans="1:4" x14ac:dyDescent="0.2">
      <c r="A746" s="110"/>
      <c r="B746" s="110"/>
      <c r="C746" s="40" t="s">
        <v>482</v>
      </c>
      <c r="D746" s="40"/>
    </row>
    <row r="747" spans="1:4" x14ac:dyDescent="0.2">
      <c r="A747" s="110"/>
      <c r="B747" s="110"/>
      <c r="C747" s="40" t="s">
        <v>483</v>
      </c>
      <c r="D747" s="40"/>
    </row>
    <row r="748" spans="1:4" x14ac:dyDescent="0.2">
      <c r="A748" s="110"/>
      <c r="B748" s="110"/>
      <c r="C748" s="40" t="s">
        <v>484</v>
      </c>
      <c r="D748" s="40"/>
    </row>
    <row r="749" spans="1:4" x14ac:dyDescent="0.2">
      <c r="A749" s="110"/>
      <c r="B749" s="110"/>
      <c r="C749" s="40" t="s">
        <v>485</v>
      </c>
      <c r="D749" s="40"/>
    </row>
    <row r="750" spans="1:4" x14ac:dyDescent="0.2">
      <c r="A750" s="110"/>
      <c r="B750" s="110"/>
      <c r="C750" s="40" t="s">
        <v>204</v>
      </c>
      <c r="D750" s="40"/>
    </row>
    <row r="751" spans="1:4" x14ac:dyDescent="0.2">
      <c r="A751" s="110"/>
      <c r="B751" s="110"/>
      <c r="C751" s="40" t="s">
        <v>207</v>
      </c>
      <c r="D751" s="40"/>
    </row>
    <row r="752" spans="1:4" x14ac:dyDescent="0.2">
      <c r="A752" s="110"/>
      <c r="B752" s="110"/>
      <c r="C752" s="40" t="s">
        <v>208</v>
      </c>
      <c r="D752" s="40"/>
    </row>
    <row r="753" spans="1:4" x14ac:dyDescent="0.2">
      <c r="A753" s="110"/>
      <c r="B753" s="110"/>
      <c r="C753" s="40" t="s">
        <v>209</v>
      </c>
      <c r="D753" s="40"/>
    </row>
    <row r="754" spans="1:4" x14ac:dyDescent="0.2">
      <c r="A754" s="110"/>
      <c r="B754" s="110"/>
      <c r="C754" s="40" t="s">
        <v>210</v>
      </c>
      <c r="D754" s="40"/>
    </row>
    <row r="755" spans="1:4" x14ac:dyDescent="0.2">
      <c r="A755" s="110"/>
      <c r="B755" s="110"/>
      <c r="C755" s="40" t="s">
        <v>211</v>
      </c>
      <c r="D755" s="40"/>
    </row>
    <row r="756" spans="1:4" x14ac:dyDescent="0.2">
      <c r="A756" s="110"/>
      <c r="B756" s="110"/>
      <c r="C756" s="40" t="s">
        <v>212</v>
      </c>
      <c r="D756" s="40"/>
    </row>
    <row r="757" spans="1:4" x14ac:dyDescent="0.2">
      <c r="A757" s="110"/>
      <c r="B757" s="110"/>
      <c r="C757" s="40" t="s">
        <v>213</v>
      </c>
      <c r="D757" s="40"/>
    </row>
    <row r="758" spans="1:4" x14ac:dyDescent="0.2">
      <c r="A758" s="110"/>
      <c r="B758" s="110"/>
      <c r="C758" s="40" t="s">
        <v>215</v>
      </c>
      <c r="D758" s="40"/>
    </row>
    <row r="759" spans="1:4" x14ac:dyDescent="0.2">
      <c r="A759" s="110"/>
      <c r="B759" s="110"/>
      <c r="C759" s="40" t="s">
        <v>216</v>
      </c>
      <c r="D759" s="40"/>
    </row>
    <row r="760" spans="1:4" x14ac:dyDescent="0.2">
      <c r="A760" s="110"/>
      <c r="B760" s="110"/>
      <c r="C760" s="40" t="s">
        <v>217</v>
      </c>
      <c r="D760" s="40"/>
    </row>
    <row r="761" spans="1:4" x14ac:dyDescent="0.2">
      <c r="A761" s="110"/>
      <c r="B761" s="110"/>
      <c r="C761" s="40" t="s">
        <v>218</v>
      </c>
      <c r="D761" s="40"/>
    </row>
    <row r="762" spans="1:4" x14ac:dyDescent="0.2">
      <c r="A762" s="110"/>
      <c r="B762" s="110"/>
      <c r="C762" s="40" t="s">
        <v>219</v>
      </c>
      <c r="D762" s="40"/>
    </row>
    <row r="763" spans="1:4" x14ac:dyDescent="0.2">
      <c r="A763" s="110"/>
      <c r="B763" s="110"/>
      <c r="C763" s="40" t="s">
        <v>220</v>
      </c>
      <c r="D763" s="40"/>
    </row>
    <row r="764" spans="1:4" x14ac:dyDescent="0.2">
      <c r="A764" s="110"/>
      <c r="B764" s="110"/>
      <c r="C764" s="40" t="s">
        <v>221</v>
      </c>
      <c r="D764" s="40"/>
    </row>
    <row r="765" spans="1:4" x14ac:dyDescent="0.2">
      <c r="A765" s="110"/>
      <c r="B765" s="110"/>
      <c r="C765" s="40" t="s">
        <v>222</v>
      </c>
      <c r="D765" s="40"/>
    </row>
    <row r="766" spans="1:4" x14ac:dyDescent="0.2">
      <c r="A766" s="110"/>
      <c r="B766" s="110"/>
      <c r="C766" s="40" t="s">
        <v>223</v>
      </c>
      <c r="D766" s="40"/>
    </row>
    <row r="767" spans="1:4" x14ac:dyDescent="0.2">
      <c r="A767" s="110"/>
      <c r="B767" s="110"/>
      <c r="C767" s="40" t="s">
        <v>224</v>
      </c>
      <c r="D767" s="40"/>
    </row>
    <row r="768" spans="1:4" x14ac:dyDescent="0.2">
      <c r="A768" s="110"/>
      <c r="B768" s="110"/>
      <c r="C768" s="40" t="s">
        <v>225</v>
      </c>
      <c r="D768" s="40"/>
    </row>
    <row r="769" spans="1:5" x14ac:dyDescent="0.2">
      <c r="A769" s="110"/>
      <c r="B769" s="110"/>
      <c r="C769" s="40" t="s">
        <v>226</v>
      </c>
      <c r="D769" s="40"/>
    </row>
    <row r="770" spans="1:5" x14ac:dyDescent="0.2">
      <c r="A770" s="110"/>
      <c r="B770" s="110"/>
      <c r="C770" s="40" t="s">
        <v>227</v>
      </c>
      <c r="D770" s="40"/>
    </row>
    <row r="771" spans="1:5" x14ac:dyDescent="0.2">
      <c r="A771" s="110"/>
      <c r="B771" s="110"/>
      <c r="C771" s="40" t="s">
        <v>228</v>
      </c>
      <c r="D771" s="40"/>
    </row>
    <row r="772" spans="1:5" x14ac:dyDescent="0.2">
      <c r="A772" s="110"/>
      <c r="B772" s="110"/>
      <c r="C772" s="40" t="s">
        <v>229</v>
      </c>
      <c r="D772" s="40"/>
    </row>
    <row r="773" spans="1:5" x14ac:dyDescent="0.2">
      <c r="A773" s="110"/>
      <c r="B773" s="110"/>
      <c r="C773" s="40" t="s">
        <v>230</v>
      </c>
      <c r="D773" s="40"/>
    </row>
    <row r="774" spans="1:5" x14ac:dyDescent="0.2">
      <c r="A774" s="110"/>
      <c r="B774" s="110"/>
      <c r="C774" s="40" t="s">
        <v>231</v>
      </c>
      <c r="D774" s="40"/>
    </row>
    <row r="775" spans="1:5" x14ac:dyDescent="0.2">
      <c r="A775" s="110"/>
      <c r="B775" s="110"/>
      <c r="C775" s="40" t="s">
        <v>232</v>
      </c>
      <c r="D775" s="40"/>
    </row>
    <row r="776" spans="1:5" x14ac:dyDescent="0.2">
      <c r="A776" s="110"/>
      <c r="B776" s="110"/>
      <c r="C776" s="40" t="s">
        <v>233</v>
      </c>
      <c r="D776" s="40"/>
    </row>
    <row r="777" spans="1:5" x14ac:dyDescent="0.2">
      <c r="A777" s="110"/>
      <c r="B777" s="110"/>
      <c r="C777" s="40" t="s">
        <v>234</v>
      </c>
      <c r="D777" s="40"/>
    </row>
    <row r="778" spans="1:5" x14ac:dyDescent="0.2">
      <c r="A778" s="110"/>
      <c r="B778" s="110"/>
      <c r="C778" s="40" t="s">
        <v>235</v>
      </c>
      <c r="D778" s="40"/>
    </row>
    <row r="779" spans="1:5" x14ac:dyDescent="0.2">
      <c r="A779" s="110"/>
      <c r="B779" s="110"/>
      <c r="C779" s="40" t="s">
        <v>236</v>
      </c>
      <c r="D779" s="40"/>
    </row>
    <row r="780" spans="1:5" x14ac:dyDescent="0.2">
      <c r="A780" s="110"/>
      <c r="B780" s="110"/>
      <c r="C780" s="40" t="s">
        <v>237</v>
      </c>
      <c r="D780" s="40"/>
    </row>
    <row r="781" spans="1:5" x14ac:dyDescent="0.2">
      <c r="A781" s="110"/>
      <c r="B781" s="110"/>
      <c r="C781" s="40" t="s">
        <v>238</v>
      </c>
      <c r="D781" s="40"/>
    </row>
    <row r="782" spans="1:5" x14ac:dyDescent="0.2">
      <c r="A782" s="110"/>
      <c r="B782" s="110"/>
      <c r="C782" s="40" t="s">
        <v>239</v>
      </c>
      <c r="D782" s="40"/>
      <c r="E782" t="s">
        <v>214</v>
      </c>
    </row>
    <row r="783" spans="1:5" x14ac:dyDescent="0.2">
      <c r="A783" s="110"/>
      <c r="B783" s="110"/>
      <c r="C783" s="40" t="s">
        <v>240</v>
      </c>
      <c r="D783" s="40"/>
      <c r="E783" t="s">
        <v>214</v>
      </c>
    </row>
    <row r="784" spans="1:5" x14ac:dyDescent="0.2">
      <c r="A784" s="110"/>
      <c r="B784" s="110"/>
      <c r="C784" s="40" t="s">
        <v>243</v>
      </c>
      <c r="D784" s="40"/>
      <c r="E784" t="s">
        <v>214</v>
      </c>
    </row>
    <row r="785" spans="1:5" x14ac:dyDescent="0.2">
      <c r="A785" s="110"/>
      <c r="B785" s="110"/>
      <c r="C785" s="40" t="s">
        <v>244</v>
      </c>
      <c r="D785" s="40"/>
    </row>
    <row r="786" spans="1:5" x14ac:dyDescent="0.2">
      <c r="A786" s="110"/>
      <c r="B786" s="110"/>
      <c r="C786" s="40" t="s">
        <v>245</v>
      </c>
      <c r="D786" s="40"/>
    </row>
    <row r="787" spans="1:5" x14ac:dyDescent="0.2">
      <c r="A787" s="110"/>
      <c r="B787" s="110"/>
      <c r="C787" s="40" t="s">
        <v>246</v>
      </c>
      <c r="D787" s="40"/>
    </row>
    <row r="788" spans="1:5" x14ac:dyDescent="0.2">
      <c r="A788" s="110"/>
      <c r="B788" s="110"/>
      <c r="C788" s="40" t="s">
        <v>247</v>
      </c>
      <c r="D788" s="40"/>
    </row>
    <row r="789" spans="1:5" x14ac:dyDescent="0.2">
      <c r="A789" s="110"/>
      <c r="B789" s="110"/>
      <c r="C789" s="40" t="s">
        <v>248</v>
      </c>
      <c r="D789" s="40"/>
    </row>
    <row r="790" spans="1:5" x14ac:dyDescent="0.2">
      <c r="A790" s="110"/>
      <c r="B790" s="110"/>
      <c r="C790" s="40" t="s">
        <v>249</v>
      </c>
      <c r="D790" s="40"/>
      <c r="E790" t="s">
        <v>214</v>
      </c>
    </row>
    <row r="791" spans="1:5" x14ac:dyDescent="0.2">
      <c r="A791" s="110"/>
      <c r="B791" s="110"/>
      <c r="C791" s="40" t="s">
        <v>250</v>
      </c>
      <c r="D791" s="40"/>
    </row>
    <row r="792" spans="1:5" x14ac:dyDescent="0.2">
      <c r="A792" s="110"/>
      <c r="B792" s="110"/>
      <c r="C792" s="40" t="s">
        <v>251</v>
      </c>
      <c r="D792" s="40"/>
    </row>
    <row r="793" spans="1:5" x14ac:dyDescent="0.2">
      <c r="A793" s="110"/>
      <c r="B793" s="110"/>
      <c r="C793" s="40" t="s">
        <v>252</v>
      </c>
      <c r="D793" s="40"/>
    </row>
    <row r="794" spans="1:5" x14ac:dyDescent="0.2">
      <c r="A794" s="110"/>
      <c r="B794" s="110"/>
      <c r="C794" s="40" t="s">
        <v>920</v>
      </c>
      <c r="D794" s="40"/>
    </row>
    <row r="795" spans="1:5" x14ac:dyDescent="0.2">
      <c r="A795" s="110"/>
      <c r="B795" s="110"/>
      <c r="C795" s="40" t="s">
        <v>253</v>
      </c>
      <c r="D795" s="40"/>
    </row>
    <row r="796" spans="1:5" x14ac:dyDescent="0.2">
      <c r="A796" s="110"/>
      <c r="B796" s="110"/>
      <c r="C796" s="40" t="s">
        <v>254</v>
      </c>
      <c r="D796" s="40"/>
    </row>
    <row r="797" spans="1:5" x14ac:dyDescent="0.2">
      <c r="A797" s="110"/>
      <c r="B797" s="110"/>
      <c r="C797" s="40" t="s">
        <v>255</v>
      </c>
      <c r="D797" s="40"/>
    </row>
    <row r="798" spans="1:5" x14ac:dyDescent="0.2">
      <c r="A798" s="110"/>
      <c r="B798" s="110"/>
      <c r="C798" s="40" t="s">
        <v>256</v>
      </c>
      <c r="D798" s="40"/>
    </row>
    <row r="799" spans="1:5" x14ac:dyDescent="0.2">
      <c r="A799" s="110"/>
      <c r="B799" s="110"/>
      <c r="C799" s="40" t="s">
        <v>257</v>
      </c>
      <c r="D799" s="40"/>
    </row>
    <row r="800" spans="1:5" x14ac:dyDescent="0.2">
      <c r="A800" s="110"/>
      <c r="B800" s="110"/>
      <c r="C800" s="40" t="s">
        <v>258</v>
      </c>
      <c r="D800" s="40"/>
    </row>
    <row r="801" spans="1:5" x14ac:dyDescent="0.2">
      <c r="A801" s="110"/>
      <c r="B801" s="110"/>
      <c r="C801" s="40" t="s">
        <v>259</v>
      </c>
      <c r="D801" s="40"/>
    </row>
    <row r="802" spans="1:5" x14ac:dyDescent="0.2">
      <c r="A802" s="110"/>
      <c r="B802" s="110"/>
      <c r="C802" s="40" t="s">
        <v>260</v>
      </c>
      <c r="D802" s="40"/>
    </row>
    <row r="803" spans="1:5" x14ac:dyDescent="0.2">
      <c r="A803" s="110"/>
      <c r="B803" s="110"/>
      <c r="C803" s="40" t="s">
        <v>261</v>
      </c>
      <c r="D803" s="40"/>
    </row>
    <row r="804" spans="1:5" x14ac:dyDescent="0.2">
      <c r="A804" s="110"/>
      <c r="B804" s="110"/>
      <c r="C804" s="40" t="s">
        <v>262</v>
      </c>
      <c r="D804" s="40"/>
    </row>
    <row r="805" spans="1:5" x14ac:dyDescent="0.2">
      <c r="A805" s="110"/>
      <c r="B805" s="110"/>
      <c r="C805" s="40" t="s">
        <v>263</v>
      </c>
      <c r="D805" s="40"/>
    </row>
    <row r="806" spans="1:5" x14ac:dyDescent="0.2">
      <c r="A806" s="110"/>
      <c r="B806" s="110"/>
      <c r="C806" s="40" t="s">
        <v>264</v>
      </c>
      <c r="D806" s="40"/>
    </row>
    <row r="807" spans="1:5" x14ac:dyDescent="0.2">
      <c r="A807" s="110"/>
      <c r="B807" s="110"/>
      <c r="C807" s="40" t="s">
        <v>265</v>
      </c>
      <c r="D807" s="40"/>
    </row>
    <row r="808" spans="1:5" x14ac:dyDescent="0.2">
      <c r="A808" s="110"/>
      <c r="B808" s="110"/>
      <c r="C808" s="40" t="s">
        <v>267</v>
      </c>
      <c r="D808" s="40"/>
    </row>
    <row r="809" spans="1:5" x14ac:dyDescent="0.2">
      <c r="A809" s="110"/>
      <c r="B809" s="110"/>
      <c r="C809" s="40" t="s">
        <v>266</v>
      </c>
      <c r="D809" s="40"/>
      <c r="E809" t="s">
        <v>214</v>
      </c>
    </row>
    <row r="810" spans="1:5" x14ac:dyDescent="0.2">
      <c r="A810" s="110"/>
      <c r="B810" s="110"/>
      <c r="C810" s="40" t="s">
        <v>268</v>
      </c>
      <c r="D810" s="40"/>
    </row>
    <row r="811" spans="1:5" x14ac:dyDescent="0.2">
      <c r="A811" s="110"/>
      <c r="B811" s="110"/>
      <c r="C811" s="40" t="s">
        <v>269</v>
      </c>
      <c r="D811" s="40"/>
    </row>
    <row r="812" spans="1:5" x14ac:dyDescent="0.2">
      <c r="A812" s="110"/>
      <c r="B812" s="110"/>
      <c r="C812" s="40" t="s">
        <v>270</v>
      </c>
      <c r="D812" s="40"/>
    </row>
    <row r="813" spans="1:5" x14ac:dyDescent="0.2">
      <c r="A813" s="110"/>
      <c r="B813" s="110"/>
      <c r="C813" s="40" t="s">
        <v>271</v>
      </c>
      <c r="D813" s="40"/>
    </row>
    <row r="814" spans="1:5" x14ac:dyDescent="0.2">
      <c r="A814" s="110"/>
      <c r="B814" s="110"/>
      <c r="C814" s="40" t="s">
        <v>272</v>
      </c>
      <c r="D814" s="40"/>
    </row>
    <row r="815" spans="1:5" x14ac:dyDescent="0.2">
      <c r="A815" s="110"/>
      <c r="B815" s="110"/>
      <c r="C815" s="40" t="s">
        <v>273</v>
      </c>
      <c r="D815" s="40"/>
    </row>
    <row r="816" spans="1:5" x14ac:dyDescent="0.2">
      <c r="A816" s="110"/>
      <c r="B816" s="110"/>
      <c r="C816" s="40" t="s">
        <v>274</v>
      </c>
      <c r="D816" s="40"/>
    </row>
    <row r="817" spans="1:4" x14ac:dyDescent="0.2">
      <c r="A817" s="110"/>
      <c r="B817" s="110"/>
      <c r="C817" s="40" t="s">
        <v>275</v>
      </c>
      <c r="D817" s="40"/>
    </row>
    <row r="818" spans="1:4" x14ac:dyDescent="0.2">
      <c r="A818" s="110"/>
      <c r="B818" s="110"/>
      <c r="C818" s="40" t="s">
        <v>276</v>
      </c>
      <c r="D818" s="40"/>
    </row>
    <row r="819" spans="1:4" x14ac:dyDescent="0.2">
      <c r="A819" s="110"/>
      <c r="B819" s="110"/>
      <c r="C819" s="40" t="s">
        <v>277</v>
      </c>
      <c r="D819" s="40"/>
    </row>
    <row r="820" spans="1:4" x14ac:dyDescent="0.2">
      <c r="A820" s="110"/>
      <c r="B820" s="110"/>
      <c r="C820" s="40" t="s">
        <v>278</v>
      </c>
      <c r="D820" s="40"/>
    </row>
    <row r="821" spans="1:4" x14ac:dyDescent="0.2">
      <c r="A821" s="110"/>
      <c r="B821" s="110"/>
      <c r="C821" s="40" t="s">
        <v>279</v>
      </c>
      <c r="D821" s="40"/>
    </row>
    <row r="822" spans="1:4" x14ac:dyDescent="0.2">
      <c r="A822" s="110"/>
      <c r="B822" s="110"/>
      <c r="C822" s="40" t="s">
        <v>280</v>
      </c>
      <c r="D822" s="40"/>
    </row>
    <row r="823" spans="1:4" x14ac:dyDescent="0.2">
      <c r="A823" s="110"/>
      <c r="B823" s="110"/>
      <c r="C823" s="40" t="s">
        <v>281</v>
      </c>
      <c r="D823" s="40"/>
    </row>
    <row r="824" spans="1:4" x14ac:dyDescent="0.2">
      <c r="A824" s="110"/>
      <c r="B824" s="110"/>
      <c r="C824" s="40" t="s">
        <v>282</v>
      </c>
      <c r="D824" s="40"/>
    </row>
    <row r="825" spans="1:4" x14ac:dyDescent="0.2">
      <c r="A825" s="110"/>
      <c r="B825" s="110"/>
      <c r="C825" s="40" t="s">
        <v>283</v>
      </c>
      <c r="D825" s="40"/>
    </row>
    <row r="826" spans="1:4" x14ac:dyDescent="0.2">
      <c r="A826" s="110"/>
      <c r="B826" s="110"/>
      <c r="C826" s="40" t="s">
        <v>284</v>
      </c>
      <c r="D826" s="40"/>
    </row>
    <row r="827" spans="1:4" x14ac:dyDescent="0.2">
      <c r="A827" s="110"/>
      <c r="B827" s="110"/>
      <c r="C827" s="40" t="s">
        <v>285</v>
      </c>
      <c r="D827" s="40"/>
    </row>
    <row r="828" spans="1:4" x14ac:dyDescent="0.2">
      <c r="A828" s="110"/>
      <c r="B828" s="110"/>
      <c r="C828" s="40" t="s">
        <v>286</v>
      </c>
      <c r="D828" s="40"/>
    </row>
    <row r="829" spans="1:4" x14ac:dyDescent="0.2">
      <c r="A829" s="110"/>
      <c r="B829" s="110"/>
      <c r="C829" s="40" t="s">
        <v>287</v>
      </c>
      <c r="D829" s="40"/>
    </row>
    <row r="830" spans="1:4" x14ac:dyDescent="0.2">
      <c r="A830" s="110"/>
      <c r="B830" s="110"/>
      <c r="C830" s="40" t="s">
        <v>288</v>
      </c>
      <c r="D830" s="40"/>
    </row>
    <row r="831" spans="1:4" x14ac:dyDescent="0.2">
      <c r="A831" s="110"/>
      <c r="B831" s="110"/>
      <c r="C831" s="40" t="s">
        <v>921</v>
      </c>
      <c r="D831" s="120" t="s">
        <v>922</v>
      </c>
    </row>
    <row r="832" spans="1:4" x14ac:dyDescent="0.2">
      <c r="A832" s="110"/>
      <c r="B832" s="110"/>
      <c r="C832" s="40" t="s">
        <v>923</v>
      </c>
      <c r="D832" s="120" t="s">
        <v>300</v>
      </c>
    </row>
    <row r="833" spans="1:4" x14ac:dyDescent="0.2">
      <c r="A833" s="110"/>
      <c r="B833" s="110"/>
      <c r="C833" s="40" t="s">
        <v>924</v>
      </c>
      <c r="D833" s="120" t="s">
        <v>300</v>
      </c>
    </row>
    <row r="834" spans="1:4" ht="15" x14ac:dyDescent="0.25">
      <c r="A834" s="110"/>
      <c r="B834" s="110"/>
      <c r="C834" s="40" t="s">
        <v>925</v>
      </c>
      <c r="D834" s="94"/>
    </row>
    <row r="835" spans="1:4" x14ac:dyDescent="0.2">
      <c r="A835" s="110"/>
      <c r="B835" s="110"/>
      <c r="C835" s="40" t="s">
        <v>296</v>
      </c>
      <c r="D835" s="40"/>
    </row>
    <row r="836" spans="1:4" x14ac:dyDescent="0.2">
      <c r="A836" s="110"/>
      <c r="B836" s="110"/>
      <c r="C836" s="40" t="s">
        <v>291</v>
      </c>
      <c r="D836" s="40"/>
    </row>
    <row r="837" spans="1:4" x14ac:dyDescent="0.2">
      <c r="A837" s="110"/>
      <c r="B837" s="110"/>
      <c r="C837" s="40" t="s">
        <v>292</v>
      </c>
      <c r="D837" s="40"/>
    </row>
    <row r="838" spans="1:4" x14ac:dyDescent="0.2">
      <c r="A838" s="110"/>
      <c r="B838" s="110"/>
      <c r="C838" s="40" t="s">
        <v>289</v>
      </c>
      <c r="D838" s="40"/>
    </row>
    <row r="839" spans="1:4" x14ac:dyDescent="0.2">
      <c r="A839" s="110"/>
      <c r="B839" s="110"/>
      <c r="C839" s="40" t="s">
        <v>293</v>
      </c>
      <c r="D839" s="40"/>
    </row>
    <row r="840" spans="1:4" x14ac:dyDescent="0.2">
      <c r="A840" s="110"/>
      <c r="B840" s="110"/>
      <c r="C840" s="40" t="s">
        <v>290</v>
      </c>
      <c r="D840" s="40"/>
    </row>
    <row r="841" spans="1:4" x14ac:dyDescent="0.2">
      <c r="A841" s="110"/>
      <c r="B841" s="110"/>
      <c r="C841" s="40" t="s">
        <v>294</v>
      </c>
      <c r="D841" s="40"/>
    </row>
    <row r="842" spans="1:4" x14ac:dyDescent="0.2">
      <c r="A842" s="110"/>
      <c r="B842" s="110"/>
      <c r="C842" s="40" t="s">
        <v>926</v>
      </c>
      <c r="D842" s="40"/>
    </row>
    <row r="843" spans="1:4" x14ac:dyDescent="0.2">
      <c r="A843" s="110"/>
      <c r="B843" s="110"/>
      <c r="C843" s="40" t="s">
        <v>927</v>
      </c>
      <c r="D843" s="40"/>
    </row>
    <row r="844" spans="1:4" x14ac:dyDescent="0.2">
      <c r="A844" s="110"/>
      <c r="B844" s="110"/>
      <c r="C844" s="40" t="s">
        <v>928</v>
      </c>
      <c r="D844" s="40"/>
    </row>
    <row r="845" spans="1:4" x14ac:dyDescent="0.2">
      <c r="A845" s="110"/>
      <c r="B845" s="110"/>
      <c r="C845" s="40" t="s">
        <v>929</v>
      </c>
      <c r="D845" s="40"/>
    </row>
    <row r="846" spans="1:4" x14ac:dyDescent="0.2">
      <c r="A846" s="110"/>
      <c r="B846" s="110"/>
      <c r="C846" s="40" t="s">
        <v>930</v>
      </c>
      <c r="D846" s="40"/>
    </row>
    <row r="847" spans="1:4" x14ac:dyDescent="0.2">
      <c r="A847" s="110"/>
      <c r="B847" s="110"/>
      <c r="C847" s="40" t="s">
        <v>931</v>
      </c>
      <c r="D847" s="40"/>
    </row>
    <row r="848" spans="1:4" x14ac:dyDescent="0.2">
      <c r="A848" s="110"/>
      <c r="B848" s="110"/>
      <c r="C848" s="40" t="s">
        <v>932</v>
      </c>
      <c r="D848" s="40"/>
    </row>
    <row r="849" spans="1:4" x14ac:dyDescent="0.2">
      <c r="A849" s="110"/>
      <c r="B849" s="110"/>
      <c r="C849" s="40" t="s">
        <v>933</v>
      </c>
      <c r="D849" s="40"/>
    </row>
    <row r="850" spans="1:4" x14ac:dyDescent="0.2">
      <c r="A850" s="110"/>
      <c r="B850" s="110"/>
      <c r="C850" s="40" t="s">
        <v>314</v>
      </c>
      <c r="D850" s="40"/>
    </row>
    <row r="851" spans="1:4" x14ac:dyDescent="0.2">
      <c r="A851" s="51" t="s">
        <v>147</v>
      </c>
      <c r="B851" s="51"/>
      <c r="C851" s="42" t="s">
        <v>338</v>
      </c>
      <c r="D851" s="42"/>
    </row>
    <row r="852" spans="1:4" x14ac:dyDescent="0.2">
      <c r="A852" s="52"/>
      <c r="B852" s="52"/>
      <c r="C852" s="42" t="s">
        <v>339</v>
      </c>
      <c r="D852" s="42"/>
    </row>
    <row r="853" spans="1:4" x14ac:dyDescent="0.2">
      <c r="A853" s="110" t="s">
        <v>19</v>
      </c>
      <c r="B853" s="110" t="s">
        <v>54</v>
      </c>
      <c r="C853" s="40" t="s">
        <v>934</v>
      </c>
      <c r="D853" s="40"/>
    </row>
    <row r="854" spans="1:4" x14ac:dyDescent="0.2">
      <c r="A854" s="110"/>
      <c r="B854" s="110"/>
      <c r="C854" s="40" t="s">
        <v>935</v>
      </c>
      <c r="D854" s="40"/>
    </row>
    <row r="855" spans="1:4" x14ac:dyDescent="0.2">
      <c r="A855" s="110"/>
      <c r="B855" s="110"/>
      <c r="C855" s="40" t="s">
        <v>936</v>
      </c>
      <c r="D855" s="40"/>
    </row>
    <row r="856" spans="1:4" x14ac:dyDescent="0.2">
      <c r="A856" s="110"/>
      <c r="B856" s="110"/>
      <c r="C856" s="40" t="s">
        <v>937</v>
      </c>
      <c r="D856" s="40"/>
    </row>
    <row r="857" spans="1:4" x14ac:dyDescent="0.2">
      <c r="A857" s="110"/>
      <c r="B857" s="110"/>
      <c r="C857" s="40" t="s">
        <v>938</v>
      </c>
      <c r="D857" s="40"/>
    </row>
    <row r="858" spans="1:4" x14ac:dyDescent="0.2">
      <c r="A858" s="110"/>
      <c r="B858" s="110"/>
      <c r="C858" s="40" t="s">
        <v>939</v>
      </c>
      <c r="D858" s="40"/>
    </row>
    <row r="859" spans="1:4" x14ac:dyDescent="0.2">
      <c r="A859" s="110"/>
      <c r="B859" s="110"/>
      <c r="C859" s="40" t="s">
        <v>940</v>
      </c>
      <c r="D859" s="40"/>
    </row>
    <row r="860" spans="1:4" x14ac:dyDescent="0.2">
      <c r="A860" s="110"/>
      <c r="B860" s="110"/>
      <c r="C860" s="40" t="s">
        <v>941</v>
      </c>
      <c r="D860" s="40"/>
    </row>
    <row r="861" spans="1:4" x14ac:dyDescent="0.2">
      <c r="A861" s="110"/>
      <c r="B861" s="110"/>
      <c r="C861" s="40" t="s">
        <v>942</v>
      </c>
      <c r="D861" s="40"/>
    </row>
    <row r="862" spans="1:4" x14ac:dyDescent="0.2">
      <c r="A862" s="51" t="s">
        <v>20</v>
      </c>
      <c r="B862" s="51" t="s">
        <v>54</v>
      </c>
      <c r="C862" s="42" t="s">
        <v>943</v>
      </c>
      <c r="D862" s="42"/>
    </row>
    <row r="863" spans="1:4" x14ac:dyDescent="0.2">
      <c r="A863" s="52"/>
      <c r="B863" s="52"/>
      <c r="C863" s="42" t="s">
        <v>944</v>
      </c>
      <c r="D863" s="42"/>
    </row>
    <row r="864" spans="1:4" x14ac:dyDescent="0.2">
      <c r="A864" s="52"/>
      <c r="B864" s="52"/>
      <c r="C864" s="42" t="s">
        <v>945</v>
      </c>
      <c r="D864" s="42"/>
    </row>
    <row r="865" spans="1:4" x14ac:dyDescent="0.2">
      <c r="A865" s="52"/>
      <c r="B865" s="52"/>
      <c r="C865" s="42" t="s">
        <v>946</v>
      </c>
      <c r="D865" s="42"/>
    </row>
    <row r="866" spans="1:4" x14ac:dyDescent="0.2">
      <c r="A866" s="52"/>
      <c r="B866" s="52"/>
      <c r="C866" s="42" t="s">
        <v>947</v>
      </c>
      <c r="D866" s="42"/>
    </row>
    <row r="867" spans="1:4" x14ac:dyDescent="0.2">
      <c r="A867" s="52"/>
      <c r="B867" s="52"/>
      <c r="C867" s="42" t="s">
        <v>948</v>
      </c>
      <c r="D867" s="42"/>
    </row>
    <row r="868" spans="1:4" x14ac:dyDescent="0.2">
      <c r="A868" s="52"/>
      <c r="B868" s="52"/>
      <c r="C868" s="42" t="s">
        <v>949</v>
      </c>
      <c r="D868" s="42"/>
    </row>
    <row r="869" spans="1:4" x14ac:dyDescent="0.2">
      <c r="A869" s="52"/>
      <c r="B869" s="52"/>
      <c r="C869" s="42" t="s">
        <v>950</v>
      </c>
      <c r="D869" s="42"/>
    </row>
    <row r="870" spans="1:4" x14ac:dyDescent="0.2">
      <c r="A870" s="110" t="s">
        <v>21</v>
      </c>
      <c r="B870" s="110" t="s">
        <v>54</v>
      </c>
      <c r="C870" s="40" t="s">
        <v>943</v>
      </c>
      <c r="D870" s="40"/>
    </row>
    <row r="871" spans="1:4" x14ac:dyDescent="0.2">
      <c r="A871" s="110"/>
      <c r="B871" s="110"/>
      <c r="C871" s="40" t="s">
        <v>945</v>
      </c>
      <c r="D871" s="40"/>
    </row>
    <row r="872" spans="1:4" x14ac:dyDescent="0.2">
      <c r="A872" s="110"/>
      <c r="B872" s="110"/>
      <c r="C872" s="40" t="s">
        <v>947</v>
      </c>
      <c r="D872" s="40"/>
    </row>
    <row r="873" spans="1:4" x14ac:dyDescent="0.2">
      <c r="A873" s="110"/>
      <c r="B873" s="110"/>
      <c r="C873" s="40" t="s">
        <v>314</v>
      </c>
      <c r="D873" s="40"/>
    </row>
    <row r="874" spans="1:4" x14ac:dyDescent="0.2">
      <c r="A874" s="51" t="s">
        <v>22</v>
      </c>
      <c r="B874" s="51" t="s">
        <v>54</v>
      </c>
      <c r="C874" s="42" t="s">
        <v>951</v>
      </c>
      <c r="D874" s="42"/>
    </row>
    <row r="875" spans="1:4" x14ac:dyDescent="0.2">
      <c r="A875" s="52"/>
      <c r="B875" s="52"/>
      <c r="C875" s="42" t="s">
        <v>754</v>
      </c>
      <c r="D875" s="42"/>
    </row>
    <row r="876" spans="1:4" x14ac:dyDescent="0.2">
      <c r="A876" s="52"/>
      <c r="B876" s="52"/>
      <c r="C876" s="42" t="s">
        <v>755</v>
      </c>
      <c r="D876" s="42"/>
    </row>
    <row r="877" spans="1:4" x14ac:dyDescent="0.2">
      <c r="A877" s="52"/>
      <c r="B877" s="52"/>
      <c r="C877" s="42" t="s">
        <v>756</v>
      </c>
      <c r="D877" s="42"/>
    </row>
    <row r="878" spans="1:4" x14ac:dyDescent="0.2">
      <c r="A878" s="52"/>
      <c r="B878" s="52"/>
      <c r="C878" s="42" t="s">
        <v>952</v>
      </c>
      <c r="D878" s="42"/>
    </row>
    <row r="879" spans="1:4" x14ac:dyDescent="0.2">
      <c r="A879" s="52"/>
      <c r="B879" s="52"/>
      <c r="C879" s="42" t="s">
        <v>953</v>
      </c>
      <c r="D879" s="42"/>
    </row>
    <row r="880" spans="1:4" x14ac:dyDescent="0.2">
      <c r="A880" s="52"/>
      <c r="B880" s="52"/>
      <c r="C880" s="42" t="s">
        <v>954</v>
      </c>
      <c r="D880" s="42"/>
    </row>
    <row r="881" spans="1:5" x14ac:dyDescent="0.2">
      <c r="A881" s="52"/>
      <c r="B881" s="52"/>
      <c r="C881" s="42" t="s">
        <v>955</v>
      </c>
      <c r="D881" s="42"/>
    </row>
    <row r="882" spans="1:5" x14ac:dyDescent="0.2">
      <c r="A882" s="52"/>
      <c r="B882" s="52"/>
      <c r="C882" s="42" t="s">
        <v>956</v>
      </c>
      <c r="D882" s="42" t="s">
        <v>956</v>
      </c>
      <c r="E882" t="s">
        <v>214</v>
      </c>
    </row>
    <row r="883" spans="1:5" x14ac:dyDescent="0.2">
      <c r="A883" s="53"/>
      <c r="B883" s="53"/>
      <c r="C883" s="42" t="s">
        <v>314</v>
      </c>
      <c r="D883" s="42"/>
    </row>
    <row r="884" spans="1:5" x14ac:dyDescent="0.2">
      <c r="A884" s="61" t="s">
        <v>23</v>
      </c>
      <c r="B884" s="61" t="s">
        <v>54</v>
      </c>
      <c r="C884" s="40" t="s">
        <v>917</v>
      </c>
      <c r="D884" s="40"/>
    </row>
    <row r="885" spans="1:5" x14ac:dyDescent="0.2">
      <c r="A885" s="62"/>
      <c r="B885" s="62"/>
      <c r="C885" s="40" t="s">
        <v>957</v>
      </c>
      <c r="D885" s="40"/>
    </row>
    <row r="886" spans="1:5" x14ac:dyDescent="0.2">
      <c r="A886" s="62"/>
      <c r="B886" s="62"/>
      <c r="C886" s="40" t="s">
        <v>958</v>
      </c>
      <c r="D886" s="40"/>
    </row>
    <row r="887" spans="1:5" x14ac:dyDescent="0.2">
      <c r="A887" s="62"/>
      <c r="B887" s="62"/>
      <c r="C887" s="40" t="s">
        <v>959</v>
      </c>
      <c r="D887" s="40"/>
    </row>
    <row r="888" spans="1:5" x14ac:dyDescent="0.2">
      <c r="A888" s="62"/>
      <c r="B888" s="62"/>
      <c r="C888" s="40" t="s">
        <v>960</v>
      </c>
      <c r="D888" s="40"/>
    </row>
    <row r="889" spans="1:5" x14ac:dyDescent="0.2">
      <c r="A889" s="62"/>
      <c r="B889" s="62"/>
      <c r="C889" s="40" t="s">
        <v>961</v>
      </c>
      <c r="D889" s="40" t="s">
        <v>962</v>
      </c>
    </row>
    <row r="890" spans="1:5" x14ac:dyDescent="0.2">
      <c r="A890" s="62"/>
      <c r="B890" s="62"/>
      <c r="C890" s="40" t="s">
        <v>963</v>
      </c>
      <c r="D890" s="40"/>
    </row>
    <row r="891" spans="1:5" x14ac:dyDescent="0.2">
      <c r="A891" s="51" t="s">
        <v>24</v>
      </c>
      <c r="B891" s="51" t="s">
        <v>54</v>
      </c>
      <c r="C891" s="42" t="s">
        <v>964</v>
      </c>
      <c r="D891" s="42"/>
    </row>
    <row r="892" spans="1:5" x14ac:dyDescent="0.2">
      <c r="A892" s="52"/>
      <c r="B892" s="52"/>
      <c r="C892" s="42" t="s">
        <v>965</v>
      </c>
      <c r="D892" s="42"/>
    </row>
    <row r="893" spans="1:5" x14ac:dyDescent="0.2">
      <c r="A893" s="52"/>
      <c r="B893" s="52"/>
      <c r="C893" s="42" t="s">
        <v>966</v>
      </c>
      <c r="D893" s="42"/>
    </row>
    <row r="894" spans="1:5" x14ac:dyDescent="0.2">
      <c r="A894" s="52"/>
      <c r="B894" s="52"/>
      <c r="C894" s="42" t="s">
        <v>967</v>
      </c>
      <c r="D894" s="42"/>
    </row>
    <row r="895" spans="1:5" x14ac:dyDescent="0.2">
      <c r="A895" s="52"/>
      <c r="B895" s="52"/>
      <c r="C895" s="42" t="s">
        <v>968</v>
      </c>
      <c r="D895" s="42"/>
    </row>
    <row r="896" spans="1:5" x14ac:dyDescent="0.2">
      <c r="A896" s="52"/>
      <c r="B896" s="52"/>
      <c r="C896" s="42" t="s">
        <v>314</v>
      </c>
      <c r="D896" s="42"/>
    </row>
    <row r="897" spans="1:4" x14ac:dyDescent="0.2">
      <c r="A897" s="61" t="s">
        <v>25</v>
      </c>
      <c r="B897" s="61" t="s">
        <v>54</v>
      </c>
      <c r="C897" s="40" t="s">
        <v>969</v>
      </c>
      <c r="D897" s="40"/>
    </row>
    <row r="898" spans="1:4" x14ac:dyDescent="0.2">
      <c r="A898" s="62"/>
      <c r="B898" s="62"/>
      <c r="C898" s="40" t="s">
        <v>970</v>
      </c>
      <c r="D898" s="40"/>
    </row>
    <row r="899" spans="1:4" x14ac:dyDescent="0.2">
      <c r="A899" s="62"/>
      <c r="B899" s="62"/>
      <c r="C899" s="40" t="s">
        <v>917</v>
      </c>
      <c r="D899" s="40"/>
    </row>
    <row r="900" spans="1:4" x14ac:dyDescent="0.2">
      <c r="A900" s="62"/>
      <c r="B900" s="62"/>
      <c r="C900" s="40" t="s">
        <v>314</v>
      </c>
      <c r="D900" s="40"/>
    </row>
    <row r="901" spans="1:4" x14ac:dyDescent="0.2">
      <c r="A901" s="51" t="s">
        <v>27</v>
      </c>
      <c r="B901" s="51" t="s">
        <v>54</v>
      </c>
      <c r="C901" s="42" t="s">
        <v>971</v>
      </c>
      <c r="D901" s="42"/>
    </row>
    <row r="902" spans="1:4" x14ac:dyDescent="0.2">
      <c r="A902" s="52"/>
      <c r="B902" s="52"/>
      <c r="C902" s="42" t="s">
        <v>972</v>
      </c>
      <c r="D902" s="42"/>
    </row>
    <row r="903" spans="1:4" x14ac:dyDescent="0.2">
      <c r="A903" s="52"/>
      <c r="B903" s="52"/>
      <c r="C903" s="42" t="s">
        <v>746</v>
      </c>
      <c r="D903" s="42"/>
    </row>
    <row r="904" spans="1:4" x14ac:dyDescent="0.2">
      <c r="A904" s="52"/>
      <c r="B904" s="52"/>
      <c r="C904" s="42" t="s">
        <v>973</v>
      </c>
      <c r="D904" s="42"/>
    </row>
    <row r="905" spans="1:4" x14ac:dyDescent="0.2">
      <c r="A905" s="52"/>
      <c r="B905" s="52"/>
      <c r="C905" s="42" t="s">
        <v>974</v>
      </c>
      <c r="D905" s="42"/>
    </row>
    <row r="906" spans="1:4" x14ac:dyDescent="0.2">
      <c r="A906" s="121" t="s">
        <v>29</v>
      </c>
      <c r="B906" s="121" t="s">
        <v>54</v>
      </c>
      <c r="C906" s="45" t="s">
        <v>975</v>
      </c>
      <c r="D906" s="45"/>
    </row>
    <row r="907" spans="1:4" x14ac:dyDescent="0.2">
      <c r="A907" s="110"/>
      <c r="B907" s="110"/>
      <c r="C907" s="45" t="s">
        <v>976</v>
      </c>
      <c r="D907" s="45"/>
    </row>
    <row r="908" spans="1:4" x14ac:dyDescent="0.2">
      <c r="A908" s="110"/>
      <c r="B908" s="110"/>
      <c r="C908" s="40" t="s">
        <v>977</v>
      </c>
      <c r="D908" s="40"/>
    </row>
    <row r="909" spans="1:4" x14ac:dyDescent="0.2">
      <c r="A909" s="110"/>
      <c r="B909" s="110"/>
      <c r="C909" s="40" t="s">
        <v>978</v>
      </c>
      <c r="D909" s="40"/>
    </row>
    <row r="910" spans="1:4" x14ac:dyDescent="0.2">
      <c r="A910" s="110"/>
      <c r="B910" s="110"/>
      <c r="C910" s="40" t="s">
        <v>979</v>
      </c>
      <c r="D910" s="40"/>
    </row>
    <row r="911" spans="1:4" x14ac:dyDescent="0.2">
      <c r="A911" s="110"/>
      <c r="B911" s="110"/>
      <c r="C911" s="40" t="s">
        <v>980</v>
      </c>
      <c r="D911" s="40"/>
    </row>
    <row r="912" spans="1:4" x14ac:dyDescent="0.2">
      <c r="A912" s="122" t="s">
        <v>30</v>
      </c>
      <c r="B912" s="122" t="s">
        <v>54</v>
      </c>
      <c r="C912" s="47" t="s">
        <v>943</v>
      </c>
      <c r="D912" s="47"/>
    </row>
    <row r="913" spans="1:5" x14ac:dyDescent="0.2">
      <c r="A913" s="116"/>
      <c r="B913" s="116"/>
      <c r="C913" s="47" t="s">
        <v>944</v>
      </c>
      <c r="D913" s="47"/>
    </row>
    <row r="914" spans="1:5" x14ac:dyDescent="0.2">
      <c r="A914" s="116"/>
      <c r="B914" s="116"/>
      <c r="C914" s="42" t="s">
        <v>945</v>
      </c>
      <c r="D914" s="42"/>
    </row>
    <row r="915" spans="1:5" x14ac:dyDescent="0.2">
      <c r="A915" s="116"/>
      <c r="B915" s="116"/>
      <c r="C915" s="42" t="s">
        <v>946</v>
      </c>
      <c r="D915" s="42"/>
    </row>
    <row r="916" spans="1:5" x14ac:dyDescent="0.2">
      <c r="A916" s="116"/>
      <c r="B916" s="116"/>
      <c r="C916" s="42" t="s">
        <v>947</v>
      </c>
      <c r="D916" s="42"/>
    </row>
    <row r="917" spans="1:5" x14ac:dyDescent="0.2">
      <c r="A917" s="116"/>
      <c r="B917" s="116"/>
      <c r="C917" s="42" t="s">
        <v>948</v>
      </c>
      <c r="D917" s="42"/>
    </row>
    <row r="918" spans="1:5" x14ac:dyDescent="0.2">
      <c r="A918" s="116"/>
      <c r="B918" s="116"/>
      <c r="C918" s="47" t="s">
        <v>949</v>
      </c>
      <c r="D918" s="47"/>
    </row>
    <row r="919" spans="1:5" x14ac:dyDescent="0.2">
      <c r="A919" s="116"/>
      <c r="B919" s="116"/>
      <c r="C919" s="47" t="s">
        <v>950</v>
      </c>
      <c r="D919" s="47"/>
    </row>
    <row r="920" spans="1:5" ht="15" x14ac:dyDescent="0.25">
      <c r="A920" s="121" t="s">
        <v>31</v>
      </c>
      <c r="B920" s="121" t="s">
        <v>54</v>
      </c>
      <c r="C920" s="45" t="s">
        <v>981</v>
      </c>
      <c r="D920" s="45"/>
      <c r="E920" s="46"/>
    </row>
    <row r="921" spans="1:5" ht="15" x14ac:dyDescent="0.25">
      <c r="A921" s="110"/>
      <c r="B921" s="110"/>
      <c r="C921" s="45" t="s">
        <v>982</v>
      </c>
      <c r="D921" s="45"/>
      <c r="E921" s="46"/>
    </row>
    <row r="922" spans="1:5" ht="15" x14ac:dyDescent="0.25">
      <c r="A922" s="110"/>
      <c r="B922" s="110"/>
      <c r="C922" s="40" t="s">
        <v>983</v>
      </c>
      <c r="D922" s="40"/>
      <c r="E922" s="46"/>
    </row>
    <row r="923" spans="1:5" ht="15" x14ac:dyDescent="0.25">
      <c r="A923" s="110"/>
      <c r="B923" s="110"/>
      <c r="C923" s="40" t="s">
        <v>984</v>
      </c>
      <c r="D923" s="40"/>
      <c r="E923" s="46"/>
    </row>
    <row r="924" spans="1:5" ht="15" x14ac:dyDescent="0.25">
      <c r="A924" s="110"/>
      <c r="B924" s="110"/>
      <c r="C924" s="40" t="s">
        <v>985</v>
      </c>
      <c r="D924" s="40"/>
      <c r="E924" s="46"/>
    </row>
    <row r="925" spans="1:5" x14ac:dyDescent="0.2">
      <c r="A925" s="110"/>
      <c r="B925" s="110"/>
      <c r="C925" s="40" t="s">
        <v>314</v>
      </c>
      <c r="D925" s="40"/>
    </row>
    <row r="926" spans="1:5" x14ac:dyDescent="0.2">
      <c r="A926" s="122" t="s">
        <v>32</v>
      </c>
      <c r="B926" s="122" t="s">
        <v>54</v>
      </c>
      <c r="C926" s="42" t="s">
        <v>986</v>
      </c>
      <c r="D926" s="42"/>
    </row>
    <row r="927" spans="1:5" x14ac:dyDescent="0.2">
      <c r="A927" s="116"/>
      <c r="B927" s="116"/>
      <c r="C927" s="42" t="s">
        <v>987</v>
      </c>
      <c r="D927" s="42"/>
    </row>
    <row r="928" spans="1:5" x14ac:dyDescent="0.2">
      <c r="A928" s="116"/>
      <c r="B928" s="116"/>
      <c r="C928" s="42" t="s">
        <v>988</v>
      </c>
      <c r="D928" s="42"/>
    </row>
    <row r="929" spans="1:5" x14ac:dyDescent="0.2">
      <c r="A929" s="67" t="s">
        <v>33</v>
      </c>
      <c r="B929" s="67" t="s">
        <v>54</v>
      </c>
      <c r="C929" s="45" t="s">
        <v>989</v>
      </c>
      <c r="D929" s="45"/>
    </row>
    <row r="930" spans="1:5" x14ac:dyDescent="0.2">
      <c r="A930" s="68"/>
      <c r="B930" s="68"/>
      <c r="C930" s="45" t="s">
        <v>754</v>
      </c>
      <c r="D930" s="45"/>
    </row>
    <row r="931" spans="1:5" x14ac:dyDescent="0.2">
      <c r="A931" s="68"/>
      <c r="B931" s="68"/>
      <c r="C931" s="40" t="s">
        <v>951</v>
      </c>
      <c r="D931" s="40"/>
    </row>
    <row r="932" spans="1:5" x14ac:dyDescent="0.2">
      <c r="A932" s="68"/>
      <c r="B932" s="68"/>
      <c r="C932" s="40" t="s">
        <v>755</v>
      </c>
      <c r="D932" s="40"/>
    </row>
    <row r="933" spans="1:5" x14ac:dyDescent="0.2">
      <c r="A933" s="68"/>
      <c r="B933" s="68"/>
      <c r="C933" s="40" t="s">
        <v>314</v>
      </c>
      <c r="D933" s="40"/>
    </row>
    <row r="934" spans="1:5" x14ac:dyDescent="0.2">
      <c r="A934" s="71" t="s">
        <v>34</v>
      </c>
      <c r="B934" s="71" t="s">
        <v>54</v>
      </c>
      <c r="C934" s="47" t="s">
        <v>951</v>
      </c>
      <c r="D934" s="47"/>
    </row>
    <row r="935" spans="1:5" x14ac:dyDescent="0.2">
      <c r="A935" s="72"/>
      <c r="B935" s="72"/>
      <c r="C935" s="47" t="s">
        <v>754</v>
      </c>
      <c r="D935" s="47"/>
    </row>
    <row r="936" spans="1:5" x14ac:dyDescent="0.2">
      <c r="A936" s="72"/>
      <c r="B936" s="72"/>
      <c r="C936" s="42" t="s">
        <v>755</v>
      </c>
      <c r="D936" s="42"/>
    </row>
    <row r="937" spans="1:5" x14ac:dyDescent="0.2">
      <c r="A937" s="72"/>
      <c r="B937" s="72"/>
      <c r="C937" s="42" t="s">
        <v>756</v>
      </c>
      <c r="D937" s="42"/>
    </row>
    <row r="938" spans="1:5" x14ac:dyDescent="0.2">
      <c r="A938" s="72"/>
      <c r="B938" s="72"/>
      <c r="C938" s="42" t="s">
        <v>990</v>
      </c>
      <c r="D938" s="42"/>
    </row>
    <row r="939" spans="1:5" x14ac:dyDescent="0.2">
      <c r="A939" s="72"/>
      <c r="B939" s="72"/>
      <c r="C939" s="47" t="s">
        <v>990</v>
      </c>
      <c r="D939" s="47"/>
    </row>
    <row r="940" spans="1:5" x14ac:dyDescent="0.2">
      <c r="A940" s="72"/>
      <c r="B940" s="72"/>
      <c r="C940" s="47" t="s">
        <v>953</v>
      </c>
      <c r="D940" s="47"/>
    </row>
    <row r="941" spans="1:5" x14ac:dyDescent="0.2">
      <c r="A941" s="72"/>
      <c r="B941" s="72"/>
      <c r="C941" s="42" t="s">
        <v>954</v>
      </c>
      <c r="D941" s="42"/>
    </row>
    <row r="942" spans="1:5" x14ac:dyDescent="0.2">
      <c r="A942" s="72"/>
      <c r="B942" s="72"/>
      <c r="C942" s="47" t="s">
        <v>955</v>
      </c>
      <c r="D942" s="47"/>
    </row>
    <row r="943" spans="1:5" x14ac:dyDescent="0.2">
      <c r="A943" s="72"/>
      <c r="B943" s="72"/>
      <c r="C943" s="47" t="s">
        <v>989</v>
      </c>
      <c r="D943" s="47"/>
    </row>
    <row r="944" spans="1:5" x14ac:dyDescent="0.2">
      <c r="A944" s="72"/>
      <c r="B944" s="72"/>
      <c r="C944" s="42" t="s">
        <v>991</v>
      </c>
      <c r="D944" s="42" t="s">
        <v>991</v>
      </c>
      <c r="E944" t="s">
        <v>214</v>
      </c>
    </row>
    <row r="945" spans="1:4" x14ac:dyDescent="0.2">
      <c r="A945" s="92"/>
      <c r="B945" s="92"/>
      <c r="C945" s="42" t="s">
        <v>314</v>
      </c>
      <c r="D945" s="42"/>
    </row>
    <row r="946" spans="1:4" ht="14.25" customHeight="1" x14ac:dyDescent="0.2">
      <c r="A946" s="67" t="s">
        <v>35</v>
      </c>
      <c r="B946" s="67" t="s">
        <v>54</v>
      </c>
      <c r="C946" s="45" t="s">
        <v>992</v>
      </c>
      <c r="D946" s="45"/>
    </row>
    <row r="947" spans="1:4" x14ac:dyDescent="0.2">
      <c r="A947" s="68"/>
      <c r="B947" s="68"/>
      <c r="C947" s="45" t="s">
        <v>993</v>
      </c>
      <c r="D947" s="45"/>
    </row>
    <row r="948" spans="1:4" x14ac:dyDescent="0.2">
      <c r="A948" s="68"/>
      <c r="B948" s="68"/>
      <c r="C948" s="40" t="s">
        <v>994</v>
      </c>
      <c r="D948" s="40"/>
    </row>
    <row r="949" spans="1:4" x14ac:dyDescent="0.2">
      <c r="A949" s="68"/>
      <c r="B949" s="68"/>
      <c r="C949" s="40" t="s">
        <v>995</v>
      </c>
      <c r="D949" s="40"/>
    </row>
    <row r="950" spans="1:4" x14ac:dyDescent="0.2">
      <c r="A950" s="68"/>
      <c r="B950" s="68"/>
      <c r="C950" s="40" t="s">
        <v>996</v>
      </c>
      <c r="D950" s="40"/>
    </row>
    <row r="951" spans="1:4" x14ac:dyDescent="0.2">
      <c r="A951" s="68"/>
      <c r="B951" s="68"/>
      <c r="C951" s="45" t="s">
        <v>765</v>
      </c>
      <c r="D951" s="45"/>
    </row>
    <row r="952" spans="1:4" x14ac:dyDescent="0.2">
      <c r="A952" s="68"/>
      <c r="B952" s="68"/>
      <c r="C952" s="45" t="s">
        <v>989</v>
      </c>
      <c r="D952" s="45"/>
    </row>
    <row r="953" spans="1:4" x14ac:dyDescent="0.2">
      <c r="A953" s="68"/>
      <c r="B953" s="68"/>
      <c r="C953" s="40" t="s">
        <v>997</v>
      </c>
      <c r="D953" s="40" t="s">
        <v>998</v>
      </c>
    </row>
    <row r="954" spans="1:4" x14ac:dyDescent="0.2">
      <c r="A954" s="68"/>
      <c r="B954" s="68"/>
      <c r="C954" s="40" t="s">
        <v>961</v>
      </c>
      <c r="D954" s="40" t="s">
        <v>962</v>
      </c>
    </row>
    <row r="955" spans="1:4" x14ac:dyDescent="0.2">
      <c r="A955" s="68"/>
      <c r="B955" s="68"/>
      <c r="C955" s="40" t="s">
        <v>314</v>
      </c>
      <c r="D955" s="40"/>
    </row>
    <row r="956" spans="1:4" x14ac:dyDescent="0.2">
      <c r="A956" s="71" t="s">
        <v>36</v>
      </c>
      <c r="B956" s="71" t="s">
        <v>54</v>
      </c>
      <c r="C956" s="42" t="s">
        <v>999</v>
      </c>
      <c r="D956" s="42"/>
    </row>
    <row r="957" spans="1:4" x14ac:dyDescent="0.2">
      <c r="A957" s="72"/>
      <c r="B957" s="72"/>
      <c r="C957" s="42" t="s">
        <v>1000</v>
      </c>
      <c r="D957" s="42"/>
    </row>
    <row r="958" spans="1:4" x14ac:dyDescent="0.2">
      <c r="A958" s="72"/>
      <c r="B958" s="72"/>
      <c r="C958" s="42" t="s">
        <v>1001</v>
      </c>
      <c r="D958" s="42"/>
    </row>
    <row r="959" spans="1:4" x14ac:dyDescent="0.2">
      <c r="A959" s="72"/>
      <c r="B959" s="72"/>
      <c r="C959" s="42" t="s">
        <v>1002</v>
      </c>
      <c r="D959" s="42"/>
    </row>
    <row r="960" spans="1:4" x14ac:dyDescent="0.2">
      <c r="A960" s="72"/>
      <c r="B960" s="72"/>
      <c r="C960" s="42" t="s">
        <v>1003</v>
      </c>
      <c r="D960" s="42"/>
    </row>
    <row r="961" spans="1:5" x14ac:dyDescent="0.2">
      <c r="A961" s="72"/>
      <c r="B961" s="72"/>
      <c r="C961" s="42" t="s">
        <v>1004</v>
      </c>
      <c r="D961" s="42"/>
    </row>
    <row r="962" spans="1:5" x14ac:dyDescent="0.2">
      <c r="A962" s="72"/>
      <c r="B962" s="72"/>
      <c r="C962" s="42" t="s">
        <v>1005</v>
      </c>
      <c r="D962" s="42"/>
    </row>
    <row r="963" spans="1:5" x14ac:dyDescent="0.2">
      <c r="A963" s="72"/>
      <c r="B963" s="72"/>
      <c r="C963" s="42" t="s">
        <v>848</v>
      </c>
      <c r="D963" s="42"/>
      <c r="E963" t="s">
        <v>214</v>
      </c>
    </row>
    <row r="964" spans="1:5" x14ac:dyDescent="0.2">
      <c r="A964" s="73" t="s">
        <v>38</v>
      </c>
      <c r="B964" s="67" t="s">
        <v>54</v>
      </c>
      <c r="C964" s="40" t="s">
        <v>971</v>
      </c>
      <c r="D964" s="40"/>
    </row>
    <row r="965" spans="1:5" x14ac:dyDescent="0.2">
      <c r="A965" s="74"/>
      <c r="B965" s="68"/>
      <c r="C965" s="40" t="s">
        <v>972</v>
      </c>
      <c r="D965" s="40"/>
    </row>
    <row r="966" spans="1:5" x14ac:dyDescent="0.2">
      <c r="A966" s="74"/>
      <c r="B966" s="68"/>
      <c r="C966" s="40" t="s">
        <v>746</v>
      </c>
      <c r="D966" s="40"/>
    </row>
    <row r="967" spans="1:5" x14ac:dyDescent="0.2">
      <c r="A967" s="74"/>
      <c r="B967" s="68"/>
      <c r="C967" s="40" t="s">
        <v>973</v>
      </c>
      <c r="D967" s="40"/>
    </row>
    <row r="968" spans="1:5" x14ac:dyDescent="0.2">
      <c r="A968" s="74"/>
      <c r="B968" s="68"/>
      <c r="C968" s="40" t="s">
        <v>974</v>
      </c>
      <c r="D968" s="40"/>
    </row>
    <row r="969" spans="1:5" x14ac:dyDescent="0.2">
      <c r="A969" s="74"/>
      <c r="B969" s="68"/>
      <c r="C969" s="40" t="s">
        <v>1006</v>
      </c>
      <c r="D969" s="40"/>
      <c r="E969" t="s">
        <v>214</v>
      </c>
    </row>
    <row r="970" spans="1:5" x14ac:dyDescent="0.2">
      <c r="A970" s="75" t="s">
        <v>40</v>
      </c>
      <c r="B970" s="71" t="s">
        <v>54</v>
      </c>
      <c r="C970" s="42" t="s">
        <v>1007</v>
      </c>
      <c r="D970" s="42"/>
    </row>
    <row r="971" spans="1:5" x14ac:dyDescent="0.2">
      <c r="A971" s="76"/>
      <c r="B971" s="72"/>
      <c r="C971" s="42" t="s">
        <v>1008</v>
      </c>
      <c r="D971" s="42"/>
    </row>
    <row r="972" spans="1:5" x14ac:dyDescent="0.2">
      <c r="A972" s="76"/>
      <c r="B972" s="72"/>
      <c r="C972" s="42" t="s">
        <v>1009</v>
      </c>
      <c r="D972" s="42"/>
    </row>
    <row r="973" spans="1:5" x14ac:dyDescent="0.2">
      <c r="A973" s="76"/>
      <c r="B973" s="72"/>
      <c r="C973" s="42" t="s">
        <v>1010</v>
      </c>
      <c r="D973" s="42"/>
    </row>
    <row r="974" spans="1:5" x14ac:dyDescent="0.2">
      <c r="A974" s="76"/>
      <c r="B974" s="72"/>
      <c r="C974" s="42" t="s">
        <v>1011</v>
      </c>
      <c r="D974" s="42"/>
    </row>
    <row r="975" spans="1:5" x14ac:dyDescent="0.2">
      <c r="A975" s="76"/>
      <c r="B975" s="72"/>
      <c r="C975" s="42" t="s">
        <v>1012</v>
      </c>
      <c r="D975" s="42"/>
    </row>
    <row r="976" spans="1:5" x14ac:dyDescent="0.2">
      <c r="A976" s="93"/>
      <c r="B976" s="92"/>
      <c r="C976" s="42" t="s">
        <v>314</v>
      </c>
      <c r="D976" s="42"/>
    </row>
    <row r="977" spans="1:5" x14ac:dyDescent="0.2">
      <c r="A977" s="67" t="s">
        <v>39</v>
      </c>
      <c r="B977" s="67" t="s">
        <v>54</v>
      </c>
      <c r="C977" s="40" t="s">
        <v>1013</v>
      </c>
      <c r="D977" s="40"/>
      <c r="E977" t="s">
        <v>1014</v>
      </c>
    </row>
    <row r="978" spans="1:5" x14ac:dyDescent="0.2">
      <c r="A978" s="68"/>
      <c r="B978" s="68"/>
      <c r="C978" s="40" t="s">
        <v>1015</v>
      </c>
      <c r="D978" s="40"/>
    </row>
    <row r="979" spans="1:5" x14ac:dyDescent="0.2">
      <c r="A979" s="68"/>
      <c r="B979" s="68"/>
      <c r="C979" s="40" t="s">
        <v>1016</v>
      </c>
      <c r="D979" s="40"/>
    </row>
    <row r="980" spans="1:5" x14ac:dyDescent="0.2">
      <c r="A980" s="68"/>
      <c r="B980" s="68"/>
      <c r="C980" s="40" t="s">
        <v>1017</v>
      </c>
      <c r="D980" s="40"/>
    </row>
    <row r="981" spans="1:5" x14ac:dyDescent="0.2">
      <c r="A981" s="68"/>
      <c r="B981" s="68"/>
      <c r="C981" s="40" t="s">
        <v>1018</v>
      </c>
      <c r="D981" s="40"/>
    </row>
    <row r="982" spans="1:5" x14ac:dyDescent="0.2">
      <c r="A982" s="68"/>
      <c r="B982" s="68"/>
      <c r="C982" s="40" t="s">
        <v>1019</v>
      </c>
      <c r="D982" s="40"/>
    </row>
    <row r="983" spans="1:5" x14ac:dyDescent="0.2">
      <c r="A983" s="68"/>
      <c r="B983" s="68"/>
      <c r="C983" s="40" t="s">
        <v>1020</v>
      </c>
      <c r="D983" s="40"/>
    </row>
    <row r="984" spans="1:5" x14ac:dyDescent="0.2">
      <c r="A984" s="68"/>
      <c r="B984" s="68"/>
      <c r="C984" s="40" t="s">
        <v>1021</v>
      </c>
      <c r="D984" s="40"/>
    </row>
    <row r="985" spans="1:5" x14ac:dyDescent="0.2">
      <c r="A985" s="68"/>
      <c r="B985" s="68"/>
      <c r="C985" s="40" t="s">
        <v>1022</v>
      </c>
      <c r="D985" s="40" t="s">
        <v>1023</v>
      </c>
      <c r="E985" t="s">
        <v>214</v>
      </c>
    </row>
    <row r="986" spans="1:5" x14ac:dyDescent="0.2">
      <c r="A986" s="75" t="s">
        <v>41</v>
      </c>
      <c r="B986" s="71" t="s">
        <v>54</v>
      </c>
      <c r="C986" s="42" t="s">
        <v>975</v>
      </c>
      <c r="D986" s="42"/>
    </row>
    <row r="987" spans="1:5" x14ac:dyDescent="0.2">
      <c r="A987" s="76"/>
      <c r="B987" s="72"/>
      <c r="C987" s="42" t="s">
        <v>976</v>
      </c>
      <c r="D987" s="42"/>
    </row>
    <row r="988" spans="1:5" x14ac:dyDescent="0.2">
      <c r="A988" s="76"/>
      <c r="B988" s="72"/>
      <c r="C988" s="42" t="s">
        <v>1024</v>
      </c>
      <c r="D988" s="42"/>
    </row>
    <row r="989" spans="1:5" x14ac:dyDescent="0.2">
      <c r="A989" s="76"/>
      <c r="B989" s="72"/>
      <c r="C989" s="42" t="s">
        <v>1025</v>
      </c>
      <c r="D989" s="42"/>
    </row>
    <row r="990" spans="1:5" x14ac:dyDescent="0.2">
      <c r="A990" s="76"/>
      <c r="B990" s="72"/>
      <c r="C990" s="42" t="s">
        <v>1026</v>
      </c>
      <c r="D990" s="42"/>
    </row>
    <row r="991" spans="1:5" x14ac:dyDescent="0.2">
      <c r="A991" s="76"/>
      <c r="B991" s="72"/>
      <c r="C991" s="42" t="s">
        <v>1027</v>
      </c>
      <c r="D991" s="42"/>
    </row>
    <row r="992" spans="1:5" x14ac:dyDescent="0.2">
      <c r="A992" s="67" t="s">
        <v>42</v>
      </c>
      <c r="B992" s="67" t="s">
        <v>54</v>
      </c>
      <c r="C992" s="40" t="s">
        <v>754</v>
      </c>
      <c r="D992" s="40"/>
    </row>
    <row r="993" spans="1:5" x14ac:dyDescent="0.2">
      <c r="A993" s="68"/>
      <c r="B993" s="68"/>
      <c r="C993" s="40" t="s">
        <v>951</v>
      </c>
      <c r="D993" s="40"/>
    </row>
    <row r="994" spans="1:5" x14ac:dyDescent="0.2">
      <c r="A994" s="68"/>
      <c r="B994" s="68"/>
      <c r="C994" s="40" t="s">
        <v>950</v>
      </c>
      <c r="D994" s="40"/>
    </row>
    <row r="995" spans="1:5" x14ac:dyDescent="0.2">
      <c r="A995" s="68"/>
      <c r="B995" s="68"/>
      <c r="C995" s="40" t="s">
        <v>755</v>
      </c>
      <c r="D995" s="40"/>
    </row>
    <row r="996" spans="1:5" x14ac:dyDescent="0.2">
      <c r="A996" s="68"/>
      <c r="B996" s="68"/>
      <c r="C996" s="40" t="s">
        <v>1028</v>
      </c>
      <c r="D996" s="40" t="s">
        <v>1029</v>
      </c>
    </row>
    <row r="997" spans="1:5" x14ac:dyDescent="0.2">
      <c r="A997" s="68"/>
      <c r="B997" s="68"/>
      <c r="C997" s="40" t="s">
        <v>314</v>
      </c>
      <c r="D997" s="40"/>
    </row>
    <row r="998" spans="1:5" x14ac:dyDescent="0.2">
      <c r="A998" s="71" t="s">
        <v>43</v>
      </c>
      <c r="B998" s="71" t="s">
        <v>54</v>
      </c>
      <c r="C998" s="42" t="s">
        <v>1030</v>
      </c>
      <c r="D998" s="42"/>
      <c r="E998" t="s">
        <v>1014</v>
      </c>
    </row>
    <row r="999" spans="1:5" x14ac:dyDescent="0.2">
      <c r="A999" s="72"/>
      <c r="B999" s="72"/>
      <c r="C999" s="42" t="s">
        <v>1031</v>
      </c>
      <c r="D999" s="42"/>
    </row>
    <row r="1000" spans="1:5" x14ac:dyDescent="0.2">
      <c r="A1000" s="67" t="s">
        <v>45</v>
      </c>
      <c r="B1000" s="67" t="s">
        <v>54</v>
      </c>
      <c r="C1000" s="40" t="s">
        <v>1032</v>
      </c>
      <c r="D1000" s="40"/>
    </row>
    <row r="1001" spans="1:5" x14ac:dyDescent="0.2">
      <c r="A1001" s="68"/>
      <c r="B1001" s="68"/>
      <c r="C1001" s="40" t="s">
        <v>1033</v>
      </c>
      <c r="D1001" s="40"/>
    </row>
    <row r="1002" spans="1:5" x14ac:dyDescent="0.2">
      <c r="A1002" s="68"/>
      <c r="B1002" s="68"/>
      <c r="C1002" s="40" t="s">
        <v>1034</v>
      </c>
      <c r="D1002" s="40"/>
    </row>
    <row r="1003" spans="1:5" x14ac:dyDescent="0.2">
      <c r="A1003" s="68"/>
      <c r="B1003" s="68"/>
      <c r="C1003" s="40" t="s">
        <v>1035</v>
      </c>
      <c r="D1003" s="40"/>
      <c r="E1003" t="s">
        <v>214</v>
      </c>
    </row>
    <row r="1004" spans="1:5" x14ac:dyDescent="0.2">
      <c r="A1004" s="68"/>
      <c r="B1004" s="68"/>
      <c r="C1004" s="40" t="s">
        <v>1036</v>
      </c>
      <c r="D1004" s="40"/>
    </row>
    <row r="1005" spans="1:5" x14ac:dyDescent="0.2">
      <c r="A1005" s="68"/>
      <c r="B1005" s="68"/>
      <c r="C1005" s="40" t="s">
        <v>1037</v>
      </c>
      <c r="D1005" s="40"/>
    </row>
    <row r="1006" spans="1:5" x14ac:dyDescent="0.2">
      <c r="A1006" s="68"/>
      <c r="B1006" s="68"/>
      <c r="C1006" s="40" t="s">
        <v>1038</v>
      </c>
      <c r="D1006" s="40"/>
      <c r="E1006" t="s">
        <v>214</v>
      </c>
    </row>
    <row r="1007" spans="1:5" x14ac:dyDescent="0.2">
      <c r="A1007" s="68"/>
      <c r="B1007" s="68"/>
      <c r="C1007" s="40" t="s">
        <v>1039</v>
      </c>
      <c r="D1007" s="40"/>
    </row>
    <row r="1008" spans="1:5" x14ac:dyDescent="0.2">
      <c r="A1008" s="68"/>
      <c r="B1008" s="68"/>
      <c r="C1008" s="40" t="s">
        <v>1040</v>
      </c>
      <c r="D1008" s="40"/>
    </row>
    <row r="1009" spans="1:4" x14ac:dyDescent="0.2">
      <c r="A1009" s="68"/>
      <c r="B1009" s="68"/>
      <c r="C1009" s="40" t="s">
        <v>1041</v>
      </c>
      <c r="D1009" s="40"/>
    </row>
    <row r="1010" spans="1:4" x14ac:dyDescent="0.2">
      <c r="A1010" s="68"/>
      <c r="B1010" s="68"/>
      <c r="C1010" s="40" t="s">
        <v>1042</v>
      </c>
      <c r="D1010" s="40"/>
    </row>
    <row r="1011" spans="1:4" x14ac:dyDescent="0.2">
      <c r="A1011" s="68"/>
      <c r="B1011" s="68"/>
      <c r="C1011" s="40" t="s">
        <v>1043</v>
      </c>
      <c r="D1011" s="40"/>
    </row>
    <row r="1012" spans="1:4" x14ac:dyDescent="0.2">
      <c r="A1012" s="68"/>
      <c r="B1012" s="68"/>
      <c r="C1012" s="40" t="s">
        <v>1044</v>
      </c>
      <c r="D1012" s="40"/>
    </row>
    <row r="1013" spans="1:4" x14ac:dyDescent="0.2">
      <c r="A1013" s="68"/>
      <c r="B1013" s="68"/>
      <c r="C1013" s="40" t="s">
        <v>1045</v>
      </c>
      <c r="D1013" s="40"/>
    </row>
    <row r="1014" spans="1:4" x14ac:dyDescent="0.2">
      <c r="A1014" s="68"/>
      <c r="B1014" s="68"/>
      <c r="C1014" s="40" t="s">
        <v>1046</v>
      </c>
      <c r="D1014" s="40"/>
    </row>
    <row r="1015" spans="1:4" x14ac:dyDescent="0.2">
      <c r="A1015" s="68"/>
      <c r="B1015" s="68"/>
      <c r="C1015" s="40" t="s">
        <v>1047</v>
      </c>
      <c r="D1015" s="40"/>
    </row>
    <row r="1016" spans="1:4" x14ac:dyDescent="0.2">
      <c r="A1016" s="68"/>
      <c r="B1016" s="68"/>
      <c r="C1016" s="40" t="s">
        <v>1048</v>
      </c>
      <c r="D1016" s="40"/>
    </row>
    <row r="1017" spans="1:4" x14ac:dyDescent="0.2">
      <c r="A1017" s="68"/>
      <c r="B1017" s="68"/>
      <c r="C1017" s="40" t="s">
        <v>1049</v>
      </c>
      <c r="D1017" s="40"/>
    </row>
    <row r="1018" spans="1:4" x14ac:dyDescent="0.2">
      <c r="A1018" s="68"/>
      <c r="B1018" s="68"/>
      <c r="C1018" s="40" t="s">
        <v>1050</v>
      </c>
      <c r="D1018" s="40"/>
    </row>
    <row r="1019" spans="1:4" x14ac:dyDescent="0.2">
      <c r="A1019" s="68"/>
      <c r="B1019" s="68"/>
      <c r="C1019" s="40" t="s">
        <v>1051</v>
      </c>
      <c r="D1019" s="40"/>
    </row>
    <row r="1020" spans="1:4" x14ac:dyDescent="0.2">
      <c r="A1020" s="68"/>
      <c r="B1020" s="68"/>
      <c r="C1020" s="40" t="s">
        <v>1052</v>
      </c>
      <c r="D1020" s="40"/>
    </row>
    <row r="1021" spans="1:4" x14ac:dyDescent="0.2">
      <c r="A1021" s="68"/>
      <c r="B1021" s="68"/>
      <c r="C1021" s="40" t="s">
        <v>1053</v>
      </c>
      <c r="D1021" s="40"/>
    </row>
    <row r="1022" spans="1:4" x14ac:dyDescent="0.2">
      <c r="A1022" s="68"/>
      <c r="B1022" s="68"/>
      <c r="C1022" s="40" t="s">
        <v>1054</v>
      </c>
      <c r="D1022" s="40"/>
    </row>
    <row r="1023" spans="1:4" x14ac:dyDescent="0.2">
      <c r="A1023" s="68"/>
      <c r="B1023" s="68"/>
      <c r="C1023" s="40" t="s">
        <v>1055</v>
      </c>
      <c r="D1023" s="40"/>
    </row>
    <row r="1024" spans="1:4" x14ac:dyDescent="0.2">
      <c r="A1024" s="68"/>
      <c r="B1024" s="68"/>
      <c r="C1024" s="40" t="s">
        <v>1056</v>
      </c>
      <c r="D1024" s="40"/>
    </row>
    <row r="1025" spans="1:5" x14ac:dyDescent="0.2">
      <c r="A1025" s="68"/>
      <c r="B1025" s="68"/>
      <c r="C1025" s="40" t="s">
        <v>1057</v>
      </c>
      <c r="D1025" s="40"/>
    </row>
    <row r="1026" spans="1:5" x14ac:dyDescent="0.2">
      <c r="A1026" s="68"/>
      <c r="B1026" s="68"/>
      <c r="C1026" s="40" t="s">
        <v>1058</v>
      </c>
      <c r="D1026" s="40"/>
    </row>
    <row r="1027" spans="1:5" x14ac:dyDescent="0.2">
      <c r="A1027" s="68"/>
      <c r="B1027" s="68"/>
      <c r="C1027" s="40" t="s">
        <v>1059</v>
      </c>
      <c r="D1027" s="40"/>
    </row>
    <row r="1028" spans="1:5" x14ac:dyDescent="0.2">
      <c r="A1028" s="68"/>
      <c r="B1028" s="68"/>
      <c r="C1028" s="40" t="s">
        <v>1060</v>
      </c>
      <c r="D1028" s="40"/>
    </row>
    <row r="1029" spans="1:5" x14ac:dyDescent="0.2">
      <c r="A1029" s="68"/>
      <c r="B1029" s="68"/>
      <c r="C1029" s="40" t="s">
        <v>1061</v>
      </c>
      <c r="D1029" s="40"/>
    </row>
    <row r="1030" spans="1:5" x14ac:dyDescent="0.2">
      <c r="A1030" s="68"/>
      <c r="B1030" s="68"/>
      <c r="C1030" s="40" t="s">
        <v>1062</v>
      </c>
      <c r="D1030" s="40"/>
    </row>
    <row r="1031" spans="1:5" x14ac:dyDescent="0.2">
      <c r="A1031" s="68"/>
      <c r="B1031" s="68"/>
      <c r="C1031" s="100" t="s">
        <v>1063</v>
      </c>
      <c r="D1031" s="40"/>
      <c r="E1031" t="s">
        <v>214</v>
      </c>
    </row>
    <row r="1032" spans="1:5" x14ac:dyDescent="0.2">
      <c r="A1032" s="68"/>
      <c r="B1032" s="68"/>
      <c r="C1032" s="40" t="s">
        <v>1064</v>
      </c>
      <c r="D1032" s="40"/>
    </row>
    <row r="1033" spans="1:5" x14ac:dyDescent="0.2">
      <c r="A1033" s="68"/>
      <c r="B1033" s="68"/>
      <c r="C1033" s="40" t="s">
        <v>314</v>
      </c>
      <c r="D1033" s="40"/>
    </row>
    <row r="1034" spans="1:5" x14ac:dyDescent="0.2">
      <c r="A1034" s="51" t="s">
        <v>44</v>
      </c>
      <c r="B1034" s="51" t="s">
        <v>54</v>
      </c>
      <c r="C1034" s="42" t="s">
        <v>1065</v>
      </c>
      <c r="D1034" s="42"/>
      <c r="E1034" t="s">
        <v>1014</v>
      </c>
    </row>
    <row r="1035" spans="1:5" x14ac:dyDescent="0.2">
      <c r="A1035" s="52"/>
      <c r="B1035" s="52"/>
      <c r="C1035" s="42" t="s">
        <v>1066</v>
      </c>
      <c r="D1035" s="42"/>
    </row>
    <row r="1036" spans="1:5" x14ac:dyDescent="0.2">
      <c r="A1036" s="52"/>
      <c r="B1036" s="52"/>
      <c r="C1036" s="42" t="s">
        <v>314</v>
      </c>
      <c r="D1036" s="42"/>
    </row>
    <row r="1037" spans="1:5" x14ac:dyDescent="0.2">
      <c r="A1037" s="67" t="s">
        <v>1067</v>
      </c>
      <c r="B1037" s="67" t="s">
        <v>54</v>
      </c>
      <c r="C1037" s="40" t="s">
        <v>1068</v>
      </c>
      <c r="D1037" s="40"/>
    </row>
    <row r="1038" spans="1:5" x14ac:dyDescent="0.2">
      <c r="A1038" s="68"/>
      <c r="B1038" s="68"/>
      <c r="C1038" s="40" t="s">
        <v>1069</v>
      </c>
      <c r="D1038" s="40" t="s">
        <v>1070</v>
      </c>
    </row>
    <row r="1039" spans="1:5" x14ac:dyDescent="0.2">
      <c r="A1039" s="68"/>
      <c r="B1039" s="68"/>
      <c r="C1039" s="40" t="s">
        <v>1071</v>
      </c>
      <c r="D1039" s="40" t="s">
        <v>1072</v>
      </c>
    </row>
    <row r="1040" spans="1:5" x14ac:dyDescent="0.2">
      <c r="A1040" s="68"/>
      <c r="B1040" s="68"/>
      <c r="C1040" s="40" t="s">
        <v>1073</v>
      </c>
      <c r="D1040" s="40" t="s">
        <v>1074</v>
      </c>
    </row>
    <row r="1041" spans="1:5" x14ac:dyDescent="0.2">
      <c r="A1041" s="171" t="s">
        <v>2499</v>
      </c>
      <c r="B1041" s="171" t="s">
        <v>2499</v>
      </c>
      <c r="C1041" s="171" t="s">
        <v>2499</v>
      </c>
      <c r="D1041" s="171" t="s">
        <v>2499</v>
      </c>
      <c r="E1041" s="171" t="s">
        <v>2499</v>
      </c>
    </row>
    <row r="1042" spans="1:5" x14ac:dyDescent="0.2">
      <c r="A1042" s="171" t="s">
        <v>2499</v>
      </c>
      <c r="B1042" s="171" t="s">
        <v>2499</v>
      </c>
      <c r="C1042" s="171" t="s">
        <v>2499</v>
      </c>
      <c r="D1042" s="171" t="s">
        <v>2499</v>
      </c>
      <c r="E1042" s="171" t="s">
        <v>2499</v>
      </c>
    </row>
    <row r="1043" spans="1:5" x14ac:dyDescent="0.2">
      <c r="A1043" s="171" t="s">
        <v>2499</v>
      </c>
      <c r="B1043" s="171" t="s">
        <v>2499</v>
      </c>
      <c r="C1043" s="171" t="s">
        <v>2499</v>
      </c>
      <c r="D1043" s="171" t="s">
        <v>2499</v>
      </c>
      <c r="E1043" s="171" t="s">
        <v>2499</v>
      </c>
    </row>
    <row r="1044" spans="1:5" x14ac:dyDescent="0.2">
      <c r="A1044" s="171" t="s">
        <v>2499</v>
      </c>
      <c r="B1044" s="171" t="s">
        <v>2499</v>
      </c>
      <c r="C1044" s="171" t="s">
        <v>2499</v>
      </c>
      <c r="D1044" s="171" t="s">
        <v>2499</v>
      </c>
      <c r="E1044" s="171" t="s">
        <v>2499</v>
      </c>
    </row>
    <row r="1045" spans="1:5" x14ac:dyDescent="0.2">
      <c r="A1045" s="171" t="s">
        <v>2499</v>
      </c>
      <c r="B1045" s="171" t="s">
        <v>2499</v>
      </c>
      <c r="C1045" s="171" t="s">
        <v>2499</v>
      </c>
      <c r="D1045" s="171" t="s">
        <v>2499</v>
      </c>
      <c r="E1045" s="171" t="s">
        <v>2499</v>
      </c>
    </row>
    <row r="1046" spans="1:5" x14ac:dyDescent="0.2">
      <c r="A1046" s="171" t="s">
        <v>2499</v>
      </c>
      <c r="B1046" s="171" t="s">
        <v>2499</v>
      </c>
      <c r="C1046" s="171" t="s">
        <v>2499</v>
      </c>
      <c r="D1046" s="171" t="s">
        <v>2499</v>
      </c>
      <c r="E1046" s="171" t="s">
        <v>2499</v>
      </c>
    </row>
    <row r="1047" spans="1:5" x14ac:dyDescent="0.2">
      <c r="A1047" s="171" t="s">
        <v>2499</v>
      </c>
      <c r="B1047" s="171" t="s">
        <v>2499</v>
      </c>
      <c r="C1047" s="171" t="s">
        <v>2499</v>
      </c>
      <c r="D1047" s="171" t="s">
        <v>2499</v>
      </c>
      <c r="E1047" s="171" t="s">
        <v>2499</v>
      </c>
    </row>
    <row r="1048" spans="1:5" x14ac:dyDescent="0.2">
      <c r="A1048" s="171" t="s">
        <v>2499</v>
      </c>
      <c r="B1048" s="171" t="s">
        <v>2499</v>
      </c>
      <c r="C1048" s="171" t="s">
        <v>2499</v>
      </c>
      <c r="D1048" s="171" t="s">
        <v>2499</v>
      </c>
      <c r="E1048" s="171" t="s">
        <v>2499</v>
      </c>
    </row>
    <row r="1049" spans="1:5" x14ac:dyDescent="0.2">
      <c r="A1049" s="171" t="s">
        <v>2499</v>
      </c>
      <c r="B1049" s="171" t="s">
        <v>2499</v>
      </c>
      <c r="C1049" s="171" t="s">
        <v>2499</v>
      </c>
      <c r="D1049" s="171" t="s">
        <v>2499</v>
      </c>
      <c r="E1049" s="171" t="s">
        <v>2499</v>
      </c>
    </row>
    <row r="1050" spans="1:5" x14ac:dyDescent="0.2">
      <c r="A1050" s="171" t="s">
        <v>2499</v>
      </c>
      <c r="B1050" s="171" t="s">
        <v>2499</v>
      </c>
      <c r="C1050" s="171" t="s">
        <v>2499</v>
      </c>
      <c r="D1050" s="171" t="s">
        <v>2499</v>
      </c>
      <c r="E1050" s="171" t="s">
        <v>2499</v>
      </c>
    </row>
    <row r="1051" spans="1:5" x14ac:dyDescent="0.2">
      <c r="A1051" s="171" t="s">
        <v>2499</v>
      </c>
      <c r="B1051" s="171" t="s">
        <v>2499</v>
      </c>
      <c r="C1051" s="171" t="s">
        <v>2499</v>
      </c>
      <c r="D1051" s="171" t="s">
        <v>2499</v>
      </c>
      <c r="E1051" s="171" t="s">
        <v>2499</v>
      </c>
    </row>
    <row r="1052" spans="1:5" x14ac:dyDescent="0.2">
      <c r="A1052" s="171" t="s">
        <v>2499</v>
      </c>
      <c r="B1052" s="171" t="s">
        <v>2499</v>
      </c>
      <c r="C1052" s="171" t="s">
        <v>2499</v>
      </c>
      <c r="D1052" s="171" t="s">
        <v>2499</v>
      </c>
      <c r="E1052" s="171" t="s">
        <v>2499</v>
      </c>
    </row>
    <row r="1053" spans="1:5" x14ac:dyDescent="0.2">
      <c r="A1053" s="171" t="s">
        <v>2499</v>
      </c>
      <c r="B1053" s="171" t="s">
        <v>2499</v>
      </c>
      <c r="C1053" s="171" t="s">
        <v>2499</v>
      </c>
      <c r="D1053" s="171" t="s">
        <v>2499</v>
      </c>
      <c r="E1053" s="171" t="s">
        <v>2499</v>
      </c>
    </row>
    <row r="1054" spans="1:5" x14ac:dyDescent="0.2">
      <c r="A1054" s="171" t="s">
        <v>2499</v>
      </c>
      <c r="B1054" s="171" t="s">
        <v>2499</v>
      </c>
      <c r="C1054" s="171" t="s">
        <v>2499</v>
      </c>
      <c r="D1054" s="171" t="s">
        <v>2499</v>
      </c>
      <c r="E1054" s="171" t="s">
        <v>2499</v>
      </c>
    </row>
    <row r="1055" spans="1:5" x14ac:dyDescent="0.2">
      <c r="A1055" s="171" t="s">
        <v>2499</v>
      </c>
      <c r="B1055" s="171" t="s">
        <v>2499</v>
      </c>
      <c r="C1055" s="171" t="s">
        <v>2499</v>
      </c>
      <c r="D1055" s="171" t="s">
        <v>2499</v>
      </c>
      <c r="E1055" s="171" t="s">
        <v>2499</v>
      </c>
    </row>
    <row r="1056" spans="1:5" x14ac:dyDescent="0.2">
      <c r="A1056" s="171" t="s">
        <v>2499</v>
      </c>
      <c r="B1056" s="171" t="s">
        <v>2499</v>
      </c>
      <c r="C1056" s="171" t="s">
        <v>2499</v>
      </c>
      <c r="D1056" s="171" t="s">
        <v>2499</v>
      </c>
      <c r="E1056" s="171" t="s">
        <v>2499</v>
      </c>
    </row>
    <row r="1057" spans="1:5" x14ac:dyDescent="0.2">
      <c r="A1057" s="171" t="s">
        <v>2499</v>
      </c>
      <c r="B1057" s="171" t="s">
        <v>2499</v>
      </c>
      <c r="C1057" s="171" t="s">
        <v>2499</v>
      </c>
      <c r="D1057" s="171" t="s">
        <v>2499</v>
      </c>
      <c r="E1057" s="171" t="s">
        <v>2499</v>
      </c>
    </row>
    <row r="1058" spans="1:5" x14ac:dyDescent="0.2">
      <c r="A1058" s="171" t="s">
        <v>2499</v>
      </c>
      <c r="B1058" s="171" t="s">
        <v>2499</v>
      </c>
      <c r="C1058" s="171" t="s">
        <v>2499</v>
      </c>
      <c r="D1058" s="171" t="s">
        <v>2499</v>
      </c>
      <c r="E1058" s="171" t="s">
        <v>2499</v>
      </c>
    </row>
    <row r="1059" spans="1:5" x14ac:dyDescent="0.2">
      <c r="A1059" s="171" t="s">
        <v>2499</v>
      </c>
      <c r="B1059" s="171" t="s">
        <v>2499</v>
      </c>
      <c r="C1059" s="171" t="s">
        <v>2499</v>
      </c>
      <c r="D1059" s="171" t="s">
        <v>2499</v>
      </c>
      <c r="E1059" s="171" t="s">
        <v>2499</v>
      </c>
    </row>
    <row r="1060" spans="1:5" x14ac:dyDescent="0.2">
      <c r="A1060" s="171" t="s">
        <v>2499</v>
      </c>
      <c r="B1060" s="171" t="s">
        <v>2499</v>
      </c>
      <c r="C1060" s="171" t="s">
        <v>2499</v>
      </c>
      <c r="D1060" s="171" t="s">
        <v>2499</v>
      </c>
      <c r="E1060" s="171" t="s">
        <v>2499</v>
      </c>
    </row>
    <row r="1061" spans="1:5" x14ac:dyDescent="0.2">
      <c r="A1061" s="171" t="s">
        <v>2499</v>
      </c>
      <c r="B1061" s="171" t="s">
        <v>2499</v>
      </c>
      <c r="C1061" s="171" t="s">
        <v>2499</v>
      </c>
      <c r="D1061" s="171" t="s">
        <v>2499</v>
      </c>
      <c r="E1061" s="171" t="s">
        <v>2499</v>
      </c>
    </row>
    <row r="1062" spans="1:5" x14ac:dyDescent="0.2">
      <c r="A1062" s="171" t="s">
        <v>2499</v>
      </c>
      <c r="B1062" s="171" t="s">
        <v>2499</v>
      </c>
      <c r="C1062" s="171" t="s">
        <v>2499</v>
      </c>
      <c r="D1062" s="171" t="s">
        <v>2499</v>
      </c>
      <c r="E1062" s="171" t="s">
        <v>2499</v>
      </c>
    </row>
    <row r="1063" spans="1:5" x14ac:dyDescent="0.2">
      <c r="A1063" s="171" t="s">
        <v>2499</v>
      </c>
      <c r="B1063" s="171" t="s">
        <v>2499</v>
      </c>
      <c r="C1063" s="171" t="s">
        <v>2499</v>
      </c>
      <c r="D1063" s="171" t="s">
        <v>2499</v>
      </c>
      <c r="E1063" s="171" t="s">
        <v>2499</v>
      </c>
    </row>
    <row r="1064" spans="1:5" x14ac:dyDescent="0.2">
      <c r="A1064" s="171" t="s">
        <v>2499</v>
      </c>
      <c r="B1064" s="171" t="s">
        <v>2499</v>
      </c>
      <c r="C1064" s="171" t="s">
        <v>2499</v>
      </c>
      <c r="D1064" s="171" t="s">
        <v>2499</v>
      </c>
      <c r="E1064" s="171" t="s">
        <v>2499</v>
      </c>
    </row>
    <row r="1065" spans="1:5" x14ac:dyDescent="0.2">
      <c r="A1065" s="171" t="s">
        <v>2499</v>
      </c>
      <c r="B1065" s="171" t="s">
        <v>2499</v>
      </c>
      <c r="C1065" s="171" t="s">
        <v>2499</v>
      </c>
      <c r="D1065" s="171" t="s">
        <v>2499</v>
      </c>
      <c r="E1065" s="171" t="s">
        <v>2499</v>
      </c>
    </row>
    <row r="1066" spans="1:5" x14ac:dyDescent="0.2">
      <c r="A1066" s="171" t="s">
        <v>2499</v>
      </c>
      <c r="B1066" s="171" t="s">
        <v>2499</v>
      </c>
      <c r="C1066" s="171" t="s">
        <v>2499</v>
      </c>
      <c r="D1066" s="171" t="s">
        <v>2499</v>
      </c>
      <c r="E1066" s="171" t="s">
        <v>2499</v>
      </c>
    </row>
    <row r="1067" spans="1:5" x14ac:dyDescent="0.2">
      <c r="A1067" s="171" t="s">
        <v>2499</v>
      </c>
      <c r="B1067" s="171" t="s">
        <v>2499</v>
      </c>
      <c r="C1067" s="171" t="s">
        <v>2499</v>
      </c>
      <c r="D1067" s="171" t="s">
        <v>2499</v>
      </c>
      <c r="E1067" s="171" t="s">
        <v>2499</v>
      </c>
    </row>
    <row r="1068" spans="1:5" x14ac:dyDescent="0.2">
      <c r="A1068" s="171" t="s">
        <v>2499</v>
      </c>
      <c r="B1068" s="171" t="s">
        <v>2499</v>
      </c>
      <c r="C1068" s="171" t="s">
        <v>2499</v>
      </c>
      <c r="D1068" s="171" t="s">
        <v>2499</v>
      </c>
      <c r="E1068" s="171" t="s">
        <v>2499</v>
      </c>
    </row>
    <row r="1069" spans="1:5" x14ac:dyDescent="0.2">
      <c r="A1069" s="171" t="s">
        <v>2499</v>
      </c>
      <c r="B1069" s="171" t="s">
        <v>2499</v>
      </c>
      <c r="C1069" s="171" t="s">
        <v>2499</v>
      </c>
      <c r="D1069" s="171" t="s">
        <v>2499</v>
      </c>
      <c r="E1069" s="171" t="s">
        <v>2499</v>
      </c>
    </row>
    <row r="1070" spans="1:5" x14ac:dyDescent="0.2">
      <c r="A1070" s="171" t="s">
        <v>2499</v>
      </c>
      <c r="B1070" s="171" t="s">
        <v>2499</v>
      </c>
      <c r="C1070" s="171" t="s">
        <v>2499</v>
      </c>
      <c r="D1070" s="171" t="s">
        <v>2499</v>
      </c>
      <c r="E1070" s="171" t="s">
        <v>2499</v>
      </c>
    </row>
    <row r="1071" spans="1:5" x14ac:dyDescent="0.2">
      <c r="A1071" s="171" t="s">
        <v>2499</v>
      </c>
      <c r="B1071" s="171" t="s">
        <v>2499</v>
      </c>
      <c r="C1071" s="171" t="s">
        <v>2499</v>
      </c>
      <c r="D1071" s="171" t="s">
        <v>2499</v>
      </c>
      <c r="E1071" s="171" t="s">
        <v>2499</v>
      </c>
    </row>
    <row r="1072" spans="1:5" x14ac:dyDescent="0.2">
      <c r="A1072" s="171" t="s">
        <v>2499</v>
      </c>
      <c r="B1072" s="171" t="s">
        <v>2499</v>
      </c>
      <c r="C1072" s="171" t="s">
        <v>2499</v>
      </c>
      <c r="D1072" s="171" t="s">
        <v>2499</v>
      </c>
      <c r="E1072" s="171" t="s">
        <v>2499</v>
      </c>
    </row>
    <row r="1073" spans="1:8" s="10" customFormat="1" x14ac:dyDescent="0.2">
      <c r="A1073" s="171" t="s">
        <v>2499</v>
      </c>
      <c r="B1073" s="171" t="s">
        <v>2499</v>
      </c>
      <c r="C1073" s="171" t="s">
        <v>2499</v>
      </c>
      <c r="D1073" s="171" t="s">
        <v>2499</v>
      </c>
      <c r="E1073" s="171" t="s">
        <v>2499</v>
      </c>
      <c r="F1073"/>
      <c r="G1073"/>
      <c r="H1073"/>
    </row>
    <row r="1074" spans="1:8" s="10" customFormat="1" x14ac:dyDescent="0.2">
      <c r="A1074" s="172" t="s">
        <v>2499</v>
      </c>
      <c r="B1074" s="171" t="s">
        <v>2499</v>
      </c>
      <c r="C1074" s="171" t="s">
        <v>2499</v>
      </c>
      <c r="D1074" s="171" t="s">
        <v>2499</v>
      </c>
      <c r="E1074" s="171" t="s">
        <v>2499</v>
      </c>
      <c r="F1074"/>
      <c r="G1074"/>
      <c r="H1074"/>
    </row>
    <row r="1075" spans="1:8" s="10" customFormat="1" x14ac:dyDescent="0.2">
      <c r="A1075" s="171" t="s">
        <v>2499</v>
      </c>
      <c r="B1075" s="171" t="s">
        <v>2499</v>
      </c>
      <c r="C1075" s="171" t="s">
        <v>2499</v>
      </c>
      <c r="D1075" s="171" t="s">
        <v>2499</v>
      </c>
      <c r="E1075" s="171" t="s">
        <v>2499</v>
      </c>
      <c r="F1075"/>
      <c r="G1075"/>
      <c r="H1075"/>
    </row>
    <row r="1076" spans="1:8" s="10" customFormat="1" x14ac:dyDescent="0.2">
      <c r="A1076" s="102"/>
      <c r="B1076"/>
      <c r="C1076" s="13" t="s">
        <v>309</v>
      </c>
      <c r="D1076" s="102"/>
      <c r="E1076"/>
      <c r="F1076"/>
      <c r="G1076"/>
      <c r="H1076"/>
    </row>
    <row r="1077" spans="1:8" s="10" customFormat="1" x14ac:dyDescent="0.2">
      <c r="A1077" s="102"/>
      <c r="B1077"/>
      <c r="C1077" s="13" t="s">
        <v>80</v>
      </c>
      <c r="D1077" s="102"/>
      <c r="E1077"/>
      <c r="F1077"/>
      <c r="G1077"/>
      <c r="H1077"/>
    </row>
    <row r="1078" spans="1:8" s="10" customFormat="1" x14ac:dyDescent="0.2">
      <c r="A1078" s="102"/>
      <c r="B1078"/>
      <c r="C1078" s="13" t="s">
        <v>310</v>
      </c>
      <c r="D1078" s="102"/>
      <c r="E1078"/>
      <c r="F1078"/>
      <c r="G1078"/>
      <c r="H1078"/>
    </row>
    <row r="1079" spans="1:8" s="10" customFormat="1" x14ac:dyDescent="0.2">
      <c r="A1079" s="102"/>
      <c r="B1079"/>
      <c r="C1079" s="13" t="s">
        <v>313</v>
      </c>
      <c r="D1079" s="102"/>
      <c r="E1079"/>
      <c r="F1079"/>
      <c r="G1079"/>
      <c r="H1079"/>
    </row>
    <row r="1080" spans="1:8" s="10" customFormat="1" x14ac:dyDescent="0.2">
      <c r="A1080" s="102"/>
      <c r="B1080"/>
      <c r="C1080" s="13"/>
      <c r="D1080" s="102"/>
      <c r="E1080"/>
      <c r="F1080"/>
      <c r="G1080"/>
      <c r="H1080"/>
    </row>
    <row r="1081" spans="1:8" s="10" customFormat="1" x14ac:dyDescent="0.2">
      <c r="A1081" s="102"/>
      <c r="B1081"/>
      <c r="C1081" s="13" t="s">
        <v>309</v>
      </c>
      <c r="D1081" s="102"/>
      <c r="E1081"/>
      <c r="F1081"/>
      <c r="G1081"/>
      <c r="H1081"/>
    </row>
    <row r="1082" spans="1:8" s="10" customFormat="1" x14ac:dyDescent="0.2">
      <c r="A1082" s="102"/>
      <c r="B1082"/>
      <c r="C1082" s="13" t="s">
        <v>80</v>
      </c>
      <c r="D1082" s="102"/>
      <c r="E1082"/>
      <c r="F1082"/>
      <c r="G1082"/>
      <c r="H1082"/>
    </row>
    <row r="1083" spans="1:8" s="10" customFormat="1" x14ac:dyDescent="0.2">
      <c r="A1083" s="102"/>
      <c r="B1083"/>
      <c r="C1083" s="13" t="s">
        <v>310</v>
      </c>
      <c r="D1083" s="102"/>
      <c r="E1083"/>
      <c r="F1083"/>
      <c r="G1083"/>
      <c r="H1083"/>
    </row>
    <row r="1084" spans="1:8" s="10" customFormat="1" x14ac:dyDescent="0.2">
      <c r="A1084" s="102"/>
      <c r="B1084"/>
      <c r="C1084" s="13" t="s">
        <v>313</v>
      </c>
      <c r="D1084" s="102"/>
      <c r="E1084"/>
      <c r="F1084"/>
      <c r="G1084"/>
      <c r="H1084"/>
    </row>
    <row r="1085" spans="1:8" s="10" customFormat="1" x14ac:dyDescent="0.2">
      <c r="A1085" s="102"/>
      <c r="B1085"/>
      <c r="C1085" s="13" t="s">
        <v>311</v>
      </c>
      <c r="D1085" s="102"/>
      <c r="E1085"/>
      <c r="F1085"/>
      <c r="G1085"/>
      <c r="H1085"/>
    </row>
    <row r="1086" spans="1:8" s="10" customFormat="1" x14ac:dyDescent="0.2">
      <c r="A1086" s="102"/>
      <c r="B1086"/>
      <c r="C1086" s="13"/>
      <c r="D1086" s="102"/>
      <c r="E1086"/>
      <c r="F1086"/>
      <c r="G1086"/>
      <c r="H1086"/>
    </row>
    <row r="1087" spans="1:8" s="10" customFormat="1" x14ac:dyDescent="0.2">
      <c r="A1087" s="102"/>
      <c r="B1087"/>
      <c r="C1087" s="13" t="s">
        <v>309</v>
      </c>
      <c r="D1087" s="102"/>
      <c r="E1087"/>
      <c r="F1087"/>
      <c r="G1087"/>
      <c r="H1087"/>
    </row>
    <row r="1088" spans="1:8" s="10" customFormat="1" x14ac:dyDescent="0.2">
      <c r="A1088" s="102"/>
      <c r="B1088"/>
      <c r="C1088" s="13" t="s">
        <v>80</v>
      </c>
      <c r="D1088" s="102"/>
      <c r="E1088"/>
      <c r="F1088"/>
      <c r="G1088"/>
      <c r="H1088"/>
    </row>
    <row r="1089" spans="2:8" s="10" customFormat="1" x14ac:dyDescent="0.2">
      <c r="B1089"/>
      <c r="C1089" s="13" t="s">
        <v>313</v>
      </c>
      <c r="D1089" s="102"/>
      <c r="E1089"/>
      <c r="F1089"/>
      <c r="G1089"/>
      <c r="H1089"/>
    </row>
    <row r="1090" spans="2:8" s="10" customFormat="1" x14ac:dyDescent="0.2">
      <c r="B1090"/>
      <c r="C1090" s="13"/>
      <c r="D1090" s="102"/>
      <c r="E1090"/>
      <c r="F1090"/>
      <c r="G1090"/>
      <c r="H1090"/>
    </row>
    <row r="1091" spans="2:8" s="10" customFormat="1" x14ac:dyDescent="0.2">
      <c r="B1091"/>
      <c r="C1091" s="13" t="s">
        <v>886</v>
      </c>
      <c r="D1091" s="102"/>
      <c r="E1091"/>
      <c r="F1091"/>
      <c r="G1091"/>
      <c r="H1091"/>
    </row>
    <row r="1092" spans="2:8" s="10" customFormat="1" x14ac:dyDescent="0.2">
      <c r="B1092"/>
      <c r="C1092" s="13" t="s">
        <v>314</v>
      </c>
      <c r="D1092" s="102"/>
      <c r="E1092"/>
      <c r="F1092"/>
      <c r="G1092"/>
      <c r="H1092"/>
    </row>
    <row r="1093" spans="2:8" s="10" customFormat="1" x14ac:dyDescent="0.2">
      <c r="B1093"/>
      <c r="C1093" s="13"/>
      <c r="D1093" s="102"/>
      <c r="E1093"/>
      <c r="F1093"/>
      <c r="G1093"/>
      <c r="H1093"/>
    </row>
    <row r="1094" spans="2:8" s="10" customFormat="1" x14ac:dyDescent="0.2">
      <c r="B1094"/>
      <c r="C1094" s="13" t="s">
        <v>440</v>
      </c>
      <c r="D1094" s="102"/>
      <c r="E1094"/>
      <c r="F1094"/>
      <c r="G1094"/>
      <c r="H1094"/>
    </row>
    <row r="1095" spans="2:8" s="10" customFormat="1" x14ac:dyDescent="0.2">
      <c r="B1095"/>
      <c r="C1095" s="13" t="s">
        <v>740</v>
      </c>
      <c r="D1095" s="102"/>
      <c r="E1095"/>
      <c r="F1095"/>
      <c r="G1095"/>
      <c r="H1095"/>
    </row>
    <row r="1096" spans="2:8" s="10" customFormat="1" x14ac:dyDescent="0.2">
      <c r="B1096"/>
      <c r="C1096" s="13" t="s">
        <v>741</v>
      </c>
      <c r="D1096" s="102"/>
      <c r="E1096"/>
      <c r="F1096"/>
      <c r="G1096"/>
      <c r="H1096"/>
    </row>
    <row r="1097" spans="2:8" s="10" customFormat="1" x14ac:dyDescent="0.2">
      <c r="B1097"/>
      <c r="C1097" s="13" t="s">
        <v>744</v>
      </c>
      <c r="D1097" s="102"/>
      <c r="E1097"/>
      <c r="F1097"/>
      <c r="G1097"/>
      <c r="H1097"/>
    </row>
    <row r="1098" spans="2:8" s="10" customFormat="1" x14ac:dyDescent="0.2">
      <c r="B1098"/>
      <c r="C1098" s="13" t="s">
        <v>745</v>
      </c>
      <c r="D1098" s="102"/>
      <c r="E1098"/>
      <c r="F1098"/>
      <c r="G1098"/>
      <c r="H1098"/>
    </row>
    <row r="1099" spans="2:8" s="10" customFormat="1" x14ac:dyDescent="0.2">
      <c r="B1099"/>
      <c r="C1099" s="13" t="s">
        <v>746</v>
      </c>
      <c r="D1099" s="102"/>
      <c r="E1099"/>
      <c r="F1099"/>
      <c r="G1099"/>
      <c r="H1099"/>
    </row>
    <row r="1100" spans="2:8" s="10" customFormat="1" x14ac:dyDescent="0.2">
      <c r="B1100"/>
      <c r="C1100" s="13" t="s">
        <v>747</v>
      </c>
      <c r="D1100" s="102"/>
      <c r="E1100"/>
      <c r="F1100"/>
      <c r="G1100"/>
      <c r="H1100"/>
    </row>
    <row r="1101" spans="2:8" s="10" customFormat="1" x14ac:dyDescent="0.2">
      <c r="B1101"/>
      <c r="C1101" s="13" t="s">
        <v>748</v>
      </c>
      <c r="D1101" s="102"/>
      <c r="E1101"/>
      <c r="F1101"/>
      <c r="G1101"/>
      <c r="H1101"/>
    </row>
    <row r="1102" spans="2:8" s="10" customFormat="1" x14ac:dyDescent="0.2">
      <c r="B1102"/>
      <c r="C1102" s="13" t="s">
        <v>749</v>
      </c>
      <c r="D1102" s="102"/>
      <c r="E1102"/>
      <c r="F1102"/>
      <c r="G1102"/>
      <c r="H1102"/>
    </row>
    <row r="1103" spans="2:8" s="10" customFormat="1" x14ac:dyDescent="0.2">
      <c r="B1103"/>
      <c r="C1103" s="13" t="s">
        <v>751</v>
      </c>
      <c r="D1103" s="102"/>
      <c r="E1103"/>
      <c r="F1103"/>
      <c r="G1103"/>
      <c r="H1103"/>
    </row>
    <row r="1104" spans="2:8" s="10" customFormat="1" x14ac:dyDescent="0.2">
      <c r="B1104"/>
      <c r="C1104" s="13" t="s">
        <v>485</v>
      </c>
      <c r="D1104" s="102"/>
      <c r="E1104"/>
      <c r="F1104"/>
      <c r="G1104"/>
      <c r="H1104"/>
    </row>
    <row r="1105" spans="2:8" s="10" customFormat="1" x14ac:dyDescent="0.2">
      <c r="B1105"/>
      <c r="C1105" s="13" t="s">
        <v>314</v>
      </c>
      <c r="D1105" s="102"/>
      <c r="E1105"/>
      <c r="F1105"/>
      <c r="G1105"/>
      <c r="H1105"/>
    </row>
    <row r="1106" spans="2:8" s="10" customFormat="1" x14ac:dyDescent="0.2">
      <c r="B1106"/>
      <c r="C1106" s="13"/>
      <c r="D1106" s="102"/>
      <c r="E1106"/>
      <c r="F1106"/>
      <c r="G1106"/>
      <c r="H1106"/>
    </row>
    <row r="1107" spans="2:8" s="10" customFormat="1" x14ac:dyDescent="0.2">
      <c r="B1107"/>
      <c r="C1107" s="13"/>
      <c r="D1107" s="102"/>
      <c r="E1107"/>
      <c r="F1107"/>
      <c r="G1107"/>
      <c r="H1107"/>
    </row>
    <row r="1108" spans="2:8" x14ac:dyDescent="0.2">
      <c r="C1108" s="13" t="s">
        <v>884</v>
      </c>
      <c r="D1108" s="102"/>
    </row>
    <row r="1109" spans="2:8" s="10" customFormat="1" x14ac:dyDescent="0.2">
      <c r="B1109"/>
      <c r="C1109" s="13" t="s">
        <v>885</v>
      </c>
      <c r="D1109" s="102"/>
      <c r="E1109"/>
      <c r="F1109"/>
      <c r="G1109"/>
      <c r="H1109"/>
    </row>
    <row r="1110" spans="2:8" s="10" customFormat="1" x14ac:dyDescent="0.2">
      <c r="B1110"/>
      <c r="C1110" s="13" t="s">
        <v>887</v>
      </c>
      <c r="D1110" s="102"/>
      <c r="E1110"/>
      <c r="F1110"/>
      <c r="G1110"/>
      <c r="H1110"/>
    </row>
    <row r="1111" spans="2:8" s="10" customFormat="1" x14ac:dyDescent="0.2">
      <c r="B1111"/>
      <c r="C1111" s="13" t="s">
        <v>314</v>
      </c>
      <c r="D1111" s="102"/>
      <c r="E1111"/>
      <c r="F1111"/>
      <c r="G1111"/>
      <c r="H1111"/>
    </row>
    <row r="1112" spans="2:8" s="10" customFormat="1" x14ac:dyDescent="0.2">
      <c r="B1112"/>
      <c r="C1112" s="13"/>
      <c r="D1112" s="102"/>
      <c r="E1112"/>
      <c r="F1112"/>
      <c r="G1112"/>
      <c r="H1112"/>
    </row>
    <row r="1113" spans="2:8" s="10" customFormat="1" x14ac:dyDescent="0.2">
      <c r="B1113"/>
      <c r="C1113" s="13" t="s">
        <v>321</v>
      </c>
      <c r="D1113" s="102"/>
      <c r="E1113"/>
      <c r="F1113"/>
      <c r="G1113"/>
      <c r="H1113"/>
    </row>
    <row r="1114" spans="2:8" s="10" customFormat="1" x14ac:dyDescent="0.2">
      <c r="B1114"/>
      <c r="C1114" s="13" t="s">
        <v>322</v>
      </c>
      <c r="D1114" s="102"/>
      <c r="E1114"/>
      <c r="F1114"/>
      <c r="G1114"/>
      <c r="H1114"/>
    </row>
    <row r="1115" spans="2:8" s="10" customFormat="1" x14ac:dyDescent="0.2">
      <c r="B1115"/>
      <c r="C1115" s="13" t="s">
        <v>312</v>
      </c>
      <c r="D1115" s="102"/>
      <c r="E1115"/>
      <c r="F1115"/>
      <c r="G1115"/>
      <c r="H1115"/>
    </row>
    <row r="1116" spans="2:8" s="10" customFormat="1" x14ac:dyDescent="0.2">
      <c r="B1116"/>
      <c r="C1116" s="13" t="s">
        <v>314</v>
      </c>
      <c r="D1116" s="102"/>
      <c r="E1116"/>
      <c r="F1116"/>
      <c r="G1116"/>
      <c r="H1116"/>
    </row>
    <row r="1117" spans="2:8" s="10" customFormat="1" x14ac:dyDescent="0.2">
      <c r="B1117"/>
      <c r="C1117" s="13"/>
      <c r="D1117" s="102"/>
      <c r="E1117"/>
      <c r="F1117"/>
      <c r="G1117"/>
      <c r="H1117"/>
    </row>
    <row r="1118" spans="2:8" s="10" customFormat="1" x14ac:dyDescent="0.2">
      <c r="B1118"/>
      <c r="C1118" s="13" t="s">
        <v>325</v>
      </c>
      <c r="D1118" s="102"/>
      <c r="E1118"/>
      <c r="F1118"/>
      <c r="G1118"/>
      <c r="H1118"/>
    </row>
    <row r="1119" spans="2:8" s="10" customFormat="1" x14ac:dyDescent="0.2">
      <c r="B1119"/>
      <c r="C1119" s="13" t="s">
        <v>1075</v>
      </c>
      <c r="D1119" s="102"/>
      <c r="E1119"/>
      <c r="F1119"/>
      <c r="G1119"/>
      <c r="H1119"/>
    </row>
    <row r="1120" spans="2:8" s="10" customFormat="1" x14ac:dyDescent="0.2">
      <c r="B1120"/>
      <c r="C1120" s="13"/>
      <c r="D1120" s="102"/>
      <c r="E1120"/>
      <c r="F1120"/>
      <c r="G1120"/>
      <c r="H1120"/>
    </row>
    <row r="1121" spans="2:8" x14ac:dyDescent="0.2">
      <c r="C1121" s="13" t="s">
        <v>325</v>
      </c>
      <c r="D1121" s="102"/>
    </row>
    <row r="1122" spans="2:8" s="10" customFormat="1" x14ac:dyDescent="0.2">
      <c r="B1122"/>
      <c r="C1122" s="13" t="s">
        <v>327</v>
      </c>
      <c r="D1122" s="102"/>
      <c r="E1122"/>
      <c r="F1122"/>
      <c r="G1122"/>
      <c r="H1122"/>
    </row>
    <row r="1123" spans="2:8" s="10" customFormat="1" x14ac:dyDescent="0.2">
      <c r="B1123"/>
      <c r="C1123" s="13" t="s">
        <v>329</v>
      </c>
      <c r="D1123" s="102"/>
      <c r="E1123"/>
      <c r="F1123"/>
      <c r="G1123"/>
      <c r="H1123"/>
    </row>
    <row r="1124" spans="2:8" s="10" customFormat="1" x14ac:dyDescent="0.2">
      <c r="B1124"/>
      <c r="C1124" s="13" t="s">
        <v>331</v>
      </c>
      <c r="D1124" s="102"/>
      <c r="E1124"/>
      <c r="F1124"/>
      <c r="G1124"/>
      <c r="H1124"/>
    </row>
    <row r="1125" spans="2:8" x14ac:dyDescent="0.2">
      <c r="C1125" s="13" t="s">
        <v>336</v>
      </c>
      <c r="D1125" s="102"/>
    </row>
    <row r="1126" spans="2:8" x14ac:dyDescent="0.2">
      <c r="C1126" s="13" t="s">
        <v>314</v>
      </c>
      <c r="D1126" s="102"/>
    </row>
    <row r="1129" spans="2:8" x14ac:dyDescent="0.2">
      <c r="C1129" s="13" t="s">
        <v>436</v>
      </c>
      <c r="D1129" s="102"/>
    </row>
    <row r="1130" spans="2:8" x14ac:dyDescent="0.2">
      <c r="C1130" s="13" t="s">
        <v>437</v>
      </c>
      <c r="D1130" s="102"/>
    </row>
    <row r="1131" spans="2:8" x14ac:dyDescent="0.2">
      <c r="C1131" s="13" t="s">
        <v>439</v>
      </c>
      <c r="D1131" s="102"/>
    </row>
    <row r="1132" spans="2:8" x14ac:dyDescent="0.2">
      <c r="C1132" s="13" t="s">
        <v>440</v>
      </c>
      <c r="D1132" s="102"/>
    </row>
    <row r="1133" spans="2:8" x14ac:dyDescent="0.2">
      <c r="C1133" s="13" t="s">
        <v>441</v>
      </c>
      <c r="D1133" s="102"/>
    </row>
    <row r="1134" spans="2:8" x14ac:dyDescent="0.2">
      <c r="C1134" s="13" t="s">
        <v>443</v>
      </c>
      <c r="D1134" s="102"/>
    </row>
    <row r="1135" spans="2:8" x14ac:dyDescent="0.2">
      <c r="C1135" s="13" t="s">
        <v>444</v>
      </c>
      <c r="D1135" s="102"/>
    </row>
    <row r="1136" spans="2:8" x14ac:dyDescent="0.2">
      <c r="C1136" s="13" t="s">
        <v>445</v>
      </c>
      <c r="D1136" s="102"/>
    </row>
    <row r="1137" spans="3:3" x14ac:dyDescent="0.2">
      <c r="C1137" s="13" t="s">
        <v>446</v>
      </c>
    </row>
    <row r="1138" spans="3:3" x14ac:dyDescent="0.2">
      <c r="C1138" s="13" t="s">
        <v>447</v>
      </c>
    </row>
    <row r="1139" spans="3:3" x14ac:dyDescent="0.2">
      <c r="C1139" s="13" t="s">
        <v>448</v>
      </c>
    </row>
    <row r="1140" spans="3:3" x14ac:dyDescent="0.2">
      <c r="C1140" s="13" t="s">
        <v>449</v>
      </c>
    </row>
    <row r="1141" spans="3:3" x14ac:dyDescent="0.2">
      <c r="C1141" s="13" t="s">
        <v>450</v>
      </c>
    </row>
    <row r="1142" spans="3:3" x14ac:dyDescent="0.2">
      <c r="C1142" s="13" t="s">
        <v>451</v>
      </c>
    </row>
    <row r="1143" spans="3:3" x14ac:dyDescent="0.2">
      <c r="C1143" s="13" t="s">
        <v>452</v>
      </c>
    </row>
    <row r="1144" spans="3:3" x14ac:dyDescent="0.2">
      <c r="C1144" s="13" t="s">
        <v>454</v>
      </c>
    </row>
    <row r="1145" spans="3:3" x14ac:dyDescent="0.2">
      <c r="C1145" s="13" t="s">
        <v>455</v>
      </c>
    </row>
    <row r="1146" spans="3:3" x14ac:dyDescent="0.2">
      <c r="C1146" s="13" t="s">
        <v>456</v>
      </c>
    </row>
    <row r="1147" spans="3:3" x14ac:dyDescent="0.2">
      <c r="C1147" s="13" t="s">
        <v>458</v>
      </c>
    </row>
    <row r="1148" spans="3:3" x14ac:dyDescent="0.2">
      <c r="C1148" s="13" t="s">
        <v>459</v>
      </c>
    </row>
    <row r="1149" spans="3:3" x14ac:dyDescent="0.2">
      <c r="C1149" s="13" t="s">
        <v>460</v>
      </c>
    </row>
    <row r="1150" spans="3:3" x14ac:dyDescent="0.2">
      <c r="C1150" s="13" t="s">
        <v>461</v>
      </c>
    </row>
    <row r="1151" spans="3:3" x14ac:dyDescent="0.2">
      <c r="C1151" s="13" t="s">
        <v>462</v>
      </c>
    </row>
    <row r="1152" spans="3:3" x14ac:dyDescent="0.2">
      <c r="C1152" s="13" t="s">
        <v>463</v>
      </c>
    </row>
    <row r="1153" spans="3:3" x14ac:dyDescent="0.2">
      <c r="C1153" s="13" t="s">
        <v>464</v>
      </c>
    </row>
    <row r="1154" spans="3:3" x14ac:dyDescent="0.2">
      <c r="C1154" s="13" t="s">
        <v>465</v>
      </c>
    </row>
    <row r="1155" spans="3:3" x14ac:dyDescent="0.2">
      <c r="C1155" s="13" t="s">
        <v>466</v>
      </c>
    </row>
    <row r="1156" spans="3:3" x14ac:dyDescent="0.2">
      <c r="C1156" s="13" t="s">
        <v>467</v>
      </c>
    </row>
    <row r="1157" spans="3:3" x14ac:dyDescent="0.2">
      <c r="C1157" s="13" t="s">
        <v>468</v>
      </c>
    </row>
    <row r="1158" spans="3:3" x14ac:dyDescent="0.2">
      <c r="C1158" s="13" t="s">
        <v>469</v>
      </c>
    </row>
    <row r="1159" spans="3:3" x14ac:dyDescent="0.2">
      <c r="C1159" s="13" t="s">
        <v>470</v>
      </c>
    </row>
    <row r="1160" spans="3:3" x14ac:dyDescent="0.2">
      <c r="C1160" s="13" t="s">
        <v>471</v>
      </c>
    </row>
    <row r="1161" spans="3:3" x14ac:dyDescent="0.2">
      <c r="C1161" s="13" t="s">
        <v>472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473</v>
      </c>
    </row>
    <row r="1164" spans="3:3" x14ac:dyDescent="0.2">
      <c r="C1164" s="13" t="s">
        <v>475</v>
      </c>
    </row>
    <row r="1165" spans="3:3" x14ac:dyDescent="0.2">
      <c r="C1165" s="13" t="s">
        <v>476</v>
      </c>
    </row>
    <row r="1166" spans="3:3" x14ac:dyDescent="0.2">
      <c r="C1166" s="13" t="s">
        <v>477</v>
      </c>
    </row>
    <row r="1167" spans="3:3" x14ac:dyDescent="0.2">
      <c r="C1167" s="13" t="s">
        <v>478</v>
      </c>
    </row>
    <row r="1168" spans="3:3" x14ac:dyDescent="0.2">
      <c r="C1168" s="13" t="s">
        <v>480</v>
      </c>
    </row>
    <row r="1169" spans="3:3" x14ac:dyDescent="0.2">
      <c r="C1169" s="13" t="s">
        <v>484</v>
      </c>
    </row>
    <row r="1170" spans="3:3" x14ac:dyDescent="0.2">
      <c r="C1170" s="13" t="s">
        <v>314</v>
      </c>
    </row>
    <row r="1171" spans="3:3" x14ac:dyDescent="0.2">
      <c r="C1171" s="13" t="s">
        <v>486</v>
      </c>
    </row>
    <row r="1172" spans="3:3" x14ac:dyDescent="0.2">
      <c r="C1172" s="13" t="s">
        <v>487</v>
      </c>
    </row>
    <row r="1173" spans="3:3" x14ac:dyDescent="0.2">
      <c r="C1173" s="13" t="s">
        <v>488</v>
      </c>
    </row>
    <row r="1174" spans="3:3" x14ac:dyDescent="0.2">
      <c r="C1174" s="13" t="s">
        <v>489</v>
      </c>
    </row>
    <row r="1175" spans="3:3" x14ac:dyDescent="0.2">
      <c r="C1175" s="13" t="s">
        <v>490</v>
      </c>
    </row>
    <row r="1176" spans="3:3" x14ac:dyDescent="0.2">
      <c r="C1176" s="13" t="s">
        <v>491</v>
      </c>
    </row>
    <row r="1177" spans="3:3" x14ac:dyDescent="0.2">
      <c r="C1177" s="13" t="s">
        <v>492</v>
      </c>
    </row>
    <row r="1178" spans="3:3" x14ac:dyDescent="0.2">
      <c r="C1178" s="13" t="s">
        <v>493</v>
      </c>
    </row>
    <row r="1179" spans="3:3" x14ac:dyDescent="0.2">
      <c r="C1179" s="13" t="s">
        <v>494</v>
      </c>
    </row>
    <row r="1180" spans="3:3" x14ac:dyDescent="0.2">
      <c r="C1180" s="13" t="s">
        <v>495</v>
      </c>
    </row>
    <row r="1181" spans="3:3" x14ac:dyDescent="0.2">
      <c r="C1181" s="13" t="s">
        <v>496</v>
      </c>
    </row>
    <row r="1182" spans="3:3" x14ac:dyDescent="0.2">
      <c r="C1182" s="13" t="s">
        <v>497</v>
      </c>
    </row>
    <row r="1183" spans="3:3" x14ac:dyDescent="0.2">
      <c r="C1183" s="13" t="s">
        <v>498</v>
      </c>
    </row>
    <row r="1184" spans="3:3" x14ac:dyDescent="0.2">
      <c r="C1184" s="13" t="s">
        <v>499</v>
      </c>
    </row>
    <row r="1185" spans="3:3" x14ac:dyDescent="0.2">
      <c r="C1185" s="13" t="s">
        <v>500</v>
      </c>
    </row>
    <row r="1186" spans="3:3" x14ac:dyDescent="0.2">
      <c r="C1186" s="13" t="s">
        <v>501</v>
      </c>
    </row>
    <row r="1187" spans="3:3" x14ac:dyDescent="0.2">
      <c r="C1187" s="13" t="s">
        <v>502</v>
      </c>
    </row>
    <row r="1188" spans="3:3" x14ac:dyDescent="0.2">
      <c r="C1188" s="13" t="s">
        <v>503</v>
      </c>
    </row>
    <row r="1189" spans="3:3" x14ac:dyDescent="0.2">
      <c r="C1189" s="13" t="s">
        <v>505</v>
      </c>
    </row>
    <row r="1190" spans="3:3" x14ac:dyDescent="0.2">
      <c r="C1190" s="13" t="s">
        <v>507</v>
      </c>
    </row>
    <row r="1191" spans="3:3" x14ac:dyDescent="0.2">
      <c r="C1191" s="13" t="s">
        <v>509</v>
      </c>
    </row>
    <row r="1192" spans="3:3" x14ac:dyDescent="0.2">
      <c r="C1192" s="123" t="s">
        <v>510</v>
      </c>
    </row>
    <row r="1193" spans="3:3" x14ac:dyDescent="0.2">
      <c r="C1193" s="13" t="s">
        <v>512</v>
      </c>
    </row>
    <row r="1194" spans="3:3" x14ac:dyDescent="0.2">
      <c r="C1194" s="13" t="s">
        <v>513</v>
      </c>
    </row>
    <row r="1195" spans="3:3" x14ac:dyDescent="0.2">
      <c r="C1195" s="13" t="s">
        <v>514</v>
      </c>
    </row>
    <row r="1196" spans="3:3" x14ac:dyDescent="0.2">
      <c r="C1196" s="13" t="s">
        <v>515</v>
      </c>
    </row>
    <row r="1197" spans="3:3" x14ac:dyDescent="0.2">
      <c r="C1197" s="13" t="s">
        <v>516</v>
      </c>
    </row>
    <row r="1198" spans="3:3" x14ac:dyDescent="0.2">
      <c r="C1198" s="13" t="s">
        <v>517</v>
      </c>
    </row>
    <row r="1199" spans="3:3" x14ac:dyDescent="0.2">
      <c r="C1199" s="13" t="s">
        <v>518</v>
      </c>
    </row>
    <row r="1200" spans="3:3" x14ac:dyDescent="0.2">
      <c r="C1200" s="13" t="s">
        <v>519</v>
      </c>
    </row>
    <row r="1201" spans="3:3" x14ac:dyDescent="0.2">
      <c r="C1201" s="13" t="s">
        <v>521</v>
      </c>
    </row>
    <row r="1202" spans="3:3" x14ac:dyDescent="0.2">
      <c r="C1202" s="13" t="s">
        <v>522</v>
      </c>
    </row>
    <row r="1203" spans="3:3" x14ac:dyDescent="0.2">
      <c r="C1203" s="13" t="s">
        <v>524</v>
      </c>
    </row>
    <row r="1204" spans="3:3" x14ac:dyDescent="0.2">
      <c r="C1204" s="13" t="s">
        <v>525</v>
      </c>
    </row>
    <row r="1205" spans="3:3" x14ac:dyDescent="0.2">
      <c r="C1205" s="13" t="s">
        <v>526</v>
      </c>
    </row>
    <row r="1206" spans="3:3" x14ac:dyDescent="0.2">
      <c r="C1206" s="13" t="s">
        <v>527</v>
      </c>
    </row>
    <row r="1207" spans="3:3" x14ac:dyDescent="0.2">
      <c r="C1207" s="13" t="s">
        <v>528</v>
      </c>
    </row>
    <row r="1208" spans="3:3" x14ac:dyDescent="0.2">
      <c r="C1208" s="13" t="s">
        <v>530</v>
      </c>
    </row>
    <row r="1209" spans="3:3" x14ac:dyDescent="0.2">
      <c r="C1209" s="13" t="s">
        <v>531</v>
      </c>
    </row>
    <row r="1210" spans="3:3" x14ac:dyDescent="0.2">
      <c r="C1210" s="13" t="s">
        <v>532</v>
      </c>
    </row>
    <row r="1211" spans="3:3" x14ac:dyDescent="0.2">
      <c r="C1211" s="13" t="s">
        <v>533</v>
      </c>
    </row>
    <row r="1212" spans="3:3" x14ac:dyDescent="0.2">
      <c r="C1212" s="13" t="s">
        <v>534</v>
      </c>
    </row>
    <row r="1213" spans="3:3" x14ac:dyDescent="0.2">
      <c r="C1213" s="13" t="s">
        <v>535</v>
      </c>
    </row>
    <row r="1214" spans="3:3" x14ac:dyDescent="0.2">
      <c r="C1214" s="13" t="s">
        <v>536</v>
      </c>
    </row>
    <row r="1215" spans="3:3" x14ac:dyDescent="0.2">
      <c r="C1215" s="13" t="s">
        <v>537</v>
      </c>
    </row>
    <row r="1216" spans="3:3" x14ac:dyDescent="0.2">
      <c r="C1216" s="13" t="s">
        <v>539</v>
      </c>
    </row>
    <row r="1217" spans="3:3" x14ac:dyDescent="0.2">
      <c r="C1217" s="13" t="s">
        <v>540</v>
      </c>
    </row>
    <row r="1218" spans="3:3" x14ac:dyDescent="0.2">
      <c r="C1218" s="13" t="s">
        <v>541</v>
      </c>
    </row>
    <row r="1219" spans="3:3" x14ac:dyDescent="0.2">
      <c r="C1219" s="13" t="s">
        <v>542</v>
      </c>
    </row>
    <row r="1220" spans="3:3" x14ac:dyDescent="0.2">
      <c r="C1220" s="13" t="s">
        <v>543</v>
      </c>
    </row>
    <row r="1221" spans="3:3" x14ac:dyDescent="0.2">
      <c r="C1221" s="13" t="s">
        <v>544</v>
      </c>
    </row>
    <row r="1222" spans="3:3" x14ac:dyDescent="0.2">
      <c r="C1222" s="13" t="s">
        <v>545</v>
      </c>
    </row>
    <row r="1223" spans="3:3" x14ac:dyDescent="0.2">
      <c r="C1223" s="13" t="s">
        <v>546</v>
      </c>
    </row>
    <row r="1224" spans="3:3" x14ac:dyDescent="0.2">
      <c r="C1224" s="13" t="s">
        <v>547</v>
      </c>
    </row>
    <row r="1225" spans="3:3" x14ac:dyDescent="0.2">
      <c r="C1225" s="13" t="s">
        <v>548</v>
      </c>
    </row>
    <row r="1226" spans="3:3" x14ac:dyDescent="0.2">
      <c r="C1226" s="13" t="s">
        <v>549</v>
      </c>
    </row>
    <row r="1227" spans="3:3" x14ac:dyDescent="0.2">
      <c r="C1227" s="13" t="s">
        <v>550</v>
      </c>
    </row>
    <row r="1228" spans="3:3" x14ac:dyDescent="0.2">
      <c r="C1228" s="13" t="s">
        <v>551</v>
      </c>
    </row>
    <row r="1229" spans="3:3" x14ac:dyDescent="0.2">
      <c r="C1229" s="13" t="s">
        <v>552</v>
      </c>
    </row>
    <row r="1230" spans="3:3" x14ac:dyDescent="0.2">
      <c r="C1230" s="13" t="s">
        <v>553</v>
      </c>
    </row>
    <row r="1231" spans="3:3" x14ac:dyDescent="0.2">
      <c r="C1231" s="13" t="s">
        <v>554</v>
      </c>
    </row>
    <row r="1232" spans="3:3" x14ac:dyDescent="0.2">
      <c r="C1232" s="13" t="s">
        <v>555</v>
      </c>
    </row>
    <row r="1233" spans="3:3" x14ac:dyDescent="0.2">
      <c r="C1233" s="13" t="s">
        <v>556</v>
      </c>
    </row>
    <row r="1234" spans="3:3" x14ac:dyDescent="0.2">
      <c r="C1234" s="13" t="s">
        <v>557</v>
      </c>
    </row>
    <row r="1235" spans="3:3" x14ac:dyDescent="0.2">
      <c r="C1235" s="13" t="s">
        <v>558</v>
      </c>
    </row>
    <row r="1236" spans="3:3" x14ac:dyDescent="0.2">
      <c r="C1236" s="13" t="s">
        <v>559</v>
      </c>
    </row>
    <row r="1237" spans="3:3" x14ac:dyDescent="0.2">
      <c r="C1237" s="13" t="s">
        <v>561</v>
      </c>
    </row>
    <row r="1238" spans="3:3" x14ac:dyDescent="0.2">
      <c r="C1238" s="13" t="s">
        <v>562</v>
      </c>
    </row>
    <row r="1239" spans="3:3" x14ac:dyDescent="0.2">
      <c r="C1239" s="13" t="s">
        <v>563</v>
      </c>
    </row>
    <row r="1240" spans="3:3" x14ac:dyDescent="0.2">
      <c r="C1240" s="13" t="s">
        <v>564</v>
      </c>
    </row>
    <row r="1241" spans="3:3" x14ac:dyDescent="0.2">
      <c r="C1241" s="13" t="s">
        <v>565</v>
      </c>
    </row>
    <row r="1242" spans="3:3" x14ac:dyDescent="0.2">
      <c r="C1242" s="13" t="s">
        <v>566</v>
      </c>
    </row>
    <row r="1243" spans="3:3" x14ac:dyDescent="0.2">
      <c r="C1243" s="13" t="s">
        <v>567</v>
      </c>
    </row>
    <row r="1244" spans="3:3" x14ac:dyDescent="0.2">
      <c r="C1244" s="13" t="s">
        <v>568</v>
      </c>
    </row>
    <row r="1245" spans="3:3" x14ac:dyDescent="0.2">
      <c r="C1245" s="13" t="s">
        <v>569</v>
      </c>
    </row>
    <row r="1248" spans="3:3" x14ac:dyDescent="0.2">
      <c r="C1248" s="13" t="s">
        <v>326</v>
      </c>
    </row>
    <row r="1249" spans="3:3" x14ac:dyDescent="0.2">
      <c r="C1249" s="13" t="s">
        <v>327</v>
      </c>
    </row>
    <row r="1250" spans="3:3" x14ac:dyDescent="0.2">
      <c r="C1250" s="13" t="s">
        <v>329</v>
      </c>
    </row>
    <row r="1251" spans="3:3" x14ac:dyDescent="0.2">
      <c r="C1251" s="13" t="s">
        <v>332</v>
      </c>
    </row>
    <row r="1252" spans="3:3" x14ac:dyDescent="0.2">
      <c r="C1252" s="13" t="s">
        <v>334</v>
      </c>
    </row>
    <row r="1253" spans="3:3" x14ac:dyDescent="0.2">
      <c r="C1253" s="13" t="s">
        <v>314</v>
      </c>
    </row>
    <row r="1255" spans="3:3" x14ac:dyDescent="0.2">
      <c r="C1255" s="13" t="s">
        <v>326</v>
      </c>
    </row>
    <row r="1256" spans="3:3" x14ac:dyDescent="0.2">
      <c r="C1256" s="13" t="s">
        <v>331</v>
      </c>
    </row>
    <row r="1257" spans="3:3" x14ac:dyDescent="0.2">
      <c r="C1257" s="13" t="s">
        <v>336</v>
      </c>
    </row>
    <row r="1258" spans="3:3" x14ac:dyDescent="0.2">
      <c r="C1258" s="13" t="s">
        <v>327</v>
      </c>
    </row>
    <row r="1259" spans="3:3" x14ac:dyDescent="0.2">
      <c r="C1259" s="13" t="s">
        <v>314</v>
      </c>
    </row>
    <row r="1261" spans="3:3" x14ac:dyDescent="0.2">
      <c r="C1261" s="13" t="s">
        <v>325</v>
      </c>
    </row>
    <row r="1262" spans="3:3" x14ac:dyDescent="0.2">
      <c r="C1262" s="13" t="s">
        <v>327</v>
      </c>
    </row>
    <row r="1263" spans="3:3" x14ac:dyDescent="0.2">
      <c r="C1263" s="13" t="s">
        <v>334</v>
      </c>
    </row>
    <row r="1264" spans="3:3" x14ac:dyDescent="0.2">
      <c r="C1264" s="13" t="s">
        <v>332</v>
      </c>
    </row>
    <row r="1265" spans="3:3" x14ac:dyDescent="0.2">
      <c r="C1265" s="13" t="s">
        <v>314</v>
      </c>
    </row>
    <row r="1267" spans="3:3" x14ac:dyDescent="0.2">
      <c r="C1267" s="13" t="s">
        <v>326</v>
      </c>
    </row>
    <row r="1268" spans="3:3" x14ac:dyDescent="0.2">
      <c r="C1268" s="13" t="s">
        <v>327</v>
      </c>
    </row>
    <row r="1269" spans="3:3" x14ac:dyDescent="0.2">
      <c r="C1269" s="13" t="s">
        <v>314</v>
      </c>
    </row>
    <row r="1272" spans="3:3" x14ac:dyDescent="0.2">
      <c r="C1272" s="13" t="s">
        <v>325</v>
      </c>
    </row>
    <row r="1273" spans="3:3" x14ac:dyDescent="0.2">
      <c r="C1273" s="13" t="s">
        <v>327</v>
      </c>
    </row>
    <row r="1274" spans="3:3" x14ac:dyDescent="0.2">
      <c r="C1274" s="13" t="s">
        <v>329</v>
      </c>
    </row>
    <row r="1275" spans="3:3" x14ac:dyDescent="0.2">
      <c r="C1275" s="13" t="s">
        <v>331</v>
      </c>
    </row>
    <row r="1276" spans="3:3" x14ac:dyDescent="0.2">
      <c r="C1276" s="13" t="s">
        <v>332</v>
      </c>
    </row>
    <row r="1277" spans="3:3" x14ac:dyDescent="0.2">
      <c r="C1277" s="13" t="s">
        <v>333</v>
      </c>
    </row>
    <row r="1278" spans="3:3" x14ac:dyDescent="0.2">
      <c r="C1278" s="13" t="s">
        <v>334</v>
      </c>
    </row>
    <row r="1279" spans="3:3" x14ac:dyDescent="0.2">
      <c r="C1279" s="13" t="s">
        <v>335</v>
      </c>
    </row>
    <row r="1280" spans="3:3" x14ac:dyDescent="0.2">
      <c r="C1280" s="13" t="s">
        <v>336</v>
      </c>
    </row>
    <row r="1281" spans="3:3" x14ac:dyDescent="0.2">
      <c r="C1281" s="13" t="s">
        <v>314</v>
      </c>
    </row>
    <row r="1283" spans="3:3" x14ac:dyDescent="0.2">
      <c r="C1283" s="13" t="s">
        <v>340</v>
      </c>
    </row>
    <row r="1284" spans="3:3" x14ac:dyDescent="0.2">
      <c r="C1284" s="13" t="s">
        <v>342</v>
      </c>
    </row>
    <row r="1285" spans="3:3" x14ac:dyDescent="0.2">
      <c r="C1285" s="13" t="s">
        <v>344</v>
      </c>
    </row>
    <row r="1286" spans="3:3" x14ac:dyDescent="0.2">
      <c r="C1286" s="13" t="s">
        <v>346</v>
      </c>
    </row>
    <row r="1287" spans="3:3" x14ac:dyDescent="0.2">
      <c r="C1287" s="13" t="s">
        <v>348</v>
      </c>
    </row>
    <row r="1288" spans="3:3" x14ac:dyDescent="0.2">
      <c r="C1288" s="13" t="s">
        <v>350</v>
      </c>
    </row>
    <row r="1289" spans="3:3" x14ac:dyDescent="0.2">
      <c r="C1289" s="13" t="s">
        <v>352</v>
      </c>
    </row>
    <row r="1290" spans="3:3" x14ac:dyDescent="0.2">
      <c r="C1290" s="13" t="s">
        <v>354</v>
      </c>
    </row>
    <row r="1291" spans="3:3" x14ac:dyDescent="0.2">
      <c r="C1291" s="13" t="s">
        <v>356</v>
      </c>
    </row>
    <row r="1292" spans="3:3" x14ac:dyDescent="0.2">
      <c r="C1292" s="13" t="s">
        <v>358</v>
      </c>
    </row>
    <row r="1293" spans="3:3" x14ac:dyDescent="0.2">
      <c r="C1293" s="13" t="s">
        <v>360</v>
      </c>
    </row>
    <row r="1294" spans="3:3" x14ac:dyDescent="0.2">
      <c r="C1294" s="13" t="s">
        <v>362</v>
      </c>
    </row>
    <row r="1295" spans="3:3" x14ac:dyDescent="0.2">
      <c r="C1295" s="13" t="s">
        <v>364</v>
      </c>
    </row>
    <row r="1296" spans="3:3" x14ac:dyDescent="0.2">
      <c r="C1296" s="13" t="s">
        <v>366</v>
      </c>
    </row>
    <row r="1297" spans="3:3" x14ac:dyDescent="0.2">
      <c r="C1297" s="13" t="s">
        <v>368</v>
      </c>
    </row>
    <row r="1298" spans="3:3" x14ac:dyDescent="0.2">
      <c r="C1298" s="13" t="s">
        <v>370</v>
      </c>
    </row>
    <row r="1299" spans="3:3" x14ac:dyDescent="0.2">
      <c r="C1299" s="13" t="s">
        <v>372</v>
      </c>
    </row>
    <row r="1300" spans="3:3" x14ac:dyDescent="0.2">
      <c r="C1300" s="13" t="s">
        <v>374</v>
      </c>
    </row>
    <row r="1301" spans="3:3" x14ac:dyDescent="0.2">
      <c r="C1301" s="13" t="s">
        <v>376</v>
      </c>
    </row>
    <row r="1302" spans="3:3" x14ac:dyDescent="0.2">
      <c r="C1302" s="13" t="s">
        <v>378</v>
      </c>
    </row>
    <row r="1303" spans="3:3" x14ac:dyDescent="0.2">
      <c r="C1303" s="13" t="s">
        <v>380</v>
      </c>
    </row>
    <row r="1304" spans="3:3" x14ac:dyDescent="0.2">
      <c r="C1304" s="13" t="s">
        <v>382</v>
      </c>
    </row>
    <row r="1305" spans="3:3" x14ac:dyDescent="0.2">
      <c r="C1305" s="13" t="s">
        <v>384</v>
      </c>
    </row>
    <row r="1306" spans="3:3" x14ac:dyDescent="0.2">
      <c r="C1306" s="13" t="s">
        <v>386</v>
      </c>
    </row>
    <row r="1307" spans="3:3" x14ac:dyDescent="0.2">
      <c r="C1307" s="13" t="s">
        <v>388</v>
      </c>
    </row>
    <row r="1308" spans="3:3" x14ac:dyDescent="0.2">
      <c r="C1308" s="13" t="s">
        <v>390</v>
      </c>
    </row>
    <row r="1309" spans="3:3" x14ac:dyDescent="0.2">
      <c r="C1309" s="13" t="s">
        <v>392</v>
      </c>
    </row>
    <row r="1310" spans="3:3" x14ac:dyDescent="0.2">
      <c r="C1310" s="13" t="s">
        <v>394</v>
      </c>
    </row>
    <row r="1311" spans="3:3" x14ac:dyDescent="0.2">
      <c r="C1311" s="13" t="s">
        <v>396</v>
      </c>
    </row>
    <row r="1312" spans="3:3" x14ac:dyDescent="0.2">
      <c r="C1312" s="13" t="s">
        <v>398</v>
      </c>
    </row>
    <row r="1313" spans="1:36" x14ac:dyDescent="0.2">
      <c r="C1313" s="13" t="s">
        <v>400</v>
      </c>
    </row>
    <row r="1314" spans="1:36" x14ac:dyDescent="0.2">
      <c r="C1314" s="13" t="s">
        <v>402</v>
      </c>
    </row>
    <row r="1315" spans="1:36" x14ac:dyDescent="0.2">
      <c r="C1315" s="13" t="s">
        <v>314</v>
      </c>
    </row>
    <row r="1316" spans="1:36" x14ac:dyDescent="0.2">
      <c r="A1316" s="169" t="s">
        <v>2494</v>
      </c>
      <c r="B1316" s="169"/>
      <c r="C1316" s="169"/>
      <c r="D1316" s="169"/>
      <c r="E1316" s="169"/>
      <c r="F1316" s="169"/>
      <c r="G1316" s="169"/>
      <c r="H1316" s="169"/>
      <c r="I1316" s="169"/>
      <c r="J1316" s="169"/>
      <c r="K1316" s="169"/>
      <c r="L1316" s="169"/>
      <c r="M1316" s="169"/>
      <c r="N1316" s="169"/>
      <c r="O1316" s="169"/>
      <c r="P1316" s="169"/>
      <c r="Q1316" s="169"/>
      <c r="R1316" s="169"/>
      <c r="S1316" s="169"/>
      <c r="T1316" s="169"/>
      <c r="U1316" s="169"/>
      <c r="V1316" s="169"/>
      <c r="W1316" s="169"/>
      <c r="X1316" s="169"/>
      <c r="Y1316" s="169"/>
      <c r="Z1316" s="169"/>
      <c r="AA1316" s="169"/>
      <c r="AB1316" s="169"/>
      <c r="AC1316" s="169"/>
      <c r="AD1316" s="169"/>
      <c r="AE1316" s="169"/>
      <c r="AF1316" s="169"/>
      <c r="AG1316" s="169"/>
      <c r="AH1316" s="169"/>
      <c r="AI1316" s="169"/>
      <c r="AJ1316" s="169"/>
    </row>
  </sheetData>
  <sortState xmlns:xlrd2="http://schemas.microsoft.com/office/spreadsheetml/2017/richdata2" ref="C81:C84">
    <sortCondition ref="C81"/>
  </sortState>
  <mergeCells count="1">
    <mergeCell ref="A1316:AJ1316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6"/>
  <sheetViews>
    <sheetView showGridLines="0" rightToLeft="1" workbookViewId="0">
      <pane ySplit="1" topLeftCell="A2" activePane="bottomLeft" state="frozen"/>
      <selection pane="bottomLeft" activeCell="B802" sqref="B802"/>
    </sheetView>
  </sheetViews>
  <sheetFormatPr defaultRowHeight="15" outlineLevelRow="1" x14ac:dyDescent="0.25"/>
  <cols>
    <col min="1" max="1" width="25.625" style="46" customWidth="1"/>
    <col min="2" max="2" width="48.75" style="46" customWidth="1"/>
    <col min="3" max="3" width="12" customWidth="1"/>
    <col min="4" max="4" width="23.75" style="1" customWidth="1"/>
    <col min="5" max="5" width="14.25" customWidth="1"/>
  </cols>
  <sheetData>
    <row r="1" spans="1:5" ht="15.75" x14ac:dyDescent="0.25">
      <c r="A1" s="173" t="s">
        <v>1076</v>
      </c>
      <c r="B1" s="174" t="s">
        <v>1077</v>
      </c>
      <c r="C1" s="174" t="s">
        <v>1078</v>
      </c>
      <c r="D1" s="175" t="s">
        <v>1079</v>
      </c>
      <c r="E1" s="95"/>
    </row>
    <row r="2" spans="1:5" ht="15.75" outlineLevel="1" x14ac:dyDescent="0.2">
      <c r="A2" s="30" t="s">
        <v>19</v>
      </c>
      <c r="B2" s="31" t="s">
        <v>49</v>
      </c>
      <c r="C2" s="30">
        <v>5.0999999999999996</v>
      </c>
      <c r="D2" s="85"/>
    </row>
    <row r="3" spans="1:5" ht="15.75" outlineLevel="1" x14ac:dyDescent="0.2">
      <c r="A3" s="30" t="s">
        <v>19</v>
      </c>
      <c r="B3" s="31" t="s">
        <v>50</v>
      </c>
      <c r="C3" s="30">
        <v>5.2</v>
      </c>
      <c r="D3" s="85"/>
    </row>
    <row r="4" spans="1:5" ht="15.75" outlineLevel="1" x14ac:dyDescent="0.2">
      <c r="A4" s="30" t="s">
        <v>19</v>
      </c>
      <c r="B4" s="31" t="s">
        <v>51</v>
      </c>
      <c r="C4" s="30">
        <v>5.4</v>
      </c>
      <c r="D4" s="85"/>
    </row>
    <row r="5" spans="1:5" ht="15.75" outlineLevel="1" x14ac:dyDescent="0.2">
      <c r="A5" s="30" t="s">
        <v>19</v>
      </c>
      <c r="B5" s="31" t="s">
        <v>52</v>
      </c>
      <c r="C5" s="30">
        <v>5.7</v>
      </c>
      <c r="D5" s="85"/>
    </row>
    <row r="6" spans="1:5" ht="15.75" outlineLevel="1" x14ac:dyDescent="0.2">
      <c r="A6" s="30" t="s">
        <v>19</v>
      </c>
      <c r="B6" s="31" t="s">
        <v>53</v>
      </c>
      <c r="C6" s="30">
        <v>5.1100000000000003</v>
      </c>
      <c r="D6" s="85"/>
    </row>
    <row r="7" spans="1:5" ht="15.75" outlineLevel="1" x14ac:dyDescent="0.2">
      <c r="A7" s="30" t="s">
        <v>19</v>
      </c>
      <c r="B7" s="31" t="s">
        <v>54</v>
      </c>
      <c r="C7" s="30">
        <v>5.26</v>
      </c>
      <c r="D7" s="85"/>
    </row>
    <row r="8" spans="1:5" ht="15.75" outlineLevel="1" x14ac:dyDescent="0.2">
      <c r="A8" s="30" t="s">
        <v>19</v>
      </c>
      <c r="B8" s="31" t="s">
        <v>55</v>
      </c>
      <c r="C8" s="30">
        <v>5.27</v>
      </c>
      <c r="D8" s="85"/>
    </row>
    <row r="9" spans="1:5" ht="15.75" outlineLevel="1" x14ac:dyDescent="0.2">
      <c r="A9" s="30" t="s">
        <v>19</v>
      </c>
      <c r="B9" s="31" t="s">
        <v>56</v>
      </c>
      <c r="C9" s="30">
        <v>5.36</v>
      </c>
      <c r="D9" s="85"/>
    </row>
    <row r="10" spans="1:5" ht="15.75" outlineLevel="1" x14ac:dyDescent="0.2">
      <c r="A10" s="30" t="s">
        <v>19</v>
      </c>
      <c r="B10" s="31" t="s">
        <v>57</v>
      </c>
      <c r="C10" s="32">
        <v>5.5</v>
      </c>
      <c r="D10" s="85"/>
    </row>
    <row r="11" spans="1:5" ht="15.75" outlineLevel="1" x14ac:dyDescent="0.2">
      <c r="A11" s="30" t="s">
        <v>19</v>
      </c>
      <c r="B11" s="31" t="s">
        <v>58</v>
      </c>
      <c r="C11" s="30">
        <v>5.51</v>
      </c>
      <c r="D11" s="85"/>
    </row>
    <row r="12" spans="1:5" ht="15.75" outlineLevel="1" x14ac:dyDescent="0.2">
      <c r="A12" s="30" t="s">
        <v>19</v>
      </c>
      <c r="B12" s="31" t="s">
        <v>59</v>
      </c>
      <c r="C12" s="30">
        <v>5.53</v>
      </c>
      <c r="D12" s="85"/>
    </row>
    <row r="13" spans="1:5" ht="15.75" outlineLevel="1" x14ac:dyDescent="0.2">
      <c r="A13" s="30" t="s">
        <v>19</v>
      </c>
      <c r="B13" s="31" t="s">
        <v>60</v>
      </c>
      <c r="C13" s="30">
        <v>5.59</v>
      </c>
      <c r="D13" s="85"/>
    </row>
    <row r="14" spans="1:5" ht="15.75" outlineLevel="1" x14ac:dyDescent="0.2">
      <c r="A14" s="30" t="s">
        <v>19</v>
      </c>
      <c r="B14" s="31" t="s">
        <v>61</v>
      </c>
      <c r="C14" s="30">
        <v>5.54</v>
      </c>
      <c r="D14" s="85"/>
    </row>
    <row r="15" spans="1:5" ht="15.75" outlineLevel="1" x14ac:dyDescent="0.2">
      <c r="A15" s="30" t="s">
        <v>19</v>
      </c>
      <c r="B15" s="31" t="s">
        <v>62</v>
      </c>
      <c r="C15" s="32">
        <v>5.7</v>
      </c>
      <c r="D15" s="179" t="s">
        <v>2500</v>
      </c>
    </row>
    <row r="16" spans="1:5" ht="15.75" outlineLevel="1" x14ac:dyDescent="0.2">
      <c r="A16" s="30" t="s">
        <v>19</v>
      </c>
      <c r="B16" s="31" t="s">
        <v>63</v>
      </c>
      <c r="C16" s="30">
        <v>5.63</v>
      </c>
      <c r="D16" s="85"/>
    </row>
    <row r="17" spans="1:4" ht="15.75" outlineLevel="1" x14ac:dyDescent="0.2">
      <c r="A17" s="30" t="s">
        <v>19</v>
      </c>
      <c r="B17" s="31" t="s">
        <v>64</v>
      </c>
      <c r="C17" s="30">
        <v>5.47</v>
      </c>
      <c r="D17" s="85"/>
    </row>
    <row r="18" spans="1:4" ht="15.75" outlineLevel="1" x14ac:dyDescent="0.2">
      <c r="A18" s="30" t="s">
        <v>19</v>
      </c>
      <c r="B18" s="31" t="s">
        <v>65</v>
      </c>
      <c r="C18" s="30">
        <v>5.48</v>
      </c>
      <c r="D18" s="85"/>
    </row>
    <row r="19" spans="1:4" ht="15.75" x14ac:dyDescent="0.2">
      <c r="A19" s="35" t="s">
        <v>19</v>
      </c>
      <c r="B19" s="31"/>
      <c r="C19" s="30"/>
      <c r="D19" s="85"/>
    </row>
    <row r="20" spans="1:4" ht="15.75" outlineLevel="1" x14ac:dyDescent="0.2">
      <c r="A20" s="30" t="s">
        <v>20</v>
      </c>
      <c r="B20" s="31" t="s">
        <v>49</v>
      </c>
      <c r="C20" s="30">
        <v>5.0999999999999996</v>
      </c>
      <c r="D20" s="85"/>
    </row>
    <row r="21" spans="1:4" ht="15.75" outlineLevel="1" x14ac:dyDescent="0.2">
      <c r="A21" s="30" t="s">
        <v>20</v>
      </c>
      <c r="B21" s="31" t="s">
        <v>50</v>
      </c>
      <c r="C21" s="30">
        <v>5.2</v>
      </c>
      <c r="D21" s="85"/>
    </row>
    <row r="22" spans="1:4" ht="15.75" outlineLevel="1" x14ac:dyDescent="0.2">
      <c r="A22" s="30" t="s">
        <v>20</v>
      </c>
      <c r="B22" s="31" t="s">
        <v>66</v>
      </c>
      <c r="C22" s="30">
        <v>5.3</v>
      </c>
      <c r="D22" s="85"/>
    </row>
    <row r="23" spans="1:4" ht="15.75" outlineLevel="1" x14ac:dyDescent="0.2">
      <c r="A23" s="30" t="s">
        <v>20</v>
      </c>
      <c r="B23" s="31" t="s">
        <v>91</v>
      </c>
      <c r="C23" s="30">
        <v>5.14</v>
      </c>
      <c r="D23" s="85"/>
    </row>
    <row r="24" spans="1:4" ht="15.75" outlineLevel="1" x14ac:dyDescent="0.2">
      <c r="A24" s="30" t="s">
        <v>20</v>
      </c>
      <c r="B24" s="31" t="s">
        <v>68</v>
      </c>
      <c r="C24" s="30">
        <v>5.19</v>
      </c>
      <c r="D24" s="85"/>
    </row>
    <row r="25" spans="1:4" ht="15.75" outlineLevel="1" x14ac:dyDescent="0.2">
      <c r="A25" s="30" t="s">
        <v>20</v>
      </c>
      <c r="B25" s="31" t="s">
        <v>54</v>
      </c>
      <c r="C25" s="30">
        <v>5.26</v>
      </c>
      <c r="D25" s="85"/>
    </row>
    <row r="26" spans="1:4" ht="15.75" outlineLevel="1" x14ac:dyDescent="0.2">
      <c r="A26" s="30" t="s">
        <v>20</v>
      </c>
      <c r="B26" s="31" t="s">
        <v>55</v>
      </c>
      <c r="C26" s="30">
        <v>5.27</v>
      </c>
      <c r="D26" s="85"/>
    </row>
    <row r="27" spans="1:4" ht="15.75" outlineLevel="1" x14ac:dyDescent="0.2">
      <c r="A27" s="30" t="s">
        <v>20</v>
      </c>
      <c r="B27" s="31" t="s">
        <v>69</v>
      </c>
      <c r="C27" s="30">
        <v>5.28</v>
      </c>
      <c r="D27" s="85"/>
    </row>
    <row r="28" spans="1:4" ht="15.75" outlineLevel="1" x14ac:dyDescent="0.2">
      <c r="A28" s="30" t="s">
        <v>20</v>
      </c>
      <c r="B28" s="31" t="s">
        <v>70</v>
      </c>
      <c r="C28" s="32">
        <v>5.3</v>
      </c>
      <c r="D28" s="85"/>
    </row>
    <row r="29" spans="1:4" ht="15.75" outlineLevel="1" x14ac:dyDescent="0.2">
      <c r="A29" s="30" t="s">
        <v>20</v>
      </c>
      <c r="B29" s="31" t="s">
        <v>71</v>
      </c>
      <c r="C29" s="30">
        <v>5.49</v>
      </c>
      <c r="D29" s="85"/>
    </row>
    <row r="30" spans="1:4" ht="15.75" outlineLevel="1" x14ac:dyDescent="0.2">
      <c r="A30" s="30" t="s">
        <v>20</v>
      </c>
      <c r="B30" s="31" t="s">
        <v>58</v>
      </c>
      <c r="C30" s="30">
        <v>5.51</v>
      </c>
      <c r="D30" s="85"/>
    </row>
    <row r="31" spans="1:4" ht="15.75" outlineLevel="1" x14ac:dyDescent="0.2">
      <c r="A31" s="30" t="s">
        <v>20</v>
      </c>
      <c r="B31" s="31" t="s">
        <v>59</v>
      </c>
      <c r="C31" s="30">
        <v>5.53</v>
      </c>
      <c r="D31" s="85"/>
    </row>
    <row r="32" spans="1:4" ht="15.75" outlineLevel="1" x14ac:dyDescent="0.2">
      <c r="A32" s="30" t="s">
        <v>20</v>
      </c>
      <c r="B32" s="31" t="s">
        <v>72</v>
      </c>
      <c r="C32" s="30">
        <v>5.69</v>
      </c>
      <c r="D32" s="85"/>
    </row>
    <row r="33" spans="1:4" ht="15.75" outlineLevel="1" x14ac:dyDescent="0.2">
      <c r="A33" s="30" t="s">
        <v>20</v>
      </c>
      <c r="B33" s="31" t="s">
        <v>73</v>
      </c>
      <c r="C33" s="30">
        <v>5.75</v>
      </c>
      <c r="D33" s="85"/>
    </row>
    <row r="34" spans="1:4" ht="15.75" outlineLevel="1" x14ac:dyDescent="0.2">
      <c r="A34" s="30" t="s">
        <v>20</v>
      </c>
      <c r="B34" s="31" t="s">
        <v>62</v>
      </c>
      <c r="C34" s="32">
        <v>5.7</v>
      </c>
      <c r="D34" s="85"/>
    </row>
    <row r="35" spans="1:4" ht="15.75" outlineLevel="1" x14ac:dyDescent="0.2">
      <c r="A35" s="30" t="s">
        <v>20</v>
      </c>
      <c r="B35" s="31" t="s">
        <v>74</v>
      </c>
      <c r="C35" s="30">
        <v>5.74</v>
      </c>
      <c r="D35" s="85"/>
    </row>
    <row r="36" spans="1:4" ht="15.75" outlineLevel="1" x14ac:dyDescent="0.2">
      <c r="A36" s="30" t="s">
        <v>20</v>
      </c>
      <c r="B36" s="31" t="s">
        <v>75</v>
      </c>
      <c r="C36" s="30">
        <v>5.62</v>
      </c>
      <c r="D36" s="85"/>
    </row>
    <row r="37" spans="1:4" ht="15.75" outlineLevel="1" x14ac:dyDescent="0.2">
      <c r="A37" s="30" t="s">
        <v>20</v>
      </c>
      <c r="B37" s="31" t="s">
        <v>76</v>
      </c>
      <c r="C37" s="30">
        <v>5.58</v>
      </c>
      <c r="D37" s="85"/>
    </row>
    <row r="38" spans="1:4" ht="15.75" outlineLevel="1" x14ac:dyDescent="0.2">
      <c r="A38" s="30" t="s">
        <v>20</v>
      </c>
      <c r="B38" s="31" t="s">
        <v>61</v>
      </c>
      <c r="C38" s="30">
        <v>5.54</v>
      </c>
      <c r="D38" s="85"/>
    </row>
    <row r="39" spans="1:4" ht="15.75" outlineLevel="1" x14ac:dyDescent="0.2">
      <c r="A39" s="30" t="s">
        <v>20</v>
      </c>
      <c r="B39" s="31" t="s">
        <v>77</v>
      </c>
      <c r="C39" s="30">
        <v>5.55</v>
      </c>
      <c r="D39" s="85"/>
    </row>
    <row r="40" spans="1:4" ht="15.75" outlineLevel="1" x14ac:dyDescent="0.2">
      <c r="A40" s="30" t="s">
        <v>20</v>
      </c>
      <c r="B40" s="31" t="s">
        <v>63</v>
      </c>
      <c r="C40" s="30">
        <v>5.63</v>
      </c>
      <c r="D40" s="85"/>
    </row>
    <row r="41" spans="1:4" ht="15.75" outlineLevel="1" x14ac:dyDescent="0.2">
      <c r="A41" s="30" t="s">
        <v>20</v>
      </c>
      <c r="B41" s="31" t="s">
        <v>78</v>
      </c>
      <c r="C41" s="30">
        <v>5.65</v>
      </c>
      <c r="D41" s="85"/>
    </row>
    <row r="42" spans="1:4" ht="15.75" outlineLevel="1" x14ac:dyDescent="0.2">
      <c r="A42" s="30" t="s">
        <v>20</v>
      </c>
      <c r="B42" s="31" t="s">
        <v>17</v>
      </c>
      <c r="C42" s="30">
        <v>5.68</v>
      </c>
      <c r="D42" s="85"/>
    </row>
    <row r="43" spans="1:4" ht="15.75" outlineLevel="1" x14ac:dyDescent="0.2">
      <c r="A43" s="30" t="s">
        <v>20</v>
      </c>
      <c r="B43" s="31" t="s">
        <v>79</v>
      </c>
      <c r="C43" s="30">
        <v>5.45</v>
      </c>
      <c r="D43" s="85"/>
    </row>
    <row r="44" spans="1:4" ht="15.75" outlineLevel="1" x14ac:dyDescent="0.2">
      <c r="A44" s="30" t="s">
        <v>20</v>
      </c>
      <c r="B44" s="31" t="s">
        <v>64</v>
      </c>
      <c r="C44" s="30">
        <v>5.47</v>
      </c>
      <c r="D44" s="85"/>
    </row>
    <row r="45" spans="1:4" ht="15.75" outlineLevel="1" x14ac:dyDescent="0.2">
      <c r="A45" s="30" t="s">
        <v>20</v>
      </c>
      <c r="B45" s="31" t="s">
        <v>65</v>
      </c>
      <c r="C45" s="30">
        <v>5.48</v>
      </c>
      <c r="D45" s="85"/>
    </row>
    <row r="46" spans="1:4" ht="15.75" x14ac:dyDescent="0.2">
      <c r="A46" s="35" t="s">
        <v>20</v>
      </c>
      <c r="B46" s="31"/>
      <c r="C46" s="30"/>
      <c r="D46" s="85"/>
    </row>
    <row r="47" spans="1:4" ht="15.75" outlineLevel="1" x14ac:dyDescent="0.2">
      <c r="A47" s="30" t="s">
        <v>21</v>
      </c>
      <c r="B47" s="31" t="s">
        <v>49</v>
      </c>
      <c r="C47" s="30">
        <v>5.0999999999999996</v>
      </c>
      <c r="D47" s="85"/>
    </row>
    <row r="48" spans="1:4" ht="15.75" outlineLevel="1" x14ac:dyDescent="0.2">
      <c r="A48" s="30" t="s">
        <v>21</v>
      </c>
      <c r="B48" s="31" t="s">
        <v>50</v>
      </c>
      <c r="C48" s="30">
        <v>5.2</v>
      </c>
      <c r="D48" s="85"/>
    </row>
    <row r="49" spans="1:4" ht="15.75" outlineLevel="1" x14ac:dyDescent="0.2">
      <c r="A49" s="30" t="s">
        <v>21</v>
      </c>
      <c r="B49" s="31" t="s">
        <v>66</v>
      </c>
      <c r="C49" s="30">
        <v>5.3</v>
      </c>
      <c r="D49" s="85"/>
    </row>
    <row r="50" spans="1:4" ht="15.75" outlineLevel="1" x14ac:dyDescent="0.2">
      <c r="A50" s="30" t="s">
        <v>21</v>
      </c>
      <c r="B50" s="31" t="s">
        <v>80</v>
      </c>
      <c r="C50" s="30">
        <v>5.6</v>
      </c>
      <c r="D50" s="85"/>
    </row>
    <row r="51" spans="1:4" ht="15.75" outlineLevel="1" x14ac:dyDescent="0.2">
      <c r="A51" s="30" t="s">
        <v>21</v>
      </c>
      <c r="B51" s="31" t="s">
        <v>1080</v>
      </c>
      <c r="C51" s="32">
        <v>5.0999999999999996</v>
      </c>
      <c r="D51" s="85"/>
    </row>
    <row r="52" spans="1:4" ht="15.75" outlineLevel="1" x14ac:dyDescent="0.2">
      <c r="A52" s="30" t="s">
        <v>21</v>
      </c>
      <c r="B52" s="31" t="s">
        <v>91</v>
      </c>
      <c r="C52" s="30">
        <v>5.14</v>
      </c>
      <c r="D52" s="85"/>
    </row>
    <row r="53" spans="1:4" ht="15.75" outlineLevel="1" x14ac:dyDescent="0.2">
      <c r="A53" s="30" t="s">
        <v>21</v>
      </c>
      <c r="B53" s="31" t="s">
        <v>68</v>
      </c>
      <c r="C53" s="30">
        <v>5.19</v>
      </c>
      <c r="D53" s="85"/>
    </row>
    <row r="54" spans="1:4" ht="15.75" outlineLevel="1" x14ac:dyDescent="0.2">
      <c r="A54" s="30" t="s">
        <v>21</v>
      </c>
      <c r="B54" s="31" t="s">
        <v>82</v>
      </c>
      <c r="C54" s="30">
        <v>5.24</v>
      </c>
      <c r="D54" s="85"/>
    </row>
    <row r="55" spans="1:4" ht="15.75" outlineLevel="1" x14ac:dyDescent="0.2">
      <c r="A55" s="30" t="s">
        <v>21</v>
      </c>
      <c r="B55" s="31" t="s">
        <v>54</v>
      </c>
      <c r="C55" s="30">
        <v>5.26</v>
      </c>
      <c r="D55" s="85"/>
    </row>
    <row r="56" spans="1:4" ht="15.75" outlineLevel="1" x14ac:dyDescent="0.2">
      <c r="A56" s="30" t="s">
        <v>21</v>
      </c>
      <c r="B56" s="31" t="s">
        <v>55</v>
      </c>
      <c r="C56" s="30">
        <v>5.27</v>
      </c>
      <c r="D56" s="85"/>
    </row>
    <row r="57" spans="1:4" ht="15.75" outlineLevel="1" x14ac:dyDescent="0.2">
      <c r="A57" s="30" t="s">
        <v>21</v>
      </c>
      <c r="B57" s="31" t="s">
        <v>69</v>
      </c>
      <c r="C57" s="30">
        <v>5.28</v>
      </c>
      <c r="D57" s="85"/>
    </row>
    <row r="58" spans="1:4" ht="15.75" outlineLevel="1" x14ac:dyDescent="0.2">
      <c r="A58" s="30" t="s">
        <v>21</v>
      </c>
      <c r="B58" s="31" t="s">
        <v>70</v>
      </c>
      <c r="C58" s="32">
        <v>5.3</v>
      </c>
      <c r="D58" s="85"/>
    </row>
    <row r="59" spans="1:4" ht="15.75" outlineLevel="1" x14ac:dyDescent="0.2">
      <c r="A59" s="30" t="s">
        <v>21</v>
      </c>
      <c r="B59" s="31" t="s">
        <v>83</v>
      </c>
      <c r="C59" s="30">
        <v>5.31</v>
      </c>
      <c r="D59" s="85"/>
    </row>
    <row r="60" spans="1:4" ht="15.75" outlineLevel="1" x14ac:dyDescent="0.2">
      <c r="A60" s="30" t="s">
        <v>21</v>
      </c>
      <c r="B60" s="31" t="s">
        <v>56</v>
      </c>
      <c r="C60" s="30">
        <v>5.36</v>
      </c>
      <c r="D60" s="85"/>
    </row>
    <row r="61" spans="1:4" ht="15.75" outlineLevel="1" x14ac:dyDescent="0.2">
      <c r="A61" s="30" t="s">
        <v>21</v>
      </c>
      <c r="B61" s="31" t="s">
        <v>71</v>
      </c>
      <c r="C61" s="30">
        <v>5.49</v>
      </c>
      <c r="D61" s="85"/>
    </row>
    <row r="62" spans="1:4" ht="15.75" outlineLevel="1" x14ac:dyDescent="0.2">
      <c r="A62" s="30" t="s">
        <v>21</v>
      </c>
      <c r="B62" s="31" t="s">
        <v>58</v>
      </c>
      <c r="C62" s="30">
        <v>5.51</v>
      </c>
      <c r="D62" s="85"/>
    </row>
    <row r="63" spans="1:4" ht="15.75" outlineLevel="1" x14ac:dyDescent="0.2">
      <c r="A63" s="30" t="s">
        <v>21</v>
      </c>
      <c r="B63" s="31" t="s">
        <v>1081</v>
      </c>
      <c r="C63" s="30">
        <v>5.52</v>
      </c>
      <c r="D63" s="85"/>
    </row>
    <row r="64" spans="1:4" ht="15.75" outlineLevel="1" x14ac:dyDescent="0.2">
      <c r="A64" s="30" t="s">
        <v>21</v>
      </c>
      <c r="B64" s="31" t="s">
        <v>59</v>
      </c>
      <c r="C64" s="30">
        <v>5.53</v>
      </c>
      <c r="D64" s="85"/>
    </row>
    <row r="65" spans="1:4" ht="15.75" outlineLevel="1" x14ac:dyDescent="0.2">
      <c r="A65" s="30" t="s">
        <v>21</v>
      </c>
      <c r="B65" s="31" t="s">
        <v>72</v>
      </c>
      <c r="C65" s="30">
        <v>5.69</v>
      </c>
      <c r="D65" s="85"/>
    </row>
    <row r="66" spans="1:4" ht="15.75" outlineLevel="1" x14ac:dyDescent="0.2">
      <c r="A66" s="30" t="s">
        <v>21</v>
      </c>
      <c r="B66" s="31" t="s">
        <v>85</v>
      </c>
      <c r="C66" s="32">
        <v>5.72</v>
      </c>
      <c r="D66" s="85"/>
    </row>
    <row r="67" spans="1:4" ht="15.75" outlineLevel="1" x14ac:dyDescent="0.2">
      <c r="A67" s="30" t="s">
        <v>21</v>
      </c>
      <c r="B67" s="31" t="s">
        <v>73</v>
      </c>
      <c r="C67" s="30">
        <v>5.75</v>
      </c>
      <c r="D67" s="85"/>
    </row>
    <row r="68" spans="1:4" ht="15.75" outlineLevel="1" x14ac:dyDescent="0.2">
      <c r="A68" s="30" t="s">
        <v>21</v>
      </c>
      <c r="B68" s="31" t="s">
        <v>62</v>
      </c>
      <c r="C68" s="32">
        <v>5.7</v>
      </c>
      <c r="D68" s="85"/>
    </row>
    <row r="69" spans="1:4" ht="15.75" outlineLevel="1" x14ac:dyDescent="0.2">
      <c r="A69" s="30" t="s">
        <v>21</v>
      </c>
      <c r="B69" s="31" t="s">
        <v>74</v>
      </c>
      <c r="C69" s="30">
        <v>5.74</v>
      </c>
      <c r="D69" s="85"/>
    </row>
    <row r="70" spans="1:4" ht="15.75" outlineLevel="1" x14ac:dyDescent="0.2">
      <c r="A70" s="30" t="s">
        <v>21</v>
      </c>
      <c r="B70" s="31" t="s">
        <v>86</v>
      </c>
      <c r="C70" s="30">
        <v>5.76</v>
      </c>
      <c r="D70" s="85"/>
    </row>
    <row r="71" spans="1:4" ht="15.75" outlineLevel="1" x14ac:dyDescent="0.2">
      <c r="A71" s="30" t="s">
        <v>21</v>
      </c>
      <c r="B71" s="31" t="s">
        <v>87</v>
      </c>
      <c r="C71" s="30">
        <v>5.89</v>
      </c>
      <c r="D71" s="179" t="s">
        <v>2500</v>
      </c>
    </row>
    <row r="72" spans="1:4" ht="15.75" outlineLevel="1" x14ac:dyDescent="0.2">
      <c r="A72" s="30" t="s">
        <v>21</v>
      </c>
      <c r="B72" s="31" t="s">
        <v>76</v>
      </c>
      <c r="C72" s="30">
        <v>5.58</v>
      </c>
      <c r="D72" s="85"/>
    </row>
    <row r="73" spans="1:4" ht="15.75" outlineLevel="1" x14ac:dyDescent="0.2">
      <c r="A73" s="30" t="s">
        <v>21</v>
      </c>
      <c r="B73" s="31" t="s">
        <v>75</v>
      </c>
      <c r="C73" s="30">
        <v>5.62</v>
      </c>
      <c r="D73" s="85"/>
    </row>
    <row r="74" spans="1:4" ht="15.75" outlineLevel="1" x14ac:dyDescent="0.2">
      <c r="A74" s="30" t="s">
        <v>21</v>
      </c>
      <c r="B74" s="31" t="s">
        <v>61</v>
      </c>
      <c r="C74" s="30">
        <v>5.54</v>
      </c>
      <c r="D74" s="85"/>
    </row>
    <row r="75" spans="1:4" ht="15.75" outlineLevel="1" x14ac:dyDescent="0.2">
      <c r="A75" s="30" t="s">
        <v>21</v>
      </c>
      <c r="B75" s="31" t="s">
        <v>77</v>
      </c>
      <c r="C75" s="30">
        <v>5.55</v>
      </c>
      <c r="D75" s="85"/>
    </row>
    <row r="76" spans="1:4" ht="15.75" outlineLevel="1" x14ac:dyDescent="0.2">
      <c r="A76" s="30" t="s">
        <v>21</v>
      </c>
      <c r="B76" s="31" t="s">
        <v>63</v>
      </c>
      <c r="C76" s="30">
        <v>5.63</v>
      </c>
      <c r="D76" s="85"/>
    </row>
    <row r="77" spans="1:4" ht="15.75" outlineLevel="1" x14ac:dyDescent="0.2">
      <c r="A77" s="30" t="s">
        <v>21</v>
      </c>
      <c r="B77" s="31" t="s">
        <v>78</v>
      </c>
      <c r="C77" s="30">
        <v>5.65</v>
      </c>
      <c r="D77" s="85"/>
    </row>
    <row r="78" spans="1:4" ht="15.75" outlineLevel="1" x14ac:dyDescent="0.2">
      <c r="A78" s="30" t="s">
        <v>21</v>
      </c>
      <c r="B78" s="31" t="s">
        <v>88</v>
      </c>
      <c r="C78" s="30">
        <v>5.66</v>
      </c>
      <c r="D78" s="85"/>
    </row>
    <row r="79" spans="1:4" ht="15.75" outlineLevel="1" x14ac:dyDescent="0.2">
      <c r="A79" s="30" t="s">
        <v>21</v>
      </c>
      <c r="B79" s="31" t="s">
        <v>17</v>
      </c>
      <c r="C79" s="30">
        <v>5.68</v>
      </c>
      <c r="D79" s="85"/>
    </row>
    <row r="80" spans="1:4" ht="15.75" outlineLevel="1" x14ac:dyDescent="0.2">
      <c r="A80" s="30" t="s">
        <v>21</v>
      </c>
      <c r="B80" s="31" t="s">
        <v>79</v>
      </c>
      <c r="C80" s="30">
        <v>5.45</v>
      </c>
      <c r="D80" s="85"/>
    </row>
    <row r="81" spans="1:4" ht="15.75" outlineLevel="1" x14ac:dyDescent="0.2">
      <c r="A81" s="30" t="s">
        <v>21</v>
      </c>
      <c r="B81" s="31" t="s">
        <v>64</v>
      </c>
      <c r="C81" s="30">
        <v>5.47</v>
      </c>
      <c r="D81" s="85"/>
    </row>
    <row r="82" spans="1:4" ht="15.75" outlineLevel="1" x14ac:dyDescent="0.2">
      <c r="A82" s="30" t="s">
        <v>21</v>
      </c>
      <c r="B82" s="31" t="s">
        <v>65</v>
      </c>
      <c r="C82" s="30">
        <v>5.48</v>
      </c>
      <c r="D82" s="85"/>
    </row>
    <row r="83" spans="1:4" ht="15.75" x14ac:dyDescent="0.2">
      <c r="A83" s="35" t="s">
        <v>21</v>
      </c>
      <c r="B83" s="31"/>
      <c r="C83" s="30"/>
      <c r="D83" s="85"/>
    </row>
    <row r="84" spans="1:4" ht="15.75" outlineLevel="1" x14ac:dyDescent="0.2">
      <c r="A84" s="30" t="s">
        <v>22</v>
      </c>
      <c r="B84" s="31" t="s">
        <v>49</v>
      </c>
      <c r="C84" s="30">
        <v>5.0999999999999996</v>
      </c>
      <c r="D84" s="85"/>
    </row>
    <row r="85" spans="1:4" ht="15.75" outlineLevel="1" x14ac:dyDescent="0.2">
      <c r="A85" s="30" t="s">
        <v>22</v>
      </c>
      <c r="B85" s="31" t="s">
        <v>50</v>
      </c>
      <c r="C85" s="30">
        <v>5.2</v>
      </c>
      <c r="D85" s="85"/>
    </row>
    <row r="86" spans="1:4" ht="15.75" outlineLevel="1" x14ac:dyDescent="0.2">
      <c r="A86" s="30" t="s">
        <v>22</v>
      </c>
      <c r="B86" s="31" t="s">
        <v>66</v>
      </c>
      <c r="C86" s="30">
        <v>5.3</v>
      </c>
      <c r="D86" s="85"/>
    </row>
    <row r="87" spans="1:4" ht="15.75" outlineLevel="1" x14ac:dyDescent="0.2">
      <c r="A87" s="30" t="s">
        <v>22</v>
      </c>
      <c r="B87" s="31" t="s">
        <v>80</v>
      </c>
      <c r="C87" s="30">
        <v>5.6</v>
      </c>
      <c r="D87" s="85"/>
    </row>
    <row r="88" spans="1:4" ht="15.75" outlineLevel="1" x14ac:dyDescent="0.2">
      <c r="A88" s="30" t="s">
        <v>22</v>
      </c>
      <c r="B88" s="31" t="s">
        <v>1080</v>
      </c>
      <c r="C88" s="32">
        <v>5.0999999999999996</v>
      </c>
      <c r="D88" s="85"/>
    </row>
    <row r="89" spans="1:4" ht="15.75" outlineLevel="1" x14ac:dyDescent="0.2">
      <c r="A89" s="30" t="s">
        <v>22</v>
      </c>
      <c r="B89" s="31" t="s">
        <v>91</v>
      </c>
      <c r="C89" s="30">
        <v>5.14</v>
      </c>
      <c r="D89" s="85"/>
    </row>
    <row r="90" spans="1:4" ht="15.75" outlineLevel="1" x14ac:dyDescent="0.2">
      <c r="A90" s="30" t="s">
        <v>22</v>
      </c>
      <c r="B90" s="31" t="s">
        <v>68</v>
      </c>
      <c r="C90" s="30">
        <v>5.19</v>
      </c>
      <c r="D90" s="85"/>
    </row>
    <row r="91" spans="1:4" ht="15.75" outlineLevel="1" x14ac:dyDescent="0.2">
      <c r="A91" s="30" t="s">
        <v>22</v>
      </c>
      <c r="B91" s="31" t="s">
        <v>82</v>
      </c>
      <c r="C91" s="30">
        <v>5.24</v>
      </c>
      <c r="D91" s="85"/>
    </row>
    <row r="92" spans="1:4" ht="15.75" outlineLevel="1" x14ac:dyDescent="0.2">
      <c r="A92" s="30" t="s">
        <v>22</v>
      </c>
      <c r="B92" s="31" t="s">
        <v>54</v>
      </c>
      <c r="C92" s="30">
        <v>5.26</v>
      </c>
      <c r="D92" s="85"/>
    </row>
    <row r="93" spans="1:4" ht="15.75" outlineLevel="1" x14ac:dyDescent="0.2">
      <c r="A93" s="30" t="s">
        <v>22</v>
      </c>
      <c r="B93" s="31" t="s">
        <v>55</v>
      </c>
      <c r="C93" s="30">
        <v>5.27</v>
      </c>
      <c r="D93" s="85"/>
    </row>
    <row r="94" spans="1:4" ht="15.75" outlineLevel="1" x14ac:dyDescent="0.2">
      <c r="A94" s="30" t="s">
        <v>22</v>
      </c>
      <c r="B94" s="31" t="s">
        <v>69</v>
      </c>
      <c r="C94" s="30">
        <v>5.28</v>
      </c>
      <c r="D94" s="85"/>
    </row>
    <row r="95" spans="1:4" ht="15.75" outlineLevel="1" x14ac:dyDescent="0.2">
      <c r="A95" s="30" t="s">
        <v>22</v>
      </c>
      <c r="B95" s="31" t="s">
        <v>89</v>
      </c>
      <c r="C95" s="30">
        <v>5.29</v>
      </c>
      <c r="D95" s="85"/>
    </row>
    <row r="96" spans="1:4" ht="15.75" outlineLevel="1" x14ac:dyDescent="0.2">
      <c r="A96" s="30" t="s">
        <v>22</v>
      </c>
      <c r="B96" s="31" t="s">
        <v>70</v>
      </c>
      <c r="C96" s="32">
        <v>5.3</v>
      </c>
      <c r="D96" s="85"/>
    </row>
    <row r="97" spans="1:4" ht="15.75" outlineLevel="1" x14ac:dyDescent="0.2">
      <c r="A97" s="30" t="s">
        <v>22</v>
      </c>
      <c r="B97" s="31" t="s">
        <v>83</v>
      </c>
      <c r="C97" s="30">
        <v>5.31</v>
      </c>
      <c r="D97" s="85"/>
    </row>
    <row r="98" spans="1:4" ht="15.75" outlineLevel="1" x14ac:dyDescent="0.2">
      <c r="A98" s="30" t="s">
        <v>22</v>
      </c>
      <c r="B98" s="31" t="s">
        <v>56</v>
      </c>
      <c r="C98" s="30">
        <v>5.36</v>
      </c>
      <c r="D98" s="85"/>
    </row>
    <row r="99" spans="1:4" ht="15.75" outlineLevel="1" x14ac:dyDescent="0.2">
      <c r="A99" s="30" t="s">
        <v>22</v>
      </c>
      <c r="B99" s="31" t="s">
        <v>71</v>
      </c>
      <c r="C99" s="30">
        <v>5.49</v>
      </c>
      <c r="D99" s="85"/>
    </row>
    <row r="100" spans="1:4" ht="15.75" outlineLevel="1" x14ac:dyDescent="0.2">
      <c r="A100" s="30" t="s">
        <v>22</v>
      </c>
      <c r="B100" s="31" t="s">
        <v>58</v>
      </c>
      <c r="C100" s="30">
        <v>5.51</v>
      </c>
      <c r="D100" s="85"/>
    </row>
    <row r="101" spans="1:4" ht="15.75" outlineLevel="1" x14ac:dyDescent="0.2">
      <c r="A101" s="30" t="s">
        <v>22</v>
      </c>
      <c r="B101" s="31" t="s">
        <v>1081</v>
      </c>
      <c r="C101" s="30">
        <v>5.52</v>
      </c>
      <c r="D101" s="85"/>
    </row>
    <row r="102" spans="1:4" ht="15.75" outlineLevel="1" x14ac:dyDescent="0.2">
      <c r="A102" s="30" t="s">
        <v>22</v>
      </c>
      <c r="B102" s="31" t="s">
        <v>59</v>
      </c>
      <c r="C102" s="30">
        <v>5.53</v>
      </c>
      <c r="D102" s="85"/>
    </row>
    <row r="103" spans="1:4" ht="15.75" outlineLevel="1" x14ac:dyDescent="0.2">
      <c r="A103" s="30" t="s">
        <v>22</v>
      </c>
      <c r="B103" s="31" t="s">
        <v>72</v>
      </c>
      <c r="C103" s="30">
        <v>5.69</v>
      </c>
      <c r="D103" s="85"/>
    </row>
    <row r="104" spans="1:4" ht="15.75" outlineLevel="1" x14ac:dyDescent="0.2">
      <c r="A104" s="30" t="s">
        <v>22</v>
      </c>
      <c r="B104" s="31" t="s">
        <v>73</v>
      </c>
      <c r="C104" s="30">
        <v>5.75</v>
      </c>
      <c r="D104" s="85"/>
    </row>
    <row r="105" spans="1:4" ht="15.75" outlineLevel="1" x14ac:dyDescent="0.2">
      <c r="A105" s="30" t="s">
        <v>22</v>
      </c>
      <c r="B105" s="31" t="s">
        <v>62</v>
      </c>
      <c r="C105" s="32">
        <v>5.7</v>
      </c>
      <c r="D105" s="85"/>
    </row>
    <row r="106" spans="1:4" ht="15.75" outlineLevel="1" x14ac:dyDescent="0.2">
      <c r="A106" s="30" t="s">
        <v>22</v>
      </c>
      <c r="B106" s="31" t="s">
        <v>74</v>
      </c>
      <c r="C106" s="30">
        <v>5.74</v>
      </c>
      <c r="D106" s="85"/>
    </row>
    <row r="107" spans="1:4" ht="15.75" outlineLevel="1" x14ac:dyDescent="0.2">
      <c r="A107" s="30" t="s">
        <v>22</v>
      </c>
      <c r="B107" s="31" t="s">
        <v>86</v>
      </c>
      <c r="C107" s="30">
        <v>5.76</v>
      </c>
      <c r="D107" s="85"/>
    </row>
    <row r="108" spans="1:4" ht="15.75" outlineLevel="1" x14ac:dyDescent="0.2">
      <c r="A108" s="30" t="s">
        <v>22</v>
      </c>
      <c r="B108" s="31" t="s">
        <v>87</v>
      </c>
      <c r="C108" s="30">
        <v>5.89</v>
      </c>
      <c r="D108" s="179" t="s">
        <v>2500</v>
      </c>
    </row>
    <row r="109" spans="1:4" ht="15.75" outlineLevel="1" x14ac:dyDescent="0.2">
      <c r="A109" s="30" t="s">
        <v>22</v>
      </c>
      <c r="B109" s="31" t="s">
        <v>76</v>
      </c>
      <c r="C109" s="30">
        <v>5.58</v>
      </c>
      <c r="D109" s="85"/>
    </row>
    <row r="110" spans="1:4" ht="15.75" outlineLevel="1" x14ac:dyDescent="0.2">
      <c r="A110" s="30" t="s">
        <v>22</v>
      </c>
      <c r="B110" s="31" t="s">
        <v>75</v>
      </c>
      <c r="C110" s="30">
        <v>5.62</v>
      </c>
      <c r="D110" s="85"/>
    </row>
    <row r="111" spans="1:4" ht="15.75" outlineLevel="1" x14ac:dyDescent="0.2">
      <c r="A111" s="30" t="s">
        <v>22</v>
      </c>
      <c r="B111" s="31" t="s">
        <v>61</v>
      </c>
      <c r="C111" s="30">
        <v>5.54</v>
      </c>
      <c r="D111" s="85"/>
    </row>
    <row r="112" spans="1:4" ht="15.75" outlineLevel="1" x14ac:dyDescent="0.2">
      <c r="A112" s="30" t="s">
        <v>22</v>
      </c>
      <c r="B112" s="31" t="s">
        <v>77</v>
      </c>
      <c r="C112" s="30">
        <v>5.55</v>
      </c>
      <c r="D112" s="85"/>
    </row>
    <row r="113" spans="1:4" ht="15.75" outlineLevel="1" x14ac:dyDescent="0.2">
      <c r="A113" s="30" t="s">
        <v>22</v>
      </c>
      <c r="B113" s="31" t="s">
        <v>78</v>
      </c>
      <c r="C113" s="30">
        <v>5.65</v>
      </c>
      <c r="D113" s="85"/>
    </row>
    <row r="114" spans="1:4" ht="15.75" outlineLevel="1" x14ac:dyDescent="0.2">
      <c r="A114" s="30" t="s">
        <v>22</v>
      </c>
      <c r="B114" s="31" t="s">
        <v>88</v>
      </c>
      <c r="C114" s="30">
        <v>5.66</v>
      </c>
      <c r="D114" s="85"/>
    </row>
    <row r="115" spans="1:4" ht="15.75" outlineLevel="1" x14ac:dyDescent="0.2">
      <c r="A115" s="30" t="s">
        <v>22</v>
      </c>
      <c r="B115" s="31" t="s">
        <v>17</v>
      </c>
      <c r="C115" s="30">
        <v>5.68</v>
      </c>
      <c r="D115" s="85"/>
    </row>
    <row r="116" spans="1:4" ht="15.75" outlineLevel="1" x14ac:dyDescent="0.2">
      <c r="A116" s="30" t="s">
        <v>22</v>
      </c>
      <c r="B116" s="31" t="s">
        <v>79</v>
      </c>
      <c r="C116" s="30">
        <v>5.45</v>
      </c>
      <c r="D116" s="85"/>
    </row>
    <row r="117" spans="1:4" ht="15.75" outlineLevel="1" x14ac:dyDescent="0.2">
      <c r="A117" s="30" t="s">
        <v>22</v>
      </c>
      <c r="B117" s="31" t="s">
        <v>64</v>
      </c>
      <c r="C117" s="30">
        <v>5.47</v>
      </c>
      <c r="D117" s="85"/>
    </row>
    <row r="118" spans="1:4" ht="15.75" outlineLevel="1" x14ac:dyDescent="0.2">
      <c r="A118" s="30" t="s">
        <v>22</v>
      </c>
      <c r="B118" s="31" t="s">
        <v>65</v>
      </c>
      <c r="C118" s="30">
        <v>5.48</v>
      </c>
      <c r="D118" s="85"/>
    </row>
    <row r="119" spans="1:4" ht="15.75" x14ac:dyDescent="0.2">
      <c r="A119" s="35" t="s">
        <v>22</v>
      </c>
      <c r="B119" s="31"/>
      <c r="C119" s="30"/>
      <c r="D119" s="85"/>
    </row>
    <row r="120" spans="1:4" ht="15.75" outlineLevel="1" x14ac:dyDescent="0.2">
      <c r="A120" s="30" t="s">
        <v>1082</v>
      </c>
      <c r="B120" s="31" t="s">
        <v>49</v>
      </c>
      <c r="C120" s="30">
        <v>5.0999999999999996</v>
      </c>
      <c r="D120" s="85"/>
    </row>
    <row r="121" spans="1:4" ht="15.75" outlineLevel="1" x14ac:dyDescent="0.2">
      <c r="A121" s="30" t="s">
        <v>1082</v>
      </c>
      <c r="B121" s="31" t="s">
        <v>50</v>
      </c>
      <c r="C121" s="30">
        <v>5.2</v>
      </c>
      <c r="D121" s="85"/>
    </row>
    <row r="122" spans="1:4" ht="15.75" outlineLevel="1" x14ac:dyDescent="0.2">
      <c r="A122" s="30" t="s">
        <v>1082</v>
      </c>
      <c r="B122" s="31" t="s">
        <v>66</v>
      </c>
      <c r="C122" s="30">
        <v>5.3</v>
      </c>
      <c r="D122" s="85"/>
    </row>
    <row r="123" spans="1:4" ht="15.75" outlineLevel="1" x14ac:dyDescent="0.2">
      <c r="A123" s="30" t="s">
        <v>1082</v>
      </c>
      <c r="B123" s="31" t="s">
        <v>80</v>
      </c>
      <c r="C123" s="30">
        <v>5.6</v>
      </c>
      <c r="D123" s="85"/>
    </row>
    <row r="124" spans="1:4" ht="15.75" outlineLevel="1" x14ac:dyDescent="0.2">
      <c r="A124" s="30" t="s">
        <v>1082</v>
      </c>
      <c r="B124" s="31" t="s">
        <v>1080</v>
      </c>
      <c r="C124" s="32">
        <v>5.0999999999999996</v>
      </c>
      <c r="D124" s="85"/>
    </row>
    <row r="125" spans="1:4" ht="15.75" outlineLevel="1" x14ac:dyDescent="0.2">
      <c r="A125" s="30" t="s">
        <v>1082</v>
      </c>
      <c r="B125" s="31" t="s">
        <v>91</v>
      </c>
      <c r="C125" s="30">
        <v>5.14</v>
      </c>
      <c r="D125" s="85"/>
    </row>
    <row r="126" spans="1:4" ht="15.75" outlineLevel="1" x14ac:dyDescent="0.2">
      <c r="A126" s="30" t="s">
        <v>1082</v>
      </c>
      <c r="B126" s="31" t="s">
        <v>68</v>
      </c>
      <c r="C126" s="30">
        <v>5.19</v>
      </c>
      <c r="D126" s="85"/>
    </row>
    <row r="127" spans="1:4" ht="15.75" outlineLevel="1" x14ac:dyDescent="0.2">
      <c r="A127" s="30" t="s">
        <v>1082</v>
      </c>
      <c r="B127" s="31" t="s">
        <v>82</v>
      </c>
      <c r="C127" s="30">
        <v>5.24</v>
      </c>
      <c r="D127" s="85"/>
    </row>
    <row r="128" spans="1:4" ht="15.75" outlineLevel="1" x14ac:dyDescent="0.2">
      <c r="A128" s="30" t="s">
        <v>1082</v>
      </c>
      <c r="B128" s="31" t="s">
        <v>54</v>
      </c>
      <c r="C128" s="30">
        <v>5.26</v>
      </c>
      <c r="D128" s="85"/>
    </row>
    <row r="129" spans="1:4" ht="15.75" outlineLevel="1" x14ac:dyDescent="0.2">
      <c r="A129" s="30" t="s">
        <v>1082</v>
      </c>
      <c r="B129" s="31" t="s">
        <v>55</v>
      </c>
      <c r="C129" s="30">
        <v>5.27</v>
      </c>
      <c r="D129" s="85"/>
    </row>
    <row r="130" spans="1:4" ht="15.75" outlineLevel="1" x14ac:dyDescent="0.2">
      <c r="A130" s="30" t="s">
        <v>1082</v>
      </c>
      <c r="B130" s="31" t="s">
        <v>69</v>
      </c>
      <c r="C130" s="30">
        <v>5.28</v>
      </c>
      <c r="D130" s="85"/>
    </row>
    <row r="131" spans="1:4" ht="15.75" outlineLevel="1" x14ac:dyDescent="0.2">
      <c r="A131" s="30" t="s">
        <v>1082</v>
      </c>
      <c r="B131" s="31" t="s">
        <v>89</v>
      </c>
      <c r="C131" s="30">
        <v>5.29</v>
      </c>
      <c r="D131" s="85"/>
    </row>
    <row r="132" spans="1:4" ht="15.75" outlineLevel="1" x14ac:dyDescent="0.2">
      <c r="A132" s="30" t="s">
        <v>1082</v>
      </c>
      <c r="B132" s="31" t="s">
        <v>70</v>
      </c>
      <c r="C132" s="32">
        <v>5.3</v>
      </c>
      <c r="D132" s="85"/>
    </row>
    <row r="133" spans="1:4" ht="15.75" outlineLevel="1" x14ac:dyDescent="0.2">
      <c r="A133" s="30" t="s">
        <v>1082</v>
      </c>
      <c r="B133" s="31" t="s">
        <v>83</v>
      </c>
      <c r="C133" s="30">
        <v>5.31</v>
      </c>
      <c r="D133" s="85"/>
    </row>
    <row r="134" spans="1:4" ht="15.75" outlineLevel="1" x14ac:dyDescent="0.2">
      <c r="A134" s="30" t="s">
        <v>1082</v>
      </c>
      <c r="B134" s="31" t="s">
        <v>56</v>
      </c>
      <c r="C134" s="30">
        <v>5.36</v>
      </c>
      <c r="D134" s="85"/>
    </row>
    <row r="135" spans="1:4" ht="15.75" outlineLevel="1" x14ac:dyDescent="0.2">
      <c r="A135" s="30" t="s">
        <v>1082</v>
      </c>
      <c r="B135" s="31" t="s">
        <v>59</v>
      </c>
      <c r="C135" s="30">
        <v>5.53</v>
      </c>
      <c r="D135" s="85"/>
    </row>
    <row r="136" spans="1:4" ht="15.75" outlineLevel="1" x14ac:dyDescent="0.2">
      <c r="A136" s="30" t="s">
        <v>1082</v>
      </c>
      <c r="B136" s="31" t="s">
        <v>76</v>
      </c>
      <c r="C136" s="30">
        <v>5.58</v>
      </c>
      <c r="D136" s="85"/>
    </row>
    <row r="137" spans="1:4" ht="15.75" outlineLevel="1" x14ac:dyDescent="0.2">
      <c r="A137" s="30" t="s">
        <v>1082</v>
      </c>
      <c r="B137" s="31" t="s">
        <v>75</v>
      </c>
      <c r="C137" s="30">
        <v>5.62</v>
      </c>
      <c r="D137" s="85"/>
    </row>
    <row r="138" spans="1:4" ht="15.75" outlineLevel="1" x14ac:dyDescent="0.2">
      <c r="A138" s="30" t="s">
        <v>1082</v>
      </c>
      <c r="B138" s="31" t="s">
        <v>61</v>
      </c>
      <c r="C138" s="30">
        <v>5.54</v>
      </c>
      <c r="D138" s="85"/>
    </row>
    <row r="139" spans="1:4" ht="15.75" outlineLevel="1" x14ac:dyDescent="0.2">
      <c r="A139" s="30" t="s">
        <v>1082</v>
      </c>
      <c r="B139" s="31" t="s">
        <v>77</v>
      </c>
      <c r="C139" s="30">
        <v>5.55</v>
      </c>
      <c r="D139" s="85"/>
    </row>
    <row r="140" spans="1:4" ht="15.75" outlineLevel="1" x14ac:dyDescent="0.2">
      <c r="A140" s="30" t="s">
        <v>1082</v>
      </c>
      <c r="B140" s="31" t="s">
        <v>63</v>
      </c>
      <c r="C140" s="30">
        <v>5.63</v>
      </c>
      <c r="D140" s="85"/>
    </row>
    <row r="141" spans="1:4" ht="15.75" outlineLevel="1" x14ac:dyDescent="0.2">
      <c r="A141" s="30" t="s">
        <v>1082</v>
      </c>
      <c r="B141" s="31" t="s">
        <v>79</v>
      </c>
      <c r="C141" s="30">
        <v>5.45</v>
      </c>
      <c r="D141" s="85"/>
    </row>
    <row r="142" spans="1:4" ht="15.75" outlineLevel="1" x14ac:dyDescent="0.2">
      <c r="A142" s="30" t="s">
        <v>1082</v>
      </c>
      <c r="B142" s="31" t="s">
        <v>64</v>
      </c>
      <c r="C142" s="30">
        <v>5.47</v>
      </c>
      <c r="D142" s="85"/>
    </row>
    <row r="143" spans="1:4" ht="15.75" outlineLevel="1" x14ac:dyDescent="0.2">
      <c r="A143" s="30" t="s">
        <v>1082</v>
      </c>
      <c r="B143" s="31" t="s">
        <v>65</v>
      </c>
      <c r="C143" s="30">
        <v>5.48</v>
      </c>
      <c r="D143" s="85"/>
    </row>
    <row r="144" spans="1:4" ht="15.75" x14ac:dyDescent="0.2">
      <c r="A144" s="35" t="s">
        <v>1082</v>
      </c>
      <c r="B144" s="31"/>
      <c r="C144" s="30"/>
      <c r="D144" s="85"/>
    </row>
    <row r="145" spans="1:4" ht="15.75" outlineLevel="1" x14ac:dyDescent="0.2">
      <c r="A145" s="30" t="s">
        <v>24</v>
      </c>
      <c r="B145" s="31" t="s">
        <v>49</v>
      </c>
      <c r="C145" s="30">
        <v>5.0999999999999996</v>
      </c>
      <c r="D145" s="85"/>
    </row>
    <row r="146" spans="1:4" ht="15.75" outlineLevel="1" x14ac:dyDescent="0.2">
      <c r="A146" s="30" t="s">
        <v>24</v>
      </c>
      <c r="B146" s="31" t="s">
        <v>50</v>
      </c>
      <c r="C146" s="30">
        <v>5.2</v>
      </c>
      <c r="D146" s="85"/>
    </row>
    <row r="147" spans="1:4" ht="15.75" outlineLevel="1" x14ac:dyDescent="0.2">
      <c r="A147" s="30" t="s">
        <v>24</v>
      </c>
      <c r="B147" s="31" t="s">
        <v>66</v>
      </c>
      <c r="C147" s="30">
        <v>5.3</v>
      </c>
      <c r="D147" s="85"/>
    </row>
    <row r="148" spans="1:4" ht="15.75" outlineLevel="1" x14ac:dyDescent="0.2">
      <c r="A148" s="30" t="s">
        <v>24</v>
      </c>
      <c r="B148" s="31" t="s">
        <v>80</v>
      </c>
      <c r="C148" s="30">
        <v>5.6</v>
      </c>
      <c r="D148" s="85"/>
    </row>
    <row r="149" spans="1:4" ht="15.75" outlineLevel="1" x14ac:dyDescent="0.2">
      <c r="A149" s="30" t="s">
        <v>24</v>
      </c>
      <c r="B149" s="31" t="s">
        <v>1080</v>
      </c>
      <c r="C149" s="32">
        <v>5.0999999999999996</v>
      </c>
      <c r="D149" s="85"/>
    </row>
    <row r="150" spans="1:4" ht="15.75" outlineLevel="1" x14ac:dyDescent="0.2">
      <c r="A150" s="30" t="s">
        <v>24</v>
      </c>
      <c r="B150" s="31" t="s">
        <v>91</v>
      </c>
      <c r="C150" s="30">
        <v>5.14</v>
      </c>
      <c r="D150" s="85"/>
    </row>
    <row r="151" spans="1:4" ht="15.75" outlineLevel="1" x14ac:dyDescent="0.2">
      <c r="A151" s="30" t="s">
        <v>24</v>
      </c>
      <c r="B151" s="31" t="s">
        <v>68</v>
      </c>
      <c r="C151" s="30">
        <v>5.19</v>
      </c>
      <c r="D151" s="85"/>
    </row>
    <row r="152" spans="1:4" ht="15.75" outlineLevel="1" x14ac:dyDescent="0.2">
      <c r="A152" s="30" t="s">
        <v>24</v>
      </c>
      <c r="B152" s="31" t="s">
        <v>82</v>
      </c>
      <c r="C152" s="30">
        <v>5.24</v>
      </c>
      <c r="D152" s="85"/>
    </row>
    <row r="153" spans="1:4" ht="15.75" outlineLevel="1" x14ac:dyDescent="0.2">
      <c r="A153" s="30" t="s">
        <v>24</v>
      </c>
      <c r="B153" s="31" t="s">
        <v>54</v>
      </c>
      <c r="C153" s="30">
        <v>5.26</v>
      </c>
      <c r="D153" s="85"/>
    </row>
    <row r="154" spans="1:4" ht="15.75" outlineLevel="1" x14ac:dyDescent="0.2">
      <c r="A154" s="30" t="s">
        <v>24</v>
      </c>
      <c r="B154" s="31" t="s">
        <v>55</v>
      </c>
      <c r="C154" s="30">
        <v>5.27</v>
      </c>
      <c r="D154" s="85"/>
    </row>
    <row r="155" spans="1:4" ht="15.75" outlineLevel="1" x14ac:dyDescent="0.2">
      <c r="A155" s="30" t="s">
        <v>24</v>
      </c>
      <c r="B155" s="31" t="s">
        <v>69</v>
      </c>
      <c r="C155" s="30">
        <v>5.28</v>
      </c>
      <c r="D155" s="85"/>
    </row>
    <row r="156" spans="1:4" ht="15.75" outlineLevel="1" x14ac:dyDescent="0.2">
      <c r="A156" s="30" t="s">
        <v>24</v>
      </c>
      <c r="B156" s="31" t="s">
        <v>70</v>
      </c>
      <c r="C156" s="32">
        <v>5.3</v>
      </c>
      <c r="D156" s="85"/>
    </row>
    <row r="157" spans="1:4" ht="15.75" outlineLevel="1" x14ac:dyDescent="0.2">
      <c r="A157" s="30" t="s">
        <v>24</v>
      </c>
      <c r="B157" s="31" t="s">
        <v>90</v>
      </c>
      <c r="C157" s="30">
        <v>5.32</v>
      </c>
      <c r="D157" s="85"/>
    </row>
    <row r="158" spans="1:4" ht="15.75" outlineLevel="1" x14ac:dyDescent="0.2">
      <c r="A158" s="30" t="s">
        <v>24</v>
      </c>
      <c r="B158" s="31" t="s">
        <v>56</v>
      </c>
      <c r="C158" s="30">
        <v>5.36</v>
      </c>
      <c r="D158" s="85"/>
    </row>
    <row r="159" spans="1:4" ht="15.75" outlineLevel="1" x14ac:dyDescent="0.2">
      <c r="A159" s="30" t="s">
        <v>24</v>
      </c>
      <c r="B159" s="31" t="s">
        <v>59</v>
      </c>
      <c r="C159" s="30">
        <v>5.53</v>
      </c>
      <c r="D159" s="85"/>
    </row>
    <row r="160" spans="1:4" ht="15.75" outlineLevel="1" x14ac:dyDescent="0.2">
      <c r="A160" s="30" t="s">
        <v>24</v>
      </c>
      <c r="B160" s="31" t="s">
        <v>76</v>
      </c>
      <c r="C160" s="30">
        <v>5.58</v>
      </c>
      <c r="D160" s="85"/>
    </row>
    <row r="161" spans="1:5" ht="15.75" outlineLevel="1" x14ac:dyDescent="0.2">
      <c r="A161" s="30" t="s">
        <v>24</v>
      </c>
      <c r="B161" s="31" t="s">
        <v>61</v>
      </c>
      <c r="C161" s="30">
        <v>5.54</v>
      </c>
      <c r="D161" s="85"/>
    </row>
    <row r="162" spans="1:5" ht="15.75" outlineLevel="1" x14ac:dyDescent="0.2">
      <c r="A162" s="30" t="s">
        <v>24</v>
      </c>
      <c r="B162" s="31" t="s">
        <v>77</v>
      </c>
      <c r="C162" s="30">
        <v>5.55</v>
      </c>
      <c r="D162" s="85"/>
    </row>
    <row r="163" spans="1:5" ht="15.75" outlineLevel="1" x14ac:dyDescent="0.2">
      <c r="A163" s="30" t="s">
        <v>24</v>
      </c>
      <c r="B163" s="31" t="s">
        <v>75</v>
      </c>
      <c r="C163" s="30">
        <v>5.62</v>
      </c>
      <c r="D163" s="85"/>
      <c r="E163" t="s">
        <v>1083</v>
      </c>
    </row>
    <row r="164" spans="1:5" ht="15.75" outlineLevel="1" x14ac:dyDescent="0.2">
      <c r="A164" s="30" t="s">
        <v>24</v>
      </c>
      <c r="B164" s="31" t="s">
        <v>63</v>
      </c>
      <c r="C164" s="30">
        <v>5.63</v>
      </c>
      <c r="D164" s="85"/>
    </row>
    <row r="165" spans="1:5" ht="15.75" outlineLevel="1" x14ac:dyDescent="0.2">
      <c r="A165" s="30" t="s">
        <v>24</v>
      </c>
      <c r="B165" s="31" t="s">
        <v>79</v>
      </c>
      <c r="C165" s="30">
        <v>5.45</v>
      </c>
      <c r="D165" s="85"/>
    </row>
    <row r="166" spans="1:5" ht="15.75" outlineLevel="1" x14ac:dyDescent="0.2">
      <c r="A166" s="30" t="s">
        <v>24</v>
      </c>
      <c r="B166" s="31" t="s">
        <v>64</v>
      </c>
      <c r="C166" s="30">
        <v>5.47</v>
      </c>
      <c r="D166" s="85"/>
    </row>
    <row r="167" spans="1:5" ht="15.75" outlineLevel="1" x14ac:dyDescent="0.2">
      <c r="A167" s="30" t="s">
        <v>24</v>
      </c>
      <c r="B167" s="31" t="s">
        <v>65</v>
      </c>
      <c r="C167" s="30">
        <v>5.48</v>
      </c>
      <c r="D167" s="85"/>
    </row>
    <row r="168" spans="1:5" ht="15.75" x14ac:dyDescent="0.2">
      <c r="A168" s="35" t="s">
        <v>24</v>
      </c>
      <c r="B168" s="31"/>
      <c r="C168" s="30"/>
      <c r="D168" s="85"/>
    </row>
    <row r="169" spans="1:5" ht="15.75" outlineLevel="1" x14ac:dyDescent="0.2">
      <c r="A169" s="30" t="s">
        <v>25</v>
      </c>
      <c r="B169" s="31" t="s">
        <v>49</v>
      </c>
      <c r="C169" s="30">
        <v>5.0999999999999996</v>
      </c>
      <c r="D169" s="85"/>
    </row>
    <row r="170" spans="1:5" ht="15.75" outlineLevel="1" x14ac:dyDescent="0.2">
      <c r="A170" s="30" t="s">
        <v>25</v>
      </c>
      <c r="B170" s="31" t="s">
        <v>50</v>
      </c>
      <c r="C170" s="30">
        <v>5.2</v>
      </c>
      <c r="D170" s="85"/>
    </row>
    <row r="171" spans="1:5" ht="15.75" outlineLevel="1" x14ac:dyDescent="0.2">
      <c r="A171" s="30" t="s">
        <v>25</v>
      </c>
      <c r="B171" s="31" t="s">
        <v>66</v>
      </c>
      <c r="C171" s="30">
        <v>5.3</v>
      </c>
      <c r="D171" s="85"/>
    </row>
    <row r="172" spans="1:5" ht="15.75" outlineLevel="1" x14ac:dyDescent="0.2">
      <c r="A172" s="30" t="s">
        <v>25</v>
      </c>
      <c r="B172" s="31" t="s">
        <v>80</v>
      </c>
      <c r="C172" s="30">
        <v>5.6</v>
      </c>
      <c r="D172" s="85"/>
    </row>
    <row r="173" spans="1:5" ht="15.75" outlineLevel="1" x14ac:dyDescent="0.2">
      <c r="A173" s="30" t="s">
        <v>25</v>
      </c>
      <c r="B173" s="31" t="s">
        <v>1080</v>
      </c>
      <c r="C173" s="32">
        <v>5.0999999999999996</v>
      </c>
      <c r="D173" s="85"/>
    </row>
    <row r="174" spans="1:5" ht="15.75" outlineLevel="1" x14ac:dyDescent="0.2">
      <c r="A174" s="30" t="s">
        <v>25</v>
      </c>
      <c r="B174" s="31" t="s">
        <v>91</v>
      </c>
      <c r="C174" s="30">
        <v>5.14</v>
      </c>
      <c r="D174" s="85"/>
    </row>
    <row r="175" spans="1:5" ht="15.75" outlineLevel="1" x14ac:dyDescent="0.2">
      <c r="A175" s="30" t="s">
        <v>25</v>
      </c>
      <c r="B175" s="31" t="s">
        <v>68</v>
      </c>
      <c r="C175" s="30">
        <v>5.19</v>
      </c>
      <c r="D175" s="85"/>
    </row>
    <row r="176" spans="1:5" ht="15.75" outlineLevel="1" x14ac:dyDescent="0.2">
      <c r="A176" s="30" t="s">
        <v>25</v>
      </c>
      <c r="B176" s="31" t="s">
        <v>82</v>
      </c>
      <c r="C176" s="30">
        <v>5.24</v>
      </c>
      <c r="D176" s="85"/>
    </row>
    <row r="177" spans="1:4" ht="15.75" outlineLevel="1" x14ac:dyDescent="0.2">
      <c r="A177" s="30" t="s">
        <v>25</v>
      </c>
      <c r="B177" s="31" t="s">
        <v>54</v>
      </c>
      <c r="C177" s="30">
        <v>5.26</v>
      </c>
      <c r="D177" s="85"/>
    </row>
    <row r="178" spans="1:4" ht="15.75" outlineLevel="1" x14ac:dyDescent="0.2">
      <c r="A178" s="30" t="s">
        <v>25</v>
      </c>
      <c r="B178" s="31" t="s">
        <v>55</v>
      </c>
      <c r="C178" s="30">
        <v>5.27</v>
      </c>
      <c r="D178" s="85"/>
    </row>
    <row r="179" spans="1:4" ht="15.75" outlineLevel="1" x14ac:dyDescent="0.2">
      <c r="A179" s="30" t="s">
        <v>25</v>
      </c>
      <c r="B179" s="31" t="s">
        <v>69</v>
      </c>
      <c r="C179" s="30">
        <v>5.28</v>
      </c>
      <c r="D179" s="85"/>
    </row>
    <row r="180" spans="1:4" ht="15.75" outlineLevel="1" x14ac:dyDescent="0.2">
      <c r="A180" s="30" t="s">
        <v>25</v>
      </c>
      <c r="B180" s="31" t="s">
        <v>89</v>
      </c>
      <c r="C180" s="30">
        <v>5.29</v>
      </c>
      <c r="D180" s="85"/>
    </row>
    <row r="181" spans="1:4" ht="15.75" outlineLevel="1" x14ac:dyDescent="0.2">
      <c r="A181" s="30" t="s">
        <v>25</v>
      </c>
      <c r="B181" s="31" t="s">
        <v>70</v>
      </c>
      <c r="C181" s="32">
        <v>5.3</v>
      </c>
      <c r="D181" s="85"/>
    </row>
    <row r="182" spans="1:4" ht="15.75" outlineLevel="1" x14ac:dyDescent="0.2">
      <c r="A182" s="30" t="s">
        <v>25</v>
      </c>
      <c r="B182" s="31" t="s">
        <v>90</v>
      </c>
      <c r="C182" s="30">
        <v>5.32</v>
      </c>
      <c r="D182" s="85"/>
    </row>
    <row r="183" spans="1:4" ht="15.75" outlineLevel="1" x14ac:dyDescent="0.2">
      <c r="A183" s="30" t="s">
        <v>25</v>
      </c>
      <c r="B183" s="31" t="s">
        <v>56</v>
      </c>
      <c r="C183" s="30">
        <v>5.36</v>
      </c>
      <c r="D183" s="85"/>
    </row>
    <row r="184" spans="1:4" ht="15.75" outlineLevel="1" x14ac:dyDescent="0.2">
      <c r="A184" s="30" t="s">
        <v>25</v>
      </c>
      <c r="B184" s="31" t="s">
        <v>59</v>
      </c>
      <c r="C184" s="30">
        <v>5.53</v>
      </c>
      <c r="D184" s="85"/>
    </row>
    <row r="185" spans="1:4" ht="15.75" outlineLevel="1" x14ac:dyDescent="0.2">
      <c r="A185" s="30" t="s">
        <v>25</v>
      </c>
      <c r="B185" s="31" t="s">
        <v>76</v>
      </c>
      <c r="C185" s="30">
        <v>5.58</v>
      </c>
      <c r="D185" s="85"/>
    </row>
    <row r="186" spans="1:4" ht="15.75" outlineLevel="1" x14ac:dyDescent="0.2">
      <c r="A186" s="30" t="s">
        <v>25</v>
      </c>
      <c r="B186" s="31" t="s">
        <v>61</v>
      </c>
      <c r="C186" s="30">
        <v>5.54</v>
      </c>
      <c r="D186" s="85"/>
    </row>
    <row r="187" spans="1:4" ht="15.75" outlineLevel="1" x14ac:dyDescent="0.2">
      <c r="A187" s="30" t="s">
        <v>25</v>
      </c>
      <c r="B187" s="31" t="s">
        <v>77</v>
      </c>
      <c r="C187" s="30">
        <v>5.55</v>
      </c>
      <c r="D187" s="85"/>
    </row>
    <row r="188" spans="1:4" ht="15.75" outlineLevel="1" x14ac:dyDescent="0.2">
      <c r="A188" s="30" t="s">
        <v>25</v>
      </c>
      <c r="B188" s="31" t="s">
        <v>63</v>
      </c>
      <c r="C188" s="30">
        <v>5.63</v>
      </c>
      <c r="D188" s="85"/>
    </row>
    <row r="189" spans="1:4" ht="15.75" outlineLevel="1" x14ac:dyDescent="0.2">
      <c r="A189" s="30" t="s">
        <v>25</v>
      </c>
      <c r="B189" s="31" t="s">
        <v>79</v>
      </c>
      <c r="C189" s="30">
        <v>5.45</v>
      </c>
      <c r="D189" s="85"/>
    </row>
    <row r="190" spans="1:4" ht="15.75" outlineLevel="1" x14ac:dyDescent="0.2">
      <c r="A190" s="30" t="s">
        <v>25</v>
      </c>
      <c r="B190" s="31" t="s">
        <v>64</v>
      </c>
      <c r="C190" s="30">
        <v>5.47</v>
      </c>
      <c r="D190" s="85"/>
    </row>
    <row r="191" spans="1:4" ht="15.75" outlineLevel="1" x14ac:dyDescent="0.2">
      <c r="A191" s="30" t="s">
        <v>25</v>
      </c>
      <c r="B191" s="31" t="s">
        <v>65</v>
      </c>
      <c r="C191" s="30">
        <v>5.48</v>
      </c>
      <c r="D191" s="85"/>
    </row>
    <row r="192" spans="1:4" ht="15.75" x14ac:dyDescent="0.2">
      <c r="A192" s="35" t="s">
        <v>25</v>
      </c>
      <c r="B192" s="31"/>
      <c r="C192" s="30"/>
      <c r="D192" s="85"/>
    </row>
    <row r="193" spans="1:4" ht="15.75" outlineLevel="1" x14ac:dyDescent="0.2">
      <c r="A193" s="30" t="s">
        <v>26</v>
      </c>
      <c r="B193" s="31" t="s">
        <v>49</v>
      </c>
      <c r="C193" s="30">
        <v>5.0999999999999996</v>
      </c>
      <c r="D193" s="85"/>
    </row>
    <row r="194" spans="1:4" ht="15.75" outlineLevel="1" x14ac:dyDescent="0.2">
      <c r="A194" s="30" t="s">
        <v>26</v>
      </c>
      <c r="B194" s="31" t="s">
        <v>50</v>
      </c>
      <c r="C194" s="30">
        <v>5.2</v>
      </c>
      <c r="D194" s="85"/>
    </row>
    <row r="195" spans="1:4" ht="15.75" outlineLevel="1" x14ac:dyDescent="0.2">
      <c r="A195" s="30" t="s">
        <v>26</v>
      </c>
      <c r="B195" s="31" t="s">
        <v>66</v>
      </c>
      <c r="C195" s="30">
        <v>5.3</v>
      </c>
      <c r="D195" s="85"/>
    </row>
    <row r="196" spans="1:4" ht="15.75" outlineLevel="1" x14ac:dyDescent="0.2">
      <c r="A196" s="30" t="s">
        <v>26</v>
      </c>
      <c r="B196" s="31" t="s">
        <v>80</v>
      </c>
      <c r="C196" s="30">
        <v>5.6</v>
      </c>
      <c r="D196" s="85"/>
    </row>
    <row r="197" spans="1:4" ht="15.75" outlineLevel="1" x14ac:dyDescent="0.2">
      <c r="A197" s="30" t="s">
        <v>26</v>
      </c>
      <c r="B197" s="31" t="s">
        <v>1080</v>
      </c>
      <c r="C197" s="32">
        <v>5.0999999999999996</v>
      </c>
      <c r="D197" s="85"/>
    </row>
    <row r="198" spans="1:4" ht="15.75" outlineLevel="1" x14ac:dyDescent="0.2">
      <c r="A198" s="30" t="s">
        <v>26</v>
      </c>
      <c r="B198" s="31" t="s">
        <v>91</v>
      </c>
      <c r="C198" s="30">
        <v>5.14</v>
      </c>
      <c r="D198" s="85"/>
    </row>
    <row r="199" spans="1:4" ht="15.75" outlineLevel="1" x14ac:dyDescent="0.2">
      <c r="A199" s="30" t="s">
        <v>26</v>
      </c>
      <c r="B199" s="31" t="s">
        <v>68</v>
      </c>
      <c r="C199" s="30">
        <v>5.19</v>
      </c>
      <c r="D199" s="85"/>
    </row>
    <row r="200" spans="1:4" ht="15.75" outlineLevel="1" x14ac:dyDescent="0.2">
      <c r="A200" s="30" t="s">
        <v>26</v>
      </c>
      <c r="B200" s="31" t="s">
        <v>82</v>
      </c>
      <c r="C200" s="30">
        <v>5.24</v>
      </c>
      <c r="D200" s="85"/>
    </row>
    <row r="201" spans="1:4" ht="15.75" outlineLevel="1" x14ac:dyDescent="0.2">
      <c r="A201" s="30" t="s">
        <v>26</v>
      </c>
      <c r="B201" s="31" t="s">
        <v>55</v>
      </c>
      <c r="C201" s="30">
        <v>5.27</v>
      </c>
      <c r="D201" s="85"/>
    </row>
    <row r="202" spans="1:4" ht="15.75" outlineLevel="1" x14ac:dyDescent="0.2">
      <c r="A202" s="30" t="s">
        <v>26</v>
      </c>
      <c r="B202" s="31" t="s">
        <v>69</v>
      </c>
      <c r="C202" s="30">
        <v>5.28</v>
      </c>
      <c r="D202" s="85"/>
    </row>
    <row r="203" spans="1:4" ht="15.75" outlineLevel="1" x14ac:dyDescent="0.2">
      <c r="A203" s="30" t="s">
        <v>26</v>
      </c>
      <c r="B203" s="31" t="s">
        <v>89</v>
      </c>
      <c r="C203" s="30">
        <v>5.29</v>
      </c>
      <c r="D203" s="85"/>
    </row>
    <row r="204" spans="1:4" ht="15.75" outlineLevel="1" x14ac:dyDescent="0.2">
      <c r="A204" s="30" t="s">
        <v>26</v>
      </c>
      <c r="B204" s="31" t="s">
        <v>70</v>
      </c>
      <c r="C204" s="32">
        <v>5.3</v>
      </c>
      <c r="D204" s="85"/>
    </row>
    <row r="205" spans="1:4" ht="15.75" outlineLevel="1" x14ac:dyDescent="0.2">
      <c r="A205" s="30" t="s">
        <v>26</v>
      </c>
      <c r="B205" s="31" t="s">
        <v>92</v>
      </c>
      <c r="C205" s="30">
        <v>5.34</v>
      </c>
      <c r="D205" s="85"/>
    </row>
    <row r="206" spans="1:4" ht="15.75" outlineLevel="1" x14ac:dyDescent="0.2">
      <c r="A206" s="30" t="s">
        <v>26</v>
      </c>
      <c r="B206" s="31" t="s">
        <v>83</v>
      </c>
      <c r="C206" s="30">
        <v>5.31</v>
      </c>
      <c r="D206" s="85"/>
    </row>
    <row r="207" spans="1:4" ht="15.75" outlineLevel="1" x14ac:dyDescent="0.2">
      <c r="A207" s="30" t="s">
        <v>26</v>
      </c>
      <c r="B207" s="31" t="s">
        <v>93</v>
      </c>
      <c r="C207" s="30">
        <v>5.101</v>
      </c>
      <c r="D207" s="85"/>
    </row>
    <row r="208" spans="1:4" ht="15.75" outlineLevel="1" x14ac:dyDescent="0.2">
      <c r="A208" s="30" t="s">
        <v>26</v>
      </c>
      <c r="B208" s="31" t="s">
        <v>56</v>
      </c>
      <c r="C208" s="30">
        <v>5.36</v>
      </c>
      <c r="D208" s="85"/>
    </row>
    <row r="209" spans="1:4" ht="15.75" outlineLevel="1" x14ac:dyDescent="0.2">
      <c r="A209" s="30" t="s">
        <v>26</v>
      </c>
      <c r="B209" s="31" t="s">
        <v>59</v>
      </c>
      <c r="C209" s="30">
        <v>5.53</v>
      </c>
      <c r="D209" s="85"/>
    </row>
    <row r="210" spans="1:4" ht="15.75" outlineLevel="1" x14ac:dyDescent="0.2">
      <c r="A210" s="30" t="s">
        <v>26</v>
      </c>
      <c r="B210" s="31" t="s">
        <v>94</v>
      </c>
      <c r="C210" s="30">
        <v>5.1020000000000003</v>
      </c>
      <c r="D210" s="85"/>
    </row>
    <row r="211" spans="1:4" ht="15.75" outlineLevel="1" x14ac:dyDescent="0.2">
      <c r="A211" s="30" t="s">
        <v>26</v>
      </c>
      <c r="B211" s="31" t="s">
        <v>95</v>
      </c>
      <c r="C211" s="33">
        <v>5.0999999999999996</v>
      </c>
      <c r="D211" s="85"/>
    </row>
    <row r="212" spans="1:4" ht="15.75" outlineLevel="1" x14ac:dyDescent="0.2">
      <c r="A212" s="30" t="s">
        <v>26</v>
      </c>
      <c r="B212" s="31" t="s">
        <v>76</v>
      </c>
      <c r="C212" s="30">
        <v>5.58</v>
      </c>
      <c r="D212" s="85"/>
    </row>
    <row r="213" spans="1:4" ht="15.75" outlineLevel="1" x14ac:dyDescent="0.2">
      <c r="A213" s="30" t="s">
        <v>26</v>
      </c>
      <c r="B213" s="31" t="s">
        <v>61</v>
      </c>
      <c r="C213" s="30">
        <v>5.54</v>
      </c>
      <c r="D213" s="85"/>
    </row>
    <row r="214" spans="1:4" ht="15.75" outlineLevel="1" x14ac:dyDescent="0.2">
      <c r="A214" s="30" t="s">
        <v>26</v>
      </c>
      <c r="B214" s="31" t="s">
        <v>77</v>
      </c>
      <c r="C214" s="30">
        <v>5.55</v>
      </c>
      <c r="D214" s="85"/>
    </row>
    <row r="215" spans="1:4" ht="15.75" outlineLevel="1" x14ac:dyDescent="0.2">
      <c r="A215" s="30" t="s">
        <v>26</v>
      </c>
      <c r="B215" s="31" t="s">
        <v>63</v>
      </c>
      <c r="C215" s="30">
        <v>5.63</v>
      </c>
      <c r="D215" s="85"/>
    </row>
    <row r="216" spans="1:4" ht="15.75" outlineLevel="1" x14ac:dyDescent="0.2">
      <c r="A216" s="30" t="s">
        <v>26</v>
      </c>
      <c r="B216" s="31" t="s">
        <v>64</v>
      </c>
      <c r="C216" s="30">
        <v>5.47</v>
      </c>
      <c r="D216" s="85"/>
    </row>
    <row r="217" spans="1:4" ht="15.75" outlineLevel="1" x14ac:dyDescent="0.2">
      <c r="A217" s="30" t="s">
        <v>26</v>
      </c>
      <c r="B217" s="31" t="s">
        <v>65</v>
      </c>
      <c r="C217" s="30">
        <v>5.48</v>
      </c>
      <c r="D217" s="85"/>
    </row>
    <row r="218" spans="1:4" ht="15.75" x14ac:dyDescent="0.2">
      <c r="A218" s="35" t="s">
        <v>26</v>
      </c>
      <c r="B218" s="31"/>
      <c r="C218" s="30"/>
      <c r="D218" s="85"/>
    </row>
    <row r="219" spans="1:4" ht="15.75" outlineLevel="1" x14ac:dyDescent="0.2">
      <c r="A219" s="30" t="s">
        <v>27</v>
      </c>
      <c r="B219" s="31" t="s">
        <v>49</v>
      </c>
      <c r="C219" s="30">
        <v>5.0999999999999996</v>
      </c>
      <c r="D219" s="85"/>
    </row>
    <row r="220" spans="1:4" ht="15.75" outlineLevel="1" x14ac:dyDescent="0.2">
      <c r="A220" s="30" t="s">
        <v>27</v>
      </c>
      <c r="B220" s="31" t="s">
        <v>50</v>
      </c>
      <c r="C220" s="30">
        <v>5.2</v>
      </c>
      <c r="D220" s="85"/>
    </row>
    <row r="221" spans="1:4" ht="15.75" outlineLevel="1" x14ac:dyDescent="0.2">
      <c r="A221" s="30" t="s">
        <v>27</v>
      </c>
      <c r="B221" s="31" t="s">
        <v>66</v>
      </c>
      <c r="C221" s="30">
        <v>5.3</v>
      </c>
      <c r="D221" s="85"/>
    </row>
    <row r="222" spans="1:4" ht="15.75" outlineLevel="1" x14ac:dyDescent="0.2">
      <c r="A222" s="30" t="s">
        <v>27</v>
      </c>
      <c r="B222" s="31" t="s">
        <v>80</v>
      </c>
      <c r="C222" s="30">
        <v>5.6</v>
      </c>
      <c r="D222" s="85"/>
    </row>
    <row r="223" spans="1:4" ht="15.75" outlineLevel="1" x14ac:dyDescent="0.2">
      <c r="A223" s="30" t="s">
        <v>27</v>
      </c>
      <c r="B223" s="31" t="s">
        <v>1080</v>
      </c>
      <c r="C223" s="32">
        <v>5.0999999999999996</v>
      </c>
      <c r="D223" s="85"/>
    </row>
    <row r="224" spans="1:4" ht="15.75" outlineLevel="1" x14ac:dyDescent="0.2">
      <c r="A224" s="30" t="s">
        <v>27</v>
      </c>
      <c r="B224" s="31" t="s">
        <v>91</v>
      </c>
      <c r="C224" s="30">
        <v>5.14</v>
      </c>
      <c r="D224" s="85"/>
    </row>
    <row r="225" spans="1:4" ht="15.75" outlineLevel="1" x14ac:dyDescent="0.2">
      <c r="A225" s="30" t="s">
        <v>27</v>
      </c>
      <c r="B225" s="31" t="s">
        <v>68</v>
      </c>
      <c r="C225" s="30">
        <v>5.19</v>
      </c>
      <c r="D225" s="85"/>
    </row>
    <row r="226" spans="1:4" ht="15.75" outlineLevel="1" x14ac:dyDescent="0.2">
      <c r="A226" s="30" t="s">
        <v>27</v>
      </c>
      <c r="B226" s="31" t="s">
        <v>82</v>
      </c>
      <c r="C226" s="30">
        <v>5.24</v>
      </c>
      <c r="D226" s="85"/>
    </row>
    <row r="227" spans="1:4" ht="15.75" outlineLevel="1" x14ac:dyDescent="0.2">
      <c r="A227" s="30" t="s">
        <v>27</v>
      </c>
      <c r="B227" s="31" t="s">
        <v>54</v>
      </c>
      <c r="C227" s="30">
        <v>5.26</v>
      </c>
      <c r="D227" s="85"/>
    </row>
    <row r="228" spans="1:4" ht="15.75" outlineLevel="1" x14ac:dyDescent="0.2">
      <c r="A228" s="30" t="s">
        <v>27</v>
      </c>
      <c r="B228" s="31" t="s">
        <v>55</v>
      </c>
      <c r="C228" s="30">
        <v>5.27</v>
      </c>
      <c r="D228" s="85"/>
    </row>
    <row r="229" spans="1:4" ht="15.75" outlineLevel="1" x14ac:dyDescent="0.2">
      <c r="A229" s="30" t="s">
        <v>27</v>
      </c>
      <c r="B229" s="31" t="s">
        <v>69</v>
      </c>
      <c r="C229" s="30">
        <v>5.28</v>
      </c>
      <c r="D229" s="85"/>
    </row>
    <row r="230" spans="1:4" ht="15.75" outlineLevel="1" x14ac:dyDescent="0.2">
      <c r="A230" s="30" t="s">
        <v>27</v>
      </c>
      <c r="B230" s="31" t="s">
        <v>89</v>
      </c>
      <c r="C230" s="30">
        <v>5.29</v>
      </c>
      <c r="D230" s="85"/>
    </row>
    <row r="231" spans="1:4" ht="15.75" outlineLevel="1" x14ac:dyDescent="0.2">
      <c r="A231" s="30" t="s">
        <v>27</v>
      </c>
      <c r="B231" s="31" t="s">
        <v>70</v>
      </c>
      <c r="C231" s="32">
        <v>5.3</v>
      </c>
      <c r="D231" s="85"/>
    </row>
    <row r="232" spans="1:4" ht="15.75" outlineLevel="1" x14ac:dyDescent="0.2">
      <c r="A232" s="30" t="s">
        <v>27</v>
      </c>
      <c r="B232" s="31" t="s">
        <v>83</v>
      </c>
      <c r="C232" s="30">
        <v>5.31</v>
      </c>
      <c r="D232" s="85"/>
    </row>
    <row r="233" spans="1:4" ht="15.75" outlineLevel="1" x14ac:dyDescent="0.2">
      <c r="A233" s="30" t="s">
        <v>27</v>
      </c>
      <c r="B233" s="31" t="s">
        <v>96</v>
      </c>
      <c r="C233" s="30">
        <v>5.33</v>
      </c>
      <c r="D233" s="85"/>
    </row>
    <row r="234" spans="1:4" ht="15.75" outlineLevel="1" x14ac:dyDescent="0.2">
      <c r="A234" s="30" t="s">
        <v>27</v>
      </c>
      <c r="B234" s="31" t="s">
        <v>93</v>
      </c>
      <c r="C234" s="30">
        <v>5.101</v>
      </c>
      <c r="D234" s="85"/>
    </row>
    <row r="235" spans="1:4" ht="15.75" outlineLevel="1" x14ac:dyDescent="0.2">
      <c r="A235" s="30" t="s">
        <v>27</v>
      </c>
      <c r="B235" s="31" t="s">
        <v>56</v>
      </c>
      <c r="C235" s="30">
        <v>5.36</v>
      </c>
      <c r="D235" s="85"/>
    </row>
    <row r="236" spans="1:4" ht="15.75" outlineLevel="1" x14ac:dyDescent="0.2">
      <c r="A236" s="30" t="s">
        <v>27</v>
      </c>
      <c r="B236" s="31" t="s">
        <v>59</v>
      </c>
      <c r="C236" s="30">
        <v>5.53</v>
      </c>
      <c r="D236" s="85"/>
    </row>
    <row r="237" spans="1:4" ht="15.75" outlineLevel="1" x14ac:dyDescent="0.2">
      <c r="A237" s="30" t="s">
        <v>27</v>
      </c>
      <c r="B237" s="31" t="s">
        <v>94</v>
      </c>
      <c r="C237" s="30">
        <v>5.1020000000000003</v>
      </c>
      <c r="D237" s="85"/>
    </row>
    <row r="238" spans="1:4" ht="15.75" outlineLevel="1" x14ac:dyDescent="0.2">
      <c r="A238" s="30" t="s">
        <v>27</v>
      </c>
      <c r="B238" s="31" t="s">
        <v>76</v>
      </c>
      <c r="C238" s="30">
        <v>5.58</v>
      </c>
      <c r="D238" s="85"/>
    </row>
    <row r="239" spans="1:4" ht="15.75" outlineLevel="1" x14ac:dyDescent="0.2">
      <c r="A239" s="30" t="s">
        <v>27</v>
      </c>
      <c r="B239" s="31" t="s">
        <v>61</v>
      </c>
      <c r="C239" s="30">
        <v>5.54</v>
      </c>
      <c r="D239" s="85"/>
    </row>
    <row r="240" spans="1:4" ht="15.75" outlineLevel="1" x14ac:dyDescent="0.2">
      <c r="A240" s="30" t="s">
        <v>27</v>
      </c>
      <c r="B240" s="31" t="s">
        <v>77</v>
      </c>
      <c r="C240" s="30">
        <v>5.55</v>
      </c>
      <c r="D240" s="85"/>
    </row>
    <row r="241" spans="1:4" ht="15.75" outlineLevel="1" x14ac:dyDescent="0.2">
      <c r="A241" s="30" t="s">
        <v>27</v>
      </c>
      <c r="B241" s="31" t="s">
        <v>63</v>
      </c>
      <c r="C241" s="30">
        <v>5.63</v>
      </c>
      <c r="D241" s="85"/>
    </row>
    <row r="242" spans="1:4" ht="15.75" outlineLevel="1" x14ac:dyDescent="0.2">
      <c r="A242" s="30" t="s">
        <v>27</v>
      </c>
      <c r="B242" s="31" t="s">
        <v>64</v>
      </c>
      <c r="C242" s="30">
        <v>5.47</v>
      </c>
      <c r="D242" s="85"/>
    </row>
    <row r="243" spans="1:4" ht="15.75" outlineLevel="1" x14ac:dyDescent="0.2">
      <c r="A243" s="30" t="s">
        <v>27</v>
      </c>
      <c r="B243" s="31" t="s">
        <v>65</v>
      </c>
      <c r="C243" s="30">
        <v>5.48</v>
      </c>
      <c r="D243" s="85"/>
    </row>
    <row r="244" spans="1:4" ht="15.75" x14ac:dyDescent="0.2">
      <c r="A244" s="35" t="s">
        <v>27</v>
      </c>
      <c r="B244" s="31"/>
      <c r="C244" s="30"/>
      <c r="D244" s="85"/>
    </row>
    <row r="245" spans="1:4" ht="15.75" outlineLevel="1" x14ac:dyDescent="0.2">
      <c r="A245" s="30" t="s">
        <v>28</v>
      </c>
      <c r="B245" s="31" t="s">
        <v>49</v>
      </c>
      <c r="C245" s="30">
        <v>5.0999999999999996</v>
      </c>
      <c r="D245" s="85"/>
    </row>
    <row r="246" spans="1:4" ht="15.75" outlineLevel="1" x14ac:dyDescent="0.2">
      <c r="A246" s="30" t="s">
        <v>28</v>
      </c>
      <c r="B246" s="31" t="s">
        <v>50</v>
      </c>
      <c r="C246" s="30">
        <v>5.2</v>
      </c>
      <c r="D246" s="85"/>
    </row>
    <row r="247" spans="1:4" ht="15.75" outlineLevel="1" x14ac:dyDescent="0.2">
      <c r="A247" s="30" t="s">
        <v>28</v>
      </c>
      <c r="B247" s="31" t="s">
        <v>66</v>
      </c>
      <c r="C247" s="30">
        <v>5.3</v>
      </c>
      <c r="D247" s="85"/>
    </row>
    <row r="248" spans="1:4" ht="15.75" outlineLevel="1" x14ac:dyDescent="0.2">
      <c r="A248" s="30" t="s">
        <v>28</v>
      </c>
      <c r="B248" s="31" t="s">
        <v>80</v>
      </c>
      <c r="C248" s="30">
        <v>5.6</v>
      </c>
      <c r="D248" s="85"/>
    </row>
    <row r="249" spans="1:4" ht="15.75" outlineLevel="1" x14ac:dyDescent="0.2">
      <c r="A249" s="30" t="s">
        <v>28</v>
      </c>
      <c r="B249" s="31" t="s">
        <v>1080</v>
      </c>
      <c r="C249" s="32">
        <v>5.0999999999999996</v>
      </c>
      <c r="D249" s="85"/>
    </row>
    <row r="250" spans="1:4" ht="15.75" outlineLevel="1" x14ac:dyDescent="0.2">
      <c r="A250" s="30" t="s">
        <v>28</v>
      </c>
      <c r="B250" s="31" t="s">
        <v>91</v>
      </c>
      <c r="C250" s="30">
        <v>5.14</v>
      </c>
      <c r="D250" s="85"/>
    </row>
    <row r="251" spans="1:4" ht="15.75" outlineLevel="1" x14ac:dyDescent="0.2">
      <c r="A251" s="30" t="s">
        <v>28</v>
      </c>
      <c r="B251" s="31" t="s">
        <v>68</v>
      </c>
      <c r="C251" s="30">
        <v>5.19</v>
      </c>
      <c r="D251" s="85"/>
    </row>
    <row r="252" spans="1:4" ht="15.75" outlineLevel="1" x14ac:dyDescent="0.2">
      <c r="A252" s="30" t="s">
        <v>28</v>
      </c>
      <c r="B252" s="31" t="s">
        <v>82</v>
      </c>
      <c r="C252" s="30">
        <v>5.24</v>
      </c>
      <c r="D252" s="85"/>
    </row>
    <row r="253" spans="1:4" ht="15.75" outlineLevel="1" x14ac:dyDescent="0.2">
      <c r="A253" s="30" t="s">
        <v>28</v>
      </c>
      <c r="B253" s="31" t="s">
        <v>55</v>
      </c>
      <c r="C253" s="30">
        <v>5.27</v>
      </c>
      <c r="D253" s="85"/>
    </row>
    <row r="254" spans="1:4" ht="15.75" outlineLevel="1" x14ac:dyDescent="0.2">
      <c r="A254" s="30" t="s">
        <v>28</v>
      </c>
      <c r="B254" s="31" t="s">
        <v>69</v>
      </c>
      <c r="C254" s="30">
        <v>5.28</v>
      </c>
      <c r="D254" s="85"/>
    </row>
    <row r="255" spans="1:4" ht="15.75" outlineLevel="1" x14ac:dyDescent="0.2">
      <c r="A255" s="30" t="s">
        <v>28</v>
      </c>
      <c r="B255" s="31" t="s">
        <v>70</v>
      </c>
      <c r="C255" s="32">
        <v>5.3</v>
      </c>
      <c r="D255" s="85"/>
    </row>
    <row r="256" spans="1:4" ht="15.75" outlineLevel="1" x14ac:dyDescent="0.2">
      <c r="A256" s="30" t="s">
        <v>28</v>
      </c>
      <c r="B256" s="31" t="s">
        <v>96</v>
      </c>
      <c r="C256" s="30">
        <v>5.33</v>
      </c>
      <c r="D256" s="85"/>
    </row>
    <row r="257" spans="1:4" ht="15.75" outlineLevel="1" x14ac:dyDescent="0.2">
      <c r="A257" s="30" t="s">
        <v>28</v>
      </c>
      <c r="B257" s="31" t="s">
        <v>56</v>
      </c>
      <c r="C257" s="30">
        <v>5.36</v>
      </c>
      <c r="D257" s="85"/>
    </row>
    <row r="258" spans="1:4" ht="15.75" outlineLevel="1" x14ac:dyDescent="0.2">
      <c r="A258" s="30" t="s">
        <v>28</v>
      </c>
      <c r="B258" s="31" t="s">
        <v>59</v>
      </c>
      <c r="C258" s="30">
        <v>5.53</v>
      </c>
      <c r="D258" s="85"/>
    </row>
    <row r="259" spans="1:4" ht="15.75" outlineLevel="1" x14ac:dyDescent="0.2">
      <c r="A259" s="30" t="s">
        <v>28</v>
      </c>
      <c r="B259" s="31" t="s">
        <v>76</v>
      </c>
      <c r="C259" s="30">
        <v>5.58</v>
      </c>
      <c r="D259" s="85"/>
    </row>
    <row r="260" spans="1:4" ht="15.75" outlineLevel="1" x14ac:dyDescent="0.2">
      <c r="A260" s="30" t="s">
        <v>28</v>
      </c>
      <c r="B260" s="31" t="s">
        <v>61</v>
      </c>
      <c r="C260" s="30">
        <v>5.54</v>
      </c>
      <c r="D260" s="85"/>
    </row>
    <row r="261" spans="1:4" ht="15.75" outlineLevel="1" x14ac:dyDescent="0.2">
      <c r="A261" s="30" t="s">
        <v>28</v>
      </c>
      <c r="B261" s="31" t="s">
        <v>77</v>
      </c>
      <c r="C261" s="30">
        <v>5.55</v>
      </c>
      <c r="D261" s="85"/>
    </row>
    <row r="262" spans="1:4" ht="15.75" outlineLevel="1" x14ac:dyDescent="0.2">
      <c r="A262" s="30" t="s">
        <v>28</v>
      </c>
      <c r="B262" s="31" t="s">
        <v>63</v>
      </c>
      <c r="C262" s="30">
        <v>5.63</v>
      </c>
      <c r="D262" s="85"/>
    </row>
    <row r="263" spans="1:4" ht="15.75" outlineLevel="1" x14ac:dyDescent="0.2">
      <c r="A263" s="30" t="s">
        <v>28</v>
      </c>
      <c r="B263" s="31" t="s">
        <v>64</v>
      </c>
      <c r="C263" s="30">
        <v>5.47</v>
      </c>
      <c r="D263" s="85"/>
    </row>
    <row r="264" spans="1:4" ht="15.75" outlineLevel="1" x14ac:dyDescent="0.2">
      <c r="A264" s="30" t="s">
        <v>28</v>
      </c>
      <c r="B264" s="31" t="s">
        <v>65</v>
      </c>
      <c r="C264" s="30">
        <v>5.48</v>
      </c>
      <c r="D264" s="85"/>
    </row>
    <row r="265" spans="1:4" ht="15.75" x14ac:dyDescent="0.2">
      <c r="A265" s="35" t="s">
        <v>28</v>
      </c>
      <c r="B265" s="31"/>
      <c r="C265" s="30"/>
      <c r="D265" s="85"/>
    </row>
    <row r="266" spans="1:4" ht="15.75" outlineLevel="1" x14ac:dyDescent="0.2">
      <c r="A266" s="30" t="s">
        <v>29</v>
      </c>
      <c r="B266" s="31" t="s">
        <v>49</v>
      </c>
      <c r="C266" s="30">
        <v>5.0999999999999996</v>
      </c>
      <c r="D266" s="85"/>
    </row>
    <row r="267" spans="1:4" ht="15.75" outlineLevel="1" x14ac:dyDescent="0.2">
      <c r="A267" s="30" t="s">
        <v>29</v>
      </c>
      <c r="B267" s="31" t="s">
        <v>50</v>
      </c>
      <c r="C267" s="30">
        <v>5.2</v>
      </c>
      <c r="D267" s="85"/>
    </row>
    <row r="268" spans="1:4" ht="15.75" outlineLevel="1" x14ac:dyDescent="0.2">
      <c r="A268" s="30" t="s">
        <v>29</v>
      </c>
      <c r="B268" s="31" t="s">
        <v>66</v>
      </c>
      <c r="C268" s="30">
        <v>5.3</v>
      </c>
      <c r="D268" s="85"/>
    </row>
    <row r="269" spans="1:4" ht="15.75" outlineLevel="1" x14ac:dyDescent="0.2">
      <c r="A269" s="30" t="s">
        <v>29</v>
      </c>
      <c r="B269" s="31" t="s">
        <v>80</v>
      </c>
      <c r="C269" s="30">
        <v>5.6</v>
      </c>
      <c r="D269" s="85"/>
    </row>
    <row r="270" spans="1:4" ht="15.75" outlineLevel="1" x14ac:dyDescent="0.2">
      <c r="A270" s="30" t="s">
        <v>29</v>
      </c>
      <c r="B270" s="31" t="s">
        <v>1080</v>
      </c>
      <c r="C270" s="32">
        <v>5.0999999999999996</v>
      </c>
      <c r="D270" s="85"/>
    </row>
    <row r="271" spans="1:4" ht="15.75" outlineLevel="1" x14ac:dyDescent="0.2">
      <c r="A271" s="30" t="s">
        <v>29</v>
      </c>
      <c r="B271" s="31" t="s">
        <v>91</v>
      </c>
      <c r="C271" s="30">
        <v>5.14</v>
      </c>
      <c r="D271" s="85"/>
    </row>
    <row r="272" spans="1:4" ht="15.75" outlineLevel="1" x14ac:dyDescent="0.2">
      <c r="A272" s="30" t="s">
        <v>29</v>
      </c>
      <c r="B272" s="31" t="s">
        <v>68</v>
      </c>
      <c r="C272" s="30">
        <v>5.19</v>
      </c>
      <c r="D272" s="85"/>
    </row>
    <row r="273" spans="1:4" ht="15.75" outlineLevel="1" x14ac:dyDescent="0.2">
      <c r="A273" s="30" t="s">
        <v>29</v>
      </c>
      <c r="B273" s="31" t="s">
        <v>82</v>
      </c>
      <c r="C273" s="30">
        <v>5.24</v>
      </c>
      <c r="D273" s="85"/>
    </row>
    <row r="274" spans="1:4" ht="15.75" outlineLevel="1" x14ac:dyDescent="0.2">
      <c r="A274" s="30" t="s">
        <v>29</v>
      </c>
      <c r="B274" s="31" t="s">
        <v>54</v>
      </c>
      <c r="C274" s="30">
        <v>5.26</v>
      </c>
      <c r="D274" s="85"/>
    </row>
    <row r="275" spans="1:4" ht="15.75" outlineLevel="1" x14ac:dyDescent="0.2">
      <c r="A275" s="30" t="s">
        <v>29</v>
      </c>
      <c r="B275" s="31" t="s">
        <v>55</v>
      </c>
      <c r="C275" s="30">
        <v>5.27</v>
      </c>
      <c r="D275" s="85"/>
    </row>
    <row r="276" spans="1:4" ht="15.75" outlineLevel="1" x14ac:dyDescent="0.2">
      <c r="A276" s="30" t="s">
        <v>29</v>
      </c>
      <c r="B276" s="31" t="s">
        <v>69</v>
      </c>
      <c r="C276" s="30">
        <v>5.28</v>
      </c>
      <c r="D276" s="85"/>
    </row>
    <row r="277" spans="1:4" ht="15.75" outlineLevel="1" x14ac:dyDescent="0.2">
      <c r="A277" s="30" t="s">
        <v>29</v>
      </c>
      <c r="B277" s="31" t="s">
        <v>89</v>
      </c>
      <c r="C277" s="30">
        <v>5.29</v>
      </c>
      <c r="D277" s="85"/>
    </row>
    <row r="278" spans="1:4" ht="15.75" outlineLevel="1" x14ac:dyDescent="0.2">
      <c r="A278" s="30" t="s">
        <v>29</v>
      </c>
      <c r="B278" s="31" t="s">
        <v>70</v>
      </c>
      <c r="C278" s="32">
        <v>5.3</v>
      </c>
      <c r="D278" s="85"/>
    </row>
    <row r="279" spans="1:4" ht="15.75" outlineLevel="1" x14ac:dyDescent="0.2">
      <c r="A279" s="30" t="s">
        <v>29</v>
      </c>
      <c r="B279" s="31" t="s">
        <v>96</v>
      </c>
      <c r="C279" s="30">
        <v>5.33</v>
      </c>
      <c r="D279" s="85"/>
    </row>
    <row r="280" spans="1:4" ht="15.75" outlineLevel="1" x14ac:dyDescent="0.2">
      <c r="A280" s="30" t="s">
        <v>29</v>
      </c>
      <c r="B280" s="31" t="s">
        <v>56</v>
      </c>
      <c r="C280" s="30">
        <v>5.36</v>
      </c>
      <c r="D280" s="85"/>
    </row>
    <row r="281" spans="1:4" ht="15.75" outlineLevel="1" x14ac:dyDescent="0.2">
      <c r="A281" s="30" t="s">
        <v>29</v>
      </c>
      <c r="B281" s="31" t="s">
        <v>72</v>
      </c>
      <c r="C281" s="30">
        <v>5.69</v>
      </c>
      <c r="D281" s="85"/>
    </row>
    <row r="282" spans="1:4" ht="15.75" outlineLevel="1" x14ac:dyDescent="0.2">
      <c r="A282" s="30" t="s">
        <v>29</v>
      </c>
      <c r="B282" s="31" t="s">
        <v>62</v>
      </c>
      <c r="C282" s="32">
        <v>5.7</v>
      </c>
      <c r="D282" s="85"/>
    </row>
    <row r="283" spans="1:4" ht="15.75" outlineLevel="1" x14ac:dyDescent="0.2">
      <c r="A283" s="30" t="s">
        <v>29</v>
      </c>
      <c r="B283" s="31" t="s">
        <v>74</v>
      </c>
      <c r="C283" s="30">
        <v>5.74</v>
      </c>
      <c r="D283" s="85"/>
    </row>
    <row r="284" spans="1:4" ht="15.75" outlineLevel="1" x14ac:dyDescent="0.2">
      <c r="A284" s="30" t="s">
        <v>29</v>
      </c>
      <c r="B284" s="31" t="s">
        <v>71</v>
      </c>
      <c r="C284" s="30">
        <v>5.49</v>
      </c>
      <c r="D284" s="85"/>
    </row>
    <row r="285" spans="1:4" ht="15.75" outlineLevel="1" x14ac:dyDescent="0.2">
      <c r="A285" s="30" t="s">
        <v>29</v>
      </c>
      <c r="B285" s="31" t="s">
        <v>58</v>
      </c>
      <c r="C285" s="30">
        <v>5.51</v>
      </c>
      <c r="D285" s="85"/>
    </row>
    <row r="286" spans="1:4" ht="15.75" outlineLevel="1" x14ac:dyDescent="0.2">
      <c r="A286" s="30" t="s">
        <v>29</v>
      </c>
      <c r="B286" s="31" t="s">
        <v>1081</v>
      </c>
      <c r="C286" s="30">
        <v>5.52</v>
      </c>
      <c r="D286" s="85"/>
    </row>
    <row r="287" spans="1:4" ht="15.75" outlineLevel="1" x14ac:dyDescent="0.2">
      <c r="A287" s="30" t="s">
        <v>29</v>
      </c>
      <c r="B287" s="31" t="s">
        <v>59</v>
      </c>
      <c r="C287" s="30">
        <v>5.53</v>
      </c>
      <c r="D287" s="85"/>
    </row>
    <row r="288" spans="1:4" ht="15.75" outlineLevel="1" x14ac:dyDescent="0.2">
      <c r="A288" s="30" t="s">
        <v>29</v>
      </c>
      <c r="B288" s="31" t="s">
        <v>76</v>
      </c>
      <c r="C288" s="30">
        <v>5.58</v>
      </c>
      <c r="D288" s="85"/>
    </row>
    <row r="289" spans="1:4" ht="15.75" outlineLevel="1" x14ac:dyDescent="0.2">
      <c r="A289" s="30" t="s">
        <v>29</v>
      </c>
      <c r="B289" s="31" t="s">
        <v>61</v>
      </c>
      <c r="C289" s="30">
        <v>5.54</v>
      </c>
      <c r="D289" s="85"/>
    </row>
    <row r="290" spans="1:4" ht="15.75" outlineLevel="1" x14ac:dyDescent="0.2">
      <c r="A290" s="30" t="s">
        <v>29</v>
      </c>
      <c r="B290" s="31" t="s">
        <v>77</v>
      </c>
      <c r="C290" s="30">
        <v>5.55</v>
      </c>
      <c r="D290" s="85"/>
    </row>
    <row r="291" spans="1:4" ht="15.75" outlineLevel="1" x14ac:dyDescent="0.2">
      <c r="A291" s="30" t="s">
        <v>29</v>
      </c>
      <c r="B291" s="31" t="s">
        <v>63</v>
      </c>
      <c r="C291" s="30">
        <v>5.63</v>
      </c>
      <c r="D291" s="85"/>
    </row>
    <row r="292" spans="1:4" ht="15.75" outlineLevel="1" x14ac:dyDescent="0.2">
      <c r="A292" s="30" t="s">
        <v>29</v>
      </c>
      <c r="B292" s="31" t="s">
        <v>64</v>
      </c>
      <c r="C292" s="30">
        <v>5.47</v>
      </c>
      <c r="D292" s="85"/>
    </row>
    <row r="293" spans="1:4" ht="15.75" outlineLevel="1" x14ac:dyDescent="0.2">
      <c r="A293" s="30" t="s">
        <v>29</v>
      </c>
      <c r="B293" s="31" t="s">
        <v>65</v>
      </c>
      <c r="C293" s="30">
        <v>5.48</v>
      </c>
      <c r="D293" s="85"/>
    </row>
    <row r="294" spans="1:4" ht="15.75" x14ac:dyDescent="0.2">
      <c r="A294" s="35" t="s">
        <v>29</v>
      </c>
      <c r="B294" s="31"/>
      <c r="C294" s="30"/>
      <c r="D294" s="85"/>
    </row>
    <row r="295" spans="1:4" ht="15.75" outlineLevel="1" x14ac:dyDescent="0.2">
      <c r="A295" s="30" t="s">
        <v>30</v>
      </c>
      <c r="B295" s="31" t="s">
        <v>49</v>
      </c>
      <c r="C295" s="30">
        <v>5.0999999999999996</v>
      </c>
      <c r="D295" s="85"/>
    </row>
    <row r="296" spans="1:4" ht="15.75" outlineLevel="1" x14ac:dyDescent="0.2">
      <c r="A296" s="30" t="s">
        <v>30</v>
      </c>
      <c r="B296" s="31" t="s">
        <v>50</v>
      </c>
      <c r="C296" s="30">
        <v>5.2</v>
      </c>
      <c r="D296" s="85"/>
    </row>
    <row r="297" spans="1:4" ht="15.75" outlineLevel="1" x14ac:dyDescent="0.2">
      <c r="A297" s="30" t="s">
        <v>30</v>
      </c>
      <c r="B297" s="31" t="s">
        <v>66</v>
      </c>
      <c r="C297" s="30">
        <v>5.3</v>
      </c>
      <c r="D297" s="85"/>
    </row>
    <row r="298" spans="1:4" ht="15.75" outlineLevel="1" x14ac:dyDescent="0.2">
      <c r="A298" s="30" t="s">
        <v>30</v>
      </c>
      <c r="B298" s="31" t="s">
        <v>91</v>
      </c>
      <c r="C298" s="30">
        <v>5.14</v>
      </c>
      <c r="D298" s="85"/>
    </row>
    <row r="299" spans="1:4" ht="15.75" outlineLevel="1" x14ac:dyDescent="0.2">
      <c r="A299" s="30" t="s">
        <v>30</v>
      </c>
      <c r="B299" s="31" t="s">
        <v>68</v>
      </c>
      <c r="C299" s="30">
        <v>5.19</v>
      </c>
      <c r="D299" s="85"/>
    </row>
    <row r="300" spans="1:4" ht="15.75" outlineLevel="1" x14ac:dyDescent="0.2">
      <c r="A300" s="30" t="s">
        <v>30</v>
      </c>
      <c r="B300" s="31" t="s">
        <v>82</v>
      </c>
      <c r="C300" s="30">
        <v>5.24</v>
      </c>
      <c r="D300" s="85"/>
    </row>
    <row r="301" spans="1:4" ht="15.75" outlineLevel="1" x14ac:dyDescent="0.2">
      <c r="A301" s="30" t="s">
        <v>30</v>
      </c>
      <c r="B301" s="31" t="s">
        <v>54</v>
      </c>
      <c r="C301" s="30">
        <v>5.26</v>
      </c>
      <c r="D301" s="85"/>
    </row>
    <row r="302" spans="1:4" ht="15.75" outlineLevel="1" x14ac:dyDescent="0.2">
      <c r="A302" s="30" t="s">
        <v>30</v>
      </c>
      <c r="B302" s="31" t="s">
        <v>55</v>
      </c>
      <c r="C302" s="30">
        <v>5.27</v>
      </c>
      <c r="D302" s="85"/>
    </row>
    <row r="303" spans="1:4" ht="15.75" outlineLevel="1" x14ac:dyDescent="0.2">
      <c r="A303" s="30" t="s">
        <v>30</v>
      </c>
      <c r="B303" s="31" t="s">
        <v>69</v>
      </c>
      <c r="C303" s="30">
        <v>5.28</v>
      </c>
      <c r="D303" s="85"/>
    </row>
    <row r="304" spans="1:4" ht="15.75" outlineLevel="1" x14ac:dyDescent="0.2">
      <c r="A304" s="30" t="s">
        <v>30</v>
      </c>
      <c r="B304" s="31" t="s">
        <v>97</v>
      </c>
      <c r="C304" s="30">
        <v>5.37</v>
      </c>
      <c r="D304" s="85"/>
    </row>
    <row r="305" spans="1:4" ht="15.75" outlineLevel="1" x14ac:dyDescent="0.2">
      <c r="A305" s="30" t="s">
        <v>30</v>
      </c>
      <c r="B305" s="31" t="s">
        <v>71</v>
      </c>
      <c r="C305" s="30">
        <v>5.49</v>
      </c>
      <c r="D305" s="85"/>
    </row>
    <row r="306" spans="1:4" ht="15.75" outlineLevel="1" x14ac:dyDescent="0.2">
      <c r="A306" s="30" t="s">
        <v>30</v>
      </c>
      <c r="B306" s="31" t="s">
        <v>58</v>
      </c>
      <c r="C306" s="30">
        <v>5.51</v>
      </c>
      <c r="D306" s="85"/>
    </row>
    <row r="307" spans="1:4" ht="15.75" outlineLevel="1" x14ac:dyDescent="0.2">
      <c r="A307" s="30" t="s">
        <v>30</v>
      </c>
      <c r="B307" s="31" t="s">
        <v>59</v>
      </c>
      <c r="C307" s="30">
        <v>5.53</v>
      </c>
      <c r="D307" s="85"/>
    </row>
    <row r="308" spans="1:4" ht="15.75" outlineLevel="1" x14ac:dyDescent="0.2">
      <c r="A308" s="30" t="s">
        <v>30</v>
      </c>
      <c r="B308" s="31" t="s">
        <v>72</v>
      </c>
      <c r="C308" s="30">
        <v>5.69</v>
      </c>
      <c r="D308" s="85"/>
    </row>
    <row r="309" spans="1:4" ht="15.75" outlineLevel="1" x14ac:dyDescent="0.2">
      <c r="A309" s="30" t="s">
        <v>30</v>
      </c>
      <c r="B309" s="31" t="s">
        <v>73</v>
      </c>
      <c r="C309" s="30">
        <v>5.75</v>
      </c>
      <c r="D309" s="85"/>
    </row>
    <row r="310" spans="1:4" ht="15.75" outlineLevel="1" x14ac:dyDescent="0.2">
      <c r="A310" s="30" t="s">
        <v>30</v>
      </c>
      <c r="B310" s="31" t="s">
        <v>62</v>
      </c>
      <c r="C310" s="32">
        <v>5.7</v>
      </c>
      <c r="D310" s="85"/>
    </row>
    <row r="311" spans="1:4" ht="15.75" outlineLevel="1" x14ac:dyDescent="0.2">
      <c r="A311" s="30" t="s">
        <v>30</v>
      </c>
      <c r="B311" s="31" t="s">
        <v>74</v>
      </c>
      <c r="C311" s="30">
        <v>5.74</v>
      </c>
      <c r="D311" s="85"/>
    </row>
    <row r="312" spans="1:4" ht="15.75" outlineLevel="1" x14ac:dyDescent="0.2">
      <c r="A312" s="30" t="s">
        <v>30</v>
      </c>
      <c r="B312" s="31" t="s">
        <v>76</v>
      </c>
      <c r="C312" s="30">
        <v>5.58</v>
      </c>
      <c r="D312" s="85"/>
    </row>
    <row r="313" spans="1:4" ht="15.75" outlineLevel="1" x14ac:dyDescent="0.2">
      <c r="A313" s="30" t="s">
        <v>30</v>
      </c>
      <c r="B313" s="31" t="s">
        <v>61</v>
      </c>
      <c r="C313" s="30">
        <v>5.54</v>
      </c>
      <c r="D313" s="85"/>
    </row>
    <row r="314" spans="1:4" ht="15.75" outlineLevel="1" x14ac:dyDescent="0.2">
      <c r="A314" s="30" t="s">
        <v>30</v>
      </c>
      <c r="B314" s="31" t="s">
        <v>77</v>
      </c>
      <c r="C314" s="30">
        <v>5.55</v>
      </c>
      <c r="D314" s="85"/>
    </row>
    <row r="315" spans="1:4" ht="15.75" outlineLevel="1" x14ac:dyDescent="0.2">
      <c r="A315" s="30" t="s">
        <v>30</v>
      </c>
      <c r="B315" s="31" t="s">
        <v>63</v>
      </c>
      <c r="C315" s="30">
        <v>5.63</v>
      </c>
      <c r="D315" s="85"/>
    </row>
    <row r="316" spans="1:4" ht="15.75" outlineLevel="1" x14ac:dyDescent="0.2">
      <c r="A316" s="30" t="s">
        <v>30</v>
      </c>
      <c r="B316" s="31" t="s">
        <v>78</v>
      </c>
      <c r="C316" s="30">
        <v>5.65</v>
      </c>
      <c r="D316" s="85"/>
    </row>
    <row r="317" spans="1:4" ht="15.75" outlineLevel="1" x14ac:dyDescent="0.2">
      <c r="A317" s="30" t="s">
        <v>30</v>
      </c>
      <c r="B317" s="31" t="s">
        <v>17</v>
      </c>
      <c r="C317" s="30">
        <v>5.68</v>
      </c>
      <c r="D317" s="85"/>
    </row>
    <row r="318" spans="1:4" ht="15.75" outlineLevel="1" x14ac:dyDescent="0.2">
      <c r="A318" s="30" t="s">
        <v>30</v>
      </c>
      <c r="B318" s="31" t="s">
        <v>64</v>
      </c>
      <c r="C318" s="30">
        <v>5.47</v>
      </c>
      <c r="D318" s="85"/>
    </row>
    <row r="319" spans="1:4" ht="15.75" outlineLevel="1" x14ac:dyDescent="0.2">
      <c r="A319" s="30" t="s">
        <v>30</v>
      </c>
      <c r="B319" s="31" t="s">
        <v>65</v>
      </c>
      <c r="C319" s="30">
        <v>5.48</v>
      </c>
      <c r="D319" s="85"/>
    </row>
    <row r="320" spans="1:4" ht="15.75" x14ac:dyDescent="0.2">
      <c r="A320" s="35" t="s">
        <v>30</v>
      </c>
      <c r="B320" s="31"/>
      <c r="C320" s="30"/>
      <c r="D320" s="85"/>
    </row>
    <row r="321" spans="1:4" ht="15.75" outlineLevel="1" x14ac:dyDescent="0.2">
      <c r="A321" s="30" t="s">
        <v>31</v>
      </c>
      <c r="B321" s="31" t="s">
        <v>49</v>
      </c>
      <c r="C321" s="30">
        <v>5.0999999999999996</v>
      </c>
      <c r="D321" s="85"/>
    </row>
    <row r="322" spans="1:4" ht="15.75" outlineLevel="1" x14ac:dyDescent="0.2">
      <c r="A322" s="30" t="s">
        <v>31</v>
      </c>
      <c r="B322" s="31" t="s">
        <v>50</v>
      </c>
      <c r="C322" s="30">
        <v>5.2</v>
      </c>
      <c r="D322" s="85"/>
    </row>
    <row r="323" spans="1:4" ht="15.75" outlineLevel="1" x14ac:dyDescent="0.2">
      <c r="A323" s="30" t="s">
        <v>31</v>
      </c>
      <c r="B323" s="31" t="s">
        <v>54</v>
      </c>
      <c r="C323" s="30">
        <v>5.26</v>
      </c>
      <c r="D323" s="85"/>
    </row>
    <row r="324" spans="1:4" ht="15.75" outlineLevel="1" x14ac:dyDescent="0.2">
      <c r="A324" s="30" t="s">
        <v>31</v>
      </c>
      <c r="B324" s="31" t="s">
        <v>91</v>
      </c>
      <c r="C324" s="30">
        <v>5.14</v>
      </c>
      <c r="D324" s="85"/>
    </row>
    <row r="325" spans="1:4" ht="15.75" outlineLevel="1" x14ac:dyDescent="0.2">
      <c r="A325" s="30" t="s">
        <v>31</v>
      </c>
      <c r="B325" s="31" t="s">
        <v>68</v>
      </c>
      <c r="C325" s="30">
        <v>5.19</v>
      </c>
      <c r="D325" s="85"/>
    </row>
    <row r="326" spans="1:4" ht="15.75" outlineLevel="1" x14ac:dyDescent="0.2">
      <c r="A326" s="30" t="s">
        <v>31</v>
      </c>
      <c r="B326" s="31" t="s">
        <v>97</v>
      </c>
      <c r="C326" s="30">
        <v>5.37</v>
      </c>
      <c r="D326" s="85"/>
    </row>
    <row r="327" spans="1:4" ht="15.75" outlineLevel="1" x14ac:dyDescent="0.2">
      <c r="A327" s="30" t="s">
        <v>31</v>
      </c>
      <c r="B327" s="31" t="s">
        <v>72</v>
      </c>
      <c r="C327" s="30">
        <v>5.69</v>
      </c>
      <c r="D327" s="85"/>
    </row>
    <row r="328" spans="1:4" ht="15.75" outlineLevel="1" x14ac:dyDescent="0.2">
      <c r="A328" s="30" t="s">
        <v>31</v>
      </c>
      <c r="B328" s="31" t="s">
        <v>98</v>
      </c>
      <c r="C328" s="32">
        <v>5.8</v>
      </c>
      <c r="D328" s="85"/>
    </row>
    <row r="329" spans="1:4" ht="15.75" outlineLevel="1" x14ac:dyDescent="0.2">
      <c r="A329" s="30" t="s">
        <v>31</v>
      </c>
      <c r="B329" s="31" t="s">
        <v>73</v>
      </c>
      <c r="C329" s="30">
        <v>5.75</v>
      </c>
      <c r="D329" s="85"/>
    </row>
    <row r="330" spans="1:4" ht="15.75" outlineLevel="1" x14ac:dyDescent="0.2">
      <c r="A330" s="30" t="s">
        <v>31</v>
      </c>
      <c r="B330" s="31" t="s">
        <v>62</v>
      </c>
      <c r="C330" s="32">
        <v>5.7</v>
      </c>
      <c r="D330" s="85"/>
    </row>
    <row r="331" spans="1:4" ht="15.75" outlineLevel="1" x14ac:dyDescent="0.2">
      <c r="A331" s="30" t="s">
        <v>31</v>
      </c>
      <c r="B331" s="31" t="s">
        <v>74</v>
      </c>
      <c r="C331" s="30">
        <v>5.74</v>
      </c>
      <c r="D331" s="85"/>
    </row>
    <row r="332" spans="1:4" ht="15.75" outlineLevel="1" x14ac:dyDescent="0.2">
      <c r="A332" s="30" t="s">
        <v>31</v>
      </c>
      <c r="B332" s="31" t="s">
        <v>76</v>
      </c>
      <c r="C332" s="30">
        <v>5.58</v>
      </c>
      <c r="D332" s="85"/>
    </row>
    <row r="333" spans="1:4" ht="15.75" outlineLevel="1" x14ac:dyDescent="0.2">
      <c r="A333" s="30" t="s">
        <v>31</v>
      </c>
      <c r="B333" s="31" t="s">
        <v>77</v>
      </c>
      <c r="C333" s="30">
        <v>5.55</v>
      </c>
      <c r="D333" s="85"/>
    </row>
    <row r="334" spans="1:4" ht="15.75" outlineLevel="1" x14ac:dyDescent="0.2">
      <c r="A334" s="30" t="s">
        <v>31</v>
      </c>
      <c r="B334" s="31" t="s">
        <v>63</v>
      </c>
      <c r="C334" s="30">
        <v>5.63</v>
      </c>
      <c r="D334" s="85"/>
    </row>
    <row r="335" spans="1:4" ht="15.75" outlineLevel="1" x14ac:dyDescent="0.2">
      <c r="A335" s="30" t="s">
        <v>31</v>
      </c>
      <c r="B335" s="31" t="s">
        <v>78</v>
      </c>
      <c r="C335" s="30">
        <v>5.65</v>
      </c>
      <c r="D335" s="85"/>
    </row>
    <row r="336" spans="1:4" ht="15.75" outlineLevel="1" x14ac:dyDescent="0.2">
      <c r="A336" s="30" t="s">
        <v>31</v>
      </c>
      <c r="B336" s="31" t="s">
        <v>17</v>
      </c>
      <c r="C336" s="30">
        <v>5.68</v>
      </c>
      <c r="D336" s="85"/>
    </row>
    <row r="337" spans="1:4" ht="15.75" outlineLevel="1" x14ac:dyDescent="0.2">
      <c r="A337" s="30" t="s">
        <v>31</v>
      </c>
      <c r="B337" s="31" t="s">
        <v>64</v>
      </c>
      <c r="C337" s="30">
        <v>5.47</v>
      </c>
      <c r="D337" s="85"/>
    </row>
    <row r="338" spans="1:4" ht="15.75" outlineLevel="1" x14ac:dyDescent="0.2">
      <c r="A338" s="30" t="s">
        <v>31</v>
      </c>
      <c r="B338" s="31" t="s">
        <v>65</v>
      </c>
      <c r="C338" s="30">
        <v>5.48</v>
      </c>
      <c r="D338" s="85"/>
    </row>
    <row r="339" spans="1:4" ht="15.75" x14ac:dyDescent="0.2">
      <c r="A339" s="35" t="s">
        <v>31</v>
      </c>
      <c r="B339" s="31"/>
      <c r="C339" s="30"/>
      <c r="D339" s="85"/>
    </row>
    <row r="340" spans="1:4" ht="15.75" outlineLevel="1" x14ac:dyDescent="0.2">
      <c r="A340" s="30" t="s">
        <v>32</v>
      </c>
      <c r="B340" s="31" t="s">
        <v>99</v>
      </c>
      <c r="C340" s="30">
        <v>5.0999999999999996</v>
      </c>
      <c r="D340" s="85"/>
    </row>
    <row r="341" spans="1:4" ht="15.75" outlineLevel="1" x14ac:dyDescent="0.2">
      <c r="A341" s="30" t="s">
        <v>32</v>
      </c>
      <c r="B341" s="31" t="s">
        <v>50</v>
      </c>
      <c r="C341" s="30">
        <v>5.2</v>
      </c>
      <c r="D341" s="85"/>
    </row>
    <row r="342" spans="1:4" ht="15.75" outlineLevel="1" x14ac:dyDescent="0.2">
      <c r="A342" s="30" t="s">
        <v>32</v>
      </c>
      <c r="B342" s="31" t="s">
        <v>54</v>
      </c>
      <c r="C342" s="30">
        <v>5.26</v>
      </c>
      <c r="D342" s="85"/>
    </row>
    <row r="343" spans="1:4" ht="15.75" outlineLevel="1" x14ac:dyDescent="0.2">
      <c r="A343" s="30" t="s">
        <v>32</v>
      </c>
      <c r="B343" s="31" t="s">
        <v>100</v>
      </c>
      <c r="C343" s="30">
        <v>5.38</v>
      </c>
      <c r="D343" s="85"/>
    </row>
    <row r="344" spans="1:4" ht="15.75" outlineLevel="1" x14ac:dyDescent="0.2">
      <c r="A344" s="30" t="s">
        <v>32</v>
      </c>
      <c r="B344" s="31" t="s">
        <v>101</v>
      </c>
      <c r="C344" s="30">
        <v>5.39</v>
      </c>
      <c r="D344" s="85"/>
    </row>
    <row r="345" spans="1:4" ht="15.75" outlineLevel="1" x14ac:dyDescent="0.2">
      <c r="A345" s="30" t="s">
        <v>32</v>
      </c>
      <c r="B345" s="31" t="s">
        <v>102</v>
      </c>
      <c r="C345" s="32">
        <v>5.6</v>
      </c>
      <c r="D345" s="85"/>
    </row>
    <row r="346" spans="1:4" ht="15.75" outlineLevel="1" x14ac:dyDescent="0.2">
      <c r="A346" s="30" t="s">
        <v>32</v>
      </c>
      <c r="B346" s="31" t="s">
        <v>65</v>
      </c>
      <c r="C346" s="30">
        <v>5.48</v>
      </c>
      <c r="D346" s="85"/>
    </row>
    <row r="347" spans="1:4" ht="15.75" x14ac:dyDescent="0.2">
      <c r="A347" s="35" t="s">
        <v>32</v>
      </c>
      <c r="B347" s="31"/>
      <c r="C347" s="30"/>
      <c r="D347" s="85"/>
    </row>
    <row r="348" spans="1:4" ht="15.75" outlineLevel="1" x14ac:dyDescent="0.2">
      <c r="A348" s="30" t="s">
        <v>33</v>
      </c>
      <c r="B348" s="31" t="s">
        <v>49</v>
      </c>
      <c r="C348" s="30">
        <v>5.0999999999999996</v>
      </c>
      <c r="D348" s="85"/>
    </row>
    <row r="349" spans="1:4" ht="15.75" outlineLevel="1" x14ac:dyDescent="0.2">
      <c r="A349" s="30" t="s">
        <v>33</v>
      </c>
      <c r="B349" s="31" t="s">
        <v>50</v>
      </c>
      <c r="C349" s="30">
        <v>5.2</v>
      </c>
      <c r="D349" s="85"/>
    </row>
    <row r="350" spans="1:4" ht="15.75" outlineLevel="1" x14ac:dyDescent="0.2">
      <c r="A350" s="30" t="s">
        <v>33</v>
      </c>
      <c r="B350" s="31" t="s">
        <v>66</v>
      </c>
      <c r="C350" s="30">
        <v>5.3</v>
      </c>
      <c r="D350" s="85"/>
    </row>
    <row r="351" spans="1:4" ht="15.75" outlineLevel="1" x14ac:dyDescent="0.2">
      <c r="A351" s="30" t="s">
        <v>33</v>
      </c>
      <c r="B351" s="31" t="s">
        <v>80</v>
      </c>
      <c r="C351" s="30">
        <v>5.6</v>
      </c>
      <c r="D351" s="85"/>
    </row>
    <row r="352" spans="1:4" ht="15.75" outlineLevel="1" x14ac:dyDescent="0.2">
      <c r="A352" s="30" t="s">
        <v>33</v>
      </c>
      <c r="B352" s="31" t="s">
        <v>1080</v>
      </c>
      <c r="C352" s="32">
        <v>5.0999999999999996</v>
      </c>
      <c r="D352" s="85"/>
    </row>
    <row r="353" spans="1:4" ht="15.75" outlineLevel="1" x14ac:dyDescent="0.2">
      <c r="A353" s="30" t="s">
        <v>33</v>
      </c>
      <c r="B353" s="31" t="s">
        <v>91</v>
      </c>
      <c r="C353" s="30">
        <v>5.14</v>
      </c>
      <c r="D353" s="85"/>
    </row>
    <row r="354" spans="1:4" ht="15.75" outlineLevel="1" x14ac:dyDescent="0.2">
      <c r="A354" s="30" t="s">
        <v>33</v>
      </c>
      <c r="B354" s="31" t="s">
        <v>68</v>
      </c>
      <c r="C354" s="30">
        <v>5.19</v>
      </c>
      <c r="D354" s="85"/>
    </row>
    <row r="355" spans="1:4" ht="15.75" outlineLevel="1" x14ac:dyDescent="0.2">
      <c r="A355" s="30" t="s">
        <v>33</v>
      </c>
      <c r="B355" s="31" t="s">
        <v>82</v>
      </c>
      <c r="C355" s="30">
        <v>5.24</v>
      </c>
      <c r="D355" s="85"/>
    </row>
    <row r="356" spans="1:4" ht="15.75" outlineLevel="1" x14ac:dyDescent="0.2">
      <c r="A356" s="30" t="s">
        <v>33</v>
      </c>
      <c r="B356" s="31" t="s">
        <v>54</v>
      </c>
      <c r="C356" s="30">
        <v>5.26</v>
      </c>
      <c r="D356" s="85"/>
    </row>
    <row r="357" spans="1:4" ht="15.75" outlineLevel="1" x14ac:dyDescent="0.2">
      <c r="A357" s="30" t="s">
        <v>33</v>
      </c>
      <c r="B357" s="31" t="s">
        <v>55</v>
      </c>
      <c r="C357" s="30">
        <v>5.27</v>
      </c>
      <c r="D357" s="85"/>
    </row>
    <row r="358" spans="1:4" ht="15.75" outlineLevel="1" x14ac:dyDescent="0.2">
      <c r="A358" s="30" t="s">
        <v>33</v>
      </c>
      <c r="B358" s="31" t="s">
        <v>69</v>
      </c>
      <c r="C358" s="30">
        <v>5.28</v>
      </c>
      <c r="D358" s="85"/>
    </row>
    <row r="359" spans="1:4" ht="15.75" outlineLevel="1" x14ac:dyDescent="0.2">
      <c r="A359" s="30" t="s">
        <v>33</v>
      </c>
      <c r="B359" s="31" t="s">
        <v>83</v>
      </c>
      <c r="C359" s="30">
        <v>5.31</v>
      </c>
      <c r="D359" s="85"/>
    </row>
    <row r="360" spans="1:4" ht="15.75" outlineLevel="1" x14ac:dyDescent="0.2">
      <c r="A360" s="30" t="s">
        <v>33</v>
      </c>
      <c r="B360" s="31" t="s">
        <v>56</v>
      </c>
      <c r="C360" s="30">
        <v>5.36</v>
      </c>
      <c r="D360" s="85"/>
    </row>
    <row r="361" spans="1:4" ht="15.75" outlineLevel="1" x14ac:dyDescent="0.2">
      <c r="A361" s="30" t="s">
        <v>33</v>
      </c>
      <c r="B361" s="31" t="s">
        <v>97</v>
      </c>
      <c r="C361" s="30">
        <v>5.37</v>
      </c>
      <c r="D361" s="85"/>
    </row>
    <row r="362" spans="1:4" ht="15.75" outlineLevel="1" x14ac:dyDescent="0.2">
      <c r="A362" s="30" t="s">
        <v>33</v>
      </c>
      <c r="B362" s="31" t="s">
        <v>71</v>
      </c>
      <c r="C362" s="30">
        <v>5.49</v>
      </c>
      <c r="D362" s="85"/>
    </row>
    <row r="363" spans="1:4" ht="15.75" outlineLevel="1" x14ac:dyDescent="0.2">
      <c r="A363" s="30" t="s">
        <v>33</v>
      </c>
      <c r="B363" s="31" t="s">
        <v>58</v>
      </c>
      <c r="C363" s="30">
        <v>5.51</v>
      </c>
      <c r="D363" s="85"/>
    </row>
    <row r="364" spans="1:4" ht="15.75" outlineLevel="1" x14ac:dyDescent="0.2">
      <c r="A364" s="30" t="s">
        <v>33</v>
      </c>
      <c r="B364" s="31" t="s">
        <v>1081</v>
      </c>
      <c r="C364" s="30">
        <v>5.52</v>
      </c>
      <c r="D364" s="85"/>
    </row>
    <row r="365" spans="1:4" ht="15.75" outlineLevel="1" x14ac:dyDescent="0.2">
      <c r="A365" s="30" t="s">
        <v>33</v>
      </c>
      <c r="B365" s="31" t="s">
        <v>59</v>
      </c>
      <c r="C365" s="30">
        <v>5.53</v>
      </c>
      <c r="D365" s="85"/>
    </row>
    <row r="366" spans="1:4" ht="15.75" outlineLevel="1" x14ac:dyDescent="0.2">
      <c r="A366" s="30" t="s">
        <v>33</v>
      </c>
      <c r="B366" s="31" t="s">
        <v>72</v>
      </c>
      <c r="C366" s="30">
        <v>5.69</v>
      </c>
      <c r="D366" s="85"/>
    </row>
    <row r="367" spans="1:4" ht="15.75" outlineLevel="1" x14ac:dyDescent="0.2">
      <c r="A367" s="30" t="s">
        <v>33</v>
      </c>
      <c r="B367" s="31" t="s">
        <v>98</v>
      </c>
      <c r="C367" s="32">
        <v>5.8</v>
      </c>
      <c r="D367" s="85"/>
    </row>
    <row r="368" spans="1:4" ht="15.75" outlineLevel="1" x14ac:dyDescent="0.2">
      <c r="A368" s="30" t="s">
        <v>33</v>
      </c>
      <c r="B368" s="31" t="s">
        <v>85</v>
      </c>
      <c r="C368" s="32">
        <v>5.72</v>
      </c>
      <c r="D368" s="85"/>
    </row>
    <row r="369" spans="1:4" ht="15.75" outlineLevel="1" x14ac:dyDescent="0.2">
      <c r="A369" s="30" t="s">
        <v>33</v>
      </c>
      <c r="B369" s="31" t="s">
        <v>73</v>
      </c>
      <c r="C369" s="30">
        <v>5.75</v>
      </c>
      <c r="D369" s="85"/>
    </row>
    <row r="370" spans="1:4" ht="15.75" outlineLevel="1" x14ac:dyDescent="0.2">
      <c r="A370" s="30" t="s">
        <v>33</v>
      </c>
      <c r="B370" s="31" t="s">
        <v>62</v>
      </c>
      <c r="C370" s="32">
        <v>5.7</v>
      </c>
      <c r="D370" s="85"/>
    </row>
    <row r="371" spans="1:4" ht="15.75" outlineLevel="1" x14ac:dyDescent="0.2">
      <c r="A371" s="30" t="s">
        <v>33</v>
      </c>
      <c r="B371" s="31" t="s">
        <v>74</v>
      </c>
      <c r="C371" s="30">
        <v>5.74</v>
      </c>
      <c r="D371" s="85"/>
    </row>
    <row r="372" spans="1:4" ht="15.75" outlineLevel="1" x14ac:dyDescent="0.2">
      <c r="A372" s="30" t="s">
        <v>33</v>
      </c>
      <c r="B372" s="31" t="s">
        <v>86</v>
      </c>
      <c r="C372" s="30">
        <v>5.76</v>
      </c>
      <c r="D372" s="85"/>
    </row>
    <row r="373" spans="1:4" ht="15.75" outlineLevel="1" x14ac:dyDescent="0.2">
      <c r="A373" s="30" t="s">
        <v>33</v>
      </c>
      <c r="B373" s="31" t="s">
        <v>87</v>
      </c>
      <c r="C373" s="30">
        <v>5.89</v>
      </c>
      <c r="D373" s="179" t="s">
        <v>2500</v>
      </c>
    </row>
    <row r="374" spans="1:4" ht="15.75" outlineLevel="1" x14ac:dyDescent="0.2">
      <c r="A374" s="30" t="s">
        <v>33</v>
      </c>
      <c r="B374" s="31" t="s">
        <v>103</v>
      </c>
      <c r="C374" s="30">
        <v>5.109</v>
      </c>
      <c r="D374" s="84"/>
    </row>
    <row r="375" spans="1:4" ht="15.75" outlineLevel="1" x14ac:dyDescent="0.2">
      <c r="A375" s="30" t="s">
        <v>33</v>
      </c>
      <c r="B375" s="31" t="s">
        <v>104</v>
      </c>
      <c r="C375" s="30">
        <v>5.1109999999999998</v>
      </c>
      <c r="D375" s="85"/>
    </row>
    <row r="376" spans="1:4" ht="15.75" outlineLevel="1" x14ac:dyDescent="0.2">
      <c r="A376" s="30" t="s">
        <v>33</v>
      </c>
      <c r="B376" s="31" t="s">
        <v>106</v>
      </c>
      <c r="C376" s="30">
        <v>5.1120000000000001</v>
      </c>
      <c r="D376" s="85"/>
    </row>
    <row r="377" spans="1:4" ht="15.75" outlineLevel="1" x14ac:dyDescent="0.2">
      <c r="A377" s="30" t="s">
        <v>33</v>
      </c>
      <c r="B377" s="31" t="s">
        <v>1084</v>
      </c>
      <c r="C377" s="30">
        <v>5.1130000000000004</v>
      </c>
      <c r="D377" s="85"/>
    </row>
    <row r="378" spans="1:4" ht="15.75" outlineLevel="1" x14ac:dyDescent="0.2">
      <c r="A378" s="30" t="s">
        <v>33</v>
      </c>
      <c r="B378" s="31" t="s">
        <v>76</v>
      </c>
      <c r="C378" s="30">
        <v>5.58</v>
      </c>
      <c r="D378" s="85"/>
    </row>
    <row r="379" spans="1:4" ht="15.75" outlineLevel="1" x14ac:dyDescent="0.2">
      <c r="A379" s="30" t="s">
        <v>33</v>
      </c>
      <c r="B379" s="31" t="s">
        <v>61</v>
      </c>
      <c r="C379" s="30">
        <v>5.54</v>
      </c>
      <c r="D379" s="85"/>
    </row>
    <row r="380" spans="1:4" ht="15.75" outlineLevel="1" x14ac:dyDescent="0.2">
      <c r="A380" s="30" t="s">
        <v>33</v>
      </c>
      <c r="B380" s="31" t="s">
        <v>77</v>
      </c>
      <c r="C380" s="30">
        <v>5.55</v>
      </c>
      <c r="D380" s="85"/>
    </row>
    <row r="381" spans="1:4" ht="15.75" outlineLevel="1" x14ac:dyDescent="0.2">
      <c r="A381" s="30" t="s">
        <v>33</v>
      </c>
      <c r="B381" s="31" t="s">
        <v>63</v>
      </c>
      <c r="C381" s="30">
        <v>5.63</v>
      </c>
      <c r="D381" s="85"/>
    </row>
    <row r="382" spans="1:4" ht="15.75" outlineLevel="1" x14ac:dyDescent="0.2">
      <c r="A382" s="30" t="s">
        <v>33</v>
      </c>
      <c r="B382" s="31" t="s">
        <v>78</v>
      </c>
      <c r="C382" s="30">
        <v>5.65</v>
      </c>
      <c r="D382" s="85"/>
    </row>
    <row r="383" spans="1:4" ht="15.75" outlineLevel="1" x14ac:dyDescent="0.2">
      <c r="A383" s="30" t="s">
        <v>33</v>
      </c>
      <c r="B383" s="31" t="s">
        <v>88</v>
      </c>
      <c r="C383" s="30">
        <v>5.66</v>
      </c>
      <c r="D383" s="85"/>
    </row>
    <row r="384" spans="1:4" ht="15.75" outlineLevel="1" x14ac:dyDescent="0.2">
      <c r="A384" s="30" t="s">
        <v>33</v>
      </c>
      <c r="B384" s="31" t="s">
        <v>17</v>
      </c>
      <c r="C384" s="30">
        <v>5.68</v>
      </c>
      <c r="D384" s="85"/>
    </row>
    <row r="385" spans="1:4" ht="15.75" outlineLevel="1" x14ac:dyDescent="0.2">
      <c r="A385" s="30" t="s">
        <v>33</v>
      </c>
      <c r="B385" s="31" t="s">
        <v>64</v>
      </c>
      <c r="C385" s="30">
        <v>5.47</v>
      </c>
      <c r="D385" s="85"/>
    </row>
    <row r="386" spans="1:4" ht="15.75" outlineLevel="1" x14ac:dyDescent="0.2">
      <c r="A386" s="30" t="s">
        <v>33</v>
      </c>
      <c r="B386" s="31" t="s">
        <v>65</v>
      </c>
      <c r="C386" s="30">
        <v>5.48</v>
      </c>
      <c r="D386" s="85"/>
    </row>
    <row r="387" spans="1:4" ht="15.75" x14ac:dyDescent="0.2">
      <c r="A387" s="35" t="s">
        <v>33</v>
      </c>
      <c r="B387" s="31"/>
      <c r="C387" s="30"/>
      <c r="D387" s="85"/>
    </row>
    <row r="388" spans="1:4" ht="15.75" outlineLevel="1" x14ac:dyDescent="0.2">
      <c r="A388" s="30" t="s">
        <v>34</v>
      </c>
      <c r="B388" s="31" t="s">
        <v>49</v>
      </c>
      <c r="C388" s="30">
        <v>5.0999999999999996</v>
      </c>
      <c r="D388" s="85"/>
    </row>
    <row r="389" spans="1:4" ht="15.75" outlineLevel="1" x14ac:dyDescent="0.2">
      <c r="A389" s="30" t="s">
        <v>34</v>
      </c>
      <c r="B389" s="31" t="s">
        <v>50</v>
      </c>
      <c r="C389" s="30">
        <v>5.2</v>
      </c>
      <c r="D389" s="85"/>
    </row>
    <row r="390" spans="1:4" ht="15.75" outlineLevel="1" x14ac:dyDescent="0.2">
      <c r="A390" s="30" t="s">
        <v>34</v>
      </c>
      <c r="B390" s="31" t="s">
        <v>66</v>
      </c>
      <c r="C390" s="30">
        <v>5.3</v>
      </c>
      <c r="D390" s="85"/>
    </row>
    <row r="391" spans="1:4" ht="15.75" outlineLevel="1" x14ac:dyDescent="0.2">
      <c r="A391" s="30" t="s">
        <v>34</v>
      </c>
      <c r="B391" s="31" t="s">
        <v>80</v>
      </c>
      <c r="C391" s="30">
        <v>5.6</v>
      </c>
      <c r="D391" s="85"/>
    </row>
    <row r="392" spans="1:4" ht="15.75" outlineLevel="1" x14ac:dyDescent="0.2">
      <c r="A392" s="30" t="s">
        <v>34</v>
      </c>
      <c r="B392" s="31" t="s">
        <v>1080</v>
      </c>
      <c r="C392" s="32">
        <v>5.0999999999999996</v>
      </c>
      <c r="D392" s="85"/>
    </row>
    <row r="393" spans="1:4" ht="15.75" outlineLevel="1" x14ac:dyDescent="0.2">
      <c r="A393" s="30" t="s">
        <v>34</v>
      </c>
      <c r="B393" s="31" t="s">
        <v>91</v>
      </c>
      <c r="C393" s="30">
        <v>5.14</v>
      </c>
      <c r="D393" s="85"/>
    </row>
    <row r="394" spans="1:4" ht="15.75" outlineLevel="1" x14ac:dyDescent="0.2">
      <c r="A394" s="30" t="s">
        <v>34</v>
      </c>
      <c r="B394" s="31" t="s">
        <v>68</v>
      </c>
      <c r="C394" s="30">
        <v>5.19</v>
      </c>
      <c r="D394" s="85"/>
    </row>
    <row r="395" spans="1:4" ht="15.75" outlineLevel="1" x14ac:dyDescent="0.2">
      <c r="A395" s="30" t="s">
        <v>34</v>
      </c>
      <c r="B395" s="31" t="s">
        <v>82</v>
      </c>
      <c r="C395" s="30">
        <v>5.24</v>
      </c>
      <c r="D395" s="85"/>
    </row>
    <row r="396" spans="1:4" ht="15.75" outlineLevel="1" x14ac:dyDescent="0.2">
      <c r="A396" s="30" t="s">
        <v>34</v>
      </c>
      <c r="B396" s="31" t="s">
        <v>54</v>
      </c>
      <c r="C396" s="30">
        <v>5.26</v>
      </c>
      <c r="D396" s="85"/>
    </row>
    <row r="397" spans="1:4" ht="15.75" outlineLevel="1" x14ac:dyDescent="0.2">
      <c r="A397" s="30" t="s">
        <v>34</v>
      </c>
      <c r="B397" s="31" t="s">
        <v>55</v>
      </c>
      <c r="C397" s="30">
        <v>5.27</v>
      </c>
      <c r="D397" s="85"/>
    </row>
    <row r="398" spans="1:4" ht="15.75" outlineLevel="1" x14ac:dyDescent="0.2">
      <c r="A398" s="30" t="s">
        <v>34</v>
      </c>
      <c r="B398" s="31" t="s">
        <v>69</v>
      </c>
      <c r="C398" s="30">
        <v>5.28</v>
      </c>
      <c r="D398" s="85"/>
    </row>
    <row r="399" spans="1:4" ht="15.75" outlineLevel="1" x14ac:dyDescent="0.2">
      <c r="A399" s="30" t="s">
        <v>34</v>
      </c>
      <c r="B399" s="31" t="s">
        <v>89</v>
      </c>
      <c r="C399" s="30">
        <v>5.29</v>
      </c>
      <c r="D399" s="85"/>
    </row>
    <row r="400" spans="1:4" ht="15.75" outlineLevel="1" x14ac:dyDescent="0.2">
      <c r="A400" s="30" t="s">
        <v>34</v>
      </c>
      <c r="B400" s="31" t="s">
        <v>83</v>
      </c>
      <c r="C400" s="30">
        <v>5.31</v>
      </c>
      <c r="D400" s="85"/>
    </row>
    <row r="401" spans="1:4" ht="15.75" outlineLevel="1" x14ac:dyDescent="0.2">
      <c r="A401" s="30" t="s">
        <v>34</v>
      </c>
      <c r="B401" s="31" t="s">
        <v>56</v>
      </c>
      <c r="C401" s="30">
        <v>5.36</v>
      </c>
      <c r="D401" s="85"/>
    </row>
    <row r="402" spans="1:4" ht="15.75" outlineLevel="1" x14ac:dyDescent="0.2">
      <c r="A402" s="30" t="s">
        <v>34</v>
      </c>
      <c r="B402" s="31" t="s">
        <v>97</v>
      </c>
      <c r="C402" s="30">
        <v>5.37</v>
      </c>
      <c r="D402" s="85"/>
    </row>
    <row r="403" spans="1:4" ht="15.75" outlineLevel="1" x14ac:dyDescent="0.2">
      <c r="A403" s="30" t="s">
        <v>34</v>
      </c>
      <c r="B403" s="31" t="s">
        <v>71</v>
      </c>
      <c r="C403" s="30">
        <v>5.49</v>
      </c>
      <c r="D403" s="85"/>
    </row>
    <row r="404" spans="1:4" ht="15.75" outlineLevel="1" x14ac:dyDescent="0.2">
      <c r="A404" s="30" t="s">
        <v>34</v>
      </c>
      <c r="B404" s="31" t="s">
        <v>58</v>
      </c>
      <c r="C404" s="30">
        <v>5.51</v>
      </c>
      <c r="D404" s="85"/>
    </row>
    <row r="405" spans="1:4" ht="15.75" outlineLevel="1" x14ac:dyDescent="0.2">
      <c r="A405" s="30" t="s">
        <v>34</v>
      </c>
      <c r="B405" s="31" t="s">
        <v>1081</v>
      </c>
      <c r="C405" s="30">
        <v>5.52</v>
      </c>
      <c r="D405" s="85"/>
    </row>
    <row r="406" spans="1:4" ht="15.75" outlineLevel="1" x14ac:dyDescent="0.2">
      <c r="A406" s="30" t="s">
        <v>34</v>
      </c>
      <c r="B406" s="31" t="s">
        <v>59</v>
      </c>
      <c r="C406" s="30">
        <v>5.53</v>
      </c>
      <c r="D406" s="85"/>
    </row>
    <row r="407" spans="1:4" ht="15.75" outlineLevel="1" x14ac:dyDescent="0.2">
      <c r="A407" s="30" t="s">
        <v>34</v>
      </c>
      <c r="B407" s="31" t="s">
        <v>72</v>
      </c>
      <c r="C407" s="30">
        <v>5.69</v>
      </c>
      <c r="D407" s="85"/>
    </row>
    <row r="408" spans="1:4" ht="15.75" outlineLevel="1" x14ac:dyDescent="0.2">
      <c r="A408" s="30" t="s">
        <v>34</v>
      </c>
      <c r="B408" s="31" t="s">
        <v>73</v>
      </c>
      <c r="C408" s="30">
        <v>5.75</v>
      </c>
      <c r="D408" s="85"/>
    </row>
    <row r="409" spans="1:4" ht="15.75" outlineLevel="1" x14ac:dyDescent="0.2">
      <c r="A409" s="30" t="s">
        <v>34</v>
      </c>
      <c r="B409" s="31" t="s">
        <v>74</v>
      </c>
      <c r="C409" s="30">
        <v>5.74</v>
      </c>
      <c r="D409" s="85"/>
    </row>
    <row r="410" spans="1:4" ht="15.75" outlineLevel="1" x14ac:dyDescent="0.2">
      <c r="A410" s="30" t="s">
        <v>34</v>
      </c>
      <c r="B410" s="31" t="s">
        <v>62</v>
      </c>
      <c r="C410" s="32">
        <v>5.7</v>
      </c>
      <c r="D410" s="85"/>
    </row>
    <row r="411" spans="1:4" ht="15.75" outlineLevel="1" x14ac:dyDescent="0.2">
      <c r="A411" s="30" t="s">
        <v>34</v>
      </c>
      <c r="B411" s="31" t="s">
        <v>86</v>
      </c>
      <c r="C411" s="30">
        <v>5.76</v>
      </c>
      <c r="D411" s="85"/>
    </row>
    <row r="412" spans="1:4" ht="15.75" outlineLevel="1" x14ac:dyDescent="0.2">
      <c r="A412" s="30" t="s">
        <v>34</v>
      </c>
      <c r="B412" s="31" t="s">
        <v>87</v>
      </c>
      <c r="C412" s="30">
        <v>5.89</v>
      </c>
      <c r="D412" s="179" t="s">
        <v>2500</v>
      </c>
    </row>
    <row r="413" spans="1:4" ht="15.75" outlineLevel="1" x14ac:dyDescent="0.2">
      <c r="A413" s="30" t="s">
        <v>34</v>
      </c>
      <c r="B413" s="31" t="s">
        <v>103</v>
      </c>
      <c r="C413" s="30">
        <v>5.109</v>
      </c>
      <c r="D413" s="85"/>
    </row>
    <row r="414" spans="1:4" ht="15.75" outlineLevel="1" x14ac:dyDescent="0.2">
      <c r="A414" s="30" t="s">
        <v>34</v>
      </c>
      <c r="B414" s="31" t="s">
        <v>104</v>
      </c>
      <c r="C414" s="30">
        <v>5.1109999999999998</v>
      </c>
      <c r="D414" s="85"/>
    </row>
    <row r="415" spans="1:4" ht="15.75" outlineLevel="1" x14ac:dyDescent="0.2">
      <c r="A415" s="30" t="s">
        <v>34</v>
      </c>
      <c r="B415" s="31" t="s">
        <v>106</v>
      </c>
      <c r="C415" s="30">
        <v>5.1120000000000001</v>
      </c>
      <c r="D415" s="85"/>
    </row>
    <row r="416" spans="1:4" ht="15.75" outlineLevel="1" x14ac:dyDescent="0.2">
      <c r="A416" s="30" t="s">
        <v>34</v>
      </c>
      <c r="B416" s="31" t="s">
        <v>1084</v>
      </c>
      <c r="C416" s="30">
        <v>5.1130000000000004</v>
      </c>
      <c r="D416" s="85"/>
    </row>
    <row r="417" spans="1:4" ht="15.75" outlineLevel="1" x14ac:dyDescent="0.2">
      <c r="A417" s="30" t="s">
        <v>34</v>
      </c>
      <c r="B417" s="31" t="s">
        <v>76</v>
      </c>
      <c r="C417" s="30">
        <v>5.58</v>
      </c>
      <c r="D417" s="85"/>
    </row>
    <row r="418" spans="1:4" ht="15.75" outlineLevel="1" x14ac:dyDescent="0.2">
      <c r="A418" s="30" t="s">
        <v>34</v>
      </c>
      <c r="B418" s="31" t="s">
        <v>61</v>
      </c>
      <c r="C418" s="30">
        <v>5.54</v>
      </c>
      <c r="D418" s="85"/>
    </row>
    <row r="419" spans="1:4" ht="15.75" outlineLevel="1" x14ac:dyDescent="0.2">
      <c r="A419" s="30" t="s">
        <v>34</v>
      </c>
      <c r="B419" s="31" t="s">
        <v>77</v>
      </c>
      <c r="C419" s="30">
        <v>5.55</v>
      </c>
      <c r="D419" s="85"/>
    </row>
    <row r="420" spans="1:4" ht="15.75" outlineLevel="1" x14ac:dyDescent="0.2">
      <c r="A420" s="30" t="s">
        <v>34</v>
      </c>
      <c r="B420" s="31" t="s">
        <v>63</v>
      </c>
      <c r="C420" s="30">
        <v>5.63</v>
      </c>
      <c r="D420" s="85"/>
    </row>
    <row r="421" spans="1:4" ht="15.75" outlineLevel="1" x14ac:dyDescent="0.2">
      <c r="A421" s="30" t="s">
        <v>34</v>
      </c>
      <c r="B421" s="31" t="s">
        <v>78</v>
      </c>
      <c r="C421" s="30">
        <v>5.65</v>
      </c>
      <c r="D421" s="85"/>
    </row>
    <row r="422" spans="1:4" ht="15.75" outlineLevel="1" x14ac:dyDescent="0.2">
      <c r="A422" s="30" t="s">
        <v>34</v>
      </c>
      <c r="B422" s="31" t="s">
        <v>88</v>
      </c>
      <c r="C422" s="30">
        <v>5.66</v>
      </c>
      <c r="D422" s="85"/>
    </row>
    <row r="423" spans="1:4" ht="15.75" outlineLevel="1" x14ac:dyDescent="0.2">
      <c r="A423" s="30" t="s">
        <v>34</v>
      </c>
      <c r="B423" s="31" t="s">
        <v>17</v>
      </c>
      <c r="C423" s="30">
        <v>5.68</v>
      </c>
      <c r="D423" s="85"/>
    </row>
    <row r="424" spans="1:4" ht="15.75" outlineLevel="1" x14ac:dyDescent="0.2">
      <c r="A424" s="30" t="s">
        <v>34</v>
      </c>
      <c r="B424" s="31" t="s">
        <v>64</v>
      </c>
      <c r="C424" s="30">
        <v>5.47</v>
      </c>
      <c r="D424" s="85"/>
    </row>
    <row r="425" spans="1:4" ht="15.75" outlineLevel="1" x14ac:dyDescent="0.2">
      <c r="A425" s="30" t="s">
        <v>34</v>
      </c>
      <c r="B425" s="31" t="s">
        <v>65</v>
      </c>
      <c r="C425" s="30">
        <v>5.48</v>
      </c>
      <c r="D425" s="85"/>
    </row>
    <row r="426" spans="1:4" ht="15.75" x14ac:dyDescent="0.2">
      <c r="A426" s="35" t="s">
        <v>34</v>
      </c>
      <c r="B426" s="31"/>
      <c r="C426" s="30"/>
      <c r="D426" s="85"/>
    </row>
    <row r="427" spans="1:4" ht="15.75" outlineLevel="1" x14ac:dyDescent="0.2">
      <c r="A427" s="30" t="s">
        <v>1085</v>
      </c>
      <c r="B427" s="31" t="s">
        <v>49</v>
      </c>
      <c r="C427" s="30">
        <v>5.0999999999999996</v>
      </c>
      <c r="D427" s="85"/>
    </row>
    <row r="428" spans="1:4" ht="15.75" outlineLevel="1" x14ac:dyDescent="0.2">
      <c r="A428" s="30" t="s">
        <v>1085</v>
      </c>
      <c r="B428" s="31" t="s">
        <v>50</v>
      </c>
      <c r="C428" s="30">
        <v>5.2</v>
      </c>
      <c r="D428" s="85"/>
    </row>
    <row r="429" spans="1:4" ht="15.75" outlineLevel="1" x14ac:dyDescent="0.2">
      <c r="A429" s="30" t="s">
        <v>1085</v>
      </c>
      <c r="B429" s="31" t="s">
        <v>66</v>
      </c>
      <c r="C429" s="30">
        <v>5.3</v>
      </c>
      <c r="D429" s="85"/>
    </row>
    <row r="430" spans="1:4" ht="15.75" outlineLevel="1" x14ac:dyDescent="0.2">
      <c r="A430" s="30" t="s">
        <v>1085</v>
      </c>
      <c r="B430" s="31" t="s">
        <v>80</v>
      </c>
      <c r="C430" s="30">
        <v>5.6</v>
      </c>
      <c r="D430" s="85"/>
    </row>
    <row r="431" spans="1:4" ht="15.75" outlineLevel="1" x14ac:dyDescent="0.2">
      <c r="A431" s="30" t="s">
        <v>1085</v>
      </c>
      <c r="B431" s="31" t="s">
        <v>1080</v>
      </c>
      <c r="C431" s="32">
        <v>5.0999999999999996</v>
      </c>
      <c r="D431" s="85"/>
    </row>
    <row r="432" spans="1:4" ht="15.75" outlineLevel="1" x14ac:dyDescent="0.2">
      <c r="A432" s="30" t="s">
        <v>1085</v>
      </c>
      <c r="B432" s="31" t="s">
        <v>91</v>
      </c>
      <c r="C432" s="30">
        <v>5.14</v>
      </c>
      <c r="D432" s="85"/>
    </row>
    <row r="433" spans="1:4" ht="15.75" outlineLevel="1" x14ac:dyDescent="0.2">
      <c r="A433" s="30" t="s">
        <v>1085</v>
      </c>
      <c r="B433" s="31" t="s">
        <v>68</v>
      </c>
      <c r="C433" s="30">
        <v>5.19</v>
      </c>
      <c r="D433" s="85"/>
    </row>
    <row r="434" spans="1:4" ht="15.75" outlineLevel="1" x14ac:dyDescent="0.2">
      <c r="A434" s="30" t="s">
        <v>1085</v>
      </c>
      <c r="B434" s="31" t="s">
        <v>82</v>
      </c>
      <c r="C434" s="30">
        <v>5.24</v>
      </c>
      <c r="D434" s="85"/>
    </row>
    <row r="435" spans="1:4" ht="15.75" outlineLevel="1" x14ac:dyDescent="0.2">
      <c r="A435" s="30" t="s">
        <v>1085</v>
      </c>
      <c r="B435" s="31" t="s">
        <v>54</v>
      </c>
      <c r="C435" s="30">
        <v>5.26</v>
      </c>
      <c r="D435" s="85"/>
    </row>
    <row r="436" spans="1:4" ht="15.75" outlineLevel="1" x14ac:dyDescent="0.2">
      <c r="A436" s="30" t="s">
        <v>1085</v>
      </c>
      <c r="B436" s="31" t="s">
        <v>55</v>
      </c>
      <c r="C436" s="30">
        <v>5.27</v>
      </c>
      <c r="D436" s="85"/>
    </row>
    <row r="437" spans="1:4" ht="15.75" outlineLevel="1" x14ac:dyDescent="0.2">
      <c r="A437" s="30" t="s">
        <v>1085</v>
      </c>
      <c r="B437" s="31" t="s">
        <v>69</v>
      </c>
      <c r="C437" s="30">
        <v>5.28</v>
      </c>
      <c r="D437" s="85"/>
    </row>
    <row r="438" spans="1:4" ht="15.75" outlineLevel="1" x14ac:dyDescent="0.2">
      <c r="A438" s="30" t="s">
        <v>1085</v>
      </c>
      <c r="B438" s="31" t="s">
        <v>89</v>
      </c>
      <c r="C438" s="30">
        <v>5.29</v>
      </c>
      <c r="D438" s="85"/>
    </row>
    <row r="439" spans="1:4" ht="15.75" outlineLevel="1" x14ac:dyDescent="0.2">
      <c r="A439" s="30" t="s">
        <v>1085</v>
      </c>
      <c r="B439" s="31" t="s">
        <v>83</v>
      </c>
      <c r="C439" s="30">
        <v>5.31</v>
      </c>
      <c r="D439" s="85"/>
    </row>
    <row r="440" spans="1:4" ht="15.75" outlineLevel="1" x14ac:dyDescent="0.2">
      <c r="A440" s="30" t="s">
        <v>1085</v>
      </c>
      <c r="B440" s="31" t="s">
        <v>56</v>
      </c>
      <c r="C440" s="30">
        <v>5.36</v>
      </c>
      <c r="D440" s="85"/>
    </row>
    <row r="441" spans="1:4" ht="15.75" outlineLevel="1" x14ac:dyDescent="0.2">
      <c r="A441" s="30" t="s">
        <v>1085</v>
      </c>
      <c r="B441" s="31" t="s">
        <v>97</v>
      </c>
      <c r="C441" s="30">
        <v>5.37</v>
      </c>
      <c r="D441" s="85"/>
    </row>
    <row r="442" spans="1:4" ht="15.75" outlineLevel="1" x14ac:dyDescent="0.2">
      <c r="A442" s="30" t="s">
        <v>1085</v>
      </c>
      <c r="B442" s="31" t="s">
        <v>59</v>
      </c>
      <c r="C442" s="30">
        <v>5.53</v>
      </c>
      <c r="D442" s="85"/>
    </row>
    <row r="443" spans="1:4" ht="15.75" outlineLevel="1" x14ac:dyDescent="0.2">
      <c r="A443" s="30" t="s">
        <v>1085</v>
      </c>
      <c r="B443" s="31" t="s">
        <v>103</v>
      </c>
      <c r="C443" s="30">
        <v>5.109</v>
      </c>
      <c r="D443" s="85"/>
    </row>
    <row r="444" spans="1:4" ht="15.75" outlineLevel="1" x14ac:dyDescent="0.2">
      <c r="A444" s="30" t="s">
        <v>1085</v>
      </c>
      <c r="B444" s="31" t="s">
        <v>104</v>
      </c>
      <c r="C444" s="30">
        <v>5.1109999999999998</v>
      </c>
      <c r="D444" s="85"/>
    </row>
    <row r="445" spans="1:4" ht="15.75" outlineLevel="1" x14ac:dyDescent="0.2">
      <c r="A445" s="30" t="s">
        <v>1085</v>
      </c>
      <c r="B445" s="31" t="s">
        <v>106</v>
      </c>
      <c r="C445" s="30">
        <v>5.1120000000000001</v>
      </c>
      <c r="D445" s="85"/>
    </row>
    <row r="446" spans="1:4" ht="15.75" outlineLevel="1" x14ac:dyDescent="0.2">
      <c r="A446" s="30" t="s">
        <v>1085</v>
      </c>
      <c r="B446" s="31" t="s">
        <v>1084</v>
      </c>
      <c r="C446" s="30">
        <v>5.1130000000000004</v>
      </c>
      <c r="D446" s="85"/>
    </row>
    <row r="447" spans="1:4" ht="15.75" outlineLevel="1" x14ac:dyDescent="0.2">
      <c r="A447" s="30" t="s">
        <v>1085</v>
      </c>
      <c r="B447" s="31" t="s">
        <v>76</v>
      </c>
      <c r="C447" s="30">
        <v>5.58</v>
      </c>
      <c r="D447" s="85"/>
    </row>
    <row r="448" spans="1:4" ht="15.75" outlineLevel="1" x14ac:dyDescent="0.2">
      <c r="A448" s="30" t="s">
        <v>1085</v>
      </c>
      <c r="B448" s="31" t="s">
        <v>61</v>
      </c>
      <c r="C448" s="30">
        <v>5.54</v>
      </c>
      <c r="D448" s="85"/>
    </row>
    <row r="449" spans="1:4" ht="15.75" outlineLevel="1" x14ac:dyDescent="0.2">
      <c r="A449" s="30" t="s">
        <v>1085</v>
      </c>
      <c r="B449" s="31" t="s">
        <v>77</v>
      </c>
      <c r="C449" s="30">
        <v>5.55</v>
      </c>
      <c r="D449" s="85"/>
    </row>
    <row r="450" spans="1:4" ht="15.75" outlineLevel="1" x14ac:dyDescent="0.2">
      <c r="A450" s="30" t="s">
        <v>1085</v>
      </c>
      <c r="B450" s="31" t="s">
        <v>63</v>
      </c>
      <c r="C450" s="30">
        <v>5.63</v>
      </c>
      <c r="D450" s="85"/>
    </row>
    <row r="451" spans="1:4" ht="15.75" outlineLevel="1" x14ac:dyDescent="0.2">
      <c r="A451" s="30" t="s">
        <v>1085</v>
      </c>
      <c r="B451" s="31" t="s">
        <v>64</v>
      </c>
      <c r="C451" s="30">
        <v>5.47</v>
      </c>
      <c r="D451" s="85"/>
    </row>
    <row r="452" spans="1:4" ht="15.75" outlineLevel="1" x14ac:dyDescent="0.2">
      <c r="A452" s="30" t="s">
        <v>1085</v>
      </c>
      <c r="B452" s="31" t="s">
        <v>65</v>
      </c>
      <c r="C452" s="30">
        <v>5.48</v>
      </c>
      <c r="D452" s="85"/>
    </row>
    <row r="453" spans="1:4" ht="15.75" x14ac:dyDescent="0.2">
      <c r="A453" s="35" t="s">
        <v>1085</v>
      </c>
      <c r="B453" s="31"/>
      <c r="C453" s="30"/>
      <c r="D453" s="85"/>
    </row>
    <row r="454" spans="1:4" ht="15.75" outlineLevel="1" x14ac:dyDescent="0.2">
      <c r="A454" s="30" t="s">
        <v>36</v>
      </c>
      <c r="B454" s="31" t="s">
        <v>49</v>
      </c>
      <c r="C454" s="30">
        <v>5.0999999999999996</v>
      </c>
      <c r="D454" s="85"/>
    </row>
    <row r="455" spans="1:4" ht="15.75" outlineLevel="1" x14ac:dyDescent="0.2">
      <c r="A455" s="30" t="s">
        <v>36</v>
      </c>
      <c r="B455" s="31" t="s">
        <v>50</v>
      </c>
      <c r="C455" s="30">
        <v>5.2</v>
      </c>
      <c r="D455" s="85"/>
    </row>
    <row r="456" spans="1:4" ht="15.75" outlineLevel="1" x14ac:dyDescent="0.2">
      <c r="A456" s="30" t="s">
        <v>36</v>
      </c>
      <c r="B456" s="31" t="s">
        <v>108</v>
      </c>
      <c r="C456" s="30">
        <v>5.5</v>
      </c>
      <c r="D456" s="85"/>
    </row>
    <row r="457" spans="1:4" ht="15.75" outlineLevel="1" x14ac:dyDescent="0.2">
      <c r="A457" s="30" t="s">
        <v>36</v>
      </c>
      <c r="B457" s="31" t="s">
        <v>109</v>
      </c>
      <c r="C457" s="30">
        <v>5.8</v>
      </c>
      <c r="D457" s="179" t="s">
        <v>2500</v>
      </c>
    </row>
    <row r="458" spans="1:4" ht="15.75" outlineLevel="1" x14ac:dyDescent="0.2">
      <c r="A458" s="30" t="s">
        <v>36</v>
      </c>
      <c r="B458" s="31" t="s">
        <v>110</v>
      </c>
      <c r="C458" s="30">
        <v>5.12</v>
      </c>
      <c r="D458" s="179" t="s">
        <v>2500</v>
      </c>
    </row>
    <row r="459" spans="1:4" ht="15.75" outlineLevel="1" x14ac:dyDescent="0.2">
      <c r="A459" s="30" t="s">
        <v>36</v>
      </c>
      <c r="B459" s="31" t="s">
        <v>111</v>
      </c>
      <c r="C459" s="30">
        <v>5.15</v>
      </c>
      <c r="D459" s="85"/>
    </row>
    <row r="460" spans="1:4" ht="15.75" outlineLevel="1" x14ac:dyDescent="0.2">
      <c r="A460" s="30" t="s">
        <v>36</v>
      </c>
      <c r="B460" s="31" t="s">
        <v>112</v>
      </c>
      <c r="C460" s="32">
        <v>5.2</v>
      </c>
      <c r="D460" s="84"/>
    </row>
    <row r="461" spans="1:4" ht="15.75" outlineLevel="1" x14ac:dyDescent="0.2">
      <c r="A461" s="30" t="s">
        <v>36</v>
      </c>
      <c r="B461" s="31" t="s">
        <v>113</v>
      </c>
      <c r="C461" s="30">
        <v>5.25</v>
      </c>
      <c r="D461" s="85"/>
    </row>
    <row r="462" spans="1:4" ht="15.75" outlineLevel="1" x14ac:dyDescent="0.2">
      <c r="A462" s="30" t="s">
        <v>36</v>
      </c>
      <c r="B462" s="31" t="s">
        <v>54</v>
      </c>
      <c r="C462" s="30">
        <v>5.26</v>
      </c>
      <c r="D462" s="85"/>
    </row>
    <row r="463" spans="1:4" ht="15.75" outlineLevel="1" x14ac:dyDescent="0.2">
      <c r="A463" s="30" t="s">
        <v>36</v>
      </c>
      <c r="B463" s="31" t="s">
        <v>114</v>
      </c>
      <c r="C463" s="30">
        <v>5.1139999999999999</v>
      </c>
      <c r="D463" s="179" t="s">
        <v>2500</v>
      </c>
    </row>
    <row r="464" spans="1:4" ht="15.75" outlineLevel="1" x14ac:dyDescent="0.2">
      <c r="A464" s="30" t="s">
        <v>36</v>
      </c>
      <c r="B464" s="31" t="s">
        <v>55</v>
      </c>
      <c r="C464" s="30">
        <v>5.27</v>
      </c>
      <c r="D464" s="85"/>
    </row>
    <row r="465" spans="1:4" ht="15.75" outlineLevel="1" x14ac:dyDescent="0.2">
      <c r="A465" s="30" t="s">
        <v>36</v>
      </c>
      <c r="B465" s="31" t="s">
        <v>115</v>
      </c>
      <c r="C465" s="30">
        <v>5.1150000000000002</v>
      </c>
      <c r="D465" s="179" t="s">
        <v>2500</v>
      </c>
    </row>
    <row r="466" spans="1:4" ht="15.75" outlineLevel="1" x14ac:dyDescent="0.2">
      <c r="A466" s="30" t="s">
        <v>36</v>
      </c>
      <c r="B466" s="31" t="s">
        <v>116</v>
      </c>
      <c r="C466" s="30">
        <v>5.1159999999999997</v>
      </c>
      <c r="D466" s="179" t="s">
        <v>2500</v>
      </c>
    </row>
    <row r="467" spans="1:4" ht="15.75" outlineLevel="1" x14ac:dyDescent="0.2">
      <c r="A467" s="30" t="s">
        <v>36</v>
      </c>
      <c r="B467" s="31" t="s">
        <v>69</v>
      </c>
      <c r="C467" s="30">
        <v>5.28</v>
      </c>
      <c r="D467" s="85"/>
    </row>
    <row r="468" spans="1:4" ht="15.75" outlineLevel="1" x14ac:dyDescent="0.2">
      <c r="A468" s="30" t="s">
        <v>36</v>
      </c>
      <c r="B468" s="31" t="s">
        <v>56</v>
      </c>
      <c r="C468" s="30">
        <v>5.36</v>
      </c>
      <c r="D468" s="85"/>
    </row>
    <row r="469" spans="1:4" ht="15.75" outlineLevel="1" x14ac:dyDescent="0.2">
      <c r="A469" s="30" t="s">
        <v>36</v>
      </c>
      <c r="B469" s="31" t="s">
        <v>97</v>
      </c>
      <c r="C469" s="30">
        <v>5.37</v>
      </c>
      <c r="D469" s="85"/>
    </row>
    <row r="470" spans="1:4" ht="15.75" outlineLevel="1" x14ac:dyDescent="0.2">
      <c r="A470" s="30" t="s">
        <v>36</v>
      </c>
      <c r="B470" s="31" t="s">
        <v>59</v>
      </c>
      <c r="C470" s="30">
        <v>5.53</v>
      </c>
      <c r="D470" s="85"/>
    </row>
    <row r="471" spans="1:4" ht="15.75" outlineLevel="1" x14ac:dyDescent="0.2">
      <c r="A471" s="30" t="s">
        <v>36</v>
      </c>
      <c r="B471" s="31" t="s">
        <v>103</v>
      </c>
      <c r="C471" s="30">
        <v>5.109</v>
      </c>
      <c r="D471" s="85"/>
    </row>
    <row r="472" spans="1:4" ht="15.75" outlineLevel="1" x14ac:dyDescent="0.2">
      <c r="A472" s="30" t="s">
        <v>36</v>
      </c>
      <c r="B472" s="31" t="s">
        <v>104</v>
      </c>
      <c r="C472" s="30">
        <v>5.1109999999999998</v>
      </c>
      <c r="D472" s="85"/>
    </row>
    <row r="473" spans="1:4" ht="15.75" outlineLevel="1" x14ac:dyDescent="0.2">
      <c r="A473" s="30" t="s">
        <v>36</v>
      </c>
      <c r="B473" s="31" t="s">
        <v>106</v>
      </c>
      <c r="C473" s="30">
        <v>5.1120000000000001</v>
      </c>
      <c r="D473" s="85"/>
    </row>
    <row r="474" spans="1:4" ht="15.75" outlineLevel="1" x14ac:dyDescent="0.2">
      <c r="A474" s="30" t="s">
        <v>36</v>
      </c>
      <c r="B474" s="31" t="s">
        <v>61</v>
      </c>
      <c r="C474" s="30">
        <v>5.54</v>
      </c>
      <c r="D474" s="85"/>
    </row>
    <row r="475" spans="1:4" ht="15.75" outlineLevel="1" x14ac:dyDescent="0.2">
      <c r="A475" s="30" t="s">
        <v>36</v>
      </c>
      <c r="B475" s="31" t="s">
        <v>1086</v>
      </c>
      <c r="C475" s="30">
        <v>5.61</v>
      </c>
      <c r="D475" s="85"/>
    </row>
    <row r="476" spans="1:4" ht="15.75" outlineLevel="1" x14ac:dyDescent="0.2">
      <c r="A476" s="30" t="s">
        <v>36</v>
      </c>
      <c r="B476" s="31" t="s">
        <v>63</v>
      </c>
      <c r="C476" s="30">
        <v>5.63</v>
      </c>
      <c r="D476" s="85"/>
    </row>
    <row r="477" spans="1:4" ht="15.75" outlineLevel="1" x14ac:dyDescent="0.2">
      <c r="A477" s="30" t="s">
        <v>36</v>
      </c>
      <c r="B477" s="31" t="s">
        <v>118</v>
      </c>
      <c r="C477" s="30">
        <v>5.46</v>
      </c>
      <c r="D477" s="85"/>
    </row>
    <row r="478" spans="1:4" ht="15.75" outlineLevel="1" x14ac:dyDescent="0.2">
      <c r="A478" s="30" t="s">
        <v>36</v>
      </c>
      <c r="B478" s="31" t="s">
        <v>64</v>
      </c>
      <c r="C478" s="30">
        <v>5.47</v>
      </c>
      <c r="D478" s="85"/>
    </row>
    <row r="479" spans="1:4" ht="15.75" outlineLevel="1" x14ac:dyDescent="0.2">
      <c r="A479" s="30" t="s">
        <v>36</v>
      </c>
      <c r="B479" s="31" t="s">
        <v>65</v>
      </c>
      <c r="C479" s="30">
        <v>5.48</v>
      </c>
      <c r="D479" s="85"/>
    </row>
    <row r="480" spans="1:4" ht="15.75" x14ac:dyDescent="0.2">
      <c r="A480" s="35" t="s">
        <v>36</v>
      </c>
      <c r="B480" s="31"/>
      <c r="C480" s="30"/>
      <c r="D480" s="85"/>
    </row>
    <row r="481" spans="1:4" ht="15.75" outlineLevel="1" x14ac:dyDescent="0.2">
      <c r="A481" s="30" t="s">
        <v>37</v>
      </c>
      <c r="B481" s="31" t="s">
        <v>49</v>
      </c>
      <c r="C481" s="30">
        <v>5.0999999999999996</v>
      </c>
      <c r="D481" s="85"/>
    </row>
    <row r="482" spans="1:4" ht="15.75" outlineLevel="1" x14ac:dyDescent="0.2">
      <c r="A482" s="30" t="s">
        <v>37</v>
      </c>
      <c r="B482" s="31" t="s">
        <v>50</v>
      </c>
      <c r="C482" s="30">
        <v>5.2</v>
      </c>
      <c r="D482" s="85"/>
    </row>
    <row r="483" spans="1:4" ht="15.75" outlineLevel="1" x14ac:dyDescent="0.2">
      <c r="A483" s="30" t="s">
        <v>37</v>
      </c>
      <c r="B483" s="31" t="s">
        <v>66</v>
      </c>
      <c r="C483" s="30">
        <v>5.3</v>
      </c>
      <c r="D483" s="85"/>
    </row>
    <row r="484" spans="1:4" ht="15.75" outlineLevel="1" x14ac:dyDescent="0.2">
      <c r="A484" s="30" t="s">
        <v>37</v>
      </c>
      <c r="B484" s="31" t="s">
        <v>80</v>
      </c>
      <c r="C484" s="30">
        <v>5.6</v>
      </c>
      <c r="D484" s="85"/>
    </row>
    <row r="485" spans="1:4" ht="15.75" outlineLevel="1" x14ac:dyDescent="0.2">
      <c r="A485" s="30" t="s">
        <v>37</v>
      </c>
      <c r="B485" s="31" t="s">
        <v>1080</v>
      </c>
      <c r="C485" s="32">
        <v>5.0999999999999996</v>
      </c>
      <c r="D485" s="85"/>
    </row>
    <row r="486" spans="1:4" ht="15.75" outlineLevel="1" x14ac:dyDescent="0.2">
      <c r="A486" s="30" t="s">
        <v>37</v>
      </c>
      <c r="B486" s="31" t="s">
        <v>91</v>
      </c>
      <c r="C486" s="30">
        <v>5.14</v>
      </c>
      <c r="D486" s="85"/>
    </row>
    <row r="487" spans="1:4" ht="15.75" outlineLevel="1" x14ac:dyDescent="0.2">
      <c r="A487" s="30" t="s">
        <v>37</v>
      </c>
      <c r="B487" s="31" t="s">
        <v>68</v>
      </c>
      <c r="C487" s="30">
        <v>5.19</v>
      </c>
      <c r="D487" s="85"/>
    </row>
    <row r="488" spans="1:4" ht="15.75" outlineLevel="1" x14ac:dyDescent="0.2">
      <c r="A488" s="30" t="s">
        <v>37</v>
      </c>
      <c r="B488" s="31" t="s">
        <v>82</v>
      </c>
      <c r="C488" s="30">
        <v>5.24</v>
      </c>
      <c r="D488" s="85"/>
    </row>
    <row r="489" spans="1:4" ht="15.75" outlineLevel="1" x14ac:dyDescent="0.2">
      <c r="A489" s="30" t="s">
        <v>37</v>
      </c>
      <c r="B489" s="31" t="s">
        <v>55</v>
      </c>
      <c r="C489" s="30">
        <v>5.27</v>
      </c>
      <c r="D489" s="85"/>
    </row>
    <row r="490" spans="1:4" ht="15.75" outlineLevel="1" x14ac:dyDescent="0.2">
      <c r="A490" s="30" t="s">
        <v>37</v>
      </c>
      <c r="B490" s="31" t="s">
        <v>69</v>
      </c>
      <c r="C490" s="30">
        <v>5.28</v>
      </c>
      <c r="D490" s="85"/>
    </row>
    <row r="491" spans="1:4" ht="15.75" outlineLevel="1" x14ac:dyDescent="0.2">
      <c r="A491" s="30" t="s">
        <v>37</v>
      </c>
      <c r="B491" s="31" t="s">
        <v>89</v>
      </c>
      <c r="C491" s="30">
        <v>5.29</v>
      </c>
      <c r="D491" s="85"/>
    </row>
    <row r="492" spans="1:4" ht="15.75" outlineLevel="1" x14ac:dyDescent="0.2">
      <c r="A492" s="30" t="s">
        <v>37</v>
      </c>
      <c r="B492" s="31" t="s">
        <v>92</v>
      </c>
      <c r="C492" s="30">
        <v>5.34</v>
      </c>
      <c r="D492" s="85"/>
    </row>
    <row r="493" spans="1:4" ht="15.75" outlineLevel="1" x14ac:dyDescent="0.2">
      <c r="A493" s="30" t="s">
        <v>37</v>
      </c>
      <c r="B493" s="31" t="s">
        <v>83</v>
      </c>
      <c r="C493" s="30">
        <v>5.31</v>
      </c>
      <c r="D493" s="85"/>
    </row>
    <row r="494" spans="1:4" ht="15.75" outlineLevel="1" x14ac:dyDescent="0.2">
      <c r="A494" s="30" t="s">
        <v>37</v>
      </c>
      <c r="B494" s="31" t="s">
        <v>93</v>
      </c>
      <c r="C494" s="30">
        <v>5.101</v>
      </c>
      <c r="D494" s="85"/>
    </row>
    <row r="495" spans="1:4" ht="15.75" outlineLevel="1" x14ac:dyDescent="0.2">
      <c r="A495" s="30" t="s">
        <v>37</v>
      </c>
      <c r="B495" s="31" t="s">
        <v>56</v>
      </c>
      <c r="C495" s="30">
        <v>5.36</v>
      </c>
      <c r="D495" s="85"/>
    </row>
    <row r="496" spans="1:4" ht="15.75" outlineLevel="1" x14ac:dyDescent="0.2">
      <c r="A496" s="30" t="s">
        <v>37</v>
      </c>
      <c r="B496" s="31" t="s">
        <v>97</v>
      </c>
      <c r="C496" s="30">
        <v>5.37</v>
      </c>
      <c r="D496" s="85"/>
    </row>
    <row r="497" spans="1:4" ht="15.75" outlineLevel="1" x14ac:dyDescent="0.2">
      <c r="A497" s="30" t="s">
        <v>37</v>
      </c>
      <c r="B497" s="31" t="s">
        <v>59</v>
      </c>
      <c r="C497" s="30">
        <v>5.53</v>
      </c>
      <c r="D497" s="85"/>
    </row>
    <row r="498" spans="1:4" ht="15.75" outlineLevel="1" x14ac:dyDescent="0.2">
      <c r="A498" s="30" t="s">
        <v>37</v>
      </c>
      <c r="B498" s="31" t="s">
        <v>103</v>
      </c>
      <c r="C498" s="30">
        <v>5.109</v>
      </c>
      <c r="D498" s="85"/>
    </row>
    <row r="499" spans="1:4" ht="15.75" outlineLevel="1" x14ac:dyDescent="0.2">
      <c r="A499" s="30" t="s">
        <v>37</v>
      </c>
      <c r="B499" s="31" t="s">
        <v>104</v>
      </c>
      <c r="C499" s="30">
        <v>5.1109999999999998</v>
      </c>
      <c r="D499" s="85"/>
    </row>
    <row r="500" spans="1:4" ht="15.75" outlineLevel="1" x14ac:dyDescent="0.2">
      <c r="A500" s="30" t="s">
        <v>37</v>
      </c>
      <c r="B500" s="31" t="s">
        <v>106</v>
      </c>
      <c r="C500" s="30">
        <v>5.1120000000000001</v>
      </c>
      <c r="D500" s="85"/>
    </row>
    <row r="501" spans="1:4" ht="15.75" outlineLevel="1" x14ac:dyDescent="0.2">
      <c r="A501" s="30" t="s">
        <v>37</v>
      </c>
      <c r="B501" s="31" t="s">
        <v>94</v>
      </c>
      <c r="C501" s="30">
        <v>5.1020000000000003</v>
      </c>
      <c r="D501" s="85"/>
    </row>
    <row r="502" spans="1:4" ht="15.75" outlineLevel="1" x14ac:dyDescent="0.2">
      <c r="A502" s="30" t="s">
        <v>37</v>
      </c>
      <c r="B502" s="31" t="s">
        <v>95</v>
      </c>
      <c r="C502" s="33">
        <v>5.0999999999999996</v>
      </c>
      <c r="D502" s="85"/>
    </row>
    <row r="503" spans="1:4" ht="15.75" outlineLevel="1" x14ac:dyDescent="0.2">
      <c r="A503" s="30" t="s">
        <v>37</v>
      </c>
      <c r="B503" s="31" t="s">
        <v>76</v>
      </c>
      <c r="C503" s="30">
        <v>5.58</v>
      </c>
      <c r="D503" s="85"/>
    </row>
    <row r="504" spans="1:4" ht="15.75" outlineLevel="1" x14ac:dyDescent="0.2">
      <c r="A504" s="30" t="s">
        <v>37</v>
      </c>
      <c r="B504" s="31" t="s">
        <v>77</v>
      </c>
      <c r="C504" s="30">
        <v>5.55</v>
      </c>
      <c r="D504" s="85"/>
    </row>
    <row r="505" spans="1:4" ht="15.75" outlineLevel="1" x14ac:dyDescent="0.2">
      <c r="A505" s="30" t="s">
        <v>37</v>
      </c>
      <c r="B505" s="31" t="s">
        <v>61</v>
      </c>
      <c r="C505" s="30">
        <v>5.54</v>
      </c>
      <c r="D505" s="85"/>
    </row>
    <row r="506" spans="1:4" ht="15.75" outlineLevel="1" x14ac:dyDescent="0.2">
      <c r="A506" s="30" t="s">
        <v>37</v>
      </c>
      <c r="B506" s="31" t="s">
        <v>63</v>
      </c>
      <c r="C506" s="30">
        <v>5.63</v>
      </c>
      <c r="D506" s="85"/>
    </row>
    <row r="507" spans="1:4" ht="15.75" outlineLevel="1" x14ac:dyDescent="0.2">
      <c r="A507" s="30" t="s">
        <v>37</v>
      </c>
      <c r="B507" s="31" t="s">
        <v>64</v>
      </c>
      <c r="C507" s="30">
        <v>5.47</v>
      </c>
      <c r="D507" s="85"/>
    </row>
    <row r="508" spans="1:4" ht="15.75" outlineLevel="1" x14ac:dyDescent="0.2">
      <c r="A508" s="30" t="s">
        <v>37</v>
      </c>
      <c r="B508" s="31" t="s">
        <v>65</v>
      </c>
      <c r="C508" s="30">
        <v>5.48</v>
      </c>
      <c r="D508" s="85"/>
    </row>
    <row r="509" spans="1:4" ht="15.75" x14ac:dyDescent="0.2">
      <c r="A509" s="35" t="s">
        <v>37</v>
      </c>
      <c r="B509" s="31"/>
      <c r="C509" s="30"/>
      <c r="D509" s="85"/>
    </row>
    <row r="510" spans="1:4" ht="15.75" outlineLevel="1" x14ac:dyDescent="0.2">
      <c r="A510" s="30" t="s">
        <v>38</v>
      </c>
      <c r="B510" s="31" t="s">
        <v>49</v>
      </c>
      <c r="C510" s="30">
        <v>5.0999999999999996</v>
      </c>
      <c r="D510" s="85"/>
    </row>
    <row r="511" spans="1:4" ht="15.75" outlineLevel="1" x14ac:dyDescent="0.2">
      <c r="A511" s="30" t="s">
        <v>38</v>
      </c>
      <c r="B511" s="31" t="s">
        <v>50</v>
      </c>
      <c r="C511" s="30">
        <v>5.2</v>
      </c>
      <c r="D511" s="85"/>
    </row>
    <row r="512" spans="1:4" ht="15.75" outlineLevel="1" x14ac:dyDescent="0.2">
      <c r="A512" s="30" t="s">
        <v>38</v>
      </c>
      <c r="B512" s="31" t="s">
        <v>66</v>
      </c>
      <c r="C512" s="30">
        <v>5.3</v>
      </c>
      <c r="D512" s="85"/>
    </row>
    <row r="513" spans="1:4" ht="15.75" outlineLevel="1" x14ac:dyDescent="0.2">
      <c r="A513" s="30" t="s">
        <v>38</v>
      </c>
      <c r="B513" s="31" t="s">
        <v>80</v>
      </c>
      <c r="C513" s="30">
        <v>5.6</v>
      </c>
      <c r="D513" s="85"/>
    </row>
    <row r="514" spans="1:4" ht="15.75" outlineLevel="1" x14ac:dyDescent="0.2">
      <c r="A514" s="30" t="s">
        <v>38</v>
      </c>
      <c r="B514" s="31" t="s">
        <v>1080</v>
      </c>
      <c r="C514" s="32">
        <v>5.0999999999999996</v>
      </c>
      <c r="D514" s="85"/>
    </row>
    <row r="515" spans="1:4" ht="15.75" outlineLevel="1" x14ac:dyDescent="0.2">
      <c r="A515" s="30" t="s">
        <v>38</v>
      </c>
      <c r="B515" s="31" t="s">
        <v>91</v>
      </c>
      <c r="C515" s="30">
        <v>5.14</v>
      </c>
      <c r="D515" s="85"/>
    </row>
    <row r="516" spans="1:4" ht="15.75" outlineLevel="1" x14ac:dyDescent="0.2">
      <c r="A516" s="30" t="s">
        <v>38</v>
      </c>
      <c r="B516" s="31" t="s">
        <v>68</v>
      </c>
      <c r="C516" s="30">
        <v>5.19</v>
      </c>
      <c r="D516" s="85"/>
    </row>
    <row r="517" spans="1:4" ht="15.75" outlineLevel="1" x14ac:dyDescent="0.2">
      <c r="A517" s="30" t="s">
        <v>38</v>
      </c>
      <c r="B517" s="31" t="s">
        <v>82</v>
      </c>
      <c r="C517" s="30">
        <v>5.24</v>
      </c>
      <c r="D517" s="85"/>
    </row>
    <row r="518" spans="1:4" ht="15.75" outlineLevel="1" x14ac:dyDescent="0.2">
      <c r="A518" s="30" t="s">
        <v>38</v>
      </c>
      <c r="B518" s="31" t="s">
        <v>54</v>
      </c>
      <c r="C518" s="30">
        <v>5.26</v>
      </c>
      <c r="D518" s="85"/>
    </row>
    <row r="519" spans="1:4" ht="15.75" outlineLevel="1" x14ac:dyDescent="0.2">
      <c r="A519" s="30" t="s">
        <v>38</v>
      </c>
      <c r="B519" s="31" t="s">
        <v>55</v>
      </c>
      <c r="C519" s="30">
        <v>5.27</v>
      </c>
      <c r="D519" s="85"/>
    </row>
    <row r="520" spans="1:4" ht="15.75" outlineLevel="1" x14ac:dyDescent="0.2">
      <c r="A520" s="30" t="s">
        <v>38</v>
      </c>
      <c r="B520" s="31" t="s">
        <v>69</v>
      </c>
      <c r="C520" s="30">
        <v>5.28</v>
      </c>
      <c r="D520" s="85"/>
    </row>
    <row r="521" spans="1:4" ht="15.75" outlineLevel="1" x14ac:dyDescent="0.2">
      <c r="A521" s="30" t="s">
        <v>38</v>
      </c>
      <c r="B521" s="31" t="s">
        <v>83</v>
      </c>
      <c r="C521" s="30">
        <v>5.31</v>
      </c>
      <c r="D521" s="85"/>
    </row>
    <row r="522" spans="1:4" ht="15.75" outlineLevel="1" x14ac:dyDescent="0.2">
      <c r="A522" s="30" t="s">
        <v>38</v>
      </c>
      <c r="B522" s="31" t="s">
        <v>96</v>
      </c>
      <c r="C522" s="30">
        <v>5.33</v>
      </c>
      <c r="D522" s="85"/>
    </row>
    <row r="523" spans="1:4" ht="15.75" outlineLevel="1" x14ac:dyDescent="0.2">
      <c r="A523" s="30" t="s">
        <v>38</v>
      </c>
      <c r="B523" s="31" t="s">
        <v>93</v>
      </c>
      <c r="C523" s="30">
        <v>5.101</v>
      </c>
      <c r="D523" s="85"/>
    </row>
    <row r="524" spans="1:4" ht="15.75" outlineLevel="1" x14ac:dyDescent="0.2">
      <c r="A524" s="30" t="s">
        <v>38</v>
      </c>
      <c r="B524" s="31" t="s">
        <v>56</v>
      </c>
      <c r="C524" s="30">
        <v>5.36</v>
      </c>
      <c r="D524" s="85"/>
    </row>
    <row r="525" spans="1:4" ht="15.75" outlineLevel="1" x14ac:dyDescent="0.2">
      <c r="A525" s="30" t="s">
        <v>38</v>
      </c>
      <c r="B525" s="31" t="s">
        <v>97</v>
      </c>
      <c r="C525" s="30">
        <v>5.37</v>
      </c>
      <c r="D525" s="85"/>
    </row>
    <row r="526" spans="1:4" ht="15.75" outlineLevel="1" x14ac:dyDescent="0.2">
      <c r="A526" s="30" t="s">
        <v>38</v>
      </c>
      <c r="B526" s="31" t="s">
        <v>59</v>
      </c>
      <c r="C526" s="30">
        <v>5.53</v>
      </c>
      <c r="D526" s="85"/>
    </row>
    <row r="527" spans="1:4" ht="15.75" outlineLevel="1" x14ac:dyDescent="0.2">
      <c r="A527" s="30" t="s">
        <v>38</v>
      </c>
      <c r="B527" s="31" t="s">
        <v>103</v>
      </c>
      <c r="C527" s="30">
        <v>5.109</v>
      </c>
      <c r="D527" s="85"/>
    </row>
    <row r="528" spans="1:4" ht="15.75" outlineLevel="1" x14ac:dyDescent="0.2">
      <c r="A528" s="30" t="s">
        <v>38</v>
      </c>
      <c r="B528" s="31" t="s">
        <v>104</v>
      </c>
      <c r="C528" s="30">
        <v>5.1109999999999998</v>
      </c>
      <c r="D528" s="85"/>
    </row>
    <row r="529" spans="1:4" ht="15.75" outlineLevel="1" x14ac:dyDescent="0.2">
      <c r="A529" s="30" t="s">
        <v>38</v>
      </c>
      <c r="B529" s="31" t="s">
        <v>106</v>
      </c>
      <c r="C529" s="30">
        <v>5.1120000000000001</v>
      </c>
      <c r="D529" s="85"/>
    </row>
    <row r="530" spans="1:4" ht="15.75" outlineLevel="1" x14ac:dyDescent="0.2">
      <c r="A530" s="30" t="s">
        <v>38</v>
      </c>
      <c r="B530" s="31" t="s">
        <v>94</v>
      </c>
      <c r="C530" s="30">
        <v>5.1020000000000003</v>
      </c>
      <c r="D530" s="85"/>
    </row>
    <row r="531" spans="1:4" ht="15.75" outlineLevel="1" x14ac:dyDescent="0.2">
      <c r="A531" s="30" t="s">
        <v>38</v>
      </c>
      <c r="B531" s="31" t="s">
        <v>95</v>
      </c>
      <c r="C531" s="33">
        <v>5.0999999999999996</v>
      </c>
      <c r="D531" s="85"/>
    </row>
    <row r="532" spans="1:4" ht="15.75" outlineLevel="1" x14ac:dyDescent="0.2">
      <c r="A532" s="30" t="s">
        <v>38</v>
      </c>
      <c r="B532" s="31" t="s">
        <v>76</v>
      </c>
      <c r="C532" s="30">
        <v>5.58</v>
      </c>
      <c r="D532" s="85"/>
    </row>
    <row r="533" spans="1:4" ht="15.75" outlineLevel="1" x14ac:dyDescent="0.2">
      <c r="A533" s="30" t="s">
        <v>38</v>
      </c>
      <c r="B533" s="31" t="s">
        <v>77</v>
      </c>
      <c r="C533" s="30">
        <v>5.55</v>
      </c>
      <c r="D533" s="85"/>
    </row>
    <row r="534" spans="1:4" ht="15.75" outlineLevel="1" x14ac:dyDescent="0.2">
      <c r="A534" s="30" t="s">
        <v>38</v>
      </c>
      <c r="B534" s="31" t="s">
        <v>61</v>
      </c>
      <c r="C534" s="30">
        <v>5.54</v>
      </c>
      <c r="D534" s="85"/>
    </row>
    <row r="535" spans="1:4" ht="15.75" outlineLevel="1" x14ac:dyDescent="0.2">
      <c r="A535" s="30" t="s">
        <v>38</v>
      </c>
      <c r="B535" s="31" t="s">
        <v>63</v>
      </c>
      <c r="C535" s="30">
        <v>5.63</v>
      </c>
      <c r="D535" s="85"/>
    </row>
    <row r="536" spans="1:4" ht="15.75" outlineLevel="1" x14ac:dyDescent="0.2">
      <c r="A536" s="30" t="s">
        <v>38</v>
      </c>
      <c r="B536" s="31" t="s">
        <v>64</v>
      </c>
      <c r="C536" s="30">
        <v>5.47</v>
      </c>
      <c r="D536" s="85"/>
    </row>
    <row r="537" spans="1:4" ht="15.75" outlineLevel="1" x14ac:dyDescent="0.2">
      <c r="A537" s="30" t="s">
        <v>38</v>
      </c>
      <c r="B537" s="31" t="s">
        <v>65</v>
      </c>
      <c r="C537" s="30">
        <v>5.48</v>
      </c>
      <c r="D537" s="85"/>
    </row>
    <row r="538" spans="1:4" ht="15.75" x14ac:dyDescent="0.2">
      <c r="A538" s="35" t="s">
        <v>38</v>
      </c>
      <c r="B538" s="31"/>
      <c r="C538" s="30"/>
      <c r="D538" s="85"/>
    </row>
    <row r="539" spans="1:4" ht="15.75" outlineLevel="1" x14ac:dyDescent="0.2">
      <c r="A539" s="30" t="s">
        <v>39</v>
      </c>
      <c r="B539" s="31" t="s">
        <v>49</v>
      </c>
      <c r="C539" s="30">
        <v>5.0999999999999996</v>
      </c>
      <c r="D539" s="85"/>
    </row>
    <row r="540" spans="1:4" ht="15.75" outlineLevel="1" x14ac:dyDescent="0.2">
      <c r="A540" s="30" t="s">
        <v>39</v>
      </c>
      <c r="B540" s="31" t="s">
        <v>50</v>
      </c>
      <c r="C540" s="30">
        <v>5.2</v>
      </c>
      <c r="D540" s="85"/>
    </row>
    <row r="541" spans="1:4" ht="15.75" outlineLevel="1" x14ac:dyDescent="0.2">
      <c r="A541" s="30" t="s">
        <v>39</v>
      </c>
      <c r="B541" s="31" t="s">
        <v>54</v>
      </c>
      <c r="C541" s="30">
        <v>5.26</v>
      </c>
      <c r="D541" s="85"/>
    </row>
    <row r="542" spans="1:4" ht="15.75" outlineLevel="1" x14ac:dyDescent="0.2">
      <c r="A542" s="30" t="s">
        <v>39</v>
      </c>
      <c r="B542" s="31" t="s">
        <v>120</v>
      </c>
      <c r="C542" s="30">
        <v>5.21</v>
      </c>
      <c r="D542" s="85"/>
    </row>
    <row r="543" spans="1:4" ht="15.75" outlineLevel="1" x14ac:dyDescent="0.2">
      <c r="A543" s="30" t="s">
        <v>39</v>
      </c>
      <c r="B543" s="31" t="s">
        <v>121</v>
      </c>
      <c r="C543" s="30">
        <v>5.53</v>
      </c>
      <c r="D543" s="85"/>
    </row>
    <row r="544" spans="1:4" ht="15.75" outlineLevel="1" x14ac:dyDescent="0.2">
      <c r="A544" s="30" t="s">
        <v>39</v>
      </c>
      <c r="B544" s="31" t="s">
        <v>61</v>
      </c>
      <c r="C544" s="30">
        <v>5.54</v>
      </c>
      <c r="D544" s="85"/>
    </row>
    <row r="545" spans="1:4" ht="15.75" outlineLevel="1" x14ac:dyDescent="0.2">
      <c r="A545" s="30" t="s">
        <v>39</v>
      </c>
      <c r="B545" s="31" t="s">
        <v>122</v>
      </c>
      <c r="C545" s="30">
        <v>5.58</v>
      </c>
      <c r="D545" s="85"/>
    </row>
    <row r="546" spans="1:4" ht="15.75" outlineLevel="1" x14ac:dyDescent="0.2">
      <c r="A546" s="30" t="s">
        <v>39</v>
      </c>
      <c r="B546" s="31" t="s">
        <v>123</v>
      </c>
      <c r="C546" s="30">
        <v>5.1180000000000003</v>
      </c>
      <c r="D546" s="85"/>
    </row>
    <row r="547" spans="1:4" ht="15.75" outlineLevel="1" x14ac:dyDescent="0.2">
      <c r="A547" s="30" t="s">
        <v>39</v>
      </c>
      <c r="B547" s="31" t="s">
        <v>124</v>
      </c>
      <c r="C547" s="30">
        <v>5.47</v>
      </c>
      <c r="D547" s="85"/>
    </row>
    <row r="548" spans="1:4" ht="15.75" outlineLevel="1" x14ac:dyDescent="0.2">
      <c r="A548" s="30" t="s">
        <v>39</v>
      </c>
      <c r="B548" s="31" t="s">
        <v>125</v>
      </c>
      <c r="C548" s="30">
        <v>5.48</v>
      </c>
      <c r="D548" s="85"/>
    </row>
    <row r="549" spans="1:4" ht="15.75" outlineLevel="1" x14ac:dyDescent="0.2">
      <c r="A549" s="30" t="s">
        <v>39</v>
      </c>
      <c r="B549" s="31" t="s">
        <v>126</v>
      </c>
      <c r="C549" s="30">
        <v>5.21</v>
      </c>
      <c r="D549" s="85"/>
    </row>
    <row r="550" spans="1:4" ht="15.75" outlineLevel="1" x14ac:dyDescent="0.2">
      <c r="A550" s="30" t="s">
        <v>39</v>
      </c>
      <c r="B550" s="31" t="s">
        <v>127</v>
      </c>
      <c r="C550" s="30">
        <v>5.53</v>
      </c>
      <c r="D550" s="85"/>
    </row>
    <row r="551" spans="1:4" ht="15.75" outlineLevel="1" x14ac:dyDescent="0.2">
      <c r="A551" s="30" t="s">
        <v>39</v>
      </c>
      <c r="B551" s="31" t="s">
        <v>61</v>
      </c>
      <c r="C551" s="30">
        <v>5.54</v>
      </c>
      <c r="D551" s="85"/>
    </row>
    <row r="552" spans="1:4" ht="15.75" outlineLevel="1" x14ac:dyDescent="0.2">
      <c r="A552" s="30" t="s">
        <v>39</v>
      </c>
      <c r="B552" s="31" t="s">
        <v>128</v>
      </c>
      <c r="C552" s="30">
        <v>5.58</v>
      </c>
      <c r="D552" s="85"/>
    </row>
    <row r="553" spans="1:4" ht="15.75" outlineLevel="1" x14ac:dyDescent="0.2">
      <c r="A553" s="30" t="s">
        <v>39</v>
      </c>
      <c r="B553" s="31" t="s">
        <v>129</v>
      </c>
      <c r="C553" s="30">
        <v>5.1180000000000003</v>
      </c>
      <c r="D553" s="85"/>
    </row>
    <row r="554" spans="1:4" ht="15.75" outlineLevel="1" x14ac:dyDescent="0.2">
      <c r="A554" s="30" t="s">
        <v>39</v>
      </c>
      <c r="B554" s="31" t="s">
        <v>1087</v>
      </c>
      <c r="C554" s="30">
        <v>5.47</v>
      </c>
      <c r="D554" s="85"/>
    </row>
    <row r="555" spans="1:4" ht="15.75" outlineLevel="1" x14ac:dyDescent="0.2">
      <c r="A555" s="30" t="s">
        <v>39</v>
      </c>
      <c r="B555" s="31" t="s">
        <v>1088</v>
      </c>
      <c r="C555" s="30">
        <v>5.48</v>
      </c>
      <c r="D555" s="85"/>
    </row>
    <row r="556" spans="1:4" ht="15.75" outlineLevel="1" x14ac:dyDescent="0.2">
      <c r="A556" s="30" t="s">
        <v>39</v>
      </c>
      <c r="B556" s="31" t="s">
        <v>1089</v>
      </c>
      <c r="C556" s="30">
        <v>5.63</v>
      </c>
      <c r="D556" s="85"/>
    </row>
    <row r="557" spans="1:4" ht="15.75" outlineLevel="1" x14ac:dyDescent="0.2">
      <c r="A557" s="30" t="s">
        <v>39</v>
      </c>
      <c r="B557" s="31" t="s">
        <v>55</v>
      </c>
      <c r="C557" s="30">
        <v>5.27</v>
      </c>
      <c r="D557" s="85"/>
    </row>
    <row r="558" spans="1:4" ht="15.75" outlineLevel="1" x14ac:dyDescent="0.2">
      <c r="A558" s="30" t="s">
        <v>39</v>
      </c>
      <c r="B558" s="31" t="s">
        <v>69</v>
      </c>
      <c r="C558" s="30">
        <v>5.28</v>
      </c>
      <c r="D558" s="85"/>
    </row>
    <row r="559" spans="1:4" ht="15.75" outlineLevel="1" x14ac:dyDescent="0.2">
      <c r="A559" s="30" t="s">
        <v>39</v>
      </c>
      <c r="B559" s="31" t="s">
        <v>133</v>
      </c>
      <c r="C559" s="30">
        <v>5.35</v>
      </c>
      <c r="D559" s="85"/>
    </row>
    <row r="560" spans="1:4" ht="15.75" outlineLevel="1" x14ac:dyDescent="0.2">
      <c r="A560" s="30" t="s">
        <v>39</v>
      </c>
      <c r="B560" s="31" t="s">
        <v>134</v>
      </c>
      <c r="C560" s="30">
        <v>5.1189999999999998</v>
      </c>
      <c r="D560" s="85"/>
    </row>
    <row r="561" spans="1:4" ht="15.75" outlineLevel="1" x14ac:dyDescent="0.2">
      <c r="A561" s="30" t="s">
        <v>39</v>
      </c>
      <c r="B561" s="31" t="s">
        <v>135</v>
      </c>
      <c r="C561" s="33">
        <v>5.12</v>
      </c>
      <c r="D561" s="85"/>
    </row>
    <row r="562" spans="1:4" ht="15.75" outlineLevel="1" x14ac:dyDescent="0.2">
      <c r="A562" s="30" t="s">
        <v>39</v>
      </c>
      <c r="B562" s="31" t="s">
        <v>136</v>
      </c>
      <c r="C562" s="30">
        <v>5.1210000000000004</v>
      </c>
      <c r="D562" s="85"/>
    </row>
    <row r="563" spans="1:4" ht="15.75" outlineLevel="1" x14ac:dyDescent="0.2">
      <c r="A563" s="30" t="s">
        <v>39</v>
      </c>
      <c r="B563" s="31" t="s">
        <v>56</v>
      </c>
      <c r="C563" s="30">
        <v>5.36</v>
      </c>
      <c r="D563" s="85"/>
    </row>
    <row r="564" spans="1:4" ht="15.75" outlineLevel="1" x14ac:dyDescent="0.2">
      <c r="A564" s="30" t="s">
        <v>39</v>
      </c>
      <c r="B564" s="31" t="s">
        <v>137</v>
      </c>
      <c r="C564" s="30">
        <v>5.1219999999999999</v>
      </c>
      <c r="D564" s="85"/>
    </row>
    <row r="565" spans="1:4" ht="15.75" outlineLevel="1" x14ac:dyDescent="0.2">
      <c r="A565" s="30" t="s">
        <v>39</v>
      </c>
      <c r="B565" s="31" t="s">
        <v>138</v>
      </c>
      <c r="C565" s="30">
        <v>5.1230000000000002</v>
      </c>
      <c r="D565" s="85"/>
    </row>
    <row r="566" spans="1:4" ht="15.75" outlineLevel="1" x14ac:dyDescent="0.2">
      <c r="A566" s="30" t="s">
        <v>39</v>
      </c>
      <c r="B566" s="31" t="s">
        <v>139</v>
      </c>
      <c r="C566" s="30">
        <v>5.1239999999999997</v>
      </c>
      <c r="D566" s="85"/>
    </row>
    <row r="567" spans="1:4" ht="15.75" outlineLevel="1" x14ac:dyDescent="0.2">
      <c r="A567" s="30" t="s">
        <v>39</v>
      </c>
      <c r="B567" s="31" t="s">
        <v>140</v>
      </c>
      <c r="C567" s="30">
        <v>5.125</v>
      </c>
      <c r="D567" s="85"/>
    </row>
    <row r="568" spans="1:4" ht="15.75" outlineLevel="1" x14ac:dyDescent="0.2">
      <c r="A568" s="30" t="s">
        <v>39</v>
      </c>
      <c r="B568" s="31" t="s">
        <v>141</v>
      </c>
      <c r="C568" s="30">
        <v>5.1260000000000003</v>
      </c>
      <c r="D568" s="85"/>
    </row>
    <row r="569" spans="1:4" ht="15.75" outlineLevel="1" x14ac:dyDescent="0.2">
      <c r="A569" s="30" t="s">
        <v>39</v>
      </c>
      <c r="B569" s="31" t="s">
        <v>142</v>
      </c>
      <c r="C569" s="30">
        <v>5.1269999999999998</v>
      </c>
      <c r="D569" s="85"/>
    </row>
    <row r="570" spans="1:4" ht="15.75" outlineLevel="1" x14ac:dyDescent="0.2">
      <c r="A570" s="30" t="s">
        <v>39</v>
      </c>
      <c r="B570" s="31" t="s">
        <v>85</v>
      </c>
      <c r="C570" s="32">
        <v>5.72</v>
      </c>
      <c r="D570" s="85"/>
    </row>
    <row r="571" spans="1:4" ht="15.75" outlineLevel="1" x14ac:dyDescent="0.2">
      <c r="A571" s="30" t="s">
        <v>39</v>
      </c>
      <c r="B571" s="31" t="s">
        <v>143</v>
      </c>
      <c r="C571" s="30">
        <v>5.1280000000000001</v>
      </c>
      <c r="D571" s="85"/>
    </row>
    <row r="572" spans="1:4" ht="15.75" outlineLevel="1" x14ac:dyDescent="0.2">
      <c r="A572" s="30" t="s">
        <v>39</v>
      </c>
      <c r="B572" s="31" t="s">
        <v>144</v>
      </c>
      <c r="C572" s="30">
        <v>5.1289999999999996</v>
      </c>
      <c r="D572" s="179" t="s">
        <v>2500</v>
      </c>
    </row>
    <row r="573" spans="1:4" ht="15.75" outlineLevel="1" x14ac:dyDescent="0.2">
      <c r="A573" s="30" t="s">
        <v>39</v>
      </c>
      <c r="B573" s="31" t="s">
        <v>145</v>
      </c>
      <c r="C573" s="30">
        <v>5.1310000000000002</v>
      </c>
      <c r="D573" s="85"/>
    </row>
    <row r="574" spans="1:4" ht="15.75" outlineLevel="1" x14ac:dyDescent="0.2">
      <c r="A574" s="30" t="s">
        <v>39</v>
      </c>
      <c r="B574" s="31" t="s">
        <v>146</v>
      </c>
      <c r="C574" s="30">
        <v>5.1319999999999997</v>
      </c>
      <c r="D574" s="179" t="s">
        <v>2500</v>
      </c>
    </row>
    <row r="575" spans="1:4" ht="15.75" outlineLevel="1" x14ac:dyDescent="0.2">
      <c r="A575" s="30" t="s">
        <v>39</v>
      </c>
      <c r="B575" s="31" t="s">
        <v>147</v>
      </c>
      <c r="C575" s="30">
        <v>5.133</v>
      </c>
      <c r="D575" s="179" t="s">
        <v>2500</v>
      </c>
    </row>
    <row r="576" spans="1:4" ht="15.75" outlineLevel="1" x14ac:dyDescent="0.2">
      <c r="A576" s="30" t="s">
        <v>39</v>
      </c>
      <c r="B576" s="31" t="s">
        <v>148</v>
      </c>
      <c r="C576" s="30">
        <v>5.1340000000000003</v>
      </c>
      <c r="D576" s="179" t="s">
        <v>2500</v>
      </c>
    </row>
    <row r="577" spans="1:4" ht="15.75" outlineLevel="1" x14ac:dyDescent="0.2">
      <c r="A577" s="30" t="s">
        <v>39</v>
      </c>
      <c r="B577" s="31" t="s">
        <v>149</v>
      </c>
      <c r="C577" s="33">
        <v>5.13</v>
      </c>
      <c r="D577" s="85"/>
    </row>
    <row r="578" spans="1:4" ht="15.75" outlineLevel="1" x14ac:dyDescent="0.2">
      <c r="A578" s="30" t="s">
        <v>39</v>
      </c>
      <c r="B578" s="31" t="s">
        <v>64</v>
      </c>
      <c r="C578" s="30">
        <v>5.47</v>
      </c>
      <c r="D578" s="85"/>
    </row>
    <row r="579" spans="1:4" ht="15.75" outlineLevel="1" x14ac:dyDescent="0.2">
      <c r="A579" s="30" t="s">
        <v>39</v>
      </c>
      <c r="B579" s="31" t="s">
        <v>65</v>
      </c>
      <c r="C579" s="30">
        <v>5.48</v>
      </c>
      <c r="D579" s="85"/>
    </row>
    <row r="580" spans="1:4" ht="15.75" x14ac:dyDescent="0.2">
      <c r="A580" s="35" t="s">
        <v>39</v>
      </c>
      <c r="B580" s="31"/>
      <c r="C580" s="30"/>
      <c r="D580" s="85"/>
    </row>
    <row r="581" spans="1:4" ht="15.75" outlineLevel="1" x14ac:dyDescent="0.2">
      <c r="A581" s="30" t="s">
        <v>40</v>
      </c>
      <c r="B581" s="31" t="s">
        <v>49</v>
      </c>
      <c r="C581" s="30">
        <v>5.0999999999999996</v>
      </c>
      <c r="D581" s="85"/>
    </row>
    <row r="582" spans="1:4" ht="15.75" outlineLevel="1" x14ac:dyDescent="0.2">
      <c r="A582" s="30" t="s">
        <v>40</v>
      </c>
      <c r="B582" s="31" t="s">
        <v>50</v>
      </c>
      <c r="C582" s="30">
        <v>5.2</v>
      </c>
      <c r="D582" s="85"/>
    </row>
    <row r="583" spans="1:4" ht="15.75" outlineLevel="1" x14ac:dyDescent="0.2">
      <c r="A583" s="30" t="s">
        <v>40</v>
      </c>
      <c r="B583" s="31" t="s">
        <v>150</v>
      </c>
      <c r="C583" s="30">
        <v>5.9</v>
      </c>
      <c r="D583" s="179" t="s">
        <v>2500</v>
      </c>
    </row>
    <row r="584" spans="1:4" ht="15.75" outlineLevel="1" x14ac:dyDescent="0.2">
      <c r="A584" s="30" t="s">
        <v>40</v>
      </c>
      <c r="B584" s="31" t="s">
        <v>151</v>
      </c>
      <c r="C584" s="30">
        <v>5.13</v>
      </c>
      <c r="D584" s="179" t="s">
        <v>2500</v>
      </c>
    </row>
    <row r="585" spans="1:4" ht="15.75" outlineLevel="1" x14ac:dyDescent="0.2">
      <c r="A585" s="30" t="s">
        <v>40</v>
      </c>
      <c r="B585" s="31" t="s">
        <v>152</v>
      </c>
      <c r="C585" s="30">
        <v>5.16</v>
      </c>
      <c r="D585" s="179" t="s">
        <v>2500</v>
      </c>
    </row>
    <row r="586" spans="1:4" ht="15.75" outlineLevel="1" x14ac:dyDescent="0.2">
      <c r="A586" s="30" t="s">
        <v>40</v>
      </c>
      <c r="B586" s="31" t="s">
        <v>153</v>
      </c>
      <c r="C586" s="30">
        <v>5.22</v>
      </c>
      <c r="D586" s="84"/>
    </row>
    <row r="587" spans="1:4" ht="15.75" outlineLevel="1" x14ac:dyDescent="0.2">
      <c r="A587" s="30" t="s">
        <v>40</v>
      </c>
      <c r="B587" s="31" t="s">
        <v>54</v>
      </c>
      <c r="C587" s="30">
        <v>5.26</v>
      </c>
      <c r="D587" s="85"/>
    </row>
    <row r="588" spans="1:4" ht="15.75" outlineLevel="1" x14ac:dyDescent="0.2">
      <c r="A588" s="30" t="s">
        <v>40</v>
      </c>
      <c r="B588" s="31" t="s">
        <v>154</v>
      </c>
      <c r="C588" s="30">
        <v>5.77</v>
      </c>
      <c r="D588" s="85"/>
    </row>
    <row r="589" spans="1:4" ht="15.75" outlineLevel="1" x14ac:dyDescent="0.2">
      <c r="A589" s="30" t="s">
        <v>40</v>
      </c>
      <c r="B589" s="31" t="s">
        <v>55</v>
      </c>
      <c r="C589" s="30">
        <v>5.27</v>
      </c>
      <c r="D589" s="85"/>
    </row>
    <row r="590" spans="1:4" ht="15.75" outlineLevel="1" x14ac:dyDescent="0.2">
      <c r="A590" s="30" t="s">
        <v>40</v>
      </c>
      <c r="B590" s="31" t="s">
        <v>69</v>
      </c>
      <c r="C590" s="30">
        <v>5.28</v>
      </c>
      <c r="D590" s="179" t="s">
        <v>2500</v>
      </c>
    </row>
    <row r="591" spans="1:4" ht="15.75" outlineLevel="1" x14ac:dyDescent="0.2">
      <c r="A591" s="30" t="s">
        <v>40</v>
      </c>
      <c r="B591" s="31" t="s">
        <v>83</v>
      </c>
      <c r="C591" s="30">
        <v>5.31</v>
      </c>
      <c r="D591" s="85"/>
    </row>
    <row r="592" spans="1:4" ht="15.75" outlineLevel="1" x14ac:dyDescent="0.2">
      <c r="A592" s="30" t="s">
        <v>40</v>
      </c>
      <c r="B592" s="31" t="s">
        <v>56</v>
      </c>
      <c r="C592" s="30">
        <v>5.36</v>
      </c>
      <c r="D592" s="85"/>
    </row>
    <row r="593" spans="1:4" ht="15.75" outlineLevel="1" x14ac:dyDescent="0.2">
      <c r="A593" s="30" t="s">
        <v>40</v>
      </c>
      <c r="B593" s="31" t="s">
        <v>155</v>
      </c>
      <c r="C593" s="30">
        <v>5.78</v>
      </c>
      <c r="D593" s="85"/>
    </row>
    <row r="594" spans="1:4" ht="15.75" outlineLevel="1" x14ac:dyDescent="0.2">
      <c r="A594" s="30" t="s">
        <v>40</v>
      </c>
      <c r="B594" s="31" t="s">
        <v>156</v>
      </c>
      <c r="C594" s="30">
        <v>5.79</v>
      </c>
      <c r="D594" s="179" t="s">
        <v>2500</v>
      </c>
    </row>
    <row r="595" spans="1:4" ht="15.75" outlineLevel="1" x14ac:dyDescent="0.2">
      <c r="A595" s="30" t="s">
        <v>40</v>
      </c>
      <c r="B595" s="31" t="s">
        <v>157</v>
      </c>
      <c r="C595" s="30">
        <v>5.41</v>
      </c>
      <c r="D595" s="85"/>
    </row>
    <row r="596" spans="1:4" ht="15.75" outlineLevel="1" x14ac:dyDescent="0.2">
      <c r="A596" s="30" t="s">
        <v>40</v>
      </c>
      <c r="B596" s="31" t="s">
        <v>71</v>
      </c>
      <c r="C596" s="30">
        <v>5.49</v>
      </c>
      <c r="D596" s="85"/>
    </row>
    <row r="597" spans="1:4" ht="15.75" outlineLevel="1" x14ac:dyDescent="0.2">
      <c r="A597" s="30" t="s">
        <v>40</v>
      </c>
      <c r="B597" s="31" t="s">
        <v>58</v>
      </c>
      <c r="C597" s="30">
        <v>5.51</v>
      </c>
      <c r="D597" s="85"/>
    </row>
    <row r="598" spans="1:4" ht="15.75" outlineLevel="1" x14ac:dyDescent="0.2">
      <c r="A598" s="30" t="s">
        <v>40</v>
      </c>
      <c r="B598" s="31" t="s">
        <v>1090</v>
      </c>
      <c r="C598" s="30">
        <v>5.52</v>
      </c>
      <c r="D598" s="85"/>
    </row>
    <row r="599" spans="1:4" ht="15.75" outlineLevel="1" x14ac:dyDescent="0.2">
      <c r="A599" s="30" t="s">
        <v>40</v>
      </c>
      <c r="B599" s="31" t="s">
        <v>59</v>
      </c>
      <c r="C599" s="30">
        <v>5.53</v>
      </c>
      <c r="D599" s="85"/>
    </row>
    <row r="600" spans="1:4" ht="15.75" outlineLevel="1" x14ac:dyDescent="0.2">
      <c r="A600" s="30" t="s">
        <v>40</v>
      </c>
      <c r="B600" s="31" t="s">
        <v>72</v>
      </c>
      <c r="C600" s="30">
        <v>5.69</v>
      </c>
      <c r="D600" s="85"/>
    </row>
    <row r="601" spans="1:4" ht="15.75" outlineLevel="1" x14ac:dyDescent="0.2">
      <c r="A601" s="30" t="s">
        <v>40</v>
      </c>
      <c r="B601" s="31" t="s">
        <v>159</v>
      </c>
      <c r="C601" s="30">
        <v>5.71</v>
      </c>
      <c r="D601" s="85"/>
    </row>
    <row r="602" spans="1:4" ht="15.75" outlineLevel="1" x14ac:dyDescent="0.2">
      <c r="A602" s="30" t="s">
        <v>40</v>
      </c>
      <c r="B602" s="31" t="s">
        <v>62</v>
      </c>
      <c r="C602" s="32">
        <v>5.7</v>
      </c>
      <c r="D602" s="85"/>
    </row>
    <row r="603" spans="1:4" ht="15.75" outlineLevel="1" x14ac:dyDescent="0.2">
      <c r="A603" s="30" t="s">
        <v>40</v>
      </c>
      <c r="B603" s="31" t="s">
        <v>98</v>
      </c>
      <c r="C603" s="32">
        <v>5.8</v>
      </c>
      <c r="D603" s="179" t="s">
        <v>2500</v>
      </c>
    </row>
    <row r="604" spans="1:4" ht="15.75" outlineLevel="1" x14ac:dyDescent="0.2">
      <c r="A604" s="30" t="s">
        <v>40</v>
      </c>
      <c r="B604" s="31" t="s">
        <v>85</v>
      </c>
      <c r="C604" s="32">
        <v>5.72</v>
      </c>
      <c r="D604" s="179" t="s">
        <v>2500</v>
      </c>
    </row>
    <row r="605" spans="1:4" ht="15.75" outlineLevel="1" x14ac:dyDescent="0.2">
      <c r="A605" s="30" t="s">
        <v>40</v>
      </c>
      <c r="B605" s="31" t="s">
        <v>160</v>
      </c>
      <c r="C605" s="30">
        <v>5.73</v>
      </c>
      <c r="D605" s="179" t="s">
        <v>2500</v>
      </c>
    </row>
    <row r="606" spans="1:4" ht="15.75" outlineLevel="1" x14ac:dyDescent="0.2">
      <c r="A606" s="30" t="s">
        <v>40</v>
      </c>
      <c r="B606" s="31" t="s">
        <v>74</v>
      </c>
      <c r="C606" s="30">
        <v>5.74</v>
      </c>
      <c r="D606" s="85"/>
    </row>
    <row r="607" spans="1:4" ht="15.75" outlineLevel="1" x14ac:dyDescent="0.2">
      <c r="A607" s="30" t="s">
        <v>40</v>
      </c>
      <c r="B607" s="31" t="s">
        <v>73</v>
      </c>
      <c r="C607" s="30">
        <v>5.75</v>
      </c>
      <c r="D607" s="85"/>
    </row>
    <row r="608" spans="1:4" ht="15.75" outlineLevel="1" x14ac:dyDescent="0.2">
      <c r="A608" s="30" t="s">
        <v>40</v>
      </c>
      <c r="B608" s="31" t="s">
        <v>86</v>
      </c>
      <c r="C608" s="30">
        <v>5.76</v>
      </c>
      <c r="D608" s="85"/>
    </row>
    <row r="609" spans="1:4" ht="15.75" outlineLevel="1" x14ac:dyDescent="0.2">
      <c r="A609" s="30" t="s">
        <v>40</v>
      </c>
      <c r="B609" s="31" t="s">
        <v>161</v>
      </c>
      <c r="C609" s="30">
        <v>5.81</v>
      </c>
      <c r="D609" s="179" t="s">
        <v>2500</v>
      </c>
    </row>
    <row r="610" spans="1:4" ht="15.75" outlineLevel="1" x14ac:dyDescent="0.2">
      <c r="A610" s="30" t="s">
        <v>40</v>
      </c>
      <c r="B610" s="31" t="s">
        <v>162</v>
      </c>
      <c r="C610" s="30">
        <v>5.82</v>
      </c>
      <c r="D610" s="179" t="s">
        <v>2500</v>
      </c>
    </row>
    <row r="611" spans="1:4" ht="15.75" outlineLevel="1" x14ac:dyDescent="0.2">
      <c r="A611" s="30" t="s">
        <v>40</v>
      </c>
      <c r="B611" s="31" t="s">
        <v>163</v>
      </c>
      <c r="C611" s="30">
        <v>5.83</v>
      </c>
      <c r="D611" s="179" t="s">
        <v>2500</v>
      </c>
    </row>
    <row r="612" spans="1:4" ht="15.75" outlineLevel="1" x14ac:dyDescent="0.2">
      <c r="A612" s="30" t="s">
        <v>40</v>
      </c>
      <c r="B612" s="31" t="s">
        <v>164</v>
      </c>
      <c r="C612" s="30">
        <v>5.84</v>
      </c>
      <c r="D612" s="85"/>
    </row>
    <row r="613" spans="1:4" ht="15.75" outlineLevel="1" x14ac:dyDescent="0.2">
      <c r="A613" s="30" t="s">
        <v>40</v>
      </c>
      <c r="B613" s="31" t="s">
        <v>165</v>
      </c>
      <c r="C613" s="30">
        <v>5.85</v>
      </c>
      <c r="D613" s="179" t="s">
        <v>2500</v>
      </c>
    </row>
    <row r="614" spans="1:4" ht="15.75" outlineLevel="1" x14ac:dyDescent="0.2">
      <c r="A614" s="30" t="s">
        <v>40</v>
      </c>
      <c r="B614" s="31" t="s">
        <v>166</v>
      </c>
      <c r="C614" s="30">
        <v>5.86</v>
      </c>
      <c r="D614" s="179" t="s">
        <v>2500</v>
      </c>
    </row>
    <row r="615" spans="1:4" ht="15.75" outlineLevel="1" x14ac:dyDescent="0.2">
      <c r="A615" s="30" t="s">
        <v>40</v>
      </c>
      <c r="B615" s="31" t="s">
        <v>167</v>
      </c>
      <c r="C615" s="30">
        <v>5.88</v>
      </c>
      <c r="D615" s="179" t="s">
        <v>2500</v>
      </c>
    </row>
    <row r="616" spans="1:4" ht="15.75" outlineLevel="1" x14ac:dyDescent="0.2">
      <c r="A616" s="30" t="s">
        <v>40</v>
      </c>
      <c r="B616" s="31" t="s">
        <v>168</v>
      </c>
      <c r="C616" s="30">
        <v>5.87</v>
      </c>
      <c r="D616" s="85"/>
    </row>
    <row r="617" spans="1:4" ht="15.75" outlineLevel="1" x14ac:dyDescent="0.2">
      <c r="A617" s="30" t="s">
        <v>40</v>
      </c>
      <c r="B617" s="31" t="s">
        <v>103</v>
      </c>
      <c r="C617" s="30">
        <v>5.109</v>
      </c>
      <c r="D617" s="85"/>
    </row>
    <row r="618" spans="1:4" ht="15.75" outlineLevel="1" x14ac:dyDescent="0.2">
      <c r="A618" s="30" t="s">
        <v>40</v>
      </c>
      <c r="B618" s="31" t="s">
        <v>105</v>
      </c>
      <c r="C618" s="33">
        <v>5.1100000000000003</v>
      </c>
      <c r="D618" s="179" t="s">
        <v>2500</v>
      </c>
    </row>
    <row r="619" spans="1:4" ht="15.75" outlineLevel="1" x14ac:dyDescent="0.2">
      <c r="A619" s="30" t="s">
        <v>40</v>
      </c>
      <c r="B619" s="31" t="s">
        <v>104</v>
      </c>
      <c r="C619" s="30">
        <v>5.1109999999999998</v>
      </c>
      <c r="D619" s="85"/>
    </row>
    <row r="620" spans="1:4" ht="15.75" outlineLevel="1" x14ac:dyDescent="0.2">
      <c r="A620" s="30" t="s">
        <v>40</v>
      </c>
      <c r="B620" s="31" t="s">
        <v>106</v>
      </c>
      <c r="C620" s="30">
        <v>5.1120000000000001</v>
      </c>
      <c r="D620" s="85"/>
    </row>
    <row r="621" spans="1:4" ht="15.75" outlineLevel="1" x14ac:dyDescent="0.2">
      <c r="A621" s="30" t="s">
        <v>40</v>
      </c>
      <c r="B621" s="31" t="s">
        <v>1084</v>
      </c>
      <c r="C621" s="30">
        <v>5.1130000000000004</v>
      </c>
      <c r="D621" s="85"/>
    </row>
    <row r="622" spans="1:4" ht="15.75" outlineLevel="1" x14ac:dyDescent="0.2">
      <c r="A622" s="30" t="s">
        <v>40</v>
      </c>
      <c r="B622" s="31" t="s">
        <v>169</v>
      </c>
      <c r="C622" s="30">
        <v>5.99</v>
      </c>
      <c r="D622" s="179" t="s">
        <v>2500</v>
      </c>
    </row>
    <row r="623" spans="1:4" ht="15.75" outlineLevel="1" x14ac:dyDescent="0.2">
      <c r="A623" s="30" t="s">
        <v>40</v>
      </c>
      <c r="B623" s="31" t="s">
        <v>170</v>
      </c>
      <c r="C623" s="30">
        <v>5.58</v>
      </c>
      <c r="D623" s="84"/>
    </row>
    <row r="624" spans="1:4" ht="15.75" outlineLevel="1" x14ac:dyDescent="0.2">
      <c r="A624" s="30" t="s">
        <v>40</v>
      </c>
      <c r="B624" s="31" t="s">
        <v>61</v>
      </c>
      <c r="C624" s="30">
        <v>5.54</v>
      </c>
      <c r="D624" s="85"/>
    </row>
    <row r="625" spans="1:4" ht="15.75" outlineLevel="1" x14ac:dyDescent="0.2">
      <c r="A625" s="30" t="s">
        <v>40</v>
      </c>
      <c r="B625" s="31" t="s">
        <v>171</v>
      </c>
      <c r="C625" s="30">
        <v>5.56</v>
      </c>
      <c r="D625" s="85"/>
    </row>
    <row r="626" spans="1:4" ht="15.75" outlineLevel="1" x14ac:dyDescent="0.2">
      <c r="A626" s="30" t="s">
        <v>40</v>
      </c>
      <c r="B626" s="31" t="s">
        <v>63</v>
      </c>
      <c r="C626" s="30">
        <v>5.63</v>
      </c>
      <c r="D626" s="85"/>
    </row>
    <row r="627" spans="1:4" ht="15.75" outlineLevel="1" x14ac:dyDescent="0.2">
      <c r="A627" s="30" t="s">
        <v>40</v>
      </c>
      <c r="B627" s="31" t="s">
        <v>172</v>
      </c>
      <c r="C627" s="30">
        <v>5.64</v>
      </c>
      <c r="D627" s="85"/>
    </row>
    <row r="628" spans="1:4" ht="15.75" outlineLevel="1" x14ac:dyDescent="0.2">
      <c r="A628" s="30" t="s">
        <v>40</v>
      </c>
      <c r="B628" s="31" t="s">
        <v>78</v>
      </c>
      <c r="C628" s="30">
        <v>5.65</v>
      </c>
      <c r="D628" s="85"/>
    </row>
    <row r="629" spans="1:4" ht="15.75" outlineLevel="1" x14ac:dyDescent="0.2">
      <c r="A629" s="30" t="s">
        <v>40</v>
      </c>
      <c r="B629" s="31" t="s">
        <v>88</v>
      </c>
      <c r="C629" s="30">
        <v>5.66</v>
      </c>
      <c r="D629" s="85"/>
    </row>
    <row r="630" spans="1:4" ht="15.75" outlineLevel="1" x14ac:dyDescent="0.2">
      <c r="A630" s="30" t="s">
        <v>40</v>
      </c>
      <c r="B630" s="31" t="s">
        <v>87</v>
      </c>
      <c r="C630" s="30">
        <v>5.89</v>
      </c>
      <c r="D630" s="179" t="s">
        <v>2500</v>
      </c>
    </row>
    <row r="631" spans="1:4" ht="15.75" outlineLevel="1" x14ac:dyDescent="0.2">
      <c r="A631" s="30" t="s">
        <v>40</v>
      </c>
      <c r="B631" s="31" t="s">
        <v>17</v>
      </c>
      <c r="C631" s="30">
        <v>5.68</v>
      </c>
      <c r="D631" s="85"/>
    </row>
    <row r="632" spans="1:4" ht="15.75" outlineLevel="1" x14ac:dyDescent="0.2">
      <c r="A632" s="30" t="s">
        <v>40</v>
      </c>
      <c r="B632" s="31" t="s">
        <v>64</v>
      </c>
      <c r="C632" s="30">
        <v>5.47</v>
      </c>
      <c r="D632" s="85"/>
    </row>
    <row r="633" spans="1:4" ht="15.75" outlineLevel="1" x14ac:dyDescent="0.2">
      <c r="A633" s="30" t="s">
        <v>40</v>
      </c>
      <c r="B633" s="31" t="s">
        <v>65</v>
      </c>
      <c r="C633" s="30">
        <v>5.48</v>
      </c>
      <c r="D633" s="85"/>
    </row>
    <row r="634" spans="1:4" ht="15.75" x14ac:dyDescent="0.2">
      <c r="A634" s="35" t="s">
        <v>40</v>
      </c>
      <c r="B634" s="31"/>
      <c r="C634" s="30"/>
      <c r="D634" s="85"/>
    </row>
    <row r="635" spans="1:4" ht="15.75" outlineLevel="1" x14ac:dyDescent="0.2">
      <c r="A635" s="30" t="s">
        <v>41</v>
      </c>
      <c r="B635" s="31" t="s">
        <v>49</v>
      </c>
      <c r="C635" s="30">
        <v>5.0999999999999996</v>
      </c>
      <c r="D635" s="85"/>
    </row>
    <row r="636" spans="1:4" ht="15.75" outlineLevel="1" x14ac:dyDescent="0.2">
      <c r="A636" s="30" t="s">
        <v>41</v>
      </c>
      <c r="B636" s="31" t="s">
        <v>50</v>
      </c>
      <c r="C636" s="30">
        <v>5.2</v>
      </c>
      <c r="D636" s="85"/>
    </row>
    <row r="637" spans="1:4" ht="15.75" outlineLevel="1" x14ac:dyDescent="0.2">
      <c r="A637" s="30" t="s">
        <v>41</v>
      </c>
      <c r="B637" s="31" t="s">
        <v>66</v>
      </c>
      <c r="C637" s="30">
        <v>5.3</v>
      </c>
      <c r="D637" s="85"/>
    </row>
    <row r="638" spans="1:4" ht="15.75" outlineLevel="1" x14ac:dyDescent="0.2">
      <c r="A638" s="30" t="s">
        <v>41</v>
      </c>
      <c r="B638" s="31" t="s">
        <v>80</v>
      </c>
      <c r="C638" s="30">
        <v>5.6</v>
      </c>
      <c r="D638" s="85"/>
    </row>
    <row r="639" spans="1:4" ht="15.75" outlineLevel="1" x14ac:dyDescent="0.2">
      <c r="A639" s="30" t="s">
        <v>41</v>
      </c>
      <c r="B639" s="31" t="s">
        <v>1080</v>
      </c>
      <c r="C639" s="32">
        <v>5.0999999999999996</v>
      </c>
      <c r="D639" s="85"/>
    </row>
    <row r="640" spans="1:4" ht="15.75" outlineLevel="1" x14ac:dyDescent="0.2">
      <c r="A640" s="30" t="s">
        <v>41</v>
      </c>
      <c r="B640" s="31" t="s">
        <v>91</v>
      </c>
      <c r="C640" s="30">
        <v>5.14</v>
      </c>
      <c r="D640" s="85"/>
    </row>
    <row r="641" spans="1:4" ht="15.75" outlineLevel="1" x14ac:dyDescent="0.2">
      <c r="A641" s="30" t="s">
        <v>41</v>
      </c>
      <c r="B641" s="31" t="s">
        <v>68</v>
      </c>
      <c r="C641" s="30">
        <v>5.19</v>
      </c>
      <c r="D641" s="85"/>
    </row>
    <row r="642" spans="1:4" ht="15.75" outlineLevel="1" x14ac:dyDescent="0.2">
      <c r="A642" s="30" t="s">
        <v>41</v>
      </c>
      <c r="B642" s="31" t="s">
        <v>82</v>
      </c>
      <c r="C642" s="30">
        <v>5.24</v>
      </c>
      <c r="D642" s="85"/>
    </row>
    <row r="643" spans="1:4" ht="15.75" outlineLevel="1" x14ac:dyDescent="0.2">
      <c r="A643" s="30" t="s">
        <v>41</v>
      </c>
      <c r="B643" s="31" t="s">
        <v>54</v>
      </c>
      <c r="C643" s="30">
        <v>5.26</v>
      </c>
      <c r="D643" s="85"/>
    </row>
    <row r="644" spans="1:4" ht="15.75" outlineLevel="1" x14ac:dyDescent="0.2">
      <c r="A644" s="30" t="s">
        <v>41</v>
      </c>
      <c r="B644" s="31" t="s">
        <v>55</v>
      </c>
      <c r="C644" s="30">
        <v>5.27</v>
      </c>
      <c r="D644" s="85"/>
    </row>
    <row r="645" spans="1:4" ht="15.75" outlineLevel="1" x14ac:dyDescent="0.2">
      <c r="A645" s="30" t="s">
        <v>41</v>
      </c>
      <c r="B645" s="31" t="s">
        <v>69</v>
      </c>
      <c r="C645" s="30">
        <v>5.28</v>
      </c>
      <c r="D645" s="85"/>
    </row>
    <row r="646" spans="1:4" ht="15.75" outlineLevel="1" x14ac:dyDescent="0.2">
      <c r="A646" s="30" t="s">
        <v>41</v>
      </c>
      <c r="B646" s="31" t="s">
        <v>56</v>
      </c>
      <c r="C646" s="30">
        <v>5.36</v>
      </c>
      <c r="D646" s="85"/>
    </row>
    <row r="647" spans="1:4" ht="15.75" outlineLevel="1" x14ac:dyDescent="0.2">
      <c r="A647" s="30" t="s">
        <v>41</v>
      </c>
      <c r="B647" s="31" t="s">
        <v>96</v>
      </c>
      <c r="C647" s="30">
        <v>5.33</v>
      </c>
      <c r="D647" s="85"/>
    </row>
    <row r="648" spans="1:4" ht="15.75" outlineLevel="1" x14ac:dyDescent="0.2">
      <c r="A648" s="30" t="s">
        <v>41</v>
      </c>
      <c r="B648" s="31" t="s">
        <v>97</v>
      </c>
      <c r="C648" s="30">
        <v>5.37</v>
      </c>
      <c r="D648" s="85"/>
    </row>
    <row r="649" spans="1:4" ht="15.75" outlineLevel="1" x14ac:dyDescent="0.2">
      <c r="A649" s="30" t="s">
        <v>41</v>
      </c>
      <c r="B649" s="31" t="s">
        <v>71</v>
      </c>
      <c r="C649" s="30">
        <v>5.49</v>
      </c>
      <c r="D649" s="85"/>
    </row>
    <row r="650" spans="1:4" ht="15.75" outlineLevel="1" x14ac:dyDescent="0.2">
      <c r="A650" s="30" t="s">
        <v>41</v>
      </c>
      <c r="B650" s="31" t="s">
        <v>58</v>
      </c>
      <c r="C650" s="30">
        <v>5.51</v>
      </c>
      <c r="D650" s="85"/>
    </row>
    <row r="651" spans="1:4" ht="15.75" outlineLevel="1" x14ac:dyDescent="0.2">
      <c r="A651" s="30" t="s">
        <v>41</v>
      </c>
      <c r="B651" s="31" t="s">
        <v>1081</v>
      </c>
      <c r="C651" s="30">
        <v>5.52</v>
      </c>
      <c r="D651" s="85"/>
    </row>
    <row r="652" spans="1:4" ht="15.75" outlineLevel="1" x14ac:dyDescent="0.2">
      <c r="A652" s="30" t="s">
        <v>41</v>
      </c>
      <c r="B652" s="31" t="s">
        <v>59</v>
      </c>
      <c r="C652" s="30">
        <v>5.53</v>
      </c>
      <c r="D652" s="85"/>
    </row>
    <row r="653" spans="1:4" ht="15.75" outlineLevel="1" x14ac:dyDescent="0.2">
      <c r="A653" s="30" t="s">
        <v>41</v>
      </c>
      <c r="B653" s="31" t="s">
        <v>72</v>
      </c>
      <c r="C653" s="30">
        <v>5.69</v>
      </c>
      <c r="D653" s="85"/>
    </row>
    <row r="654" spans="1:4" ht="15.75" outlineLevel="1" x14ac:dyDescent="0.2">
      <c r="A654" s="30" t="s">
        <v>41</v>
      </c>
      <c r="B654" s="31" t="s">
        <v>62</v>
      </c>
      <c r="C654" s="32">
        <v>5.7</v>
      </c>
      <c r="D654" s="85"/>
    </row>
    <row r="655" spans="1:4" ht="15.75" outlineLevel="1" x14ac:dyDescent="0.2">
      <c r="A655" s="30" t="s">
        <v>41</v>
      </c>
      <c r="B655" s="31" t="s">
        <v>74</v>
      </c>
      <c r="C655" s="30">
        <v>5.74</v>
      </c>
      <c r="D655" s="85"/>
    </row>
    <row r="656" spans="1:4" ht="15.75" outlineLevel="1" x14ac:dyDescent="0.2">
      <c r="A656" s="30" t="s">
        <v>41</v>
      </c>
      <c r="B656" s="31" t="s">
        <v>103</v>
      </c>
      <c r="C656" s="30">
        <v>5.109</v>
      </c>
      <c r="D656" s="85"/>
    </row>
    <row r="657" spans="1:4" ht="15.75" outlineLevel="1" x14ac:dyDescent="0.2">
      <c r="A657" s="30" t="s">
        <v>41</v>
      </c>
      <c r="B657" s="31" t="s">
        <v>104</v>
      </c>
      <c r="C657" s="30">
        <v>5.1109999999999998</v>
      </c>
      <c r="D657" s="85"/>
    </row>
    <row r="658" spans="1:4" ht="15.75" outlineLevel="1" x14ac:dyDescent="0.2">
      <c r="A658" s="30" t="s">
        <v>41</v>
      </c>
      <c r="B658" s="31" t="s">
        <v>106</v>
      </c>
      <c r="C658" s="30">
        <v>5.1120000000000001</v>
      </c>
      <c r="D658" s="85"/>
    </row>
    <row r="659" spans="1:4" ht="15.75" outlineLevel="1" x14ac:dyDescent="0.2">
      <c r="A659" s="30" t="s">
        <v>41</v>
      </c>
      <c r="B659" s="31" t="s">
        <v>76</v>
      </c>
      <c r="C659" s="30">
        <v>5.58</v>
      </c>
      <c r="D659" s="85"/>
    </row>
    <row r="660" spans="1:4" ht="15.75" outlineLevel="1" x14ac:dyDescent="0.2">
      <c r="A660" s="30" t="s">
        <v>41</v>
      </c>
      <c r="B660" s="31" t="s">
        <v>61</v>
      </c>
      <c r="C660" s="30">
        <v>5.54</v>
      </c>
      <c r="D660" s="85"/>
    </row>
    <row r="661" spans="1:4" ht="15.75" outlineLevel="1" x14ac:dyDescent="0.2">
      <c r="A661" s="30" t="s">
        <v>41</v>
      </c>
      <c r="B661" s="31" t="s">
        <v>77</v>
      </c>
      <c r="C661" s="30">
        <v>5.55</v>
      </c>
      <c r="D661" s="85"/>
    </row>
    <row r="662" spans="1:4" ht="15.75" outlineLevel="1" x14ac:dyDescent="0.2">
      <c r="A662" s="30" t="s">
        <v>41</v>
      </c>
      <c r="B662" s="31" t="s">
        <v>63</v>
      </c>
      <c r="C662" s="30">
        <v>5.63</v>
      </c>
      <c r="D662" s="85"/>
    </row>
    <row r="663" spans="1:4" ht="15.75" outlineLevel="1" x14ac:dyDescent="0.2">
      <c r="A663" s="30" t="s">
        <v>41</v>
      </c>
      <c r="B663" s="31" t="s">
        <v>64</v>
      </c>
      <c r="C663" s="30">
        <v>5.47</v>
      </c>
      <c r="D663" s="85"/>
    </row>
    <row r="664" spans="1:4" ht="15.75" outlineLevel="1" x14ac:dyDescent="0.2">
      <c r="A664" s="30" t="s">
        <v>41</v>
      </c>
      <c r="B664" s="31" t="s">
        <v>65</v>
      </c>
      <c r="C664" s="30">
        <v>5.48</v>
      </c>
      <c r="D664" s="85"/>
    </row>
    <row r="665" spans="1:4" ht="15.75" x14ac:dyDescent="0.2">
      <c r="A665" s="35" t="s">
        <v>41</v>
      </c>
      <c r="B665" s="31"/>
      <c r="C665" s="30"/>
      <c r="D665" s="85"/>
    </row>
    <row r="666" spans="1:4" ht="15.75" outlineLevel="1" x14ac:dyDescent="0.2">
      <c r="A666" s="30" t="s">
        <v>42</v>
      </c>
      <c r="B666" s="31" t="s">
        <v>49</v>
      </c>
      <c r="C666" s="30">
        <v>5.0999999999999996</v>
      </c>
      <c r="D666" s="85"/>
    </row>
    <row r="667" spans="1:4" ht="15.75" outlineLevel="1" x14ac:dyDescent="0.2">
      <c r="A667" s="30" t="s">
        <v>42</v>
      </c>
      <c r="B667" s="31" t="s">
        <v>50</v>
      </c>
      <c r="C667" s="30">
        <v>5.2</v>
      </c>
      <c r="D667" s="85"/>
    </row>
    <row r="668" spans="1:4" ht="15.75" outlineLevel="1" x14ac:dyDescent="0.2">
      <c r="A668" s="30" t="s">
        <v>42</v>
      </c>
      <c r="B668" s="31" t="s">
        <v>51</v>
      </c>
      <c r="C668" s="30">
        <v>5.4</v>
      </c>
      <c r="D668" s="85"/>
    </row>
    <row r="669" spans="1:4" ht="15.75" outlineLevel="1" x14ac:dyDescent="0.2">
      <c r="A669" s="30" t="s">
        <v>42</v>
      </c>
      <c r="B669" s="31" t="s">
        <v>52</v>
      </c>
      <c r="C669" s="30">
        <v>5.7</v>
      </c>
      <c r="D669" s="85"/>
    </row>
    <row r="670" spans="1:4" ht="15.75" outlineLevel="1" x14ac:dyDescent="0.2">
      <c r="A670" s="30" t="s">
        <v>42</v>
      </c>
      <c r="B670" s="31" t="s">
        <v>53</v>
      </c>
      <c r="C670" s="30">
        <v>5.1100000000000003</v>
      </c>
      <c r="D670" s="85"/>
    </row>
    <row r="671" spans="1:4" ht="15.75" outlineLevel="1" x14ac:dyDescent="0.2">
      <c r="A671" s="30" t="s">
        <v>42</v>
      </c>
      <c r="B671" s="31" t="s">
        <v>54</v>
      </c>
      <c r="C671" s="30">
        <v>5.26</v>
      </c>
      <c r="D671" s="85"/>
    </row>
    <row r="672" spans="1:4" ht="15.75" outlineLevel="1" x14ac:dyDescent="0.2">
      <c r="A672" s="30" t="s">
        <v>42</v>
      </c>
      <c r="B672" s="31" t="s">
        <v>173</v>
      </c>
      <c r="C672" s="30">
        <v>5.43</v>
      </c>
      <c r="D672" s="85"/>
    </row>
    <row r="673" spans="1:4" ht="15.75" outlineLevel="1" x14ac:dyDescent="0.2">
      <c r="A673" s="30" t="s">
        <v>42</v>
      </c>
      <c r="B673" s="31" t="s">
        <v>55</v>
      </c>
      <c r="C673" s="30">
        <v>5.27</v>
      </c>
      <c r="D673" s="85"/>
    </row>
    <row r="674" spans="1:4" ht="15.75" outlineLevel="1" x14ac:dyDescent="0.2">
      <c r="A674" s="30" t="s">
        <v>42</v>
      </c>
      <c r="B674" s="31" t="s">
        <v>69</v>
      </c>
      <c r="C674" s="30">
        <v>5.28</v>
      </c>
      <c r="D674" s="85"/>
    </row>
    <row r="675" spans="1:4" ht="15.75" outlineLevel="1" x14ac:dyDescent="0.2">
      <c r="A675" s="30" t="s">
        <v>42</v>
      </c>
      <c r="B675" s="31" t="s">
        <v>56</v>
      </c>
      <c r="C675" s="30">
        <v>5.36</v>
      </c>
      <c r="D675" s="85"/>
    </row>
    <row r="676" spans="1:4" ht="15.75" outlineLevel="1" x14ac:dyDescent="0.2">
      <c r="A676" s="30" t="s">
        <v>42</v>
      </c>
      <c r="B676" s="31" t="s">
        <v>57</v>
      </c>
      <c r="C676" s="32">
        <v>5.5</v>
      </c>
      <c r="D676" s="85"/>
    </row>
    <row r="677" spans="1:4" ht="15.75" outlineLevel="1" x14ac:dyDescent="0.2">
      <c r="A677" s="30" t="s">
        <v>42</v>
      </c>
      <c r="B677" s="31" t="s">
        <v>58</v>
      </c>
      <c r="C677" s="30">
        <v>5.51</v>
      </c>
      <c r="D677" s="85"/>
    </row>
    <row r="678" spans="1:4" ht="15.75" outlineLevel="1" x14ac:dyDescent="0.2">
      <c r="A678" s="30" t="s">
        <v>42</v>
      </c>
      <c r="B678" s="31" t="s">
        <v>59</v>
      </c>
      <c r="C678" s="30">
        <v>5.53</v>
      </c>
      <c r="D678" s="85"/>
    </row>
    <row r="679" spans="1:4" ht="15.75" outlineLevel="1" x14ac:dyDescent="0.2">
      <c r="A679" s="30" t="s">
        <v>42</v>
      </c>
      <c r="B679" s="31" t="s">
        <v>72</v>
      </c>
      <c r="C679" s="30">
        <v>5.69</v>
      </c>
      <c r="D679" s="85"/>
    </row>
    <row r="680" spans="1:4" ht="15.75" outlineLevel="1" x14ac:dyDescent="0.2">
      <c r="A680" s="30" t="s">
        <v>42</v>
      </c>
      <c r="B680" s="31" t="s">
        <v>62</v>
      </c>
      <c r="C680" s="32">
        <v>5.7</v>
      </c>
      <c r="D680" s="179" t="s">
        <v>2500</v>
      </c>
    </row>
    <row r="681" spans="1:4" ht="15.75" outlineLevel="1" x14ac:dyDescent="0.2">
      <c r="A681" s="30" t="s">
        <v>42</v>
      </c>
      <c r="B681" s="31" t="s">
        <v>74</v>
      </c>
      <c r="C681" s="30">
        <v>5.74</v>
      </c>
      <c r="D681" s="85"/>
    </row>
    <row r="682" spans="1:4" ht="15.75" outlineLevel="1" x14ac:dyDescent="0.2">
      <c r="A682" s="30" t="s">
        <v>42</v>
      </c>
      <c r="B682" s="31" t="s">
        <v>60</v>
      </c>
      <c r="C682" s="30">
        <v>5.59</v>
      </c>
      <c r="D682" s="85"/>
    </row>
    <row r="683" spans="1:4" ht="15.75" outlineLevel="1" x14ac:dyDescent="0.2">
      <c r="A683" s="30" t="s">
        <v>42</v>
      </c>
      <c r="B683" s="31" t="s">
        <v>61</v>
      </c>
      <c r="C683" s="30">
        <v>5.54</v>
      </c>
      <c r="D683" s="85"/>
    </row>
    <row r="684" spans="1:4" ht="15.75" outlineLevel="1" x14ac:dyDescent="0.2">
      <c r="A684" s="30" t="s">
        <v>42</v>
      </c>
      <c r="B684" s="31" t="s">
        <v>174</v>
      </c>
      <c r="C684" s="30">
        <v>5.57</v>
      </c>
      <c r="D684" s="85"/>
    </row>
    <row r="685" spans="1:4" ht="15.75" outlineLevel="1" x14ac:dyDescent="0.2">
      <c r="A685" s="30" t="s">
        <v>42</v>
      </c>
      <c r="B685" s="31" t="s">
        <v>63</v>
      </c>
      <c r="C685" s="30">
        <v>5.63</v>
      </c>
      <c r="D685" s="85"/>
    </row>
    <row r="686" spans="1:4" ht="15.75" outlineLevel="1" x14ac:dyDescent="0.2">
      <c r="A686" s="30" t="s">
        <v>42</v>
      </c>
      <c r="B686" s="31" t="s">
        <v>64</v>
      </c>
      <c r="C686" s="30">
        <v>5.47</v>
      </c>
      <c r="D686" s="85"/>
    </row>
    <row r="687" spans="1:4" ht="15.75" outlineLevel="1" x14ac:dyDescent="0.2">
      <c r="A687" s="30" t="s">
        <v>42</v>
      </c>
      <c r="B687" s="31" t="s">
        <v>65</v>
      </c>
      <c r="C687" s="30">
        <v>5.48</v>
      </c>
      <c r="D687" s="85"/>
    </row>
    <row r="688" spans="1:4" ht="15.75" x14ac:dyDescent="0.2">
      <c r="A688" s="35" t="s">
        <v>42</v>
      </c>
      <c r="B688" s="31"/>
      <c r="C688" s="30"/>
      <c r="D688" s="85"/>
    </row>
    <row r="689" spans="1:4" ht="15.75" outlineLevel="1" x14ac:dyDescent="0.2">
      <c r="A689" s="30" t="s">
        <v>43</v>
      </c>
      <c r="B689" s="31" t="s">
        <v>49</v>
      </c>
      <c r="C689" s="30">
        <v>5.0999999999999996</v>
      </c>
      <c r="D689" s="85"/>
    </row>
    <row r="690" spans="1:4" ht="15.75" outlineLevel="1" x14ac:dyDescent="0.2">
      <c r="A690" s="30" t="s">
        <v>43</v>
      </c>
      <c r="B690" s="31" t="s">
        <v>50</v>
      </c>
      <c r="C690" s="30">
        <v>5.2</v>
      </c>
      <c r="D690" s="85"/>
    </row>
    <row r="691" spans="1:4" ht="15.75" outlineLevel="1" x14ac:dyDescent="0.2">
      <c r="A691" s="30" t="s">
        <v>43</v>
      </c>
      <c r="B691" s="31" t="s">
        <v>175</v>
      </c>
      <c r="C691" s="30">
        <v>5.17</v>
      </c>
      <c r="D691" s="85"/>
    </row>
    <row r="692" spans="1:4" ht="15.75" outlineLevel="1" x14ac:dyDescent="0.2">
      <c r="A692" s="30" t="s">
        <v>43</v>
      </c>
      <c r="B692" s="31" t="s">
        <v>54</v>
      </c>
      <c r="C692" s="30">
        <v>5.26</v>
      </c>
      <c r="D692" s="85"/>
    </row>
    <row r="693" spans="1:4" ht="15.75" outlineLevel="1" x14ac:dyDescent="0.2">
      <c r="A693" s="30" t="s">
        <v>43</v>
      </c>
      <c r="B693" s="31" t="s">
        <v>176</v>
      </c>
      <c r="C693" s="30">
        <v>5.1029999999999998</v>
      </c>
      <c r="D693" s="85"/>
    </row>
    <row r="694" spans="1:4" ht="15.75" outlineLevel="1" x14ac:dyDescent="0.2">
      <c r="A694" s="30" t="s">
        <v>43</v>
      </c>
      <c r="B694" s="31" t="s">
        <v>56</v>
      </c>
      <c r="C694" s="30">
        <v>5.36</v>
      </c>
      <c r="D694" s="85"/>
    </row>
    <row r="695" spans="1:4" ht="15.75" outlineLevel="1" x14ac:dyDescent="0.2">
      <c r="A695" s="30" t="s">
        <v>43</v>
      </c>
      <c r="B695" s="31" t="s">
        <v>97</v>
      </c>
      <c r="C695" s="30">
        <v>5.37</v>
      </c>
      <c r="D695" s="85"/>
    </row>
    <row r="696" spans="1:4" ht="15.75" outlineLevel="1" x14ac:dyDescent="0.2">
      <c r="A696" s="30" t="s">
        <v>43</v>
      </c>
      <c r="B696" s="31" t="s">
        <v>177</v>
      </c>
      <c r="C696" s="30">
        <v>5.1040000000000001</v>
      </c>
      <c r="D696" s="85"/>
    </row>
    <row r="697" spans="1:4" ht="15.75" outlineLevel="1" x14ac:dyDescent="0.2">
      <c r="A697" s="30" t="s">
        <v>43</v>
      </c>
      <c r="B697" s="31" t="s">
        <v>178</v>
      </c>
      <c r="C697" s="30">
        <v>5.1050000000000004</v>
      </c>
      <c r="D697" s="85"/>
    </row>
    <row r="698" spans="1:4" ht="15.75" outlineLevel="1" x14ac:dyDescent="0.2">
      <c r="A698" s="30" t="s">
        <v>43</v>
      </c>
      <c r="B698" s="31" t="s">
        <v>179</v>
      </c>
      <c r="C698" s="30">
        <v>5.1059999999999999</v>
      </c>
      <c r="D698" s="85"/>
    </row>
    <row r="699" spans="1:4" ht="15.75" outlineLevel="1" x14ac:dyDescent="0.2">
      <c r="A699" s="30" t="s">
        <v>43</v>
      </c>
      <c r="B699" s="31" t="s">
        <v>180</v>
      </c>
      <c r="C699" s="30">
        <v>5.1070000000000002</v>
      </c>
      <c r="D699" s="85"/>
    </row>
    <row r="700" spans="1:4" ht="15.75" outlineLevel="1" x14ac:dyDescent="0.2">
      <c r="A700" s="30" t="s">
        <v>43</v>
      </c>
      <c r="B700" s="31" t="s">
        <v>874</v>
      </c>
      <c r="C700" s="30">
        <v>5.1079999999999997</v>
      </c>
      <c r="D700" s="179" t="s">
        <v>2500</v>
      </c>
    </row>
    <row r="701" spans="1:4" ht="15.75" outlineLevel="1" x14ac:dyDescent="0.2">
      <c r="A701" s="30" t="s">
        <v>43</v>
      </c>
      <c r="B701" s="31" t="s">
        <v>103</v>
      </c>
      <c r="C701" s="30">
        <v>5.109</v>
      </c>
      <c r="D701" s="85"/>
    </row>
    <row r="702" spans="1:4" ht="15.75" outlineLevel="1" x14ac:dyDescent="0.2">
      <c r="A702" s="30" t="s">
        <v>43</v>
      </c>
      <c r="B702" s="31" t="s">
        <v>105</v>
      </c>
      <c r="C702" s="33">
        <v>5.1100000000000003</v>
      </c>
      <c r="D702" s="179" t="s">
        <v>2500</v>
      </c>
    </row>
    <row r="703" spans="1:4" ht="15.75" outlineLevel="1" x14ac:dyDescent="0.2">
      <c r="A703" s="30" t="s">
        <v>43</v>
      </c>
      <c r="B703" s="31" t="s">
        <v>104</v>
      </c>
      <c r="C703" s="30">
        <v>5.1109999999999998</v>
      </c>
      <c r="D703" s="85"/>
    </row>
    <row r="704" spans="1:4" ht="15.75" outlineLevel="1" x14ac:dyDescent="0.2">
      <c r="A704" s="30" t="s">
        <v>43</v>
      </c>
      <c r="B704" s="31" t="s">
        <v>106</v>
      </c>
      <c r="C704" s="30">
        <v>5.1120000000000001</v>
      </c>
      <c r="D704" s="85"/>
    </row>
    <row r="705" spans="1:4" ht="15.75" outlineLevel="1" x14ac:dyDescent="0.2">
      <c r="A705" s="30" t="s">
        <v>43</v>
      </c>
      <c r="B705" s="31" t="s">
        <v>59</v>
      </c>
      <c r="C705" s="30">
        <v>5.53</v>
      </c>
      <c r="D705" s="85"/>
    </row>
    <row r="706" spans="1:4" ht="15.75" outlineLevel="1" x14ac:dyDescent="0.2">
      <c r="A706" s="30" t="s">
        <v>43</v>
      </c>
      <c r="B706" s="31" t="s">
        <v>172</v>
      </c>
      <c r="C706" s="30">
        <v>5.64</v>
      </c>
      <c r="D706" s="85"/>
    </row>
    <row r="707" spans="1:4" ht="15.75" outlineLevel="1" x14ac:dyDescent="0.2">
      <c r="A707" s="30" t="s">
        <v>43</v>
      </c>
      <c r="B707" s="31" t="s">
        <v>63</v>
      </c>
      <c r="C707" s="30">
        <v>5.63</v>
      </c>
      <c r="D707" s="85"/>
    </row>
    <row r="708" spans="1:4" ht="15.75" outlineLevel="1" x14ac:dyDescent="0.2">
      <c r="A708" s="30" t="s">
        <v>43</v>
      </c>
      <c r="B708" s="31" t="s">
        <v>78</v>
      </c>
      <c r="C708" s="30">
        <v>5.65</v>
      </c>
      <c r="D708" s="85"/>
    </row>
    <row r="709" spans="1:4" ht="15.75" outlineLevel="1" x14ac:dyDescent="0.2">
      <c r="A709" s="30" t="s">
        <v>43</v>
      </c>
      <c r="B709" s="31" t="s">
        <v>88</v>
      </c>
      <c r="C709" s="30">
        <v>5.66</v>
      </c>
      <c r="D709" s="85"/>
    </row>
    <row r="710" spans="1:4" ht="15.75" outlineLevel="1" x14ac:dyDescent="0.2">
      <c r="A710" s="30" t="s">
        <v>43</v>
      </c>
      <c r="B710" s="31" t="s">
        <v>17</v>
      </c>
      <c r="C710" s="30">
        <v>5.68</v>
      </c>
      <c r="D710" s="85"/>
    </row>
    <row r="711" spans="1:4" ht="15.75" outlineLevel="1" x14ac:dyDescent="0.2">
      <c r="A711" s="30" t="s">
        <v>43</v>
      </c>
      <c r="B711" s="31" t="s">
        <v>64</v>
      </c>
      <c r="C711" s="30">
        <v>5.47</v>
      </c>
      <c r="D711" s="85"/>
    </row>
    <row r="712" spans="1:4" ht="15.75" outlineLevel="1" x14ac:dyDescent="0.2">
      <c r="A712" s="30" t="s">
        <v>43</v>
      </c>
      <c r="B712" s="31" t="s">
        <v>65</v>
      </c>
      <c r="C712" s="30">
        <v>5.48</v>
      </c>
      <c r="D712" s="85"/>
    </row>
    <row r="713" spans="1:4" ht="15.75" x14ac:dyDescent="0.2">
      <c r="A713" s="35" t="s">
        <v>43</v>
      </c>
      <c r="B713" s="31"/>
      <c r="C713" s="30"/>
      <c r="D713" s="85"/>
    </row>
    <row r="714" spans="1:4" ht="15.75" outlineLevel="1" x14ac:dyDescent="0.2">
      <c r="A714" s="30" t="s">
        <v>1091</v>
      </c>
      <c r="B714" s="31" t="s">
        <v>49</v>
      </c>
      <c r="C714" s="30">
        <v>5.0999999999999996</v>
      </c>
      <c r="D714" s="85"/>
    </row>
    <row r="715" spans="1:4" ht="15.75" outlineLevel="1" x14ac:dyDescent="0.2">
      <c r="A715" s="30" t="s">
        <v>1091</v>
      </c>
      <c r="B715" s="31" t="s">
        <v>50</v>
      </c>
      <c r="C715" s="30">
        <v>5.2</v>
      </c>
      <c r="D715" s="85"/>
    </row>
    <row r="716" spans="1:4" ht="15.75" outlineLevel="1" x14ac:dyDescent="0.2">
      <c r="A716" s="30" t="s">
        <v>1091</v>
      </c>
      <c r="B716" s="31" t="s">
        <v>66</v>
      </c>
      <c r="C716" s="30">
        <v>5.3</v>
      </c>
      <c r="D716" s="85"/>
    </row>
    <row r="717" spans="1:4" ht="15.75" outlineLevel="1" x14ac:dyDescent="0.2">
      <c r="A717" s="30" t="s">
        <v>1091</v>
      </c>
      <c r="B717" s="31" t="s">
        <v>80</v>
      </c>
      <c r="C717" s="30">
        <v>5.6</v>
      </c>
      <c r="D717" s="85"/>
    </row>
    <row r="718" spans="1:4" ht="15.75" outlineLevel="1" x14ac:dyDescent="0.2">
      <c r="A718" s="30" t="s">
        <v>1091</v>
      </c>
      <c r="B718" s="31" t="s">
        <v>1080</v>
      </c>
      <c r="C718" s="32">
        <v>5.0999999999999996</v>
      </c>
      <c r="D718" s="85"/>
    </row>
    <row r="719" spans="1:4" ht="15.75" outlineLevel="1" x14ac:dyDescent="0.2">
      <c r="A719" s="30" t="s">
        <v>1091</v>
      </c>
      <c r="B719" s="31" t="s">
        <v>91</v>
      </c>
      <c r="C719" s="30">
        <v>5.14</v>
      </c>
      <c r="D719" s="85"/>
    </row>
    <row r="720" spans="1:4" ht="15.75" outlineLevel="1" x14ac:dyDescent="0.2">
      <c r="A720" s="30" t="s">
        <v>1091</v>
      </c>
      <c r="B720" s="31" t="s">
        <v>68</v>
      </c>
      <c r="C720" s="30">
        <v>5.19</v>
      </c>
      <c r="D720" s="85"/>
    </row>
    <row r="721" spans="1:4" ht="15.75" outlineLevel="1" x14ac:dyDescent="0.2">
      <c r="A721" s="30" t="s">
        <v>1091</v>
      </c>
      <c r="B721" s="31" t="s">
        <v>82</v>
      </c>
      <c r="C721" s="30">
        <v>5.24</v>
      </c>
      <c r="D721" s="85"/>
    </row>
    <row r="722" spans="1:4" ht="15.75" outlineLevel="1" x14ac:dyDescent="0.2">
      <c r="A722" s="30" t="s">
        <v>1091</v>
      </c>
      <c r="B722" s="31" t="s">
        <v>54</v>
      </c>
      <c r="C722" s="30">
        <v>5.26</v>
      </c>
      <c r="D722" s="85"/>
    </row>
    <row r="723" spans="1:4" ht="15.75" outlineLevel="1" x14ac:dyDescent="0.2">
      <c r="A723" s="30" t="s">
        <v>1091</v>
      </c>
      <c r="B723" s="31" t="s">
        <v>55</v>
      </c>
      <c r="C723" s="30">
        <v>5.27</v>
      </c>
      <c r="D723" s="85"/>
    </row>
    <row r="724" spans="1:4" ht="15.75" outlineLevel="1" x14ac:dyDescent="0.2">
      <c r="A724" s="30" t="s">
        <v>1091</v>
      </c>
      <c r="B724" s="31" t="s">
        <v>69</v>
      </c>
      <c r="C724" s="30">
        <v>5.28</v>
      </c>
      <c r="D724" s="85"/>
    </row>
    <row r="725" spans="1:4" ht="15.75" outlineLevel="1" x14ac:dyDescent="0.2">
      <c r="A725" s="30" t="s">
        <v>1091</v>
      </c>
      <c r="B725" s="31" t="s">
        <v>83</v>
      </c>
      <c r="C725" s="30">
        <v>5.31</v>
      </c>
      <c r="D725" s="85"/>
    </row>
    <row r="726" spans="1:4" ht="15.75" outlineLevel="1" x14ac:dyDescent="0.2">
      <c r="A726" s="30" t="s">
        <v>1091</v>
      </c>
      <c r="B726" s="31" t="s">
        <v>56</v>
      </c>
      <c r="C726" s="30">
        <v>5.36</v>
      </c>
      <c r="D726" s="85"/>
    </row>
    <row r="727" spans="1:4" ht="15.75" outlineLevel="1" x14ac:dyDescent="0.2">
      <c r="A727" s="30" t="s">
        <v>1091</v>
      </c>
      <c r="B727" s="31" t="s">
        <v>59</v>
      </c>
      <c r="C727" s="30">
        <v>5.53</v>
      </c>
      <c r="D727" s="85"/>
    </row>
    <row r="728" spans="1:4" ht="15.75" outlineLevel="1" x14ac:dyDescent="0.2">
      <c r="A728" s="30" t="s">
        <v>1091</v>
      </c>
      <c r="B728" s="31" t="s">
        <v>103</v>
      </c>
      <c r="C728" s="30">
        <v>5.109</v>
      </c>
      <c r="D728" s="85"/>
    </row>
    <row r="729" spans="1:4" ht="15.75" outlineLevel="1" x14ac:dyDescent="0.2">
      <c r="A729" s="30" t="s">
        <v>1091</v>
      </c>
      <c r="B729" s="31" t="s">
        <v>104</v>
      </c>
      <c r="C729" s="30">
        <v>5.1109999999999998</v>
      </c>
      <c r="D729" s="85"/>
    </row>
    <row r="730" spans="1:4" ht="15.75" outlineLevel="1" x14ac:dyDescent="0.2">
      <c r="A730" s="30" t="s">
        <v>1091</v>
      </c>
      <c r="B730" s="31" t="s">
        <v>106</v>
      </c>
      <c r="C730" s="30">
        <v>5.1120000000000001</v>
      </c>
      <c r="D730" s="85"/>
    </row>
    <row r="731" spans="1:4" ht="15.75" outlineLevel="1" x14ac:dyDescent="0.2">
      <c r="A731" s="30" t="s">
        <v>1091</v>
      </c>
      <c r="B731" s="31" t="s">
        <v>1084</v>
      </c>
      <c r="C731" s="30">
        <v>5.1130000000000004</v>
      </c>
      <c r="D731" s="85"/>
    </row>
    <row r="732" spans="1:4" ht="15.75" outlineLevel="1" x14ac:dyDescent="0.2">
      <c r="A732" s="30" t="s">
        <v>1091</v>
      </c>
      <c r="B732" s="31" t="s">
        <v>182</v>
      </c>
      <c r="C732" s="30">
        <v>5.117</v>
      </c>
      <c r="D732" s="85"/>
    </row>
    <row r="733" spans="1:4" ht="15.75" outlineLevel="1" x14ac:dyDescent="0.2">
      <c r="A733" s="30" t="s">
        <v>1091</v>
      </c>
      <c r="B733" s="31" t="s">
        <v>183</v>
      </c>
      <c r="C733" s="30">
        <v>5.67</v>
      </c>
      <c r="D733" s="85"/>
    </row>
    <row r="734" spans="1:4" ht="15.75" outlineLevel="1" x14ac:dyDescent="0.2">
      <c r="A734" s="30" t="s">
        <v>1091</v>
      </c>
      <c r="B734" s="31" t="s">
        <v>63</v>
      </c>
      <c r="C734" s="30">
        <v>5.63</v>
      </c>
      <c r="D734" s="85"/>
    </row>
    <row r="735" spans="1:4" ht="15.75" outlineLevel="1" x14ac:dyDescent="0.2">
      <c r="A735" s="30" t="s">
        <v>1091</v>
      </c>
      <c r="B735" s="31" t="s">
        <v>64</v>
      </c>
      <c r="C735" s="30">
        <v>5.47</v>
      </c>
      <c r="D735" s="85"/>
    </row>
    <row r="736" spans="1:4" ht="15.75" outlineLevel="1" x14ac:dyDescent="0.2">
      <c r="A736" s="30" t="s">
        <v>1091</v>
      </c>
      <c r="B736" s="31" t="s">
        <v>65</v>
      </c>
      <c r="C736" s="30">
        <v>5.48</v>
      </c>
      <c r="D736" s="85"/>
    </row>
    <row r="737" spans="1:4" ht="15.75" x14ac:dyDescent="0.2">
      <c r="A737" s="35" t="s">
        <v>1092</v>
      </c>
      <c r="B737" s="31"/>
      <c r="C737" s="30"/>
      <c r="D737" s="85"/>
    </row>
    <row r="738" spans="1:4" ht="15.75" outlineLevel="1" x14ac:dyDescent="0.2">
      <c r="A738" s="30" t="s">
        <v>45</v>
      </c>
      <c r="B738" s="31" t="s">
        <v>49</v>
      </c>
      <c r="C738" s="30">
        <v>5.0999999999999996</v>
      </c>
      <c r="D738" s="85"/>
    </row>
    <row r="739" spans="1:4" ht="15.75" outlineLevel="1" x14ac:dyDescent="0.2">
      <c r="A739" s="30" t="s">
        <v>45</v>
      </c>
      <c r="B739" s="31" t="s">
        <v>50</v>
      </c>
      <c r="C739" s="30">
        <v>5.2</v>
      </c>
      <c r="D739" s="85"/>
    </row>
    <row r="740" spans="1:4" ht="15.75" outlineLevel="1" x14ac:dyDescent="0.2">
      <c r="A740" s="30" t="s">
        <v>45</v>
      </c>
      <c r="B740" s="31" t="s">
        <v>184</v>
      </c>
      <c r="C740" s="30">
        <v>5.18</v>
      </c>
      <c r="D740" s="85"/>
    </row>
    <row r="741" spans="1:4" ht="15.75" outlineLevel="1" x14ac:dyDescent="0.2">
      <c r="A741" s="30" t="s">
        <v>45</v>
      </c>
      <c r="B741" s="31" t="s">
        <v>185</v>
      </c>
      <c r="C741" s="30">
        <v>5.23</v>
      </c>
      <c r="D741" s="85"/>
    </row>
    <row r="742" spans="1:4" ht="15.75" outlineLevel="1" x14ac:dyDescent="0.2">
      <c r="A742" s="30" t="s">
        <v>45</v>
      </c>
      <c r="B742" s="31" t="s">
        <v>54</v>
      </c>
      <c r="C742" s="30">
        <v>5.26</v>
      </c>
      <c r="D742" s="85"/>
    </row>
    <row r="743" spans="1:4" ht="15.75" outlineLevel="1" x14ac:dyDescent="0.2">
      <c r="A743" s="30" t="s">
        <v>45</v>
      </c>
      <c r="B743" s="31" t="s">
        <v>55</v>
      </c>
      <c r="C743" s="30">
        <v>5.27</v>
      </c>
      <c r="D743" s="85"/>
    </row>
    <row r="744" spans="1:4" ht="15.75" outlineLevel="1" x14ac:dyDescent="0.2">
      <c r="A744" s="30" t="s">
        <v>45</v>
      </c>
      <c r="B744" s="31" t="s">
        <v>69</v>
      </c>
      <c r="C744" s="30">
        <v>5.28</v>
      </c>
      <c r="D744" s="85"/>
    </row>
    <row r="745" spans="1:4" ht="15.75" outlineLevel="1" x14ac:dyDescent="0.2">
      <c r="A745" s="30" t="s">
        <v>45</v>
      </c>
      <c r="B745" s="31" t="s">
        <v>56</v>
      </c>
      <c r="C745" s="30">
        <v>5.36</v>
      </c>
      <c r="D745" s="85"/>
    </row>
    <row r="746" spans="1:4" ht="15.75" outlineLevel="1" x14ac:dyDescent="0.2">
      <c r="A746" s="30" t="s">
        <v>45</v>
      </c>
      <c r="B746" s="31" t="s">
        <v>186</v>
      </c>
      <c r="C746" s="30">
        <v>5.44</v>
      </c>
      <c r="D746" s="85"/>
    </row>
    <row r="747" spans="1:4" ht="15.75" outlineLevel="1" x14ac:dyDescent="0.2">
      <c r="A747" s="30" t="s">
        <v>45</v>
      </c>
      <c r="B747" s="31" t="s">
        <v>59</v>
      </c>
      <c r="C747" s="30">
        <v>5.53</v>
      </c>
      <c r="D747" s="85"/>
    </row>
    <row r="748" spans="1:4" ht="15.75" outlineLevel="1" x14ac:dyDescent="0.2">
      <c r="A748" s="30" t="s">
        <v>45</v>
      </c>
      <c r="B748" s="31" t="s">
        <v>106</v>
      </c>
      <c r="C748" s="30">
        <v>5.1120000000000001</v>
      </c>
      <c r="D748" s="85"/>
    </row>
    <row r="749" spans="1:4" ht="15.75" outlineLevel="1" x14ac:dyDescent="0.2">
      <c r="A749" s="30" t="s">
        <v>45</v>
      </c>
      <c r="B749" s="31" t="s">
        <v>60</v>
      </c>
      <c r="C749" s="30">
        <v>5.59</v>
      </c>
      <c r="D749" s="85"/>
    </row>
    <row r="750" spans="1:4" ht="15.75" outlineLevel="1" x14ac:dyDescent="0.2">
      <c r="A750" s="30" t="s">
        <v>45</v>
      </c>
      <c r="B750" s="31" t="s">
        <v>61</v>
      </c>
      <c r="C750" s="30">
        <v>5.54</v>
      </c>
      <c r="D750" s="85"/>
    </row>
    <row r="751" spans="1:4" ht="15.75" outlineLevel="1" x14ac:dyDescent="0.2">
      <c r="A751" s="30" t="s">
        <v>45</v>
      </c>
      <c r="B751" s="31" t="s">
        <v>63</v>
      </c>
      <c r="C751" s="30">
        <v>5.63</v>
      </c>
      <c r="D751" s="85"/>
    </row>
    <row r="752" spans="1:4" ht="15.75" outlineLevel="1" x14ac:dyDescent="0.2">
      <c r="A752" s="30" t="s">
        <v>45</v>
      </c>
      <c r="B752" s="31" t="s">
        <v>78</v>
      </c>
      <c r="C752" s="30">
        <v>5.65</v>
      </c>
      <c r="D752" s="85"/>
    </row>
    <row r="753" spans="1:4" ht="15.75" outlineLevel="1" x14ac:dyDescent="0.2">
      <c r="A753" s="30" t="s">
        <v>45</v>
      </c>
      <c r="B753" s="31" t="s">
        <v>17</v>
      </c>
      <c r="C753" s="30">
        <v>5.68</v>
      </c>
      <c r="D753" s="85"/>
    </row>
    <row r="754" spans="1:4" ht="15.75" outlineLevel="1" x14ac:dyDescent="0.2">
      <c r="A754" s="30" t="s">
        <v>45</v>
      </c>
      <c r="B754" s="31" t="s">
        <v>64</v>
      </c>
      <c r="C754" s="30">
        <v>5.47</v>
      </c>
      <c r="D754" s="85"/>
    </row>
    <row r="755" spans="1:4" ht="15.75" outlineLevel="1" x14ac:dyDescent="0.2">
      <c r="A755" s="30" t="s">
        <v>45</v>
      </c>
      <c r="B755" s="31" t="s">
        <v>65</v>
      </c>
      <c r="C755" s="30">
        <v>5.48</v>
      </c>
      <c r="D755" s="85"/>
    </row>
    <row r="756" spans="1:4" ht="15.75" x14ac:dyDescent="0.2">
      <c r="A756" s="35" t="s">
        <v>45</v>
      </c>
      <c r="B756" s="31"/>
      <c r="C756" s="30"/>
      <c r="D756" s="85"/>
    </row>
    <row r="757" spans="1:4" ht="15.75" outlineLevel="1" x14ac:dyDescent="0.2">
      <c r="A757" s="30" t="s">
        <v>47</v>
      </c>
      <c r="B757" s="31" t="s">
        <v>49</v>
      </c>
      <c r="C757" s="30">
        <v>5.0999999999999996</v>
      </c>
      <c r="D757" s="85"/>
    </row>
    <row r="758" spans="1:4" ht="15.75" outlineLevel="1" x14ac:dyDescent="0.2">
      <c r="A758" s="30" t="s">
        <v>47</v>
      </c>
      <c r="B758" s="31" t="s">
        <v>50</v>
      </c>
      <c r="C758" s="30">
        <v>5.2</v>
      </c>
      <c r="D758" s="85"/>
    </row>
    <row r="759" spans="1:4" ht="15.75" outlineLevel="1" x14ac:dyDescent="0.2">
      <c r="A759" s="30" t="s">
        <v>47</v>
      </c>
      <c r="B759" s="31" t="s">
        <v>150</v>
      </c>
      <c r="C759" s="30">
        <v>5.9</v>
      </c>
      <c r="D759" s="179" t="s">
        <v>2500</v>
      </c>
    </row>
    <row r="760" spans="1:4" ht="15.75" outlineLevel="1" x14ac:dyDescent="0.2">
      <c r="A760" s="30" t="s">
        <v>47</v>
      </c>
      <c r="B760" s="31" t="s">
        <v>151</v>
      </c>
      <c r="C760" s="30">
        <v>5.13</v>
      </c>
      <c r="D760" s="85"/>
    </row>
    <row r="761" spans="1:4" ht="15.75" outlineLevel="1" x14ac:dyDescent="0.2">
      <c r="A761" s="30" t="s">
        <v>47</v>
      </c>
      <c r="B761" s="31" t="s">
        <v>152</v>
      </c>
      <c r="C761" s="30">
        <v>5.16</v>
      </c>
      <c r="D761" s="179" t="s">
        <v>2500</v>
      </c>
    </row>
    <row r="762" spans="1:4" ht="15.75" outlineLevel="1" x14ac:dyDescent="0.2">
      <c r="A762" s="30" t="s">
        <v>47</v>
      </c>
      <c r="B762" s="31" t="s">
        <v>153</v>
      </c>
      <c r="C762" s="30">
        <v>5.22</v>
      </c>
      <c r="D762" s="84"/>
    </row>
    <row r="763" spans="1:4" ht="15.75" outlineLevel="1" x14ac:dyDescent="0.2">
      <c r="A763" s="30" t="s">
        <v>47</v>
      </c>
      <c r="B763" s="31" t="s">
        <v>187</v>
      </c>
      <c r="C763" s="30">
        <v>5.42</v>
      </c>
      <c r="D763" s="85"/>
    </row>
    <row r="764" spans="1:4" ht="15.75" outlineLevel="1" x14ac:dyDescent="0.2">
      <c r="A764" s="30" t="s">
        <v>47</v>
      </c>
      <c r="B764" s="31" t="s">
        <v>55</v>
      </c>
      <c r="C764" s="30">
        <v>5.27</v>
      </c>
      <c r="D764" s="85"/>
    </row>
    <row r="765" spans="1:4" ht="15.75" outlineLevel="1" x14ac:dyDescent="0.2">
      <c r="A765" s="30" t="s">
        <v>47</v>
      </c>
      <c r="B765" s="31" t="s">
        <v>69</v>
      </c>
      <c r="C765" s="30">
        <v>5.28</v>
      </c>
      <c r="D765" s="179" t="s">
        <v>2500</v>
      </c>
    </row>
    <row r="766" spans="1:4" ht="15.75" outlineLevel="1" x14ac:dyDescent="0.2">
      <c r="A766" s="30" t="s">
        <v>47</v>
      </c>
      <c r="B766" s="31" t="s">
        <v>56</v>
      </c>
      <c r="C766" s="30">
        <v>5.36</v>
      </c>
      <c r="D766" s="85"/>
    </row>
    <row r="767" spans="1:4" ht="15.75" outlineLevel="1" x14ac:dyDescent="0.2">
      <c r="A767" s="30" t="s">
        <v>47</v>
      </c>
      <c r="B767" s="31" t="s">
        <v>71</v>
      </c>
      <c r="C767" s="30">
        <v>5.49</v>
      </c>
      <c r="D767" s="85"/>
    </row>
    <row r="768" spans="1:4" ht="15.75" outlineLevel="1" x14ac:dyDescent="0.2">
      <c r="A768" s="30" t="s">
        <v>47</v>
      </c>
      <c r="B768" s="31" t="s">
        <v>58</v>
      </c>
      <c r="C768" s="30">
        <v>5.51</v>
      </c>
      <c r="D768" s="85"/>
    </row>
    <row r="769" spans="1:4" ht="15.75" outlineLevel="1" x14ac:dyDescent="0.2">
      <c r="A769" s="30" t="s">
        <v>47</v>
      </c>
      <c r="B769" s="31" t="s">
        <v>1090</v>
      </c>
      <c r="C769" s="30">
        <v>5.52</v>
      </c>
      <c r="D769" s="85"/>
    </row>
    <row r="770" spans="1:4" ht="15.75" outlineLevel="1" x14ac:dyDescent="0.2">
      <c r="A770" s="30" t="s">
        <v>47</v>
      </c>
      <c r="B770" s="31" t="s">
        <v>59</v>
      </c>
      <c r="C770" s="30">
        <v>5.53</v>
      </c>
      <c r="D770" s="85"/>
    </row>
    <row r="771" spans="1:4" ht="15.75" outlineLevel="1" x14ac:dyDescent="0.2">
      <c r="A771" s="30" t="s">
        <v>47</v>
      </c>
      <c r="B771" s="31" t="s">
        <v>61</v>
      </c>
      <c r="C771" s="30">
        <v>5.54</v>
      </c>
      <c r="D771" s="85"/>
    </row>
    <row r="772" spans="1:4" ht="15.75" outlineLevel="1" x14ac:dyDescent="0.2">
      <c r="A772" s="30" t="s">
        <v>47</v>
      </c>
      <c r="B772" s="31" t="s">
        <v>62</v>
      </c>
      <c r="C772" s="32">
        <v>5.7</v>
      </c>
      <c r="D772" s="85"/>
    </row>
    <row r="773" spans="1:4" ht="15.75" outlineLevel="1" x14ac:dyDescent="0.2">
      <c r="A773" s="30" t="s">
        <v>47</v>
      </c>
      <c r="B773" s="31" t="s">
        <v>159</v>
      </c>
      <c r="C773" s="30">
        <v>5.71</v>
      </c>
      <c r="D773" s="85"/>
    </row>
    <row r="774" spans="1:4" ht="15.75" outlineLevel="1" x14ac:dyDescent="0.2">
      <c r="A774" s="30" t="s">
        <v>47</v>
      </c>
      <c r="B774" s="31" t="s">
        <v>188</v>
      </c>
      <c r="C774" s="32">
        <v>5.9</v>
      </c>
      <c r="D774" s="85"/>
    </row>
    <row r="775" spans="1:4" ht="15.75" outlineLevel="1" x14ac:dyDescent="0.2">
      <c r="A775" s="30" t="s">
        <v>47</v>
      </c>
      <c r="B775" s="31" t="s">
        <v>189</v>
      </c>
      <c r="C775" s="30">
        <v>5.91</v>
      </c>
      <c r="D775" s="85"/>
    </row>
    <row r="776" spans="1:4" ht="15.75" outlineLevel="1" x14ac:dyDescent="0.2">
      <c r="A776" s="30" t="s">
        <v>47</v>
      </c>
      <c r="B776" s="31" t="s">
        <v>190</v>
      </c>
      <c r="C776" s="30">
        <v>5.97</v>
      </c>
      <c r="D776" s="85"/>
    </row>
    <row r="777" spans="1:4" ht="15.75" x14ac:dyDescent="0.2">
      <c r="A777" s="35" t="s">
        <v>47</v>
      </c>
      <c r="B777" s="31"/>
      <c r="C777" s="30"/>
      <c r="D777" s="85"/>
    </row>
    <row r="778" spans="1:4" ht="15.75" outlineLevel="1" x14ac:dyDescent="0.2">
      <c r="A778" s="30" t="s">
        <v>1067</v>
      </c>
      <c r="B778" s="31" t="s">
        <v>49</v>
      </c>
      <c r="C778" s="30">
        <v>5.0999999999999996</v>
      </c>
      <c r="D778" s="85"/>
    </row>
    <row r="779" spans="1:4" ht="15.75" outlineLevel="1" x14ac:dyDescent="0.2">
      <c r="A779" s="30" t="s">
        <v>1067</v>
      </c>
      <c r="B779" s="31" t="s">
        <v>50</v>
      </c>
      <c r="C779" s="30">
        <v>5.2</v>
      </c>
      <c r="D779" s="85"/>
    </row>
    <row r="780" spans="1:4" ht="15.75" outlineLevel="1" x14ac:dyDescent="0.2">
      <c r="A780" s="30" t="s">
        <v>1067</v>
      </c>
      <c r="B780" s="31" t="s">
        <v>54</v>
      </c>
      <c r="C780" s="30">
        <v>5.26</v>
      </c>
      <c r="D780" s="85"/>
    </row>
    <row r="781" spans="1:4" ht="15.75" outlineLevel="1" x14ac:dyDescent="0.2">
      <c r="A781" s="30" t="s">
        <v>1067</v>
      </c>
      <c r="B781" s="31" t="s">
        <v>108</v>
      </c>
      <c r="C781" s="30">
        <v>5.5</v>
      </c>
      <c r="D781" s="85"/>
    </row>
    <row r="782" spans="1:4" ht="15.75" outlineLevel="1" x14ac:dyDescent="0.2">
      <c r="A782" s="30" t="s">
        <v>1067</v>
      </c>
      <c r="B782" s="31" t="s">
        <v>109</v>
      </c>
      <c r="C782" s="30">
        <v>5.8</v>
      </c>
      <c r="D782" s="179" t="s">
        <v>2500</v>
      </c>
    </row>
    <row r="783" spans="1:4" ht="15.75" outlineLevel="1" x14ac:dyDescent="0.2">
      <c r="A783" s="30" t="s">
        <v>1067</v>
      </c>
      <c r="B783" s="31" t="s">
        <v>110</v>
      </c>
      <c r="C783" s="30">
        <v>5.12</v>
      </c>
      <c r="D783" s="30"/>
    </row>
    <row r="784" spans="1:4" ht="15.75" outlineLevel="1" x14ac:dyDescent="0.2">
      <c r="A784" s="30" t="s">
        <v>1067</v>
      </c>
      <c r="B784" s="31" t="s">
        <v>111</v>
      </c>
      <c r="C784" s="30">
        <v>5.15</v>
      </c>
      <c r="D784" s="30"/>
    </row>
    <row r="785" spans="1:4" ht="15.75" outlineLevel="1" x14ac:dyDescent="0.2">
      <c r="A785" s="30" t="s">
        <v>1067</v>
      </c>
      <c r="B785" s="31" t="s">
        <v>112</v>
      </c>
      <c r="C785" s="32">
        <v>5.2</v>
      </c>
      <c r="D785" s="84"/>
    </row>
    <row r="786" spans="1:4" ht="15.75" outlineLevel="1" x14ac:dyDescent="0.2">
      <c r="A786" s="30" t="s">
        <v>1067</v>
      </c>
      <c r="B786" s="31" t="s">
        <v>113</v>
      </c>
      <c r="C786" s="30">
        <v>5.25</v>
      </c>
      <c r="D786" s="30"/>
    </row>
    <row r="787" spans="1:4" ht="15.75" outlineLevel="1" x14ac:dyDescent="0.2">
      <c r="A787" s="30" t="s">
        <v>1067</v>
      </c>
      <c r="B787" s="31" t="s">
        <v>59</v>
      </c>
      <c r="C787" s="30">
        <v>5.53</v>
      </c>
      <c r="D787" s="30"/>
    </row>
    <row r="788" spans="1:4" ht="15.75" outlineLevel="1" x14ac:dyDescent="0.2">
      <c r="A788" s="30" t="s">
        <v>1067</v>
      </c>
      <c r="B788" s="31" t="s">
        <v>191</v>
      </c>
      <c r="C788" s="32">
        <v>5.4</v>
      </c>
      <c r="D788" s="30"/>
    </row>
    <row r="789" spans="1:4" ht="15.75" outlineLevel="1" x14ac:dyDescent="0.2">
      <c r="A789" s="30" t="s">
        <v>1067</v>
      </c>
      <c r="B789" s="31" t="s">
        <v>192</v>
      </c>
      <c r="C789" s="30">
        <v>5.92</v>
      </c>
      <c r="D789" s="30"/>
    </row>
    <row r="790" spans="1:4" ht="15.75" outlineLevel="1" x14ac:dyDescent="0.2">
      <c r="A790" s="30" t="s">
        <v>1067</v>
      </c>
      <c r="B790" s="31" t="s">
        <v>193</v>
      </c>
      <c r="C790" s="30">
        <v>5.93</v>
      </c>
      <c r="D790" s="30"/>
    </row>
    <row r="791" spans="1:4" ht="31.5" outlineLevel="1" x14ac:dyDescent="0.2">
      <c r="A791" s="30" t="s">
        <v>1067</v>
      </c>
      <c r="B791" s="31" t="s">
        <v>194</v>
      </c>
      <c r="C791" s="30">
        <v>5.94</v>
      </c>
      <c r="D791" s="30"/>
    </row>
    <row r="792" spans="1:4" ht="15.75" outlineLevel="1" x14ac:dyDescent="0.2">
      <c r="A792" s="30" t="s">
        <v>1067</v>
      </c>
      <c r="B792" s="31" t="s">
        <v>195</v>
      </c>
      <c r="C792" s="30">
        <v>5.95</v>
      </c>
      <c r="D792" s="30"/>
    </row>
    <row r="793" spans="1:4" ht="15.75" outlineLevel="1" x14ac:dyDescent="0.2">
      <c r="A793" s="30" t="s">
        <v>1067</v>
      </c>
      <c r="B793" s="31" t="s">
        <v>196</v>
      </c>
      <c r="C793" s="30">
        <v>5.98</v>
      </c>
      <c r="D793" s="30"/>
    </row>
    <row r="794" spans="1:4" ht="15.75" outlineLevel="1" x14ac:dyDescent="0.2">
      <c r="A794" s="30" t="s">
        <v>1067</v>
      </c>
      <c r="B794" s="31" t="s">
        <v>197</v>
      </c>
      <c r="C794" s="30">
        <v>5.96</v>
      </c>
      <c r="D794" s="30"/>
    </row>
    <row r="795" spans="1:4" ht="15.75" x14ac:dyDescent="0.2">
      <c r="A795" s="176" t="s">
        <v>1067</v>
      </c>
      <c r="B795" s="177"/>
      <c r="C795" s="178"/>
      <c r="D795" s="178"/>
    </row>
    <row r="796" spans="1:4" ht="14.25" x14ac:dyDescent="0.2">
      <c r="A796" s="180" t="s">
        <v>2501</v>
      </c>
      <c r="B796" s="180"/>
      <c r="C796" s="180"/>
      <c r="D796" s="180"/>
    </row>
  </sheetData>
  <mergeCells count="1">
    <mergeCell ref="A796:D796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0" t="s">
        <v>1093</v>
      </c>
    </row>
    <row r="3" spans="1:2" x14ac:dyDescent="0.2">
      <c r="A3" t="s">
        <v>1094</v>
      </c>
      <c r="B3" t="s">
        <v>1095</v>
      </c>
    </row>
    <row r="4" spans="1:2" x14ac:dyDescent="0.2">
      <c r="A4" t="s">
        <v>1096</v>
      </c>
      <c r="B4" t="s">
        <v>1097</v>
      </c>
    </row>
    <row r="5" spans="1:2" x14ac:dyDescent="0.2">
      <c r="A5" t="s">
        <v>1098</v>
      </c>
      <c r="B5" t="s">
        <v>1099</v>
      </c>
    </row>
    <row r="6" spans="1:2" x14ac:dyDescent="0.2">
      <c r="A6" t="s">
        <v>1100</v>
      </c>
      <c r="B6" t="s">
        <v>1101</v>
      </c>
    </row>
    <row r="7" spans="1:2" x14ac:dyDescent="0.2">
      <c r="A7" t="s">
        <v>1102</v>
      </c>
      <c r="B7" t="s">
        <v>1103</v>
      </c>
    </row>
    <row r="8" spans="1:2" x14ac:dyDescent="0.2">
      <c r="A8" t="s">
        <v>1104</v>
      </c>
      <c r="B8" t="s">
        <v>1105</v>
      </c>
    </row>
    <row r="10" spans="1:2" ht="15" x14ac:dyDescent="0.25">
      <c r="A10" s="20" t="s">
        <v>1106</v>
      </c>
    </row>
    <row r="11" spans="1:2" x14ac:dyDescent="0.2">
      <c r="A11" t="s">
        <v>1107</v>
      </c>
    </row>
    <row r="12" spans="1:2" x14ac:dyDescent="0.2">
      <c r="A12" t="s">
        <v>1108</v>
      </c>
      <c r="B12" t="s">
        <v>1109</v>
      </c>
    </row>
    <row r="14" spans="1:2" x14ac:dyDescent="0.2">
      <c r="A14" s="29"/>
    </row>
    <row r="15" spans="1:2" ht="15" x14ac:dyDescent="0.25">
      <c r="A15" s="20" t="s">
        <v>1110</v>
      </c>
    </row>
    <row r="16" spans="1:2" x14ac:dyDescent="0.2">
      <c r="A16" s="27" t="s">
        <v>1111</v>
      </c>
    </row>
    <row r="17" spans="1:2" x14ac:dyDescent="0.2">
      <c r="A17" s="27" t="s">
        <v>1112</v>
      </c>
    </row>
    <row r="18" spans="1:2" x14ac:dyDescent="0.2">
      <c r="A18" s="27" t="s">
        <v>1113</v>
      </c>
    </row>
    <row r="19" spans="1:2" x14ac:dyDescent="0.2">
      <c r="A19" s="27" t="s">
        <v>1114</v>
      </c>
    </row>
    <row r="21" spans="1:2" ht="15" x14ac:dyDescent="0.25">
      <c r="A21" s="28" t="s">
        <v>1115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0" t="s">
        <v>1116</v>
      </c>
      <c r="B34" s="20" t="s">
        <v>309</v>
      </c>
    </row>
    <row r="35" spans="1:2" x14ac:dyDescent="0.2">
      <c r="A35" s="13" t="s">
        <v>1117</v>
      </c>
      <c r="B35" s="34">
        <v>512310509</v>
      </c>
    </row>
    <row r="36" spans="1:2" x14ac:dyDescent="0.2">
      <c r="A36" t="s">
        <v>1118</v>
      </c>
      <c r="B36" s="34">
        <v>513910703</v>
      </c>
    </row>
    <row r="37" spans="1:2" x14ac:dyDescent="0.2">
      <c r="A37" t="s">
        <v>1119</v>
      </c>
      <c r="B37" s="34">
        <v>512304882</v>
      </c>
    </row>
    <row r="38" spans="1:2" x14ac:dyDescent="0.2">
      <c r="A38" t="s">
        <v>1120</v>
      </c>
      <c r="B38" s="34">
        <v>520030677</v>
      </c>
    </row>
    <row r="39" spans="1:2" x14ac:dyDescent="0.2">
      <c r="A39" t="s">
        <v>1121</v>
      </c>
      <c r="B39" s="34">
        <v>513621110</v>
      </c>
    </row>
    <row r="40" spans="1:2" x14ac:dyDescent="0.2">
      <c r="A40" t="s">
        <v>1122</v>
      </c>
      <c r="B40" s="13">
        <v>513173393</v>
      </c>
    </row>
    <row r="41" spans="1:2" x14ac:dyDescent="0.2">
      <c r="A41" t="s">
        <v>1123</v>
      </c>
      <c r="B41" s="13">
        <v>511880460</v>
      </c>
    </row>
    <row r="42" spans="1:2" x14ac:dyDescent="0.2">
      <c r="A42" t="s">
        <v>1124</v>
      </c>
      <c r="B42" s="13">
        <v>510773922</v>
      </c>
    </row>
    <row r="43" spans="1:2" x14ac:dyDescent="0.2">
      <c r="A43" t="s">
        <v>1125</v>
      </c>
      <c r="B43">
        <v>520021916</v>
      </c>
    </row>
    <row r="44" spans="1:2" x14ac:dyDescent="0.2">
      <c r="A44" t="s">
        <v>1126</v>
      </c>
      <c r="B44">
        <v>520044025</v>
      </c>
    </row>
    <row r="45" spans="1:2" x14ac:dyDescent="0.2">
      <c r="A45" t="s">
        <v>1127</v>
      </c>
      <c r="B45">
        <v>570003152</v>
      </c>
    </row>
    <row r="46" spans="1:2" x14ac:dyDescent="0.2">
      <c r="A46" t="s">
        <v>1128</v>
      </c>
      <c r="B46" s="13">
        <v>520023094</v>
      </c>
    </row>
    <row r="47" spans="1:2" x14ac:dyDescent="0.2">
      <c r="A47" t="s">
        <v>1129</v>
      </c>
      <c r="B47" s="13">
        <v>512711409</v>
      </c>
    </row>
    <row r="48" spans="1:2" x14ac:dyDescent="0.2">
      <c r="A48" t="s">
        <v>1130</v>
      </c>
      <c r="B48">
        <v>515859379</v>
      </c>
    </row>
    <row r="49" spans="1:2" x14ac:dyDescent="0.2">
      <c r="A49" t="s">
        <v>1131</v>
      </c>
      <c r="B49" s="13">
        <v>520030990</v>
      </c>
    </row>
    <row r="50" spans="1:2" x14ac:dyDescent="0.2">
      <c r="A50" t="s">
        <v>1132</v>
      </c>
      <c r="B50" s="13">
        <v>520028812</v>
      </c>
    </row>
    <row r="51" spans="1:2" x14ac:dyDescent="0.2">
      <c r="A51" t="s">
        <v>1133</v>
      </c>
      <c r="B51" s="13">
        <v>520034968</v>
      </c>
    </row>
    <row r="52" spans="1:2" x14ac:dyDescent="0.2">
      <c r="A52" t="s">
        <v>1134</v>
      </c>
      <c r="B52" s="13">
        <v>520031824</v>
      </c>
    </row>
    <row r="53" spans="1:2" x14ac:dyDescent="0.2">
      <c r="A53" t="s">
        <v>1135</v>
      </c>
      <c r="B53" s="13">
        <v>520005497</v>
      </c>
    </row>
    <row r="54" spans="1:2" x14ac:dyDescent="0.2">
      <c r="A54" t="s">
        <v>1136</v>
      </c>
      <c r="B54" s="13">
        <v>520022518</v>
      </c>
    </row>
    <row r="55" spans="1:2" x14ac:dyDescent="0.2">
      <c r="A55" t="s">
        <v>1137</v>
      </c>
      <c r="B55" s="13">
        <v>520028556</v>
      </c>
    </row>
    <row r="56" spans="1:2" x14ac:dyDescent="0.2">
      <c r="A56" t="s">
        <v>1138</v>
      </c>
      <c r="B56" s="13">
        <v>520032269</v>
      </c>
    </row>
    <row r="57" spans="1:2" x14ac:dyDescent="0.2">
      <c r="A57" t="s">
        <v>1139</v>
      </c>
      <c r="B57" s="13">
        <v>520027954</v>
      </c>
    </row>
    <row r="58" spans="1:2" x14ac:dyDescent="0.2">
      <c r="A58" t="s">
        <v>1140</v>
      </c>
      <c r="B58">
        <v>520029620</v>
      </c>
    </row>
    <row r="59" spans="1:2" x14ac:dyDescent="0.2">
      <c r="A59" t="s">
        <v>1141</v>
      </c>
      <c r="B59" s="13">
        <v>520028861</v>
      </c>
    </row>
    <row r="60" spans="1:2" x14ac:dyDescent="0.2">
      <c r="A60" t="s">
        <v>1142</v>
      </c>
      <c r="B60" s="13">
        <v>520030743</v>
      </c>
    </row>
    <row r="61" spans="1:2" x14ac:dyDescent="0.2">
      <c r="A61" t="s">
        <v>1143</v>
      </c>
      <c r="B61">
        <v>520042177</v>
      </c>
    </row>
    <row r="62" spans="1:2" x14ac:dyDescent="0.2">
      <c r="A62" t="s">
        <v>1144</v>
      </c>
      <c r="B62" s="13">
        <v>515447035</v>
      </c>
    </row>
    <row r="63" spans="1:2" x14ac:dyDescent="0.2">
      <c r="A63" t="s">
        <v>1145</v>
      </c>
      <c r="B63" s="13">
        <v>520042607</v>
      </c>
    </row>
    <row r="64" spans="1:2" x14ac:dyDescent="0.2">
      <c r="A64" t="s">
        <v>1146</v>
      </c>
      <c r="B64" s="13">
        <v>513026484</v>
      </c>
    </row>
    <row r="65" spans="1:2" x14ac:dyDescent="0.2">
      <c r="A65" t="s">
        <v>1147</v>
      </c>
      <c r="B65">
        <v>520023185</v>
      </c>
    </row>
    <row r="66" spans="1:2" x14ac:dyDescent="0.2">
      <c r="A66" t="s">
        <v>1148</v>
      </c>
      <c r="B66">
        <v>520004078</v>
      </c>
    </row>
    <row r="67" spans="1:2" x14ac:dyDescent="0.2">
      <c r="A67" t="s">
        <v>1149</v>
      </c>
      <c r="B67" s="13">
        <v>512267592</v>
      </c>
    </row>
    <row r="68" spans="1:2" x14ac:dyDescent="0.2">
      <c r="A68" t="s">
        <v>1150</v>
      </c>
      <c r="B68">
        <v>515764868</v>
      </c>
    </row>
    <row r="69" spans="1:2" x14ac:dyDescent="0.2">
      <c r="A69" t="s">
        <v>1151</v>
      </c>
      <c r="B69" s="13">
        <v>513452003</v>
      </c>
    </row>
    <row r="70" spans="1:2" x14ac:dyDescent="0.2">
      <c r="A70" t="s">
        <v>1152</v>
      </c>
      <c r="B70" s="13">
        <v>510142789</v>
      </c>
    </row>
    <row r="71" spans="1:2" x14ac:dyDescent="0.2">
      <c r="A71" t="s">
        <v>1153</v>
      </c>
      <c r="B71" s="13">
        <v>510960586</v>
      </c>
    </row>
    <row r="72" spans="1:2" x14ac:dyDescent="0.2">
      <c r="A72" t="s">
        <v>1154</v>
      </c>
      <c r="B72" s="13">
        <v>510930670</v>
      </c>
    </row>
    <row r="73" spans="1:2" x14ac:dyDescent="0.2">
      <c r="A73" t="s">
        <v>1155</v>
      </c>
      <c r="B73" s="13">
        <v>510927536</v>
      </c>
    </row>
    <row r="74" spans="1:2" x14ac:dyDescent="0.2">
      <c r="A74" t="s">
        <v>1156</v>
      </c>
      <c r="B74" s="13">
        <v>510930654</v>
      </c>
    </row>
    <row r="75" spans="1:2" x14ac:dyDescent="0.2">
      <c r="A75" t="s">
        <v>1157</v>
      </c>
      <c r="B75" s="13">
        <v>520032566</v>
      </c>
    </row>
    <row r="76" spans="1:2" x14ac:dyDescent="0.2">
      <c r="A76" t="s">
        <v>1158</v>
      </c>
      <c r="B76" s="13">
        <v>513611509</v>
      </c>
    </row>
    <row r="77" spans="1:2" x14ac:dyDescent="0.2">
      <c r="A77" t="s">
        <v>1159</v>
      </c>
      <c r="B77">
        <v>510888985</v>
      </c>
    </row>
    <row r="78" spans="1:2" x14ac:dyDescent="0.2">
      <c r="A78" t="s">
        <v>1160</v>
      </c>
      <c r="B78">
        <v>520024647</v>
      </c>
    </row>
    <row r="79" spans="1:2" x14ac:dyDescent="0.2">
      <c r="A79" t="s">
        <v>1161</v>
      </c>
      <c r="B79" s="13">
        <v>512244146</v>
      </c>
    </row>
    <row r="80" spans="1:2" x14ac:dyDescent="0.2">
      <c r="A80" t="s">
        <v>1162</v>
      </c>
      <c r="B80" s="13">
        <v>510694821</v>
      </c>
    </row>
    <row r="81" spans="1:2" x14ac:dyDescent="0.2">
      <c r="A81" t="s">
        <v>1163</v>
      </c>
      <c r="B81">
        <v>515761625</v>
      </c>
    </row>
    <row r="82" spans="1:2" x14ac:dyDescent="0.2">
      <c r="A82" t="s">
        <v>1164</v>
      </c>
      <c r="B82" s="13">
        <v>511423048</v>
      </c>
    </row>
    <row r="83" spans="1:2" x14ac:dyDescent="0.2">
      <c r="A83" t="s">
        <v>1165</v>
      </c>
      <c r="B83" s="13">
        <v>520019688</v>
      </c>
    </row>
    <row r="84" spans="1:2" x14ac:dyDescent="0.2">
      <c r="A84" t="s">
        <v>1166</v>
      </c>
      <c r="B84">
        <v>520004896</v>
      </c>
    </row>
    <row r="85" spans="1:2" x14ac:dyDescent="0.2">
      <c r="A85" t="s">
        <v>1167</v>
      </c>
      <c r="B85" s="13">
        <v>512237744</v>
      </c>
    </row>
    <row r="86" spans="1:2" x14ac:dyDescent="0.2">
      <c r="A86" t="s">
        <v>1168</v>
      </c>
      <c r="B86" s="13">
        <v>514956465</v>
      </c>
    </row>
    <row r="87" spans="1:2" x14ac:dyDescent="0.2">
      <c r="A87" t="s">
        <v>1169</v>
      </c>
      <c r="B87" s="13">
        <v>512362914</v>
      </c>
    </row>
    <row r="88" spans="1:2" x14ac:dyDescent="0.2">
      <c r="A88" t="s">
        <v>1170</v>
      </c>
      <c r="B88" s="13">
        <v>520042615</v>
      </c>
    </row>
    <row r="89" spans="1:2" x14ac:dyDescent="0.2">
      <c r="A89" t="s">
        <v>1171</v>
      </c>
      <c r="B89" s="13">
        <v>512065202</v>
      </c>
    </row>
    <row r="90" spans="1:2" x14ac:dyDescent="0.2">
      <c r="A90" t="s">
        <v>1172</v>
      </c>
      <c r="B90">
        <v>520042540</v>
      </c>
    </row>
    <row r="91" spans="1:2" x14ac:dyDescent="0.2">
      <c r="A91" t="s">
        <v>1173</v>
      </c>
      <c r="B91" s="13">
        <v>520027715</v>
      </c>
    </row>
    <row r="92" spans="1:2" x14ac:dyDescent="0.2">
      <c r="A92" t="s">
        <v>1174</v>
      </c>
      <c r="B92" s="13">
        <v>512245812</v>
      </c>
    </row>
    <row r="93" spans="1:2" x14ac:dyDescent="0.2">
      <c r="A93" t="s">
        <v>1175</v>
      </c>
      <c r="B93" s="13">
        <v>520022351</v>
      </c>
    </row>
    <row r="94" spans="1:2" x14ac:dyDescent="0.2">
      <c r="A94" t="s">
        <v>1176</v>
      </c>
      <c r="B94" s="13">
        <v>514767490</v>
      </c>
    </row>
    <row r="95" spans="1:2" x14ac:dyDescent="0.2">
      <c r="A95" t="s">
        <v>1177</v>
      </c>
      <c r="B95" s="13">
        <v>520024985</v>
      </c>
    </row>
    <row r="96" spans="1:2" x14ac:dyDescent="0.2">
      <c r="A96" t="s">
        <v>1178</v>
      </c>
      <c r="B96" s="13">
        <v>520042573</v>
      </c>
    </row>
    <row r="97" spans="1:2" x14ac:dyDescent="0.2">
      <c r="A97" t="s">
        <v>1179</v>
      </c>
      <c r="B97" s="13">
        <v>570009449</v>
      </c>
    </row>
    <row r="98" spans="1:2" x14ac:dyDescent="0.2">
      <c r="A98" t="s">
        <v>1180</v>
      </c>
      <c r="B98" s="13">
        <v>520031659</v>
      </c>
    </row>
    <row r="99" spans="1:2" x14ac:dyDescent="0.2">
      <c r="A99" t="s">
        <v>1181</v>
      </c>
      <c r="B99" s="13">
        <v>520042581</v>
      </c>
    </row>
    <row r="100" spans="1:2" x14ac:dyDescent="0.2">
      <c r="A100" t="s">
        <v>1182</v>
      </c>
      <c r="B100">
        <v>520031030</v>
      </c>
    </row>
    <row r="101" spans="1:2" x14ac:dyDescent="0.2">
      <c r="A101" t="s">
        <v>1183</v>
      </c>
      <c r="B101" s="13">
        <v>520030941</v>
      </c>
    </row>
    <row r="102" spans="1:2" x14ac:dyDescent="0.2">
      <c r="A102" t="s">
        <v>1184</v>
      </c>
      <c r="B102" s="13">
        <v>512008335</v>
      </c>
    </row>
    <row r="103" spans="1:2" x14ac:dyDescent="0.2">
      <c r="A103" t="s">
        <v>1185</v>
      </c>
      <c r="B103" s="13">
        <v>520022963</v>
      </c>
    </row>
    <row r="104" spans="1:2" x14ac:dyDescent="0.2">
      <c r="A104" t="s">
        <v>1186</v>
      </c>
      <c r="B104" s="13">
        <v>570011767</v>
      </c>
    </row>
    <row r="105" spans="1:2" x14ac:dyDescent="0.2">
      <c r="A105" t="s">
        <v>1187</v>
      </c>
      <c r="B105" s="13">
        <v>570014928</v>
      </c>
    </row>
    <row r="106" spans="1:2" x14ac:dyDescent="0.2">
      <c r="A106" t="s">
        <v>1188</v>
      </c>
      <c r="B106" s="13">
        <v>570005959</v>
      </c>
    </row>
    <row r="107" spans="1:2" x14ac:dyDescent="0.2">
      <c r="A107" t="s">
        <v>1189</v>
      </c>
      <c r="B107" s="13">
        <v>510800402</v>
      </c>
    </row>
    <row r="108" spans="1:2" x14ac:dyDescent="0.2">
      <c r="A108" t="s">
        <v>1190</v>
      </c>
      <c r="B108" s="13">
        <v>570007476</v>
      </c>
    </row>
    <row r="109" spans="1:2" x14ac:dyDescent="0.2">
      <c r="A109" t="s">
        <v>1191</v>
      </c>
      <c r="B109" s="13">
        <v>570005850</v>
      </c>
    </row>
    <row r="110" spans="1:2" x14ac:dyDescent="0.2">
      <c r="A110" t="s">
        <v>1192</v>
      </c>
      <c r="B110" s="13">
        <v>520020504</v>
      </c>
    </row>
    <row r="111" spans="1:2" x14ac:dyDescent="0.2">
      <c r="A111" t="s">
        <v>1193</v>
      </c>
      <c r="B111" s="13">
        <v>520020447</v>
      </c>
    </row>
    <row r="112" spans="1:2" x14ac:dyDescent="0.2">
      <c r="A112" t="s">
        <v>1194</v>
      </c>
      <c r="B112" s="13">
        <v>511033060</v>
      </c>
    </row>
    <row r="113" spans="1:2" x14ac:dyDescent="0.2">
      <c r="A113" t="s">
        <v>1195</v>
      </c>
      <c r="B113">
        <v>520027848</v>
      </c>
    </row>
    <row r="114" spans="1:2" x14ac:dyDescent="0.2">
      <c r="A114" t="s">
        <v>1196</v>
      </c>
      <c r="B114" s="13">
        <v>570009852</v>
      </c>
    </row>
    <row r="115" spans="1:2" x14ac:dyDescent="0.2">
      <c r="A115" t="s">
        <v>1197</v>
      </c>
      <c r="B115" s="13">
        <v>520027251</v>
      </c>
    </row>
    <row r="116" spans="1:2" x14ac:dyDescent="0.2">
      <c r="A116" t="s">
        <v>1198</v>
      </c>
      <c r="B116" s="13">
        <v>520028390</v>
      </c>
    </row>
    <row r="117" spans="1:2" x14ac:dyDescent="0.2">
      <c r="A117" t="s">
        <v>1199</v>
      </c>
      <c r="B117" s="13">
        <v>510806870</v>
      </c>
    </row>
    <row r="118" spans="1:2" x14ac:dyDescent="0.2">
      <c r="A118" t="s">
        <v>1200</v>
      </c>
      <c r="B118">
        <v>513879189</v>
      </c>
    </row>
    <row r="119" spans="1:2" x14ac:dyDescent="0.2">
      <c r="A119" t="s">
        <v>1201</v>
      </c>
      <c r="B119">
        <v>510015951</v>
      </c>
    </row>
    <row r="120" spans="1:2" x14ac:dyDescent="0.2">
      <c r="A120" t="s">
        <v>1202</v>
      </c>
      <c r="B120" s="13">
        <v>520030693</v>
      </c>
    </row>
    <row r="121" spans="1:2" x14ac:dyDescent="0.2">
      <c r="A121" t="s">
        <v>1203</v>
      </c>
      <c r="B121" s="13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בת שבע אזולאי</cp:lastModifiedBy>
  <cp:revision/>
  <dcterms:created xsi:type="dcterms:W3CDTF">2021-05-03T04:41:48Z</dcterms:created>
  <dcterms:modified xsi:type="dcterms:W3CDTF">2025-03-20T09:18:07Z</dcterms:modified>
  <cp:category/>
  <cp:contentStatus/>
</cp:coreProperties>
</file>